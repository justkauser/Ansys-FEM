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bestimmen'!$D$126:$H$126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04" i="43"/>
  <c r="D411" i="43"/>
  <c r="D416" i="43"/>
  <c r="D423" i="43"/>
  <c r="D428" i="43"/>
  <c r="D434" i="43"/>
  <c r="D409" i="43"/>
  <c r="D421" i="43"/>
  <c r="D407" i="43"/>
  <c r="D414" i="43"/>
  <c r="D418" i="43"/>
  <c r="D425" i="43"/>
  <c r="D427" i="43"/>
  <c r="D429" i="43"/>
  <c r="D432" i="43"/>
  <c r="D433" i="43"/>
  <c r="D410" i="43"/>
  <c r="D412" i="43"/>
  <c r="D420" i="43"/>
  <c r="D422" i="43"/>
  <c r="D431" i="43"/>
  <c r="D405" i="43"/>
  <c r="D408" i="43"/>
  <c r="D413" i="43"/>
  <c r="D415" i="43"/>
  <c r="D424" i="43"/>
  <c r="B405" i="43"/>
  <c r="B424" i="43"/>
  <c r="B425" i="43"/>
  <c r="B413" i="43"/>
  <c r="B414" i="43"/>
  <c r="B408" i="43"/>
  <c r="B428" i="43"/>
  <c r="B430" i="43"/>
  <c r="B419" i="43"/>
  <c r="B415" i="43"/>
  <c r="B417" i="43"/>
  <c r="B409" i="43"/>
  <c r="B406" i="43"/>
  <c r="B429" i="43"/>
  <c r="B411" i="43"/>
  <c r="B416" i="43"/>
  <c r="B432" i="43"/>
  <c r="B404" i="43"/>
  <c r="B410" i="43"/>
  <c r="B407" i="43"/>
  <c r="B431" i="43"/>
  <c r="B427" i="43"/>
  <c r="B420" i="43"/>
  <c r="B434" i="43"/>
  <c r="B423" i="43"/>
  <c r="B418" i="43"/>
  <c r="B433" i="43"/>
  <c r="B426" i="43"/>
  <c r="B421" i="43"/>
  <c r="B422" i="43"/>
  <c r="B412" i="43"/>
  <c r="C406" i="43"/>
  <c r="C423" i="43"/>
  <c r="C428" i="43"/>
  <c r="C404" i="43"/>
  <c r="C425" i="43"/>
  <c r="C427" i="43"/>
  <c r="C432" i="43"/>
  <c r="C409" i="43"/>
  <c r="C421" i="43"/>
  <c r="C434" i="43"/>
  <c r="C407" i="43"/>
  <c r="C414" i="43"/>
  <c r="C418" i="43"/>
  <c r="C429" i="43"/>
  <c r="C410" i="43"/>
  <c r="C412" i="43"/>
  <c r="C420" i="43"/>
  <c r="C422" i="43"/>
  <c r="C431" i="43"/>
  <c r="C405" i="43"/>
  <c r="C408" i="43"/>
  <c r="C415" i="43"/>
  <c r="C424" i="43"/>
  <c r="C433" i="43"/>
  <c r="C426" i="43"/>
  <c r="C417" i="43"/>
  <c r="C419" i="43"/>
  <c r="C430" i="43"/>
  <c r="C413" i="43"/>
  <c r="C411" i="43"/>
  <c r="C416" i="43"/>
  <c r="H434" i="43"/>
  <c r="H418" i="43"/>
  <c r="H415" i="43"/>
  <c r="H410" i="43"/>
  <c r="H424" i="43"/>
  <c r="H405" i="43"/>
  <c r="H413" i="43"/>
  <c r="H427" i="43"/>
  <c r="H422" i="43"/>
  <c r="H421" i="43"/>
  <c r="H412" i="43"/>
  <c r="H407" i="43"/>
  <c r="H417" i="43"/>
  <c r="H414" i="43"/>
  <c r="H430" i="43"/>
  <c r="H423" i="43"/>
  <c r="H416" i="43"/>
  <c r="H404" i="43"/>
  <c r="H409" i="43"/>
  <c r="H433" i="43"/>
  <c r="H428" i="43"/>
  <c r="H426" i="43"/>
  <c r="H408" i="43"/>
  <c r="H420" i="43"/>
  <c r="H432" i="43"/>
  <c r="H425" i="43"/>
  <c r="H419" i="43"/>
  <c r="H431" i="43"/>
  <c r="H411" i="43"/>
  <c r="H429" i="43"/>
  <c r="H406" i="43"/>
  <c r="G410" i="43"/>
  <c r="G413" i="43"/>
  <c r="G431" i="43"/>
  <c r="G416" i="43"/>
  <c r="G434" i="43"/>
  <c r="G428" i="43"/>
  <c r="G429" i="43"/>
  <c r="G411" i="43"/>
  <c r="G427" i="43"/>
  <c r="G409" i="43"/>
  <c r="G405" i="43"/>
  <c r="G433" i="43"/>
  <c r="G422" i="43"/>
  <c r="G426" i="43"/>
  <c r="G408" i="43"/>
  <c r="G424" i="43"/>
  <c r="G406" i="43"/>
  <c r="G419" i="43"/>
  <c r="G423" i="43"/>
  <c r="G421" i="43"/>
  <c r="G415" i="43"/>
  <c r="G407" i="43"/>
  <c r="G420" i="43"/>
  <c r="G404" i="43"/>
  <c r="G418" i="43"/>
  <c r="G417" i="43"/>
  <c r="G425" i="43"/>
  <c r="G432" i="43"/>
  <c r="G414" i="43"/>
  <c r="G430" i="43"/>
  <c r="G412" i="43"/>
  <c r="E405" i="43"/>
  <c r="E408" i="43"/>
  <c r="E413" i="43"/>
  <c r="E415" i="43"/>
  <c r="E424" i="43"/>
  <c r="E433" i="43"/>
  <c r="E423" i="43"/>
  <c r="E404" i="43"/>
  <c r="E406" i="43"/>
  <c r="E417" i="43"/>
  <c r="E419" i="43"/>
  <c r="E426" i="43"/>
  <c r="E430" i="43"/>
  <c r="E411" i="43"/>
  <c r="E416" i="43"/>
  <c r="E434" i="43"/>
  <c r="E422" i="43"/>
  <c r="E418" i="43"/>
  <c r="E425" i="43"/>
  <c r="E427" i="43"/>
  <c r="E429" i="43"/>
  <c r="E431" i="43"/>
  <c r="E410" i="43"/>
  <c r="E420" i="43"/>
  <c r="E421" i="43"/>
  <c r="E409" i="43"/>
  <c r="E432" i="43"/>
  <c r="E412" i="43"/>
  <c r="E407" i="43"/>
  <c r="E428" i="43"/>
  <c r="E414" i="43"/>
  <c r="F415" i="43"/>
  <c r="F410" i="43"/>
  <c r="F420" i="43"/>
  <c r="F431" i="43"/>
  <c r="F424" i="43"/>
  <c r="F430" i="43"/>
  <c r="F419" i="43"/>
  <c r="F416" i="43"/>
  <c r="F423" i="43"/>
  <c r="F404" i="43"/>
  <c r="F434" i="43"/>
  <c r="F427" i="43"/>
  <c r="F421" i="43"/>
  <c r="F425" i="43"/>
  <c r="F426" i="43"/>
  <c r="F412" i="43"/>
  <c r="F407" i="43"/>
  <c r="F417" i="43"/>
  <c r="F414" i="43"/>
  <c r="F422" i="43"/>
  <c r="F411" i="43"/>
  <c r="F405" i="43"/>
  <c r="F432" i="43"/>
  <c r="F418" i="43"/>
  <c r="F409" i="43"/>
  <c r="F428" i="43"/>
  <c r="F429" i="43"/>
  <c r="F406" i="43"/>
  <c r="F408"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O3" i="8"/>
  <c r="AY3" i="8" s="1"/>
  <c r="Q33" i="8"/>
  <c r="BA33" i="8" s="1"/>
  <c r="AQ7" i="8" l="1"/>
  <c r="AQ4" i="8"/>
  <c r="N405" i="43" s="1"/>
  <c r="AP15" i="8"/>
  <c r="AP5" i="8"/>
  <c r="AO11" i="8"/>
  <c r="AO16"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0" i="43" s="1"/>
  <c r="AM21" i="8"/>
  <c r="AO8" i="8"/>
  <c r="AO7" i="8"/>
  <c r="L408" i="43" s="1"/>
  <c r="AN10" i="8"/>
  <c r="K411" i="43" s="1"/>
  <c r="AS9" i="8"/>
  <c r="P410" i="43" s="1"/>
  <c r="AQ21" i="8"/>
  <c r="T286" i="43" s="1"/>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M416" i="43"/>
  <c r="R16" i="43"/>
  <c r="N247" i="43"/>
  <c r="BE7" i="8"/>
  <c r="AS7" i="8"/>
  <c r="BB19" i="8"/>
  <c r="AP19" i="8"/>
  <c r="N408" i="43"/>
  <c r="F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BD28" i="8"/>
  <c r="BD6" i="8"/>
  <c r="AZ12" i="8"/>
  <c r="BD33" i="8"/>
  <c r="AQ5" i="8"/>
  <c r="AR26" i="8"/>
  <c r="S208" i="43"/>
  <c r="L421" i="43"/>
  <c r="Z364" i="43"/>
  <c r="P428" i="43"/>
  <c r="BE23" i="8"/>
  <c r="O364" i="43" l="1"/>
  <c r="S164" i="43"/>
  <c r="S165" i="43" s="1"/>
  <c r="N422" i="43"/>
  <c r="J281" i="43"/>
  <c r="J282" i="43" s="1"/>
  <c r="C280" i="43"/>
  <c r="T208" i="43"/>
  <c r="T241" i="43" s="1"/>
  <c r="Q208" i="43"/>
  <c r="Q241" i="43" s="1"/>
  <c r="I202" i="43"/>
  <c r="F208" i="43"/>
  <c r="AB16" i="43"/>
  <c r="AB49" i="43" s="1"/>
  <c r="AB50" i="43" s="1"/>
  <c r="P432" i="43"/>
  <c r="V169" i="43"/>
  <c r="V203" i="43" s="1"/>
  <c r="V204" i="43" s="1"/>
  <c r="P364" i="43"/>
  <c r="P397" i="43" s="1"/>
  <c r="P16" i="43"/>
  <c r="AD286" i="43"/>
  <c r="V398" i="43"/>
  <c r="V399" i="43" s="1"/>
  <c r="M426" i="43"/>
  <c r="U364" i="43"/>
  <c r="U397" i="43" s="1"/>
  <c r="X280" i="43"/>
  <c r="G130" i="43"/>
  <c r="L247" i="43"/>
  <c r="H247" i="43"/>
  <c r="P430" i="43"/>
  <c r="AB397" i="43"/>
  <c r="AB169" i="43"/>
  <c r="AB202" i="43" s="1"/>
  <c r="B364" i="43"/>
  <c r="Z359" i="43"/>
  <c r="Z360" i="43" s="1"/>
  <c r="J422" i="43"/>
  <c r="T130" i="43"/>
  <c r="M359" i="43"/>
  <c r="M360" i="43" s="1"/>
  <c r="G364" i="43"/>
  <c r="G397" i="43" s="1"/>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J203" i="43"/>
  <c r="J204" i="43" s="1"/>
  <c r="J202"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T242" i="43" l="1"/>
  <c r="T243" i="43" s="1"/>
  <c r="V202" i="43"/>
  <c r="U398" i="43"/>
  <c r="U399" i="43" s="1"/>
  <c r="Q242" i="43"/>
  <c r="Q243" i="43" s="1"/>
  <c r="AB203" i="43"/>
  <c r="AB204" i="43" s="1"/>
  <c r="P398" i="43"/>
  <c r="P399" i="43" s="1"/>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<sst xmlns="http://schemas.openxmlformats.org/spreadsheetml/2006/main" count="311" uniqueCount="164">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</sst>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-5.2026789142857141E-4</c:v>
                </c:pt>
                <c:pt idx="1">
                  <c:v>-5.2026033714285718E-4</c:v>
                </c:pt>
                <c:pt idx="2">
                  <c:v>-5.2026304571428574E-4</c:v>
                </c:pt>
                <c:pt idx="3">
                  <c:v>-5.2026376571428568E-4</c:v>
                </c:pt>
                <c:pt idx="4">
                  <c:v>-5.2026397714285716E-4</c:v>
                </c:pt>
                <c:pt idx="5">
                  <c:v>-5.2026404000000005E-4</c:v>
                </c:pt>
                <c:pt idx="6">
                  <c:v>-5.2026406285714288E-4</c:v>
                </c:pt>
                <c:pt idx="7">
                  <c:v>-5.2026407428571429E-4</c:v>
                </c:pt>
                <c:pt idx="8">
                  <c:v>-5.2026408571428581E-4</c:v>
                </c:pt>
                <c:pt idx="9">
                  <c:v>-5.2026417142857142E-4</c:v>
                </c:pt>
                <c:pt idx="10">
                  <c:v>-5.2026502857142854E-4</c:v>
                </c:pt>
                <c:pt idx="11">
                  <c:v>-5.202735885714286E-4</c:v>
                </c:pt>
                <c:pt idx="12">
                  <c:v>-5.2035845142857145E-4</c:v>
                </c:pt>
                <c:pt idx="13">
                  <c:v>-5.2117016571428566E-4</c:v>
                </c:pt>
                <c:pt idx="14">
                  <c:v>-5.2714065714285722E-4</c:v>
                </c:pt>
                <c:pt idx="15">
                  <c:v>-5.3738724571428579E-4</c:v>
                </c:pt>
                <c:pt idx="16">
                  <c:v>-5.4510416571428575E-4</c:v>
                </c:pt>
                <c:pt idx="17">
                  <c:v>-5.531446114285715E-4</c:v>
                </c:pt>
                <c:pt idx="18">
                  <c:v>-5.6241089714285724E-4</c:v>
                </c:pt>
                <c:pt idx="19">
                  <c:v>-5.7446554285714283E-4</c:v>
                </c:pt>
                <c:pt idx="20">
                  <c:v>-5.9813674285714286E-4</c:v>
                </c:pt>
                <c:pt idx="21">
                  <c:v>-6.6538377142857149E-4</c:v>
                </c:pt>
                <c:pt idx="22">
                  <c:v>-7.8451982857142871E-4</c:v>
                </c:pt>
                <c:pt idx="23">
                  <c:v>-9.1970068571428578E-4</c:v>
                </c:pt>
                <c:pt idx="24">
                  <c:v>-1.0495565142857144E-3</c:v>
                </c:pt>
                <c:pt idx="25">
                  <c:v>-1.1750555999999999E-3</c:v>
                </c:pt>
                <c:pt idx="26">
                  <c:v>-1.2959366857142858E-3</c:v>
                </c:pt>
                <c:pt idx="27">
                  <c:v>-1.4036457142857144E-3</c:v>
                </c:pt>
                <c:pt idx="28">
                  <c:v>-1.5006965714285713E-3</c:v>
                </c:pt>
                <c:pt idx="29">
                  <c:v>-1.597299942857143E-3</c:v>
                </c:pt>
                <c:pt idx="30">
                  <c:v>-1.6886448000000001E-3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-5.2482441714285716E-4</c:v>
                </c:pt>
                <c:pt idx="1">
                  <c:v>-5.2481664571428575E-4</c:v>
                </c:pt>
                <c:pt idx="2">
                  <c:v>-5.2481937142857143E-4</c:v>
                </c:pt>
                <c:pt idx="3">
                  <c:v>-5.2482014857142855E-4</c:v>
                </c:pt>
                <c:pt idx="4">
                  <c:v>-5.2482096571428573E-4</c:v>
                </c:pt>
                <c:pt idx="5">
                  <c:v>-5.248271028571429E-4</c:v>
                </c:pt>
                <c:pt idx="6">
                  <c:v>-5.2488745714285713E-4</c:v>
                </c:pt>
                <c:pt idx="7">
                  <c:v>-5.2546980000000004E-4</c:v>
                </c:pt>
                <c:pt idx="8">
                  <c:v>-5.3013404571428579E-4</c:v>
                </c:pt>
                <c:pt idx="9">
                  <c:v>-5.4088885714285724E-4</c:v>
                </c:pt>
                <c:pt idx="10">
                  <c:v>-5.4876942857142862E-4</c:v>
                </c:pt>
                <c:pt idx="11">
                  <c:v>-5.5665492571428568E-4</c:v>
                </c:pt>
                <c:pt idx="12">
                  <c:v>-5.6579005714285722E-4</c:v>
                </c:pt>
                <c:pt idx="13">
                  <c:v>-5.7584177142857142E-4</c:v>
                </c:pt>
                <c:pt idx="14">
                  <c:v>-5.8768102857142859E-4</c:v>
                </c:pt>
                <c:pt idx="15">
                  <c:v>-6.0114314285714284E-4</c:v>
                </c:pt>
                <c:pt idx="16">
                  <c:v>-6.1650040000000011E-4</c:v>
                </c:pt>
                <c:pt idx="17">
                  <c:v>-6.3240502857142859E-4</c:v>
                </c:pt>
                <c:pt idx="18">
                  <c:v>-6.5889742857142865E-4</c:v>
                </c:pt>
                <c:pt idx="19">
                  <c:v>-7.3297771428571445E-4</c:v>
                </c:pt>
                <c:pt idx="20">
                  <c:v>-8.7946508571428578E-4</c:v>
                </c:pt>
                <c:pt idx="21">
                  <c:v>-1.0596601142857144E-3</c:v>
                </c:pt>
                <c:pt idx="22">
                  <c:v>-1.2344853714285715E-3</c:v>
                </c:pt>
                <c:pt idx="23">
                  <c:v>-1.3975460000000002E-3</c:v>
                </c:pt>
                <c:pt idx="24">
                  <c:v>-1.5444489142857143E-3</c:v>
                </c:pt>
                <c:pt idx="25">
                  <c:v>-1.6846166285714287E-3</c:v>
                </c:pt>
                <c:pt idx="26">
                  <c:v>-1.8263416571428573E-3</c:v>
                </c:pt>
                <c:pt idx="27">
                  <c:v>-1.9920576000000004E-3</c:v>
                </c:pt>
                <c:pt idx="28">
                  <c:v>-2.1900582857142855E-3</c:v>
                </c:pt>
                <c:pt idx="29">
                  <c:v>-2.4504237714285718E-3</c:v>
                </c:pt>
                <c:pt idx="30">
                  <c:v>-2.8145985714285717E-3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-5.2781071428571432E-4</c:v>
                </c:pt>
                <c:pt idx="1">
                  <c:v>-5.2780317142857151E-4</c:v>
                </c:pt>
                <c:pt idx="2">
                  <c:v>-5.2780959428571435E-4</c:v>
                </c:pt>
                <c:pt idx="3">
                  <c:v>-5.2784711428571437E-4</c:v>
                </c:pt>
                <c:pt idx="4">
                  <c:v>-5.2820610285714297E-4</c:v>
                </c:pt>
                <c:pt idx="5">
                  <c:v>-5.3132425714285715E-4</c:v>
                </c:pt>
                <c:pt idx="6">
                  <c:v>-5.4216279428571435E-4</c:v>
                </c:pt>
                <c:pt idx="7">
                  <c:v>-5.5038337142857149E-4</c:v>
                </c:pt>
                <c:pt idx="8">
                  <c:v>-5.5811092000000002E-4</c:v>
                </c:pt>
                <c:pt idx="9">
                  <c:v>-5.6713196571428579E-4</c:v>
                </c:pt>
                <c:pt idx="10">
                  <c:v>-5.7693480000000003E-4</c:v>
                </c:pt>
                <c:pt idx="11">
                  <c:v>-5.8849794285714295E-4</c:v>
                </c:pt>
                <c:pt idx="12">
                  <c:v>-6.0169605714285716E-4</c:v>
                </c:pt>
                <c:pt idx="13">
                  <c:v>-6.1693605714285718E-4</c:v>
                </c:pt>
                <c:pt idx="14">
                  <c:v>-6.3134834285714285E-4</c:v>
                </c:pt>
                <c:pt idx="15">
                  <c:v>-6.481961714285714E-4</c:v>
                </c:pt>
                <c:pt idx="16">
                  <c:v>-6.7047302857142863E-4</c:v>
                </c:pt>
                <c:pt idx="17">
                  <c:v>-7.0504165714285728E-4</c:v>
                </c:pt>
                <c:pt idx="18">
                  <c:v>-7.793978857142858E-4</c:v>
                </c:pt>
                <c:pt idx="19">
                  <c:v>-9.2856325714285712E-4</c:v>
                </c:pt>
                <c:pt idx="20">
                  <c:v>-1.1236970857142858E-3</c:v>
                </c:pt>
                <c:pt idx="21">
                  <c:v>-1.3216305714285716E-3</c:v>
                </c:pt>
                <c:pt idx="22">
                  <c:v>-1.5099526857142859E-3</c:v>
                </c:pt>
                <c:pt idx="23">
                  <c:v>-1.6873612000000001E-3</c:v>
                </c:pt>
                <c:pt idx="24">
                  <c:v>-1.8756650285714287E-3</c:v>
                </c:pt>
                <c:pt idx="25">
                  <c:v>-2.0839046857142858E-3</c:v>
                </c:pt>
                <c:pt idx="26">
                  <c:v>-2.3419146285714289E-3</c:v>
                </c:pt>
                <c:pt idx="27">
                  <c:v>-2.686055542857143E-3</c:v>
                </c:pt>
                <c:pt idx="28">
                  <c:v>-3.2099524E-3</c:v>
                </c:pt>
                <c:pt idx="29">
                  <c:v>-4.0818608571428572E-3</c:v>
                </c:pt>
                <c:pt idx="30">
                  <c:v>-5.5902430857142863E-3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-5.3091504571428573E-4</c:v>
                </c:pt>
                <c:pt idx="1">
                  <c:v>-5.3097552000000003E-4</c:v>
                </c:pt>
                <c:pt idx="2">
                  <c:v>-5.316390914285714E-4</c:v>
                </c:pt>
                <c:pt idx="3">
                  <c:v>-5.367964742857143E-4</c:v>
                </c:pt>
                <c:pt idx="4">
                  <c:v>-5.4753407428571432E-4</c:v>
                </c:pt>
                <c:pt idx="5">
                  <c:v>-5.5545164000000004E-4</c:v>
                </c:pt>
                <c:pt idx="6">
                  <c:v>-5.6348080000000005E-4</c:v>
                </c:pt>
                <c:pt idx="7">
                  <c:v>-5.7273514285714289E-4</c:v>
                </c:pt>
                <c:pt idx="8">
                  <c:v>-5.8296645714285718E-4</c:v>
                </c:pt>
                <c:pt idx="9">
                  <c:v>-5.9499394285714288E-4</c:v>
                </c:pt>
                <c:pt idx="10">
                  <c:v>-6.0864839999999996E-4</c:v>
                </c:pt>
                <c:pt idx="11">
                  <c:v>-6.2406720000000003E-4</c:v>
                </c:pt>
                <c:pt idx="12">
                  <c:v>-6.3871062857142865E-4</c:v>
                </c:pt>
                <c:pt idx="13">
                  <c:v>-6.5660079999999997E-4</c:v>
                </c:pt>
                <c:pt idx="14">
                  <c:v>-6.7950274285714289E-4</c:v>
                </c:pt>
                <c:pt idx="15">
                  <c:v>-7.0670925714285716E-4</c:v>
                </c:pt>
                <c:pt idx="16">
                  <c:v>-7.3743742857142864E-4</c:v>
                </c:pt>
                <c:pt idx="17">
                  <c:v>-7.9729805714285717E-4</c:v>
                </c:pt>
                <c:pt idx="18">
                  <c:v>-9.3838194285714291E-4</c:v>
                </c:pt>
                <c:pt idx="19">
                  <c:v>-1.1411583428571428E-3</c:v>
                </c:pt>
                <c:pt idx="20">
                  <c:v>-1.363100342857143E-3</c:v>
                </c:pt>
                <c:pt idx="21">
                  <c:v>-1.5828392571428573E-3</c:v>
                </c:pt>
                <c:pt idx="22">
                  <c:v>-1.8098891428571431E-3</c:v>
                </c:pt>
                <c:pt idx="23">
                  <c:v>-2.0538577714285717E-3</c:v>
                </c:pt>
                <c:pt idx="24">
                  <c:v>-2.3467463428571431E-3</c:v>
                </c:pt>
                <c:pt idx="25">
                  <c:v>-2.7357348571428572E-3</c:v>
                </c:pt>
                <c:pt idx="26">
                  <c:v>-3.3312539428571432E-3</c:v>
                </c:pt>
                <c:pt idx="27">
                  <c:v>-4.3332200000000005E-3</c:v>
                </c:pt>
                <c:pt idx="28">
                  <c:v>-6.0493674285714292E-3</c:v>
                </c:pt>
                <c:pt idx="29">
                  <c:v>-8.7255600000000003E-3</c:v>
                </c:pt>
                <c:pt idx="30">
                  <c:v>-1.2177281142857144E-2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-5.3875919428571434E-4</c:v>
                </c:pt>
                <c:pt idx="1">
                  <c:v>-5.5183846857142854E-4</c:v>
                </c:pt>
                <c:pt idx="2">
                  <c:v>-5.5994022285714288E-4</c:v>
                </c:pt>
                <c:pt idx="3">
                  <c:v>-5.6813518285714294E-4</c:v>
                </c:pt>
                <c:pt idx="4">
                  <c:v>-5.7749040000000008E-4</c:v>
                </c:pt>
                <c:pt idx="5">
                  <c:v>-5.8790091428571434E-4</c:v>
                </c:pt>
                <c:pt idx="6">
                  <c:v>-6.0010474285714284E-4</c:v>
                </c:pt>
                <c:pt idx="7">
                  <c:v>-6.139406857142858E-4</c:v>
                </c:pt>
                <c:pt idx="8">
                  <c:v>-6.2946365714285719E-4</c:v>
                </c:pt>
                <c:pt idx="9">
                  <c:v>-6.4424862857142857E-4</c:v>
                </c:pt>
                <c:pt idx="10">
                  <c:v>-6.6256257142857146E-4</c:v>
                </c:pt>
                <c:pt idx="11">
                  <c:v>-6.858794285714287E-4</c:v>
                </c:pt>
                <c:pt idx="12">
                  <c:v>-7.1274022857142861E-4</c:v>
                </c:pt>
                <c:pt idx="13">
                  <c:v>-7.3821708571428582E-4</c:v>
                </c:pt>
                <c:pt idx="14">
                  <c:v>-7.6294337142857147E-4</c:v>
                </c:pt>
                <c:pt idx="15">
                  <c:v>-7.9293365714285728E-4</c:v>
                </c:pt>
                <c:pt idx="16">
                  <c:v>-8.4745777142857144E-4</c:v>
                </c:pt>
                <c:pt idx="17">
                  <c:v>-9.8356862857142862E-4</c:v>
                </c:pt>
                <c:pt idx="18">
                  <c:v>-1.209907542857143E-3</c:v>
                </c:pt>
                <c:pt idx="19">
                  <c:v>-1.4887029142857144E-3</c:v>
                </c:pt>
                <c:pt idx="20">
                  <c:v>-1.7958230857142859E-3</c:v>
                </c:pt>
                <c:pt idx="21">
                  <c:v>-2.1445940000000001E-3</c:v>
                </c:pt>
                <c:pt idx="22">
                  <c:v>-2.5784199428571428E-3</c:v>
                </c:pt>
                <c:pt idx="23">
                  <c:v>-3.2087566285714285E-3</c:v>
                </c:pt>
                <c:pt idx="24">
                  <c:v>-4.2453798857142863E-3</c:v>
                </c:pt>
                <c:pt idx="25">
                  <c:v>-5.9978668571428568E-3</c:v>
                </c:pt>
                <c:pt idx="26">
                  <c:v>-8.7140394285714282E-3</c:v>
                </c:pt>
                <c:pt idx="27">
                  <c:v>-1.2172076571428572E-2</c:v>
                </c:pt>
                <c:pt idx="28">
                  <c:v>-1.5275055428571429E-2</c:v>
                </c:pt>
                <c:pt idx="29">
                  <c:v>-1.7486284571428572E-2</c:v>
                </c:pt>
                <c:pt idx="30">
                  <c:v>-1.8844651428571429E-2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-6.2079731428571429E-4</c:v>
                </c:pt>
                <c:pt idx="1">
                  <c:v>-6.3928611428571433E-4</c:v>
                </c:pt>
                <c:pt idx="2">
                  <c:v>-6.558840571428572E-4</c:v>
                </c:pt>
                <c:pt idx="3">
                  <c:v>-6.7472948571428574E-4</c:v>
                </c:pt>
                <c:pt idx="4">
                  <c:v>-7.0008291428571429E-4</c:v>
                </c:pt>
                <c:pt idx="5">
                  <c:v>-7.2712519999999998E-4</c:v>
                </c:pt>
                <c:pt idx="6">
                  <c:v>-7.5195502857142865E-4</c:v>
                </c:pt>
                <c:pt idx="7">
                  <c:v>-7.768190857142857E-4</c:v>
                </c:pt>
                <c:pt idx="8">
                  <c:v>-8.0414577142857145E-4</c:v>
                </c:pt>
                <c:pt idx="9">
                  <c:v>-8.3242857142857153E-4</c:v>
                </c:pt>
                <c:pt idx="10">
                  <c:v>-8.6485817142857157E-4</c:v>
                </c:pt>
                <c:pt idx="11">
                  <c:v>-9.0430200000000006E-4</c:v>
                </c:pt>
                <c:pt idx="12">
                  <c:v>-9.539845714285714E-4</c:v>
                </c:pt>
                <c:pt idx="13">
                  <c:v>-1.0185461142857143E-3</c:v>
                </c:pt>
                <c:pt idx="14">
                  <c:v>-1.1103050857142859E-3</c:v>
                </c:pt>
                <c:pt idx="15">
                  <c:v>-1.2787949142857144E-3</c:v>
                </c:pt>
                <c:pt idx="16">
                  <c:v>-1.6690684000000003E-3</c:v>
                </c:pt>
                <c:pt idx="17">
                  <c:v>-2.4705964000000004E-3</c:v>
                </c:pt>
                <c:pt idx="18">
                  <c:v>-3.9668505142857148E-3</c:v>
                </c:pt>
                <c:pt idx="19">
                  <c:v>-6.4758148571428583E-3</c:v>
                </c:pt>
                <c:pt idx="20">
                  <c:v>-9.8433360000000011E-3</c:v>
                </c:pt>
                <c:pt idx="21">
                  <c:v>-1.3177162285714288E-2</c:v>
                </c:pt>
                <c:pt idx="22">
                  <c:v>-1.5779164571428573E-2</c:v>
                </c:pt>
                <c:pt idx="23">
                  <c:v>-1.7653537714285714E-2</c:v>
                </c:pt>
                <c:pt idx="24">
                  <c:v>-1.9022550285714285E-2</c:v>
                </c:pt>
                <c:pt idx="25">
                  <c:v>-1.9828010857142857E-2</c:v>
                </c:pt>
                <c:pt idx="26">
                  <c:v>-2.0948164000000002E-2</c:v>
                </c:pt>
                <c:pt idx="27">
                  <c:v>-2.1848025714285717E-2</c:v>
                </c:pt>
                <c:pt idx="28">
                  <c:v>-2.1887568571428574E-2</c:v>
                </c:pt>
                <c:pt idx="29">
                  <c:v>-2.213290285714286E-2</c:v>
                </c:pt>
                <c:pt idx="30">
                  <c:v>-2.2144656000000002E-2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-7.5780891428571431E-4</c:v>
                </c:pt>
                <c:pt idx="1">
                  <c:v>-7.9098565714285718E-4</c:v>
                </c:pt>
                <c:pt idx="2">
                  <c:v>-8.179954857142857E-4</c:v>
                </c:pt>
                <c:pt idx="3">
                  <c:v>-8.486698857142858E-4</c:v>
                </c:pt>
                <c:pt idx="4">
                  <c:v>-8.8110862857142865E-4</c:v>
                </c:pt>
                <c:pt idx="5">
                  <c:v>-9.2443062857142859E-4</c:v>
                </c:pt>
                <c:pt idx="6">
                  <c:v>-9.7719491428571443E-4</c:v>
                </c:pt>
                <c:pt idx="7">
                  <c:v>-1.0469790285714286E-3</c:v>
                </c:pt>
                <c:pt idx="8">
                  <c:v>-1.1422493142857143E-3</c:v>
                </c:pt>
                <c:pt idx="9">
                  <c:v>-1.2866492E-3</c:v>
                </c:pt>
                <c:pt idx="10">
                  <c:v>-1.5242370285714288E-3</c:v>
                </c:pt>
                <c:pt idx="11">
                  <c:v>-1.9320319428571429E-3</c:v>
                </c:pt>
                <c:pt idx="12">
                  <c:v>-2.5970217714285713E-3</c:v>
                </c:pt>
                <c:pt idx="13">
                  <c:v>-3.5571900571428573E-3</c:v>
                </c:pt>
                <c:pt idx="14">
                  <c:v>-4.6141837142857148E-3</c:v>
                </c:pt>
                <c:pt idx="15">
                  <c:v>-5.6234140000000002E-3</c:v>
                </c:pt>
                <c:pt idx="16">
                  <c:v>-6.7562577142857147E-3</c:v>
                </c:pt>
                <c:pt idx="17">
                  <c:v>-8.7672800000000006E-3</c:v>
                </c:pt>
                <c:pt idx="18">
                  <c:v>-1.1606206285714286E-2</c:v>
                </c:pt>
                <c:pt idx="19">
                  <c:v>-1.4358287428571431E-2</c:v>
                </c:pt>
                <c:pt idx="20">
                  <c:v>-1.7147691428571431E-2</c:v>
                </c:pt>
                <c:pt idx="21">
                  <c:v>-1.9091066285714286E-2</c:v>
                </c:pt>
                <c:pt idx="22">
                  <c:v>-2.0249506285714286E-2</c:v>
                </c:pt>
                <c:pt idx="23">
                  <c:v>-2.0991990857142859E-2</c:v>
                </c:pt>
                <c:pt idx="24">
                  <c:v>-2.1482561714285715E-2</c:v>
                </c:pt>
                <c:pt idx="25">
                  <c:v>-2.1599005142857144E-2</c:v>
                </c:pt>
                <c:pt idx="26">
                  <c:v>-2.1741901142857144E-2</c:v>
                </c:pt>
                <c:pt idx="27">
                  <c:v>-2.2120389142857143E-2</c:v>
                </c:pt>
                <c:pt idx="28">
                  <c:v>-2.2129644E-2</c:v>
                </c:pt>
                <c:pt idx="29">
                  <c:v>-2.2296514285714285E-2</c:v>
                </c:pt>
                <c:pt idx="30">
                  <c:v>-2.2364841142857143E-2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44230072"/>
        <c:axId val="5442386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2300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8696"/>
        <c:crossesAt val="-8.0000000000000019E-3"/>
        <c:crossBetween val="midCat"/>
      </c:valAx>
      <c:valAx>
        <c:axId val="544238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0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19220.867104717185</c:v>
                </c:pt>
                <c:pt idx="1">
                  <c:v>19221.146195609606</c:v>
                </c:pt>
                <c:pt idx="2">
                  <c:v>19221.046127292553</c:v>
                </c:pt>
                <c:pt idx="3">
                  <c:v>19221.019527029144</c:v>
                </c:pt>
                <c:pt idx="4">
                  <c:v>19221.011715854664</c:v>
                </c:pt>
                <c:pt idx="5">
                  <c:v>19221.009393614826</c:v>
                </c:pt>
                <c:pt idx="6">
                  <c:v>19221.008549164115</c:v>
                </c:pt>
                <c:pt idx="7">
                  <c:v>19221.008126938788</c:v>
                </c:pt>
                <c:pt idx="8">
                  <c:v>19221.007704713476</c:v>
                </c:pt>
                <c:pt idx="9">
                  <c:v>19221.004538024255</c:v>
                </c:pt>
                <c:pt idx="10">
                  <c:v>19220.972871189388</c:v>
                </c:pt>
                <c:pt idx="11">
                  <c:v>19220.656630789352</c:v>
                </c:pt>
                <c:pt idx="12">
                  <c:v>19217.522022648805</c:v>
                </c:pt>
                <c:pt idx="13">
                  <c:v>19187.591036210943</c:v>
                </c:pt>
                <c:pt idx="14">
                  <c:v>18970.268873208846</c:v>
                </c:pt>
                <c:pt idx="15">
                  <c:v>18608.554780097496</c:v>
                </c:pt>
                <c:pt idx="16">
                  <c:v>18345.117555460878</c:v>
                </c:pt>
                <c:pt idx="17">
                  <c:v>18078.455061098099</c:v>
                </c:pt>
                <c:pt idx="18">
                  <c:v>17780.594314231279</c:v>
                </c:pt>
                <c:pt idx="19">
                  <c:v>17407.484442433797</c:v>
                </c:pt>
                <c:pt idx="20">
                  <c:v>16718.585038318521</c:v>
                </c:pt>
                <c:pt idx="21">
                  <c:v>15028.920796385088</c:v>
                </c:pt>
                <c:pt idx="22">
                  <c:v>12746.65041699392</c:v>
                </c:pt>
                <c:pt idx="23">
                  <c:v>10873.102690179574</c:v>
                </c:pt>
                <c:pt idx="24">
                  <c:v>9527.8337696808976</c:v>
                </c:pt>
                <c:pt idx="25">
                  <c:v>8510.2356007664657</c:v>
                </c:pt>
                <c:pt idx="26">
                  <c:v>7716.426358042535</c:v>
                </c:pt>
                <c:pt idx="27">
                  <c:v>7124.3048713961189</c:v>
                </c:pt>
                <c:pt idx="28">
                  <c:v>6663.5722306479402</c:v>
                </c:pt>
                <c:pt idx="29">
                  <c:v>6260.5649269057576</c:v>
                </c:pt>
                <c:pt idx="30">
                  <c:v>5921.9085031973564</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19053.991531948868</c:v>
                </c:pt>
                <c:pt idx="1">
                  <c:v>19054.273681410777</c:v>
                </c:pt>
                <c:pt idx="2">
                  <c:v>19054.174720684852</c:v>
                </c:pt>
                <c:pt idx="3">
                  <c:v>19054.146505655717</c:v>
                </c:pt>
                <c:pt idx="4">
                  <c:v>19054.116838472557</c:v>
                </c:pt>
                <c:pt idx="5">
                  <c:v>19053.894026357066</c:v>
                </c:pt>
                <c:pt idx="6">
                  <c:v>19051.703110669547</c:v>
                </c:pt>
                <c:pt idx="7">
                  <c:v>19030.589388771721</c:v>
                </c:pt>
                <c:pt idx="8">
                  <c:v>18863.153726575543</c:v>
                </c:pt>
                <c:pt idx="9">
                  <c:v>18488.086541148401</c:v>
                </c:pt>
                <c:pt idx="10">
                  <c:v>18222.589450786771</c:v>
                </c:pt>
                <c:pt idx="11">
                  <c:v>17964.450754061414</c:v>
                </c:pt>
                <c:pt idx="12">
                  <c:v>17674.400378292765</c:v>
                </c:pt>
                <c:pt idx="13">
                  <c:v>17365.881560123013</c:v>
                </c:pt>
                <c:pt idx="14">
                  <c:v>17016.033381762583</c:v>
                </c:pt>
                <c:pt idx="15">
                  <c:v>16634.973082237128</c:v>
                </c:pt>
                <c:pt idx="16">
                  <c:v>16220.589637898043</c:v>
                </c:pt>
                <c:pt idx="17">
                  <c:v>15812.650988227435</c:v>
                </c:pt>
                <c:pt idx="18">
                  <c:v>15176.869063947086</c:v>
                </c:pt>
                <c:pt idx="19">
                  <c:v>13642.979595559715</c:v>
                </c:pt>
                <c:pt idx="20">
                  <c:v>11370.548032476103</c:v>
                </c:pt>
                <c:pt idx="21">
                  <c:v>9436.9882051668101</c:v>
                </c:pt>
                <c:pt idx="22">
                  <c:v>8100.5415142569063</c:v>
                </c:pt>
                <c:pt idx="23">
                  <c:v>7155.399536043893</c:v>
                </c:pt>
                <c:pt idx="24">
                  <c:v>6474.8014048913092</c:v>
                </c:pt>
                <c:pt idx="25">
                  <c:v>5936.0686760406115</c:v>
                </c:pt>
                <c:pt idx="26">
                  <c:v>5475.4267696242969</c:v>
                </c:pt>
                <c:pt idx="27">
                  <c:v>5019.9351665333361</c:v>
                </c:pt>
                <c:pt idx="28">
                  <c:v>4566.0885215840317</c:v>
                </c:pt>
                <c:pt idx="29">
                  <c:v>4080.9267836028635</c:v>
                </c:pt>
                <c:pt idx="30">
                  <c:v>3552.9045248269349</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18946.186065080146</c:v>
                </c:pt>
                <c:pt idx="1">
                  <c:v>18946.45682581564</c:v>
                </c:pt>
                <c:pt idx="2">
                  <c:v>18946.226268457696</c:v>
                </c:pt>
                <c:pt idx="3">
                  <c:v>18944.879548185188</c:v>
                </c:pt>
                <c:pt idx="4">
                  <c:v>18932.003901334268</c:v>
                </c:pt>
                <c:pt idx="5">
                  <c:v>18820.898661344763</c:v>
                </c:pt>
                <c:pt idx="6">
                  <c:v>18444.644496815286</c:v>
                </c:pt>
                <c:pt idx="7">
                  <c:v>18169.153573888081</c:v>
                </c:pt>
                <c:pt idx="8">
                  <c:v>17917.585271400887</c:v>
                </c:pt>
                <c:pt idx="9">
                  <c:v>17632.580430209568</c:v>
                </c:pt>
                <c:pt idx="10">
                  <c:v>17332.981127156829</c:v>
                </c:pt>
                <c:pt idx="11">
                  <c:v>16992.41283911758</c:v>
                </c:pt>
                <c:pt idx="12">
                  <c:v>16619.686769238309</c:v>
                </c:pt>
                <c:pt idx="13">
                  <c:v>16209.135264863289</c:v>
                </c:pt>
                <c:pt idx="14">
                  <c:v>15839.116571915563</c:v>
                </c:pt>
                <c:pt idx="15">
                  <c:v>15427.42836317718</c:v>
                </c:pt>
                <c:pt idx="16">
                  <c:v>14914.843064316723</c:v>
                </c:pt>
                <c:pt idx="17">
                  <c:v>14183.559082912139</c:v>
                </c:pt>
                <c:pt idx="18">
                  <c:v>12830.417150587233</c:v>
                </c:pt>
                <c:pt idx="19">
                  <c:v>10769.325539295516</c:v>
                </c:pt>
                <c:pt idx="20">
                  <c:v>8899.1954567929042</c:v>
                </c:pt>
                <c:pt idx="21">
                  <c:v>7566.4109291833647</c:v>
                </c:pt>
                <c:pt idx="22">
                  <c:v>6622.7240724893854</c:v>
                </c:pt>
                <c:pt idx="23">
                  <c:v>5926.4133844016324</c:v>
                </c:pt>
                <c:pt idx="24">
                  <c:v>5331.4423671994064</c:v>
                </c:pt>
                <c:pt idx="25">
                  <c:v>4798.683965035746</c:v>
                </c:pt>
                <c:pt idx="26">
                  <c:v>4270.0104768977053</c:v>
                </c:pt>
                <c:pt idx="27">
                  <c:v>3722.9312054221532</c:v>
                </c:pt>
                <c:pt idx="28">
                  <c:v>3115.3109933966621</c:v>
                </c:pt>
                <c:pt idx="29">
                  <c:v>2449.8630281580959</c:v>
                </c:pt>
                <c:pt idx="30">
                  <c:v>1788.8309768773254</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18835.405175881086</c:v>
                </c:pt>
                <c:pt idx="1">
                  <c:v>18833.259958952531</c:v>
                </c:pt>
                <c:pt idx="2">
                  <c:v>18809.75300956317</c:v>
                </c:pt>
                <c:pt idx="3">
                  <c:v>18629.034427445622</c:v>
                </c:pt>
                <c:pt idx="4">
                  <c:v>18263.70352027041</c:v>
                </c:pt>
                <c:pt idx="5">
                  <c:v>18003.367493882994</c:v>
                </c:pt>
                <c:pt idx="6">
                  <c:v>17746.833609947313</c:v>
                </c:pt>
                <c:pt idx="7">
                  <c:v>17460.077532721432</c:v>
                </c:pt>
                <c:pt idx="8">
                  <c:v>17153.645595683865</c:v>
                </c:pt>
                <c:pt idx="9">
                  <c:v>16806.893784464937</c:v>
                </c:pt>
                <c:pt idx="10">
                  <c:v>16429.846854111503</c:v>
                </c:pt>
                <c:pt idx="11">
                  <c:v>16023.915373216218</c:v>
                </c:pt>
                <c:pt idx="12">
                  <c:v>15656.542341195242</c:v>
                </c:pt>
                <c:pt idx="13">
                  <c:v>15229.954029906758</c:v>
                </c:pt>
                <c:pt idx="14">
                  <c:v>14716.644053491889</c:v>
                </c:pt>
                <c:pt idx="15">
                  <c:v>14150.090576751223</c:v>
                </c:pt>
                <c:pt idx="16">
                  <c:v>13560.472539849385</c:v>
                </c:pt>
                <c:pt idx="17">
                  <c:v>12542.360928151909</c:v>
                </c:pt>
                <c:pt idx="18">
                  <c:v>10656.641547846128</c:v>
                </c:pt>
                <c:pt idx="19">
                  <c:v>8763.0257996999644</c:v>
                </c:pt>
                <c:pt idx="20">
                  <c:v>7336.2170675119769</c:v>
                </c:pt>
                <c:pt idx="21">
                  <c:v>6317.7609191035253</c:v>
                </c:pt>
                <c:pt idx="22">
                  <c:v>5525.2002806170285</c:v>
                </c:pt>
                <c:pt idx="23">
                  <c:v>4868.8863168185435</c:v>
                </c:pt>
                <c:pt idx="24">
                  <c:v>4261.2189555284822</c:v>
                </c:pt>
                <c:pt idx="25">
                  <c:v>3655.3249939008292</c:v>
                </c:pt>
                <c:pt idx="26">
                  <c:v>3001.8726196007801</c:v>
                </c:pt>
                <c:pt idx="27">
                  <c:v>2307.7526643004508</c:v>
                </c:pt>
                <c:pt idx="28">
                  <c:v>1653.0654019740243</c:v>
                </c:pt>
                <c:pt idx="29">
                  <c:v>1146.0582472643589</c:v>
                </c:pt>
                <c:pt idx="30">
                  <c:v>821.201373499184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18561.168154648341</c:v>
                </c:pt>
                <c:pt idx="1">
                  <c:v>18121.244837982198</c:v>
                </c:pt>
                <c:pt idx="2">
                  <c:v>17859.049219529443</c:v>
                </c:pt>
                <c:pt idx="3">
                  <c:v>17601.444694395013</c:v>
                </c:pt>
                <c:pt idx="4">
                  <c:v>17316.305171479904</c:v>
                </c:pt>
                <c:pt idx="5">
                  <c:v>17009.669073486239</c:v>
                </c:pt>
                <c:pt idx="6">
                  <c:v>16663.757650688218</c:v>
                </c:pt>
                <c:pt idx="7">
                  <c:v>16288.218443065973</c:v>
                </c:pt>
                <c:pt idx="8">
                  <c:v>15886.540686701621</c:v>
                </c:pt>
                <c:pt idx="9">
                  <c:v>15521.957760584179</c:v>
                </c:pt>
                <c:pt idx="10">
                  <c:v>15092.91413554903</c:v>
                </c:pt>
                <c:pt idx="11">
                  <c:v>14579.822026195356</c:v>
                </c:pt>
                <c:pt idx="12">
                  <c:v>14030.357203273577</c:v>
                </c:pt>
                <c:pt idx="13">
                  <c:v>13546.150845755861</c:v>
                </c:pt>
                <c:pt idx="14">
                  <c:v>13107.132684402939</c:v>
                </c:pt>
                <c:pt idx="15">
                  <c:v>12611.395556133355</c:v>
                </c:pt>
                <c:pt idx="16">
                  <c:v>11799.997990628914</c:v>
                </c:pt>
                <c:pt idx="17">
                  <c:v>10167.058718133751</c:v>
                </c:pt>
                <c:pt idx="18">
                  <c:v>8265.0943529002579</c:v>
                </c:pt>
                <c:pt idx="19">
                  <c:v>6717.2569516988151</c:v>
                </c:pt>
                <c:pt idx="20">
                  <c:v>5568.477251211255</c:v>
                </c:pt>
                <c:pt idx="21">
                  <c:v>4662.8872411281573</c:v>
                </c:pt>
                <c:pt idx="22">
                  <c:v>3878.344188153857</c:v>
                </c:pt>
                <c:pt idx="23">
                  <c:v>3116.4719414859778</c:v>
                </c:pt>
                <c:pt idx="24">
                  <c:v>2355.5018088369488</c:v>
                </c:pt>
                <c:pt idx="25">
                  <c:v>1667.2594170860937</c:v>
                </c:pt>
                <c:pt idx="26">
                  <c:v>1147.5734166650875</c:v>
                </c:pt>
                <c:pt idx="27">
                  <c:v>821.55250513892827</c:v>
                </c:pt>
                <c:pt idx="28">
                  <c:v>654.66210887165539</c:v>
                </c:pt>
                <c:pt idx="29">
                  <c:v>571.87677343072266</c:v>
                </c:pt>
                <c:pt idx="30">
                  <c:v>530.65454874046873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16108.317110723878</c:v>
                </c:pt>
                <c:pt idx="1">
                  <c:v>15642.448313104966</c:v>
                </c:pt>
                <c:pt idx="2">
                  <c:v>15246.597155542559</c:v>
                </c:pt>
                <c:pt idx="3">
                  <c:v>14820.754408581606</c:v>
                </c:pt>
                <c:pt idx="4">
                  <c:v>14284.022357841532</c:v>
                </c:pt>
                <c:pt idx="5">
                  <c:v>13752.789753401477</c:v>
                </c:pt>
                <c:pt idx="6">
                  <c:v>13298.667633087174</c:v>
                </c:pt>
                <c:pt idx="7">
                  <c:v>12873.010182036134</c:v>
                </c:pt>
                <c:pt idx="8">
                  <c:v>12435.556282581601</c:v>
                </c:pt>
                <c:pt idx="9">
                  <c:v>12013.042732109147</c:v>
                </c:pt>
                <c:pt idx="10">
                  <c:v>11562.58948618363</c:v>
                </c:pt>
                <c:pt idx="11">
                  <c:v>11058.252663380154</c:v>
                </c:pt>
                <c:pt idx="12">
                  <c:v>10482.349819374138</c:v>
                </c:pt>
                <c:pt idx="13">
                  <c:v>9817.9158113158155</c:v>
                </c:pt>
                <c:pt idx="14">
                  <c:v>9006.5335452973814</c:v>
                </c:pt>
                <c:pt idx="15">
                  <c:v>7819.862190792036</c:v>
                </c:pt>
                <c:pt idx="16">
                  <c:v>5991.3662016487751</c:v>
                </c:pt>
                <c:pt idx="17">
                  <c:v>4047.605671246019</c:v>
                </c:pt>
                <c:pt idx="18">
                  <c:v>2520.8915647280537</c:v>
                </c:pt>
                <c:pt idx="19">
                  <c:v>1544.2072110770657</c:v>
                </c:pt>
                <c:pt idx="20">
                  <c:v>1015.9157423865241</c:v>
                </c:pt>
                <c:pt idx="21">
                  <c:v>758.88873364193637</c:v>
                </c:pt>
                <c:pt idx="22">
                  <c:v>633.74711346296874</c:v>
                </c:pt>
                <c:pt idx="23">
                  <c:v>566.45869863850191</c:v>
                </c:pt>
                <c:pt idx="24">
                  <c:v>525.69186832482103</c:v>
                </c:pt>
                <c:pt idx="25">
                  <c:v>504.33702462885191</c:v>
                </c:pt>
                <c:pt idx="26">
                  <c:v>477.36880425415796</c:v>
                </c:pt>
                <c:pt idx="27">
                  <c:v>457.70726063643014</c:v>
                </c:pt>
                <c:pt idx="28">
                  <c:v>456.88035047683292</c:v>
                </c:pt>
                <c:pt idx="29">
                  <c:v>451.81601638723777</c:v>
                </c:pt>
                <c:pt idx="30">
                  <c:v>451.57621775655485</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13195.938727410814</c:v>
                </c:pt>
                <c:pt idx="1">
                  <c:v>12642.454271701079</c:v>
                </c:pt>
                <c:pt idx="2">
                  <c:v>12225.006341285432</c:v>
                </c:pt>
                <c:pt idx="3">
                  <c:v>11783.144622344491</c:v>
                </c:pt>
                <c:pt idx="4">
                  <c:v>11349.338408152171</c:v>
                </c:pt>
                <c:pt idx="5">
                  <c:v>10817.469359981644</c:v>
                </c:pt>
                <c:pt idx="6">
                  <c:v>10233.372947207314</c:v>
                </c:pt>
                <c:pt idx="7">
                  <c:v>9551.2896888151608</c:v>
                </c:pt>
                <c:pt idx="8">
                  <c:v>8754.6561638807598</c:v>
                </c:pt>
                <c:pt idx="9">
                  <c:v>7772.1262330089658</c:v>
                </c:pt>
                <c:pt idx="10">
                  <c:v>6560.6594070033643</c:v>
                </c:pt>
                <c:pt idx="11">
                  <c:v>5175.897860783668</c:v>
                </c:pt>
                <c:pt idx="12">
                  <c:v>3850.5645620749624</c:v>
                </c:pt>
                <c:pt idx="13">
                  <c:v>2811.2076777904922</c:v>
                </c:pt>
                <c:pt idx="14">
                  <c:v>2167.2305697407674</c:v>
                </c:pt>
                <c:pt idx="15">
                  <c:v>1778.2791734700663</c:v>
                </c:pt>
                <c:pt idx="16">
                  <c:v>1480.1093183369221</c:v>
                </c:pt>
                <c:pt idx="17">
                  <c:v>1140.6046116925659</c:v>
                </c:pt>
                <c:pt idx="18">
                  <c:v>861.60798402391697</c:v>
                </c:pt>
                <c:pt idx="19">
                  <c:v>696.46189002325491</c:v>
                </c:pt>
                <c:pt idx="20">
                  <c:v>583.16887970925518</c:v>
                </c:pt>
                <c:pt idx="21">
                  <c:v>523.80521079029154</c:v>
                </c:pt>
                <c:pt idx="22">
                  <c:v>493.83920076386482</c:v>
                </c:pt>
                <c:pt idx="23">
                  <c:v>476.37215869867538</c:v>
                </c:pt>
                <c:pt idx="24">
                  <c:v>465.4938332307961</c:v>
                </c:pt>
                <c:pt idx="25">
                  <c:v>462.98428718634898</c:v>
                </c:pt>
                <c:pt idx="26">
                  <c:v>459.94137928850324</c:v>
                </c:pt>
                <c:pt idx="27">
                  <c:v>452.07161300003997</c:v>
                </c:pt>
                <c:pt idx="28">
                  <c:v>451.88255174823416</c:v>
                </c:pt>
                <c:pt idx="29">
                  <c:v>448.50059842794133</c:v>
                </c:pt>
                <c:pt idx="30">
                  <c:v>447.13038362867104</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44237128"/>
        <c:axId val="54423124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23712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1248"/>
        <c:crosses val="autoZero"/>
        <c:crossBetween val="midCat"/>
      </c:valAx>
      <c:valAx>
        <c:axId val="544231248"/>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712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22077.11293330136</c:v>
                </c:pt>
                <c:pt idx="1">
                  <c:v>22078.352945786577</c:v>
                </c:pt>
                <c:pt idx="2">
                  <c:v>22078.244313789179</c:v>
                </c:pt>
                <c:pt idx="3">
                  <c:v>22078.212560022632</c:v>
                </c:pt>
                <c:pt idx="4">
                  <c:v>22078.201696912922</c:v>
                </c:pt>
                <c:pt idx="5">
                  <c:v>22078.199190042968</c:v>
                </c:pt>
                <c:pt idx="6">
                  <c:v>22078.197518796656</c:v>
                </c:pt>
                <c:pt idx="7">
                  <c:v>22078.197518796649</c:v>
                </c:pt>
                <c:pt idx="8">
                  <c:v>22078.197518796638</c:v>
                </c:pt>
                <c:pt idx="9">
                  <c:v>22078.201696912933</c:v>
                </c:pt>
                <c:pt idx="10">
                  <c:v>22078.240135656793</c:v>
                </c:pt>
                <c:pt idx="11">
                  <c:v>22078.632887014399</c:v>
                </c:pt>
                <c:pt idx="12">
                  <c:v>22082.530239028241</c:v>
                </c:pt>
                <c:pt idx="13">
                  <c:v>22119.923684493697</c:v>
                </c:pt>
                <c:pt idx="14">
                  <c:v>22402.40153744481</c:v>
                </c:pt>
                <c:pt idx="15">
                  <c:v>22925.061824306722</c:v>
                </c:pt>
                <c:pt idx="16">
                  <c:v>23339.443599667724</c:v>
                </c:pt>
                <c:pt idx="17">
                  <c:v>23806.038411165402</c:v>
                </c:pt>
                <c:pt idx="18">
                  <c:v>24385.225134222183</c:v>
                </c:pt>
                <c:pt idx="19">
                  <c:v>24985.658945641175</c:v>
                </c:pt>
                <c:pt idx="20">
                  <c:v>25229.351383362831</c:v>
                </c:pt>
                <c:pt idx="21">
                  <c:v>23465.955404171989</c:v>
                </c:pt>
                <c:pt idx="22">
                  <c:v>19732.611611372275</c:v>
                </c:pt>
                <c:pt idx="23">
                  <c:v>16293.696505117547</c:v>
                </c:pt>
                <c:pt idx="24">
                  <c:v>13829.534502452147</c:v>
                </c:pt>
                <c:pt idx="25">
                  <c:v>12019.209306357014</c:v>
                </c:pt>
                <c:pt idx="26">
                  <c:v>10596.770898685134</c:v>
                </c:pt>
                <c:pt idx="27">
                  <c:v>9505.7307878181327</c:v>
                </c:pt>
                <c:pt idx="28">
                  <c:v>8684.1294883700029</c:v>
                </c:pt>
                <c:pt idx="29">
                  <c:v>8025.4550926029715</c:v>
                </c:pt>
                <c:pt idx="30">
                  <c:v>7552.7560006646436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21874.164680336275</c:v>
                </c:pt>
                <c:pt idx="1">
                  <c:v>21875.490284426003</c:v>
                </c:pt>
                <c:pt idx="2">
                  <c:v>21875.38610056468</c:v>
                </c:pt>
                <c:pt idx="3">
                  <c:v>21875.358208990678</c:v>
                </c:pt>
                <c:pt idx="4">
                  <c:v>21875.375436130926</c:v>
                </c:pt>
                <c:pt idx="5">
                  <c:v>21875.639589012484</c:v>
                </c:pt>
                <c:pt idx="6">
                  <c:v>21878.301162166608</c:v>
                </c:pt>
                <c:pt idx="7">
                  <c:v>21904.062584037278</c:v>
                </c:pt>
                <c:pt idx="8">
                  <c:v>22114.554250325065</c:v>
                </c:pt>
                <c:pt idx="9">
                  <c:v>22636.187647942024</c:v>
                </c:pt>
                <c:pt idx="10">
                  <c:v>23039.585984695968</c:v>
                </c:pt>
                <c:pt idx="11">
                  <c:v>23474.488248107809</c:v>
                </c:pt>
                <c:pt idx="12">
                  <c:v>24028.010014215506</c:v>
                </c:pt>
                <c:pt idx="13">
                  <c:v>24698.563209776745</c:v>
                </c:pt>
                <c:pt idx="14">
                  <c:v>25585.152167180811</c:v>
                </c:pt>
                <c:pt idx="15">
                  <c:v>26734.282708959516</c:v>
                </c:pt>
                <c:pt idx="16">
                  <c:v>28089.588258641987</c:v>
                </c:pt>
                <c:pt idx="17">
                  <c:v>29711.982567521412</c:v>
                </c:pt>
                <c:pt idx="18">
                  <c:v>31118.270802857416</c:v>
                </c:pt>
                <c:pt idx="19">
                  <c:v>29575.131769042044</c:v>
                </c:pt>
                <c:pt idx="20">
                  <c:v>23463.157801025358</c:v>
                </c:pt>
                <c:pt idx="21">
                  <c:v>17473.618331043792</c:v>
                </c:pt>
                <c:pt idx="22">
                  <c:v>13557.378700195992</c:v>
                </c:pt>
                <c:pt idx="23">
                  <c:v>11073.621103208552</c:v>
                </c:pt>
                <c:pt idx="24">
                  <c:v>9404.2731512515529</c:v>
                </c:pt>
                <c:pt idx="25">
                  <c:v>8222.5138160550359</c:v>
                </c:pt>
                <c:pt idx="26">
                  <c:v>7332.5797117407874</c:v>
                </c:pt>
                <c:pt idx="27">
                  <c:v>6578.47302589234</c:v>
                </c:pt>
                <c:pt idx="28">
                  <c:v>5901.7368238160971</c:v>
                </c:pt>
                <c:pt idx="29">
                  <c:v>5234.1000602011209</c:v>
                </c:pt>
                <c:pt idx="30">
                  <c:v>4540.5084575532119</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21742.824013893041</c:v>
                </c:pt>
                <c:pt idx="1">
                  <c:v>21744.218041575314</c:v>
                </c:pt>
                <c:pt idx="2">
                  <c:v>21744.274779045543</c:v>
                </c:pt>
                <c:pt idx="3">
                  <c:v>21745.829500941531</c:v>
                </c:pt>
                <c:pt idx="4">
                  <c:v>21761.266373394414</c:v>
                </c:pt>
                <c:pt idx="5">
                  <c:v>21897.241301705664</c:v>
                </c:pt>
                <c:pt idx="6">
                  <c:v>22400.675819429198</c:v>
                </c:pt>
                <c:pt idx="7">
                  <c:v>22807.152260392086</c:v>
                </c:pt>
                <c:pt idx="8">
                  <c:v>23215.22263803118</c:v>
                </c:pt>
                <c:pt idx="9">
                  <c:v>23737.89157279889</c:v>
                </c:pt>
                <c:pt idx="10">
                  <c:v>24361.530231517503</c:v>
                </c:pt>
                <c:pt idx="11">
                  <c:v>25184.213890017851</c:v>
                </c:pt>
                <c:pt idx="12">
                  <c:v>26251.077606735766</c:v>
                </c:pt>
                <c:pt idx="13">
                  <c:v>27533.196460307085</c:v>
                </c:pt>
                <c:pt idx="14">
                  <c:v>29198.396564212995</c:v>
                </c:pt>
                <c:pt idx="15">
                  <c:v>31243.624069002512</c:v>
                </c:pt>
                <c:pt idx="16">
                  <c:v>34629.875886524846</c:v>
                </c:pt>
                <c:pt idx="17">
                  <c:v>39144.628576303541</c:v>
                </c:pt>
                <c:pt idx="18">
                  <c:v>38115.654395473255</c:v>
                </c:pt>
                <c:pt idx="19">
                  <c:v>27549.447953142146</c:v>
                </c:pt>
                <c:pt idx="20">
                  <c:v>18847.942254902329</c:v>
                </c:pt>
                <c:pt idx="21">
                  <c:v>13796.724796288985</c:v>
                </c:pt>
                <c:pt idx="22">
                  <c:v>10839.995594625787</c:v>
                </c:pt>
                <c:pt idx="23">
                  <c:v>8946.4858535865169</c:v>
                </c:pt>
                <c:pt idx="24">
                  <c:v>7609.7166776377044</c:v>
                </c:pt>
                <c:pt idx="25">
                  <c:v>6581.082509099756</c:v>
                </c:pt>
                <c:pt idx="26">
                  <c:v>5707.0522468566833</c:v>
                </c:pt>
                <c:pt idx="27">
                  <c:v>4901.3067275840267</c:v>
                </c:pt>
                <c:pt idx="28">
                  <c:v>4071.8305342290523</c:v>
                </c:pt>
                <c:pt idx="29">
                  <c:v>3201.8582633951432</c:v>
                </c:pt>
                <c:pt idx="30">
                  <c:v>2353.0684240833825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21607.980195039068</c:v>
                </c:pt>
                <c:pt idx="1">
                  <c:v>21612.28965190726</c:v>
                </c:pt>
                <c:pt idx="2">
                  <c:v>21639.920405157689</c:v>
                </c:pt>
                <c:pt idx="3">
                  <c:v>21861.025612639936</c:v>
                </c:pt>
                <c:pt idx="4">
                  <c:v>22356.685120896589</c:v>
                </c:pt>
                <c:pt idx="5">
                  <c:v>22741.801785132677</c:v>
                </c:pt>
                <c:pt idx="6">
                  <c:v>23163.215268174965</c:v>
                </c:pt>
                <c:pt idx="7">
                  <c:v>23696.683106206725</c:v>
                </c:pt>
                <c:pt idx="8">
                  <c:v>24346.185281092145</c:v>
                </c:pt>
                <c:pt idx="9">
                  <c:v>25203.327484433135</c:v>
                </c:pt>
                <c:pt idx="10">
                  <c:v>26313.114636767765</c:v>
                </c:pt>
                <c:pt idx="11">
                  <c:v>27619.123013616882</c:v>
                </c:pt>
                <c:pt idx="12">
                  <c:v>29329.20324521096</c:v>
                </c:pt>
                <c:pt idx="13">
                  <c:v>31564.484853718845</c:v>
                </c:pt>
                <c:pt idx="14">
                  <c:v>35425.421047323616</c:v>
                </c:pt>
                <c:pt idx="15">
                  <c:v>41753.585702503391</c:v>
                </c:pt>
                <c:pt idx="16">
                  <c:v>49740.722928824689</c:v>
                </c:pt>
                <c:pt idx="17">
                  <c:v>50815.115098268368</c:v>
                </c:pt>
                <c:pt idx="18">
                  <c:v>35799.167732765876</c:v>
                </c:pt>
                <c:pt idx="19">
                  <c:v>22048.935230459032</c:v>
                </c:pt>
                <c:pt idx="20">
                  <c:v>14952.76379195938</c:v>
                </c:pt>
                <c:pt idx="21">
                  <c:v>11155.676444840181</c:v>
                </c:pt>
                <c:pt idx="22">
                  <c:v>8832.4901585871066</c:v>
                </c:pt>
                <c:pt idx="23">
                  <c:v>7244.1369784340341</c:v>
                </c:pt>
                <c:pt idx="24">
                  <c:v>6037.1268119875549</c:v>
                </c:pt>
                <c:pt idx="25">
                  <c:v>5018.5531608740539</c:v>
                </c:pt>
                <c:pt idx="26">
                  <c:v>4053.281332744843</c:v>
                </c:pt>
                <c:pt idx="27">
                  <c:v>3098.9559316424861</c:v>
                </c:pt>
                <c:pt idx="28">
                  <c:v>2227.2603275070496</c:v>
                </c:pt>
                <c:pt idx="29">
                  <c:v>1559.9187523003231</c:v>
                </c:pt>
                <c:pt idx="30">
                  <c:v>1133.7393389954989</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21586.906808299471</c:v>
                </c:pt>
                <c:pt idx="1">
                  <c:v>22176.891810527537</c:v>
                </c:pt>
                <c:pt idx="2">
                  <c:v>22559.065595768479</c:v>
                </c:pt>
                <c:pt idx="3">
                  <c:v>22976.965198497666</c:v>
                </c:pt>
                <c:pt idx="4">
                  <c:v>23501.057561019414</c:v>
                </c:pt>
                <c:pt idx="5">
                  <c:v>24143.930051806245</c:v>
                </c:pt>
                <c:pt idx="6">
                  <c:v>24990.1952753851</c:v>
                </c:pt>
                <c:pt idx="7">
                  <c:v>26084.746090634377</c:v>
                </c:pt>
                <c:pt idx="8">
                  <c:v>27363.900091930205</c:v>
                </c:pt>
                <c:pt idx="9">
                  <c:v>29042.692126785088</c:v>
                </c:pt>
                <c:pt idx="10">
                  <c:v>31271.504743708578</c:v>
                </c:pt>
                <c:pt idx="11">
                  <c:v>35119.126887934013</c:v>
                </c:pt>
                <c:pt idx="12">
                  <c:v>41423.269452970897</c:v>
                </c:pt>
                <c:pt idx="13">
                  <c:v>50598.783107940209</c:v>
                </c:pt>
                <c:pt idx="14">
                  <c:v>65001.528093066168</c:v>
                </c:pt>
                <c:pt idx="15">
                  <c:v>93203.355661661641</c:v>
                </c:pt>
                <c:pt idx="16">
                  <c:v>120011.3345562145</c:v>
                </c:pt>
                <c:pt idx="17">
                  <c:v>68723.485988223809</c:v>
                </c:pt>
                <c:pt idx="18">
                  <c:v>30918.78800471163</c:v>
                </c:pt>
                <c:pt idx="19">
                  <c:v>17544.308150233417</c:v>
                </c:pt>
                <c:pt idx="20">
                  <c:v>11643.607666044836</c:v>
                </c:pt>
                <c:pt idx="21">
                  <c:v>8411.2176035345219</c:v>
                </c:pt>
                <c:pt idx="22">
                  <c:v>6330.5121315583183</c:v>
                </c:pt>
                <c:pt idx="23">
                  <c:v>4771.8930156855977</c:v>
                </c:pt>
                <c:pt idx="24">
                  <c:v>3466.060474476345</c:v>
                </c:pt>
                <c:pt idx="25">
                  <c:v>2410.4416254123034</c:v>
                </c:pt>
                <c:pt idx="26">
                  <c:v>1650.4388913117341</c:v>
                </c:pt>
                <c:pt idx="27">
                  <c:v>1182.2643751491598</c:v>
                </c:pt>
                <c:pt idx="28">
                  <c:v>940.93564166891053</c:v>
                </c:pt>
                <c:pt idx="29">
                  <c:v>819.53517089041009</c:v>
                </c:pt>
                <c:pt idx="30">
                  <c:v>757.89722411263494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25393.568386649978</c:v>
                </c:pt>
                <c:pt idx="1">
                  <c:v>27084.539949588099</c:v>
                </c:pt>
                <c:pt idx="2">
                  <c:v>28720.160081905295</c:v>
                </c:pt>
                <c:pt idx="3">
                  <c:v>31249.646209362581</c:v>
                </c:pt>
                <c:pt idx="4">
                  <c:v>35310.084689321317</c:v>
                </c:pt>
                <c:pt idx="5">
                  <c:v>41770.992704588716</c:v>
                </c:pt>
                <c:pt idx="6">
                  <c:v>50867.30499030355</c:v>
                </c:pt>
                <c:pt idx="7">
                  <c:v>66813.304689896933</c:v>
                </c:pt>
                <c:pt idx="8">
                  <c:v>100166.13841907137</c:v>
                </c:pt>
                <c:pt idx="9">
                  <c:v>239209.07365124312</c:v>
                </c:pt>
                <c:pt idx="10">
                  <c:v>-434146.00503808621</c:v>
                </c:pt>
                <c:pt idx="11">
                  <c:v>-92783.81561830506</c:v>
                </c:pt>
                <c:pt idx="12">
                  <c:v>-45575.380585679479</c:v>
                </c:pt>
                <c:pt idx="13">
                  <c:v>-27037.651675818404</c:v>
                </c:pt>
                <c:pt idx="14">
                  <c:v>-17295.988625367216</c:v>
                </c:pt>
                <c:pt idx="15">
                  <c:v>-11681.794590661575</c:v>
                </c:pt>
                <c:pt idx="16">
                  <c:v>-8676.3168132790815</c:v>
                </c:pt>
                <c:pt idx="17">
                  <c:v>-7132.3818572909804</c:v>
                </c:pt>
                <c:pt idx="18">
                  <c:v>-7054.6668959634899</c:v>
                </c:pt>
                <c:pt idx="19">
                  <c:v>-15303.918327797739</c:v>
                </c:pt>
                <c:pt idx="20">
                  <c:v>7171.6561722797296</c:v>
                </c:pt>
                <c:pt idx="21">
                  <c:v>2267.6512678891745</c:v>
                </c:pt>
                <c:pt idx="22">
                  <c:v>1342.8118972213299</c:v>
                </c:pt>
                <c:pt idx="23">
                  <c:v>1013.4861415615435</c:v>
                </c:pt>
                <c:pt idx="24">
                  <c:v>858.34766896561644</c:v>
                </c:pt>
                <c:pt idx="25">
                  <c:v>778.81671928129947</c:v>
                </c:pt>
                <c:pt idx="26">
                  <c:v>722.35727551437105</c:v>
                </c:pt>
                <c:pt idx="27">
                  <c:v>681.03462936558253</c:v>
                </c:pt>
                <c:pt idx="28">
                  <c:v>684.04508615430552</c:v>
                </c:pt>
                <c:pt idx="29">
                  <c:v>659.83679031254007</c:v>
                </c:pt>
                <c:pt idx="30">
                  <c:v>659.39001525263291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48341.983233453284</c:v>
                </c:pt>
                <c:pt idx="1">
                  <c:v>67941.212759188784</c:v>
                </c:pt>
                <c:pt idx="2">
                  <c:v>106581.8494399214</c:v>
                </c:pt>
                <c:pt idx="3">
                  <c:v>288758.29313817841</c:v>
                </c:pt>
                <c:pt idx="4">
                  <c:v>-288065.55911220331</c:v>
                </c:pt>
                <c:pt idx="5">
                  <c:v>-79234.14359526879</c:v>
                </c:pt>
                <c:pt idx="6">
                  <c:v>-40714.818197634682</c:v>
                </c:pt>
                <c:pt idx="7">
                  <c:v>-24326.385022731254</c:v>
                </c:pt>
                <c:pt idx="8">
                  <c:v>-15427.768378593551</c:v>
                </c:pt>
                <c:pt idx="9">
                  <c:v>-9752.6488612277735</c:v>
                </c:pt>
                <c:pt idx="10">
                  <c:v>-5964.337623498428</c:v>
                </c:pt>
                <c:pt idx="11">
                  <c:v>-3517.5701927614382</c:v>
                </c:pt>
                <c:pt idx="12">
                  <c:v>-2082.5065038760617</c:v>
                </c:pt>
                <c:pt idx="13">
                  <c:v>-1304.5671943275686</c:v>
                </c:pt>
                <c:pt idx="14">
                  <c:v>-933.54237214130342</c:v>
                </c:pt>
                <c:pt idx="15">
                  <c:v>-775.18717459109746</c:v>
                </c:pt>
                <c:pt idx="16">
                  <c:v>-751.2831465372966</c:v>
                </c:pt>
                <c:pt idx="17">
                  <c:v>-886.01771893675016</c:v>
                </c:pt>
                <c:pt idx="18">
                  <c:v>-1513.0564232573886</c:v>
                </c:pt>
                <c:pt idx="19">
                  <c:v>-9284.3564959459982</c:v>
                </c:pt>
                <c:pt idx="20">
                  <c:v>2810.2536037086306</c:v>
                </c:pt>
                <c:pt idx="21">
                  <c:v>1316.3498626257301</c:v>
                </c:pt>
                <c:pt idx="22">
                  <c:v>956.82091385254694</c:v>
                </c:pt>
                <c:pt idx="23">
                  <c:v>811.61046333774709</c:v>
                </c:pt>
                <c:pt idx="24">
                  <c:v>738.99446163767857</c:v>
                </c:pt>
                <c:pt idx="25">
                  <c:v>724.39732522703719</c:v>
                </c:pt>
                <c:pt idx="26">
                  <c:v>707.07422101532052</c:v>
                </c:pt>
                <c:pt idx="27">
                  <c:v>666.37704016566681</c:v>
                </c:pt>
                <c:pt idx="28">
                  <c:v>665.87819078840846</c:v>
                </c:pt>
                <c:pt idx="29">
                  <c:v>649.26387204203775</c:v>
                </c:pt>
                <c:pt idx="30">
                  <c:v>641.08087260851198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44237912"/>
        <c:axId val="5442328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442379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2816"/>
        <c:crosses val="autoZero"/>
        <c:crossBetween val="midCat"/>
        <c:majorUnit val="10000"/>
      </c:valAx>
      <c:valAx>
        <c:axId val="54423281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791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0.35489597935815076</c:v>
                </c:pt>
                <c:pt idx="1">
                  <c:v>0.35490202218430006</c:v>
                </c:pt>
                <c:pt idx="2">
                  <c:v>0.3549020636626749</c:v>
                </c:pt>
                <c:pt idx="3">
                  <c:v>0.35490205578029937</c:v>
                </c:pt>
                <c:pt idx="4">
                  <c:v>0.35490204335390357</c:v>
                </c:pt>
                <c:pt idx="5">
                  <c:v>0.35490204440916467</c:v>
                </c:pt>
                <c:pt idx="6">
                  <c:v>0.35490203980042623</c:v>
                </c:pt>
                <c:pt idx="7">
                  <c:v>0.35490204298777367</c:v>
                </c:pt>
                <c:pt idx="8">
                  <c:v>0.354902046175121</c:v>
                </c:pt>
                <c:pt idx="9">
                  <c:v>0.35490209753879987</c:v>
                </c:pt>
                <c:pt idx="10">
                  <c:v>0.35490258920783019</c:v>
                </c:pt>
                <c:pt idx="11">
                  <c:v>0.35490755753802411</c:v>
                </c:pt>
                <c:pt idx="12">
                  <c:v>0.35495682322457078</c:v>
                </c:pt>
                <c:pt idx="13">
                  <c:v>0.35542753741007366</c:v>
                </c:pt>
                <c:pt idx="14">
                  <c:v>0.35886729716974969</c:v>
                </c:pt>
                <c:pt idx="15">
                  <c:v>0.36471461580118525</c:v>
                </c:pt>
                <c:pt idx="16">
                  <c:v>0.368997751402251</c:v>
                </c:pt>
                <c:pt idx="17">
                  <c:v>0.37343228673851209</c:v>
                </c:pt>
                <c:pt idx="18">
                  <c:v>0.37847426589692063</c:v>
                </c:pt>
                <c:pt idx="19">
                  <c:v>0.38388349439235298</c:v>
                </c:pt>
                <c:pt idx="20">
                  <c:v>0.38955598590785695</c:v>
                </c:pt>
                <c:pt idx="21">
                  <c:v>0.3932572703907245</c:v>
                </c:pt>
                <c:pt idx="22">
                  <c:v>0.39233854200316304</c:v>
                </c:pt>
                <c:pt idx="23">
                  <c:v>0.38878007018680982</c:v>
                </c:pt>
                <c:pt idx="24">
                  <c:v>0.38517528954678487</c:v>
                </c:pt>
                <c:pt idx="25">
                  <c:v>0.38199118893972828</c:v>
                </c:pt>
                <c:pt idx="26">
                  <c:v>0.37863557002696607</c:v>
                </c:pt>
                <c:pt idx="27">
                  <c:v>0.37508754752929113</c:v>
                </c:pt>
                <c:pt idx="28">
                  <c:v>0.37211206681544845</c:v>
                </c:pt>
                <c:pt idx="29">
                  <c:v>0.36998525619072381</c:v>
                </c:pt>
                <c:pt idx="30">
                  <c:v>0.36932124505994396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0.35482118738094864</c:v>
                </c:pt>
                <c:pt idx="1">
                  <c:v>0.35482783521903322</c:v>
                </c:pt>
                <c:pt idx="2">
                  <c:v>0.35482789779427787</c:v>
                </c:pt>
                <c:pt idx="3">
                  <c:v>0.354827927664711</c:v>
                </c:pt>
                <c:pt idx="4">
                  <c:v>0.35482826802139189</c:v>
                </c:pt>
                <c:pt idx="5">
                  <c:v>0.35483171856662499</c:v>
                </c:pt>
                <c:pt idx="6">
                  <c:v>0.35486606897663669</c:v>
                </c:pt>
                <c:pt idx="7">
                  <c:v>0.35519741436275554</c:v>
                </c:pt>
                <c:pt idx="8">
                  <c:v>0.35783756168709369</c:v>
                </c:pt>
                <c:pt idx="9">
                  <c:v>0.36387514519750819</c:v>
                </c:pt>
                <c:pt idx="10">
                  <c:v>0.36817913117817369</c:v>
                </c:pt>
                <c:pt idx="11">
                  <c:v>0.3724540831718347</c:v>
                </c:pt>
                <c:pt idx="12">
                  <c:v>0.37740418808551496</c:v>
                </c:pt>
                <c:pt idx="13">
                  <c:v>0.38281449537080187</c:v>
                </c:pt>
                <c:pt idx="14">
                  <c:v>0.389154242855551</c:v>
                </c:pt>
                <c:pt idx="15">
                  <c:v>0.39629437438480308</c:v>
                </c:pt>
                <c:pt idx="16">
                  <c:v>0.40375680905594591</c:v>
                </c:pt>
                <c:pt idx="17">
                  <c:v>0.41130037097382799</c:v>
                </c:pt>
                <c:pt idx="18">
                  <c:v>0.41871405087546681</c:v>
                </c:pt>
                <c:pt idx="19">
                  <c:v>0.42311682834247144</c:v>
                </c:pt>
                <c:pt idx="20">
                  <c:v>0.41923118981609542</c:v>
                </c:pt>
                <c:pt idx="21">
                  <c:v>0.40998822695277171</c:v>
                </c:pt>
                <c:pt idx="22">
                  <c:v>0.40041657150459081</c:v>
                </c:pt>
                <c:pt idx="23">
                  <c:v>0.3923056353269026</c:v>
                </c:pt>
                <c:pt idx="24">
                  <c:v>0.38525072058989801</c:v>
                </c:pt>
                <c:pt idx="25">
                  <c:v>0.37967855068746292</c:v>
                </c:pt>
                <c:pt idx="26">
                  <c:v>0.37554569276491812</c:v>
                </c:pt>
                <c:pt idx="27">
                  <c:v>0.37281913936625122</c:v>
                </c:pt>
                <c:pt idx="28">
                  <c:v>0.37105240773761544</c:v>
                </c:pt>
                <c:pt idx="29">
                  <c:v>0.37005321715082468</c:v>
                </c:pt>
                <c:pt idx="30">
                  <c:v>0.36958492431552026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0.35477058198623695</c:v>
                </c:pt>
                <c:pt idx="1">
                  <c:v>0.35477781733677666</c:v>
                </c:pt>
                <c:pt idx="2">
                  <c:v>0.35477996345413693</c:v>
                </c:pt>
                <c:pt idx="3">
                  <c:v>0.35480066766085783</c:v>
                </c:pt>
                <c:pt idx="4">
                  <c:v>0.35500228114419569</c:v>
                </c:pt>
                <c:pt idx="5">
                  <c:v>0.3567483273195185</c:v>
                </c:pt>
                <c:pt idx="6">
                  <c:v>0.36276720216317948</c:v>
                </c:pt>
                <c:pt idx="7">
                  <c:v>0.3672262004593369</c:v>
                </c:pt>
                <c:pt idx="8">
                  <c:v>0.37136611789334945</c:v>
                </c:pt>
                <c:pt idx="9">
                  <c:v>0.37619947643528545</c:v>
                </c:pt>
                <c:pt idx="10">
                  <c:v>0.38141836081700342</c:v>
                </c:pt>
                <c:pt idx="11">
                  <c:v>0.38754587223220294</c:v>
                </c:pt>
                <c:pt idx="12">
                  <c:v>0.39448251091367348</c:v>
                </c:pt>
                <c:pt idx="13">
                  <c:v>0.40188126002592905</c:v>
                </c:pt>
                <c:pt idx="14">
                  <c:v>0.40958911883464649</c:v>
                </c:pt>
                <c:pt idx="15">
                  <c:v>0.41770359114388039</c:v>
                </c:pt>
                <c:pt idx="16">
                  <c:v>0.42821784330005652</c:v>
                </c:pt>
                <c:pt idx="17">
                  <c:v>0.43961044976552138</c:v>
                </c:pt>
                <c:pt idx="18">
                  <c:v>0.44389699213231482</c:v>
                </c:pt>
                <c:pt idx="19">
                  <c:v>0.43484850974380884</c:v>
                </c:pt>
                <c:pt idx="20">
                  <c:v>0.42130709958998103</c:v>
                </c:pt>
                <c:pt idx="21">
                  <c:v>0.40859653237872606</c:v>
                </c:pt>
                <c:pt idx="22">
                  <c:v>0.39817455774962407</c:v>
                </c:pt>
                <c:pt idx="23">
                  <c:v>0.38959513486840536</c:v>
                </c:pt>
                <c:pt idx="24">
                  <c:v>0.38323169370053223</c:v>
                </c:pt>
                <c:pt idx="25">
                  <c:v>0.37847278016444513</c:v>
                </c:pt>
                <c:pt idx="26">
                  <c:v>0.37530017563651091</c:v>
                </c:pt>
                <c:pt idx="27">
                  <c:v>0.37340344754492044</c:v>
                </c:pt>
                <c:pt idx="28">
                  <c:v>0.37248523863291111</c:v>
                </c:pt>
                <c:pt idx="29">
                  <c:v>0.37247702080976652</c:v>
                </c:pt>
                <c:pt idx="30">
                  <c:v>0.37329799121232177</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0.35471875817893839</c:v>
                </c:pt>
                <c:pt idx="1">
                  <c:v>0.35476427021935553</c:v>
                </c:pt>
                <c:pt idx="2">
                  <c:v>0.35513075943754374</c:v>
                </c:pt>
                <c:pt idx="3">
                  <c:v>0.35797376910597761</c:v>
                </c:pt>
                <c:pt idx="4">
                  <c:v>0.36384606795456531</c:v>
                </c:pt>
                <c:pt idx="5">
                  <c:v>0.36805965167887011</c:v>
                </c:pt>
                <c:pt idx="6">
                  <c:v>0.37230591403596053</c:v>
                </c:pt>
                <c:pt idx="7">
                  <c:v>0.37719745801225502</c:v>
                </c:pt>
                <c:pt idx="8">
                  <c:v>0.38257129814771013</c:v>
                </c:pt>
                <c:pt idx="9">
                  <c:v>0.38885797060695171</c:v>
                </c:pt>
                <c:pt idx="10">
                  <c:v>0.39593372556541445</c:v>
                </c:pt>
                <c:pt idx="11">
                  <c:v>0.40330422291518786</c:v>
                </c:pt>
                <c:pt idx="12">
                  <c:v>0.41102984620086391</c:v>
                </c:pt>
                <c:pt idx="13">
                  <c:v>0.41958285765110254</c:v>
                </c:pt>
                <c:pt idx="14">
                  <c:v>0.43076231879816651</c:v>
                </c:pt>
                <c:pt idx="15">
                  <c:v>0.44351746347578624</c:v>
                </c:pt>
                <c:pt idx="16">
                  <c:v>0.45456280842810487</c:v>
                </c:pt>
                <c:pt idx="17">
                  <c:v>0.45886276191674802</c:v>
                </c:pt>
                <c:pt idx="18">
                  <c:v>0.45038692134131919</c:v>
                </c:pt>
                <c:pt idx="19">
                  <c:v>0.43376077870951285</c:v>
                </c:pt>
                <c:pt idx="20">
                  <c:v>0.41822897347961724</c:v>
                </c:pt>
                <c:pt idx="21">
                  <c:v>0.40561216449846527</c:v>
                </c:pt>
                <c:pt idx="22">
                  <c:v>0.3957409861882622</c:v>
                </c:pt>
                <c:pt idx="23">
                  <c:v>0.38798098997590896</c:v>
                </c:pt>
                <c:pt idx="24">
                  <c:v>0.38236073526821734</c:v>
                </c:pt>
                <c:pt idx="25">
                  <c:v>0.37860628097626842</c:v>
                </c:pt>
                <c:pt idx="26">
                  <c:v>0.37656615413665595</c:v>
                </c:pt>
                <c:pt idx="27">
                  <c:v>0.37588547480692353</c:v>
                </c:pt>
                <c:pt idx="28">
                  <c:v>0.37630053975891509</c:v>
                </c:pt>
                <c:pt idx="29">
                  <c:v>0.37755150222040601</c:v>
                </c:pt>
                <c:pt idx="30">
                  <c:v>0.3792783394951591</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0.35669424279974371</c:v>
                </c:pt>
                <c:pt idx="1">
                  <c:v>0.36381285985426876</c:v>
                </c:pt>
                <c:pt idx="2">
                  <c:v>0.36805711474976932</c:v>
                </c:pt>
                <c:pt idx="3">
                  <c:v>0.37232543156202752</c:v>
                </c:pt>
                <c:pt idx="4">
                  <c:v>0.37719485157551658</c:v>
                </c:pt>
                <c:pt idx="5">
                  <c:v>0.38258146708104163</c:v>
                </c:pt>
                <c:pt idx="6">
                  <c:v>0.38886469628682918</c:v>
                </c:pt>
                <c:pt idx="7">
                  <c:v>0.39592756377954424</c:v>
                </c:pt>
                <c:pt idx="8">
                  <c:v>0.40323905685148376</c:v>
                </c:pt>
                <c:pt idx="9">
                  <c:v>0.41092447804756133</c:v>
                </c:pt>
                <c:pt idx="10">
                  <c:v>0.41955981300310613</c:v>
                </c:pt>
                <c:pt idx="11">
                  <c:v>0.43080778045953932</c:v>
                </c:pt>
                <c:pt idx="12">
                  <c:v>0.44354880968854687</c:v>
                </c:pt>
                <c:pt idx="13">
                  <c:v>0.45538051176429006</c:v>
                </c:pt>
                <c:pt idx="14">
                  <c:v>0.46639275755272308</c:v>
                </c:pt>
                <c:pt idx="15">
                  <c:v>0.47744824481442832</c:v>
                </c:pt>
                <c:pt idx="16">
                  <c:v>0.48361266176195816</c:v>
                </c:pt>
                <c:pt idx="17">
                  <c:v>0.47534307577694779</c:v>
                </c:pt>
                <c:pt idx="18">
                  <c:v>0.45544729226535463</c:v>
                </c:pt>
                <c:pt idx="19">
                  <c:v>0.43618769029269239</c:v>
                </c:pt>
                <c:pt idx="20">
                  <c:v>0.42029278480629212</c:v>
                </c:pt>
                <c:pt idx="21">
                  <c:v>0.4076057819268889</c:v>
                </c:pt>
                <c:pt idx="22">
                  <c:v>0.397892826900479</c:v>
                </c:pt>
                <c:pt idx="23">
                  <c:v>0.39115179478242412</c:v>
                </c:pt>
                <c:pt idx="24">
                  <c:v>0.38673491484147576</c:v>
                </c:pt>
                <c:pt idx="25">
                  <c:v>0.38471964365997935</c:v>
                </c:pt>
                <c:pt idx="26">
                  <c:v>0.38411431824728953</c:v>
                </c:pt>
                <c:pt idx="27">
                  <c:v>0.38418375754079576</c:v>
                </c:pt>
                <c:pt idx="28">
                  <c:v>0.38404057977325279</c:v>
                </c:pt>
                <c:pt idx="29">
                  <c:v>0.38369895648501395</c:v>
                </c:pt>
                <c:pt idx="30">
                  <c:v>0.38330551692727372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0.39427561036024372</c:v>
                </c:pt>
                <c:pt idx="1">
                  <c:v>0.4037430680490301</c:v>
                </c:pt>
                <c:pt idx="2">
                  <c:v>0.41152209741599799</c:v>
                </c:pt>
                <c:pt idx="3">
                  <c:v>0.42095508159629863</c:v>
                </c:pt>
                <c:pt idx="4">
                  <c:v>0.4325781738016175</c:v>
                </c:pt>
                <c:pt idx="5">
                  <c:v>0.44512623528539907</c:v>
                </c:pt>
                <c:pt idx="6">
                  <c:v>0.45642693069866719</c:v>
                </c:pt>
                <c:pt idx="7">
                  <c:v>0.46788810691277705</c:v>
                </c:pt>
                <c:pt idx="8">
                  <c:v>0.47930844947728379</c:v>
                </c:pt>
                <c:pt idx="9">
                  <c:v>0.49163002574223441</c:v>
                </c:pt>
                <c:pt idx="10">
                  <c:v>0.50443882524619388</c:v>
                </c:pt>
                <c:pt idx="11">
                  <c:v>0.51986383183620388</c:v>
                </c:pt>
                <c:pt idx="12">
                  <c:v>0.53833337825768979</c:v>
                </c:pt>
                <c:pt idx="13">
                  <c:v>0.56052002302217097</c:v>
                </c:pt>
                <c:pt idx="14">
                  <c:v>0.58678826962308783</c:v>
                </c:pt>
                <c:pt idx="15">
                  <c:v>0.61156764956078513</c:v>
                </c:pt>
                <c:pt idx="16">
                  <c:v>0.61509043008662778</c:v>
                </c:pt>
                <c:pt idx="17">
                  <c:v>0.59458284184799615</c:v>
                </c:pt>
                <c:pt idx="18">
                  <c:v>0.55955612083707895</c:v>
                </c:pt>
                <c:pt idx="19">
                  <c:v>0.51681712245192568</c:v>
                </c:pt>
                <c:pt idx="20">
                  <c:v>0.47639048968183723</c:v>
                </c:pt>
                <c:pt idx="21">
                  <c:v>0.44422358614041935</c:v>
                </c:pt>
                <c:pt idx="22">
                  <c:v>0.42134079305592781</c:v>
                </c:pt>
                <c:pt idx="23">
                  <c:v>0.40684649820573399</c:v>
                </c:pt>
                <c:pt idx="24">
                  <c:v>0.39792561387968323</c:v>
                </c:pt>
                <c:pt idx="25">
                  <c:v>0.39207194877757212</c:v>
                </c:pt>
                <c:pt idx="26">
                  <c:v>0.38985856435232907</c:v>
                </c:pt>
                <c:pt idx="27">
                  <c:v>0.38798727678434231</c:v>
                </c:pt>
                <c:pt idx="28">
                  <c:v>0.38868171613136165</c:v>
                </c:pt>
                <c:pt idx="29">
                  <c:v>0.38587682514307076</c:v>
                </c:pt>
                <c:pt idx="30">
                  <c:v>0.38586011128695918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0.45450490496812768</c:v>
                </c:pt>
                <c:pt idx="1">
                  <c:v>0.46898678097757085</c:v>
                </c:pt>
                <c:pt idx="2">
                  <c:v>0.48088322666957084</c:v>
                </c:pt>
                <c:pt idx="3">
                  <c:v>0.4931989574542967</c:v>
                </c:pt>
                <c:pt idx="4">
                  <c:v>0.50656640942148146</c:v>
                </c:pt>
                <c:pt idx="5">
                  <c:v>0.5227542253653461</c:v>
                </c:pt>
                <c:pt idx="6">
                  <c:v>0.54189045250279344</c:v>
                </c:pt>
                <c:pt idx="7">
                  <c:v>0.56543847815098824</c:v>
                </c:pt>
                <c:pt idx="8">
                  <c:v>0.59457682568474046</c:v>
                </c:pt>
                <c:pt idx="9">
                  <c:v>0.6328207741917089</c:v>
                </c:pt>
                <c:pt idx="10">
                  <c:v>0.68333020421120849</c:v>
                </c:pt>
                <c:pt idx="11">
                  <c:v>0.74524020735652441</c:v>
                </c:pt>
                <c:pt idx="12">
                  <c:v>0.80816746989810162</c:v>
                </c:pt>
                <c:pt idx="13">
                  <c:v>0.85914946735003972</c:v>
                </c:pt>
                <c:pt idx="14">
                  <c:v>0.88691880061992689</c:v>
                </c:pt>
                <c:pt idx="15">
                  <c:v>0.88233328924894572</c:v>
                </c:pt>
                <c:pt idx="16">
                  <c:v>0.82835141787283606</c:v>
                </c:pt>
                <c:pt idx="17">
                  <c:v>0.71455639605442056</c:v>
                </c:pt>
                <c:pt idx="18">
                  <c:v>0.59490811344728323</c:v>
                </c:pt>
                <c:pt idx="19">
                  <c:v>0.51250242617474107</c:v>
                </c:pt>
                <c:pt idx="20">
                  <c:v>0.46541421985666703</c:v>
                </c:pt>
                <c:pt idx="21">
                  <c:v>0.4336795855389774</c:v>
                </c:pt>
                <c:pt idx="22">
                  <c:v>0.41397916551672681</c:v>
                </c:pt>
                <c:pt idx="23">
                  <c:v>0.40217553448411786</c:v>
                </c:pt>
                <c:pt idx="24">
                  <c:v>0.39501639110185399</c:v>
                </c:pt>
                <c:pt idx="25">
                  <c:v>0.39347828163196613</c:v>
                </c:pt>
                <c:pt idx="26">
                  <c:v>0.39158578509903996</c:v>
                </c:pt>
                <c:pt idx="27">
                  <c:v>0.38693297594015463</c:v>
                </c:pt>
                <c:pt idx="28">
                  <c:v>0.38689559191669393</c:v>
                </c:pt>
                <c:pt idx="29">
                  <c:v>0.38486946069725192</c:v>
                </c:pt>
                <c:pt idx="30">
                  <c:v>0.38375611597713882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44239872"/>
        <c:axId val="5442402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2398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4240264"/>
        <c:crosses val="autoZero"/>
        <c:crossBetween val="midCat"/>
        <c:majorUnit val="10000"/>
      </c:valAx>
      <c:valAx>
        <c:axId val="54424026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4239872"/>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44240656"/>
        <c:axId val="54423320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24065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3208"/>
        <c:crosses val="autoZero"/>
        <c:crossBetween val="midCat"/>
        <c:majorUnit val="10000"/>
      </c:valAx>
      <c:valAx>
        <c:axId val="544233208"/>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40656"/>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8.7731154907948854E-3</c:v>
                </c:pt>
                <c:pt idx="1">
                  <c:v>1.1684286154477587E-2</c:v>
                </c:pt>
                <c:pt idx="2">
                  <c:v>3.148995047273413E-3</c:v>
                </c:pt>
                <c:pt idx="3">
                  <c:v>5.2408270907313272E-4</c:v>
                </c:pt>
                <c:pt idx="4">
                  <c:v>7.4799162489973245E-5</c:v>
                </c:pt>
                <c:pt idx="5">
                  <c:v>1.0481626755951572E-5</c:v>
                </c:pt>
                <c:pt idx="6">
                  <c:v>6.5244818218098236E-6</c:v>
                </c:pt>
                <c:pt idx="7">
                  <c:v>1.7346556369328856E-5</c:v>
                </c:pt>
                <c:pt idx="8">
                  <c:v>4.1244258408310483E-5</c:v>
                </c:pt>
                <c:pt idx="9">
                  <c:v>8.4494524574639336E-5</c:v>
                </c:pt>
                <c:pt idx="10">
                  <c:v>1.4908407776215193E-4</c:v>
                </c:pt>
                <c:pt idx="11">
                  <c:v>2.2451879703232016E-4</c:v>
                </c:pt>
                <c:pt idx="12">
                  <c:v>2.8779267751687527E-4</c:v>
                </c:pt>
                <c:pt idx="13">
                  <c:v>3.1436130756891352E-4</c:v>
                </c:pt>
                <c:pt idx="14">
                  <c:v>2.925955496016643E-4</c:v>
                </c:pt>
                <c:pt idx="15">
                  <c:v>2.3439078826980233E-4</c:v>
                </c:pt>
                <c:pt idx="16">
                  <c:v>1.6479813271642012E-4</c:v>
                </c:pt>
                <c:pt idx="17">
                  <c:v>1.0987265822029954E-4</c:v>
                </c:pt>
                <c:pt idx="18">
                  <c:v>6.6234051028853753E-5</c:v>
                </c:pt>
                <c:pt idx="19">
                  <c:v>3.3141453188064549E-5</c:v>
                </c:pt>
                <c:pt idx="20">
                  <c:v>1.2767853698910537E-5</c:v>
                </c:pt>
                <c:pt idx="21">
                  <c:v>3.8240580613040846E-6</c:v>
                </c:pt>
                <c:pt idx="22">
                  <c:v>2.4815955462385755E-6</c:v>
                </c:pt>
                <c:pt idx="23">
                  <c:v>4.3423981362459218E-6</c:v>
                </c:pt>
                <c:pt idx="24">
                  <c:v>4.5227790959513018E-7</c:v>
                </c:pt>
                <c:pt idx="25">
                  <c:v>1.0705488422414316E-5</c:v>
                </c:pt>
                <c:pt idx="26">
                  <c:v>2.3928283696285243E-5</c:v>
                </c:pt>
                <c:pt idx="27">
                  <c:v>6.2834634778921255E-5</c:v>
                </c:pt>
                <c:pt idx="28">
                  <c:v>1.029089809826047E-4</c:v>
                </c:pt>
                <c:pt idx="29">
                  <c:v>1.2491193841579026E-4</c:v>
                </c:pt>
                <c:pt idx="30">
                  <c:v>5.4012964321181152E-5</c:v>
                </c:pt>
              </c:numCache>
            </c:numRef>
          </c:yVal>
          <c:smooth val="1"/>
        </c:ser>
        <c:dLbls>
          <c:showLegendKey val="0"/>
          <c:showVal val="0"/>
          <c:showCatName val="0"/>
          <c:showSerName val="0"/>
          <c:showPercent val="0"/>
          <c:showBubbleSize val="0"/>
        </c:dLbls>
        <c:axId val="544242224"/>
        <c:axId val="544242616"/>
      </c:scatterChart>
      <c:valAx>
        <c:axId val="5442422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42616"/>
        <c:crossesAt val="-1.5000000000000005E-3"/>
        <c:crossBetween val="midCat"/>
      </c:valAx>
      <c:valAx>
        <c:axId val="54424261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4222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6780.5730659016481</c:v>
                </c:pt>
                <c:pt idx="1">
                  <c:v>6721.2222394293585</c:v>
                </c:pt>
                <c:pt idx="2">
                  <c:v>6506.6037704297296</c:v>
                </c:pt>
                <c:pt idx="3">
                  <c:v>6416.3604718630731</c:v>
                </c:pt>
                <c:pt idx="4">
                  <c:v>6286.3326516749657</c:v>
                </c:pt>
                <c:pt idx="5">
                  <c:v>6151.4810401735467</c:v>
                </c:pt>
                <c:pt idx="6">
                  <c:v>5999.0181091272252</c:v>
                </c:pt>
                <c:pt idx="7">
                  <c:v>5834.2930572498381</c:v>
                </c:pt>
                <c:pt idx="8">
                  <c:v>5660.434471427935</c:v>
                </c:pt>
                <c:pt idx="9">
                  <c:v>5501.098578467765</c:v>
                </c:pt>
                <c:pt idx="10">
                  <c:v>5315.2617748595594</c:v>
                </c:pt>
                <c:pt idx="11">
                  <c:v>5096.1057346270163</c:v>
                </c:pt>
                <c:pt idx="12">
                  <c:v>4858.2767950304988</c:v>
                </c:pt>
                <c:pt idx="13">
                  <c:v>4655.2805681799773</c:v>
                </c:pt>
                <c:pt idx="14">
                  <c:v>4467.8676733168213</c:v>
                </c:pt>
                <c:pt idx="15">
                  <c:v>4268.965628864833</c:v>
                </c:pt>
                <c:pt idx="16">
                  <c:v>3976.1231745563819</c:v>
                </c:pt>
                <c:pt idx="17">
                  <c:v>3446.0377273762615</c:v>
                </c:pt>
                <c:pt idx="18">
                  <c:v>2839.1776762165127</c:v>
                </c:pt>
                <c:pt idx="19">
                  <c:v>2338.6496127071741</c:v>
                </c:pt>
                <c:pt idx="20">
                  <c:v>1960.302204333115</c:v>
                </c:pt>
                <c:pt idx="21">
                  <c:v>1656.3249214196153</c:v>
                </c:pt>
                <c:pt idx="22">
                  <c:v>1387.2074056891579</c:v>
                </c:pt>
                <c:pt idx="23">
                  <c:v>1120.1097846174816</c:v>
                </c:pt>
                <c:pt idx="24">
                  <c:v>849.29741015599336</c:v>
                </c:pt>
                <c:pt idx="25">
                  <c:v>602.01412462561314</c:v>
                </c:pt>
                <c:pt idx="26">
                  <c:v>414.56144951255766</c:v>
                </c:pt>
                <c:pt idx="27">
                  <c:v>296.74560141018856</c:v>
                </c:pt>
                <c:pt idx="28">
                  <c:v>236.52828141405783</c:v>
                </c:pt>
                <c:pt idx="29">
                  <c:v>206.62201720776227</c:v>
                </c:pt>
                <c:pt idx="30">
                  <c:v>191.81706588739681</c:v>
                </c:pt>
              </c:numCache>
            </c:numRef>
          </c:yVal>
          <c:smooth val="1"/>
        </c:ser>
        <c:dLbls>
          <c:showLegendKey val="0"/>
          <c:showVal val="0"/>
          <c:showCatName val="0"/>
          <c:showSerName val="0"/>
          <c:showPercent val="0"/>
          <c:showBubbleSize val="0"/>
        </c:dLbls>
        <c:axId val="544243792"/>
        <c:axId val="544244184"/>
      </c:scatterChart>
      <c:valAx>
        <c:axId val="5442437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44184"/>
        <c:crosses val="autoZero"/>
        <c:crossBetween val="midCat"/>
      </c:valAx>
      <c:valAx>
        <c:axId val="54424418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4379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4.6516096530318192E-2</c:v>
                </c:pt>
                <c:pt idx="11">
                  <c:v>6.7564808677139376E-2</c:v>
                </c:pt>
                <c:pt idx="12">
                  <c:v>8.9552638778064228E-2</c:v>
                </c:pt>
                <c:pt idx="13">
                  <c:v>0.10194617038357365</c:v>
                </c:pt>
                <c:pt idx="14">
                  <c:v>0.10892060699437575</c:v>
                </c:pt>
                <c:pt idx="15">
                  <c:v>0.10854158652040412</c:v>
                </c:pt>
                <c:pt idx="16">
                  <c:v>0.11692646855302702</c:v>
                </c:pt>
                <c:pt idx="17">
                  <c:v>0.12707031548508207</c:v>
                </c:pt>
                <c:pt idx="18">
                  <c:v>0.13584015535630231</c:v>
                </c:pt>
                <c:pt idx="19">
                  <c:v>0.1400271564804203</c:v>
                </c:pt>
                <c:pt idx="20">
                  <c:v>0.13594250691543033</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2.3563864716506466E-2</c:v>
                </c:pt>
                <c:pt idx="1">
                  <c:v>2.3504195856771114E-2</c:v>
                </c:pt>
                <c:pt idx="2">
                  <c:v>2.2855244290216677E-2</c:v>
                </c:pt>
                <c:pt idx="3">
                  <c:v>1.8916973774620097E-2</c:v>
                </c:pt>
                <c:pt idx="4">
                  <c:v>2.6557589694356752E-2</c:v>
                </c:pt>
                <c:pt idx="5">
                  <c:v>2.3945117391778816E-2</c:v>
                </c:pt>
                <c:pt idx="6">
                  <c:v>2.6356257467261435E-2</c:v>
                </c:pt>
                <c:pt idx="7">
                  <c:v>2.8061670574288596E-2</c:v>
                </c:pt>
                <c:pt idx="8">
                  <c:v>3.1151183227587267E-2</c:v>
                </c:pt>
                <c:pt idx="9">
                  <c:v>3.3747014013744178E-2</c:v>
                </c:pt>
                <c:pt idx="10">
                  <c:v>3.6007350485729561E-2</c:v>
                </c:pt>
                <c:pt idx="11">
                  <c:v>3.4510678384391154E-2</c:v>
                </c:pt>
                <c:pt idx="12">
                  <c:v>3.9285947184527936E-2</c:v>
                </c:pt>
                <c:pt idx="13">
                  <c:v>4.6995567436229173E-2</c:v>
                </c:pt>
                <c:pt idx="14">
                  <c:v>5.2162465401241399E-2</c:v>
                </c:pt>
                <c:pt idx="15">
                  <c:v>4.7962952801861955E-2</c:v>
                </c:pt>
                <c:pt idx="16">
                  <c:v>3.8608335751110279E-2</c:v>
                </c:pt>
                <c:pt idx="17">
                  <c:v>4.2578583728425058E-3</c:v>
                </c:pt>
                <c:pt idx="18">
                  <c:v>8.9780071394045438E-2</c:v>
                </c:pt>
                <c:pt idx="19">
                  <c:v>0.13932254392862473</c:v>
                </c:pt>
                <c:pt idx="20">
                  <c:v>0.10957483834643188</c:v>
                </c:pt>
                <c:pt idx="21">
                  <c:v>5.0725365602304319E-2</c:v>
                </c:pt>
                <c:pt idx="22">
                  <c:v>8.3478420435517363E-5</c:v>
                </c:pt>
                <c:pt idx="23">
                  <c:v>4.8130274547370948E-2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1.4058937510035008E-4</c:v>
                </c:pt>
                <c:pt idx="11">
                  <c:v>2.3423156711844688E-4</c:v>
                </c:pt>
                <c:pt idx="12">
                  <c:v>2.7738331688320985E-4</c:v>
                </c:pt>
                <c:pt idx="13">
                  <c:v>3.2164684812346618E-4</c:v>
                </c:pt>
                <c:pt idx="14">
                  <c:v>2.8317650752138229E-4</c:v>
                </c:pt>
                <c:pt idx="15">
                  <c:v>2.4279108867973832E-4</c:v>
                </c:pt>
                <c:pt idx="16">
                  <c:v>1.4310515671717828E-4</c:v>
                </c:pt>
                <c:pt idx="17">
                  <c:v>1.4215358676064805E-4</c:v>
                </c:pt>
                <c:pt idx="18">
                  <c:v>3.3152543967547761E-5</c:v>
                </c:pt>
                <c:pt idx="19">
                  <c:v>6.2424214659921102E-5</c:v>
                </c:pt>
                <c:pt idx="20">
                  <c:v>1.6158706182543818E-5</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0.11924441219434059</c:v>
                </c:pt>
                <c:pt idx="11">
                  <c:v>8.5744789888213078E-3</c:v>
                </c:pt>
                <c:pt idx="12">
                  <c:v>0.1115284867800788</c:v>
                </c:pt>
                <c:pt idx="13">
                  <c:v>0.21814312244151093</c:v>
                </c:pt>
                <c:pt idx="14">
                  <c:v>0.14320462383312663</c:v>
                </c:pt>
                <c:pt idx="15">
                  <c:v>3.521987283643576E-2</c:v>
                </c:pt>
                <c:pt idx="16">
                  <c:v>0.21603292861145695</c:v>
                </c:pt>
                <c:pt idx="17">
                  <c:v>0.25574413486680075</c:v>
                </c:pt>
                <c:pt idx="18">
                  <c:v>0.21714066813780741</c:v>
                </c:pt>
                <c:pt idx="19">
                  <c:v>0.15202461432303968</c:v>
                </c:pt>
                <c:pt idx="20">
                  <c:v>0.17381626755256133</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682918664"/>
        <c:axId val="682916704"/>
      </c:scatterChart>
      <c:valAx>
        <c:axId val="6829186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16704"/>
        <c:crossesAt val="1.0000000000000005E-9"/>
        <c:crossBetween val="midCat"/>
      </c:valAx>
      <c:valAx>
        <c:axId val="682916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1866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-21.791859757314405</c:v>
                </c:pt>
                <c:pt idx="1">
                  <c:v>-13.12367018372645</c:v>
                </c:pt>
                <c:pt idx="2">
                  <c:v>-9.5044877068991465</c:v>
                </c:pt>
                <c:pt idx="3">
                  <c:v>-4.7516897055913923</c:v>
                </c:pt>
                <c:pt idx="4">
                  <c:v>0</c:v>
                </c:pt>
                <c:pt idx="5">
                  <c:v>11.590177768105876</c:v>
                </c:pt>
                <c:pt idx="6">
                  <c:v>24.749725021281535</c:v>
                </c:pt>
              </c:numCache>
            </c:numRef>
          </c:yVal>
          <c:smooth val="0"/>
        </c:ser>
        <c:dLbls>
          <c:showLegendKey val="0"/>
          <c:showVal val="0"/>
          <c:showCatName val="0"/>
          <c:showSerName val="0"/>
          <c:showPercent val="0"/>
          <c:showBubbleSize val="0"/>
        </c:dLbls>
        <c:axId val="682927680"/>
        <c:axId val="682919840"/>
      </c:scatterChart>
      <c:valAx>
        <c:axId val="682927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19840"/>
        <c:crossesAt val="-100"/>
        <c:crossBetween val="midCat"/>
      </c:valAx>
      <c:valAx>
        <c:axId val="68291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768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ser>
        <c:dLbls>
          <c:showLegendKey val="0"/>
          <c:showVal val="0"/>
          <c:showCatName val="0"/>
          <c:showSerName val="0"/>
          <c:showPercent val="0"/>
          <c:showBubbleSize val="0"/>
        </c:dLbls>
        <c:axId val="682917096"/>
        <c:axId val="682922192"/>
      </c:scatterChart>
      <c:valAx>
        <c:axId val="68291709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2192"/>
        <c:crosses val="autoZero"/>
        <c:crossBetween val="midCat"/>
      </c:valAx>
      <c:valAx>
        <c:axId val="68292219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1709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3.4349115394182919E-25</c:v>
                </c:pt>
                <c:pt idx="1">
                  <c:v>3.4349115394182918E-24</c:v>
                </c:pt>
                <c:pt idx="2">
                  <c:v>3.4349115394182919E-23</c:v>
                </c:pt>
                <c:pt idx="3">
                  <c:v>3.4349115394182919E-22</c:v>
                </c:pt>
                <c:pt idx="4">
                  <c:v>3.4349115394182918E-21</c:v>
                </c:pt>
                <c:pt idx="5">
                  <c:v>3.4349115394182918E-20</c:v>
                </c:pt>
                <c:pt idx="6">
                  <c:v>3.4349115394182922E-19</c:v>
                </c:pt>
                <c:pt idx="7">
                  <c:v>3.4349115394182919E-18</c:v>
                </c:pt>
                <c:pt idx="8">
                  <c:v>3.4349115394182916E-17</c:v>
                </c:pt>
                <c:pt idx="9">
                  <c:v>3.4349115394182916E-16</c:v>
                </c:pt>
                <c:pt idx="10">
                  <c:v>3.4349115394182922E-15</c:v>
                </c:pt>
                <c:pt idx="11">
                  <c:v>3.4349115394182922E-14</c:v>
                </c:pt>
                <c:pt idx="12">
                  <c:v>3.4349115394182919E-13</c:v>
                </c:pt>
                <c:pt idx="13">
                  <c:v>3.4349115394182921E-12</c:v>
                </c:pt>
                <c:pt idx="14">
                  <c:v>3.434911539418292E-11</c:v>
                </c:pt>
                <c:pt idx="15">
                  <c:v>3.434911539418292E-10</c:v>
                </c:pt>
                <c:pt idx="16">
                  <c:v>3.4349115394182918E-9</c:v>
                </c:pt>
                <c:pt idx="17">
                  <c:v>3.4349115394182921E-8</c:v>
                </c:pt>
                <c:pt idx="18">
                  <c:v>3.4349115394182918E-7</c:v>
                </c:pt>
                <c:pt idx="19">
                  <c:v>3.4349115394182919E-6</c:v>
                </c:pt>
                <c:pt idx="20">
                  <c:v>3.4349115394182917E-5</c:v>
                </c:pt>
                <c:pt idx="21">
                  <c:v>3.434911539418292E-4</c:v>
                </c:pt>
                <c:pt idx="22">
                  <c:v>3.4349115394182918E-3</c:v>
                </c:pt>
                <c:pt idx="23">
                  <c:v>3.4349115394182915E-2</c:v>
                </c:pt>
                <c:pt idx="24">
                  <c:v>0.34349115394182916</c:v>
                </c:pt>
                <c:pt idx="25">
                  <c:v>3.4349115394182919</c:v>
                </c:pt>
                <c:pt idx="26">
                  <c:v>34.349115394182917</c:v>
                </c:pt>
                <c:pt idx="27">
                  <c:v>343.49115394182917</c:v>
                </c:pt>
                <c:pt idx="28">
                  <c:v>3434.9115394182918</c:v>
                </c:pt>
                <c:pt idx="29">
                  <c:v>34349.115394182918</c:v>
                </c:pt>
                <c:pt idx="30">
                  <c:v>343491.15394182916</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1.9973880943548683E-21</c:v>
                </c:pt>
                <c:pt idx="1">
                  <c:v>1.9973880943548683E-20</c:v>
                </c:pt>
                <c:pt idx="2">
                  <c:v>1.9973880943548683E-19</c:v>
                </c:pt>
                <c:pt idx="3">
                  <c:v>1.9973880943548682E-18</c:v>
                </c:pt>
                <c:pt idx="4">
                  <c:v>1.9973880943548682E-17</c:v>
                </c:pt>
                <c:pt idx="5">
                  <c:v>1.9973880943548683E-16</c:v>
                </c:pt>
                <c:pt idx="6">
                  <c:v>1.9973880943548682E-15</c:v>
                </c:pt>
                <c:pt idx="7">
                  <c:v>1.9973880943548682E-14</c:v>
                </c:pt>
                <c:pt idx="8">
                  <c:v>1.9973880943548681E-13</c:v>
                </c:pt>
                <c:pt idx="9">
                  <c:v>1.9973880943548683E-12</c:v>
                </c:pt>
                <c:pt idx="10">
                  <c:v>1.9973880943548685E-11</c:v>
                </c:pt>
                <c:pt idx="11">
                  <c:v>1.9973880943548684E-10</c:v>
                </c:pt>
                <c:pt idx="12">
                  <c:v>1.9973880943548684E-9</c:v>
                </c:pt>
                <c:pt idx="13">
                  <c:v>1.9973880943548684E-8</c:v>
                </c:pt>
                <c:pt idx="14">
                  <c:v>1.9973880943548683E-7</c:v>
                </c:pt>
                <c:pt idx="15">
                  <c:v>1.9973880943548682E-6</c:v>
                </c:pt>
                <c:pt idx="16">
                  <c:v>1.9973880943548683E-5</c:v>
                </c:pt>
                <c:pt idx="17">
                  <c:v>1.9973880943548682E-4</c:v>
                </c:pt>
                <c:pt idx="18">
                  <c:v>1.9973880943548682E-3</c:v>
                </c:pt>
                <c:pt idx="19">
                  <c:v>1.9973880943548683E-2</c:v>
                </c:pt>
                <c:pt idx="20">
                  <c:v>0.19973880943548683</c:v>
                </c:pt>
                <c:pt idx="21">
                  <c:v>1.9973880943548683</c:v>
                </c:pt>
                <c:pt idx="22">
                  <c:v>19.973880943548682</c:v>
                </c:pt>
                <c:pt idx="23">
                  <c:v>199.73880943548681</c:v>
                </c:pt>
                <c:pt idx="24">
                  <c:v>1997.3880943548681</c:v>
                </c:pt>
                <c:pt idx="25">
                  <c:v>19973.880943548684</c:v>
                </c:pt>
                <c:pt idx="26">
                  <c:v>199738.80943548682</c:v>
                </c:pt>
                <c:pt idx="27">
                  <c:v>1997388.0943548682</c:v>
                </c:pt>
                <c:pt idx="28">
                  <c:v>19973880.943548683</c:v>
                </c:pt>
                <c:pt idx="29">
                  <c:v>199738809.43548682</c:v>
                </c:pt>
                <c:pt idx="30">
                  <c:v>1997388094.3548682</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7.4516669427751229E-20</c:v>
                </c:pt>
                <c:pt idx="1">
                  <c:v>7.4516669427751222E-19</c:v>
                </c:pt>
                <c:pt idx="2">
                  <c:v>7.4516669427751218E-18</c:v>
                </c:pt>
                <c:pt idx="3">
                  <c:v>7.4516669427751224E-17</c:v>
                </c:pt>
                <c:pt idx="4">
                  <c:v>7.4516669427751212E-16</c:v>
                </c:pt>
                <c:pt idx="5">
                  <c:v>7.4516669427751216E-15</c:v>
                </c:pt>
                <c:pt idx="6">
                  <c:v>7.4516669427751225E-14</c:v>
                </c:pt>
                <c:pt idx="7">
                  <c:v>7.4516669427751218E-13</c:v>
                </c:pt>
                <c:pt idx="8">
                  <c:v>7.451666942775122E-12</c:v>
                </c:pt>
                <c:pt idx="9">
                  <c:v>7.4516669427751213E-11</c:v>
                </c:pt>
                <c:pt idx="10">
                  <c:v>7.4516669427751231E-10</c:v>
                </c:pt>
                <c:pt idx="11">
                  <c:v>7.4516669427751217E-9</c:v>
                </c:pt>
                <c:pt idx="12">
                  <c:v>7.4516669427751223E-8</c:v>
                </c:pt>
                <c:pt idx="13">
                  <c:v>7.4516669427751221E-7</c:v>
                </c:pt>
                <c:pt idx="14">
                  <c:v>7.4516669427751223E-6</c:v>
                </c:pt>
                <c:pt idx="15">
                  <c:v>7.4516669427751218E-5</c:v>
                </c:pt>
                <c:pt idx="16">
                  <c:v>7.4516669427751223E-4</c:v>
                </c:pt>
                <c:pt idx="17">
                  <c:v>7.4516669427751219E-3</c:v>
                </c:pt>
                <c:pt idx="18">
                  <c:v>7.4516669427751217E-2</c:v>
                </c:pt>
                <c:pt idx="19">
                  <c:v>0.74516669427751225</c:v>
                </c:pt>
                <c:pt idx="20">
                  <c:v>7.4516669427751223</c:v>
                </c:pt>
                <c:pt idx="21">
                  <c:v>74.516669427751225</c:v>
                </c:pt>
                <c:pt idx="22">
                  <c:v>745.16669427751219</c:v>
                </c:pt>
                <c:pt idx="23">
                  <c:v>7451.6669427751222</c:v>
                </c:pt>
                <c:pt idx="24">
                  <c:v>74516.669427751214</c:v>
                </c:pt>
                <c:pt idx="25">
                  <c:v>745166.69427751226</c:v>
                </c:pt>
                <c:pt idx="26">
                  <c:v>7451666.9427751219</c:v>
                </c:pt>
                <c:pt idx="27">
                  <c:v>74516669.427751213</c:v>
                </c:pt>
                <c:pt idx="28">
                  <c:v>745166694.27751219</c:v>
                </c:pt>
                <c:pt idx="29">
                  <c:v>7451666942.7751217</c:v>
                </c:pt>
                <c:pt idx="30">
                  <c:v>74516669427.751221</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8.6370887291565159E-18</c:v>
                </c:pt>
                <c:pt idx="1">
                  <c:v>8.6370887291565149E-17</c:v>
                </c:pt>
                <c:pt idx="2">
                  <c:v>8.6370887291565149E-16</c:v>
                </c:pt>
                <c:pt idx="3">
                  <c:v>8.637088729156514E-15</c:v>
                </c:pt>
                <c:pt idx="4">
                  <c:v>8.6370887291565136E-14</c:v>
                </c:pt>
                <c:pt idx="5">
                  <c:v>8.6370887291565149E-13</c:v>
                </c:pt>
                <c:pt idx="6">
                  <c:v>8.6370887291565155E-12</c:v>
                </c:pt>
                <c:pt idx="7">
                  <c:v>8.6370887291565149E-11</c:v>
                </c:pt>
                <c:pt idx="8">
                  <c:v>8.6370887291565143E-10</c:v>
                </c:pt>
                <c:pt idx="9">
                  <c:v>8.6370887291565135E-9</c:v>
                </c:pt>
                <c:pt idx="10">
                  <c:v>8.6370887291565152E-8</c:v>
                </c:pt>
                <c:pt idx="11">
                  <c:v>8.6370887291565149E-7</c:v>
                </c:pt>
                <c:pt idx="12">
                  <c:v>8.6370887291565147E-6</c:v>
                </c:pt>
                <c:pt idx="13">
                  <c:v>8.6370887291565147E-5</c:v>
                </c:pt>
                <c:pt idx="14">
                  <c:v>8.6370887291565147E-4</c:v>
                </c:pt>
                <c:pt idx="15">
                  <c:v>8.637088729156514E-3</c:v>
                </c:pt>
                <c:pt idx="16">
                  <c:v>8.637088729156514E-2</c:v>
                </c:pt>
                <c:pt idx="17">
                  <c:v>0.86370887291565146</c:v>
                </c:pt>
                <c:pt idx="18">
                  <c:v>8.637088729156515</c:v>
                </c:pt>
                <c:pt idx="19">
                  <c:v>86.37088729156514</c:v>
                </c:pt>
                <c:pt idx="20">
                  <c:v>863.70887291565145</c:v>
                </c:pt>
                <c:pt idx="21">
                  <c:v>8637.0887291565141</c:v>
                </c:pt>
                <c:pt idx="22">
                  <c:v>86370.887291565145</c:v>
                </c:pt>
                <c:pt idx="23">
                  <c:v>863708.87291565142</c:v>
                </c:pt>
                <c:pt idx="24">
                  <c:v>8637088.7291565146</c:v>
                </c:pt>
                <c:pt idx="25">
                  <c:v>86370887.29156515</c:v>
                </c:pt>
                <c:pt idx="26">
                  <c:v>863708872.91565144</c:v>
                </c:pt>
                <c:pt idx="27">
                  <c:v>8637088729.1565151</c:v>
                </c:pt>
                <c:pt idx="28">
                  <c:v>86370887291.56514</c:v>
                </c:pt>
                <c:pt idx="29">
                  <c:v>863708872915.65149</c:v>
                </c:pt>
                <c:pt idx="30">
                  <c:v>8637088729156.5146</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1.0803146087740475E-10</c:v>
                </c:pt>
                <c:pt idx="1">
                  <c:v>1.0803146087740474E-9</c:v>
                </c:pt>
                <c:pt idx="2">
                  <c:v>1.0803146087740473E-8</c:v>
                </c:pt>
                <c:pt idx="3">
                  <c:v>1.0803146087740473E-7</c:v>
                </c:pt>
                <c:pt idx="4">
                  <c:v>1.0803146087740472E-6</c:v>
                </c:pt>
                <c:pt idx="5">
                  <c:v>1.0803146087740474E-5</c:v>
                </c:pt>
                <c:pt idx="6">
                  <c:v>1.0803146087740474E-4</c:v>
                </c:pt>
                <c:pt idx="7">
                  <c:v>1.0803146087740474E-3</c:v>
                </c:pt>
                <c:pt idx="8">
                  <c:v>1.0803146087740472E-2</c:v>
                </c:pt>
                <c:pt idx="9">
                  <c:v>0.10803146087740473</c:v>
                </c:pt>
                <c:pt idx="10">
                  <c:v>1.0803146087740474</c:v>
                </c:pt>
                <c:pt idx="11">
                  <c:v>10.803146087740474</c:v>
                </c:pt>
                <c:pt idx="12">
                  <c:v>108.03146087740474</c:v>
                </c:pt>
                <c:pt idx="13">
                  <c:v>1080.3146087740474</c:v>
                </c:pt>
                <c:pt idx="14">
                  <c:v>10803.146087740473</c:v>
                </c:pt>
                <c:pt idx="15">
                  <c:v>108031.46087740474</c:v>
                </c:pt>
                <c:pt idx="16">
                  <c:v>1080314.6087740473</c:v>
                </c:pt>
                <c:pt idx="17">
                  <c:v>10803146.087740473</c:v>
                </c:pt>
                <c:pt idx="18">
                  <c:v>108031460.87740473</c:v>
                </c:pt>
                <c:pt idx="19">
                  <c:v>1080314608.7740474</c:v>
                </c:pt>
                <c:pt idx="20">
                  <c:v>10803146087.740473</c:v>
                </c:pt>
                <c:pt idx="21">
                  <c:v>108031460877.40474</c:v>
                </c:pt>
                <c:pt idx="22">
                  <c:v>1080314608774.0474</c:v>
                </c:pt>
                <c:pt idx="23">
                  <c:v>10803146087740.473</c:v>
                </c:pt>
                <c:pt idx="24">
                  <c:v>108031460877404.73</c:v>
                </c:pt>
                <c:pt idx="25">
                  <c:v>1080314608774047.4</c:v>
                </c:pt>
                <c:pt idx="26">
                  <c:v>1.0803146087740474E+16</c:v>
                </c:pt>
                <c:pt idx="27">
                  <c:v>1.0803146087740474E+17</c:v>
                </c:pt>
                <c:pt idx="28">
                  <c:v>1.0803146087740474E+18</c:v>
                </c:pt>
                <c:pt idx="29">
                  <c:v>1.0803146087740473E+19</c:v>
                </c:pt>
                <c:pt idx="30">
                  <c:v>1.0803146087740473E+20</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5.6062053997458421E-5</c:v>
                </c:pt>
                <c:pt idx="1">
                  <c:v>5.6062053997458421E-4</c:v>
                </c:pt>
                <c:pt idx="2">
                  <c:v>5.6062053997458419E-3</c:v>
                </c:pt>
                <c:pt idx="3">
                  <c:v>5.6062053997458415E-2</c:v>
                </c:pt>
                <c:pt idx="4">
                  <c:v>0.56062053997458416</c:v>
                </c:pt>
                <c:pt idx="5">
                  <c:v>5.6062053997458419</c:v>
                </c:pt>
                <c:pt idx="6">
                  <c:v>56.06205399745842</c:v>
                </c:pt>
                <c:pt idx="7">
                  <c:v>560.62053997458418</c:v>
                </c:pt>
                <c:pt idx="8">
                  <c:v>5606.2053997458415</c:v>
                </c:pt>
                <c:pt idx="9">
                  <c:v>56062.053997458417</c:v>
                </c:pt>
                <c:pt idx="10">
                  <c:v>560620.53997458424</c:v>
                </c:pt>
                <c:pt idx="11">
                  <c:v>5606205.3997458424</c:v>
                </c:pt>
                <c:pt idx="12">
                  <c:v>56062053.997458421</c:v>
                </c:pt>
                <c:pt idx="13">
                  <c:v>560620539.97458422</c:v>
                </c:pt>
                <c:pt idx="14">
                  <c:v>5606205399.745842</c:v>
                </c:pt>
                <c:pt idx="15">
                  <c:v>56062053997.45842</c:v>
                </c:pt>
                <c:pt idx="16">
                  <c:v>560620539974.58423</c:v>
                </c:pt>
                <c:pt idx="17">
                  <c:v>5606205399745.8418</c:v>
                </c:pt>
                <c:pt idx="18">
                  <c:v>56062053997458.414</c:v>
                </c:pt>
                <c:pt idx="19">
                  <c:v>560620539974584.19</c:v>
                </c:pt>
                <c:pt idx="20">
                  <c:v>5606205399745842</c:v>
                </c:pt>
                <c:pt idx="21">
                  <c:v>5.6062053997458416E+16</c:v>
                </c:pt>
                <c:pt idx="22">
                  <c:v>5.6062053997458419E+17</c:v>
                </c:pt>
                <c:pt idx="23">
                  <c:v>5.6062053997458422E+18</c:v>
                </c:pt>
                <c:pt idx="24">
                  <c:v>5.6062053997458416E+19</c:v>
                </c:pt>
                <c:pt idx="25">
                  <c:v>5.6062053997458417E+20</c:v>
                </c:pt>
                <c:pt idx="26">
                  <c:v>5.6062053997458416E+21</c:v>
                </c:pt>
                <c:pt idx="27">
                  <c:v>5.6062053997458418E+22</c:v>
                </c:pt>
                <c:pt idx="28">
                  <c:v>5.6062053997458415E+23</c:v>
                </c:pt>
                <c:pt idx="29">
                  <c:v>5.6062053997458415E+24</c:v>
                </c:pt>
                <c:pt idx="30">
                  <c:v>5.6062053997458417E+25</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682920624"/>
        <c:axId val="682926504"/>
      </c:scatterChart>
      <c:valAx>
        <c:axId val="68292062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6504"/>
        <c:crosses val="autoZero"/>
        <c:crossBetween val="midCat"/>
      </c:valAx>
      <c:valAx>
        <c:axId val="682926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062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3.4349115394182919E-25</c:v>
                </c:pt>
                <c:pt idx="1">
                  <c:v>3.4349115394182918E-24</c:v>
                </c:pt>
                <c:pt idx="2">
                  <c:v>3.4349115394182919E-23</c:v>
                </c:pt>
                <c:pt idx="3">
                  <c:v>3.4349115394182919E-22</c:v>
                </c:pt>
                <c:pt idx="4">
                  <c:v>3.4349115394182918E-21</c:v>
                </c:pt>
                <c:pt idx="5">
                  <c:v>3.4349115394182918E-20</c:v>
                </c:pt>
                <c:pt idx="6">
                  <c:v>3.4349115394182922E-19</c:v>
                </c:pt>
                <c:pt idx="7">
                  <c:v>3.4349115394182919E-18</c:v>
                </c:pt>
                <c:pt idx="8">
                  <c:v>3.4349115394182916E-17</c:v>
                </c:pt>
                <c:pt idx="9">
                  <c:v>3.4349115394182916E-16</c:v>
                </c:pt>
                <c:pt idx="10">
                  <c:v>3.4349115394182922E-15</c:v>
                </c:pt>
                <c:pt idx="11">
                  <c:v>3.4349115394182922E-14</c:v>
                </c:pt>
                <c:pt idx="12">
                  <c:v>3.4349115394182919E-13</c:v>
                </c:pt>
                <c:pt idx="13">
                  <c:v>3.4349115394182921E-12</c:v>
                </c:pt>
                <c:pt idx="14">
                  <c:v>3.434911539418292E-11</c:v>
                </c:pt>
                <c:pt idx="15">
                  <c:v>3.434911539418292E-10</c:v>
                </c:pt>
                <c:pt idx="16">
                  <c:v>3.4349115394182918E-9</c:v>
                </c:pt>
                <c:pt idx="17">
                  <c:v>3.4349115394182921E-8</c:v>
                </c:pt>
                <c:pt idx="18">
                  <c:v>3.4349115394182918E-7</c:v>
                </c:pt>
                <c:pt idx="19">
                  <c:v>3.4349115394182919E-6</c:v>
                </c:pt>
                <c:pt idx="20">
                  <c:v>3.4349115394182917E-5</c:v>
                </c:pt>
                <c:pt idx="21">
                  <c:v>3.434911539418292E-4</c:v>
                </c:pt>
                <c:pt idx="22">
                  <c:v>3.4349115394182918E-3</c:v>
                </c:pt>
                <c:pt idx="23">
                  <c:v>3.4349115394182915E-2</c:v>
                </c:pt>
                <c:pt idx="24">
                  <c:v>0.34349115394182916</c:v>
                </c:pt>
                <c:pt idx="25">
                  <c:v>3.4349115394182919</c:v>
                </c:pt>
                <c:pt idx="26">
                  <c:v>34.349115394182917</c:v>
                </c:pt>
                <c:pt idx="27">
                  <c:v>343.49115394182917</c:v>
                </c:pt>
                <c:pt idx="28">
                  <c:v>3434.9115394182918</c:v>
                </c:pt>
                <c:pt idx="29">
                  <c:v>34349.115394182918</c:v>
                </c:pt>
                <c:pt idx="30">
                  <c:v>343491.15394182916</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1.9973880943548683E-21</c:v>
                </c:pt>
                <c:pt idx="1">
                  <c:v>1.9973880943548683E-20</c:v>
                </c:pt>
                <c:pt idx="2">
                  <c:v>1.9973880943548683E-19</c:v>
                </c:pt>
                <c:pt idx="3">
                  <c:v>1.9973880943548682E-18</c:v>
                </c:pt>
                <c:pt idx="4">
                  <c:v>1.9973880943548682E-17</c:v>
                </c:pt>
                <c:pt idx="5">
                  <c:v>1.9973880943548683E-16</c:v>
                </c:pt>
                <c:pt idx="6">
                  <c:v>1.9973880943548682E-15</c:v>
                </c:pt>
                <c:pt idx="7">
                  <c:v>1.9973880943548682E-14</c:v>
                </c:pt>
                <c:pt idx="8">
                  <c:v>1.9973880943548681E-13</c:v>
                </c:pt>
                <c:pt idx="9">
                  <c:v>1.9973880943548683E-12</c:v>
                </c:pt>
                <c:pt idx="10">
                  <c:v>1.9973880943548685E-11</c:v>
                </c:pt>
                <c:pt idx="11">
                  <c:v>1.9973880943548684E-10</c:v>
                </c:pt>
                <c:pt idx="12">
                  <c:v>1.9973880943548684E-9</c:v>
                </c:pt>
                <c:pt idx="13">
                  <c:v>1.9973880943548684E-8</c:v>
                </c:pt>
                <c:pt idx="14">
                  <c:v>1.9973880943548683E-7</c:v>
                </c:pt>
                <c:pt idx="15">
                  <c:v>1.9973880943548682E-6</c:v>
                </c:pt>
                <c:pt idx="16">
                  <c:v>1.9973880943548683E-5</c:v>
                </c:pt>
                <c:pt idx="17">
                  <c:v>1.9973880943548682E-4</c:v>
                </c:pt>
                <c:pt idx="18">
                  <c:v>1.9973880943548682E-3</c:v>
                </c:pt>
                <c:pt idx="19">
                  <c:v>1.9973880943548683E-2</c:v>
                </c:pt>
                <c:pt idx="20">
                  <c:v>0.19973880943548683</c:v>
                </c:pt>
                <c:pt idx="21">
                  <c:v>1.9973880943548683</c:v>
                </c:pt>
                <c:pt idx="22">
                  <c:v>19.973880943548682</c:v>
                </c:pt>
                <c:pt idx="23">
                  <c:v>199.73880943548681</c:v>
                </c:pt>
                <c:pt idx="24">
                  <c:v>1997.3880943548681</c:v>
                </c:pt>
                <c:pt idx="25">
                  <c:v>19973.880943548684</c:v>
                </c:pt>
                <c:pt idx="26">
                  <c:v>199738.80943548682</c:v>
                </c:pt>
                <c:pt idx="27">
                  <c:v>1997388.0943548682</c:v>
                </c:pt>
                <c:pt idx="28">
                  <c:v>19973880.943548683</c:v>
                </c:pt>
                <c:pt idx="29">
                  <c:v>199738809.43548682</c:v>
                </c:pt>
                <c:pt idx="30">
                  <c:v>1997388094.3548682</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7.4516669427751229E-20</c:v>
                </c:pt>
                <c:pt idx="1">
                  <c:v>7.4516669427751222E-19</c:v>
                </c:pt>
                <c:pt idx="2">
                  <c:v>7.4516669427751218E-18</c:v>
                </c:pt>
                <c:pt idx="3">
                  <c:v>7.4516669427751224E-17</c:v>
                </c:pt>
                <c:pt idx="4">
                  <c:v>7.4516669427751212E-16</c:v>
                </c:pt>
                <c:pt idx="5">
                  <c:v>7.4516669427751216E-15</c:v>
                </c:pt>
                <c:pt idx="6">
                  <c:v>7.4516669427751225E-14</c:v>
                </c:pt>
                <c:pt idx="7">
                  <c:v>7.4516669427751218E-13</c:v>
                </c:pt>
                <c:pt idx="8">
                  <c:v>7.451666942775122E-12</c:v>
                </c:pt>
                <c:pt idx="9">
                  <c:v>7.4516669427751213E-11</c:v>
                </c:pt>
                <c:pt idx="10">
                  <c:v>7.4516669427751231E-10</c:v>
                </c:pt>
                <c:pt idx="11">
                  <c:v>7.4516669427751217E-9</c:v>
                </c:pt>
                <c:pt idx="12">
                  <c:v>7.4516669427751223E-8</c:v>
                </c:pt>
                <c:pt idx="13">
                  <c:v>7.4516669427751221E-7</c:v>
                </c:pt>
                <c:pt idx="14">
                  <c:v>7.4516669427751223E-6</c:v>
                </c:pt>
                <c:pt idx="15">
                  <c:v>7.4516669427751218E-5</c:v>
                </c:pt>
                <c:pt idx="16">
                  <c:v>7.4516669427751223E-4</c:v>
                </c:pt>
                <c:pt idx="17">
                  <c:v>7.4516669427751219E-3</c:v>
                </c:pt>
                <c:pt idx="18">
                  <c:v>7.4516669427751217E-2</c:v>
                </c:pt>
                <c:pt idx="19">
                  <c:v>0.74516669427751225</c:v>
                </c:pt>
                <c:pt idx="20">
                  <c:v>7.4516669427751223</c:v>
                </c:pt>
                <c:pt idx="21">
                  <c:v>74.516669427751225</c:v>
                </c:pt>
                <c:pt idx="22">
                  <c:v>745.16669427751219</c:v>
                </c:pt>
                <c:pt idx="23">
                  <c:v>7451.6669427751222</c:v>
                </c:pt>
                <c:pt idx="24">
                  <c:v>74516.669427751214</c:v>
                </c:pt>
                <c:pt idx="25">
                  <c:v>745166.69427751226</c:v>
                </c:pt>
                <c:pt idx="26">
                  <c:v>7451666.9427751219</c:v>
                </c:pt>
                <c:pt idx="27">
                  <c:v>74516669.427751213</c:v>
                </c:pt>
                <c:pt idx="28">
                  <c:v>745166694.27751219</c:v>
                </c:pt>
                <c:pt idx="29">
                  <c:v>7451666942.7751217</c:v>
                </c:pt>
                <c:pt idx="30">
                  <c:v>74516669427.751221</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8.6370887291565159E-18</c:v>
                </c:pt>
                <c:pt idx="1">
                  <c:v>8.6370887291565149E-17</c:v>
                </c:pt>
                <c:pt idx="2">
                  <c:v>8.6370887291565149E-16</c:v>
                </c:pt>
                <c:pt idx="3">
                  <c:v>8.637088729156514E-15</c:v>
                </c:pt>
                <c:pt idx="4">
                  <c:v>8.6370887291565136E-14</c:v>
                </c:pt>
                <c:pt idx="5">
                  <c:v>8.6370887291565149E-13</c:v>
                </c:pt>
                <c:pt idx="6">
                  <c:v>8.6370887291565155E-12</c:v>
                </c:pt>
                <c:pt idx="7">
                  <c:v>8.6370887291565149E-11</c:v>
                </c:pt>
                <c:pt idx="8">
                  <c:v>8.6370887291565143E-10</c:v>
                </c:pt>
                <c:pt idx="9">
                  <c:v>8.6370887291565135E-9</c:v>
                </c:pt>
                <c:pt idx="10">
                  <c:v>8.6370887291565152E-8</c:v>
                </c:pt>
                <c:pt idx="11">
                  <c:v>8.6370887291565149E-7</c:v>
                </c:pt>
                <c:pt idx="12">
                  <c:v>8.6370887291565147E-6</c:v>
                </c:pt>
                <c:pt idx="13">
                  <c:v>8.6370887291565147E-5</c:v>
                </c:pt>
                <c:pt idx="14">
                  <c:v>8.6370887291565147E-4</c:v>
                </c:pt>
                <c:pt idx="15">
                  <c:v>8.637088729156514E-3</c:v>
                </c:pt>
                <c:pt idx="16">
                  <c:v>8.637088729156514E-2</c:v>
                </c:pt>
                <c:pt idx="17">
                  <c:v>0.86370887291565146</c:v>
                </c:pt>
                <c:pt idx="18">
                  <c:v>8.637088729156515</c:v>
                </c:pt>
                <c:pt idx="19">
                  <c:v>86.37088729156514</c:v>
                </c:pt>
                <c:pt idx="20">
                  <c:v>863.70887291565145</c:v>
                </c:pt>
                <c:pt idx="21">
                  <c:v>8637.0887291565141</c:v>
                </c:pt>
                <c:pt idx="22">
                  <c:v>86370.887291565145</c:v>
                </c:pt>
                <c:pt idx="23">
                  <c:v>863708.87291565142</c:v>
                </c:pt>
                <c:pt idx="24">
                  <c:v>8637088.7291565146</c:v>
                </c:pt>
                <c:pt idx="25">
                  <c:v>86370887.29156515</c:v>
                </c:pt>
                <c:pt idx="26">
                  <c:v>863708872.91565144</c:v>
                </c:pt>
                <c:pt idx="27">
                  <c:v>8637088729.1565151</c:v>
                </c:pt>
                <c:pt idx="28">
                  <c:v>86370887291.56514</c:v>
                </c:pt>
                <c:pt idx="29">
                  <c:v>863708872915.65149</c:v>
                </c:pt>
                <c:pt idx="30">
                  <c:v>8637088729156.5146</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1.0803146087740475E-10</c:v>
                </c:pt>
                <c:pt idx="1">
                  <c:v>1.0803146087740474E-9</c:v>
                </c:pt>
                <c:pt idx="2">
                  <c:v>1.0803146087740473E-8</c:v>
                </c:pt>
                <c:pt idx="3">
                  <c:v>1.0803146087740473E-7</c:v>
                </c:pt>
                <c:pt idx="4">
                  <c:v>1.0803146087740472E-6</c:v>
                </c:pt>
                <c:pt idx="5">
                  <c:v>1.0803146087740474E-5</c:v>
                </c:pt>
                <c:pt idx="6">
                  <c:v>1.0803146087740474E-4</c:v>
                </c:pt>
                <c:pt idx="7">
                  <c:v>1.0803146087740474E-3</c:v>
                </c:pt>
                <c:pt idx="8">
                  <c:v>1.0803146087740472E-2</c:v>
                </c:pt>
                <c:pt idx="9">
                  <c:v>0.10803146087740473</c:v>
                </c:pt>
                <c:pt idx="10">
                  <c:v>1.0803146087740474</c:v>
                </c:pt>
                <c:pt idx="11">
                  <c:v>10.803146087740474</c:v>
                </c:pt>
                <c:pt idx="12">
                  <c:v>108.03146087740474</c:v>
                </c:pt>
                <c:pt idx="13">
                  <c:v>1080.3146087740474</c:v>
                </c:pt>
                <c:pt idx="14">
                  <c:v>10803.146087740473</c:v>
                </c:pt>
                <c:pt idx="15">
                  <c:v>108031.46087740474</c:v>
                </c:pt>
                <c:pt idx="16">
                  <c:v>1080314.6087740473</c:v>
                </c:pt>
                <c:pt idx="17">
                  <c:v>10803146.087740473</c:v>
                </c:pt>
                <c:pt idx="18">
                  <c:v>108031460.87740473</c:v>
                </c:pt>
                <c:pt idx="19">
                  <c:v>1080314608.7740474</c:v>
                </c:pt>
                <c:pt idx="20">
                  <c:v>10803146087.740473</c:v>
                </c:pt>
                <c:pt idx="21">
                  <c:v>108031460877.40474</c:v>
                </c:pt>
                <c:pt idx="22">
                  <c:v>1080314608774.0474</c:v>
                </c:pt>
                <c:pt idx="23">
                  <c:v>10803146087740.473</c:v>
                </c:pt>
                <c:pt idx="24">
                  <c:v>108031460877404.73</c:v>
                </c:pt>
                <c:pt idx="25">
                  <c:v>1080314608774047.4</c:v>
                </c:pt>
                <c:pt idx="26">
                  <c:v>1.0803146087740474E+16</c:v>
                </c:pt>
                <c:pt idx="27">
                  <c:v>1.0803146087740474E+17</c:v>
                </c:pt>
                <c:pt idx="28">
                  <c:v>1.0803146087740474E+18</c:v>
                </c:pt>
                <c:pt idx="29">
                  <c:v>1.0803146087740473E+19</c:v>
                </c:pt>
                <c:pt idx="30">
                  <c:v>1.0803146087740473E+20</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5.6062053997458421E-5</c:v>
                </c:pt>
                <c:pt idx="1">
                  <c:v>5.6062053997458421E-4</c:v>
                </c:pt>
                <c:pt idx="2">
                  <c:v>5.6062053997458419E-3</c:v>
                </c:pt>
                <c:pt idx="3">
                  <c:v>5.6062053997458415E-2</c:v>
                </c:pt>
                <c:pt idx="4">
                  <c:v>0.56062053997458416</c:v>
                </c:pt>
                <c:pt idx="5">
                  <c:v>5.6062053997458419</c:v>
                </c:pt>
                <c:pt idx="6">
                  <c:v>56.06205399745842</c:v>
                </c:pt>
                <c:pt idx="7">
                  <c:v>560.62053997458418</c:v>
                </c:pt>
                <c:pt idx="8">
                  <c:v>5606.2053997458415</c:v>
                </c:pt>
                <c:pt idx="9">
                  <c:v>56062.053997458417</c:v>
                </c:pt>
                <c:pt idx="10">
                  <c:v>560620.53997458424</c:v>
                </c:pt>
                <c:pt idx="11">
                  <c:v>5606205.3997458424</c:v>
                </c:pt>
                <c:pt idx="12">
                  <c:v>56062053.997458421</c:v>
                </c:pt>
                <c:pt idx="13">
                  <c:v>560620539.97458422</c:v>
                </c:pt>
                <c:pt idx="14">
                  <c:v>5606205399.745842</c:v>
                </c:pt>
                <c:pt idx="15">
                  <c:v>56062053997.45842</c:v>
                </c:pt>
                <c:pt idx="16">
                  <c:v>560620539974.58423</c:v>
                </c:pt>
                <c:pt idx="17">
                  <c:v>5606205399745.8418</c:v>
                </c:pt>
                <c:pt idx="18">
                  <c:v>56062053997458.414</c:v>
                </c:pt>
                <c:pt idx="19">
                  <c:v>560620539974584.19</c:v>
                </c:pt>
                <c:pt idx="20">
                  <c:v>5606205399745842</c:v>
                </c:pt>
                <c:pt idx="21">
                  <c:v>5.6062053997458416E+16</c:v>
                </c:pt>
                <c:pt idx="22">
                  <c:v>5.6062053997458419E+17</c:v>
                </c:pt>
                <c:pt idx="23">
                  <c:v>5.6062053997458422E+18</c:v>
                </c:pt>
                <c:pt idx="24">
                  <c:v>5.6062053997458416E+19</c:v>
                </c:pt>
                <c:pt idx="25">
                  <c:v>5.6062053997458417E+20</c:v>
                </c:pt>
                <c:pt idx="26">
                  <c:v>5.6062053997458416E+21</c:v>
                </c:pt>
                <c:pt idx="27">
                  <c:v>5.6062053997458418E+22</c:v>
                </c:pt>
                <c:pt idx="28">
                  <c:v>5.6062053997458415E+23</c:v>
                </c:pt>
                <c:pt idx="29">
                  <c:v>5.6062053997458415E+24</c:v>
                </c:pt>
                <c:pt idx="30">
                  <c:v>5.6062053997458417E+25</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682922584"/>
        <c:axId val="682918272"/>
      </c:scatterChart>
      <c:valAx>
        <c:axId val="68292258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18272"/>
        <c:crosses val="autoZero"/>
        <c:crossBetween val="midCat"/>
      </c:valAx>
      <c:valAx>
        <c:axId val="682918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258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-21.791859757314405</c:v>
                </c:pt>
                <c:pt idx="1">
                  <c:v>-21.593386487052296</c:v>
                </c:pt>
                <c:pt idx="2">
                  <c:v>-21.394844806024423</c:v>
                </c:pt>
                <c:pt idx="3">
                  <c:v>-21.196166303465006</c:v>
                </c:pt>
                <c:pt idx="4">
                  <c:v>-20.997282568608284</c:v>
                </c:pt>
                <c:pt idx="5">
                  <c:v>-20.798125190688484</c:v>
                </c:pt>
                <c:pt idx="6">
                  <c:v>-20.598625758939832</c:v>
                </c:pt>
                <c:pt idx="7">
                  <c:v>-20.398715862596568</c:v>
                </c:pt>
                <c:pt idx="8">
                  <c:v>-20.19832709089291</c:v>
                </c:pt>
                <c:pt idx="9">
                  <c:v>-19.997391033063099</c:v>
                </c:pt>
                <c:pt idx="10">
                  <c:v>-19.795839278341361</c:v>
                </c:pt>
                <c:pt idx="11">
                  <c:v>-19.59360341596193</c:v>
                </c:pt>
                <c:pt idx="12">
                  <c:v>-19.39061503515903</c:v>
                </c:pt>
                <c:pt idx="13">
                  <c:v>-19.186805725166899</c:v>
                </c:pt>
                <c:pt idx="14">
                  <c:v>-18.982107075219762</c:v>
                </c:pt>
                <c:pt idx="15">
                  <c:v>-18.77645067455185</c:v>
                </c:pt>
                <c:pt idx="16">
                  <c:v>-18.569768112397394</c:v>
                </c:pt>
                <c:pt idx="17">
                  <c:v>-18.361990977990626</c:v>
                </c:pt>
                <c:pt idx="18">
                  <c:v>-18.15305086056577</c:v>
                </c:pt>
                <c:pt idx="19">
                  <c:v>-17.942879349357067</c:v>
                </c:pt>
                <c:pt idx="20">
                  <c:v>-17.731408033598743</c:v>
                </c:pt>
                <c:pt idx="21">
                  <c:v>-17.518568502525024</c:v>
                </c:pt>
                <c:pt idx="22">
                  <c:v>-17.304292345370147</c:v>
                </c:pt>
                <c:pt idx="23">
                  <c:v>-17.088511151368337</c:v>
                </c:pt>
                <c:pt idx="24">
                  <c:v>-16.871156509753824</c:v>
                </c:pt>
                <c:pt idx="25">
                  <c:v>-16.652160009760848</c:v>
                </c:pt>
                <c:pt idx="26">
                  <c:v>-16.431453240623629</c:v>
                </c:pt>
                <c:pt idx="27">
                  <c:v>-16.208967791576399</c:v>
                </c:pt>
                <c:pt idx="28">
                  <c:v>-15.984635251853394</c:v>
                </c:pt>
                <c:pt idx="29">
                  <c:v>-15.758387210688838</c:v>
                </c:pt>
                <c:pt idx="30">
                  <c:v>-15.530155257316965</c:v>
                </c:pt>
                <c:pt idx="31">
                  <c:v>-15.299870980972004</c:v>
                </c:pt>
                <c:pt idx="32">
                  <c:v>-15.067465970888188</c:v>
                </c:pt>
                <c:pt idx="33">
                  <c:v>-14.832871816299743</c:v>
                </c:pt>
                <c:pt idx="34">
                  <c:v>-14.596020106440905</c:v>
                </c:pt>
                <c:pt idx="35">
                  <c:v>-14.3568424305459</c:v>
                </c:pt>
                <c:pt idx="36">
                  <c:v>-14.115270377848958</c:v>
                </c:pt>
                <c:pt idx="37">
                  <c:v>-13.871235537584312</c:v>
                </c:pt>
                <c:pt idx="38">
                  <c:v>-13.624669498986192</c:v>
                </c:pt>
                <c:pt idx="39">
                  <c:v>-13.375503851288828</c:v>
                </c:pt>
                <c:pt idx="40">
                  <c:v>-13.123670183726452</c:v>
                </c:pt>
                <c:pt idx="41">
                  <c:v>-13.012333549728124</c:v>
                </c:pt>
                <c:pt idx="42">
                  <c:v>-12.898254778392232</c:v>
                </c:pt>
                <c:pt idx="43">
                  <c:v>-12.781428163011991</c:v>
                </c:pt>
                <c:pt idx="44">
                  <c:v>-12.661847996880624</c:v>
                </c:pt>
                <c:pt idx="45">
                  <c:v>-12.539508573291341</c:v>
                </c:pt>
                <c:pt idx="46">
                  <c:v>-12.414404185537364</c:v>
                </c:pt>
                <c:pt idx="47">
                  <c:v>-12.286529126911908</c:v>
                </c:pt>
                <c:pt idx="48">
                  <c:v>-12.155877690708195</c:v>
                </c:pt>
                <c:pt idx="49">
                  <c:v>-12.022444170219437</c:v>
                </c:pt>
                <c:pt idx="50">
                  <c:v>-11.886222858738854</c:v>
                </c:pt>
                <c:pt idx="51">
                  <c:v>-11.747208049559665</c:v>
                </c:pt>
                <c:pt idx="52">
                  <c:v>-11.605394035975088</c:v>
                </c:pt>
                <c:pt idx="53">
                  <c:v>-11.460775111278338</c:v>
                </c:pt>
                <c:pt idx="54">
                  <c:v>-11.313345568762633</c:v>
                </c:pt>
                <c:pt idx="55">
                  <c:v>-11.163099701721192</c:v>
                </c:pt>
                <c:pt idx="56">
                  <c:v>-11.010031803447234</c:v>
                </c:pt>
                <c:pt idx="57">
                  <c:v>-10.854136167233971</c:v>
                </c:pt>
                <c:pt idx="58">
                  <c:v>-10.695407086374626</c:v>
                </c:pt>
                <c:pt idx="59">
                  <c:v>-10.533838854162415</c:v>
                </c:pt>
                <c:pt idx="60">
                  <c:v>-10.369425763890556</c:v>
                </c:pt>
                <c:pt idx="61">
                  <c:v>-10.202162108852267</c:v>
                </c:pt>
                <c:pt idx="62">
                  <c:v>-10.032042182340762</c:v>
                </c:pt>
                <c:pt idx="63">
                  <c:v>-9.8590602776492613</c:v>
                </c:pt>
                <c:pt idx="64">
                  <c:v>-9.6832106880709858</c:v>
                </c:pt>
                <c:pt idx="65">
                  <c:v>-9.5044877068991482</c:v>
                </c:pt>
                <c:pt idx="66">
                  <c:v>-9.3229282399654139</c:v>
                </c:pt>
                <c:pt idx="67">
                  <c:v>-9.138739643255235</c:v>
                </c:pt>
                <c:pt idx="68">
                  <c:v>-8.952171885292513</c:v>
                </c:pt>
                <c:pt idx="69">
                  <c:v>-8.7634749346011489</c:v>
                </c:pt>
                <c:pt idx="70">
                  <c:v>-8.572898759705037</c:v>
                </c:pt>
                <c:pt idx="71">
                  <c:v>-8.3806933291280785</c:v>
                </c:pt>
                <c:pt idx="72">
                  <c:v>-8.1871086113941764</c:v>
                </c:pt>
                <c:pt idx="73">
                  <c:v>-7.9923945750272249</c:v>
                </c:pt>
                <c:pt idx="74">
                  <c:v>-7.7968011885511261</c:v>
                </c:pt>
                <c:pt idx="75">
                  <c:v>-7.6005784204897795</c:v>
                </c:pt>
                <c:pt idx="76">
                  <c:v>-7.4039762393670845</c:v>
                </c:pt>
                <c:pt idx="77">
                  <c:v>-7.2072446137069406</c:v>
                </c:pt>
                <c:pt idx="78">
                  <c:v>-7.0106335120332455</c:v>
                </c:pt>
                <c:pt idx="79">
                  <c:v>-6.8143929028698995</c:v>
                </c:pt>
                <c:pt idx="80">
                  <c:v>-6.6187727547408031</c:v>
                </c:pt>
                <c:pt idx="81">
                  <c:v>-6.4240230361698547</c:v>
                </c:pt>
                <c:pt idx="82">
                  <c:v>-6.2303937156809548</c:v>
                </c:pt>
                <c:pt idx="83">
                  <c:v>-6.038134761798001</c:v>
                </c:pt>
                <c:pt idx="84">
                  <c:v>-5.8474961430448937</c:v>
                </c:pt>
                <c:pt idx="85">
                  <c:v>-5.6587278279455324</c:v>
                </c:pt>
                <c:pt idx="86">
                  <c:v>-5.4720797850238156</c:v>
                </c:pt>
                <c:pt idx="87">
                  <c:v>-5.2878019828036447</c:v>
                </c:pt>
                <c:pt idx="88">
                  <c:v>-5.1061443898089172</c:v>
                </c:pt>
                <c:pt idx="89">
                  <c:v>-4.9273569745635335</c:v>
                </c:pt>
                <c:pt idx="90">
                  <c:v>-4.7516897055913923</c:v>
                </c:pt>
                <c:pt idx="91">
                  <c:v>-4.5793120927670588</c:v>
                </c:pt>
                <c:pt idx="92">
                  <c:v>-4.4100718113677617</c:v>
                </c:pt>
                <c:pt idx="93">
                  <c:v>-4.2437360780213931</c:v>
                </c:pt>
                <c:pt idx="94">
                  <c:v>-4.0800721093558492</c:v>
                </c:pt>
                <c:pt idx="95">
                  <c:v>-3.9188471219990206</c:v>
                </c:pt>
                <c:pt idx="96">
                  <c:v>-3.7598283325788029</c:v>
                </c:pt>
                <c:pt idx="97">
                  <c:v>-3.6027829577230883</c:v>
                </c:pt>
                <c:pt idx="98">
                  <c:v>-3.447478214059772</c:v>
                </c:pt>
                <c:pt idx="99">
                  <c:v>-3.2936813182167461</c:v>
                </c:pt>
                <c:pt idx="100">
                  <c:v>-3.1411594868219055</c:v>
                </c:pt>
                <c:pt idx="101">
                  <c:v>-2.9896799365031428</c:v>
                </c:pt>
                <c:pt idx="102">
                  <c:v>-2.8390098838883517</c:v>
                </c:pt>
                <c:pt idx="103">
                  <c:v>-2.6889165456054265</c:v>
                </c:pt>
                <c:pt idx="104">
                  <c:v>-2.5391671382822603</c:v>
                </c:pt>
                <c:pt idx="105">
                  <c:v>-2.3895288785467463</c:v>
                </c:pt>
                <c:pt idx="106">
                  <c:v>-2.2397689830267788</c:v>
                </c:pt>
                <c:pt idx="107">
                  <c:v>-2.089654668350251</c:v>
                </c:pt>
                <c:pt idx="108">
                  <c:v>-1.9389531511450566</c:v>
                </c:pt>
                <c:pt idx="109">
                  <c:v>-1.7874316480390893</c:v>
                </c:pt>
                <c:pt idx="110">
                  <c:v>-1.6348573756602425</c:v>
                </c:pt>
                <c:pt idx="111">
                  <c:v>-1.4809975506364099</c:v>
                </c:pt>
                <c:pt idx="112">
                  <c:v>-1.3256193895954853</c:v>
                </c:pt>
                <c:pt idx="113">
                  <c:v>-1.1684901091653619</c:v>
                </c:pt>
                <c:pt idx="114">
                  <c:v>-1.0093769259739336</c:v>
                </c:pt>
                <c:pt idx="115">
                  <c:v>-0.84804705664909386</c:v>
                </c:pt>
                <c:pt idx="116">
                  <c:v>-0.68426771781873619</c:v>
                </c:pt>
                <c:pt idx="117">
                  <c:v>-0.51780612611075449</c:v>
                </c:pt>
                <c:pt idx="118">
                  <c:v>-0.34842949815304219</c:v>
                </c:pt>
                <c:pt idx="119">
                  <c:v>-0.17590505057349282</c:v>
                </c:pt>
                <c:pt idx="120">
                  <c:v>0</c:v>
                </c:pt>
                <c:pt idx="121">
                  <c:v>0.179478941126263</c:v>
                </c:pt>
                <c:pt idx="122">
                  <c:v>0.36256707711100178</c:v>
                </c:pt>
                <c:pt idx="123">
                  <c:v>0.54926021644664391</c:v>
                </c:pt>
                <c:pt idx="124">
                  <c:v>0.7395541676256151</c:v>
                </c:pt>
                <c:pt idx="125">
                  <c:v>0.93344473914034232</c:v>
                </c:pt>
                <c:pt idx="126">
                  <c:v>1.1309277394832522</c:v>
                </c:pt>
                <c:pt idx="127">
                  <c:v>1.3319989771467711</c:v>
                </c:pt>
                <c:pt idx="128">
                  <c:v>1.5366542606233251</c:v>
                </c:pt>
                <c:pt idx="129">
                  <c:v>1.7448893984053413</c:v>
                </c:pt>
                <c:pt idx="130">
                  <c:v>1.9567001989852462</c:v>
                </c:pt>
                <c:pt idx="131">
                  <c:v>2.1720824708554662</c:v>
                </c:pt>
                <c:pt idx="132">
                  <c:v>2.3910320225084281</c:v>
                </c:pt>
                <c:pt idx="133">
                  <c:v>2.6135446624365581</c:v>
                </c:pt>
                <c:pt idx="134">
                  <c:v>2.8396161991322826</c:v>
                </c:pt>
                <c:pt idx="135">
                  <c:v>3.0692424410880284</c:v>
                </c:pt>
                <c:pt idx="136">
                  <c:v>3.302419196796222</c:v>
                </c:pt>
                <c:pt idx="137">
                  <c:v>3.53914227474929</c:v>
                </c:pt>
                <c:pt idx="138">
                  <c:v>3.7794074834396589</c:v>
                </c:pt>
                <c:pt idx="139">
                  <c:v>4.0232106313597553</c:v>
                </c:pt>
                <c:pt idx="140">
                  <c:v>4.2705475270020052</c:v>
                </c:pt>
                <c:pt idx="141">
                  <c:v>4.5214139788588357</c:v>
                </c:pt>
                <c:pt idx="142">
                  <c:v>4.7758057954226727</c:v>
                </c:pt>
                <c:pt idx="143">
                  <c:v>5.0337187851859442</c:v>
                </c:pt>
                <c:pt idx="144">
                  <c:v>5.2951487566410753</c:v>
                </c:pt>
                <c:pt idx="145">
                  <c:v>5.5600915182804922</c:v>
                </c:pt>
                <c:pt idx="146">
                  <c:v>5.8285428785966236</c:v>
                </c:pt>
                <c:pt idx="147">
                  <c:v>6.1004986460818929</c:v>
                </c:pt>
                <c:pt idx="148">
                  <c:v>6.3759546292287297</c:v>
                </c:pt>
                <c:pt idx="149">
                  <c:v>6.6549066365295584</c:v>
                </c:pt>
                <c:pt idx="150">
                  <c:v>6.9373504764768068</c:v>
                </c:pt>
                <c:pt idx="151">
                  <c:v>7.223281957562901</c:v>
                </c:pt>
                <c:pt idx="152">
                  <c:v>7.5126968882802672</c:v>
                </c:pt>
                <c:pt idx="153">
                  <c:v>7.805591077121333</c:v>
                </c:pt>
                <c:pt idx="154">
                  <c:v>8.101960332578523</c:v>
                </c:pt>
                <c:pt idx="155">
                  <c:v>8.4018004631442658</c:v>
                </c:pt>
                <c:pt idx="156">
                  <c:v>8.7051072773109865</c:v>
                </c:pt>
                <c:pt idx="157">
                  <c:v>9.0118765835711105</c:v>
                </c:pt>
                <c:pt idx="158">
                  <c:v>9.3221041904170683</c:v>
                </c:pt>
                <c:pt idx="159">
                  <c:v>9.6357859063412832</c:v>
                </c:pt>
                <c:pt idx="160">
                  <c:v>9.9529175398361822</c:v>
                </c:pt>
                <c:pt idx="161">
                  <c:v>10.273494899394194</c:v>
                </c:pt>
                <c:pt idx="162">
                  <c:v>10.597513793507742</c:v>
                </c:pt>
                <c:pt idx="163">
                  <c:v>10.924970030669254</c:v>
                </c:pt>
                <c:pt idx="164">
                  <c:v>11.255859419371156</c:v>
                </c:pt>
                <c:pt idx="165">
                  <c:v>11.590177768105878</c:v>
                </c:pt>
                <c:pt idx="166">
                  <c:v>11.927905275528888</c:v>
                </c:pt>
                <c:pt idx="167">
                  <c:v>12.268959700947848</c:v>
                </c:pt>
                <c:pt idx="168">
                  <c:v>12.613243193833469</c:v>
                </c:pt>
                <c:pt idx="169">
                  <c:v>12.960657903656454</c:v>
                </c:pt>
                <c:pt idx="170">
                  <c:v>13.311105979887515</c:v>
                </c:pt>
                <c:pt idx="171">
                  <c:v>13.664489571997352</c:v>
                </c:pt>
                <c:pt idx="172">
                  <c:v>14.020710829456679</c:v>
                </c:pt>
                <c:pt idx="173">
                  <c:v>14.379671901736199</c:v>
                </c:pt>
                <c:pt idx="174">
                  <c:v>14.741274938306622</c:v>
                </c:pt>
                <c:pt idx="175">
                  <c:v>15.105422088638658</c:v>
                </c:pt>
                <c:pt idx="176">
                  <c:v>15.472015502203007</c:v>
                </c:pt>
                <c:pt idx="177">
                  <c:v>15.840957328470381</c:v>
                </c:pt>
                <c:pt idx="178">
                  <c:v>16.21214971691149</c:v>
                </c:pt>
                <c:pt idx="179">
                  <c:v>16.585494816997034</c:v>
                </c:pt>
                <c:pt idx="180">
                  <c:v>16.960894778197723</c:v>
                </c:pt>
                <c:pt idx="181">
                  <c:v>17.33825174998427</c:v>
                </c:pt>
                <c:pt idx="182">
                  <c:v>17.717467881827375</c:v>
                </c:pt>
                <c:pt idx="183">
                  <c:v>18.098445323197748</c:v>
                </c:pt>
                <c:pt idx="184">
                  <c:v>18.481086223566098</c:v>
                </c:pt>
                <c:pt idx="185">
                  <c:v>18.86529273240313</c:v>
                </c:pt>
                <c:pt idx="186">
                  <c:v>19.250966999179553</c:v>
                </c:pt>
                <c:pt idx="187">
                  <c:v>19.638011173366074</c:v>
                </c:pt>
                <c:pt idx="188">
                  <c:v>20.026327404433395</c:v>
                </c:pt>
                <c:pt idx="189">
                  <c:v>20.415817841852231</c:v>
                </c:pt>
                <c:pt idx="190">
                  <c:v>20.806384635093288</c:v>
                </c:pt>
                <c:pt idx="191">
                  <c:v>21.197929933627272</c:v>
                </c:pt>
                <c:pt idx="192">
                  <c:v>21.59035588692489</c:v>
                </c:pt>
                <c:pt idx="193">
                  <c:v>21.983564644456848</c:v>
                </c:pt>
                <c:pt idx="194">
                  <c:v>22.377458355693854</c:v>
                </c:pt>
                <c:pt idx="195">
                  <c:v>22.771939170106617</c:v>
                </c:pt>
                <c:pt idx="196">
                  <c:v>23.166909237165846</c:v>
                </c:pt>
                <c:pt idx="197">
                  <c:v>23.562270706342243</c:v>
                </c:pt>
                <c:pt idx="198">
                  <c:v>23.95792572710652</c:v>
                </c:pt>
                <c:pt idx="199">
                  <c:v>24.353776448929381</c:v>
                </c:pt>
                <c:pt idx="200">
                  <c:v>24.749725021281535</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-21.791859757314405</c:v>
                </c:pt>
                <c:pt idx="1">
                  <c:v>-13.12367018372645</c:v>
                </c:pt>
                <c:pt idx="2">
                  <c:v>-9.5044877068991465</c:v>
                </c:pt>
                <c:pt idx="3">
                  <c:v>-4.7516897055913923</c:v>
                </c:pt>
                <c:pt idx="4">
                  <c:v>0</c:v>
                </c:pt>
                <c:pt idx="5">
                  <c:v>11.590177768105876</c:v>
                </c:pt>
                <c:pt idx="6">
                  <c:v>24.749725021281535</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-21.596522422618648</c:v>
                </c:pt>
                <c:pt idx="1">
                  <c:v>-21.498380007977161</c:v>
                </c:pt>
                <c:pt idx="2">
                  <c:v>-21.377928273518123</c:v>
                </c:pt>
                <c:pt idx="3">
                  <c:v>-21.237832128957891</c:v>
                </c:pt>
                <c:pt idx="4">
                  <c:v>-21.080548539195618</c:v>
                </c:pt>
                <c:pt idx="5">
                  <c:v>-20.908337755596662</c:v>
                </c:pt>
                <c:pt idx="6">
                  <c:v>-20.723274138819818</c:v>
                </c:pt>
                <c:pt idx="7">
                  <c:v>-20.527256582259099</c:v>
                </c:pt>
                <c:pt idx="8">
                  <c:v>-20.322018545075949</c:v>
                </c:pt>
                <c:pt idx="9">
                  <c:v>-20.109137703704754</c:v>
                </c:pt>
                <c:pt idx="10">
                  <c:v>-19.89004523062038</c:v>
                </c:pt>
                <c:pt idx="11">
                  <c:v>-19.666034709063389</c:v>
                </c:pt>
                <c:pt idx="12">
                  <c:v>-19.438270692323407</c:v>
                </c:pt>
                <c:pt idx="13">
                  <c:v>-19.207796916089272</c:v>
                </c:pt>
                <c:pt idx="14">
                  <c:v>-18.975544172279029</c:v>
                </c:pt>
                <c:pt idx="15">
                  <c:v>-18.742337852670396</c:v>
                </c:pt>
                <c:pt idx="16">
                  <c:v>-18.508905170557874</c:v>
                </c:pt>
                <c:pt idx="17">
                  <c:v>-18.275882068569025</c:v>
                </c:pt>
                <c:pt idx="18">
                  <c:v>-18.043819820678969</c:v>
                </c:pt>
                <c:pt idx="19">
                  <c:v>-17.813191336368085</c:v>
                </c:pt>
                <c:pt idx="20">
                  <c:v>-17.584397174774182</c:v>
                </c:pt>
                <c:pt idx="21">
                  <c:v>-17.357771276597006</c:v>
                </c:pt>
                <c:pt idx="22">
                  <c:v>-17.133586421418478</c:v>
                </c:pt>
                <c:pt idx="23">
                  <c:v>-16.912059418009299</c:v>
                </c:pt>
                <c:pt idx="24">
                  <c:v>-16.693356035097594</c:v>
                </c:pt>
                <c:pt idx="25">
                  <c:v>-16.477595679982837</c:v>
                </c:pt>
                <c:pt idx="26">
                  <c:v>-16.26485583228331</c:v>
                </c:pt>
                <c:pt idx="27">
                  <c:v>-16.055176240012543</c:v>
                </c:pt>
                <c:pt idx="28">
                  <c:v>-15.848562885085752</c:v>
                </c:pt>
                <c:pt idx="29">
                  <c:v>-15.644991725264102</c:v>
                </c:pt>
                <c:pt idx="30">
                  <c:v>-15.444412219450301</c:v>
                </c:pt>
                <c:pt idx="31">
                  <c:v>-15.246750643155826</c:v>
                </c:pt>
                <c:pt idx="32">
                  <c:v>-15.051913200865878</c:v>
                </c:pt>
                <c:pt idx="33">
                  <c:v>-14.859788941934696</c:v>
                </c:pt>
                <c:pt idx="34">
                  <c:v>-14.670252486549984</c:v>
                </c:pt>
                <c:pt idx="35">
                  <c:v>-14.483166568211402</c:v>
                </c:pt>
                <c:pt idx="36">
                  <c:v>-14.298384399074521</c:v>
                </c:pt>
                <c:pt idx="37">
                  <c:v>-14.115751864417643</c:v>
                </c:pt>
                <c:pt idx="38">
                  <c:v>-13.935109552395243</c:v>
                </c:pt>
                <c:pt idx="39">
                  <c:v>-13.756294625148136</c:v>
                </c:pt>
                <c:pt idx="40">
                  <c:v>-13.579142537246472</c:v>
                </c:pt>
                <c:pt idx="41">
                  <c:v>-13.403488607348176</c:v>
                </c:pt>
                <c:pt idx="42">
                  <c:v>-13.229169448861466</c:v>
                </c:pt>
                <c:pt idx="43">
                  <c:v>-13.056024265306501</c:v>
                </c:pt>
                <c:pt idx="44">
                  <c:v>-12.883896015977363</c:v>
                </c:pt>
                <c:pt idx="45">
                  <c:v>-12.712632457411839</c:v>
                </c:pt>
                <c:pt idx="46">
                  <c:v>-12.542087066082713</c:v>
                </c:pt>
                <c:pt idx="47">
                  <c:v>-12.372119847630529</c:v>
                </c:pt>
                <c:pt idx="48">
                  <c:v>-12.202598037864057</c:v>
                </c:pt>
                <c:pt idx="49">
                  <c:v>-12.033396700660909</c:v>
                </c:pt>
                <c:pt idx="50">
                  <c:v>-11.864399227806917</c:v>
                </c:pt>
                <c:pt idx="51">
                  <c:v>-11.695497745719395</c:v>
                </c:pt>
                <c:pt idx="52">
                  <c:v>-11.526593433905246</c:v>
                </c:pt>
                <c:pt idx="53">
                  <c:v>-11.357596759911543</c:v>
                </c:pt>
                <c:pt idx="54">
                  <c:v>-11.188427635432152</c:v>
                </c:pt>
                <c:pt idx="55">
                  <c:v>-11.01901549814032</c:v>
                </c:pt>
                <c:pt idx="56">
                  <c:v>-10.84929932372347</c:v>
                </c:pt>
                <c:pt idx="57">
                  <c:v>-10.679227572502526</c:v>
                </c:pt>
                <c:pt idx="58">
                  <c:v>-10.508758074924476</c:v>
                </c:pt>
                <c:pt idx="59">
                  <c:v>-10.337857860123059</c:v>
                </c:pt>
                <c:pt idx="60">
                  <c:v>-10.166502931648736</c:v>
                </c:pt>
                <c:pt idx="61">
                  <c:v>-9.9946779943753388</c:v>
                </c:pt>
                <c:pt idx="62">
                  <c:v>-9.8223761364969739</c:v>
                </c:pt>
                <c:pt idx="63">
                  <c:v>-9.6495984704352011</c:v>
                </c:pt>
                <c:pt idx="64">
                  <c:v>-9.4763537363824266</c:v>
                </c:pt>
                <c:pt idx="65">
                  <c:v>-9.302657872114068</c:v>
                </c:pt>
                <c:pt idx="66">
                  <c:v>-9.1285335526079816</c:v>
                </c:pt>
                <c:pt idx="67">
                  <c:v>-8.9540097029160677</c:v>
                </c:pt>
                <c:pt idx="68">
                  <c:v>-8.7791209876391534</c:v>
                </c:pt>
                <c:pt idx="69">
                  <c:v>-8.6039072802625149</c:v>
                </c:pt>
                <c:pt idx="70">
                  <c:v>-8.4284131155156086</c:v>
                </c:pt>
                <c:pt idx="71">
                  <c:v>-8.2526871278259044</c:v>
                </c:pt>
                <c:pt idx="72">
                  <c:v>-8.0767814788428396</c:v>
                </c:pt>
                <c:pt idx="73">
                  <c:v>-7.9007512769143009</c:v>
                </c:pt>
                <c:pt idx="74">
                  <c:v>-7.7246539913041685</c:v>
                </c:pt>
                <c:pt idx="75">
                  <c:v>-7.5485488638457436</c:v>
                </c:pt>
                <c:pt idx="76">
                  <c:v>-7.3724963206321519</c:v>
                </c:pt>
                <c:pt idx="77">
                  <c:v>-7.1965573862510395</c:v>
                </c:pt>
                <c:pt idx="78">
                  <c:v>-7.0207931029770796</c:v>
                </c:pt>
                <c:pt idx="79">
                  <c:v>-6.8452639572421381</c:v>
                </c:pt>
                <c:pt idx="80">
                  <c:v>-6.6700293156091321</c:v>
                </c:pt>
                <c:pt idx="81">
                  <c:v>-6.4951468723818611</c:v>
                </c:pt>
                <c:pt idx="82">
                  <c:v>-6.3206721108893813</c:v>
                </c:pt>
                <c:pt idx="83">
                  <c:v>-6.1466577803896714</c:v>
                </c:pt>
                <c:pt idx="84">
                  <c:v>-5.9731533904436507</c:v>
                </c:pt>
                <c:pt idx="85">
                  <c:v>-5.8002047245168082</c:v>
                </c:pt>
                <c:pt idx="86">
                  <c:v>-5.6278533744719637</c:v>
                </c:pt>
                <c:pt idx="87">
                  <c:v>-5.4561362975229271</c:v>
                </c:pt>
                <c:pt idx="88">
                  <c:v>-5.285085397125064</c:v>
                </c:pt>
                <c:pt idx="89">
                  <c:v>-5.1147271291850398</c:v>
                </c:pt>
                <c:pt idx="90">
                  <c:v>-4.9450821348782075</c:v>
                </c:pt>
                <c:pt idx="91">
                  <c:v>-4.7761649012684186</c:v>
                </c:pt>
                <c:pt idx="92">
                  <c:v>-4.6079834508312318</c:v>
                </c:pt>
                <c:pt idx="93">
                  <c:v>-4.4405390608877475</c:v>
                </c:pt>
                <c:pt idx="94">
                  <c:v>-4.273826013862581</c:v>
                </c:pt>
                <c:pt idx="95">
                  <c:v>-4.1078313791856447</c:v>
                </c:pt>
                <c:pt idx="96">
                  <c:v>-3.9425348275637733</c:v>
                </c:pt>
                <c:pt idx="97">
                  <c:v>-3.7779084782543615</c:v>
                </c:pt>
                <c:pt idx="98">
                  <c:v>-3.6139167798794949</c:v>
                </c:pt>
                <c:pt idx="99">
                  <c:v>-3.4505164252252718</c:v>
                </c:pt>
                <c:pt idx="100">
                  <c:v>-3.2876563003772787</c:v>
                </c:pt>
                <c:pt idx="101">
                  <c:v>-3.12527746844941</c:v>
                </c:pt>
                <c:pt idx="102">
                  <c:v>-2.9633131880694608</c:v>
                </c:pt>
                <c:pt idx="103">
                  <c:v>-2.8016889666912039</c:v>
                </c:pt>
                <c:pt idx="104">
                  <c:v>-2.6403226487088598</c:v>
                </c:pt>
                <c:pt idx="105">
                  <c:v>-2.4791245382561495</c:v>
                </c:pt>
                <c:pt idx="106">
                  <c:v>-2.3179975564783493</c:v>
                </c:pt>
                <c:pt idx="107">
                  <c:v>-2.1568374329720128</c:v>
                </c:pt>
                <c:pt idx="108">
                  <c:v>-1.995532930993271</c:v>
                </c:pt>
                <c:pt idx="109">
                  <c:v>-1.8339661059418699</c:v>
                </c:pt>
                <c:pt idx="110">
                  <c:v>-1.6720125965343495</c:v>
                </c:pt>
                <c:pt idx="111">
                  <c:v>-1.5095419479860068</c:v>
                </c:pt>
                <c:pt idx="112">
                  <c:v>-1.3464179664275375</c:v>
                </c:pt>
                <c:pt idx="113">
                  <c:v>-1.1824991036884966</c:v>
                </c:pt>
                <c:pt idx="114">
                  <c:v>-1.0176388714859534</c:v>
                </c:pt>
                <c:pt idx="115">
                  <c:v>-0.85168628396297752</c:v>
                </c:pt>
                <c:pt idx="116">
                  <c:v>-0.68448632742782112</c:v>
                </c:pt>
                <c:pt idx="117">
                  <c:v>-0.51588045605091948</c:v>
                </c:pt>
                <c:pt idx="118">
                  <c:v>-0.34570711218307132</c:v>
                </c:pt>
                <c:pt idx="119">
                  <c:v>-0.17380226986440708</c:v>
                </c:pt>
                <c:pt idx="120">
                  <c:v>0</c:v>
                </c:pt>
                <c:pt idx="121">
                  <c:v>0.17586694441578601</c:v>
                </c:pt>
                <c:pt idx="122">
                  <c:v>0.353966524737863</c:v>
                </c:pt>
                <c:pt idx="123">
                  <c:v>0.53446679657731566</c:v>
                </c:pt>
                <c:pt idx="124">
                  <c:v>0.71753527507579185</c:v>
                </c:pt>
                <c:pt idx="125">
                  <c:v>0.90333828754031154</c:v>
                </c:pt>
                <c:pt idx="126">
                  <c:v>1.0920403155251663</c:v>
                </c:pt>
                <c:pt idx="127">
                  <c:v>1.2838033285413426</c:v>
                </c:pt>
                <c:pt idx="128">
                  <c:v>1.4787861116676571</c:v>
                </c:pt>
                <c:pt idx="129">
                  <c:v>1.6771435894315421</c:v>
                </c:pt>
                <c:pt idx="130">
                  <c:v>1.8790261484211745</c:v>
                </c:pt>
                <c:pt idx="131">
                  <c:v>2.0845789611844063</c:v>
                </c:pt>
                <c:pt idx="132">
                  <c:v>2.2939413140636944</c:v>
                </c:pt>
                <c:pt idx="133">
                  <c:v>2.5072459417099986</c:v>
                </c:pt>
                <c:pt idx="134">
                  <c:v>2.7246183711123577</c:v>
                </c:pt>
                <c:pt idx="135">
                  <c:v>2.9461762780736072</c:v>
                </c:pt>
                <c:pt idx="136">
                  <c:v>3.1720288591564834</c:v>
                </c:pt>
                <c:pt idx="137">
                  <c:v>3.4022762222180747</c:v>
                </c:pt>
                <c:pt idx="138">
                  <c:v>3.6370087987443647</c:v>
                </c:pt>
                <c:pt idx="139">
                  <c:v>3.8763067812903569</c:v>
                </c:pt>
                <c:pt idx="140">
                  <c:v>4.1202395894250241</c:v>
                </c:pt>
                <c:pt idx="141">
                  <c:v>4.3688653676740774</c:v>
                </c:pt>
                <c:pt idx="142">
                  <c:v>4.6222305190473181</c:v>
                </c:pt>
                <c:pt idx="143">
                  <c:v>4.8803692778310852</c:v>
                </c:pt>
                <c:pt idx="144">
                  <c:v>5.1433033254200398</c:v>
                </c:pt>
                <c:pt idx="145">
                  <c:v>5.4110414530563391</c:v>
                </c:pt>
                <c:pt idx="146">
                  <c:v>5.6835792754379435</c:v>
                </c:pt>
                <c:pt idx="147">
                  <c:v>5.9608989992516168</c:v>
                </c:pt>
                <c:pt idx="148">
                  <c:v>6.2429692507798604</c:v>
                </c:pt>
                <c:pt idx="149">
                  <c:v>6.5297449668248779</c:v>
                </c:pt>
                <c:pt idx="150">
                  <c:v>6.8211673532863024</c:v>
                </c:pt>
                <c:pt idx="151">
                  <c:v>7.1171639158233013</c:v>
                </c:pt>
                <c:pt idx="152">
                  <c:v>7.4176485671252799</c:v>
                </c:pt>
                <c:pt idx="153">
                  <c:v>7.7225218154093342</c:v>
                </c:pt>
                <c:pt idx="154">
                  <c:v>8.0316710388561923</c:v>
                </c:pt>
                <c:pt idx="155">
                  <c:v>8.3449708507902596</c:v>
                </c:pt>
                <c:pt idx="156">
                  <c:v>8.6622835605030648</c:v>
                </c:pt>
                <c:pt idx="157">
                  <c:v>8.9834597347131755</c:v>
                </c:pt>
                <c:pt idx="158">
                  <c:v>9.30833886474948</c:v>
                </c:pt>
                <c:pt idx="159">
                  <c:v>9.6367501446383361</c:v>
                </c:pt>
                <c:pt idx="160">
                  <c:v>9.9685133653689828</c:v>
                </c:pt>
                <c:pt idx="161">
                  <c:v>10.303439930705323</c:v>
                </c:pt>
                <c:pt idx="162">
                  <c:v>10.641334000005868</c:v>
                </c:pt>
                <c:pt idx="163">
                  <c:v>10.981993763607516</c:v>
                </c:pt>
                <c:pt idx="164">
                  <c:v>11.325212856422523</c:v>
                </c:pt>
                <c:pt idx="165">
                  <c:v>11.670781915491711</c:v>
                </c:pt>
                <c:pt idx="166">
                  <c:v>12.018490287330886</c:v>
                </c:pt>
                <c:pt idx="167">
                  <c:v>12.368127891001023</c:v>
                </c:pt>
                <c:pt idx="168">
                  <c:v>12.719487242926618</c:v>
                </c:pt>
                <c:pt idx="169">
                  <c:v>13.072365649580378</c:v>
                </c:pt>
                <c:pt idx="170">
                  <c:v>13.426567574246052</c:v>
                </c:pt>
                <c:pt idx="171">
                  <c:v>13.781907184165185</c:v>
                </c:pt>
                <c:pt idx="172">
                  <c:v>14.138211084467063</c:v>
                </c:pt>
                <c:pt idx="173">
                  <c:v>14.495321245375079</c:v>
                </c:pt>
                <c:pt idx="174">
                  <c:v>14.853098129276432</c:v>
                </c:pt>
                <c:pt idx="175">
                  <c:v>15.211424024335782</c:v>
                </c:pt>
                <c:pt idx="176">
                  <c:v>15.570206591427349</c:v>
                </c:pt>
                <c:pt idx="177">
                  <c:v>15.929382631253535</c:v>
                </c:pt>
                <c:pt idx="178">
                  <c:v>16.28892207861211</c:v>
                </c:pt>
                <c:pt idx="179">
                  <c:v>16.648832230867573</c:v>
                </c:pt>
                <c:pt idx="180">
                  <c:v>17.009162217776176</c:v>
                </c:pt>
                <c:pt idx="181">
                  <c:v>17.370007719907715</c:v>
                </c:pt>
                <c:pt idx="182">
                  <c:v>17.731515943001202</c:v>
                </c:pt>
                <c:pt idx="183">
                  <c:v>18.093890855684979</c:v>
                </c:pt>
                <c:pt idx="184">
                  <c:v>18.457398698085722</c:v>
                </c:pt>
                <c:pt idx="185">
                  <c:v>18.822373768944779</c:v>
                </c:pt>
                <c:pt idx="186">
                  <c:v>19.189224498953447</c:v>
                </c:pt>
                <c:pt idx="187">
                  <c:v>19.558439818113253</c:v>
                </c:pt>
                <c:pt idx="188">
                  <c:v>19.930595825020543</c:v>
                </c:pt>
                <c:pt idx="189">
                  <c:v>20.306362766068592</c:v>
                </c:pt>
                <c:pt idx="190">
                  <c:v>20.686512332654381</c:v>
                </c:pt>
                <c:pt idx="191">
                  <c:v>21.071925284570597</c:v>
                </c:pt>
                <c:pt idx="192">
                  <c:v>21.463599407857494</c:v>
                </c:pt>
                <c:pt idx="193">
                  <c:v>21.862657815482816</c:v>
                </c:pt>
                <c:pt idx="194">
                  <c:v>22.270357599311765</c:v>
                </c:pt>
                <c:pt idx="195">
                  <c:v>22.68809884192288</c:v>
                </c:pt>
                <c:pt idx="196">
                  <c:v>23.117433996919182</c:v>
                </c:pt>
                <c:pt idx="197">
                  <c:v>23.560077646478035</c:v>
                </c:pt>
                <c:pt idx="198">
                  <c:v>24.017916644976662</c:v>
                </c:pt>
                <c:pt idx="199">
                  <c:v>24.493020657623997</c:v>
                </c:pt>
                <c:pt idx="200">
                  <c:v>24.987653103123726</c:v>
                </c:pt>
              </c:numCache>
            </c:numRef>
          </c:yVal>
          <c:smooth val="1"/>
        </c:ser>
        <c:dLbls>
          <c:showLegendKey val="0"/>
          <c:showVal val="0"/>
          <c:showCatName val="0"/>
          <c:showSerName val="0"/>
          <c:showPercent val="0"/>
          <c:showBubbleSize val="0"/>
        </c:dLbls>
        <c:axId val="682924152"/>
        <c:axId val="682921408"/>
      </c:scatterChart>
      <c:valAx>
        <c:axId val="68292415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1408"/>
        <c:crossesAt val="-1000"/>
        <c:crossBetween val="midCat"/>
      </c:valAx>
      <c:valAx>
        <c:axId val="682921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415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130</v>
      </c>
    </row>
    <row r="22" spans="1:2" s="11" customFormat="1" x14ac:dyDescent="0.25">
      <c r="A22" s="61" t="s">
        <v>156</v>
      </c>
      <c r="B22" s="99">
        <f>CTE!N8-0.5</f>
        <v>140</v>
      </c>
    </row>
    <row r="23" spans="1:2" s="11" customFormat="1" x14ac:dyDescent="0.25">
      <c r="A23" s="61" t="s">
        <v>157</v>
      </c>
      <c r="B23" s="99">
        <f>CTE!N9</f>
        <v>180.5</v>
      </c>
    </row>
    <row r="24" spans="1:2" s="11" customFormat="1" x14ac:dyDescent="0.25"/>
    <row r="25" spans="1:2" s="11" customFormat="1" x14ac:dyDescent="0.25">
      <c r="A25" s="61" t="s">
        <v>146</v>
      </c>
      <c r="B25" s="53">
        <f>CTE!O5</f>
        <v>2.4163381142857142E-5</v>
      </c>
    </row>
    <row r="26" spans="1:2" s="11" customFormat="1" x14ac:dyDescent="0.25">
      <c r="A26" s="61" t="s">
        <v>147</v>
      </c>
      <c r="B26" s="53">
        <f>CTE!O6</f>
        <v>2.6285482285714284E-5</v>
      </c>
    </row>
    <row r="27" spans="1:2" s="11" customFormat="1" x14ac:dyDescent="0.25">
      <c r="A27" s="61" t="s">
        <v>148</v>
      </c>
      <c r="B27" s="53">
        <f>CTE!O8</f>
        <v>6.8039453714285723E-5</v>
      </c>
    </row>
    <row r="28" spans="1:2" s="11" customFormat="1" x14ac:dyDescent="0.25">
      <c r="A28" s="61" t="s">
        <v>149</v>
      </c>
      <c r="B28" s="53">
        <f>CTE!O9</f>
        <v>6.7913481714285714E-5</v>
      </c>
    </row>
    <row r="29" spans="1:2" s="11" customFormat="1" x14ac:dyDescent="0.25">
      <c r="A29" s="61"/>
    </row>
    <row r="30" spans="1:2" s="11" customFormat="1" x14ac:dyDescent="0.25">
      <c r="A30" s="61" t="s">
        <v>150</v>
      </c>
      <c r="B30" s="52">
        <f>CTE!P5</f>
        <v>2.1265021444444447E-5</v>
      </c>
    </row>
    <row r="31" spans="1:2" s="11" customFormat="1" x14ac:dyDescent="0.25">
      <c r="A31" s="61" t="s">
        <v>151</v>
      </c>
      <c r="B31" s="52">
        <f>CTE!P6</f>
        <v>2.2263357333333333E-5</v>
      </c>
    </row>
    <row r="32" spans="1:2" s="11" customFormat="1" x14ac:dyDescent="0.25">
      <c r="A32" s="61" t="s">
        <v>152</v>
      </c>
      <c r="B32" s="52">
        <f>CTE!P8</f>
        <v>3.7565950000000002E-5</v>
      </c>
    </row>
    <row r="33" spans="1:2" s="11" customFormat="1" x14ac:dyDescent="0.25">
      <c r="A33" s="61" t="s">
        <v>153</v>
      </c>
      <c r="B33" s="52">
        <f>CTE!P9</f>
        <v>3.810576666666667E-5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0.174806652702578</v>
      </c>
      <c r="D59" s="55">
        <v>1</v>
      </c>
    </row>
    <row r="60" spans="1:4" s="11" customFormat="1" x14ac:dyDescent="0.25">
      <c r="A60" s="54">
        <v>2</v>
      </c>
      <c r="B60" s="56">
        <f>'Shiftfunktion bestimmen'!N2</f>
        <v>1.032307419209947E-3</v>
      </c>
      <c r="D60" s="55">
        <v>2</v>
      </c>
    </row>
    <row r="61" spans="1:4" s="11" customFormat="1" x14ac:dyDescent="0.25">
      <c r="A61" s="54">
        <v>3</v>
      </c>
      <c r="B61" s="56">
        <f>'Shiftfunktion bestimmen'!N3</f>
        <v>2.7959540856864365E-5</v>
      </c>
      <c r="D61" s="55">
        <v>3</v>
      </c>
    </row>
    <row r="62" spans="1:4" s="11" customFormat="1" x14ac:dyDescent="0.25">
      <c r="A62" s="54">
        <v>4</v>
      </c>
      <c r="B62" s="56">
        <f>'Shiftfunktion bestimmen'!N4</f>
        <v>2.9879470387768583E-8</v>
      </c>
      <c r="D62" s="55">
        <v>4</v>
      </c>
    </row>
    <row r="63" spans="1:4" s="11" customFormat="1" x14ac:dyDescent="0.25">
      <c r="A63" s="54">
        <v>5</v>
      </c>
      <c r="B63" s="56">
        <f>'Shiftfunktion bestimmen'!N5</f>
        <v>-5.1037058145443865E-9</v>
      </c>
      <c r="D63" s="55">
        <v>5</v>
      </c>
    </row>
    <row r="64" spans="1:4" s="11" customFormat="1" x14ac:dyDescent="0.25">
      <c r="A64" s="54">
        <v>6</v>
      </c>
      <c r="B64" s="56">
        <f>'Shiftfunktion bestimmen'!N6</f>
        <v>-2.2993208497839854E-11</v>
      </c>
      <c r="D64" s="55">
        <v>6</v>
      </c>
    </row>
    <row r="65" spans="1:5" s="11" customFormat="1" x14ac:dyDescent="0.25">
      <c r="A65" s="54">
        <v>7</v>
      </c>
      <c r="B65" s="56">
        <f>'Shiftfunktion bestimmen'!N7</f>
        <v>3.675176572019269E-13</v>
      </c>
      <c r="D65" s="55">
        <v>7</v>
      </c>
    </row>
    <row r="66" spans="1:5" x14ac:dyDescent="0.25">
      <c r="A66" s="54">
        <v>8</v>
      </c>
      <c r="B66" s="56">
        <f>'Shiftfunktion bestimmen'!N8</f>
        <v>2.3252703794060338E-15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2.9228453767140686E-2</v>
      </c>
      <c r="D74" s="51">
        <v>1</v>
      </c>
      <c r="E74" s="56">
        <f>'Mastercurve bestimmen'!A18</f>
        <v>1.0000000000000001E-20</v>
      </c>
    </row>
    <row r="75" spans="1:5" x14ac:dyDescent="0.25">
      <c r="A75" s="50">
        <f>A74+1</f>
        <v>2</v>
      </c>
      <c r="B75" s="56">
        <f>'Mastercurve bestimmen'!C19</f>
        <v>4.1218430693432902E-2</v>
      </c>
      <c r="D75" s="51">
        <v>2</v>
      </c>
      <c r="E75" s="56">
        <f>'Mastercurve bestimmen'!A19</f>
        <v>3.9038946506297401E-14</v>
      </c>
    </row>
    <row r="76" spans="1:5" x14ac:dyDescent="0.25">
      <c r="A76" s="50">
        <f t="shared" ref="A76:A104" si="0">A75+1</f>
        <v>3</v>
      </c>
      <c r="B76" s="56">
        <f>'Mastercurve bestimmen'!C20</f>
        <v>8.420564221639372E-3</v>
      </c>
      <c r="D76" s="51">
        <v>3</v>
      </c>
      <c r="E76" s="56">
        <f>'Mastercurve bestimmen'!A20</f>
        <v>4.3276437088188502E-13</v>
      </c>
    </row>
    <row r="77" spans="1:5" x14ac:dyDescent="0.25">
      <c r="A77" s="50">
        <f t="shared" si="0"/>
        <v>4</v>
      </c>
      <c r="B77" s="56">
        <f>'Mastercurve bestimmen'!C21</f>
        <v>2.0972499021433853E-2</v>
      </c>
      <c r="D77" s="51">
        <v>4</v>
      </c>
      <c r="E77" s="56">
        <f>'Mastercurve bestimmen'!A21</f>
        <v>4.7973886968128502E-12</v>
      </c>
    </row>
    <row r="78" spans="1:5" x14ac:dyDescent="0.25">
      <c r="A78" s="50">
        <f t="shared" si="0"/>
        <v>5</v>
      </c>
      <c r="B78" s="56">
        <f>'Mastercurve bestimmen'!C22</f>
        <v>1.9327833781388304E-2</v>
      </c>
      <c r="D78" s="51">
        <v>5</v>
      </c>
      <c r="E78" s="56">
        <f>'Mastercurve bestimmen'!A22</f>
        <v>5.31812225239524E-11</v>
      </c>
    </row>
    <row r="79" spans="1:5" x14ac:dyDescent="0.25">
      <c r="A79" s="50">
        <f t="shared" si="0"/>
        <v>6</v>
      </c>
      <c r="B79" s="56">
        <f>'Mastercurve bestimmen'!C23</f>
        <v>2.3246647212008399E-2</v>
      </c>
      <c r="D79" s="51">
        <v>6</v>
      </c>
      <c r="E79" s="56">
        <f>'Mastercurve bestimmen'!A23</f>
        <v>5.8953789402578301E-10</v>
      </c>
    </row>
    <row r="80" spans="1:5" x14ac:dyDescent="0.25">
      <c r="A80" s="50">
        <f t="shared" si="0"/>
        <v>7</v>
      </c>
      <c r="B80" s="56">
        <f>'Mastercurve bestimmen'!C24</f>
        <v>2.4740814098249582E-2</v>
      </c>
      <c r="D80" s="51">
        <v>7</v>
      </c>
      <c r="E80" s="56">
        <f>'Mastercurve bestimmen'!A24</f>
        <v>6.5352940755699598E-9</v>
      </c>
    </row>
    <row r="81" spans="1:5" x14ac:dyDescent="0.25">
      <c r="A81" s="50">
        <f t="shared" si="0"/>
        <v>8</v>
      </c>
      <c r="B81" s="56">
        <f>'Mastercurve bestimmen'!C25</f>
        <v>2.7333416296139789E-2</v>
      </c>
      <c r="D81" s="51">
        <v>8</v>
      </c>
      <c r="E81" s="56">
        <f>'Mastercurve bestimmen'!A25</f>
        <v>7.2446689325643296E-8</v>
      </c>
    </row>
    <row r="82" spans="1:5" x14ac:dyDescent="0.25">
      <c r="A82" s="50">
        <f t="shared" si="0"/>
        <v>9</v>
      </c>
      <c r="B82" s="56">
        <f>'Mastercurve bestimmen'!C26</f>
        <v>2.1342745356983432E-2</v>
      </c>
      <c r="D82" s="51">
        <f>A82</f>
        <v>9</v>
      </c>
      <c r="E82" s="56">
        <f>'Mastercurve bestimmen'!A26</f>
        <v>8.03104303120212E-7</v>
      </c>
    </row>
    <row r="83" spans="1:5" x14ac:dyDescent="0.25">
      <c r="A83" s="50">
        <f t="shared" si="0"/>
        <v>10</v>
      </c>
      <c r="B83" s="56">
        <f>'Mastercurve bestimmen'!C27</f>
        <v>3.0213098985838894E-2</v>
      </c>
      <c r="C83" s="11"/>
      <c r="D83" s="51">
        <f t="shared" ref="D83:D104" si="1">A83</f>
        <v>10</v>
      </c>
      <c r="E83" s="56">
        <f>'Mastercurve bestimmen'!A27</f>
        <v>8.9027742702096099E-6</v>
      </c>
    </row>
    <row r="84" spans="1:5" x14ac:dyDescent="0.25">
      <c r="A84" s="50">
        <f t="shared" si="0"/>
        <v>11</v>
      </c>
      <c r="B84" s="56">
        <f>'Mastercurve bestimmen'!C28</f>
        <v>3.3824388307374977E-2</v>
      </c>
      <c r="C84" s="11"/>
      <c r="D84" s="51">
        <f t="shared" si="1"/>
        <v>11</v>
      </c>
      <c r="E84" s="56">
        <f>'Mastercurve bestimmen'!A28</f>
        <v>9.86912775817142E-5</v>
      </c>
    </row>
    <row r="85" spans="1:5" x14ac:dyDescent="0.25">
      <c r="A85" s="50">
        <f t="shared" si="0"/>
        <v>12</v>
      </c>
      <c r="B85" s="56">
        <f>'Mastercurve bestimmen'!C29</f>
        <v>3.8791797530712095E-2</v>
      </c>
      <c r="C85" s="11"/>
      <c r="D85" s="51">
        <f t="shared" si="1"/>
        <v>12</v>
      </c>
      <c r="E85" s="56">
        <f>'Mastercurve bestimmen'!A29</f>
        <v>1.0940374286813801E-3</v>
      </c>
    </row>
    <row r="86" spans="1:5" x14ac:dyDescent="0.25">
      <c r="A86" s="50">
        <f t="shared" si="0"/>
        <v>13</v>
      </c>
      <c r="B86" s="56">
        <f>'Mastercurve bestimmen'!C30</f>
        <v>2.3183984286354733E-2</v>
      </c>
      <c r="C86" s="11"/>
      <c r="D86" s="51">
        <f t="shared" si="1"/>
        <v>13</v>
      </c>
      <c r="E86" s="56">
        <f>'Mastercurve bestimmen'!A30</f>
        <v>1.2127899493091E-2</v>
      </c>
    </row>
    <row r="87" spans="1:5" x14ac:dyDescent="0.25">
      <c r="A87" s="50">
        <f t="shared" si="0"/>
        <v>14</v>
      </c>
      <c r="B87" s="56">
        <f>'Mastercurve bestimmen'!C31</f>
        <v>3.3195679421044622E-2</v>
      </c>
      <c r="C87" s="11"/>
      <c r="D87" s="51">
        <f t="shared" si="1"/>
        <v>14</v>
      </c>
      <c r="E87" s="56">
        <f>'Mastercurve bestimmen'!A31</f>
        <v>0.13444324870292301</v>
      </c>
    </row>
    <row r="88" spans="1:5" x14ac:dyDescent="0.25">
      <c r="A88" s="50">
        <f t="shared" si="0"/>
        <v>15</v>
      </c>
      <c r="B88" s="56">
        <f>'Mastercurve bestimmen'!C32</f>
        <v>2.038442434974385E-2</v>
      </c>
      <c r="C88" s="11"/>
      <c r="D88" s="51">
        <f t="shared" si="1"/>
        <v>15</v>
      </c>
      <c r="E88" s="56">
        <f>'Mastercurve bestimmen'!A32</f>
        <v>1.49036419143257</v>
      </c>
    </row>
    <row r="89" spans="1:5" x14ac:dyDescent="0.25">
      <c r="A89" s="50">
        <f t="shared" si="0"/>
        <v>16</v>
      </c>
      <c r="B89" s="56">
        <f>'Mastercurve bestimmen'!C33</f>
        <v>6.6925069366004494E-2</v>
      </c>
      <c r="C89" s="11"/>
      <c r="D89" s="51">
        <f t="shared" si="1"/>
        <v>16</v>
      </c>
      <c r="E89" s="56">
        <f>'Mastercurve bestimmen'!A33</f>
        <v>16.521360830937301</v>
      </c>
    </row>
    <row r="90" spans="1:5" x14ac:dyDescent="0.25">
      <c r="A90" s="50">
        <f t="shared" si="0"/>
        <v>17</v>
      </c>
      <c r="B90" s="56">
        <f>'Mastercurve bestimmen'!C34</f>
        <v>9.6671799143506223E-2</v>
      </c>
      <c r="C90" s="11"/>
      <c r="D90" s="51">
        <f t="shared" si="1"/>
        <v>17</v>
      </c>
      <c r="E90" s="56">
        <f>'Mastercurve bestimmen'!A34</f>
        <v>183.146753843879</v>
      </c>
    </row>
    <row r="91" spans="1:5" x14ac:dyDescent="0.25">
      <c r="A91" s="50">
        <f t="shared" si="0"/>
        <v>18</v>
      </c>
      <c r="B91" s="56">
        <f>'Mastercurve bestimmen'!C35</f>
        <v>8.3708796522492912E-2</v>
      </c>
      <c r="C91" s="11"/>
      <c r="D91" s="51">
        <f t="shared" si="1"/>
        <v>18</v>
      </c>
      <c r="E91" s="56">
        <f>'Mastercurve bestimmen'!A35</f>
        <v>2030.26456396616</v>
      </c>
    </row>
    <row r="92" spans="1:5" x14ac:dyDescent="0.25">
      <c r="A92" s="50">
        <f t="shared" si="0"/>
        <v>19</v>
      </c>
      <c r="B92" s="56">
        <f>'Mastercurve bestimmen'!C36</f>
        <v>5.9251655732023817E-2</v>
      </c>
      <c r="C92" s="11"/>
      <c r="D92" s="51">
        <f t="shared" si="1"/>
        <v>19</v>
      </c>
      <c r="E92" s="56">
        <f>'Mastercurve bestimmen'!A36</f>
        <v>22506.400540467101</v>
      </c>
    </row>
    <row r="93" spans="1:5" x14ac:dyDescent="0.25">
      <c r="A93" s="50">
        <f t="shared" si="0"/>
        <v>20</v>
      </c>
      <c r="B93" s="56">
        <f>'Mastercurve bestimmen'!C37</f>
        <v>5.2327746974864794E-2</v>
      </c>
      <c r="C93" s="11"/>
      <c r="D93" s="51">
        <f t="shared" si="1"/>
        <v>20</v>
      </c>
      <c r="E93" s="56">
        <f>'Mastercurve bestimmen'!A37</f>
        <v>249493.62476110301</v>
      </c>
    </row>
    <row r="94" spans="1:5" x14ac:dyDescent="0.25">
      <c r="A94" s="50">
        <f t="shared" si="0"/>
        <v>21</v>
      </c>
      <c r="B94" s="56">
        <f>'Mastercurve bestimmen'!C38</f>
        <v>1.7967891452015796E-2</v>
      </c>
      <c r="C94" s="11"/>
      <c r="D94" s="51">
        <f t="shared" si="1"/>
        <v>21</v>
      </c>
      <c r="E94" s="56">
        <f>'Mastercurve bestimmen'!A38</f>
        <v>2765749.6224023802</v>
      </c>
    </row>
    <row r="95" spans="1:5" x14ac:dyDescent="0.25">
      <c r="A95" s="50">
        <f t="shared" si="0"/>
        <v>22</v>
      </c>
      <c r="B95" s="56">
        <f>'Mastercurve bestimmen'!C39</f>
        <v>4.123109123431553E-2</v>
      </c>
      <c r="C95" s="11"/>
      <c r="D95" s="51">
        <f t="shared" si="1"/>
        <v>22</v>
      </c>
      <c r="E95" s="56">
        <f>'Mastercurve bestimmen'!A39</f>
        <v>10000000</v>
      </c>
    </row>
    <row r="96" spans="1:5" x14ac:dyDescent="0.25">
      <c r="A96" s="50">
        <f t="shared" si="0"/>
        <v>23</v>
      </c>
      <c r="B96" s="56">
        <f>'Mastercurve bestimmen'!C40</f>
        <v>3.4610685556715946E-2</v>
      </c>
      <c r="C96" s="11"/>
      <c r="D96" s="51">
        <f t="shared" si="1"/>
        <v>23</v>
      </c>
      <c r="E96" s="56">
        <f>'Mastercurve bestimmen'!A40</f>
        <v>100000000</v>
      </c>
    </row>
    <row r="97" spans="1:5" x14ac:dyDescent="0.25">
      <c r="A97" s="50">
        <f t="shared" si="0"/>
        <v>24</v>
      </c>
      <c r="B97" s="56">
        <f>'Mastercurve bestimmen'!C41</f>
        <v>4.2854236942630193E-2</v>
      </c>
      <c r="C97" s="11"/>
      <c r="D97" s="51">
        <f t="shared" si="1"/>
        <v>24</v>
      </c>
      <c r="E97" s="56">
        <f>'Mastercurve bestimmen'!A41</f>
        <v>1000000000</v>
      </c>
    </row>
    <row r="98" spans="1:5" x14ac:dyDescent="0.25">
      <c r="A98" s="50">
        <f t="shared" si="0"/>
        <v>25</v>
      </c>
      <c r="B98" s="56">
        <f>'Mastercurve bestimmen'!C42</f>
        <v>3.2192937025108795E-2</v>
      </c>
      <c r="C98" s="11"/>
      <c r="D98" s="51">
        <f t="shared" si="1"/>
        <v>25</v>
      </c>
      <c r="E98" s="56">
        <f>'Mastercurve bestimmen'!A42</f>
        <v>10000000000</v>
      </c>
    </row>
    <row r="99" spans="1:5" x14ac:dyDescent="0.25">
      <c r="A99" s="50">
        <f t="shared" si="0"/>
        <v>26</v>
      </c>
      <c r="B99" s="56">
        <f>'Mastercurve bestimmen'!C43</f>
        <v>2.5751010749186929E-2</v>
      </c>
      <c r="C99" s="11"/>
      <c r="D99" s="51">
        <f t="shared" si="1"/>
        <v>26</v>
      </c>
      <c r="E99" s="56">
        <f>'Mastercurve bestimmen'!A43</f>
        <v>100000000000</v>
      </c>
    </row>
    <row r="100" spans="1:5" x14ac:dyDescent="0.25">
      <c r="A100" s="50">
        <f t="shared" si="0"/>
        <v>27</v>
      </c>
      <c r="B100" s="56">
        <f>'Mastercurve bestimmen'!C44</f>
        <v>1.2586213635594824E-2</v>
      </c>
      <c r="C100" s="11"/>
      <c r="D100" s="51">
        <f t="shared" si="1"/>
        <v>27</v>
      </c>
      <c r="E100" s="56">
        <f>'Mastercurve bestimmen'!A44</f>
        <v>1000000000000</v>
      </c>
    </row>
    <row r="101" spans="1:5" x14ac:dyDescent="0.25">
      <c r="A101" s="50">
        <f t="shared" si="0"/>
        <v>28</v>
      </c>
      <c r="B101" s="56">
        <f>'Mastercurve bestimmen'!C45</f>
        <v>6.9130744193958088E-3</v>
      </c>
      <c r="C101" s="11"/>
      <c r="D101" s="51">
        <f t="shared" si="1"/>
        <v>28</v>
      </c>
      <c r="E101" s="56">
        <f>'Mastercurve bestimmen'!A45</f>
        <v>10000000000000</v>
      </c>
    </row>
    <row r="102" spans="1:5" x14ac:dyDescent="0.25">
      <c r="A102" s="50">
        <f t="shared" si="0"/>
        <v>29</v>
      </c>
      <c r="B102" s="56">
        <f>'Mastercurve bestimmen'!C46</f>
        <v>3.0323866622783903E-3</v>
      </c>
      <c r="C102" s="11"/>
      <c r="D102" s="51">
        <f t="shared" si="1"/>
        <v>29</v>
      </c>
      <c r="E102" s="56">
        <f>'Mastercurve bestimmen'!A46</f>
        <v>100000000000000</v>
      </c>
    </row>
    <row r="103" spans="1:5" x14ac:dyDescent="0.25">
      <c r="A103" s="50">
        <f t="shared" si="0"/>
        <v>30</v>
      </c>
      <c r="B103" s="56">
        <f>'Mastercurve bestimmen'!C47</f>
        <v>2.0349292815546579E-6</v>
      </c>
      <c r="C103" s="11"/>
      <c r="D103" s="51">
        <f t="shared" si="1"/>
        <v>30</v>
      </c>
      <c r="E103" s="56">
        <f>'Mastercurve bestimmen'!A47</f>
        <v>1000000000000000</v>
      </c>
    </row>
    <row r="104" spans="1:5" x14ac:dyDescent="0.25">
      <c r="A104" s="50">
        <f t="shared" si="0"/>
        <v>31</v>
      </c>
      <c r="B104" s="56">
        <f>'Mastercurve bestimmen'!C48</f>
        <v>1.1740866771866395E-2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18946.322</v>
      </c>
    </row>
    <row r="108" spans="1:5" s="11" customFormat="1" x14ac:dyDescent="0.25">
      <c r="A108" s="61" t="str">
        <f>STUTT!B3</f>
        <v>mp,PRXY,MatID,</v>
      </c>
      <c r="B108" s="52">
        <f>STUTT!C3</f>
        <v>0.27492274999999999</v>
      </c>
    </row>
    <row r="109" spans="1:5" s="11" customFormat="1" x14ac:dyDescent="0.25">
      <c r="A109" s="61" t="str">
        <f>STUTT!B4</f>
        <v>mp,ey,MatID,</v>
      </c>
      <c r="B109" s="52">
        <f>STUTT!C4</f>
        <v>25113.767</v>
      </c>
    </row>
    <row r="110" spans="1:5" s="11" customFormat="1" x14ac:dyDescent="0.25">
      <c r="A110" s="61" t="str">
        <f>STUTT!B5</f>
        <v>mp,PRYZ,MatID,</v>
      </c>
      <c r="B110" s="52">
        <f>STUTT!C5</f>
        <v>0.36447574999999999</v>
      </c>
    </row>
    <row r="111" spans="1:5" s="11" customFormat="1" x14ac:dyDescent="0.25">
      <c r="A111" s="61" t="str">
        <f>STUTT!B6</f>
        <v>mp,ez,MatID,</v>
      </c>
      <c r="B111" s="52">
        <f>STUTT!C6</f>
        <v>18946.322</v>
      </c>
    </row>
    <row r="112" spans="1:5" s="11" customFormat="1" x14ac:dyDescent="0.25">
      <c r="A112" s="61" t="str">
        <f>STUTT!B7</f>
        <v>mp,PRXZ,MatID,</v>
      </c>
      <c r="B112" s="52">
        <f>STUTT!C7</f>
        <v>0.35477789999999998</v>
      </c>
    </row>
    <row r="113" spans="1:4" s="11" customFormat="1" x14ac:dyDescent="0.25">
      <c r="A113" s="61" t="str">
        <f>STUTT!B8</f>
        <v>MP,GXZ,</v>
      </c>
      <c r="B113" s="52" t="str">
        <f>STUTT!C8</f>
        <v>MatID,</v>
      </c>
      <c r="C113" s="112">
        <f>STUTT!D8</f>
        <v>6992.4087</v>
      </c>
      <c r="D113" s="112"/>
    </row>
    <row r="114" spans="1:4" s="11" customFormat="1" x14ac:dyDescent="0.25">
      <c r="A114" s="61" t="str">
        <f>STUTT!B9</f>
        <v>MP,GXY,</v>
      </c>
      <c r="B114" s="52" t="str">
        <f>STUTT!C9</f>
        <v>MatID,</v>
      </c>
      <c r="C114" s="112">
        <f>STUTT!D9</f>
        <v>9035.3351999999995</v>
      </c>
      <c r="D114" s="112"/>
    </row>
    <row r="115" spans="1:4" x14ac:dyDescent="0.25">
      <c r="A115" s="61" t="str">
        <f>STUTT!B10</f>
        <v>MP,GYZ,</v>
      </c>
      <c r="B115" s="52" t="str">
        <f>STUTT!C10</f>
        <v>MatID,</v>
      </c>
      <c r="C115" s="112">
        <f>STUTT!D10</f>
        <v>9035.3351999999995</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-1.973E-7</v>
      </c>
      <c r="C3" s="3">
        <v>2.4930000000000001E-6</v>
      </c>
      <c r="D3" s="3">
        <v>-1.973E-7</v>
      </c>
      <c r="E3" s="3">
        <v>-1.3499999999999999E-5</v>
      </c>
      <c r="F3" s="3">
        <v>-1.3499999999999999E-5</v>
      </c>
      <c r="G3" s="3">
        <v>-1.3499999999999999E-5</v>
      </c>
      <c r="H3" s="3">
        <v>-2.1161738999999999E-6</v>
      </c>
      <c r="I3" s="3">
        <v>-9.5446578000000009E-7</v>
      </c>
      <c r="J3" s="3">
        <v>-2.1161738999999999E-6</v>
      </c>
      <c r="L3" s="48">
        <f>ABS(H3/(-0.5)/$L$1)</f>
        <v>2.4184844571428572E-5</v>
      </c>
      <c r="R3">
        <f>ABS(I3/(-0.5)/$R$1)</f>
        <v>2.1210350666666669E-5</v>
      </c>
    </row>
    <row r="4" spans="1:18" x14ac:dyDescent="0.25">
      <c r="A4">
        <v>-39</v>
      </c>
      <c r="B4" s="3">
        <v>1.9719999999999999E-7</v>
      </c>
      <c r="C4" s="3">
        <v>-2.4930000000000001E-6</v>
      </c>
      <c r="D4" s="3">
        <v>1.9719999999999999E-7</v>
      </c>
      <c r="E4" s="3">
        <v>1.3499999999999999E-5</v>
      </c>
      <c r="F4" s="3">
        <v>1.3499999999999999E-5</v>
      </c>
      <c r="G4" s="3">
        <v>1.3499999999999999E-5</v>
      </c>
      <c r="H4" s="3">
        <v>2.1161285999999999E-6</v>
      </c>
      <c r="I4" s="3">
        <v>9.5452484000000003E-7</v>
      </c>
      <c r="J4" s="3">
        <v>2.1161285999999999E-6</v>
      </c>
      <c r="L4" s="48">
        <f t="shared" ref="L4:L14" si="0">ABS(H4/(-0.5)/$L$1)</f>
        <v>2.4184326857142857E-5</v>
      </c>
      <c r="N4" s="39" t="s">
        <v>27</v>
      </c>
      <c r="O4" s="39" t="s">
        <v>130</v>
      </c>
      <c r="P4" s="85" t="s">
        <v>131</v>
      </c>
      <c r="R4" s="11">
        <f t="shared" ref="R4:R14" si="1">ABS(I4/(-0.5)/$R$1)</f>
        <v>2.1211663111111113E-5</v>
      </c>
    </row>
    <row r="5" spans="1:18" x14ac:dyDescent="0.25">
      <c r="A5">
        <v>0</v>
      </c>
      <c r="B5" s="3">
        <v>-1.9219999999999999E-7</v>
      </c>
      <c r="C5" s="3">
        <v>2.4719999999999998E-6</v>
      </c>
      <c r="D5" s="3">
        <v>-1.9219999999999999E-7</v>
      </c>
      <c r="E5" s="3">
        <v>-1.3499999999999999E-5</v>
      </c>
      <c r="F5" s="3">
        <v>-1.3499999999999999E-5</v>
      </c>
      <c r="G5" s="3">
        <v>-1.3499999999999999E-5</v>
      </c>
      <c r="H5" s="3">
        <v>-2.1143196000000002E-6</v>
      </c>
      <c r="I5" s="3">
        <v>-9.5689469999999994E-7</v>
      </c>
      <c r="J5" s="3">
        <v>-2.1143196000000002E-6</v>
      </c>
      <c r="L5" s="48">
        <f t="shared" si="0"/>
        <v>2.4163652571428575E-5</v>
      </c>
      <c r="M5" s="48"/>
      <c r="N5" s="10">
        <f>(INDEX(A:A,ROW(A2)*2+1)+INDEX(A:A,ROW(A2)*2+2))/2</f>
        <v>0.5</v>
      </c>
      <c r="O5" s="89">
        <f>(INDEX(L:L,ROW(L2)*2+1)+INDEX(L:L,ROW(L2)*2+2))/2</f>
        <v>2.4163381142857142E-5</v>
      </c>
      <c r="P5" s="89">
        <f>(INDEX(R:R,ROW(M2)*2+1)+INDEX(R:R,ROW(R2)*2+2))/2</f>
        <v>2.1265021444444447E-5</v>
      </c>
      <c r="R5" s="11">
        <f t="shared" si="1"/>
        <v>2.1264326666666666E-5</v>
      </c>
    </row>
    <row r="6" spans="1:18" x14ac:dyDescent="0.25">
      <c r="A6">
        <v>1</v>
      </c>
      <c r="B6" s="3">
        <v>1.92E-7</v>
      </c>
      <c r="C6" s="3">
        <v>-2.4710000000000001E-6</v>
      </c>
      <c r="D6" s="3">
        <v>1.92E-7</v>
      </c>
      <c r="E6" s="3">
        <v>1.3499999999999999E-5</v>
      </c>
      <c r="F6" s="3">
        <v>1.3499999999999999E-5</v>
      </c>
      <c r="G6" s="3">
        <v>1.3499999999999999E-5</v>
      </c>
      <c r="H6" s="3">
        <v>2.1142720999999998E-6</v>
      </c>
      <c r="I6" s="3">
        <v>9.5695722999999997E-7</v>
      </c>
      <c r="J6" s="3">
        <v>2.1142720999999998E-6</v>
      </c>
      <c r="L6" s="48">
        <f t="shared" si="0"/>
        <v>2.4163109714285714E-5</v>
      </c>
      <c r="M6" s="49"/>
      <c r="N6" s="10">
        <f>(INDEX(A:A,ROW(A3)*2+1)+INDEX(A:A,ROW(A3)*2+2))/2</f>
        <v>130.5</v>
      </c>
      <c r="O6" s="89">
        <f t="shared" ref="O6:O7" si="2">(INDEX(L:L,ROW(L3)*2+1)+INDEX(L:L,ROW(L3)*2+2))/2</f>
        <v>2.6285482285714284E-5</v>
      </c>
      <c r="P6" s="89">
        <f t="shared" ref="P6:P9" si="3">(INDEX(R:R,ROW(M3)*2+1)+INDEX(R:R,ROW(R3)*2+2))/2</f>
        <v>2.2263357333333333E-5</v>
      </c>
      <c r="R6" s="11">
        <f t="shared" si="1"/>
        <v>2.1265716222222223E-5</v>
      </c>
    </row>
    <row r="7" spans="1:18" x14ac:dyDescent="0.25">
      <c r="A7">
        <v>130</v>
      </c>
      <c r="B7" s="3">
        <v>-2.8169999999999999E-7</v>
      </c>
      <c r="C7" s="3">
        <v>3.0639999999999998E-6</v>
      </c>
      <c r="D7" s="3">
        <v>-2.8169999999999999E-7</v>
      </c>
      <c r="E7" s="3">
        <v>-1.435E-5</v>
      </c>
      <c r="F7" s="3">
        <v>-1.435E-5</v>
      </c>
      <c r="G7" s="3">
        <v>-1.435E-5</v>
      </c>
      <c r="H7" s="3">
        <v>-2.2037995999999998E-6</v>
      </c>
      <c r="I7" s="3">
        <v>-9.8383106000000002E-7</v>
      </c>
      <c r="J7" s="3">
        <v>-2.2037995999999998E-6</v>
      </c>
      <c r="L7" s="48">
        <f t="shared" si="0"/>
        <v>2.5186281142857142E-5</v>
      </c>
      <c r="M7" s="48"/>
      <c r="N7" s="10">
        <f>(INDEX(A:A,ROW(A4)*2+1)+INDEX(A:A,ROW(A4)*2+2))/2</f>
        <v>135.5</v>
      </c>
      <c r="O7" s="89">
        <f t="shared" si="2"/>
        <v>4.8267398857142861E-5</v>
      </c>
      <c r="P7" s="89">
        <f t="shared" si="3"/>
        <v>3.0288797777777777E-5</v>
      </c>
      <c r="R7" s="11">
        <f t="shared" si="1"/>
        <v>2.1862912444444445E-5</v>
      </c>
    </row>
    <row r="8" spans="1:18" x14ac:dyDescent="0.25">
      <c r="A8">
        <v>131</v>
      </c>
      <c r="B8" s="3">
        <v>4.9790000000000003E-7</v>
      </c>
      <c r="C8" s="3">
        <v>-4.4059999999999998E-6</v>
      </c>
      <c r="D8" s="3">
        <v>4.9790000000000003E-7</v>
      </c>
      <c r="E8" s="3">
        <v>1.605E-5</v>
      </c>
      <c r="F8" s="3">
        <v>1.605E-5</v>
      </c>
      <c r="G8" s="3">
        <v>1.605E-5</v>
      </c>
      <c r="H8" s="3">
        <v>2.3961597999999999E-6</v>
      </c>
      <c r="I8" s="3">
        <v>1.0198711E-6</v>
      </c>
      <c r="J8" s="3">
        <v>2.3961597999999999E-6</v>
      </c>
      <c r="L8" s="48">
        <f t="shared" si="0"/>
        <v>2.738468342857143E-5</v>
      </c>
      <c r="M8" s="49"/>
      <c r="N8" s="10">
        <f>(INDEX(A:A,ROW(A5)*2+1)+INDEX(A:A,ROW(A5)*2+2))/2</f>
        <v>140.5</v>
      </c>
      <c r="O8" s="89">
        <f t="shared" ref="O8:O9" si="4">(INDEX(L:L,ROW(L5)*2+1)+INDEX(L:L,ROW(L5)*2+2))/2</f>
        <v>6.8039453714285723E-5</v>
      </c>
      <c r="P8" s="89">
        <f t="shared" si="3"/>
        <v>3.7565950000000002E-5</v>
      </c>
      <c r="R8" s="11">
        <f t="shared" si="1"/>
        <v>2.2663802222222221E-5</v>
      </c>
    </row>
    <row r="9" spans="1:18" x14ac:dyDescent="0.25">
      <c r="A9">
        <v>135</v>
      </c>
      <c r="B9" s="3">
        <v>-2.4430000000000002E-6</v>
      </c>
      <c r="C9" s="3">
        <v>1.6480000000000001E-5</v>
      </c>
      <c r="D9" s="3">
        <v>-2.4430000000000002E-6</v>
      </c>
      <c r="E9" s="3">
        <v>-3.1350000000000003E-5</v>
      </c>
      <c r="F9" s="3">
        <v>-3.1350000000000003E-5</v>
      </c>
      <c r="G9" s="3">
        <v>-3.1350000000000003E-5</v>
      </c>
      <c r="H9" s="3">
        <v>-4.1272953999999997E-6</v>
      </c>
      <c r="I9" s="3">
        <v>-1.3447875999999999E-6</v>
      </c>
      <c r="J9" s="3">
        <v>-4.1272953999999997E-6</v>
      </c>
      <c r="L9" s="48">
        <f t="shared" si="0"/>
        <v>4.7169090285714284E-5</v>
      </c>
      <c r="M9" s="48"/>
      <c r="N9" s="10">
        <f>(INDEX(A:A,ROW(A6)*2+1)+INDEX(A:A,ROW(A6)*2+2))/2</f>
        <v>180.5</v>
      </c>
      <c r="O9" s="89">
        <f t="shared" si="4"/>
        <v>6.7913481714285714E-5</v>
      </c>
      <c r="P9" s="89">
        <f t="shared" si="3"/>
        <v>3.810576666666667E-5</v>
      </c>
      <c r="R9" s="11">
        <f t="shared" si="1"/>
        <v>2.9884168888888887E-5</v>
      </c>
    </row>
    <row r="10" spans="1:18" x14ac:dyDescent="0.25">
      <c r="A10">
        <v>136</v>
      </c>
      <c r="B10" s="3">
        <v>2.6579999999999998E-6</v>
      </c>
      <c r="C10" s="3">
        <v>-1.7819999999999999E-5</v>
      </c>
      <c r="D10" s="3">
        <v>2.6579999999999998E-6</v>
      </c>
      <c r="E10" s="3">
        <v>3.3049999999999997E-5</v>
      </c>
      <c r="F10" s="3">
        <v>3.3049999999999997E-5</v>
      </c>
      <c r="G10" s="3">
        <v>3.3049999999999997E-5</v>
      </c>
      <c r="H10" s="3">
        <v>4.3194994000000003E-6</v>
      </c>
      <c r="I10" s="3">
        <v>1.3812042E-6</v>
      </c>
      <c r="J10" s="3">
        <v>4.3194994000000003E-6</v>
      </c>
      <c r="L10" s="48">
        <f t="shared" si="0"/>
        <v>4.9365707428571437E-5</v>
      </c>
      <c r="M10" s="49"/>
      <c r="N10" s="10"/>
      <c r="O10" s="3"/>
      <c r="R10" s="11">
        <f t="shared" si="1"/>
        <v>3.0693426666666671E-5</v>
      </c>
    </row>
    <row r="11" spans="1:18" x14ac:dyDescent="0.25">
      <c r="A11">
        <v>140</v>
      </c>
      <c r="B11" s="3">
        <v>-4.4920000000000004E-6</v>
      </c>
      <c r="C11" s="3">
        <v>2.9200000000000002E-5</v>
      </c>
      <c r="D11" s="3">
        <v>-4.4920000000000004E-6</v>
      </c>
      <c r="E11" s="3">
        <v>-4.7500000000000003E-5</v>
      </c>
      <c r="F11" s="3">
        <v>-4.7500000000000003E-5</v>
      </c>
      <c r="G11" s="3">
        <v>-4.7500000000000003E-5</v>
      </c>
      <c r="H11" s="3">
        <v>-5.9535860000000001E-6</v>
      </c>
      <c r="I11" s="3">
        <v>-1.6901754000000001E-6</v>
      </c>
      <c r="J11" s="3">
        <v>-5.9535860000000001E-6</v>
      </c>
      <c r="L11" s="48">
        <f t="shared" si="0"/>
        <v>6.804098285714286E-5</v>
      </c>
      <c r="M11" s="48"/>
      <c r="N11" s="10"/>
      <c r="O11" s="3"/>
      <c r="R11" s="11">
        <f t="shared" si="1"/>
        <v>3.7559453333333333E-5</v>
      </c>
    </row>
    <row r="12" spans="1:18" x14ac:dyDescent="0.25">
      <c r="A12">
        <v>141</v>
      </c>
      <c r="B12" s="3">
        <v>4.4909999999999999E-6</v>
      </c>
      <c r="C12" s="3">
        <v>-2.919E-5</v>
      </c>
      <c r="D12" s="3">
        <v>4.4909999999999999E-6</v>
      </c>
      <c r="E12" s="3">
        <v>4.7500000000000003E-5</v>
      </c>
      <c r="F12" s="3">
        <v>4.7500000000000003E-5</v>
      </c>
      <c r="G12" s="3">
        <v>4.7500000000000003E-5</v>
      </c>
      <c r="H12" s="3">
        <v>5.9533184000000001E-6</v>
      </c>
      <c r="I12" s="3">
        <v>1.6907601000000001E-6</v>
      </c>
      <c r="J12" s="3">
        <v>5.9533184000000001E-6</v>
      </c>
      <c r="L12" s="48">
        <f t="shared" si="0"/>
        <v>6.8037924571428572E-5</v>
      </c>
      <c r="M12" s="49"/>
      <c r="N12" s="10"/>
      <c r="O12" s="3"/>
      <c r="R12" s="11">
        <f t="shared" si="1"/>
        <v>3.7572446666666672E-5</v>
      </c>
    </row>
    <row r="13" spans="1:18" x14ac:dyDescent="0.25">
      <c r="A13">
        <v>180</v>
      </c>
      <c r="B13" s="3">
        <v>-4.4519999999999999E-6</v>
      </c>
      <c r="C13" s="3">
        <v>2.8969999999999999E-5</v>
      </c>
      <c r="D13" s="3">
        <v>-4.4519999999999999E-6</v>
      </c>
      <c r="E13" s="3">
        <v>-4.7500000000000003E-5</v>
      </c>
      <c r="F13" s="3">
        <v>-4.7500000000000003E-5</v>
      </c>
      <c r="G13" s="3">
        <v>-4.7500000000000003E-5</v>
      </c>
      <c r="H13" s="3">
        <v>-5.9425716999999999E-6</v>
      </c>
      <c r="I13" s="3">
        <v>-1.714444E-6</v>
      </c>
      <c r="J13" s="3">
        <v>-5.9425716999999999E-6</v>
      </c>
      <c r="L13" s="48">
        <f t="shared" si="0"/>
        <v>6.7915105142857151E-5</v>
      </c>
      <c r="M13" s="48"/>
      <c r="N13" s="10"/>
      <c r="O13" s="3"/>
      <c r="R13" s="11">
        <f t="shared" si="1"/>
        <v>3.809875555555556E-5</v>
      </c>
    </row>
    <row r="14" spans="1:18" x14ac:dyDescent="0.25">
      <c r="A14" s="11">
        <v>181</v>
      </c>
      <c r="B14" s="3">
        <v>4.4510000000000002E-6</v>
      </c>
      <c r="C14" s="3">
        <v>-2.8969999999999999E-5</v>
      </c>
      <c r="D14" s="3">
        <v>4.4510000000000002E-6</v>
      </c>
      <c r="E14" s="3">
        <v>4.7500000000000003E-5</v>
      </c>
      <c r="F14" s="3">
        <v>4.7500000000000003E-5</v>
      </c>
      <c r="G14" s="3">
        <v>4.7500000000000003E-5</v>
      </c>
      <c r="H14" s="3">
        <v>5.9422875999999998E-6</v>
      </c>
      <c r="I14" s="3">
        <v>1.715075E-6</v>
      </c>
      <c r="J14" s="3">
        <v>5.9422875999999998E-6</v>
      </c>
      <c r="L14" s="48">
        <f t="shared" si="0"/>
        <v>6.7911858285714291E-5</v>
      </c>
      <c r="M14" s="49"/>
      <c r="N14" s="10"/>
      <c r="O14" s="3"/>
      <c r="R14" s="11">
        <f t="shared" si="1"/>
        <v>3.8112777777777781E-5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18946.322</v>
      </c>
    </row>
    <row r="3" spans="2:4" x14ac:dyDescent="0.25">
      <c r="B3" t="s">
        <v>118</v>
      </c>
      <c r="C3" s="3">
        <v>0.27492274999999999</v>
      </c>
    </row>
    <row r="4" spans="2:4" x14ac:dyDescent="0.25">
      <c r="B4" t="s">
        <v>119</v>
      </c>
      <c r="C4" s="3">
        <v>25113.767</v>
      </c>
    </row>
    <row r="5" spans="2:4" x14ac:dyDescent="0.25">
      <c r="B5" t="s">
        <v>120</v>
      </c>
      <c r="C5" s="3">
        <v>0.36447574999999999</v>
      </c>
    </row>
    <row r="6" spans="2:4" x14ac:dyDescent="0.25">
      <c r="B6" t="s">
        <v>121</v>
      </c>
      <c r="C6" s="3">
        <v>18946.322</v>
      </c>
    </row>
    <row r="7" spans="2:4" x14ac:dyDescent="0.25">
      <c r="B7" t="s">
        <v>122</v>
      </c>
      <c r="C7" s="3">
        <v>0.35477789999999998</v>
      </c>
    </row>
    <row r="8" spans="2:4" x14ac:dyDescent="0.25">
      <c r="B8" t="s">
        <v>123</v>
      </c>
      <c r="C8" t="s">
        <v>124</v>
      </c>
      <c r="D8" s="3">
        <v>6992.4087</v>
      </c>
    </row>
    <row r="9" spans="2:4" x14ac:dyDescent="0.25">
      <c r="B9" t="s">
        <v>125</v>
      </c>
      <c r="C9" t="s">
        <v>124</v>
      </c>
      <c r="D9" s="3">
        <v>9035.3351999999995</v>
      </c>
    </row>
    <row r="10" spans="2:4" x14ac:dyDescent="0.25">
      <c r="B10" t="s">
        <v>126</v>
      </c>
      <c r="C10" t="s">
        <v>124</v>
      </c>
      <c r="D10" s="3">
        <v>9035.3351999999995</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-5.2026789142857141E-4</v>
      </c>
      <c r="C3" s="2">
        <f>IF('Modell einstellen'!$B$2="Ja",creep_res0!O3,creep_res0!C3)</f>
        <v>-5.2482441714285716E-4</v>
      </c>
      <c r="D3" s="2">
        <f>IF('Modell einstellen'!$B$2="Ja",creep_res25!O3,creep_res25!C3)</f>
        <v>-5.2781071428571432E-4</v>
      </c>
      <c r="E3" s="2">
        <f>IF('Modell einstellen'!$B$2="Ja",creep_res50!O3,creep_res50!C3)</f>
        <v>-5.3091504571428573E-4</v>
      </c>
      <c r="F3" s="2">
        <f>IF('Modell einstellen'!$B$2="Ja",creep_res80!O3,creep_res80!C3)</f>
        <v>-5.3875919428571434E-4</v>
      </c>
      <c r="G3" s="2">
        <f>IF('Modell einstellen'!$B$2="Ja",creep_res125!O3,creep_res125!C3)</f>
        <v>-6.2079731428571429E-4</v>
      </c>
      <c r="H3" s="2">
        <f>IF('Modell einstellen'!$B$2="Ja",creep_res160!O3,creep_res160!C3)</f>
        <v>-7.5780891428571431E-4</v>
      </c>
      <c r="M3" s="9">
        <f>-10</f>
        <v>-10</v>
      </c>
      <c r="N3" s="2">
        <f t="shared" ref="N3:N33" si="4">A3</f>
        <v>1.0000000000000001E-15</v>
      </c>
      <c r="O3" s="2">
        <f t="shared" ref="O3:O33" si="5">$M$3/B3</f>
        <v>19220.867104717185</v>
      </c>
      <c r="P3" s="2">
        <f t="shared" ref="P3:P33" si="6">$M$3/C3</f>
        <v>19053.991531948868</v>
      </c>
      <c r="Q3" s="2">
        <f t="shared" ref="Q3:Q33" si="7">$M$3/D3</f>
        <v>18946.186065080146</v>
      </c>
      <c r="R3" s="2">
        <f>$M$3/E3</f>
        <v>18835.405175881086</v>
      </c>
      <c r="S3" s="2">
        <f t="shared" ref="S3:S33" si="8">$M$3/F3</f>
        <v>18561.168154648341</v>
      </c>
      <c r="T3" s="2">
        <f t="shared" ref="T3:T33" si="9">$M$3/G3</f>
        <v>16108.317110723878</v>
      </c>
      <c r="U3" s="2">
        <f t="shared" ref="U3:U33" si="10">$M$3/H3</f>
        <v>13195.938727410814</v>
      </c>
      <c r="W3" s="2">
        <v>18599.275035544593</v>
      </c>
      <c r="Z3" s="2">
        <v>1.0000000000000001E-15</v>
      </c>
      <c r="AA3" s="3">
        <f>IF('Modell einstellen'!$B$2="Ja",'creep_res-40'!P3,'creep_res-40'!L3)</f>
        <v>0.35489597935815076</v>
      </c>
      <c r="AB3" s="2">
        <f>IF('Modell einstellen'!$B$2="Ja",creep_res0!P3,creep_res0!L3)</f>
        <v>0.35482118738094864</v>
      </c>
      <c r="AC3" s="2">
        <f>IF('Modell einstellen'!$B$2="Ja",creep_res25!P3,creep_res25!L3)</f>
        <v>0.35477058198623695</v>
      </c>
      <c r="AD3" s="2">
        <f>IF('Modell einstellen'!$B$2="Ja",creep_res50!P3,creep_res50!L3)</f>
        <v>0.35471875817893839</v>
      </c>
      <c r="AE3" s="2">
        <f>IF('Modell einstellen'!$B$2="Ja",creep_res80!P3,creep_res80!L3)</f>
        <v>0.35669424279974371</v>
      </c>
      <c r="AF3" s="2">
        <f>IF('Modell einstellen'!$B$2="Ja",creep_res125!P3,creep_res125!L3)</f>
        <v>0.39427561036024372</v>
      </c>
      <c r="AG3" s="2">
        <f>IF('Modell einstellen'!$B$2="Ja",creep_res160!P3,creep_res160!L3)</f>
        <v>0.45450490496812768</v>
      </c>
      <c r="AL3" s="2">
        <f t="shared" ref="AL3:AL33" si="11">Z3</f>
        <v>1.0000000000000001E-15</v>
      </c>
      <c r="AM3" s="2">
        <f t="shared" ref="AM3:AM33" si="12">O3/(2*(1+AA3))</f>
        <v>7093.1154116431162</v>
      </c>
      <c r="AN3" s="2">
        <f t="shared" ref="AN3:AN33" si="13">P3/(2*(1+AB3))</f>
        <v>7031.9211529245395</v>
      </c>
      <c r="AO3" s="2">
        <f t="shared" ref="AO3:AO33" si="14">Q3/(2*(1+AC3))</f>
        <v>6992.3964680806075</v>
      </c>
      <c r="AP3" s="2">
        <f t="shared" ref="AP3:AP33" si="15">R3/(2*(1+AD3))</f>
        <v>6951.7769139036336</v>
      </c>
      <c r="AQ3" s="2">
        <f t="shared" ref="AQ3:AQ33" si="16">S3/(2*(1+AE3))</f>
        <v>6840.5863197092085</v>
      </c>
      <c r="AR3" s="2">
        <f t="shared" ref="AR3:AR33" si="17">T3/(2*(1+AF3))</f>
        <v>5776.5900052436255</v>
      </c>
      <c r="AS3" s="2">
        <f t="shared" ref="AS3:AS33" si="18">U3/(2*(1+AG3))</f>
        <v>4536.230397827354</v>
      </c>
      <c r="AX3" s="2">
        <f>AL3</f>
        <v>1.0000000000000001E-15</v>
      </c>
      <c r="AY3" s="37">
        <f t="shared" ref="AY3:AY33" si="19">O3/(3*(1-(2*AA3)))</f>
        <v>22077.11293330136</v>
      </c>
      <c r="AZ3" s="37">
        <f t="shared" ref="AZ3:AZ33" si="20">P3/(3*(1-(2*AB3)))</f>
        <v>21874.164680336275</v>
      </c>
      <c r="BA3" s="37">
        <f t="shared" ref="BA3:BA33" si="21">Q3/(3*(1-(2*AC3)))</f>
        <v>21742.824013893041</v>
      </c>
      <c r="BB3" s="37">
        <f t="shared" ref="BB3:BB33" si="22">R3/(3*(1-(2*AD3)))</f>
        <v>21607.980195039068</v>
      </c>
      <c r="BC3" s="37">
        <f t="shared" ref="BC3:BC33" si="23">S3/(3*(1-(2*AE3)))</f>
        <v>21586.906808299471</v>
      </c>
      <c r="BD3" s="37">
        <f t="shared" ref="BD3:BD33" si="24">T3/(3*(1-(2*AF3)))</f>
        <v>25393.568386649978</v>
      </c>
      <c r="BE3" s="37">
        <f t="shared" ref="BE3:BE33" si="25">U3/(3*(1-(2*AG3)))</f>
        <v>48341.983233453284</v>
      </c>
    </row>
    <row r="4" spans="1:308" x14ac:dyDescent="0.25">
      <c r="A4" s="2">
        <f>'creep_res-40'!A4</f>
        <v>1E-14</v>
      </c>
      <c r="B4" s="3">
        <f>'creep_res-40'!O4</f>
        <v>-5.2026033714285718E-4</v>
      </c>
      <c r="C4" s="2">
        <f>IF('Modell einstellen'!$B$2="Ja",creep_res0!O4,creep_res0!C4)</f>
        <v>-5.2481664571428575E-4</v>
      </c>
      <c r="D4" s="2">
        <f>IF('Modell einstellen'!$B$2="Ja",creep_res25!O4,creep_res25!C4)</f>
        <v>-5.2780317142857151E-4</v>
      </c>
      <c r="E4" s="2">
        <f>IF('Modell einstellen'!$B$2="Ja",creep_res50!O4,creep_res50!C4)</f>
        <v>-5.3097552000000003E-4</v>
      </c>
      <c r="F4" s="2">
        <f>IF('Modell einstellen'!$B$2="Ja",creep_res80!O4,creep_res80!C4)</f>
        <v>-5.5183846857142854E-4</v>
      </c>
      <c r="G4" s="2">
        <f>IF('Modell einstellen'!$B$2="Ja",creep_res125!O4,creep_res125!C4)</f>
        <v>-6.3928611428571433E-4</v>
      </c>
      <c r="H4" s="2">
        <f>IF('Modell einstellen'!$B$2="Ja",creep_res160!O4,creep_res160!C4)</f>
        <v>-7.9098565714285718E-4</v>
      </c>
      <c r="M4" s="9">
        <f t="shared" ref="M4:M32" si="26">M3</f>
        <v>-10</v>
      </c>
      <c r="N4" s="2">
        <f t="shared" si="4"/>
        <v>1E-14</v>
      </c>
      <c r="O4" s="2">
        <f t="shared" si="5"/>
        <v>19221.146195609606</v>
      </c>
      <c r="P4" s="2">
        <f t="shared" si="6"/>
        <v>19054.273681410777</v>
      </c>
      <c r="Q4" s="2">
        <f t="shared" si="7"/>
        <v>18946.45682581564</v>
      </c>
      <c r="R4" s="2">
        <f t="shared" ref="R4:R33" si="27">$M$3/E4</f>
        <v>18833.259958952531</v>
      </c>
      <c r="S4" s="2">
        <f t="shared" si="8"/>
        <v>18121.244837982198</v>
      </c>
      <c r="T4" s="2">
        <f t="shared" si="9"/>
        <v>15642.448313104966</v>
      </c>
      <c r="U4" s="2">
        <f t="shared" si="10"/>
        <v>12642.454271701079</v>
      </c>
      <c r="Z4" s="2">
        <v>1E-14</v>
      </c>
      <c r="AA4" s="3">
        <f>IF('Modell einstellen'!$B$2="Ja",'creep_res-40'!P4,'creep_res-40'!L4)</f>
        <v>0.35490202218430006</v>
      </c>
      <c r="AB4" s="2">
        <f>IF('Modell einstellen'!$B$2="Ja",creep_res0!P4,creep_res0!L4)</f>
        <v>0.35482783521903322</v>
      </c>
      <c r="AC4" s="2">
        <f>IF('Modell einstellen'!$B$2="Ja",creep_res25!P4,creep_res25!L4)</f>
        <v>0.35477781733677666</v>
      </c>
      <c r="AD4" s="2">
        <f>IF('Modell einstellen'!$B$2="Ja",creep_res50!P4,creep_res50!L4)</f>
        <v>0.35476427021935553</v>
      </c>
      <c r="AE4" s="2">
        <f>IF('Modell einstellen'!$B$2="Ja",creep_res80!P4,creep_res80!L4)</f>
        <v>0.36381285985426876</v>
      </c>
      <c r="AF4" s="2">
        <f>IF('Modell einstellen'!$B$2="Ja",creep_res125!P4,creep_res125!L4)</f>
        <v>0.4037430680490301</v>
      </c>
      <c r="AG4" s="2">
        <f>IF('Modell einstellen'!$B$2="Ja",creep_res160!P4,creep_res160!L4)</f>
        <v>0.46898678097757085</v>
      </c>
      <c r="AL4" s="2">
        <f t="shared" si="11"/>
        <v>1E-14</v>
      </c>
      <c r="AM4" s="2">
        <f t="shared" si="12"/>
        <v>7093.186769557813</v>
      </c>
      <c r="AN4" s="2">
        <f t="shared" si="13"/>
        <v>7031.9907762783369</v>
      </c>
      <c r="AO4" s="2">
        <f t="shared" si="14"/>
        <v>6992.459052459466</v>
      </c>
      <c r="AP4" s="2">
        <f t="shared" si="15"/>
        <v>6950.7516447504031</v>
      </c>
      <c r="AQ4" s="2">
        <f t="shared" si="16"/>
        <v>6643.5965561721414</v>
      </c>
      <c r="AR4" s="2">
        <f t="shared" si="17"/>
        <v>5571.6920956359099</v>
      </c>
      <c r="AS4" s="2">
        <f t="shared" si="18"/>
        <v>4303.1205029931816</v>
      </c>
      <c r="AX4" s="2">
        <f t="shared" ref="AX4:AX32" si="28">AL4</f>
        <v>1E-14</v>
      </c>
      <c r="AY4" s="37">
        <f t="shared" si="19"/>
        <v>22078.352945786577</v>
      </c>
      <c r="AZ4" s="37">
        <f t="shared" si="20"/>
        <v>21875.490284426003</v>
      </c>
      <c r="BA4" s="37">
        <f t="shared" si="21"/>
        <v>21744.218041575314</v>
      </c>
      <c r="BB4" s="37">
        <f t="shared" si="22"/>
        <v>21612.28965190726</v>
      </c>
      <c r="BC4" s="37">
        <f t="shared" si="23"/>
        <v>22176.891810527537</v>
      </c>
      <c r="BD4" s="37">
        <f t="shared" si="24"/>
        <v>27084.539949588099</v>
      </c>
      <c r="BE4" s="37">
        <f t="shared" si="25"/>
        <v>67941.212759188784</v>
      </c>
      <c r="BF4" s="5"/>
      <c r="BG4" s="5"/>
    </row>
    <row r="5" spans="1:308" x14ac:dyDescent="0.25">
      <c r="A5" s="2">
        <f>'creep_res-40'!A5</f>
        <v>1E-13</v>
      </c>
      <c r="B5" s="3">
        <f>'creep_res-40'!O5</f>
        <v>-5.2026304571428574E-4</v>
      </c>
      <c r="C5" s="2">
        <f>IF('Modell einstellen'!$B$2="Ja",creep_res0!O5,creep_res0!C5)</f>
        <v>-5.2481937142857143E-4</v>
      </c>
      <c r="D5" s="2">
        <f>IF('Modell einstellen'!$B$2="Ja",creep_res25!O5,creep_res25!C5)</f>
        <v>-5.2780959428571435E-4</v>
      </c>
      <c r="E5" s="2">
        <f>IF('Modell einstellen'!$B$2="Ja",creep_res50!O5,creep_res50!C5)</f>
        <v>-5.316390914285714E-4</v>
      </c>
      <c r="F5" s="2">
        <f>IF('Modell einstellen'!$B$2="Ja",creep_res80!O5,creep_res80!C5)</f>
        <v>-5.5994022285714288E-4</v>
      </c>
      <c r="G5" s="2">
        <f>IF('Modell einstellen'!$B$2="Ja",creep_res125!O5,creep_res125!C5)</f>
        <v>-6.558840571428572E-4</v>
      </c>
      <c r="H5" s="2">
        <f>IF('Modell einstellen'!$B$2="Ja",creep_res160!O5,creep_res160!C5)</f>
        <v>-8.179954857142857E-4</v>
      </c>
      <c r="M5" s="9">
        <f t="shared" si="26"/>
        <v>-10</v>
      </c>
      <c r="N5" s="2">
        <f t="shared" si="4"/>
        <v>1E-13</v>
      </c>
      <c r="O5" s="2">
        <f t="shared" si="5"/>
        <v>19221.046127292553</v>
      </c>
      <c r="P5" s="2">
        <f t="shared" si="6"/>
        <v>19054.174720684852</v>
      </c>
      <c r="Q5" s="2">
        <f t="shared" si="7"/>
        <v>18946.226268457696</v>
      </c>
      <c r="R5" s="2">
        <f t="shared" si="27"/>
        <v>18809.75300956317</v>
      </c>
      <c r="S5" s="2">
        <f t="shared" si="8"/>
        <v>17859.049219529443</v>
      </c>
      <c r="T5" s="2">
        <f t="shared" si="9"/>
        <v>15246.597155542559</v>
      </c>
      <c r="U5" s="2">
        <f t="shared" si="10"/>
        <v>12225.006341285432</v>
      </c>
      <c r="Z5" s="2">
        <v>1E-13</v>
      </c>
      <c r="AA5" s="3">
        <f>IF('Modell einstellen'!$B$2="Ja",'creep_res-40'!P5,'creep_res-40'!L5)</f>
        <v>0.3549020636626749</v>
      </c>
      <c r="AB5" s="2">
        <f>IF('Modell einstellen'!$B$2="Ja",creep_res0!P5,creep_res0!L5)</f>
        <v>0.35482789779427787</v>
      </c>
      <c r="AC5" s="2">
        <f>IF('Modell einstellen'!$B$2="Ja",creep_res25!P5,creep_res25!L5)</f>
        <v>0.35477996345413693</v>
      </c>
      <c r="AD5" s="2">
        <f>IF('Modell einstellen'!$B$2="Ja",creep_res50!P5,creep_res50!L5)</f>
        <v>0.35513075943754374</v>
      </c>
      <c r="AE5" s="2">
        <f>IF('Modell einstellen'!$B$2="Ja",creep_res80!P5,creep_res80!L5)</f>
        <v>0.36805711474976932</v>
      </c>
      <c r="AF5" s="2">
        <f>IF('Modell einstellen'!$B$2="Ja",creep_res125!P5,creep_res125!L5)</f>
        <v>0.41152209741599799</v>
      </c>
      <c r="AG5" s="2">
        <f>IF('Modell einstellen'!$B$2="Ja",creep_res160!P5,creep_res160!L5)</f>
        <v>0.48088322666957084</v>
      </c>
      <c r="AL5" s="2">
        <f t="shared" si="11"/>
        <v>1E-13</v>
      </c>
      <c r="AM5" s="2">
        <f t="shared" si="12"/>
        <v>7093.1496241627792</v>
      </c>
      <c r="AN5" s="2">
        <f t="shared" si="13"/>
        <v>7031.9539299810422</v>
      </c>
      <c r="AO5" s="2">
        <f t="shared" si="14"/>
        <v>6992.3628853177524</v>
      </c>
      <c r="AP5" s="2">
        <f t="shared" si="15"/>
        <v>6940.1985301294053</v>
      </c>
      <c r="AQ5" s="2">
        <f t="shared" si="16"/>
        <v>6527.1577578820725</v>
      </c>
      <c r="AR5" s="2">
        <f t="shared" si="17"/>
        <v>5400.7646013667554</v>
      </c>
      <c r="AS5" s="2">
        <f t="shared" si="18"/>
        <v>4127.6064584710148</v>
      </c>
      <c r="AX5" s="2">
        <f t="shared" si="28"/>
        <v>1E-13</v>
      </c>
      <c r="AY5" s="37">
        <f t="shared" si="19"/>
        <v>22078.244313789179</v>
      </c>
      <c r="AZ5" s="37">
        <f t="shared" si="20"/>
        <v>21875.38610056468</v>
      </c>
      <c r="BA5" s="37">
        <f t="shared" si="21"/>
        <v>21744.274779045543</v>
      </c>
      <c r="BB5" s="37">
        <f t="shared" si="22"/>
        <v>21639.920405157689</v>
      </c>
      <c r="BC5" s="37">
        <f t="shared" si="23"/>
        <v>22559.065595768479</v>
      </c>
      <c r="BD5" s="37">
        <f t="shared" si="24"/>
        <v>28720.160081905295</v>
      </c>
      <c r="BE5" s="37">
        <f t="shared" si="25"/>
        <v>106581.8494399214</v>
      </c>
    </row>
    <row r="6" spans="1:308" x14ac:dyDescent="0.25">
      <c r="A6" s="2">
        <f>'creep_res-40'!A6</f>
        <v>9.9999999999999998E-13</v>
      </c>
      <c r="B6" s="3">
        <f>'creep_res-40'!O6</f>
        <v>-5.2026376571428568E-4</v>
      </c>
      <c r="C6" s="2">
        <f>IF('Modell einstellen'!$B$2="Ja",creep_res0!O6,creep_res0!C6)</f>
        <v>-5.2482014857142855E-4</v>
      </c>
      <c r="D6" s="2">
        <f>IF('Modell einstellen'!$B$2="Ja",creep_res25!O6,creep_res25!C6)</f>
        <v>-5.2784711428571437E-4</v>
      </c>
      <c r="E6" s="2">
        <f>IF('Modell einstellen'!$B$2="Ja",creep_res50!O6,creep_res50!C6)</f>
        <v>-5.367964742857143E-4</v>
      </c>
      <c r="F6" s="2">
        <f>IF('Modell einstellen'!$B$2="Ja",creep_res80!O6,creep_res80!C6)</f>
        <v>-5.6813518285714294E-4</v>
      </c>
      <c r="G6" s="2">
        <f>IF('Modell einstellen'!$B$2="Ja",creep_res125!O6,creep_res125!C6)</f>
        <v>-6.7472948571428574E-4</v>
      </c>
      <c r="H6" s="2">
        <f>IF('Modell einstellen'!$B$2="Ja",creep_res160!O6,creep_res160!C6)</f>
        <v>-8.486698857142858E-4</v>
      </c>
      <c r="M6" s="9">
        <f t="shared" si="26"/>
        <v>-10</v>
      </c>
      <c r="N6" s="2">
        <f t="shared" si="4"/>
        <v>9.9999999999999998E-13</v>
      </c>
      <c r="O6" s="2">
        <f t="shared" si="5"/>
        <v>19221.019527029144</v>
      </c>
      <c r="P6" s="2">
        <f t="shared" si="6"/>
        <v>19054.146505655717</v>
      </c>
      <c r="Q6" s="2">
        <f t="shared" si="7"/>
        <v>18944.879548185188</v>
      </c>
      <c r="R6" s="2">
        <f t="shared" si="27"/>
        <v>18629.034427445622</v>
      </c>
      <c r="S6" s="2">
        <f t="shared" si="8"/>
        <v>17601.444694395013</v>
      </c>
      <c r="T6" s="2">
        <f t="shared" si="9"/>
        <v>14820.754408581606</v>
      </c>
      <c r="U6" s="2">
        <f t="shared" si="10"/>
        <v>11783.144622344491</v>
      </c>
      <c r="Z6" s="2">
        <v>9.9999999999999998E-13</v>
      </c>
      <c r="AA6" s="3">
        <f>IF('Modell einstellen'!$B$2="Ja",'creep_res-40'!P6,'creep_res-40'!L6)</f>
        <v>0.35490205578029937</v>
      </c>
      <c r="AB6" s="2">
        <f>IF('Modell einstellen'!$B$2="Ja",creep_res0!P6,creep_res0!L6)</f>
        <v>0.354827927664711</v>
      </c>
      <c r="AC6" s="2">
        <f>IF('Modell einstellen'!$B$2="Ja",creep_res25!P6,creep_res25!L6)</f>
        <v>0.35480066766085783</v>
      </c>
      <c r="AD6" s="2">
        <f>IF('Modell einstellen'!$B$2="Ja",creep_res50!P6,creep_res50!L6)</f>
        <v>0.35797376910597761</v>
      </c>
      <c r="AE6" s="2">
        <f>IF('Modell einstellen'!$B$2="Ja",creep_res80!P6,creep_res80!L6)</f>
        <v>0.37232543156202752</v>
      </c>
      <c r="AF6" s="2">
        <f>IF('Modell einstellen'!$B$2="Ja",creep_res125!P6,creep_res125!L6)</f>
        <v>0.42095508159629863</v>
      </c>
      <c r="AG6" s="2">
        <f>IF('Modell einstellen'!$B$2="Ja",creep_res160!P6,creep_res160!L6)</f>
        <v>0.4931989574542967</v>
      </c>
      <c r="AL6" s="2">
        <f t="shared" si="11"/>
        <v>9.9999999999999998E-13</v>
      </c>
      <c r="AM6" s="2">
        <f t="shared" si="12"/>
        <v>7093.139849123485</v>
      </c>
      <c r="AN6" s="2">
        <f t="shared" si="13"/>
        <v>7031.9433621725511</v>
      </c>
      <c r="AO6" s="2">
        <f t="shared" si="14"/>
        <v>6991.7590094248426</v>
      </c>
      <c r="AP6" s="2">
        <f t="shared" si="15"/>
        <v>6859.1289652487367</v>
      </c>
      <c r="AQ6" s="2">
        <f t="shared" si="16"/>
        <v>6412.9995296962652</v>
      </c>
      <c r="AR6" s="2">
        <f t="shared" si="17"/>
        <v>5215.0678795321228</v>
      </c>
      <c r="AS6" s="2">
        <f t="shared" si="18"/>
        <v>3945.604356178083</v>
      </c>
      <c r="AX6" s="2">
        <f t="shared" si="28"/>
        <v>9.9999999999999998E-13</v>
      </c>
      <c r="AY6" s="37">
        <f t="shared" si="19"/>
        <v>22078.212560022632</v>
      </c>
      <c r="AZ6" s="37">
        <f t="shared" si="20"/>
        <v>21875.358208990678</v>
      </c>
      <c r="BA6" s="37">
        <f t="shared" si="21"/>
        <v>21745.829500941531</v>
      </c>
      <c r="BB6" s="37">
        <f t="shared" si="22"/>
        <v>21861.025612639936</v>
      </c>
      <c r="BC6" s="37">
        <f t="shared" si="23"/>
        <v>22976.965198497666</v>
      </c>
      <c r="BD6" s="37">
        <f t="shared" si="24"/>
        <v>31249.646209362581</v>
      </c>
      <c r="BE6" s="37">
        <f t="shared" si="25"/>
        <v>288758.29313817841</v>
      </c>
    </row>
    <row r="7" spans="1:308" x14ac:dyDescent="0.25">
      <c r="A7" s="2">
        <f>'creep_res-40'!A7</f>
        <v>9.9999999999999994E-12</v>
      </c>
      <c r="B7" s="3">
        <f>'creep_res-40'!O7</f>
        <v>-5.2026397714285716E-4</v>
      </c>
      <c r="C7" s="2">
        <f>IF('Modell einstellen'!$B$2="Ja",creep_res0!O7,creep_res0!C7)</f>
        <v>-5.2482096571428573E-4</v>
      </c>
      <c r="D7" s="2">
        <f>IF('Modell einstellen'!$B$2="Ja",creep_res25!O7,creep_res25!C7)</f>
        <v>-5.2820610285714297E-4</v>
      </c>
      <c r="E7" s="2">
        <f>IF('Modell einstellen'!$B$2="Ja",creep_res50!O7,creep_res50!C7)</f>
        <v>-5.4753407428571432E-4</v>
      </c>
      <c r="F7" s="2">
        <f>IF('Modell einstellen'!$B$2="Ja",creep_res80!O7,creep_res80!C7)</f>
        <v>-5.7749040000000008E-4</v>
      </c>
      <c r="G7" s="2">
        <f>IF('Modell einstellen'!$B$2="Ja",creep_res125!O7,creep_res125!C7)</f>
        <v>-7.0008291428571429E-4</v>
      </c>
      <c r="H7" s="2">
        <f>IF('Modell einstellen'!$B$2="Ja",creep_res160!O7,creep_res160!C7)</f>
        <v>-8.8110862857142865E-4</v>
      </c>
      <c r="M7" s="9">
        <f t="shared" si="26"/>
        <v>-10</v>
      </c>
      <c r="N7" s="2">
        <f t="shared" si="4"/>
        <v>9.9999999999999994E-12</v>
      </c>
      <c r="O7" s="2">
        <f t="shared" si="5"/>
        <v>19221.011715854664</v>
      </c>
      <c r="P7" s="2">
        <f t="shared" si="6"/>
        <v>19054.116838472557</v>
      </c>
      <c r="Q7" s="2">
        <f t="shared" si="7"/>
        <v>18932.003901334268</v>
      </c>
      <c r="R7" s="2">
        <f t="shared" si="27"/>
        <v>18263.70352027041</v>
      </c>
      <c r="S7" s="2">
        <f t="shared" si="8"/>
        <v>17316.305171479904</v>
      </c>
      <c r="T7" s="2">
        <f t="shared" si="9"/>
        <v>14284.022357841532</v>
      </c>
      <c r="U7" s="2">
        <f t="shared" si="10"/>
        <v>11349.338408152171</v>
      </c>
      <c r="Z7" s="2">
        <v>9.9999999999999994E-12</v>
      </c>
      <c r="AA7" s="3">
        <f>IF('Modell einstellen'!$B$2="Ja",'creep_res-40'!P7,'creep_res-40'!L7)</f>
        <v>0.35490204335390357</v>
      </c>
      <c r="AB7" s="2">
        <f>IF('Modell einstellen'!$B$2="Ja",creep_res0!P7,creep_res0!L7)</f>
        <v>0.35482826802139189</v>
      </c>
      <c r="AC7" s="2">
        <f>IF('Modell einstellen'!$B$2="Ja",creep_res25!P7,creep_res25!L7)</f>
        <v>0.35500228114419569</v>
      </c>
      <c r="AD7" s="2">
        <f>IF('Modell einstellen'!$B$2="Ja",creep_res50!P7,creep_res50!L7)</f>
        <v>0.36384606795456531</v>
      </c>
      <c r="AE7" s="2">
        <f>IF('Modell einstellen'!$B$2="Ja",creep_res80!P7,creep_res80!L7)</f>
        <v>0.37719485157551658</v>
      </c>
      <c r="AF7" s="2">
        <f>IF('Modell einstellen'!$B$2="Ja",creep_res125!P7,creep_res125!L7)</f>
        <v>0.4325781738016175</v>
      </c>
      <c r="AG7" s="2">
        <f>IF('Modell einstellen'!$B$2="Ja",creep_res160!P7,creep_res160!L7)</f>
        <v>0.50656640942148146</v>
      </c>
      <c r="AL7" s="2">
        <f t="shared" si="11"/>
        <v>9.9999999999999994E-12</v>
      </c>
      <c r="AM7" s="2">
        <f t="shared" si="12"/>
        <v>7093.1370316171597</v>
      </c>
      <c r="AN7" s="2">
        <f t="shared" si="13"/>
        <v>7031.9306469370567</v>
      </c>
      <c r="AO7" s="2">
        <f t="shared" si="14"/>
        <v>6985.9675385002447</v>
      </c>
      <c r="AP7" s="2">
        <f t="shared" si="15"/>
        <v>6695.6616107202954</v>
      </c>
      <c r="AQ7" s="2">
        <f t="shared" si="16"/>
        <v>6286.8028992665704</v>
      </c>
      <c r="AR7" s="2">
        <f t="shared" si="17"/>
        <v>4985.425095489265</v>
      </c>
      <c r="AS7" s="2">
        <f t="shared" si="18"/>
        <v>3766.6240058114313</v>
      </c>
      <c r="AX7" s="2">
        <f t="shared" si="28"/>
        <v>9.9999999999999994E-12</v>
      </c>
      <c r="AY7" s="37">
        <f t="shared" si="19"/>
        <v>22078.201696912922</v>
      </c>
      <c r="AZ7" s="37">
        <f t="shared" si="20"/>
        <v>21875.375436130926</v>
      </c>
      <c r="BA7" s="37">
        <f t="shared" si="21"/>
        <v>21761.266373394414</v>
      </c>
      <c r="BB7" s="37">
        <f t="shared" si="22"/>
        <v>22356.685120896589</v>
      </c>
      <c r="BC7" s="37">
        <f t="shared" si="23"/>
        <v>23501.057561019414</v>
      </c>
      <c r="BD7" s="37">
        <f t="shared" si="24"/>
        <v>35310.084689321317</v>
      </c>
      <c r="BE7" s="37">
        <f t="shared" si="25"/>
        <v>-288065.55911220331</v>
      </c>
    </row>
    <row r="8" spans="1:308" x14ac:dyDescent="0.25">
      <c r="A8" s="2">
        <f>'creep_res-40'!A8</f>
        <v>1E-10</v>
      </c>
      <c r="B8" s="3">
        <f>'creep_res-40'!O8</f>
        <v>-5.2026404000000005E-4</v>
      </c>
      <c r="C8" s="2">
        <f>IF('Modell einstellen'!$B$2="Ja",creep_res0!O8,creep_res0!C8)</f>
        <v>-5.248271028571429E-4</v>
      </c>
      <c r="D8" s="2">
        <f>IF('Modell einstellen'!$B$2="Ja",creep_res25!O8,creep_res25!C8)</f>
        <v>-5.3132425714285715E-4</v>
      </c>
      <c r="E8" s="2">
        <f>IF('Modell einstellen'!$B$2="Ja",creep_res50!O8,creep_res50!C8)</f>
        <v>-5.5545164000000004E-4</v>
      </c>
      <c r="F8" s="2">
        <f>IF('Modell einstellen'!$B$2="Ja",creep_res80!O8,creep_res80!C8)</f>
        <v>-5.8790091428571434E-4</v>
      </c>
      <c r="G8" s="2">
        <f>IF('Modell einstellen'!$B$2="Ja",creep_res125!O8,creep_res125!C8)</f>
        <v>-7.2712519999999998E-4</v>
      </c>
      <c r="H8" s="2">
        <f>IF('Modell einstellen'!$B$2="Ja",creep_res160!O8,creep_res160!C8)</f>
        <v>-9.2443062857142859E-4</v>
      </c>
      <c r="M8" s="9">
        <f t="shared" si="26"/>
        <v>-10</v>
      </c>
      <c r="N8" s="2">
        <f t="shared" si="4"/>
        <v>1E-10</v>
      </c>
      <c r="O8" s="2">
        <f t="shared" si="5"/>
        <v>19221.009393614826</v>
      </c>
      <c r="P8" s="2">
        <f t="shared" si="6"/>
        <v>19053.894026357066</v>
      </c>
      <c r="Q8" s="2">
        <f t="shared" si="7"/>
        <v>18820.898661344763</v>
      </c>
      <c r="R8" s="2">
        <f t="shared" si="27"/>
        <v>18003.367493882994</v>
      </c>
      <c r="S8" s="2">
        <f t="shared" si="8"/>
        <v>17009.669073486239</v>
      </c>
      <c r="T8" s="2">
        <f t="shared" si="9"/>
        <v>13752.789753401477</v>
      </c>
      <c r="U8" s="2">
        <f t="shared" si="10"/>
        <v>10817.469359981644</v>
      </c>
      <c r="Z8" s="2">
        <v>1E-10</v>
      </c>
      <c r="AA8" s="3">
        <f>IF('Modell einstellen'!$B$2="Ja",'creep_res-40'!P8,'creep_res-40'!L8)</f>
        <v>0.35490204440916467</v>
      </c>
      <c r="AB8" s="2">
        <f>IF('Modell einstellen'!$B$2="Ja",creep_res0!P8,creep_res0!L8)</f>
        <v>0.35483171856662499</v>
      </c>
      <c r="AC8" s="2">
        <f>IF('Modell einstellen'!$B$2="Ja",creep_res25!P8,creep_res25!L8)</f>
        <v>0.3567483273195185</v>
      </c>
      <c r="AD8" s="2">
        <f>IF('Modell einstellen'!$B$2="Ja",creep_res50!P8,creep_res50!L8)</f>
        <v>0.36805965167887011</v>
      </c>
      <c r="AE8" s="2">
        <f>IF('Modell einstellen'!$B$2="Ja",creep_res80!P8,creep_res80!L8)</f>
        <v>0.38258146708104163</v>
      </c>
      <c r="AF8" s="2">
        <f>IF('Modell einstellen'!$B$2="Ja",creep_res125!P8,creep_res125!L8)</f>
        <v>0.44512623528539907</v>
      </c>
      <c r="AG8" s="2">
        <f>IF('Modell einstellen'!$B$2="Ja",creep_res160!P8,creep_res160!L8)</f>
        <v>0.5227542253653461</v>
      </c>
      <c r="AL8" s="2">
        <f t="shared" si="11"/>
        <v>1E-10</v>
      </c>
      <c r="AM8" s="2">
        <f t="shared" si="12"/>
        <v>7093.1361691156708</v>
      </c>
      <c r="AN8" s="2">
        <f t="shared" si="13"/>
        <v>7031.8305090006179</v>
      </c>
      <c r="AO8" s="2">
        <f t="shared" si="14"/>
        <v>6936.0316435873456</v>
      </c>
      <c r="AP8" s="2">
        <f t="shared" si="15"/>
        <v>6579.8912612434069</v>
      </c>
      <c r="AQ8" s="2">
        <f t="shared" si="16"/>
        <v>6151.4165633211096</v>
      </c>
      <c r="AR8" s="2">
        <f t="shared" si="17"/>
        <v>4758.3350912889036</v>
      </c>
      <c r="AS8" s="2">
        <f t="shared" si="18"/>
        <v>3551.9419942460731</v>
      </c>
      <c r="AX8" s="2">
        <f t="shared" si="28"/>
        <v>1E-10</v>
      </c>
      <c r="AY8" s="37">
        <f t="shared" si="19"/>
        <v>22078.199190042968</v>
      </c>
      <c r="AZ8" s="37">
        <f t="shared" si="20"/>
        <v>21875.639589012484</v>
      </c>
      <c r="BA8" s="37">
        <f t="shared" si="21"/>
        <v>21897.241301705664</v>
      </c>
      <c r="BB8" s="37">
        <f t="shared" si="22"/>
        <v>22741.801785132677</v>
      </c>
      <c r="BC8" s="37">
        <f t="shared" si="23"/>
        <v>24143.930051806245</v>
      </c>
      <c r="BD8" s="37">
        <f t="shared" si="24"/>
        <v>41770.992704588716</v>
      </c>
      <c r="BE8" s="37">
        <f t="shared" si="25"/>
        <v>-79234.14359526879</v>
      </c>
    </row>
    <row r="9" spans="1:308" x14ac:dyDescent="0.25">
      <c r="A9" s="2">
        <f>'creep_res-40'!A9</f>
        <v>1.0000000000000001E-9</v>
      </c>
      <c r="B9" s="3">
        <f>'creep_res-40'!O9</f>
        <v>-5.2026406285714288E-4</v>
      </c>
      <c r="C9" s="2">
        <f>IF('Modell einstellen'!$B$2="Ja",creep_res0!O9,creep_res0!C9)</f>
        <v>-5.2488745714285713E-4</v>
      </c>
      <c r="D9" s="2">
        <f>IF('Modell einstellen'!$B$2="Ja",creep_res25!O9,creep_res25!C9)</f>
        <v>-5.4216279428571435E-4</v>
      </c>
      <c r="E9" s="2">
        <f>IF('Modell einstellen'!$B$2="Ja",creep_res50!O9,creep_res50!C9)</f>
        <v>-5.6348080000000005E-4</v>
      </c>
      <c r="F9" s="2">
        <f>IF('Modell einstellen'!$B$2="Ja",creep_res80!O9,creep_res80!C9)</f>
        <v>-6.0010474285714284E-4</v>
      </c>
      <c r="G9" s="2">
        <f>IF('Modell einstellen'!$B$2="Ja",creep_res125!O9,creep_res125!C9)</f>
        <v>-7.5195502857142865E-4</v>
      </c>
      <c r="H9" s="2">
        <f>IF('Modell einstellen'!$B$2="Ja",creep_res160!O9,creep_res160!C9)</f>
        <v>-9.7719491428571443E-4</v>
      </c>
      <c r="M9" s="9">
        <f t="shared" si="26"/>
        <v>-10</v>
      </c>
      <c r="N9" s="2">
        <f t="shared" si="4"/>
        <v>1.0000000000000001E-9</v>
      </c>
      <c r="O9" s="2">
        <f t="shared" si="5"/>
        <v>19221.008549164115</v>
      </c>
      <c r="P9" s="2">
        <f t="shared" si="6"/>
        <v>19051.703110669547</v>
      </c>
      <c r="Q9" s="2">
        <f t="shared" si="7"/>
        <v>18444.644496815286</v>
      </c>
      <c r="R9" s="2">
        <f t="shared" si="27"/>
        <v>17746.833609947313</v>
      </c>
      <c r="S9" s="2">
        <f t="shared" si="8"/>
        <v>16663.757650688218</v>
      </c>
      <c r="T9" s="2">
        <f t="shared" si="9"/>
        <v>13298.667633087174</v>
      </c>
      <c r="U9" s="2">
        <f t="shared" si="10"/>
        <v>10233.372947207314</v>
      </c>
      <c r="Z9" s="2">
        <v>1.0000000000000001E-9</v>
      </c>
      <c r="AA9" s="3">
        <f>IF('Modell einstellen'!$B$2="Ja",'creep_res-40'!P9,'creep_res-40'!L9)</f>
        <v>0.35490203980042623</v>
      </c>
      <c r="AB9" s="2">
        <f>IF('Modell einstellen'!$B$2="Ja",creep_res0!P9,creep_res0!L9)</f>
        <v>0.35486606897663669</v>
      </c>
      <c r="AC9" s="2">
        <f>IF('Modell einstellen'!$B$2="Ja",creep_res25!P9,creep_res25!L9)</f>
        <v>0.36276720216317948</v>
      </c>
      <c r="AD9" s="2">
        <f>IF('Modell einstellen'!$B$2="Ja",creep_res50!P9,creep_res50!L9)</f>
        <v>0.37230591403596053</v>
      </c>
      <c r="AE9" s="2">
        <f>IF('Modell einstellen'!$B$2="Ja",creep_res80!P9,creep_res80!L9)</f>
        <v>0.38886469628682918</v>
      </c>
      <c r="AF9" s="2">
        <f>IF('Modell einstellen'!$B$2="Ja",creep_res125!P9,creep_res125!L9)</f>
        <v>0.45642693069866719</v>
      </c>
      <c r="AG9" s="2">
        <f>IF('Modell einstellen'!$B$2="Ja",creep_res160!P9,creep_res160!L9)</f>
        <v>0.54189045250279344</v>
      </c>
      <c r="AL9" s="2">
        <f t="shared" si="11"/>
        <v>1.0000000000000001E-9</v>
      </c>
      <c r="AM9" s="2">
        <f t="shared" si="12"/>
        <v>7093.1358816152215</v>
      </c>
      <c r="AN9" s="2">
        <f t="shared" si="13"/>
        <v>7030.8436925650376</v>
      </c>
      <c r="AO9" s="2">
        <f t="shared" si="14"/>
        <v>6767.3497232459458</v>
      </c>
      <c r="AP9" s="2">
        <f t="shared" si="15"/>
        <v>6466.0632255652681</v>
      </c>
      <c r="AQ9" s="2">
        <f t="shared" si="16"/>
        <v>5999.0572498672</v>
      </c>
      <c r="AR9" s="2">
        <f t="shared" si="17"/>
        <v>4565.5114420012915</v>
      </c>
      <c r="AS9" s="2">
        <f t="shared" si="18"/>
        <v>3318.4500658255338</v>
      </c>
      <c r="AX9" s="2">
        <f t="shared" si="28"/>
        <v>1.0000000000000001E-9</v>
      </c>
      <c r="AY9" s="37">
        <f t="shared" si="19"/>
        <v>22078.197518796656</v>
      </c>
      <c r="AZ9" s="37">
        <f t="shared" si="20"/>
        <v>21878.301162166608</v>
      </c>
      <c r="BA9" s="37">
        <f t="shared" si="21"/>
        <v>22400.675819429198</v>
      </c>
      <c r="BB9" s="37">
        <f t="shared" si="22"/>
        <v>23163.215268174965</v>
      </c>
      <c r="BC9" s="37">
        <f t="shared" si="23"/>
        <v>24990.1952753851</v>
      </c>
      <c r="BD9" s="37">
        <f t="shared" si="24"/>
        <v>50867.30499030355</v>
      </c>
      <c r="BE9" s="37">
        <f t="shared" si="25"/>
        <v>-40714.818197634682</v>
      </c>
    </row>
    <row r="10" spans="1:308" x14ac:dyDescent="0.25">
      <c r="A10" s="2">
        <f>'creep_res-40'!A10</f>
        <v>1E-8</v>
      </c>
      <c r="B10" s="3">
        <f>'creep_res-40'!O10</f>
        <v>-5.2026407428571429E-4</v>
      </c>
      <c r="C10" s="2">
        <f>IF('Modell einstellen'!$B$2="Ja",creep_res0!O10,creep_res0!C10)</f>
        <v>-5.2546980000000004E-4</v>
      </c>
      <c r="D10" s="2">
        <f>IF('Modell einstellen'!$B$2="Ja",creep_res25!O10,creep_res25!C10)</f>
        <v>-5.5038337142857149E-4</v>
      </c>
      <c r="E10" s="2">
        <f>IF('Modell einstellen'!$B$2="Ja",creep_res50!O10,creep_res50!C10)</f>
        <v>-5.7273514285714289E-4</v>
      </c>
      <c r="F10" s="2">
        <f>IF('Modell einstellen'!$B$2="Ja",creep_res80!O10,creep_res80!C10)</f>
        <v>-6.139406857142858E-4</v>
      </c>
      <c r="G10" s="2">
        <f>IF('Modell einstellen'!$B$2="Ja",creep_res125!O10,creep_res125!C10)</f>
        <v>-7.768190857142857E-4</v>
      </c>
      <c r="H10" s="2">
        <f>IF('Modell einstellen'!$B$2="Ja",creep_res160!O10,creep_res160!C10)</f>
        <v>-1.0469790285714286E-3</v>
      </c>
      <c r="M10" s="9">
        <f t="shared" si="26"/>
        <v>-10</v>
      </c>
      <c r="N10" s="2">
        <f t="shared" si="4"/>
        <v>1E-8</v>
      </c>
      <c r="O10" s="2">
        <f t="shared" si="5"/>
        <v>19221.008126938788</v>
      </c>
      <c r="P10" s="2">
        <f t="shared" si="6"/>
        <v>19030.589388771721</v>
      </c>
      <c r="Q10" s="2">
        <f t="shared" si="7"/>
        <v>18169.153573888081</v>
      </c>
      <c r="R10" s="2">
        <f t="shared" si="27"/>
        <v>17460.077532721432</v>
      </c>
      <c r="S10" s="2">
        <f t="shared" si="8"/>
        <v>16288.218443065973</v>
      </c>
      <c r="T10" s="2">
        <f t="shared" si="9"/>
        <v>12873.010182036134</v>
      </c>
      <c r="U10" s="2">
        <f t="shared" si="10"/>
        <v>9551.2896888151608</v>
      </c>
      <c r="Z10" s="2">
        <v>1E-8</v>
      </c>
      <c r="AA10" s="3">
        <f>IF('Modell einstellen'!$B$2="Ja",'creep_res-40'!P10,'creep_res-40'!L10)</f>
        <v>0.35490204298777367</v>
      </c>
      <c r="AB10" s="2">
        <f>IF('Modell einstellen'!$B$2="Ja",creep_res0!P10,creep_res0!L10)</f>
        <v>0.35519741436275554</v>
      </c>
      <c r="AC10" s="2">
        <f>IF('Modell einstellen'!$B$2="Ja",creep_res25!P10,creep_res25!L10)</f>
        <v>0.3672262004593369</v>
      </c>
      <c r="AD10" s="2">
        <f>IF('Modell einstellen'!$B$2="Ja",creep_res50!P10,creep_res50!L10)</f>
        <v>0.37719745801225502</v>
      </c>
      <c r="AE10" s="2">
        <f>IF('Modell einstellen'!$B$2="Ja",creep_res80!P10,creep_res80!L10)</f>
        <v>0.39592756377954424</v>
      </c>
      <c r="AF10" s="2">
        <f>IF('Modell einstellen'!$B$2="Ja",creep_res125!P10,creep_res125!L10)</f>
        <v>0.46788810691277705</v>
      </c>
      <c r="AG10" s="2">
        <f>IF('Modell einstellen'!$B$2="Ja",creep_res160!P10,creep_res160!L10)</f>
        <v>0.56543847815098824</v>
      </c>
      <c r="AL10" s="2">
        <f t="shared" si="11"/>
        <v>1E-8</v>
      </c>
      <c r="AM10" s="2">
        <f t="shared" si="12"/>
        <v>7093.135709114963</v>
      </c>
      <c r="AN10" s="2">
        <f t="shared" si="13"/>
        <v>7021.3347469085647</v>
      </c>
      <c r="AO10" s="2">
        <f t="shared" si="14"/>
        <v>6644.5309370841214</v>
      </c>
      <c r="AP10" s="2">
        <f t="shared" si="15"/>
        <v>6338.9884403076148</v>
      </c>
      <c r="AQ10" s="2">
        <f t="shared" si="16"/>
        <v>5834.1918541119712</v>
      </c>
      <c r="AR10" s="2">
        <f t="shared" si="17"/>
        <v>4384.874474223483</v>
      </c>
      <c r="AS10" s="2">
        <f t="shared" si="18"/>
        <v>3050.6755206683788</v>
      </c>
      <c r="AX10" s="2">
        <f t="shared" si="28"/>
        <v>1E-8</v>
      </c>
      <c r="AY10" s="37">
        <f t="shared" si="19"/>
        <v>22078.197518796649</v>
      </c>
      <c r="AZ10" s="37">
        <f t="shared" si="20"/>
        <v>21904.062584037278</v>
      </c>
      <c r="BA10" s="37">
        <f t="shared" si="21"/>
        <v>22807.152260392086</v>
      </c>
      <c r="BB10" s="37">
        <f t="shared" si="22"/>
        <v>23696.683106206725</v>
      </c>
      <c r="BC10" s="37">
        <f t="shared" si="23"/>
        <v>26084.746090634377</v>
      </c>
      <c r="BD10" s="37">
        <f t="shared" si="24"/>
        <v>66813.304689896933</v>
      </c>
      <c r="BE10" s="37">
        <f t="shared" si="25"/>
        <v>-24326.385022731254</v>
      </c>
    </row>
    <row r="11" spans="1:308" x14ac:dyDescent="0.25">
      <c r="A11" s="2">
        <f>'creep_res-40'!A11</f>
        <v>9.9999999999999995E-8</v>
      </c>
      <c r="B11" s="3">
        <f>'creep_res-40'!O11</f>
        <v>-5.2026408571428581E-4</v>
      </c>
      <c r="C11" s="2">
        <f>IF('Modell einstellen'!$B$2="Ja",creep_res0!O11,creep_res0!C11)</f>
        <v>-5.3013404571428579E-4</v>
      </c>
      <c r="D11" s="2">
        <f>IF('Modell einstellen'!$B$2="Ja",creep_res25!O11,creep_res25!C11)</f>
        <v>-5.5811092000000002E-4</v>
      </c>
      <c r="E11" s="2">
        <f>IF('Modell einstellen'!$B$2="Ja",creep_res50!O11,creep_res50!C11)</f>
        <v>-5.8296645714285718E-4</v>
      </c>
      <c r="F11" s="2">
        <f>IF('Modell einstellen'!$B$2="Ja",creep_res80!O11,creep_res80!C11)</f>
        <v>-6.2946365714285719E-4</v>
      </c>
      <c r="G11" s="2">
        <f>IF('Modell einstellen'!$B$2="Ja",creep_res125!O11,creep_res125!C11)</f>
        <v>-8.0414577142857145E-4</v>
      </c>
      <c r="H11" s="2">
        <f>IF('Modell einstellen'!$B$2="Ja",creep_res160!O11,creep_res160!C11)</f>
        <v>-1.1422493142857143E-3</v>
      </c>
      <c r="M11" s="9">
        <f t="shared" si="26"/>
        <v>-10</v>
      </c>
      <c r="N11" s="2">
        <f t="shared" si="4"/>
        <v>9.9999999999999995E-8</v>
      </c>
      <c r="O11" s="2">
        <f t="shared" si="5"/>
        <v>19221.007704713476</v>
      </c>
      <c r="P11" s="2">
        <f t="shared" si="6"/>
        <v>18863.153726575543</v>
      </c>
      <c r="Q11" s="2">
        <f t="shared" si="7"/>
        <v>17917.585271400887</v>
      </c>
      <c r="R11" s="2">
        <f t="shared" si="27"/>
        <v>17153.645595683865</v>
      </c>
      <c r="S11" s="2">
        <f t="shared" si="8"/>
        <v>15886.540686701621</v>
      </c>
      <c r="T11" s="2">
        <f t="shared" si="9"/>
        <v>12435.556282581601</v>
      </c>
      <c r="U11" s="2">
        <f t="shared" si="10"/>
        <v>8754.6561638807598</v>
      </c>
      <c r="Z11" s="2">
        <v>9.9999999999999995E-8</v>
      </c>
      <c r="AA11" s="3">
        <f>IF('Modell einstellen'!$B$2="Ja",'creep_res-40'!P11,'creep_res-40'!L11)</f>
        <v>0.354902046175121</v>
      </c>
      <c r="AB11" s="2">
        <f>IF('Modell einstellen'!$B$2="Ja",creep_res0!P11,creep_res0!L11)</f>
        <v>0.35783756168709369</v>
      </c>
      <c r="AC11" s="2">
        <f>IF('Modell einstellen'!$B$2="Ja",creep_res25!P11,creep_res25!L11)</f>
        <v>0.37136611789334945</v>
      </c>
      <c r="AD11" s="2">
        <f>IF('Modell einstellen'!$B$2="Ja",creep_res50!P11,creep_res50!L11)</f>
        <v>0.38257129814771013</v>
      </c>
      <c r="AE11" s="2">
        <f>IF('Modell einstellen'!$B$2="Ja",creep_res80!P11,creep_res80!L11)</f>
        <v>0.40323905685148376</v>
      </c>
      <c r="AF11" s="2">
        <f>IF('Modell einstellen'!$B$2="Ja",creep_res125!P11,creep_res125!L11)</f>
        <v>0.47930844947728379</v>
      </c>
      <c r="AG11" s="2">
        <f>IF('Modell einstellen'!$B$2="Ja",creep_res160!P11,creep_res160!L11)</f>
        <v>0.59457682568474046</v>
      </c>
      <c r="AL11" s="2">
        <f t="shared" si="11"/>
        <v>9.9999999999999995E-8</v>
      </c>
      <c r="AM11" s="2">
        <f t="shared" si="12"/>
        <v>7093.1355366147118</v>
      </c>
      <c r="AN11" s="2">
        <f t="shared" si="13"/>
        <v>6946.0273669032786</v>
      </c>
      <c r="AO11" s="2">
        <f t="shared" si="14"/>
        <v>6532.7504586905397</v>
      </c>
      <c r="AP11" s="2">
        <f t="shared" si="15"/>
        <v>6203.5301972004399</v>
      </c>
      <c r="AQ11" s="2">
        <f t="shared" si="16"/>
        <v>5660.667941479277</v>
      </c>
      <c r="AR11" s="2">
        <f t="shared" si="17"/>
        <v>4203.1654341512503</v>
      </c>
      <c r="AS11" s="2">
        <f t="shared" si="18"/>
        <v>2745.1346410108995</v>
      </c>
      <c r="AX11" s="2">
        <f t="shared" si="28"/>
        <v>9.9999999999999995E-8</v>
      </c>
      <c r="AY11" s="37">
        <f t="shared" si="19"/>
        <v>22078.197518796638</v>
      </c>
      <c r="AZ11" s="37">
        <f t="shared" si="20"/>
        <v>22114.554250325065</v>
      </c>
      <c r="BA11" s="37">
        <f t="shared" si="21"/>
        <v>23215.22263803118</v>
      </c>
      <c r="BB11" s="37">
        <f t="shared" si="22"/>
        <v>24346.185281092145</v>
      </c>
      <c r="BC11" s="37">
        <f t="shared" si="23"/>
        <v>27363.900091930205</v>
      </c>
      <c r="BD11" s="37">
        <f t="shared" si="24"/>
        <v>100166.13841907137</v>
      </c>
      <c r="BE11" s="37">
        <f t="shared" si="25"/>
        <v>-15427.768378593551</v>
      </c>
    </row>
    <row r="12" spans="1:308" x14ac:dyDescent="0.25">
      <c r="A12" s="2">
        <f>'creep_res-40'!A12</f>
        <v>9.9999999999999995E-7</v>
      </c>
      <c r="B12" s="3">
        <f>'creep_res-40'!O12</f>
        <v>-5.2026417142857142E-4</v>
      </c>
      <c r="C12" s="2">
        <f>IF('Modell einstellen'!$B$2="Ja",creep_res0!O12,creep_res0!C12)</f>
        <v>-5.4088885714285724E-4</v>
      </c>
      <c r="D12" s="2">
        <f>IF('Modell einstellen'!$B$2="Ja",creep_res25!O12,creep_res25!C12)</f>
        <v>-5.6713196571428579E-4</v>
      </c>
      <c r="E12" s="2">
        <f>IF('Modell einstellen'!$B$2="Ja",creep_res50!O12,creep_res50!C12)</f>
        <v>-5.9499394285714288E-4</v>
      </c>
      <c r="F12" s="2">
        <f>IF('Modell einstellen'!$B$2="Ja",creep_res80!O12,creep_res80!C12)</f>
        <v>-6.4424862857142857E-4</v>
      </c>
      <c r="G12" s="2">
        <f>IF('Modell einstellen'!$B$2="Ja",creep_res125!O12,creep_res125!C12)</f>
        <v>-8.3242857142857153E-4</v>
      </c>
      <c r="H12" s="2">
        <f>IF('Modell einstellen'!$B$2="Ja",creep_res160!O12,creep_res160!C12)</f>
        <v>-1.2866492E-3</v>
      </c>
      <c r="M12" s="9">
        <f t="shared" si="26"/>
        <v>-10</v>
      </c>
      <c r="N12" s="2">
        <f t="shared" si="4"/>
        <v>9.9999999999999995E-7</v>
      </c>
      <c r="O12" s="2">
        <f t="shared" si="5"/>
        <v>19221.004538024255</v>
      </c>
      <c r="P12" s="2">
        <f t="shared" si="6"/>
        <v>18488.086541148401</v>
      </c>
      <c r="Q12" s="2">
        <f t="shared" si="7"/>
        <v>17632.580430209568</v>
      </c>
      <c r="R12" s="2">
        <f t="shared" si="27"/>
        <v>16806.893784464937</v>
      </c>
      <c r="S12" s="2">
        <f t="shared" si="8"/>
        <v>15521.957760584179</v>
      </c>
      <c r="T12" s="2">
        <f t="shared" si="9"/>
        <v>12013.042732109147</v>
      </c>
      <c r="U12" s="2">
        <f t="shared" si="10"/>
        <v>7772.1262330089658</v>
      </c>
      <c r="Z12" s="2">
        <v>9.9999999999999995E-7</v>
      </c>
      <c r="AA12" s="3">
        <f>IF('Modell einstellen'!$B$2="Ja",'creep_res-40'!P12,'creep_res-40'!L12)</f>
        <v>0.35490209753879987</v>
      </c>
      <c r="AB12" s="2">
        <f>IF('Modell einstellen'!$B$2="Ja",creep_res0!P12,creep_res0!L12)</f>
        <v>0.36387514519750819</v>
      </c>
      <c r="AC12" s="2">
        <f>IF('Modell einstellen'!$B$2="Ja",creep_res25!P12,creep_res25!L12)</f>
        <v>0.37619947643528545</v>
      </c>
      <c r="AD12" s="2">
        <f>IF('Modell einstellen'!$B$2="Ja",creep_res50!P12,creep_res50!L12)</f>
        <v>0.38885797060695171</v>
      </c>
      <c r="AE12" s="2">
        <f>IF('Modell einstellen'!$B$2="Ja",creep_res80!P12,creep_res80!L12)</f>
        <v>0.41092447804756133</v>
      </c>
      <c r="AF12" s="2">
        <f>IF('Modell einstellen'!$B$2="Ja",creep_res125!P12,creep_res125!L12)</f>
        <v>0.49163002574223441</v>
      </c>
      <c r="AG12" s="2">
        <f>IF('Modell einstellen'!$B$2="Ja",creep_res160!P12,creep_res160!L12)</f>
        <v>0.6328207741917089</v>
      </c>
      <c r="AL12" s="2">
        <f t="shared" si="11"/>
        <v>9.9999999999999995E-7</v>
      </c>
      <c r="AM12" s="2">
        <f t="shared" si="12"/>
        <v>7093.1340991129555</v>
      </c>
      <c r="AN12" s="2">
        <f t="shared" si="13"/>
        <v>6777.7782322116691</v>
      </c>
      <c r="AO12" s="2">
        <f t="shared" si="14"/>
        <v>6406.2589516029093</v>
      </c>
      <c r="AP12" s="2">
        <f t="shared" si="15"/>
        <v>6050.6164561665273</v>
      </c>
      <c r="AQ12" s="2">
        <f t="shared" si="16"/>
        <v>5500.6338050295499</v>
      </c>
      <c r="AR12" s="2">
        <f t="shared" si="17"/>
        <v>4026.8171479490911</v>
      </c>
      <c r="AS12" s="2">
        <f t="shared" si="18"/>
        <v>2379.9691784471511</v>
      </c>
      <c r="AX12" s="2">
        <f t="shared" si="28"/>
        <v>9.9999999999999995E-7</v>
      </c>
      <c r="AY12" s="37">
        <f t="shared" si="19"/>
        <v>22078.201696912933</v>
      </c>
      <c r="AZ12" s="37">
        <f t="shared" si="20"/>
        <v>22636.187647942024</v>
      </c>
      <c r="BA12" s="37">
        <f t="shared" si="21"/>
        <v>23737.89157279889</v>
      </c>
      <c r="BB12" s="37">
        <f t="shared" si="22"/>
        <v>25203.327484433135</v>
      </c>
      <c r="BC12" s="37">
        <f t="shared" si="23"/>
        <v>29042.692126785088</v>
      </c>
      <c r="BD12" s="37">
        <f t="shared" si="24"/>
        <v>239209.07365124312</v>
      </c>
      <c r="BE12" s="37">
        <f t="shared" si="25"/>
        <v>-9752.6488612277735</v>
      </c>
    </row>
    <row r="13" spans="1:308" x14ac:dyDescent="0.25">
      <c r="A13" s="2">
        <f>'creep_res-40'!A13</f>
        <v>1.0000000000000001E-5</v>
      </c>
      <c r="B13" s="3">
        <f>'creep_res-40'!O13</f>
        <v>-5.2026502857142854E-4</v>
      </c>
      <c r="C13" s="2">
        <f>IF('Modell einstellen'!$B$2="Ja",creep_res0!O13,creep_res0!C13)</f>
        <v>-5.4876942857142862E-4</v>
      </c>
      <c r="D13" s="2">
        <f>IF('Modell einstellen'!$B$2="Ja",creep_res25!O13,creep_res25!C13)</f>
        <v>-5.7693480000000003E-4</v>
      </c>
      <c r="E13" s="2">
        <f>IF('Modell einstellen'!$B$2="Ja",creep_res50!O13,creep_res50!C13)</f>
        <v>-6.0864839999999996E-4</v>
      </c>
      <c r="F13" s="2">
        <f>IF('Modell einstellen'!$B$2="Ja",creep_res80!O13,creep_res80!C13)</f>
        <v>-6.6256257142857146E-4</v>
      </c>
      <c r="G13" s="2">
        <f>IF('Modell einstellen'!$B$2="Ja",creep_res125!O13,creep_res125!C13)</f>
        <v>-8.6485817142857157E-4</v>
      </c>
      <c r="H13" s="2">
        <f>IF('Modell einstellen'!$B$2="Ja",creep_res160!O13,creep_res160!C13)</f>
        <v>-1.5242370285714288E-3</v>
      </c>
      <c r="M13" s="9">
        <f t="shared" si="26"/>
        <v>-10</v>
      </c>
      <c r="N13" s="2">
        <f t="shared" si="4"/>
        <v>1.0000000000000001E-5</v>
      </c>
      <c r="O13" s="2">
        <f t="shared" si="5"/>
        <v>19220.972871189388</v>
      </c>
      <c r="P13" s="2">
        <f t="shared" si="6"/>
        <v>18222.589450786771</v>
      </c>
      <c r="Q13" s="2">
        <f t="shared" si="7"/>
        <v>17332.981127156829</v>
      </c>
      <c r="R13" s="2">
        <f t="shared" si="27"/>
        <v>16429.846854111503</v>
      </c>
      <c r="S13" s="2">
        <f t="shared" si="8"/>
        <v>15092.91413554903</v>
      </c>
      <c r="T13" s="2">
        <f t="shared" si="9"/>
        <v>11562.58948618363</v>
      </c>
      <c r="U13" s="2">
        <f t="shared" si="10"/>
        <v>6560.6594070033643</v>
      </c>
      <c r="Z13" s="2">
        <v>1.0000000000000001E-5</v>
      </c>
      <c r="AA13" s="3">
        <f>IF('Modell einstellen'!$B$2="Ja",'creep_res-40'!P13,'creep_res-40'!L13)</f>
        <v>0.35490258920783019</v>
      </c>
      <c r="AB13" s="2">
        <f>IF('Modell einstellen'!$B$2="Ja",creep_res0!P13,creep_res0!L13)</f>
        <v>0.36817913117817369</v>
      </c>
      <c r="AC13" s="2">
        <f>IF('Modell einstellen'!$B$2="Ja",creep_res25!P13,creep_res25!L13)</f>
        <v>0.38141836081700342</v>
      </c>
      <c r="AD13" s="2">
        <f>IF('Modell einstellen'!$B$2="Ja",creep_res50!P13,creep_res50!L13)</f>
        <v>0.39593372556541445</v>
      </c>
      <c r="AE13" s="2">
        <f>IF('Modell einstellen'!$B$2="Ja",creep_res80!P13,creep_res80!L13)</f>
        <v>0.41955981300310613</v>
      </c>
      <c r="AF13" s="2">
        <f>IF('Modell einstellen'!$B$2="Ja",creep_res125!P13,creep_res125!L13)</f>
        <v>0.50443882524619388</v>
      </c>
      <c r="AG13" s="2">
        <f>IF('Modell einstellen'!$B$2="Ja",creep_res160!P13,creep_res160!L13)</f>
        <v>0.68333020421120849</v>
      </c>
      <c r="AL13" s="2">
        <f t="shared" si="11"/>
        <v>1.0000000000000001E-5</v>
      </c>
      <c r="AM13" s="2">
        <f t="shared" si="12"/>
        <v>7093.1198391270691</v>
      </c>
      <c r="AN13" s="2">
        <f t="shared" si="13"/>
        <v>6659.4311503256295</v>
      </c>
      <c r="AO13" s="2">
        <f t="shared" si="14"/>
        <v>6273.617616065887</v>
      </c>
      <c r="AP13" s="2">
        <f t="shared" si="15"/>
        <v>5884.895018012654</v>
      </c>
      <c r="AQ13" s="2">
        <f t="shared" si="16"/>
        <v>5316.0543139142828</v>
      </c>
      <c r="AR13" s="2">
        <f t="shared" si="17"/>
        <v>3842.8247437350828</v>
      </c>
      <c r="AS13" s="2">
        <f t="shared" si="18"/>
        <v>1948.7143373862357</v>
      </c>
      <c r="AX13" s="2">
        <f t="shared" si="28"/>
        <v>1.0000000000000001E-5</v>
      </c>
      <c r="AY13" s="37">
        <f t="shared" si="19"/>
        <v>22078.240135656793</v>
      </c>
      <c r="AZ13" s="37">
        <f t="shared" si="20"/>
        <v>23039.585984695968</v>
      </c>
      <c r="BA13" s="37">
        <f t="shared" si="21"/>
        <v>24361.530231517503</v>
      </c>
      <c r="BB13" s="37">
        <f t="shared" si="22"/>
        <v>26313.114636767765</v>
      </c>
      <c r="BC13" s="37">
        <f t="shared" si="23"/>
        <v>31271.504743708578</v>
      </c>
      <c r="BD13" s="37">
        <f t="shared" si="24"/>
        <v>-434146.00503808621</v>
      </c>
      <c r="BE13" s="37">
        <f t="shared" si="25"/>
        <v>-5964.337623498428</v>
      </c>
    </row>
    <row r="14" spans="1:308" x14ac:dyDescent="0.25">
      <c r="A14" s="2">
        <f>'creep_res-40'!A14</f>
        <v>1E-4</v>
      </c>
      <c r="B14" s="3">
        <f>'creep_res-40'!O14</f>
        <v>-5.202735885714286E-4</v>
      </c>
      <c r="C14" s="2">
        <f>IF('Modell einstellen'!$B$2="Ja",creep_res0!O14,creep_res0!C14)</f>
        <v>-5.5665492571428568E-4</v>
      </c>
      <c r="D14" s="2">
        <f>IF('Modell einstellen'!$B$2="Ja",creep_res25!O14,creep_res25!C14)</f>
        <v>-5.8849794285714295E-4</v>
      </c>
      <c r="E14" s="2">
        <f>IF('Modell einstellen'!$B$2="Ja",creep_res50!O14,creep_res50!C14)</f>
        <v>-6.2406720000000003E-4</v>
      </c>
      <c r="F14" s="2">
        <f>IF('Modell einstellen'!$B$2="Ja",creep_res80!O14,creep_res80!C14)</f>
        <v>-6.858794285714287E-4</v>
      </c>
      <c r="G14" s="2">
        <f>IF('Modell einstellen'!$B$2="Ja",creep_res125!O14,creep_res125!C14)</f>
        <v>-9.0430200000000006E-4</v>
      </c>
      <c r="H14" s="2">
        <f>IF('Modell einstellen'!$B$2="Ja",creep_res160!O14,creep_res160!C14)</f>
        <v>-1.9320319428571429E-3</v>
      </c>
      <c r="M14" s="9">
        <f t="shared" si="26"/>
        <v>-10</v>
      </c>
      <c r="N14" s="2">
        <f t="shared" si="4"/>
        <v>1E-4</v>
      </c>
      <c r="O14" s="2">
        <f t="shared" si="5"/>
        <v>19220.656630789352</v>
      </c>
      <c r="P14" s="2">
        <f t="shared" si="6"/>
        <v>17964.450754061414</v>
      </c>
      <c r="Q14" s="2">
        <f t="shared" si="7"/>
        <v>16992.41283911758</v>
      </c>
      <c r="R14" s="2">
        <f t="shared" si="27"/>
        <v>16023.915373216218</v>
      </c>
      <c r="S14" s="2">
        <f t="shared" si="8"/>
        <v>14579.822026195356</v>
      </c>
      <c r="T14" s="2">
        <f t="shared" si="9"/>
        <v>11058.252663380154</v>
      </c>
      <c r="U14" s="2">
        <f t="shared" si="10"/>
        <v>5175.897860783668</v>
      </c>
      <c r="Z14" s="2">
        <v>1E-4</v>
      </c>
      <c r="AA14" s="3">
        <f>IF('Modell einstellen'!$B$2="Ja",'creep_res-40'!P14,'creep_res-40'!L14)</f>
        <v>0.35490755753802411</v>
      </c>
      <c r="AB14" s="2">
        <f>IF('Modell einstellen'!$B$2="Ja",creep_res0!P14,creep_res0!L14)</f>
        <v>0.3724540831718347</v>
      </c>
      <c r="AC14" s="2">
        <f>IF('Modell einstellen'!$B$2="Ja",creep_res25!P14,creep_res25!L14)</f>
        <v>0.38754587223220294</v>
      </c>
      <c r="AD14" s="2">
        <f>IF('Modell einstellen'!$B$2="Ja",creep_res50!P14,creep_res50!L14)</f>
        <v>0.40330422291518786</v>
      </c>
      <c r="AE14" s="2">
        <f>IF('Modell einstellen'!$B$2="Ja",creep_res80!P14,creep_res80!L14)</f>
        <v>0.43080778045953932</v>
      </c>
      <c r="AF14" s="2">
        <f>IF('Modell einstellen'!$B$2="Ja",creep_res125!P14,creep_res125!L14)</f>
        <v>0.51986383183620388</v>
      </c>
      <c r="AG14" s="2">
        <f>IF('Modell einstellen'!$B$2="Ja",creep_res160!P14,creep_res160!L14)</f>
        <v>0.74524020735652441</v>
      </c>
      <c r="AL14" s="2">
        <f t="shared" si="11"/>
        <v>1E-4</v>
      </c>
      <c r="AM14" s="2">
        <f t="shared" si="12"/>
        <v>7092.9771274266232</v>
      </c>
      <c r="AN14" s="2">
        <f t="shared" si="13"/>
        <v>6544.645454565718</v>
      </c>
      <c r="AO14" s="2">
        <f t="shared" si="14"/>
        <v>6123.1895749079549</v>
      </c>
      <c r="AP14" s="2">
        <f t="shared" si="15"/>
        <v>5709.3519393565812</v>
      </c>
      <c r="AQ14" s="2">
        <f t="shared" si="16"/>
        <v>5094.9618199282804</v>
      </c>
      <c r="AR14" s="2">
        <f t="shared" si="17"/>
        <v>3637.9090125528774</v>
      </c>
      <c r="AS14" s="2">
        <f t="shared" si="18"/>
        <v>1482.8611668944652</v>
      </c>
      <c r="AX14" s="2">
        <f t="shared" si="28"/>
        <v>1E-4</v>
      </c>
      <c r="AY14" s="37">
        <f t="shared" si="19"/>
        <v>22078.632887014399</v>
      </c>
      <c r="AZ14" s="37">
        <f t="shared" si="20"/>
        <v>23474.488248107809</v>
      </c>
      <c r="BA14" s="37">
        <f t="shared" si="21"/>
        <v>25184.213890017851</v>
      </c>
      <c r="BB14" s="37">
        <f t="shared" si="22"/>
        <v>27619.123013616882</v>
      </c>
      <c r="BC14" s="37">
        <f t="shared" si="23"/>
        <v>35119.126887934013</v>
      </c>
      <c r="BD14" s="37">
        <f t="shared" si="24"/>
        <v>-92783.81561830506</v>
      </c>
      <c r="BE14" s="37">
        <f t="shared" si="25"/>
        <v>-3517.5701927614382</v>
      </c>
    </row>
    <row r="15" spans="1:308" x14ac:dyDescent="0.25">
      <c r="A15" s="2">
        <f>'creep_res-40'!A15</f>
        <v>1E-3</v>
      </c>
      <c r="B15" s="3">
        <f>'creep_res-40'!O15</f>
        <v>-5.2035845142857145E-4</v>
      </c>
      <c r="C15" s="2">
        <f>IF('Modell einstellen'!$B$2="Ja",creep_res0!O15,creep_res0!C15)</f>
        <v>-5.6579005714285722E-4</v>
      </c>
      <c r="D15" s="2">
        <f>IF('Modell einstellen'!$B$2="Ja",creep_res25!O15,creep_res25!C15)</f>
        <v>-6.0169605714285716E-4</v>
      </c>
      <c r="E15" s="2">
        <f>IF('Modell einstellen'!$B$2="Ja",creep_res50!O15,creep_res50!C15)</f>
        <v>-6.3871062857142865E-4</v>
      </c>
      <c r="F15" s="2">
        <f>IF('Modell einstellen'!$B$2="Ja",creep_res80!O15,creep_res80!C15)</f>
        <v>-7.1274022857142861E-4</v>
      </c>
      <c r="G15" s="2">
        <f>IF('Modell einstellen'!$B$2="Ja",creep_res125!O15,creep_res125!C15)</f>
        <v>-9.539845714285714E-4</v>
      </c>
      <c r="H15" s="2">
        <f>IF('Modell einstellen'!$B$2="Ja",creep_res160!O15,creep_res160!C15)</f>
        <v>-2.5970217714285713E-3</v>
      </c>
      <c r="M15" s="9">
        <f t="shared" si="26"/>
        <v>-10</v>
      </c>
      <c r="N15" s="2">
        <f t="shared" si="4"/>
        <v>1E-3</v>
      </c>
      <c r="O15" s="2">
        <f t="shared" si="5"/>
        <v>19217.522022648805</v>
      </c>
      <c r="P15" s="2">
        <f t="shared" si="6"/>
        <v>17674.400378292765</v>
      </c>
      <c r="Q15" s="2">
        <f t="shared" si="7"/>
        <v>16619.686769238309</v>
      </c>
      <c r="R15" s="2">
        <f t="shared" si="27"/>
        <v>15656.542341195242</v>
      </c>
      <c r="S15" s="2">
        <f t="shared" si="8"/>
        <v>14030.357203273577</v>
      </c>
      <c r="T15" s="2">
        <f t="shared" si="9"/>
        <v>10482.349819374138</v>
      </c>
      <c r="U15" s="2">
        <f t="shared" si="10"/>
        <v>3850.5645620749624</v>
      </c>
      <c r="Z15" s="2">
        <v>1E-3</v>
      </c>
      <c r="AA15" s="3">
        <f>IF('Modell einstellen'!$B$2="Ja",'creep_res-40'!P15,'creep_res-40'!L15)</f>
        <v>0.35495682322457078</v>
      </c>
      <c r="AB15" s="2">
        <f>IF('Modell einstellen'!$B$2="Ja",creep_res0!P15,creep_res0!L15)</f>
        <v>0.37740418808551496</v>
      </c>
      <c r="AC15" s="2">
        <f>IF('Modell einstellen'!$B$2="Ja",creep_res25!P15,creep_res25!L15)</f>
        <v>0.39448251091367348</v>
      </c>
      <c r="AD15" s="2">
        <f>IF('Modell einstellen'!$B$2="Ja",creep_res50!P15,creep_res50!L15)</f>
        <v>0.41102984620086391</v>
      </c>
      <c r="AE15" s="2">
        <f>IF('Modell einstellen'!$B$2="Ja",creep_res80!P15,creep_res80!L15)</f>
        <v>0.44354880968854687</v>
      </c>
      <c r="AF15" s="2">
        <f>IF('Modell einstellen'!$B$2="Ja",creep_res125!P15,creep_res125!L15)</f>
        <v>0.53833337825768979</v>
      </c>
      <c r="AG15" s="2">
        <f>IF('Modell einstellen'!$B$2="Ja",creep_res160!P15,creep_res160!L15)</f>
        <v>0.80816746989810162</v>
      </c>
      <c r="AL15" s="2">
        <f t="shared" si="11"/>
        <v>1E-3</v>
      </c>
      <c r="AM15" s="2">
        <f t="shared" si="12"/>
        <v>7091.5625107943715</v>
      </c>
      <c r="AN15" s="2">
        <f t="shared" si="13"/>
        <v>6415.8365900058752</v>
      </c>
      <c r="AO15" s="2">
        <f t="shared" si="14"/>
        <v>5959.0875608576071</v>
      </c>
      <c r="AP15" s="2">
        <f t="shared" si="15"/>
        <v>5547.9132434192643</v>
      </c>
      <c r="AQ15" s="2">
        <f t="shared" si="16"/>
        <v>4859.6753740182503</v>
      </c>
      <c r="AR15" s="2">
        <f t="shared" si="17"/>
        <v>3407.0475124340101</v>
      </c>
      <c r="AS15" s="2">
        <f t="shared" si="18"/>
        <v>1064.7698916660522</v>
      </c>
      <c r="AX15" s="2">
        <f t="shared" si="28"/>
        <v>1E-3</v>
      </c>
      <c r="AY15" s="37">
        <f t="shared" si="19"/>
        <v>22082.530239028241</v>
      </c>
      <c r="AZ15" s="37">
        <f t="shared" si="20"/>
        <v>24028.010014215506</v>
      </c>
      <c r="BA15" s="37">
        <f t="shared" si="21"/>
        <v>26251.077606735766</v>
      </c>
      <c r="BB15" s="37">
        <f t="shared" si="22"/>
        <v>29329.20324521096</v>
      </c>
      <c r="BC15" s="37">
        <f t="shared" si="23"/>
        <v>41423.269452970897</v>
      </c>
      <c r="BD15" s="37">
        <f t="shared" si="24"/>
        <v>-45575.380585679479</v>
      </c>
      <c r="BE15" s="37">
        <f t="shared" si="25"/>
        <v>-2082.5065038760617</v>
      </c>
    </row>
    <row r="16" spans="1:308" x14ac:dyDescent="0.25">
      <c r="A16" s="2">
        <f>'creep_res-40'!A16</f>
        <v>0.01</v>
      </c>
      <c r="B16" s="3">
        <f>'creep_res-40'!O16</f>
        <v>-5.2117016571428566E-4</v>
      </c>
      <c r="C16" s="2">
        <f>IF('Modell einstellen'!$B$2="Ja",creep_res0!O16,creep_res0!C16)</f>
        <v>-5.7584177142857142E-4</v>
      </c>
      <c r="D16" s="2">
        <f>IF('Modell einstellen'!$B$2="Ja",creep_res25!O16,creep_res25!C16)</f>
        <v>-6.1693605714285718E-4</v>
      </c>
      <c r="E16" s="2">
        <f>IF('Modell einstellen'!$B$2="Ja",creep_res50!O16,creep_res50!C16)</f>
        <v>-6.5660079999999997E-4</v>
      </c>
      <c r="F16" s="2">
        <f>IF('Modell einstellen'!$B$2="Ja",creep_res80!O16,creep_res80!C16)</f>
        <v>-7.3821708571428582E-4</v>
      </c>
      <c r="G16" s="2">
        <f>IF('Modell einstellen'!$B$2="Ja",creep_res125!O16,creep_res125!C16)</f>
        <v>-1.0185461142857143E-3</v>
      </c>
      <c r="H16" s="2">
        <f>IF('Modell einstellen'!$B$2="Ja",creep_res160!O16,creep_res160!C16)</f>
        <v>-3.5571900571428573E-3</v>
      </c>
      <c r="M16" s="9">
        <f t="shared" si="26"/>
        <v>-10</v>
      </c>
      <c r="N16" s="2">
        <f t="shared" si="4"/>
        <v>0.01</v>
      </c>
      <c r="O16" s="2">
        <f t="shared" si="5"/>
        <v>19187.591036210943</v>
      </c>
      <c r="P16" s="2">
        <f t="shared" si="6"/>
        <v>17365.881560123013</v>
      </c>
      <c r="Q16" s="2">
        <f t="shared" si="7"/>
        <v>16209.135264863289</v>
      </c>
      <c r="R16" s="2">
        <f t="shared" si="27"/>
        <v>15229.954029906758</v>
      </c>
      <c r="S16" s="2">
        <f t="shared" si="8"/>
        <v>13546.150845755861</v>
      </c>
      <c r="T16" s="2">
        <f t="shared" si="9"/>
        <v>9817.9158113158155</v>
      </c>
      <c r="U16" s="2">
        <f t="shared" si="10"/>
        <v>2811.2076777904922</v>
      </c>
      <c r="Z16" s="2">
        <v>0.01</v>
      </c>
      <c r="AA16" s="3">
        <f>IF('Modell einstellen'!$B$2="Ja",'creep_res-40'!P16,'creep_res-40'!L16)</f>
        <v>0.35542753741007366</v>
      </c>
      <c r="AB16" s="2">
        <f>IF('Modell einstellen'!$B$2="Ja",creep_res0!P16,creep_res0!L16)</f>
        <v>0.38281449537080187</v>
      </c>
      <c r="AC16" s="2">
        <f>IF('Modell einstellen'!$B$2="Ja",creep_res25!P16,creep_res25!L16)</f>
        <v>0.40188126002592905</v>
      </c>
      <c r="AD16" s="2">
        <f>IF('Modell einstellen'!$B$2="Ja",creep_res50!P16,creep_res50!L16)</f>
        <v>0.41958285765110254</v>
      </c>
      <c r="AE16" s="2">
        <f>IF('Modell einstellen'!$B$2="Ja",creep_res80!P16,creep_res80!L16)</f>
        <v>0.45538051176429006</v>
      </c>
      <c r="AF16" s="2">
        <f>IF('Modell einstellen'!$B$2="Ja",creep_res125!P16,creep_res125!L16)</f>
        <v>0.56052002302217097</v>
      </c>
      <c r="AG16" s="2">
        <f>IF('Modell einstellen'!$B$2="Ja",creep_res160!P16,creep_res160!L16)</f>
        <v>0.85914946735003972</v>
      </c>
      <c r="AL16" s="2">
        <f t="shared" si="11"/>
        <v>0.01</v>
      </c>
      <c r="AM16" s="2">
        <f t="shared" si="12"/>
        <v>7078.0585854387473</v>
      </c>
      <c r="AN16" s="2">
        <f t="shared" si="13"/>
        <v>6279.1797519689544</v>
      </c>
      <c r="AO16" s="2">
        <f t="shared" si="14"/>
        <v>5781.2083401997561</v>
      </c>
      <c r="AP16" s="2">
        <f t="shared" si="15"/>
        <v>5364.2356794540465</v>
      </c>
      <c r="AQ16" s="2">
        <f t="shared" si="16"/>
        <v>4653.8175879978271</v>
      </c>
      <c r="AR16" s="2">
        <f t="shared" si="17"/>
        <v>3145.7192687287707</v>
      </c>
      <c r="AS16" s="2">
        <f t="shared" si="18"/>
        <v>756.04671038027936</v>
      </c>
      <c r="AX16" s="2">
        <f t="shared" si="28"/>
        <v>0.01</v>
      </c>
      <c r="AY16" s="37">
        <f t="shared" si="19"/>
        <v>22119.923684493697</v>
      </c>
      <c r="AZ16" s="37">
        <f t="shared" si="20"/>
        <v>24698.563209776745</v>
      </c>
      <c r="BA16" s="37">
        <f t="shared" si="21"/>
        <v>27533.196460307085</v>
      </c>
      <c r="BB16" s="37">
        <f t="shared" si="22"/>
        <v>31564.484853718845</v>
      </c>
      <c r="BC16" s="37">
        <f t="shared" si="23"/>
        <v>50598.783107940209</v>
      </c>
      <c r="BD16" s="37">
        <f t="shared" si="24"/>
        <v>-27037.651675818404</v>
      </c>
      <c r="BE16" s="37">
        <f t="shared" si="25"/>
        <v>-1304.5671943275686</v>
      </c>
    </row>
    <row r="17" spans="1:57" x14ac:dyDescent="0.25">
      <c r="A17" s="2">
        <f>'creep_res-40'!A17</f>
        <v>0.1</v>
      </c>
      <c r="B17" s="3">
        <f>'creep_res-40'!O17</f>
        <v>-5.2714065714285722E-4</v>
      </c>
      <c r="C17" s="2">
        <f>IF('Modell einstellen'!$B$2="Ja",creep_res0!O17,creep_res0!C17)</f>
        <v>-5.8768102857142859E-4</v>
      </c>
      <c r="D17" s="2">
        <f>IF('Modell einstellen'!$B$2="Ja",creep_res25!O17,creep_res25!C17)</f>
        <v>-6.3134834285714285E-4</v>
      </c>
      <c r="E17" s="2">
        <f>IF('Modell einstellen'!$B$2="Ja",creep_res50!O17,creep_res50!C17)</f>
        <v>-6.7950274285714289E-4</v>
      </c>
      <c r="F17" s="2">
        <f>IF('Modell einstellen'!$B$2="Ja",creep_res80!O17,creep_res80!C17)</f>
        <v>-7.6294337142857147E-4</v>
      </c>
      <c r="G17" s="2">
        <f>IF('Modell einstellen'!$B$2="Ja",creep_res125!O17,creep_res125!C17)</f>
        <v>-1.1103050857142859E-3</v>
      </c>
      <c r="H17" s="2">
        <f>IF('Modell einstellen'!$B$2="Ja",creep_res160!O17,creep_res160!C17)</f>
        <v>-4.6141837142857148E-3</v>
      </c>
      <c r="M17" s="9">
        <f t="shared" si="26"/>
        <v>-10</v>
      </c>
      <c r="N17" s="2">
        <f t="shared" si="4"/>
        <v>0.1</v>
      </c>
      <c r="O17" s="2">
        <f t="shared" si="5"/>
        <v>18970.268873208846</v>
      </c>
      <c r="P17" s="2">
        <f t="shared" si="6"/>
        <v>17016.033381762583</v>
      </c>
      <c r="Q17" s="2">
        <f t="shared" si="7"/>
        <v>15839.116571915563</v>
      </c>
      <c r="R17" s="2">
        <f t="shared" si="27"/>
        <v>14716.644053491889</v>
      </c>
      <c r="S17" s="2">
        <f t="shared" si="8"/>
        <v>13107.132684402939</v>
      </c>
      <c r="T17" s="2">
        <f t="shared" si="9"/>
        <v>9006.5335452973814</v>
      </c>
      <c r="U17" s="2">
        <f t="shared" si="10"/>
        <v>2167.2305697407674</v>
      </c>
      <c r="Z17" s="2">
        <v>0.1</v>
      </c>
      <c r="AA17" s="3">
        <f>IF('Modell einstellen'!$B$2="Ja",'creep_res-40'!P17,'creep_res-40'!L17)</f>
        <v>0.35886729716974969</v>
      </c>
      <c r="AB17" s="2">
        <f>IF('Modell einstellen'!$B$2="Ja",creep_res0!P17,creep_res0!L17)</f>
        <v>0.389154242855551</v>
      </c>
      <c r="AC17" s="2">
        <f>IF('Modell einstellen'!$B$2="Ja",creep_res25!P17,creep_res25!L17)</f>
        <v>0.40958911883464649</v>
      </c>
      <c r="AD17" s="2">
        <f>IF('Modell einstellen'!$B$2="Ja",creep_res50!P17,creep_res50!L17)</f>
        <v>0.43076231879816651</v>
      </c>
      <c r="AE17" s="2">
        <f>IF('Modell einstellen'!$B$2="Ja",creep_res80!P17,creep_res80!L17)</f>
        <v>0.46639275755272308</v>
      </c>
      <c r="AF17" s="2">
        <f>IF('Modell einstellen'!$B$2="Ja",creep_res125!P17,creep_res125!L17)</f>
        <v>0.58678826962308783</v>
      </c>
      <c r="AG17" s="2">
        <f>IF('Modell einstellen'!$B$2="Ja",creep_res160!P17,creep_res160!L17)</f>
        <v>0.88691880061992689</v>
      </c>
      <c r="AL17" s="2">
        <f t="shared" si="11"/>
        <v>0.1</v>
      </c>
      <c r="AM17" s="2">
        <f t="shared" si="12"/>
        <v>6980.1771345591078</v>
      </c>
      <c r="AN17" s="2">
        <f t="shared" si="13"/>
        <v>6124.6018825038309</v>
      </c>
      <c r="AO17" s="2">
        <f t="shared" si="14"/>
        <v>5618.3452185734377</v>
      </c>
      <c r="AP17" s="2">
        <f t="shared" si="15"/>
        <v>5142.9380897638539</v>
      </c>
      <c r="AQ17" s="2">
        <f t="shared" si="16"/>
        <v>4469.1753341299773</v>
      </c>
      <c r="AR17" s="2">
        <f t="shared" si="17"/>
        <v>2837.9758401657195</v>
      </c>
      <c r="AS17" s="2">
        <f t="shared" si="18"/>
        <v>574.27764486440731</v>
      </c>
      <c r="AX17" s="2">
        <f t="shared" si="28"/>
        <v>0.1</v>
      </c>
      <c r="AY17" s="37">
        <f t="shared" si="19"/>
        <v>22402.40153744481</v>
      </c>
      <c r="AZ17" s="37">
        <f t="shared" si="20"/>
        <v>25585.152167180811</v>
      </c>
      <c r="BA17" s="37">
        <f t="shared" si="21"/>
        <v>29198.396564212995</v>
      </c>
      <c r="BB17" s="37">
        <f t="shared" si="22"/>
        <v>35425.421047323616</v>
      </c>
      <c r="BC17" s="37">
        <f t="shared" si="23"/>
        <v>65001.528093066168</v>
      </c>
      <c r="BD17" s="37">
        <f t="shared" si="24"/>
        <v>-17295.988625367216</v>
      </c>
      <c r="BE17" s="37">
        <f t="shared" si="25"/>
        <v>-933.54237214130342</v>
      </c>
    </row>
    <row r="18" spans="1:57" x14ac:dyDescent="0.25">
      <c r="A18" s="2">
        <f>'creep_res-40'!A18</f>
        <v>1</v>
      </c>
      <c r="B18" s="3">
        <f>'creep_res-40'!O18</f>
        <v>-5.3738724571428579E-4</v>
      </c>
      <c r="C18" s="2">
        <f>IF('Modell einstellen'!$B$2="Ja",creep_res0!O18,creep_res0!C18)</f>
        <v>-6.0114314285714284E-4</v>
      </c>
      <c r="D18" s="2">
        <f>IF('Modell einstellen'!$B$2="Ja",creep_res25!O18,creep_res25!C18)</f>
        <v>-6.481961714285714E-4</v>
      </c>
      <c r="E18" s="2">
        <f>IF('Modell einstellen'!$B$2="Ja",creep_res50!O18,creep_res50!C18)</f>
        <v>-7.0670925714285716E-4</v>
      </c>
      <c r="F18" s="2">
        <f>IF('Modell einstellen'!$B$2="Ja",creep_res80!O18,creep_res80!C18)</f>
        <v>-7.9293365714285728E-4</v>
      </c>
      <c r="G18" s="2">
        <f>IF('Modell einstellen'!$B$2="Ja",creep_res125!O18,creep_res125!C18)</f>
        <v>-1.2787949142857144E-3</v>
      </c>
      <c r="H18" s="2">
        <f>IF('Modell einstellen'!$B$2="Ja",creep_res160!O18,creep_res160!C18)</f>
        <v>-5.6234140000000002E-3</v>
      </c>
      <c r="M18" s="9">
        <f t="shared" si="26"/>
        <v>-10</v>
      </c>
      <c r="N18" s="2">
        <f t="shared" si="4"/>
        <v>1</v>
      </c>
      <c r="O18" s="2">
        <f t="shared" si="5"/>
        <v>18608.554780097496</v>
      </c>
      <c r="P18" s="2">
        <f t="shared" si="6"/>
        <v>16634.973082237128</v>
      </c>
      <c r="Q18" s="2">
        <f t="shared" si="7"/>
        <v>15427.42836317718</v>
      </c>
      <c r="R18" s="2">
        <f t="shared" si="27"/>
        <v>14150.090576751223</v>
      </c>
      <c r="S18" s="2">
        <f t="shared" si="8"/>
        <v>12611.395556133355</v>
      </c>
      <c r="T18" s="2">
        <f t="shared" si="9"/>
        <v>7819.862190792036</v>
      </c>
      <c r="U18" s="2">
        <f t="shared" si="10"/>
        <v>1778.2791734700663</v>
      </c>
      <c r="Z18" s="2">
        <v>1</v>
      </c>
      <c r="AA18" s="3">
        <f>IF('Modell einstellen'!$B$2="Ja",'creep_res-40'!P18,'creep_res-40'!L18)</f>
        <v>0.36471461580118525</v>
      </c>
      <c r="AB18" s="2">
        <f>IF('Modell einstellen'!$B$2="Ja",creep_res0!P18,creep_res0!L18)</f>
        <v>0.39629437438480308</v>
      </c>
      <c r="AC18" s="2">
        <f>IF('Modell einstellen'!$B$2="Ja",creep_res25!P18,creep_res25!L18)</f>
        <v>0.41770359114388039</v>
      </c>
      <c r="AD18" s="2">
        <f>IF('Modell einstellen'!$B$2="Ja",creep_res50!P18,creep_res50!L18)</f>
        <v>0.44351746347578624</v>
      </c>
      <c r="AE18" s="2">
        <f>IF('Modell einstellen'!$B$2="Ja",creep_res80!P18,creep_res80!L18)</f>
        <v>0.47744824481442832</v>
      </c>
      <c r="AF18" s="2">
        <f>IF('Modell einstellen'!$B$2="Ja",creep_res125!P18,creep_res125!L18)</f>
        <v>0.61156764956078513</v>
      </c>
      <c r="AG18" s="2">
        <f>IF('Modell einstellen'!$B$2="Ja",creep_res160!P18,creep_res160!L18)</f>
        <v>0.88233328924894572</v>
      </c>
      <c r="AL18" s="2">
        <f t="shared" si="11"/>
        <v>1</v>
      </c>
      <c r="AM18" s="2">
        <f t="shared" si="12"/>
        <v>6817.7458366168885</v>
      </c>
      <c r="AN18" s="2">
        <f t="shared" si="13"/>
        <v>5956.8287989294422</v>
      </c>
      <c r="AO18" s="2">
        <f t="shared" si="14"/>
        <v>5440.9922001853329</v>
      </c>
      <c r="AP18" s="2">
        <f t="shared" si="15"/>
        <v>4901.2536857987861</v>
      </c>
      <c r="AQ18" s="2">
        <f t="shared" si="16"/>
        <v>4267.9652571239076</v>
      </c>
      <c r="AR18" s="2">
        <f t="shared" si="17"/>
        <v>2426.1662837806571</v>
      </c>
      <c r="AS18" s="2">
        <f t="shared" si="18"/>
        <v>472.36033693576201</v>
      </c>
      <c r="AX18" s="2">
        <f t="shared" si="28"/>
        <v>1</v>
      </c>
      <c r="AY18" s="37">
        <f t="shared" si="19"/>
        <v>22925.061824306722</v>
      </c>
      <c r="AZ18" s="37">
        <f t="shared" si="20"/>
        <v>26734.282708959516</v>
      </c>
      <c r="BA18" s="37">
        <f t="shared" si="21"/>
        <v>31243.624069002512</v>
      </c>
      <c r="BB18" s="37">
        <f t="shared" si="22"/>
        <v>41753.585702503391</v>
      </c>
      <c r="BC18" s="37">
        <f t="shared" si="23"/>
        <v>93203.355661661641</v>
      </c>
      <c r="BD18" s="37">
        <f t="shared" si="24"/>
        <v>-11681.794590661575</v>
      </c>
      <c r="BE18" s="37">
        <f t="shared" si="25"/>
        <v>-775.18717459109746</v>
      </c>
    </row>
    <row r="19" spans="1:57" x14ac:dyDescent="0.25">
      <c r="A19" s="2">
        <f>'creep_res-40'!A19</f>
        <v>10</v>
      </c>
      <c r="B19" s="3">
        <f>'creep_res-40'!O19</f>
        <v>-5.4510416571428575E-4</v>
      </c>
      <c r="C19" s="2">
        <f>IF('Modell einstellen'!$B$2="Ja",creep_res0!O19,creep_res0!C19)</f>
        <v>-6.1650040000000011E-4</v>
      </c>
      <c r="D19" s="2">
        <f>IF('Modell einstellen'!$B$2="Ja",creep_res25!O19,creep_res25!C19)</f>
        <v>-6.7047302857142863E-4</v>
      </c>
      <c r="E19" s="2">
        <f>IF('Modell einstellen'!$B$2="Ja",creep_res50!O19,creep_res50!C19)</f>
        <v>-7.3743742857142864E-4</v>
      </c>
      <c r="F19" s="2">
        <f>IF('Modell einstellen'!$B$2="Ja",creep_res80!O19,creep_res80!C19)</f>
        <v>-8.4745777142857144E-4</v>
      </c>
      <c r="G19" s="2">
        <f>IF('Modell einstellen'!$B$2="Ja",creep_res125!O19,creep_res125!C19)</f>
        <v>-1.6690684000000003E-3</v>
      </c>
      <c r="H19" s="2">
        <f>IF('Modell einstellen'!$B$2="Ja",creep_res160!O19,creep_res160!C19)</f>
        <v>-6.7562577142857147E-3</v>
      </c>
      <c r="M19" s="9">
        <f t="shared" si="26"/>
        <v>-10</v>
      </c>
      <c r="N19" s="2">
        <f t="shared" si="4"/>
        <v>10</v>
      </c>
      <c r="O19" s="2">
        <f t="shared" si="5"/>
        <v>18345.117555460878</v>
      </c>
      <c r="P19" s="2">
        <f t="shared" si="6"/>
        <v>16220.589637898043</v>
      </c>
      <c r="Q19" s="2">
        <f t="shared" si="7"/>
        <v>14914.843064316723</v>
      </c>
      <c r="R19" s="2">
        <f t="shared" si="27"/>
        <v>13560.472539849385</v>
      </c>
      <c r="S19" s="2">
        <f t="shared" si="8"/>
        <v>11799.997990628914</v>
      </c>
      <c r="T19" s="2">
        <f t="shared" si="9"/>
        <v>5991.3662016487751</v>
      </c>
      <c r="U19" s="2">
        <f t="shared" si="10"/>
        <v>1480.1093183369221</v>
      </c>
      <c r="Z19" s="2">
        <v>10</v>
      </c>
      <c r="AA19" s="3">
        <f>IF('Modell einstellen'!$B$2="Ja",'creep_res-40'!P19,'creep_res-40'!L19)</f>
        <v>0.368997751402251</v>
      </c>
      <c r="AB19" s="2">
        <f>IF('Modell einstellen'!$B$2="Ja",creep_res0!P19,creep_res0!L19)</f>
        <v>0.40375680905594591</v>
      </c>
      <c r="AC19" s="2">
        <f>IF('Modell einstellen'!$B$2="Ja",creep_res25!P19,creep_res25!L19)</f>
        <v>0.42821784330005652</v>
      </c>
      <c r="AD19" s="2">
        <f>IF('Modell einstellen'!$B$2="Ja",creep_res50!P19,creep_res50!L19)</f>
        <v>0.45456280842810487</v>
      </c>
      <c r="AE19" s="2">
        <f>IF('Modell einstellen'!$B$2="Ja",creep_res80!P19,creep_res80!L19)</f>
        <v>0.48361266176195816</v>
      </c>
      <c r="AF19" s="2">
        <f>IF('Modell einstellen'!$B$2="Ja",creep_res125!P19,creep_res125!L19)</f>
        <v>0.61509043008662778</v>
      </c>
      <c r="AG19" s="2">
        <f>IF('Modell einstellen'!$B$2="Ja",creep_res160!P19,creep_res160!L19)</f>
        <v>0.82835141787283606</v>
      </c>
      <c r="AL19" s="2">
        <f t="shared" si="11"/>
        <v>10</v>
      </c>
      <c r="AM19" s="2">
        <f t="shared" si="12"/>
        <v>6700.2000319833087</v>
      </c>
      <c r="AN19" s="2">
        <f t="shared" si="13"/>
        <v>5777.56401011038</v>
      </c>
      <c r="AO19" s="2">
        <f t="shared" si="14"/>
        <v>5221.4874412485688</v>
      </c>
      <c r="AP19" s="2">
        <f t="shared" si="15"/>
        <v>4661.3568218837227</v>
      </c>
      <c r="AQ19" s="2">
        <f t="shared" si="16"/>
        <v>3976.7785402340392</v>
      </c>
      <c r="AR19" s="2">
        <f t="shared" si="17"/>
        <v>1854.808278855141</v>
      </c>
      <c r="AS19" s="2">
        <f t="shared" si="18"/>
        <v>404.76609252146119</v>
      </c>
      <c r="AX19" s="2">
        <f t="shared" si="28"/>
        <v>10</v>
      </c>
      <c r="AY19" s="37">
        <f t="shared" si="19"/>
        <v>23339.443599667724</v>
      </c>
      <c r="AZ19" s="37">
        <f t="shared" si="20"/>
        <v>28089.588258641987</v>
      </c>
      <c r="BA19" s="37">
        <f t="shared" si="21"/>
        <v>34629.875886524846</v>
      </c>
      <c r="BB19" s="37">
        <f t="shared" si="22"/>
        <v>49740.722928824689</v>
      </c>
      <c r="BC19" s="37">
        <f t="shared" si="23"/>
        <v>120011.3345562145</v>
      </c>
      <c r="BD19" s="37">
        <f t="shared" si="24"/>
        <v>-8676.3168132790815</v>
      </c>
      <c r="BE19" s="37">
        <f t="shared" si="25"/>
        <v>-751.2831465372966</v>
      </c>
    </row>
    <row r="20" spans="1:57" x14ac:dyDescent="0.25">
      <c r="A20" s="2">
        <f>'creep_res-40'!A20</f>
        <v>100</v>
      </c>
      <c r="B20" s="3">
        <f>'creep_res-40'!O20</f>
        <v>-5.531446114285715E-4</v>
      </c>
      <c r="C20" s="2">
        <f>IF('Modell einstellen'!$B$2="Ja",creep_res0!O20,creep_res0!C20)</f>
        <v>-6.3240502857142859E-4</v>
      </c>
      <c r="D20" s="2">
        <f>IF('Modell einstellen'!$B$2="Ja",creep_res25!O20,creep_res25!C20)</f>
        <v>-7.0504165714285728E-4</v>
      </c>
      <c r="E20" s="2">
        <f>IF('Modell einstellen'!$B$2="Ja",creep_res50!O20,creep_res50!C20)</f>
        <v>-7.9729805714285717E-4</v>
      </c>
      <c r="F20" s="2">
        <f>IF('Modell einstellen'!$B$2="Ja",creep_res80!O20,creep_res80!C20)</f>
        <v>-9.8356862857142862E-4</v>
      </c>
      <c r="G20" s="2">
        <f>IF('Modell einstellen'!$B$2="Ja",creep_res125!O20,creep_res125!C20)</f>
        <v>-2.4705964000000004E-3</v>
      </c>
      <c r="H20" s="2">
        <f>IF('Modell einstellen'!$B$2="Ja",creep_res160!O20,creep_res160!C20)</f>
        <v>-8.7672800000000006E-3</v>
      </c>
      <c r="M20" s="9">
        <f t="shared" si="26"/>
        <v>-10</v>
      </c>
      <c r="N20" s="2">
        <f t="shared" si="4"/>
        <v>100</v>
      </c>
      <c r="O20" s="2">
        <f t="shared" si="5"/>
        <v>18078.455061098099</v>
      </c>
      <c r="P20" s="2">
        <f t="shared" si="6"/>
        <v>15812.650988227435</v>
      </c>
      <c r="Q20" s="2">
        <f t="shared" si="7"/>
        <v>14183.559082912139</v>
      </c>
      <c r="R20" s="2">
        <f t="shared" si="27"/>
        <v>12542.360928151909</v>
      </c>
      <c r="S20" s="2">
        <f t="shared" si="8"/>
        <v>10167.058718133751</v>
      </c>
      <c r="T20" s="2">
        <f t="shared" si="9"/>
        <v>4047.605671246019</v>
      </c>
      <c r="U20" s="2">
        <f t="shared" si="10"/>
        <v>1140.6046116925659</v>
      </c>
      <c r="Z20" s="2">
        <v>100</v>
      </c>
      <c r="AA20" s="3">
        <f>IF('Modell einstellen'!$B$2="Ja",'creep_res-40'!P20,'creep_res-40'!L20)</f>
        <v>0.37343228673851209</v>
      </c>
      <c r="AB20" s="2">
        <f>IF('Modell einstellen'!$B$2="Ja",creep_res0!P20,creep_res0!L20)</f>
        <v>0.41130037097382799</v>
      </c>
      <c r="AC20" s="2">
        <f>IF('Modell einstellen'!$B$2="Ja",creep_res25!P20,creep_res25!L20)</f>
        <v>0.43961044976552138</v>
      </c>
      <c r="AD20" s="2">
        <f>IF('Modell einstellen'!$B$2="Ja",creep_res50!P20,creep_res50!L20)</f>
        <v>0.45886276191674802</v>
      </c>
      <c r="AE20" s="2">
        <f>IF('Modell einstellen'!$B$2="Ja",creep_res80!P20,creep_res80!L20)</f>
        <v>0.47534307577694779</v>
      </c>
      <c r="AF20" s="2">
        <f>IF('Modell einstellen'!$B$2="Ja",creep_res125!P20,creep_res125!L20)</f>
        <v>0.59458284184799615</v>
      </c>
      <c r="AG20" s="2">
        <f>IF('Modell einstellen'!$B$2="Ja",creep_res160!P20,creep_res160!L20)</f>
        <v>0.71455639605442056</v>
      </c>
      <c r="AL20" s="2">
        <f t="shared" si="11"/>
        <v>100</v>
      </c>
      <c r="AM20" s="2">
        <f t="shared" si="12"/>
        <v>6581.4875752007347</v>
      </c>
      <c r="AN20" s="2">
        <f t="shared" si="13"/>
        <v>5602.1564627366897</v>
      </c>
      <c r="AO20" s="2">
        <f t="shared" si="14"/>
        <v>4926.1795387850607</v>
      </c>
      <c r="AP20" s="2">
        <f t="shared" si="15"/>
        <v>4298.6774546472579</v>
      </c>
      <c r="AQ20" s="2">
        <f t="shared" si="16"/>
        <v>3445.6591436468279</v>
      </c>
      <c r="AR20" s="2">
        <f t="shared" si="17"/>
        <v>1269.173844412863</v>
      </c>
      <c r="AS20" s="2">
        <f t="shared" si="18"/>
        <v>332.62382454066642</v>
      </c>
      <c r="AX20" s="2">
        <f t="shared" si="28"/>
        <v>100</v>
      </c>
      <c r="AY20" s="37">
        <f t="shared" si="19"/>
        <v>23806.038411165402</v>
      </c>
      <c r="AZ20" s="37">
        <f t="shared" si="20"/>
        <v>29711.982567521412</v>
      </c>
      <c r="BA20" s="37">
        <f t="shared" si="21"/>
        <v>39144.628576303541</v>
      </c>
      <c r="BB20" s="37">
        <f t="shared" si="22"/>
        <v>50815.115098268368</v>
      </c>
      <c r="BC20" s="37">
        <f t="shared" si="23"/>
        <v>68723.485988223809</v>
      </c>
      <c r="BD20" s="37">
        <f t="shared" si="24"/>
        <v>-7132.3818572909804</v>
      </c>
      <c r="BE20" s="37">
        <f t="shared" si="25"/>
        <v>-886.01771893675016</v>
      </c>
    </row>
    <row r="21" spans="1:57" x14ac:dyDescent="0.25">
      <c r="A21" s="2">
        <f>'creep_res-40'!A21</f>
        <v>1000</v>
      </c>
      <c r="B21" s="3">
        <f>'creep_res-40'!O21</f>
        <v>-5.6241089714285724E-4</v>
      </c>
      <c r="C21" s="2">
        <f>IF('Modell einstellen'!$B$2="Ja",creep_res0!O21,creep_res0!C21)</f>
        <v>-6.5889742857142865E-4</v>
      </c>
      <c r="D21" s="2">
        <f>IF('Modell einstellen'!$B$2="Ja",creep_res25!O21,creep_res25!C21)</f>
        <v>-7.793978857142858E-4</v>
      </c>
      <c r="E21" s="2">
        <f>IF('Modell einstellen'!$B$2="Ja",creep_res50!O21,creep_res50!C21)</f>
        <v>-9.3838194285714291E-4</v>
      </c>
      <c r="F21" s="2">
        <f>IF('Modell einstellen'!$B$2="Ja",creep_res80!O21,creep_res80!C21)</f>
        <v>-1.209907542857143E-3</v>
      </c>
      <c r="G21" s="2">
        <f>IF('Modell einstellen'!$B$2="Ja",creep_res125!O21,creep_res125!C21)</f>
        <v>-3.9668505142857148E-3</v>
      </c>
      <c r="H21" s="2">
        <f>IF('Modell einstellen'!$B$2="Ja",creep_res160!O21,creep_res160!C21)</f>
        <v>-1.1606206285714286E-2</v>
      </c>
      <c r="M21" s="9">
        <f t="shared" si="26"/>
        <v>-10</v>
      </c>
      <c r="N21" s="2">
        <f t="shared" si="4"/>
        <v>1000</v>
      </c>
      <c r="O21" s="2">
        <f t="shared" si="5"/>
        <v>17780.594314231279</v>
      </c>
      <c r="P21" s="2">
        <f t="shared" si="6"/>
        <v>15176.869063947086</v>
      </c>
      <c r="Q21" s="2">
        <f t="shared" si="7"/>
        <v>12830.417150587233</v>
      </c>
      <c r="R21" s="2">
        <f t="shared" si="27"/>
        <v>10656.641547846128</v>
      </c>
      <c r="S21" s="2">
        <f t="shared" si="8"/>
        <v>8265.0943529002579</v>
      </c>
      <c r="T21" s="2">
        <f t="shared" si="9"/>
        <v>2520.8915647280537</v>
      </c>
      <c r="U21" s="2">
        <f t="shared" si="10"/>
        <v>861.60798402391697</v>
      </c>
      <c r="Z21" s="2">
        <v>1000</v>
      </c>
      <c r="AA21" s="3">
        <f>IF('Modell einstellen'!$B$2="Ja",'creep_res-40'!P21,'creep_res-40'!L21)</f>
        <v>0.37847426589692063</v>
      </c>
      <c r="AB21" s="2">
        <f>IF('Modell einstellen'!$B$2="Ja",creep_res0!P21,creep_res0!L21)</f>
        <v>0.41871405087546681</v>
      </c>
      <c r="AC21" s="2">
        <f>IF('Modell einstellen'!$B$2="Ja",creep_res25!P21,creep_res25!L21)</f>
        <v>0.44389699213231482</v>
      </c>
      <c r="AD21" s="2">
        <f>IF('Modell einstellen'!$B$2="Ja",creep_res50!P21,creep_res50!L21)</f>
        <v>0.45038692134131919</v>
      </c>
      <c r="AE21" s="2">
        <f>IF('Modell einstellen'!$B$2="Ja",creep_res80!P21,creep_res80!L21)</f>
        <v>0.45544729226535463</v>
      </c>
      <c r="AF21" s="2">
        <f>IF('Modell einstellen'!$B$2="Ja",creep_res125!P21,creep_res125!L21)</f>
        <v>0.55955612083707895</v>
      </c>
      <c r="AG21" s="2">
        <f>IF('Modell einstellen'!$B$2="Ja",creep_res160!P21,creep_res160!L21)</f>
        <v>0.59490811344728323</v>
      </c>
      <c r="AL21" s="2">
        <f t="shared" si="11"/>
        <v>1000</v>
      </c>
      <c r="AM21" s="2">
        <f t="shared" si="12"/>
        <v>6449.3747740231202</v>
      </c>
      <c r="AN21" s="2">
        <f t="shared" si="13"/>
        <v>5348.811853446321</v>
      </c>
      <c r="AO21" s="2">
        <f t="shared" si="14"/>
        <v>4442.9821588725517</v>
      </c>
      <c r="AP21" s="2">
        <f t="shared" si="15"/>
        <v>3673.7236771243274</v>
      </c>
      <c r="AQ21" s="2">
        <f t="shared" si="16"/>
        <v>2839.3657389117534</v>
      </c>
      <c r="AR21" s="2">
        <f t="shared" si="17"/>
        <v>808.20803145416335</v>
      </c>
      <c r="AS21" s="2">
        <f t="shared" si="18"/>
        <v>270.11210763785351</v>
      </c>
      <c r="AX21" s="2">
        <f t="shared" si="28"/>
        <v>1000</v>
      </c>
      <c r="AY21" s="37">
        <f t="shared" si="19"/>
        <v>24385.225134222183</v>
      </c>
      <c r="AZ21" s="37">
        <f t="shared" si="20"/>
        <v>31118.270802857416</v>
      </c>
      <c r="BA21" s="37">
        <f t="shared" si="21"/>
        <v>38115.654395473255</v>
      </c>
      <c r="BB21" s="37">
        <f t="shared" si="22"/>
        <v>35799.167732765876</v>
      </c>
      <c r="BC21" s="37">
        <f t="shared" si="23"/>
        <v>30918.78800471163</v>
      </c>
      <c r="BD21" s="37">
        <f t="shared" si="24"/>
        <v>-7054.6668959634899</v>
      </c>
      <c r="BE21" s="37">
        <f t="shared" si="25"/>
        <v>-1513.0564232573886</v>
      </c>
    </row>
    <row r="22" spans="1:57" x14ac:dyDescent="0.25">
      <c r="A22" s="2">
        <f>'creep_res-40'!A22</f>
        <v>10000</v>
      </c>
      <c r="B22" s="3">
        <f>'creep_res-40'!O22</f>
        <v>-5.7446554285714283E-4</v>
      </c>
      <c r="C22" s="2">
        <f>IF('Modell einstellen'!$B$2="Ja",creep_res0!O22,creep_res0!C22)</f>
        <v>-7.3297771428571445E-4</v>
      </c>
      <c r="D22" s="2">
        <f>IF('Modell einstellen'!$B$2="Ja",creep_res25!O22,creep_res25!C22)</f>
        <v>-9.2856325714285712E-4</v>
      </c>
      <c r="E22" s="2">
        <f>IF('Modell einstellen'!$B$2="Ja",creep_res50!O22,creep_res50!C22)</f>
        <v>-1.1411583428571428E-3</v>
      </c>
      <c r="F22" s="2">
        <f>IF('Modell einstellen'!$B$2="Ja",creep_res80!O22,creep_res80!C22)</f>
        <v>-1.4887029142857144E-3</v>
      </c>
      <c r="G22" s="2">
        <f>IF('Modell einstellen'!$B$2="Ja",creep_res125!O22,creep_res125!C22)</f>
        <v>-6.4758148571428583E-3</v>
      </c>
      <c r="H22" s="2">
        <f>IF('Modell einstellen'!$B$2="Ja",creep_res160!O22,creep_res160!C22)</f>
        <v>-1.4358287428571431E-2</v>
      </c>
      <c r="M22" s="9">
        <f t="shared" si="26"/>
        <v>-10</v>
      </c>
      <c r="N22" s="2">
        <f t="shared" si="4"/>
        <v>10000</v>
      </c>
      <c r="O22" s="2">
        <f t="shared" si="5"/>
        <v>17407.484442433797</v>
      </c>
      <c r="P22" s="2">
        <f t="shared" si="6"/>
        <v>13642.979595559715</v>
      </c>
      <c r="Q22" s="2">
        <f t="shared" si="7"/>
        <v>10769.325539295516</v>
      </c>
      <c r="R22" s="2">
        <f t="shared" si="27"/>
        <v>8763.0257996999644</v>
      </c>
      <c r="S22" s="2">
        <f t="shared" si="8"/>
        <v>6717.2569516988151</v>
      </c>
      <c r="T22" s="2">
        <f t="shared" si="9"/>
        <v>1544.2072110770657</v>
      </c>
      <c r="U22" s="2">
        <f t="shared" si="10"/>
        <v>696.46189002325491</v>
      </c>
      <c r="Z22" s="2">
        <v>10000</v>
      </c>
      <c r="AA22" s="3">
        <f>IF('Modell einstellen'!$B$2="Ja",'creep_res-40'!P22,'creep_res-40'!L22)</f>
        <v>0.38388349439235298</v>
      </c>
      <c r="AB22" s="2">
        <f>IF('Modell einstellen'!$B$2="Ja",creep_res0!P22,creep_res0!L22)</f>
        <v>0.42311682834247144</v>
      </c>
      <c r="AC22" s="2">
        <f>IF('Modell einstellen'!$B$2="Ja",creep_res25!P22,creep_res25!L22)</f>
        <v>0.43484850974380884</v>
      </c>
      <c r="AD22" s="2">
        <f>IF('Modell einstellen'!$B$2="Ja",creep_res50!P22,creep_res50!L22)</f>
        <v>0.43376077870951285</v>
      </c>
      <c r="AE22" s="2">
        <f>IF('Modell einstellen'!$B$2="Ja",creep_res80!P22,creep_res80!L22)</f>
        <v>0.43618769029269239</v>
      </c>
      <c r="AF22" s="2">
        <f>IF('Modell einstellen'!$B$2="Ja",creep_res125!P22,creep_res125!L22)</f>
        <v>0.51681712245192568</v>
      </c>
      <c r="AG22" s="2">
        <f>IF('Modell einstellen'!$B$2="Ja",creep_res160!P22,creep_res160!L22)</f>
        <v>0.51250242617474107</v>
      </c>
      <c r="AL22" s="2">
        <f t="shared" si="11"/>
        <v>10000</v>
      </c>
      <c r="AM22" s="2">
        <f t="shared" si="12"/>
        <v>6289.3605252793404</v>
      </c>
      <c r="AN22" s="2">
        <f t="shared" si="13"/>
        <v>4793.3449045957559</v>
      </c>
      <c r="AO22" s="2">
        <f t="shared" si="14"/>
        <v>3752.7744100380223</v>
      </c>
      <c r="AP22" s="2">
        <f t="shared" si="15"/>
        <v>3055.9581241953465</v>
      </c>
      <c r="AQ22" s="2">
        <f t="shared" si="16"/>
        <v>2338.5721090290958</v>
      </c>
      <c r="AR22" s="2">
        <f t="shared" si="17"/>
        <v>509.02880387480866</v>
      </c>
      <c r="AS22" s="2">
        <f t="shared" si="18"/>
        <v>230.23496622900356</v>
      </c>
      <c r="AX22" s="2">
        <f t="shared" si="28"/>
        <v>10000</v>
      </c>
      <c r="AY22" s="37">
        <f t="shared" si="19"/>
        <v>24985.658945641175</v>
      </c>
      <c r="AZ22" s="37">
        <f t="shared" si="20"/>
        <v>29575.131769042044</v>
      </c>
      <c r="BA22" s="37">
        <f t="shared" si="21"/>
        <v>27549.447953142146</v>
      </c>
      <c r="BB22" s="37">
        <f t="shared" si="22"/>
        <v>22048.935230459032</v>
      </c>
      <c r="BC22" s="37">
        <f t="shared" si="23"/>
        <v>17544.308150233417</v>
      </c>
      <c r="BD22" s="37">
        <f t="shared" si="24"/>
        <v>-15303.918327797739</v>
      </c>
      <c r="BE22" s="37">
        <f t="shared" si="25"/>
        <v>-9284.3564959459982</v>
      </c>
    </row>
    <row r="23" spans="1:57" x14ac:dyDescent="0.25">
      <c r="A23" s="2">
        <f>'creep_res-40'!A23</f>
        <v>100000</v>
      </c>
      <c r="B23" s="3">
        <f>'creep_res-40'!O23</f>
        <v>-5.9813674285714286E-4</v>
      </c>
      <c r="C23" s="2">
        <f>IF('Modell einstellen'!$B$2="Ja",creep_res0!O23,creep_res0!C23)</f>
        <v>-8.7946508571428578E-4</v>
      </c>
      <c r="D23" s="2">
        <f>IF('Modell einstellen'!$B$2="Ja",creep_res25!O23,creep_res25!C23)</f>
        <v>-1.1236970857142858E-3</v>
      </c>
      <c r="E23" s="2">
        <f>IF('Modell einstellen'!$B$2="Ja",creep_res50!O23,creep_res50!C23)</f>
        <v>-1.363100342857143E-3</v>
      </c>
      <c r="F23" s="2">
        <f>IF('Modell einstellen'!$B$2="Ja",creep_res80!O23,creep_res80!C23)</f>
        <v>-1.7958230857142859E-3</v>
      </c>
      <c r="G23" s="2">
        <f>IF('Modell einstellen'!$B$2="Ja",creep_res125!O23,creep_res125!C23)</f>
        <v>-9.8433360000000011E-3</v>
      </c>
      <c r="H23" s="2">
        <f>IF('Modell einstellen'!$B$2="Ja",creep_res160!O23,creep_res160!C23)</f>
        <v>-1.7147691428571431E-2</v>
      </c>
      <c r="M23" s="9">
        <f t="shared" si="26"/>
        <v>-10</v>
      </c>
      <c r="N23" s="2">
        <f t="shared" si="4"/>
        <v>100000</v>
      </c>
      <c r="O23" s="2">
        <f t="shared" si="5"/>
        <v>16718.585038318521</v>
      </c>
      <c r="P23" s="2">
        <f t="shared" si="6"/>
        <v>11370.548032476103</v>
      </c>
      <c r="Q23" s="2">
        <f t="shared" si="7"/>
        <v>8899.1954567929042</v>
      </c>
      <c r="R23" s="2">
        <f t="shared" si="27"/>
        <v>7336.2170675119769</v>
      </c>
      <c r="S23" s="2">
        <f t="shared" si="8"/>
        <v>5568.477251211255</v>
      </c>
      <c r="T23" s="2">
        <f t="shared" si="9"/>
        <v>1015.9157423865241</v>
      </c>
      <c r="U23" s="2">
        <f t="shared" si="10"/>
        <v>583.16887970925518</v>
      </c>
      <c r="Z23" s="2">
        <v>100000</v>
      </c>
      <c r="AA23" s="3">
        <f>IF('Modell einstellen'!$B$2="Ja",'creep_res-40'!P23,'creep_res-40'!L23)</f>
        <v>0.38955598590785695</v>
      </c>
      <c r="AB23" s="2">
        <f>IF('Modell einstellen'!$B$2="Ja",creep_res0!P23,creep_res0!L23)</f>
        <v>0.41923118981609542</v>
      </c>
      <c r="AC23" s="2">
        <f>IF('Modell einstellen'!$B$2="Ja",creep_res25!P23,creep_res25!L23)</f>
        <v>0.42130709958998103</v>
      </c>
      <c r="AD23" s="2">
        <f>IF('Modell einstellen'!$B$2="Ja",creep_res50!P23,creep_res50!L23)</f>
        <v>0.41822897347961724</v>
      </c>
      <c r="AE23" s="2">
        <f>IF('Modell einstellen'!$B$2="Ja",creep_res80!P23,creep_res80!L23)</f>
        <v>0.42029278480629212</v>
      </c>
      <c r="AF23" s="2">
        <f>IF('Modell einstellen'!$B$2="Ja",creep_res125!P23,creep_res125!L23)</f>
        <v>0.47639048968183723</v>
      </c>
      <c r="AG23" s="2">
        <f>IF('Modell einstellen'!$B$2="Ja",creep_res160!P23,creep_res160!L23)</f>
        <v>0.46541421985666703</v>
      </c>
      <c r="AL23" s="2">
        <f t="shared" si="11"/>
        <v>100000</v>
      </c>
      <c r="AM23" s="2">
        <f t="shared" si="12"/>
        <v>6015.8011652173718</v>
      </c>
      <c r="AN23" s="2">
        <f t="shared" si="13"/>
        <v>4005.8829435497059</v>
      </c>
      <c r="AO23" s="2">
        <f t="shared" si="14"/>
        <v>3130.6377978974938</v>
      </c>
      <c r="AP23" s="2">
        <f t="shared" si="15"/>
        <v>2586.4007874245467</v>
      </c>
      <c r="AQ23" s="2">
        <f t="shared" si="16"/>
        <v>1960.3272335044344</v>
      </c>
      <c r="AR23" s="2">
        <f t="shared" si="17"/>
        <v>344.05387649356049</v>
      </c>
      <c r="AS23" s="2">
        <f t="shared" si="18"/>
        <v>198.97748766430533</v>
      </c>
      <c r="AX23" s="2">
        <f t="shared" si="28"/>
        <v>100000</v>
      </c>
      <c r="AY23" s="37">
        <f t="shared" si="19"/>
        <v>25229.351383362831</v>
      </c>
      <c r="AZ23" s="37">
        <f t="shared" si="20"/>
        <v>23463.157801025358</v>
      </c>
      <c r="BA23" s="37">
        <f t="shared" si="21"/>
        <v>18847.942254902329</v>
      </c>
      <c r="BB23" s="37">
        <f t="shared" si="22"/>
        <v>14952.76379195938</v>
      </c>
      <c r="BC23" s="37">
        <f t="shared" si="23"/>
        <v>11643.607666044836</v>
      </c>
      <c r="BD23" s="37">
        <f t="shared" si="24"/>
        <v>7171.6561722797296</v>
      </c>
      <c r="BE23" s="37">
        <f t="shared" si="25"/>
        <v>2810.2536037086306</v>
      </c>
    </row>
    <row r="24" spans="1:57" x14ac:dyDescent="0.25">
      <c r="A24" s="2">
        <f>'creep_res-40'!A24</f>
        <v>1000000</v>
      </c>
      <c r="B24" s="3">
        <f>'creep_res-40'!O24</f>
        <v>-6.6538377142857149E-4</v>
      </c>
      <c r="C24" s="2">
        <f>IF('Modell einstellen'!$B$2="Ja",creep_res0!O24,creep_res0!C24)</f>
        <v>-1.0596601142857144E-3</v>
      </c>
      <c r="D24" s="2">
        <f>IF('Modell einstellen'!$B$2="Ja",creep_res25!O24,creep_res25!C24)</f>
        <v>-1.3216305714285716E-3</v>
      </c>
      <c r="E24" s="2">
        <f>IF('Modell einstellen'!$B$2="Ja",creep_res50!O24,creep_res50!C24)</f>
        <v>-1.5828392571428573E-3</v>
      </c>
      <c r="F24" s="2">
        <f>IF('Modell einstellen'!$B$2="Ja",creep_res80!O24,creep_res80!C24)</f>
        <v>-2.1445940000000001E-3</v>
      </c>
      <c r="G24" s="2">
        <f>IF('Modell einstellen'!$B$2="Ja",creep_res125!O24,creep_res125!C24)</f>
        <v>-1.3177162285714288E-2</v>
      </c>
      <c r="H24" s="2">
        <f>IF('Modell einstellen'!$B$2="Ja",creep_res160!O24,creep_res160!C24)</f>
        <v>-1.9091066285714286E-2</v>
      </c>
      <c r="M24" s="9">
        <f t="shared" si="26"/>
        <v>-10</v>
      </c>
      <c r="N24" s="2">
        <f t="shared" si="4"/>
        <v>1000000</v>
      </c>
      <c r="O24" s="2">
        <f t="shared" si="5"/>
        <v>15028.920796385088</v>
      </c>
      <c r="P24" s="2">
        <f t="shared" si="6"/>
        <v>9436.9882051668101</v>
      </c>
      <c r="Q24" s="2">
        <f t="shared" si="7"/>
        <v>7566.4109291833647</v>
      </c>
      <c r="R24" s="2">
        <f t="shared" si="27"/>
        <v>6317.7609191035253</v>
      </c>
      <c r="S24" s="2">
        <f t="shared" si="8"/>
        <v>4662.8872411281573</v>
      </c>
      <c r="T24" s="2">
        <f t="shared" si="9"/>
        <v>758.88873364193637</v>
      </c>
      <c r="U24" s="2">
        <f t="shared" si="10"/>
        <v>523.80521079029154</v>
      </c>
      <c r="Z24" s="2">
        <v>1000000</v>
      </c>
      <c r="AA24" s="3">
        <f>IF('Modell einstellen'!$B$2="Ja",'creep_res-40'!P24,'creep_res-40'!L24)</f>
        <v>0.3932572703907245</v>
      </c>
      <c r="AB24" s="2">
        <f>IF('Modell einstellen'!$B$2="Ja",creep_res0!P24,creep_res0!L24)</f>
        <v>0.40998822695277171</v>
      </c>
      <c r="AC24" s="2">
        <f>IF('Modell einstellen'!$B$2="Ja",creep_res25!P24,creep_res25!L24)</f>
        <v>0.40859653237872606</v>
      </c>
      <c r="AD24" s="2">
        <f>IF('Modell einstellen'!$B$2="Ja",creep_res50!P24,creep_res50!L24)</f>
        <v>0.40561216449846527</v>
      </c>
      <c r="AE24" s="2">
        <f>IF('Modell einstellen'!$B$2="Ja",creep_res80!P24,creep_res80!L24)</f>
        <v>0.4076057819268889</v>
      </c>
      <c r="AF24" s="2">
        <f>IF('Modell einstellen'!$B$2="Ja",creep_res125!P24,creep_res125!L24)</f>
        <v>0.44422358614041935</v>
      </c>
      <c r="AG24" s="2">
        <f>IF('Modell einstellen'!$B$2="Ja",creep_res160!P24,creep_res160!L24)</f>
        <v>0.4336795855389774</v>
      </c>
      <c r="AL24" s="2">
        <f t="shared" si="11"/>
        <v>1000000</v>
      </c>
      <c r="AM24" s="2">
        <f t="shared" si="12"/>
        <v>5393.4478275395559</v>
      </c>
      <c r="AN24" s="2">
        <f t="shared" si="13"/>
        <v>3346.4776601581179</v>
      </c>
      <c r="AO24" s="2">
        <f t="shared" si="14"/>
        <v>2685.7977977575347</v>
      </c>
      <c r="AP24" s="2">
        <f t="shared" si="15"/>
        <v>2247.3343211844494</v>
      </c>
      <c r="AQ24" s="2">
        <f t="shared" si="16"/>
        <v>1656.3185875611684</v>
      </c>
      <c r="AR24" s="2">
        <f t="shared" si="17"/>
        <v>262.73242624087396</v>
      </c>
      <c r="AS24" s="2">
        <f t="shared" si="18"/>
        <v>182.67861803771595</v>
      </c>
      <c r="AX24" s="2">
        <f t="shared" si="28"/>
        <v>1000000</v>
      </c>
      <c r="AY24" s="37">
        <f t="shared" si="19"/>
        <v>23465.955404171989</v>
      </c>
      <c r="AZ24" s="37">
        <f t="shared" si="20"/>
        <v>17473.618331043792</v>
      </c>
      <c r="BA24" s="37">
        <f t="shared" si="21"/>
        <v>13796.724796288985</v>
      </c>
      <c r="BB24" s="37">
        <f t="shared" si="22"/>
        <v>11155.676444840181</v>
      </c>
      <c r="BC24" s="37">
        <f t="shared" si="23"/>
        <v>8411.2176035345219</v>
      </c>
      <c r="BD24" s="37">
        <f t="shared" si="24"/>
        <v>2267.6512678891745</v>
      </c>
      <c r="BE24" s="37">
        <f t="shared" si="25"/>
        <v>1316.3498626257301</v>
      </c>
    </row>
    <row r="25" spans="1:57" x14ac:dyDescent="0.25">
      <c r="A25" s="2">
        <f>'creep_res-40'!A25</f>
        <v>10000000</v>
      </c>
      <c r="B25" s="3">
        <f>'creep_res-40'!O25</f>
        <v>-7.8451982857142871E-4</v>
      </c>
      <c r="C25" s="2">
        <f>IF('Modell einstellen'!$B$2="Ja",creep_res0!O25,creep_res0!C25)</f>
        <v>-1.2344853714285715E-3</v>
      </c>
      <c r="D25" s="2">
        <f>IF('Modell einstellen'!$B$2="Ja",creep_res25!O25,creep_res25!C25)</f>
        <v>-1.5099526857142859E-3</v>
      </c>
      <c r="E25" s="2">
        <f>IF('Modell einstellen'!$B$2="Ja",creep_res50!O25,creep_res50!C25)</f>
        <v>-1.8098891428571431E-3</v>
      </c>
      <c r="F25" s="2">
        <f>IF('Modell einstellen'!$B$2="Ja",creep_res80!O25,creep_res80!C25)</f>
        <v>-2.5784199428571428E-3</v>
      </c>
      <c r="G25" s="2">
        <f>IF('Modell einstellen'!$B$2="Ja",creep_res125!O25,creep_res125!C25)</f>
        <v>-1.5779164571428573E-2</v>
      </c>
      <c r="H25" s="2">
        <f>IF('Modell einstellen'!$B$2="Ja",creep_res160!O25,creep_res160!C25)</f>
        <v>-2.0249506285714286E-2</v>
      </c>
      <c r="M25" s="9">
        <f t="shared" si="26"/>
        <v>-10</v>
      </c>
      <c r="N25" s="2">
        <f t="shared" si="4"/>
        <v>10000000</v>
      </c>
      <c r="O25" s="2">
        <f t="shared" si="5"/>
        <v>12746.65041699392</v>
      </c>
      <c r="P25" s="2">
        <f t="shared" si="6"/>
        <v>8100.5415142569063</v>
      </c>
      <c r="Q25" s="2">
        <f t="shared" si="7"/>
        <v>6622.7240724893854</v>
      </c>
      <c r="R25" s="2">
        <f t="shared" si="27"/>
        <v>5525.2002806170285</v>
      </c>
      <c r="S25" s="2">
        <f t="shared" si="8"/>
        <v>3878.344188153857</v>
      </c>
      <c r="T25" s="2">
        <f t="shared" si="9"/>
        <v>633.74711346296874</v>
      </c>
      <c r="U25" s="2">
        <f t="shared" si="10"/>
        <v>493.83920076386482</v>
      </c>
      <c r="Z25" s="2">
        <v>10000000</v>
      </c>
      <c r="AA25" s="3">
        <f>IF('Modell einstellen'!$B$2="Ja",'creep_res-40'!P25,'creep_res-40'!L25)</f>
        <v>0.39233854200316304</v>
      </c>
      <c r="AB25" s="2">
        <f>IF('Modell einstellen'!$B$2="Ja",creep_res0!P25,creep_res0!L25)</f>
        <v>0.40041657150459081</v>
      </c>
      <c r="AC25" s="2">
        <f>IF('Modell einstellen'!$B$2="Ja",creep_res25!P25,creep_res25!L25)</f>
        <v>0.39817455774962407</v>
      </c>
      <c r="AD25" s="2">
        <f>IF('Modell einstellen'!$B$2="Ja",creep_res50!P25,creep_res50!L25)</f>
        <v>0.3957409861882622</v>
      </c>
      <c r="AE25" s="2">
        <f>IF('Modell einstellen'!$B$2="Ja",creep_res80!P25,creep_res80!L25)</f>
        <v>0.397892826900479</v>
      </c>
      <c r="AF25" s="2">
        <f>IF('Modell einstellen'!$B$2="Ja",creep_res125!P25,creep_res125!L25)</f>
        <v>0.42134079305592781</v>
      </c>
      <c r="AG25" s="2">
        <f>IF('Modell einstellen'!$B$2="Ja",creep_res160!P25,creep_res160!L25)</f>
        <v>0.41397916551672681</v>
      </c>
      <c r="AL25" s="2">
        <f t="shared" si="11"/>
        <v>10000000</v>
      </c>
      <c r="AM25" s="2">
        <f t="shared" si="12"/>
        <v>4577.424969740212</v>
      </c>
      <c r="AN25" s="2">
        <f t="shared" si="13"/>
        <v>2892.1899665732253</v>
      </c>
      <c r="AO25" s="2">
        <f t="shared" si="14"/>
        <v>2368.346654493816</v>
      </c>
      <c r="AP25" s="2">
        <f t="shared" si="15"/>
        <v>1979.307169199863</v>
      </c>
      <c r="AQ25" s="2">
        <f t="shared" si="16"/>
        <v>1387.2108481854204</v>
      </c>
      <c r="AR25" s="2">
        <f t="shared" si="17"/>
        <v>222.939887660718</v>
      </c>
      <c r="AS25" s="2">
        <f t="shared" si="18"/>
        <v>174.62746722417066</v>
      </c>
      <c r="AX25" s="2">
        <f t="shared" si="28"/>
        <v>10000000</v>
      </c>
      <c r="AY25" s="37">
        <f t="shared" si="19"/>
        <v>19732.611611372275</v>
      </c>
      <c r="AZ25" s="37">
        <f t="shared" si="20"/>
        <v>13557.378700195992</v>
      </c>
      <c r="BA25" s="37">
        <f t="shared" si="21"/>
        <v>10839.995594625787</v>
      </c>
      <c r="BB25" s="37">
        <f t="shared" si="22"/>
        <v>8832.4901585871066</v>
      </c>
      <c r="BC25" s="37">
        <f t="shared" si="23"/>
        <v>6330.5121315583183</v>
      </c>
      <c r="BD25" s="37">
        <f t="shared" si="24"/>
        <v>1342.8118972213299</v>
      </c>
      <c r="BE25" s="37">
        <f t="shared" si="25"/>
        <v>956.82091385254694</v>
      </c>
    </row>
    <row r="26" spans="1:57" x14ac:dyDescent="0.25">
      <c r="A26" s="2">
        <f>'creep_res-40'!A26</f>
        <v>100000000</v>
      </c>
      <c r="B26" s="3">
        <f>'creep_res-40'!O26</f>
        <v>-9.1970068571428578E-4</v>
      </c>
      <c r="C26" s="2">
        <f>IF('Modell einstellen'!$B$2="Ja",creep_res0!O26,creep_res0!C26)</f>
        <v>-1.3975460000000002E-3</v>
      </c>
      <c r="D26" s="2">
        <f>IF('Modell einstellen'!$B$2="Ja",creep_res25!O26,creep_res25!C26)</f>
        <v>-1.6873612000000001E-3</v>
      </c>
      <c r="E26" s="2">
        <f>IF('Modell einstellen'!$B$2="Ja",creep_res50!O26,creep_res50!C26)</f>
        <v>-2.0538577714285717E-3</v>
      </c>
      <c r="F26" s="2">
        <f>IF('Modell einstellen'!$B$2="Ja",creep_res80!O26,creep_res80!C26)</f>
        <v>-3.2087566285714285E-3</v>
      </c>
      <c r="G26" s="2">
        <f>IF('Modell einstellen'!$B$2="Ja",creep_res125!O26,creep_res125!C26)</f>
        <v>-1.7653537714285714E-2</v>
      </c>
      <c r="H26" s="2">
        <f>IF('Modell einstellen'!$B$2="Ja",creep_res160!O26,creep_res160!C26)</f>
        <v>-2.0991990857142859E-2</v>
      </c>
      <c r="M26" s="9">
        <f t="shared" si="26"/>
        <v>-10</v>
      </c>
      <c r="N26" s="2">
        <f t="shared" si="4"/>
        <v>100000000</v>
      </c>
      <c r="O26" s="2">
        <f t="shared" si="5"/>
        <v>10873.102690179574</v>
      </c>
      <c r="P26" s="2">
        <f t="shared" si="6"/>
        <v>7155.399536043893</v>
      </c>
      <c r="Q26" s="2">
        <f t="shared" si="7"/>
        <v>5926.4133844016324</v>
      </c>
      <c r="R26" s="2">
        <f t="shared" si="27"/>
        <v>4868.8863168185435</v>
      </c>
      <c r="S26" s="2">
        <f t="shared" si="8"/>
        <v>3116.4719414859778</v>
      </c>
      <c r="T26" s="2">
        <f t="shared" si="9"/>
        <v>566.45869863850191</v>
      </c>
      <c r="U26" s="2">
        <f t="shared" si="10"/>
        <v>476.37215869867538</v>
      </c>
      <c r="Z26" s="2">
        <v>100000000</v>
      </c>
      <c r="AA26" s="3">
        <f>IF('Modell einstellen'!$B$2="Ja",'creep_res-40'!P26,'creep_res-40'!L26)</f>
        <v>0.38878007018680982</v>
      </c>
      <c r="AB26" s="2">
        <f>IF('Modell einstellen'!$B$2="Ja",creep_res0!P26,creep_res0!L26)</f>
        <v>0.3923056353269026</v>
      </c>
      <c r="AC26" s="2">
        <f>IF('Modell einstellen'!$B$2="Ja",creep_res25!P26,creep_res25!L26)</f>
        <v>0.38959513486840536</v>
      </c>
      <c r="AD26" s="2">
        <f>IF('Modell einstellen'!$B$2="Ja",creep_res50!P26,creep_res50!L26)</f>
        <v>0.38798098997590896</v>
      </c>
      <c r="AE26" s="2">
        <f>IF('Modell einstellen'!$B$2="Ja",creep_res80!P26,creep_res80!L26)</f>
        <v>0.39115179478242412</v>
      </c>
      <c r="AF26" s="2">
        <f>IF('Modell einstellen'!$B$2="Ja",creep_res125!P26,creep_res125!L26)</f>
        <v>0.40684649820573399</v>
      </c>
      <c r="AG26" s="2">
        <f>IF('Modell einstellen'!$B$2="Ja",creep_res160!P26,creep_res160!L26)</f>
        <v>0.40217553448411786</v>
      </c>
      <c r="AL26" s="2">
        <f t="shared" si="11"/>
        <v>100000000</v>
      </c>
      <c r="AM26" s="2">
        <f t="shared" si="12"/>
        <v>3914.6236771373719</v>
      </c>
      <c r="AN26" s="2">
        <f t="shared" si="13"/>
        <v>2569.6224142495339</v>
      </c>
      <c r="AO26" s="2">
        <f t="shared" si="14"/>
        <v>2132.4244867059297</v>
      </c>
      <c r="AP26" s="2">
        <f t="shared" si="15"/>
        <v>1753.9456058771568</v>
      </c>
      <c r="AQ26" s="2">
        <f t="shared" si="16"/>
        <v>1120.1049206759617</v>
      </c>
      <c r="AR26" s="2">
        <f t="shared" si="17"/>
        <v>201.32214117210117</v>
      </c>
      <c r="AS26" s="2">
        <f t="shared" si="18"/>
        <v>169.86894542912563</v>
      </c>
      <c r="AX26" s="2">
        <f t="shared" si="28"/>
        <v>100000000</v>
      </c>
      <c r="AY26" s="37">
        <f t="shared" si="19"/>
        <v>16293.696505117547</v>
      </c>
      <c r="AZ26" s="37">
        <f t="shared" si="20"/>
        <v>11073.621103208552</v>
      </c>
      <c r="BA26" s="37">
        <f t="shared" si="21"/>
        <v>8946.4858535865169</v>
      </c>
      <c r="BB26" s="37">
        <f t="shared" si="22"/>
        <v>7244.1369784340341</v>
      </c>
      <c r="BC26" s="37">
        <f t="shared" si="23"/>
        <v>4771.8930156855977</v>
      </c>
      <c r="BD26" s="37">
        <f t="shared" si="24"/>
        <v>1013.4861415615435</v>
      </c>
      <c r="BE26" s="37">
        <f t="shared" si="25"/>
        <v>811.61046333774709</v>
      </c>
    </row>
    <row r="27" spans="1:57" x14ac:dyDescent="0.25">
      <c r="A27" s="2">
        <f>'creep_res-40'!A27</f>
        <v>1000000000</v>
      </c>
      <c r="B27" s="3">
        <f>'creep_res-40'!O27</f>
        <v>-1.0495565142857144E-3</v>
      </c>
      <c r="C27" s="2">
        <f>IF('Modell einstellen'!$B$2="Ja",creep_res0!O27,creep_res0!C27)</f>
        <v>-1.5444489142857143E-3</v>
      </c>
      <c r="D27" s="2">
        <f>IF('Modell einstellen'!$B$2="Ja",creep_res25!O27,creep_res25!C27)</f>
        <v>-1.8756650285714287E-3</v>
      </c>
      <c r="E27" s="2">
        <f>IF('Modell einstellen'!$B$2="Ja",creep_res50!O27,creep_res50!C27)</f>
        <v>-2.3467463428571431E-3</v>
      </c>
      <c r="F27" s="2">
        <f>IF('Modell einstellen'!$B$2="Ja",creep_res80!O27,creep_res80!C27)</f>
        <v>-4.2453798857142863E-3</v>
      </c>
      <c r="G27" s="2">
        <f>IF('Modell einstellen'!$B$2="Ja",creep_res125!O27,creep_res125!C27)</f>
        <v>-1.9022550285714285E-2</v>
      </c>
      <c r="H27" s="2">
        <f>IF('Modell einstellen'!$B$2="Ja",creep_res160!O27,creep_res160!C27)</f>
        <v>-2.1482561714285715E-2</v>
      </c>
      <c r="M27" s="9">
        <f t="shared" si="26"/>
        <v>-10</v>
      </c>
      <c r="N27" s="2">
        <f t="shared" si="4"/>
        <v>1000000000</v>
      </c>
      <c r="O27" s="2">
        <f t="shared" si="5"/>
        <v>9527.8337696808976</v>
      </c>
      <c r="P27" s="2">
        <f t="shared" si="6"/>
        <v>6474.8014048913092</v>
      </c>
      <c r="Q27" s="2">
        <f t="shared" si="7"/>
        <v>5331.4423671994064</v>
      </c>
      <c r="R27" s="2">
        <f t="shared" si="27"/>
        <v>4261.2189555284822</v>
      </c>
      <c r="S27" s="2">
        <f t="shared" si="8"/>
        <v>2355.5018088369488</v>
      </c>
      <c r="T27" s="2">
        <f t="shared" si="9"/>
        <v>525.69186832482103</v>
      </c>
      <c r="U27" s="2">
        <f t="shared" si="10"/>
        <v>465.4938332307961</v>
      </c>
      <c r="Z27" s="2">
        <v>1000000000</v>
      </c>
      <c r="AA27" s="3">
        <f>IF('Modell einstellen'!$B$2="Ja",'creep_res-40'!P27,'creep_res-40'!L27)</f>
        <v>0.38517528954678487</v>
      </c>
      <c r="AB27" s="2">
        <f>IF('Modell einstellen'!$B$2="Ja",creep_res0!P27,creep_res0!L27)</f>
        <v>0.38525072058989801</v>
      </c>
      <c r="AC27" s="2">
        <f>IF('Modell einstellen'!$B$2="Ja",creep_res25!P27,creep_res25!L27)</f>
        <v>0.38323169370053223</v>
      </c>
      <c r="AD27" s="2">
        <f>IF('Modell einstellen'!$B$2="Ja",creep_res50!P27,creep_res50!L27)</f>
        <v>0.38236073526821734</v>
      </c>
      <c r="AE27" s="2">
        <f>IF('Modell einstellen'!$B$2="Ja",creep_res80!P27,creep_res80!L27)</f>
        <v>0.38673491484147576</v>
      </c>
      <c r="AF27" s="2">
        <f>IF('Modell einstellen'!$B$2="Ja",creep_res125!P27,creep_res125!L27)</f>
        <v>0.39792561387968323</v>
      </c>
      <c r="AG27" s="2">
        <f>IF('Modell einstellen'!$B$2="Ja",creep_res160!P27,creep_res160!L27)</f>
        <v>0.39501639110185399</v>
      </c>
      <c r="AL27" s="2">
        <f t="shared" si="11"/>
        <v>1000000000</v>
      </c>
      <c r="AM27" s="2">
        <f t="shared" si="12"/>
        <v>3439.215903424868</v>
      </c>
      <c r="AN27" s="2">
        <f t="shared" si="13"/>
        <v>2337.0503651981739</v>
      </c>
      <c r="AO27" s="2">
        <f t="shared" si="14"/>
        <v>1927.1689592855932</v>
      </c>
      <c r="AP27" s="2">
        <f t="shared" si="15"/>
        <v>1541.283272452644</v>
      </c>
      <c r="AQ27" s="2">
        <f t="shared" si="16"/>
        <v>849.29779427462438</v>
      </c>
      <c r="AR27" s="2">
        <f t="shared" si="17"/>
        <v>188.02569432355588</v>
      </c>
      <c r="AS27" s="2">
        <f t="shared" si="18"/>
        <v>166.84170745231376</v>
      </c>
      <c r="AX27" s="2">
        <f t="shared" si="28"/>
        <v>1000000000</v>
      </c>
      <c r="AY27" s="37">
        <f t="shared" si="19"/>
        <v>13829.534502452147</v>
      </c>
      <c r="AZ27" s="37">
        <f t="shared" si="20"/>
        <v>9404.2731512515529</v>
      </c>
      <c r="BA27" s="37">
        <f t="shared" si="21"/>
        <v>7609.7166776377044</v>
      </c>
      <c r="BB27" s="37">
        <f t="shared" si="22"/>
        <v>6037.1268119875549</v>
      </c>
      <c r="BC27" s="37">
        <f t="shared" si="23"/>
        <v>3466.060474476345</v>
      </c>
      <c r="BD27" s="37">
        <f t="shared" si="24"/>
        <v>858.34766896561644</v>
      </c>
      <c r="BE27" s="37">
        <f t="shared" si="25"/>
        <v>738.99446163767857</v>
      </c>
    </row>
    <row r="28" spans="1:57" x14ac:dyDescent="0.25">
      <c r="A28" s="2">
        <f>'creep_res-40'!A28</f>
        <v>10000000000</v>
      </c>
      <c r="B28" s="3">
        <f>'creep_res-40'!O28</f>
        <v>-1.1750555999999999E-3</v>
      </c>
      <c r="C28" s="2">
        <f>IF('Modell einstellen'!$B$2="Ja",creep_res0!O28,creep_res0!C28)</f>
        <v>-1.6846166285714287E-3</v>
      </c>
      <c r="D28" s="2">
        <f>IF('Modell einstellen'!$B$2="Ja",creep_res25!O28,creep_res25!C28)</f>
        <v>-2.0839046857142858E-3</v>
      </c>
      <c r="E28" s="2">
        <f>IF('Modell einstellen'!$B$2="Ja",creep_res50!O28,creep_res50!C28)</f>
        <v>-2.7357348571428572E-3</v>
      </c>
      <c r="F28" s="2">
        <f>IF('Modell einstellen'!$B$2="Ja",creep_res80!O28,creep_res80!C28)</f>
        <v>-5.9978668571428568E-3</v>
      </c>
      <c r="G28" s="2">
        <f>IF('Modell einstellen'!$B$2="Ja",creep_res125!O28,creep_res125!C28)</f>
        <v>-1.9828010857142857E-2</v>
      </c>
      <c r="H28" s="2">
        <f>IF('Modell einstellen'!$B$2="Ja",creep_res160!O28,creep_res160!C28)</f>
        <v>-2.1599005142857144E-2</v>
      </c>
      <c r="M28" s="9">
        <f t="shared" si="26"/>
        <v>-10</v>
      </c>
      <c r="N28" s="2">
        <f t="shared" si="4"/>
        <v>10000000000</v>
      </c>
      <c r="O28" s="2">
        <f t="shared" si="5"/>
        <v>8510.2356007664657</v>
      </c>
      <c r="P28" s="2">
        <f t="shared" si="6"/>
        <v>5936.0686760406115</v>
      </c>
      <c r="Q28" s="2">
        <f t="shared" si="7"/>
        <v>4798.683965035746</v>
      </c>
      <c r="R28" s="2">
        <f t="shared" si="27"/>
        <v>3655.3249939008292</v>
      </c>
      <c r="S28" s="2">
        <f t="shared" si="8"/>
        <v>1667.2594170860937</v>
      </c>
      <c r="T28" s="2">
        <f t="shared" si="9"/>
        <v>504.33702462885191</v>
      </c>
      <c r="U28" s="2">
        <f t="shared" si="10"/>
        <v>462.98428718634898</v>
      </c>
      <c r="Z28" s="2">
        <v>10000000000</v>
      </c>
      <c r="AA28" s="3">
        <f>IF('Modell einstellen'!$B$2="Ja",'creep_res-40'!P28,'creep_res-40'!L28)</f>
        <v>0.38199118893972828</v>
      </c>
      <c r="AB28" s="2">
        <f>IF('Modell einstellen'!$B$2="Ja",creep_res0!P28,creep_res0!L28)</f>
        <v>0.37967855068746292</v>
      </c>
      <c r="AC28" s="2">
        <f>IF('Modell einstellen'!$B$2="Ja",creep_res25!P28,creep_res25!L28)</f>
        <v>0.37847278016444513</v>
      </c>
      <c r="AD28" s="2">
        <f>IF('Modell einstellen'!$B$2="Ja",creep_res50!P28,creep_res50!L28)</f>
        <v>0.37860628097626842</v>
      </c>
      <c r="AE28" s="2">
        <f>IF('Modell einstellen'!$B$2="Ja",creep_res80!P28,creep_res80!L28)</f>
        <v>0.38471964365997935</v>
      </c>
      <c r="AF28" s="2">
        <f>IF('Modell einstellen'!$B$2="Ja",creep_res125!P28,creep_res125!L28)</f>
        <v>0.39207194877757212</v>
      </c>
      <c r="AG28" s="2">
        <f>IF('Modell einstellen'!$B$2="Ja",creep_res160!P28,creep_res160!L28)</f>
        <v>0.39347828163196613</v>
      </c>
      <c r="AL28" s="2">
        <f t="shared" si="11"/>
        <v>10000000000</v>
      </c>
      <c r="AM28" s="2">
        <f t="shared" si="12"/>
        <v>3078.9760704970804</v>
      </c>
      <c r="AN28" s="2">
        <f t="shared" si="13"/>
        <v>2151.250620328482</v>
      </c>
      <c r="AO28" s="2">
        <f t="shared" si="14"/>
        <v>1740.579877269425</v>
      </c>
      <c r="AP28" s="2">
        <f t="shared" si="15"/>
        <v>1325.7320252858156</v>
      </c>
      <c r="AQ28" s="2">
        <f t="shared" si="16"/>
        <v>602.02056954985051</v>
      </c>
      <c r="AR28" s="2">
        <f t="shared" si="17"/>
        <v>181.14617749166206</v>
      </c>
      <c r="AS28" s="2">
        <f t="shared" si="18"/>
        <v>166.12540478353452</v>
      </c>
      <c r="AX28" s="2">
        <f t="shared" si="28"/>
        <v>10000000000</v>
      </c>
      <c r="AY28" s="37">
        <f t="shared" si="19"/>
        <v>12019.209306357014</v>
      </c>
      <c r="AZ28" s="37">
        <f t="shared" si="20"/>
        <v>8222.5138160550359</v>
      </c>
      <c r="BA28" s="37">
        <f t="shared" si="21"/>
        <v>6581.082509099756</v>
      </c>
      <c r="BB28" s="37">
        <f t="shared" si="22"/>
        <v>5018.5531608740539</v>
      </c>
      <c r="BC28" s="37">
        <f t="shared" si="23"/>
        <v>2410.4416254123034</v>
      </c>
      <c r="BD28" s="37">
        <f t="shared" si="24"/>
        <v>778.81671928129947</v>
      </c>
      <c r="BE28" s="37">
        <f t="shared" si="25"/>
        <v>724.39732522703719</v>
      </c>
    </row>
    <row r="29" spans="1:57" x14ac:dyDescent="0.25">
      <c r="A29" s="2">
        <f>'creep_res-40'!A29</f>
        <v>100000000000</v>
      </c>
      <c r="B29" s="3">
        <f>'creep_res-40'!O29</f>
        <v>-1.2959366857142858E-3</v>
      </c>
      <c r="C29" s="2">
        <f>IF('Modell einstellen'!$B$2="Ja",creep_res0!O29,creep_res0!C29)</f>
        <v>-1.8263416571428573E-3</v>
      </c>
      <c r="D29" s="2">
        <f>IF('Modell einstellen'!$B$2="Ja",creep_res25!O29,creep_res25!C29)</f>
        <v>-2.3419146285714289E-3</v>
      </c>
      <c r="E29" s="2">
        <f>IF('Modell einstellen'!$B$2="Ja",creep_res50!O29,creep_res50!C29)</f>
        <v>-3.3312539428571432E-3</v>
      </c>
      <c r="F29" s="2">
        <f>IF('Modell einstellen'!$B$2="Ja",creep_res80!O29,creep_res80!C29)</f>
        <v>-8.7140394285714282E-3</v>
      </c>
      <c r="G29" s="2">
        <f>IF('Modell einstellen'!$B$2="Ja",creep_res125!O29,creep_res125!C29)</f>
        <v>-2.0948164000000002E-2</v>
      </c>
      <c r="H29" s="2">
        <f>IF('Modell einstellen'!$B$2="Ja",creep_res160!O29,creep_res160!C29)</f>
        <v>-2.1741901142857144E-2</v>
      </c>
      <c r="M29" s="9">
        <f t="shared" si="26"/>
        <v>-10</v>
      </c>
      <c r="N29" s="2">
        <f t="shared" si="4"/>
        <v>100000000000</v>
      </c>
      <c r="O29" s="2">
        <f t="shared" si="5"/>
        <v>7716.426358042535</v>
      </c>
      <c r="P29" s="2">
        <f t="shared" si="6"/>
        <v>5475.4267696242969</v>
      </c>
      <c r="Q29" s="2">
        <f t="shared" si="7"/>
        <v>4270.0104768977053</v>
      </c>
      <c r="R29" s="2">
        <f t="shared" si="27"/>
        <v>3001.8726196007801</v>
      </c>
      <c r="S29" s="2">
        <f t="shared" si="8"/>
        <v>1147.5734166650875</v>
      </c>
      <c r="T29" s="2">
        <f t="shared" si="9"/>
        <v>477.36880425415796</v>
      </c>
      <c r="U29" s="2">
        <f t="shared" si="10"/>
        <v>459.94137928850324</v>
      </c>
      <c r="Z29" s="2">
        <v>100000000000</v>
      </c>
      <c r="AA29" s="3">
        <f>IF('Modell einstellen'!$B$2="Ja",'creep_res-40'!P29,'creep_res-40'!L29)</f>
        <v>0.37863557002696607</v>
      </c>
      <c r="AB29" s="2">
        <f>IF('Modell einstellen'!$B$2="Ja",creep_res0!P29,creep_res0!L29)</f>
        <v>0.37554569276491812</v>
      </c>
      <c r="AC29" s="2">
        <f>IF('Modell einstellen'!$B$2="Ja",creep_res25!P29,creep_res25!L29)</f>
        <v>0.37530017563651091</v>
      </c>
      <c r="AD29" s="2">
        <f>IF('Modell einstellen'!$B$2="Ja",creep_res50!P29,creep_res50!L29)</f>
        <v>0.37656615413665595</v>
      </c>
      <c r="AE29" s="2">
        <f>IF('Modell einstellen'!$B$2="Ja",creep_res80!P29,creep_res80!L29)</f>
        <v>0.38411431824728953</v>
      </c>
      <c r="AF29" s="2">
        <f>IF('Modell einstellen'!$B$2="Ja",creep_res125!P29,creep_res125!L29)</f>
        <v>0.38985856435232907</v>
      </c>
      <c r="AG29" s="2">
        <f>IF('Modell einstellen'!$B$2="Ja",creep_res160!P29,creep_res160!L29)</f>
        <v>0.39158578509903996</v>
      </c>
      <c r="AL29" s="2">
        <f t="shared" si="11"/>
        <v>100000000000</v>
      </c>
      <c r="AM29" s="2">
        <f t="shared" si="12"/>
        <v>2798.5736498484516</v>
      </c>
      <c r="AN29" s="2">
        <f t="shared" si="13"/>
        <v>1990.2744047049448</v>
      </c>
      <c r="AO29" s="2">
        <f t="shared" si="14"/>
        <v>1552.3921804639763</v>
      </c>
      <c r="AP29" s="2">
        <f t="shared" si="15"/>
        <v>1090.3481138846798</v>
      </c>
      <c r="AQ29" s="2">
        <f t="shared" si="16"/>
        <v>414.55153000594095</v>
      </c>
      <c r="AR29" s="2">
        <f t="shared" si="17"/>
        <v>171.73287142228415</v>
      </c>
      <c r="AS29" s="2">
        <f t="shared" si="18"/>
        <v>165.25800429032441</v>
      </c>
      <c r="AX29" s="2">
        <f t="shared" si="28"/>
        <v>100000000000</v>
      </c>
      <c r="AY29" s="37">
        <f t="shared" si="19"/>
        <v>10596.770898685134</v>
      </c>
      <c r="AZ29" s="37">
        <f t="shared" si="20"/>
        <v>7332.5797117407874</v>
      </c>
      <c r="BA29" s="37">
        <f t="shared" si="21"/>
        <v>5707.0522468566833</v>
      </c>
      <c r="BB29" s="37">
        <f t="shared" si="22"/>
        <v>4053.281332744843</v>
      </c>
      <c r="BC29" s="37">
        <f t="shared" si="23"/>
        <v>1650.4388913117341</v>
      </c>
      <c r="BD29" s="37">
        <f t="shared" si="24"/>
        <v>722.35727551437105</v>
      </c>
      <c r="BE29" s="37">
        <f t="shared" si="25"/>
        <v>707.07422101532052</v>
      </c>
    </row>
    <row r="30" spans="1:57" x14ac:dyDescent="0.25">
      <c r="A30" s="2">
        <f>'creep_res-40'!A30</f>
        <v>1000000000000</v>
      </c>
      <c r="B30" s="3">
        <f>'creep_res-40'!O30</f>
        <v>-1.4036457142857144E-3</v>
      </c>
      <c r="C30" s="2">
        <f>IF('Modell einstellen'!$B$2="Ja",creep_res0!O30,creep_res0!C30)</f>
        <v>-1.9920576000000004E-3</v>
      </c>
      <c r="D30" s="2">
        <f>IF('Modell einstellen'!$B$2="Ja",creep_res25!O30,creep_res25!C30)</f>
        <v>-2.686055542857143E-3</v>
      </c>
      <c r="E30" s="2">
        <f>IF('Modell einstellen'!$B$2="Ja",creep_res50!O30,creep_res50!C30)</f>
        <v>-4.3332200000000005E-3</v>
      </c>
      <c r="F30" s="2">
        <f>IF('Modell einstellen'!$B$2="Ja",creep_res80!O30,creep_res80!C30)</f>
        <v>-1.2172076571428572E-2</v>
      </c>
      <c r="G30" s="2">
        <f>IF('Modell einstellen'!$B$2="Ja",creep_res125!O30,creep_res125!C30)</f>
        <v>-2.1848025714285717E-2</v>
      </c>
      <c r="H30" s="2">
        <f>IF('Modell einstellen'!$B$2="Ja",creep_res160!O30,creep_res160!C30)</f>
        <v>-2.2120389142857143E-2</v>
      </c>
      <c r="M30" s="9">
        <f t="shared" si="26"/>
        <v>-10</v>
      </c>
      <c r="N30" s="2">
        <f t="shared" si="4"/>
        <v>1000000000000</v>
      </c>
      <c r="O30" s="2">
        <f t="shared" si="5"/>
        <v>7124.3048713961189</v>
      </c>
      <c r="P30" s="2">
        <f t="shared" si="6"/>
        <v>5019.9351665333361</v>
      </c>
      <c r="Q30" s="2">
        <f t="shared" si="7"/>
        <v>3722.9312054221532</v>
      </c>
      <c r="R30" s="2">
        <f t="shared" si="27"/>
        <v>2307.7526643004508</v>
      </c>
      <c r="S30" s="2">
        <f t="shared" si="8"/>
        <v>821.55250513892827</v>
      </c>
      <c r="T30" s="2">
        <f t="shared" si="9"/>
        <v>457.70726063643014</v>
      </c>
      <c r="U30" s="2">
        <f t="shared" si="10"/>
        <v>452.07161300003997</v>
      </c>
      <c r="Z30" s="2">
        <v>1000000000000</v>
      </c>
      <c r="AA30" s="3">
        <f>IF('Modell einstellen'!$B$2="Ja",'creep_res-40'!P30,'creep_res-40'!L30)</f>
        <v>0.37508754752929113</v>
      </c>
      <c r="AB30" s="2">
        <f>IF('Modell einstellen'!$B$2="Ja",creep_res0!P30,creep_res0!L30)</f>
        <v>0.37281913936625122</v>
      </c>
      <c r="AC30" s="2">
        <f>IF('Modell einstellen'!$B$2="Ja",creep_res25!P30,creep_res25!L30)</f>
        <v>0.37340344754492044</v>
      </c>
      <c r="AD30" s="2">
        <f>IF('Modell einstellen'!$B$2="Ja",creep_res50!P30,creep_res50!L30)</f>
        <v>0.37588547480692353</v>
      </c>
      <c r="AE30" s="2">
        <f>IF('Modell einstellen'!$B$2="Ja",creep_res80!P30,creep_res80!L30)</f>
        <v>0.38418375754079576</v>
      </c>
      <c r="AF30" s="2">
        <f>IF('Modell einstellen'!$B$2="Ja",creep_res125!P30,creep_res125!L30)</f>
        <v>0.38798727678434231</v>
      </c>
      <c r="AG30" s="2">
        <f>IF('Modell einstellen'!$B$2="Ja",creep_res160!P30,creep_res160!L30)</f>
        <v>0.38693297594015463</v>
      </c>
      <c r="AL30" s="2">
        <f t="shared" si="11"/>
        <v>1000000000000</v>
      </c>
      <c r="AM30" s="2">
        <f t="shared" si="12"/>
        <v>2590.4913778751102</v>
      </c>
      <c r="AN30" s="2">
        <f t="shared" si="13"/>
        <v>1828.3308494849296</v>
      </c>
      <c r="AO30" s="2">
        <f t="shared" si="14"/>
        <v>1355.3669215252155</v>
      </c>
      <c r="AP30" s="2">
        <f t="shared" si="15"/>
        <v>838.64271647474698</v>
      </c>
      <c r="AQ30" s="2">
        <f t="shared" si="16"/>
        <v>296.76424848335745</v>
      </c>
      <c r="AR30" s="2">
        <f t="shared" si="17"/>
        <v>164.88164851800227</v>
      </c>
      <c r="AS30" s="2">
        <f t="shared" si="18"/>
        <v>162.97529182821398</v>
      </c>
      <c r="AX30" s="2">
        <f t="shared" si="28"/>
        <v>1000000000000</v>
      </c>
      <c r="AY30" s="37">
        <f t="shared" si="19"/>
        <v>9505.7307878181327</v>
      </c>
      <c r="AZ30" s="37">
        <f t="shared" si="20"/>
        <v>6578.47302589234</v>
      </c>
      <c r="BA30" s="37">
        <f t="shared" si="21"/>
        <v>4901.3067275840267</v>
      </c>
      <c r="BB30" s="37">
        <f t="shared" si="22"/>
        <v>3098.9559316424861</v>
      </c>
      <c r="BC30" s="37">
        <f t="shared" si="23"/>
        <v>1182.2643751491598</v>
      </c>
      <c r="BD30" s="37">
        <f t="shared" si="24"/>
        <v>681.03462936558253</v>
      </c>
      <c r="BE30" s="37">
        <f t="shared" si="25"/>
        <v>666.37704016566681</v>
      </c>
    </row>
    <row r="31" spans="1:57" x14ac:dyDescent="0.25">
      <c r="A31" s="2">
        <f>'creep_res-40'!A31</f>
        <v>10000000000000</v>
      </c>
      <c r="B31" s="3">
        <f>'creep_res-40'!O31</f>
        <v>-1.5006965714285713E-3</v>
      </c>
      <c r="C31" s="2">
        <f>IF('Modell einstellen'!$B$2="Ja",creep_res0!O31,creep_res0!C31)</f>
        <v>-2.1900582857142855E-3</v>
      </c>
      <c r="D31" s="2">
        <f>IF('Modell einstellen'!$B$2="Ja",creep_res25!O31,creep_res25!C31)</f>
        <v>-3.2099524E-3</v>
      </c>
      <c r="E31" s="2">
        <f>IF('Modell einstellen'!$B$2="Ja",creep_res50!O31,creep_res50!C31)</f>
        <v>-6.0493674285714292E-3</v>
      </c>
      <c r="F31" s="2">
        <f>IF('Modell einstellen'!$B$2="Ja",creep_res80!O31,creep_res80!C31)</f>
        <v>-1.5275055428571429E-2</v>
      </c>
      <c r="G31" s="2">
        <f>IF('Modell einstellen'!$B$2="Ja",creep_res125!O31,creep_res125!C31)</f>
        <v>-2.1887568571428574E-2</v>
      </c>
      <c r="H31" s="2">
        <f>IF('Modell einstellen'!$B$2="Ja",creep_res160!O31,creep_res160!C31)</f>
        <v>-2.2129644E-2</v>
      </c>
      <c r="M31" s="9">
        <f t="shared" si="26"/>
        <v>-10</v>
      </c>
      <c r="N31" s="2">
        <f t="shared" si="4"/>
        <v>10000000000000</v>
      </c>
      <c r="O31" s="2">
        <f t="shared" si="5"/>
        <v>6663.5722306479402</v>
      </c>
      <c r="P31" s="2">
        <f t="shared" si="6"/>
        <v>4566.0885215840317</v>
      </c>
      <c r="Q31" s="2">
        <f t="shared" si="7"/>
        <v>3115.3109933966621</v>
      </c>
      <c r="R31" s="2">
        <f t="shared" si="27"/>
        <v>1653.0654019740243</v>
      </c>
      <c r="S31" s="2">
        <f t="shared" si="8"/>
        <v>654.66210887165539</v>
      </c>
      <c r="T31" s="2">
        <f t="shared" si="9"/>
        <v>456.88035047683292</v>
      </c>
      <c r="U31" s="2">
        <f t="shared" si="10"/>
        <v>451.88255174823416</v>
      </c>
      <c r="Z31" s="2">
        <v>10000000000000</v>
      </c>
      <c r="AA31" s="3">
        <f>IF('Modell einstellen'!$B$2="Ja",'creep_res-40'!P31,'creep_res-40'!L31)</f>
        <v>0.37211206681544845</v>
      </c>
      <c r="AB31" s="2">
        <f>IF('Modell einstellen'!$B$2="Ja",creep_res0!P31,creep_res0!L31)</f>
        <v>0.37105240773761544</v>
      </c>
      <c r="AC31" s="2">
        <f>IF('Modell einstellen'!$B$2="Ja",creep_res25!P31,creep_res25!L31)</f>
        <v>0.37248523863291111</v>
      </c>
      <c r="AD31" s="2">
        <f>IF('Modell einstellen'!$B$2="Ja",creep_res50!P31,creep_res50!L31)</f>
        <v>0.37630053975891509</v>
      </c>
      <c r="AE31" s="2">
        <f>IF('Modell einstellen'!$B$2="Ja",creep_res80!P31,creep_res80!L31)</f>
        <v>0.38404057977325279</v>
      </c>
      <c r="AF31" s="2">
        <f>IF('Modell einstellen'!$B$2="Ja",creep_res125!P31,creep_res125!L31)</f>
        <v>0.38868171613136165</v>
      </c>
      <c r="AG31" s="2">
        <f>IF('Modell einstellen'!$B$2="Ja",creep_res160!P31,creep_res160!L31)</f>
        <v>0.38689559191669393</v>
      </c>
      <c r="AL31" s="2">
        <f t="shared" si="11"/>
        <v>10000000000000</v>
      </c>
      <c r="AM31" s="2">
        <f t="shared" si="12"/>
        <v>2428.2171958860131</v>
      </c>
      <c r="AN31" s="2">
        <f t="shared" si="13"/>
        <v>1665.1765081389453</v>
      </c>
      <c r="AO31" s="2">
        <f t="shared" si="14"/>
        <v>1134.9160288600715</v>
      </c>
      <c r="AP31" s="2">
        <f t="shared" si="15"/>
        <v>600.54666630574377</v>
      </c>
      <c r="AQ31" s="2">
        <f t="shared" si="16"/>
        <v>236.5039430342818</v>
      </c>
      <c r="AR31" s="2">
        <f t="shared" si="17"/>
        <v>164.50146393142782</v>
      </c>
      <c r="AS31" s="2">
        <f t="shared" si="18"/>
        <v>162.91152498499585</v>
      </c>
      <c r="AX31" s="2">
        <f t="shared" si="28"/>
        <v>10000000000000</v>
      </c>
      <c r="AY31" s="37">
        <f t="shared" si="19"/>
        <v>8684.1294883700029</v>
      </c>
      <c r="AZ31" s="37">
        <f t="shared" si="20"/>
        <v>5901.7368238160971</v>
      </c>
      <c r="BA31" s="37">
        <f t="shared" si="21"/>
        <v>4071.8305342290523</v>
      </c>
      <c r="BB31" s="37">
        <f t="shared" si="22"/>
        <v>2227.2603275070496</v>
      </c>
      <c r="BC31" s="37">
        <f t="shared" si="23"/>
        <v>940.93564166891053</v>
      </c>
      <c r="BD31" s="37">
        <f t="shared" si="24"/>
        <v>684.04508615430552</v>
      </c>
      <c r="BE31" s="37">
        <f t="shared" si="25"/>
        <v>665.87819078840846</v>
      </c>
    </row>
    <row r="32" spans="1:57" x14ac:dyDescent="0.25">
      <c r="A32" s="2">
        <f>'creep_res-40'!A32</f>
        <v>100000000000000</v>
      </c>
      <c r="B32" s="3">
        <f>'creep_res-40'!O32</f>
        <v>-1.597299942857143E-3</v>
      </c>
      <c r="C32" s="2">
        <f>IF('Modell einstellen'!$B$2="Ja",creep_res0!O32,creep_res0!C32)</f>
        <v>-2.4504237714285718E-3</v>
      </c>
      <c r="D32" s="2">
        <f>IF('Modell einstellen'!$B$2="Ja",creep_res25!O32,creep_res25!C32)</f>
        <v>-4.0818608571428572E-3</v>
      </c>
      <c r="E32" s="2">
        <f>IF('Modell einstellen'!$B$2="Ja",creep_res50!O32,creep_res50!C32)</f>
        <v>-8.7255600000000003E-3</v>
      </c>
      <c r="F32" s="2">
        <f>IF('Modell einstellen'!$B$2="Ja",creep_res80!O32,creep_res80!C32)</f>
        <v>-1.7486284571428572E-2</v>
      </c>
      <c r="G32" s="2">
        <f>IF('Modell einstellen'!$B$2="Ja",creep_res125!O32,creep_res125!C32)</f>
        <v>-2.213290285714286E-2</v>
      </c>
      <c r="H32" s="2">
        <f>IF('Modell einstellen'!$B$2="Ja",creep_res160!O32,creep_res160!C32)</f>
        <v>-2.2296514285714285E-2</v>
      </c>
      <c r="M32" s="9">
        <f t="shared" si="26"/>
        <v>-10</v>
      </c>
      <c r="N32" s="2">
        <f t="shared" si="4"/>
        <v>100000000000000</v>
      </c>
      <c r="O32" s="2">
        <f t="shared" si="5"/>
        <v>6260.5649269057576</v>
      </c>
      <c r="P32" s="2">
        <f t="shared" si="6"/>
        <v>4080.9267836028635</v>
      </c>
      <c r="Q32" s="2">
        <f t="shared" si="7"/>
        <v>2449.8630281580959</v>
      </c>
      <c r="R32" s="2">
        <f t="shared" si="27"/>
        <v>1146.0582472643589</v>
      </c>
      <c r="S32" s="2">
        <f t="shared" si="8"/>
        <v>571.87677343072266</v>
      </c>
      <c r="T32" s="2">
        <f t="shared" si="9"/>
        <v>451.81601638723777</v>
      </c>
      <c r="U32" s="2">
        <f t="shared" si="10"/>
        <v>448.50059842794133</v>
      </c>
      <c r="Z32" s="2">
        <v>100000000000000</v>
      </c>
      <c r="AA32" s="3">
        <f>IF('Modell einstellen'!$B$2="Ja",'creep_res-40'!P32,'creep_res-40'!L32)</f>
        <v>0.36998525619072381</v>
      </c>
      <c r="AB32" s="2">
        <f>IF('Modell einstellen'!$B$2="Ja",creep_res0!P32,creep_res0!L32)</f>
        <v>0.37005321715082468</v>
      </c>
      <c r="AC32" s="2">
        <f>IF('Modell einstellen'!$B$2="Ja",creep_res25!P32,creep_res25!L32)</f>
        <v>0.37247702080976652</v>
      </c>
      <c r="AD32" s="2">
        <f>IF('Modell einstellen'!$B$2="Ja",creep_res50!P32,creep_res50!L32)</f>
        <v>0.37755150222040601</v>
      </c>
      <c r="AE32" s="2">
        <f>IF('Modell einstellen'!$B$2="Ja",creep_res80!P32,creep_res80!L32)</f>
        <v>0.38369895648501395</v>
      </c>
      <c r="AF32" s="2">
        <f>IF('Modell einstellen'!$B$2="Ja",creep_res125!P32,creep_res125!L32)</f>
        <v>0.38587682514307076</v>
      </c>
      <c r="AG32" s="2">
        <f>IF('Modell einstellen'!$B$2="Ja",creep_res160!P32,creep_res160!L32)</f>
        <v>0.38486946069725192</v>
      </c>
      <c r="AL32" s="2">
        <f t="shared" si="11"/>
        <v>100000000000000</v>
      </c>
      <c r="AM32" s="2">
        <f t="shared" si="12"/>
        <v>2284.9023004500814</v>
      </c>
      <c r="AN32" s="2">
        <f t="shared" si="13"/>
        <v>1489.3314845424752</v>
      </c>
      <c r="AO32" s="2">
        <f t="shared" si="14"/>
        <v>892.49692017162795</v>
      </c>
      <c r="AP32" s="2">
        <f t="shared" si="15"/>
        <v>415.97655166325364</v>
      </c>
      <c r="AQ32" s="2">
        <f t="shared" si="16"/>
        <v>206.64782998877558</v>
      </c>
      <c r="AR32" s="2">
        <f t="shared" si="17"/>
        <v>163.00727748318997</v>
      </c>
      <c r="AS32" s="2">
        <f t="shared" si="18"/>
        <v>161.92883558935978</v>
      </c>
      <c r="AX32" s="2">
        <f t="shared" si="28"/>
        <v>100000000000000</v>
      </c>
      <c r="AY32" s="37">
        <f t="shared" si="19"/>
        <v>8025.4550926029715</v>
      </c>
      <c r="AZ32" s="37">
        <f t="shared" si="20"/>
        <v>5234.1000602011209</v>
      </c>
      <c r="BA32" s="37">
        <f t="shared" si="21"/>
        <v>3201.8582633951432</v>
      </c>
      <c r="BB32" s="37">
        <f t="shared" si="22"/>
        <v>1559.9187523003231</v>
      </c>
      <c r="BC32" s="37">
        <f t="shared" si="23"/>
        <v>819.53517089041009</v>
      </c>
      <c r="BD32" s="37">
        <f t="shared" si="24"/>
        <v>659.83679031254007</v>
      </c>
      <c r="BE32" s="37">
        <f t="shared" si="25"/>
        <v>649.26387204203775</v>
      </c>
    </row>
    <row r="33" spans="1:60" x14ac:dyDescent="0.25">
      <c r="A33" s="2">
        <f>'creep_res-40'!A33</f>
        <v>1000000000000000</v>
      </c>
      <c r="B33" s="3">
        <f>'creep_res-40'!O33</f>
        <v>-1.6886448000000001E-3</v>
      </c>
      <c r="C33" s="2">
        <f>IF('Modell einstellen'!$B$2="Ja",creep_res0!O33,creep_res0!C33)</f>
        <v>-2.8145985714285717E-3</v>
      </c>
      <c r="D33" s="2">
        <f>IF('Modell einstellen'!$B$2="Ja",creep_res25!O33,creep_res25!C33)</f>
        <v>-5.5902430857142863E-3</v>
      </c>
      <c r="E33" s="2">
        <f>IF('Modell einstellen'!$B$2="Ja",creep_res50!O33,creep_res50!C33)</f>
        <v>-1.2177281142857144E-2</v>
      </c>
      <c r="F33" s="2">
        <f>IF('Modell einstellen'!$B$2="Ja",creep_res80!O33,creep_res80!C33)</f>
        <v>-1.8844651428571429E-2</v>
      </c>
      <c r="G33" s="2">
        <f>IF('Modell einstellen'!$B$2="Ja",creep_res125!O33,creep_res125!C33)</f>
        <v>-2.2144656000000002E-2</v>
      </c>
      <c r="H33" s="2">
        <f>IF('Modell einstellen'!$B$2="Ja",creep_res160!O33,creep_res160!C33)</f>
        <v>-2.2364841142857143E-2</v>
      </c>
      <c r="M33" s="9">
        <f>M31</f>
        <v>-10</v>
      </c>
      <c r="N33" s="2">
        <f t="shared" si="4"/>
        <v>1000000000000000</v>
      </c>
      <c r="O33" s="2">
        <f t="shared" si="5"/>
        <v>5921.9085031973564</v>
      </c>
      <c r="P33" s="2">
        <f t="shared" si="6"/>
        <v>3552.9045248269349</v>
      </c>
      <c r="Q33" s="2">
        <f t="shared" si="7"/>
        <v>1788.8309768773254</v>
      </c>
      <c r="R33" s="2">
        <f t="shared" si="27"/>
        <v>821.201373499184</v>
      </c>
      <c r="S33" s="2">
        <f t="shared" si="8"/>
        <v>530.65454874046873</v>
      </c>
      <c r="T33" s="2">
        <f t="shared" si="9"/>
        <v>451.57621775655485</v>
      </c>
      <c r="U33" s="2">
        <f t="shared" si="10"/>
        <v>447.13038362867104</v>
      </c>
      <c r="Z33" s="2">
        <v>1000000000000000</v>
      </c>
      <c r="AA33" s="3">
        <f>IF('Modell einstellen'!$B$2="Ja",'creep_res-40'!P33,'creep_res-40'!L33)</f>
        <v>0.36932124505994396</v>
      </c>
      <c r="AB33" s="2">
        <f>IF('Modell einstellen'!$B$2="Ja",creep_res0!P33,creep_res0!L33)</f>
        <v>0.36958492431552026</v>
      </c>
      <c r="AC33" s="2">
        <f>IF('Modell einstellen'!$B$2="Ja",creep_res25!P33,creep_res25!L33)</f>
        <v>0.37329799121232177</v>
      </c>
      <c r="AD33" s="2">
        <f>IF('Modell einstellen'!$B$2="Ja",creep_res50!P33,creep_res50!L33)</f>
        <v>0.3792783394951591</v>
      </c>
      <c r="AE33" s="2">
        <f>IF('Modell einstellen'!$B$2="Ja",creep_res80!P33,creep_res80!L33)</f>
        <v>0.38330551692727372</v>
      </c>
      <c r="AF33" s="2">
        <f>IF('Modell einstellen'!$B$2="Ja",creep_res125!P33,creep_res125!L33)</f>
        <v>0.38586011128695918</v>
      </c>
      <c r="AG33" s="2">
        <f>IF('Modell einstellen'!$B$2="Ja",creep_res160!P33,creep_res160!L33)</f>
        <v>0.38375611597713882</v>
      </c>
      <c r="AL33" s="2">
        <f t="shared" si="11"/>
        <v>1000000000000000</v>
      </c>
      <c r="AM33" s="2">
        <f t="shared" si="12"/>
        <v>2162.351794570352</v>
      </c>
      <c r="AN33" s="2">
        <f t="shared" si="13"/>
        <v>1297.0734642842888</v>
      </c>
      <c r="AO33" s="2">
        <f t="shared" si="14"/>
        <v>651.2901745739025</v>
      </c>
      <c r="AP33" s="2">
        <f t="shared" si="15"/>
        <v>297.69240550814368</v>
      </c>
      <c r="AQ33" s="2">
        <f t="shared" si="16"/>
        <v>191.80670583863778</v>
      </c>
      <c r="AR33" s="2">
        <f t="shared" si="17"/>
        <v>162.92272722143832</v>
      </c>
      <c r="AS33" s="2">
        <f t="shared" si="18"/>
        <v>161.56401350859798</v>
      </c>
      <c r="AX33" s="2">
        <f>AL33</f>
        <v>1000000000000000</v>
      </c>
      <c r="AY33" s="37">
        <f t="shared" si="19"/>
        <v>7552.7560006646436</v>
      </c>
      <c r="AZ33" s="37">
        <f t="shared" si="20"/>
        <v>4540.5084575532119</v>
      </c>
      <c r="BA33" s="37">
        <f t="shared" si="21"/>
        <v>2353.0684240833825</v>
      </c>
      <c r="BB33" s="37">
        <f t="shared" si="22"/>
        <v>1133.7393389954989</v>
      </c>
      <c r="BC33" s="37">
        <f t="shared" si="23"/>
        <v>757.89722411263494</v>
      </c>
      <c r="BD33" s="37">
        <f t="shared" si="24"/>
        <v>659.39001525263291</v>
      </c>
      <c r="BE33" s="37">
        <f t="shared" si="25"/>
        <v>641.08087260851198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9" zoomScale="120" zoomScaleNormal="120" zoomScaleSheetLayoutView="110" workbookViewId="0">
      <selection activeCell="B72" sqref="B72"/>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110</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6840.5863197092085</v>
      </c>
      <c r="G16" s="26">
        <f>INDEX(Comparison!$AM$3:$AS$33,G14,$B$3)</f>
        <v>6643.5965561721414</v>
      </c>
      <c r="H16" s="26">
        <f>INDEX(Comparison!$AM$3:$AS$33,H14,$B$3)</f>
        <v>6527.1577578820725</v>
      </c>
      <c r="I16" s="26">
        <f>INDEX(Comparison!$AM$3:$AS$33,I14,$B$3)</f>
        <v>6412.9995296962652</v>
      </c>
      <c r="J16" s="26">
        <f>INDEX(Comparison!$AM$3:$AS$33,J14,$B$3)</f>
        <v>6286.8028992665704</v>
      </c>
      <c r="K16" s="26">
        <f>INDEX(Comparison!$AM$3:$AS$33,K14,$B$3)</f>
        <v>6151.4165633211096</v>
      </c>
      <c r="L16" s="26">
        <f>INDEX(Comparison!$AM$3:$AS$33,L14,$B$3)</f>
        <v>5999.0572498672</v>
      </c>
      <c r="M16" s="26">
        <f>INDEX(Comparison!$AM$3:$AS$33,M14,$B$3)</f>
        <v>5834.1918541119712</v>
      </c>
      <c r="N16" s="26">
        <f>INDEX(Comparison!$AM$3:$AS$33,N14,$B$3)</f>
        <v>5660.667941479277</v>
      </c>
      <c r="O16" s="26">
        <f>INDEX(Comparison!$AM$3:$AS$33,O14,$B$3)</f>
        <v>5500.6338050295499</v>
      </c>
      <c r="P16" s="26">
        <f>INDEX(Comparison!$AM$3:$AS$33,P14,$B$3)</f>
        <v>5316.0543139142828</v>
      </c>
      <c r="Q16" s="26">
        <f>INDEX(Comparison!$AM$3:$AS$33,Q14,$B$3)</f>
        <v>5094.9618199282804</v>
      </c>
      <c r="R16" s="26">
        <f>INDEX(Comparison!$AM$3:$AS$33,R14,$B$3)</f>
        <v>4859.6753740182503</v>
      </c>
      <c r="S16" s="26">
        <f>INDEX(Comparison!$AM$3:$AS$33,S14,$B$3)</f>
        <v>4653.8175879978271</v>
      </c>
      <c r="T16" s="26">
        <f>INDEX(Comparison!$AM$3:$AS$33,T14,$B$3)</f>
        <v>4469.1753341299773</v>
      </c>
      <c r="U16" s="26">
        <f>INDEX(Comparison!$AM$3:$AS$33,U14,$B$3)</f>
        <v>4267.9652571239076</v>
      </c>
      <c r="V16" s="26">
        <f>INDEX(Comparison!$AM$3:$AS$33,V14,$B$3)</f>
        <v>3976.7785402340392</v>
      </c>
      <c r="W16" s="26">
        <f>INDEX(Comparison!$AM$3:$AS$33,W14,$B$3)</f>
        <v>3445.6591436468279</v>
      </c>
      <c r="X16" s="26">
        <f>INDEX(Comparison!$AM$3:$AS$33,X14,$B$3)</f>
        <v>2839.3657389117534</v>
      </c>
      <c r="Y16" s="26">
        <f>INDEX(Comparison!$AM$3:$AS$33,Y14,$B$3)</f>
        <v>2338.5721090290958</v>
      </c>
      <c r="Z16" s="26">
        <f>INDEX(Comparison!$AM$3:$AS$33,Z14,$B$3)</f>
        <v>1960.3272335044344</v>
      </c>
      <c r="AA16" s="26">
        <f>INDEX(Comparison!$AM$3:$AS$33,AA14,$B$3)</f>
        <v>1656.3185875611684</v>
      </c>
      <c r="AB16" s="26">
        <f>INDEX(Comparison!$AM$3:$AS$33,AB14,$B$3)</f>
        <v>1387.2108481854204</v>
      </c>
      <c r="AC16" s="26">
        <f>INDEX(Comparison!$AM$3:$AS$33,AC14,$B$3)</f>
        <v>1120.1049206759617</v>
      </c>
      <c r="AD16" s="26">
        <f>INDEX(Comparison!$AM$3:$AS$33,AD14,$B$3)</f>
        <v>849.29779427462438</v>
      </c>
      <c r="AE16" s="26">
        <f>INDEX(Comparison!$AM$3:$AS$33,AE14,$B$3)</f>
        <v>602.02056954985051</v>
      </c>
      <c r="AF16" s="26">
        <f>INDEX(Comparison!$AM$3:$AS$33,AF14,$B$3)</f>
        <v>414.55153000594095</v>
      </c>
      <c r="AG16" s="26">
        <f>INDEX(Comparison!$AM$3:$AS$33,AG14,$B$3)</f>
        <v>296.76424848335745</v>
      </c>
      <c r="AH16" s="26">
        <f>INDEX(Comparison!$AM$3:$AS$33,AH14,$B$3)</f>
        <v>236.5039430342818</v>
      </c>
      <c r="AI16" s="26">
        <f>INDEX(Comparison!$AM$3:$AS$33,AI14,$B$3)</f>
        <v>206.64782998877558</v>
      </c>
      <c r="AJ16" s="26">
        <f>INDEX(Comparison!$AM$3:$AS$33,AJ14,$B$3)</f>
        <v>191.80670583863778</v>
      </c>
    </row>
    <row r="17" spans="1:36" x14ac:dyDescent="0.25">
      <c r="A17" s="14" t="s">
        <v>20</v>
      </c>
      <c r="B17" s="105">
        <v>2.431217604712451E-2</v>
      </c>
      <c r="C17" s="18">
        <f t="shared" ref="C17:C48" si="3">ABS(B17/$B$49)</f>
        <v>1.6807725553232171E-2</v>
      </c>
      <c r="D17" s="66"/>
      <c r="E17" s="65" t="s">
        <v>22</v>
      </c>
      <c r="F17" s="27">
        <f>($C$17+SUM(F18:F48))*$B$51</f>
        <v>6780.5730659016481</v>
      </c>
      <c r="G17" s="27">
        <f t="shared" ref="G17:M17" si="4">($C$17+SUM(G18:G48))*$B$51</f>
        <v>6721.2222394293585</v>
      </c>
      <c r="H17" s="27">
        <f t="shared" si="4"/>
        <v>6506.6037704297296</v>
      </c>
      <c r="I17" s="27">
        <f t="shared" si="4"/>
        <v>6416.3604718630731</v>
      </c>
      <c r="J17" s="27">
        <f t="shared" si="4"/>
        <v>6286.3326516749657</v>
      </c>
      <c r="K17" s="27">
        <f t="shared" si="4"/>
        <v>6151.4810401735467</v>
      </c>
      <c r="L17" s="27">
        <f t="shared" si="4"/>
        <v>5999.0181091272252</v>
      </c>
      <c r="M17" s="27">
        <f t="shared" si="4"/>
        <v>5834.2930572498381</v>
      </c>
      <c r="N17" s="27">
        <f t="shared" ref="N17" si="5">($C$17+SUM(N18:N48))*$B$51</f>
        <v>5660.434471427935</v>
      </c>
      <c r="O17" s="27">
        <f t="shared" ref="O17" si="6">($C$17+SUM(O18:O48))*$B$51</f>
        <v>5501.098578467765</v>
      </c>
      <c r="P17" s="27">
        <f t="shared" ref="P17" si="7">($C$17+SUM(P18:P48))*$B$51</f>
        <v>5315.2617748595594</v>
      </c>
      <c r="Q17" s="27">
        <f t="shared" ref="Q17" si="8">($C$17+SUM(Q18:Q48))*$B$51</f>
        <v>5096.1057346270163</v>
      </c>
      <c r="R17" s="27">
        <f t="shared" ref="R17" si="9">($C$17+SUM(R18:R48))*$B$51</f>
        <v>4858.2767950304988</v>
      </c>
      <c r="S17" s="27">
        <f t="shared" ref="S17:T17" si="10">($C$17+SUM(S18:S48))*$B$51</f>
        <v>4655.2805681799773</v>
      </c>
      <c r="T17" s="27">
        <f t="shared" si="10"/>
        <v>4467.8676733168213</v>
      </c>
      <c r="U17" s="27">
        <f t="shared" ref="U17" si="11">($C$17+SUM(U18:U48))*$B$51</f>
        <v>4268.965628864833</v>
      </c>
      <c r="V17" s="27">
        <f t="shared" ref="V17" si="12">($C$17+SUM(V18:V48))*$B$51</f>
        <v>3976.1231745563819</v>
      </c>
      <c r="W17" s="27">
        <f t="shared" ref="W17" si="13">($C$17+SUM(W18:W48))*$B$51</f>
        <v>3446.0377273762615</v>
      </c>
      <c r="X17" s="27">
        <f t="shared" ref="X17" si="14">($C$17+SUM(X18:X48))*$B$51</f>
        <v>2839.1776762165127</v>
      </c>
      <c r="Y17" s="27">
        <f t="shared" ref="Y17" si="15">($C$17+SUM(Y18:Y48))*$B$51</f>
        <v>2338.6496127071741</v>
      </c>
      <c r="Z17" s="27">
        <f t="shared" ref="Z17:AA17" si="16">($C$17+SUM(Z18:Z48))*$B$51</f>
        <v>1960.302204333115</v>
      </c>
      <c r="AA17" s="27">
        <f t="shared" si="16"/>
        <v>1656.3249214196153</v>
      </c>
      <c r="AB17" s="27">
        <f t="shared" ref="AB17" si="17">($C$17+SUM(AB18:AB48))*$B$51</f>
        <v>1387.2074056891579</v>
      </c>
      <c r="AC17" s="27">
        <f t="shared" ref="AC17" si="18">($C$17+SUM(AC18:AC48))*$B$51</f>
        <v>1120.1097846174816</v>
      </c>
      <c r="AD17" s="27">
        <f t="shared" ref="AD17" si="19">($C$17+SUM(AD18:AD48))*$B$51</f>
        <v>849.29741015599336</v>
      </c>
      <c r="AE17" s="27">
        <f t="shared" ref="AE17" si="20">($C$17+SUM(AE18:AE48))*$B$51</f>
        <v>602.01412462561314</v>
      </c>
      <c r="AF17" s="27">
        <f t="shared" ref="AF17" si="21">($C$17+SUM(AF18:AF48))*$B$51</f>
        <v>414.56144951255766</v>
      </c>
      <c r="AG17" s="27">
        <f t="shared" ref="AG17:AH17" si="22">($C$17+SUM(AG18:AG48))*$B$51</f>
        <v>296.74560141018856</v>
      </c>
      <c r="AH17" s="27">
        <f t="shared" si="22"/>
        <v>236.52828141405783</v>
      </c>
      <c r="AI17" s="27">
        <f t="shared" ref="AI17" si="23">($C$17+SUM(AI18:AI48))*$B$51</f>
        <v>206.62201720776227</v>
      </c>
      <c r="AJ17" s="27">
        <f t="shared" ref="AJ17" si="24">($C$17+SUM(AJ18:AJ48))*$B$51</f>
        <v>191.81706588739681</v>
      </c>
    </row>
    <row r="18" spans="1:36" x14ac:dyDescent="0.25">
      <c r="A18" s="3">
        <f>0.000000000000001/10^5</f>
        <v>1.0000000000000001E-20</v>
      </c>
      <c r="B18" s="106">
        <v>4.2278612375087968E-2</v>
      </c>
      <c r="C18" s="18">
        <f t="shared" si="3"/>
        <v>2.9228453767140686E-2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5.9621972064639803E-2</v>
      </c>
      <c r="C19" s="18">
        <f t="shared" si="3"/>
        <v>4.1218430693432902E-2</v>
      </c>
      <c r="D19" s="17"/>
      <c r="F19" s="3">
        <f t="shared" si="25"/>
        <v>4.0176010265279997E-2</v>
      </c>
      <c r="G19" s="3">
        <f t="shared" si="25"/>
        <v>3.1903989030362678E-2</v>
      </c>
      <c r="H19" s="3">
        <f t="shared" si="25"/>
        <v>3.1814624155508064E-3</v>
      </c>
      <c r="I19" s="3">
        <f t="shared" si="25"/>
        <v>3.0934627746223275E-13</v>
      </c>
      <c r="J19" s="3">
        <f t="shared" si="25"/>
        <v>2.3368232595810831E-113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1.2180246466080935E-2</v>
      </c>
      <c r="C20" s="18">
        <f t="shared" si="3"/>
        <v>8.420564221639372E-3</v>
      </c>
      <c r="D20" s="17"/>
      <c r="F20" s="3">
        <f t="shared" si="25"/>
        <v>8.4011290660043585E-3</v>
      </c>
      <c r="G20" s="3">
        <f t="shared" si="25"/>
        <v>8.2282188778012282E-3</v>
      </c>
      <c r="H20" s="3">
        <f t="shared" si="25"/>
        <v>6.6832487478644164E-3</v>
      </c>
      <c r="I20" s="3">
        <f t="shared" si="25"/>
        <v>8.3522892243528303E-4</v>
      </c>
      <c r="J20" s="3">
        <f t="shared" si="25"/>
        <v>7.7621943989341184E-13</v>
      </c>
      <c r="K20" s="3">
        <f t="shared" si="25"/>
        <v>3.7305633503867556E-103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3.0336471567337896E-2</v>
      </c>
      <c r="C21" s="18">
        <f t="shared" si="3"/>
        <v>2.0972499021433853E-2</v>
      </c>
      <c r="D21" s="17"/>
      <c r="F21" s="3">
        <f t="shared" si="25"/>
        <v>2.0968127828129717E-2</v>
      </c>
      <c r="G21" s="3">
        <f t="shared" si="25"/>
        <v>2.0928828063584353E-2</v>
      </c>
      <c r="H21" s="3">
        <f t="shared" si="25"/>
        <v>2.0539858917277776E-2</v>
      </c>
      <c r="I21" s="3">
        <f t="shared" si="25"/>
        <v>1.7026403329943977E-2</v>
      </c>
      <c r="J21" s="3">
        <f t="shared" si="25"/>
        <v>2.6084200173856907E-3</v>
      </c>
      <c r="K21" s="3">
        <f t="shared" si="25"/>
        <v>1.8574776575988247E-11</v>
      </c>
      <c r="L21" s="3">
        <f t="shared" si="25"/>
        <v>6.2285125078091533E-93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2.7957482766745281E-2</v>
      </c>
      <c r="C22" s="18">
        <f t="shared" si="3"/>
        <v>1.9327833781388304E-2</v>
      </c>
      <c r="D22" s="17"/>
      <c r="F22" s="3">
        <f t="shared" si="25"/>
        <v>1.9327470351381461E-2</v>
      </c>
      <c r="G22" s="3">
        <f t="shared" si="25"/>
        <v>1.9324199788822702E-2</v>
      </c>
      <c r="H22" s="3">
        <f t="shared" si="25"/>
        <v>1.9291524586942971E-2</v>
      </c>
      <c r="I22" s="3">
        <f t="shared" si="25"/>
        <v>1.8967795974723881E-2</v>
      </c>
      <c r="J22" s="3">
        <f t="shared" si="25"/>
        <v>1.6014746078595817E-2</v>
      </c>
      <c r="K22" s="3">
        <f t="shared" si="25"/>
        <v>2.9481659957472975E-3</v>
      </c>
      <c r="L22" s="3">
        <f t="shared" si="25"/>
        <v>1.3178642859849632E-10</v>
      </c>
      <c r="M22" s="3">
        <f t="shared" si="25"/>
        <v>4.1981528781594104E-84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3.3626000004209934E-2</v>
      </c>
      <c r="C23" s="18">
        <f t="shared" si="3"/>
        <v>2.3246647212008399E-2</v>
      </c>
      <c r="D23" s="17"/>
      <c r="F23" s="3">
        <f t="shared" si="25"/>
        <v>2.3246607780060543E-2</v>
      </c>
      <c r="G23" s="3">
        <f t="shared" si="25"/>
        <v>2.3246252895539707E-2</v>
      </c>
      <c r="H23" s="3">
        <f t="shared" si="25"/>
        <v>2.3242704348290906E-2</v>
      </c>
      <c r="I23" s="3">
        <f t="shared" si="25"/>
        <v>2.3207248654935619E-2</v>
      </c>
      <c r="J23" s="3">
        <f t="shared" si="25"/>
        <v>2.2855652882404015E-2</v>
      </c>
      <c r="K23" s="3">
        <f t="shared" si="25"/>
        <v>1.9619746533924225E-2</v>
      </c>
      <c r="L23" s="3">
        <f t="shared" si="25"/>
        <v>4.2627611672393989E-3</v>
      </c>
      <c r="M23" s="3">
        <f t="shared" si="25"/>
        <v>9.9923372679808408E-10</v>
      </c>
      <c r="N23" s="3">
        <f t="shared" si="25"/>
        <v>5.0052747092980233E-76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3.5787294717586175E-2</v>
      </c>
      <c r="C24" s="18">
        <f t="shared" si="3"/>
        <v>2.4740814098249582E-2</v>
      </c>
      <c r="D24" s="17"/>
      <c r="F24" s="3">
        <f t="shared" si="25"/>
        <v>2.4740810312526718E-2</v>
      </c>
      <c r="G24" s="3">
        <f t="shared" si="25"/>
        <v>2.4740776241047008E-2</v>
      </c>
      <c r="H24" s="3">
        <f t="shared" si="25"/>
        <v>2.4740435528830564E-2</v>
      </c>
      <c r="I24" s="3">
        <f t="shared" si="25"/>
        <v>2.4737028664717876E-2</v>
      </c>
      <c r="J24" s="3">
        <f t="shared" si="25"/>
        <v>2.4702985815623767E-2</v>
      </c>
      <c r="K24" s="3">
        <f t="shared" si="25"/>
        <v>2.4365123434131858E-2</v>
      </c>
      <c r="L24" s="3">
        <f t="shared" si="25"/>
        <v>2.1230503036934321E-2</v>
      </c>
      <c r="M24" s="3">
        <f t="shared" si="25"/>
        <v>5.3564489565645019E-3</v>
      </c>
      <c r="N24" s="3">
        <f t="shared" si="25"/>
        <v>5.5981410037220474E-9</v>
      </c>
      <c r="O24" s="3">
        <f t="shared" si="25"/>
        <v>8.7038712229879405E-69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3.9537463106261911E-2</v>
      </c>
      <c r="C25" s="18">
        <f t="shared" si="3"/>
        <v>2.7333416296139789E-2</v>
      </c>
      <c r="D25" s="17"/>
      <c r="F25" s="3">
        <f t="shared" si="25"/>
        <v>2.7333415918849722E-2</v>
      </c>
      <c r="G25" s="3">
        <f t="shared" si="25"/>
        <v>2.7333412523239377E-2</v>
      </c>
      <c r="H25" s="3">
        <f t="shared" si="25"/>
        <v>2.7333378567159092E-2</v>
      </c>
      <c r="I25" s="3">
        <f t="shared" si="25"/>
        <v>2.7333039008676323E-2</v>
      </c>
      <c r="J25" s="3">
        <f t="shared" si="25"/>
        <v>2.7329643655845663E-2</v>
      </c>
      <c r="K25" s="3">
        <f t="shared" si="25"/>
        <v>2.72957133165782E-2</v>
      </c>
      <c r="L25" s="3">
        <f t="shared" si="25"/>
        <v>2.6958718204344249E-2</v>
      </c>
      <c r="M25" s="3">
        <f t="shared" si="25"/>
        <v>2.3809328586553904E-2</v>
      </c>
      <c r="N25" s="3">
        <f t="shared" si="25"/>
        <v>6.8742645869402973E-3</v>
      </c>
      <c r="O25" s="3">
        <f t="shared" si="25"/>
        <v>2.7670512077020382E-8</v>
      </c>
      <c r="P25" s="3">
        <f t="shared" si="25"/>
        <v>3.0897740483323038E-62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3.0872028508827403E-2</v>
      </c>
      <c r="C26" s="18">
        <f t="shared" si="3"/>
        <v>2.1342745356983432E-2</v>
      </c>
      <c r="D26" s="17"/>
      <c r="F26" s="3">
        <f t="shared" si="25"/>
        <v>2.1342745330408121E-2</v>
      </c>
      <c r="G26" s="3">
        <f t="shared" si="25"/>
        <v>2.1342745091230339E-2</v>
      </c>
      <c r="H26" s="3">
        <f t="shared" si="25"/>
        <v>2.1342742699452657E-2</v>
      </c>
      <c r="I26" s="3">
        <f t="shared" si="25"/>
        <v>2.1342718781690549E-2</v>
      </c>
      <c r="J26" s="3">
        <f t="shared" si="25"/>
        <v>2.13424796055437E-2</v>
      </c>
      <c r="K26" s="3">
        <f t="shared" si="25"/>
        <v>2.1340087991487601E-2</v>
      </c>
      <c r="L26" s="3">
        <f t="shared" si="25"/>
        <v>2.1316186586058151E-2</v>
      </c>
      <c r="M26" s="3">
        <f t="shared" si="25"/>
        <v>2.1078639953400088E-2</v>
      </c>
      <c r="N26" s="3">
        <f t="shared" si="25"/>
        <v>1.8844009377484549E-2</v>
      </c>
      <c r="O26" s="3">
        <f t="shared" si="25"/>
        <v>6.1444154397597107E-3</v>
      </c>
      <c r="P26" s="3">
        <f t="shared" si="25"/>
        <v>8.3474374371165249E-8</v>
      </c>
      <c r="Q26" s="3">
        <f t="shared" si="25"/>
        <v>1.787636372464567E-56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4.3702890027952593E-2</v>
      </c>
      <c r="C27" s="18">
        <f t="shared" si="3"/>
        <v>3.0213098985838894E-2</v>
      </c>
      <c r="D27" s="17"/>
      <c r="F27" s="3">
        <f t="shared" si="25"/>
        <v>3.0213098982445223E-2</v>
      </c>
      <c r="G27" s="3">
        <f t="shared" si="25"/>
        <v>3.0213098951902169E-2</v>
      </c>
      <c r="H27" s="3">
        <f t="shared" si="25"/>
        <v>3.0213098646471662E-2</v>
      </c>
      <c r="I27" s="3">
        <f t="shared" si="25"/>
        <v>3.0213095592166724E-2</v>
      </c>
      <c r="J27" s="3">
        <f t="shared" si="25"/>
        <v>3.0213065049134333E-2</v>
      </c>
      <c r="K27" s="3">
        <f t="shared" si="25"/>
        <v>3.0212759620508654E-2</v>
      </c>
      <c r="L27" s="3">
        <f t="shared" si="25"/>
        <v>3.0209705504066108E-2</v>
      </c>
      <c r="M27" s="3">
        <f t="shared" si="25"/>
        <v>3.0179181314718667E-2</v>
      </c>
      <c r="N27" s="3">
        <f t="shared" si="25"/>
        <v>2.987563059680708E-2</v>
      </c>
      <c r="O27" s="3">
        <f t="shared" si="25"/>
        <v>2.7003082721607549E-2</v>
      </c>
      <c r="P27" s="3">
        <f t="shared" si="25"/>
        <v>9.8259829569045266E-3</v>
      </c>
      <c r="Q27" s="3">
        <f t="shared" si="25"/>
        <v>3.99947147112951E-7</v>
      </c>
      <c r="R27" s="3">
        <f t="shared" si="25"/>
        <v>4.9919309623585757E-51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4.8926577282020246E-2</v>
      </c>
      <c r="C28" s="18">
        <f t="shared" si="3"/>
        <v>3.3824388307374977E-2</v>
      </c>
      <c r="D28" s="17"/>
      <c r="F28" s="3">
        <f t="shared" si="25"/>
        <v>3.3824388307032251E-2</v>
      </c>
      <c r="G28" s="3">
        <f t="shared" si="25"/>
        <v>3.3824388303947683E-2</v>
      </c>
      <c r="H28" s="3">
        <f t="shared" si="25"/>
        <v>3.3824388273102052E-2</v>
      </c>
      <c r="I28" s="3">
        <f t="shared" si="25"/>
        <v>3.3824387964645722E-2</v>
      </c>
      <c r="J28" s="3">
        <f t="shared" si="25"/>
        <v>3.3824384880082575E-2</v>
      </c>
      <c r="K28" s="3">
        <f t="shared" si="25"/>
        <v>3.3824354034466569E-2</v>
      </c>
      <c r="L28" s="3">
        <f t="shared" si="25"/>
        <v>3.3824045579853641E-2</v>
      </c>
      <c r="M28" s="3">
        <f t="shared" si="25"/>
        <v>3.3820961188429137E-2</v>
      </c>
      <c r="N28" s="3">
        <f t="shared" si="25"/>
        <v>3.3790132739447067E-2</v>
      </c>
      <c r="O28" s="3">
        <f t="shared" si="25"/>
        <v>3.3483389570403026E-2</v>
      </c>
      <c r="P28" s="3">
        <f t="shared" si="25"/>
        <v>3.0565013732462461E-2</v>
      </c>
      <c r="Q28" s="3">
        <f t="shared" si="25"/>
        <v>1.2279378601932648E-2</v>
      </c>
      <c r="R28" s="3">
        <f t="shared" si="25"/>
        <v>1.3449134481917142E-6</v>
      </c>
      <c r="S28" s="3">
        <f t="shared" si="25"/>
        <v>3.3409794155751961E-46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5.6111875920636933E-2</v>
      </c>
      <c r="C29" s="18">
        <f t="shared" si="3"/>
        <v>3.8791797530712095E-2</v>
      </c>
      <c r="D29" s="17"/>
      <c r="F29" s="3">
        <f t="shared" si="25"/>
        <v>3.8791797530676637E-2</v>
      </c>
      <c r="G29" s="3">
        <f t="shared" si="25"/>
        <v>3.8791797530357518E-2</v>
      </c>
      <c r="H29" s="3">
        <f t="shared" si="25"/>
        <v>3.8791797527166348E-2</v>
      </c>
      <c r="I29" s="3">
        <f t="shared" si="25"/>
        <v>3.8791797495254625E-2</v>
      </c>
      <c r="J29" s="3">
        <f t="shared" si="25"/>
        <v>3.8791797176137413E-2</v>
      </c>
      <c r="K29" s="3">
        <f t="shared" si="25"/>
        <v>3.879179398496542E-2</v>
      </c>
      <c r="L29" s="3">
        <f t="shared" si="25"/>
        <v>3.8791762073259926E-2</v>
      </c>
      <c r="M29" s="3">
        <f t="shared" si="25"/>
        <v>3.879144295764881E-2</v>
      </c>
      <c r="N29" s="3">
        <f t="shared" si="25"/>
        <v>3.8788251945918159E-2</v>
      </c>
      <c r="O29" s="3">
        <f t="shared" si="25"/>
        <v>3.8756356262268796E-2</v>
      </c>
      <c r="P29" s="3">
        <f t="shared" si="25"/>
        <v>3.8438838407863621E-2</v>
      </c>
      <c r="Q29" s="3">
        <f t="shared" si="25"/>
        <v>3.5403272854500588E-2</v>
      </c>
      <c r="R29" s="3">
        <f t="shared" si="25"/>
        <v>1.5551596620866096E-2</v>
      </c>
      <c r="S29" s="3">
        <f t="shared" si="25"/>
        <v>4.159974708062983E-6</v>
      </c>
      <c r="T29" s="3">
        <f t="shared" si="25"/>
        <v>7.8027512641381426E-42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3.3535358824039851E-2</v>
      </c>
      <c r="C30" s="18">
        <f t="shared" si="3"/>
        <v>2.3183984286354733E-2</v>
      </c>
      <c r="D30" s="17"/>
      <c r="F30" s="3">
        <f t="shared" si="25"/>
        <v>2.3183984286352821E-2</v>
      </c>
      <c r="G30" s="3">
        <f t="shared" si="25"/>
        <v>2.3183984286335616E-2</v>
      </c>
      <c r="H30" s="3">
        <f t="shared" si="25"/>
        <v>2.318398428616357E-2</v>
      </c>
      <c r="I30" s="3">
        <f t="shared" si="25"/>
        <v>2.3183984284443109E-2</v>
      </c>
      <c r="J30" s="3">
        <f t="shared" si="25"/>
        <v>2.3183984267238493E-2</v>
      </c>
      <c r="K30" s="3">
        <f t="shared" si="25"/>
        <v>2.3183984095192331E-2</v>
      </c>
      <c r="L30" s="3">
        <f t="shared" si="25"/>
        <v>2.3183982374730766E-2</v>
      </c>
      <c r="M30" s="3">
        <f t="shared" si="25"/>
        <v>2.3183965170122164E-2</v>
      </c>
      <c r="N30" s="3">
        <f t="shared" si="25"/>
        <v>2.3183793124738339E-2</v>
      </c>
      <c r="O30" s="3">
        <f t="shared" si="25"/>
        <v>2.3182072741118574E-2</v>
      </c>
      <c r="P30" s="3">
        <f t="shared" si="25"/>
        <v>2.3164875924840175E-2</v>
      </c>
      <c r="Q30" s="3">
        <f t="shared" si="25"/>
        <v>2.2993607830316377E-2</v>
      </c>
      <c r="R30" s="3">
        <f t="shared" si="25"/>
        <v>2.1349049069780062E-2</v>
      </c>
      <c r="S30" s="3">
        <f t="shared" si="25"/>
        <v>1.0164656113599867E-2</v>
      </c>
      <c r="T30" s="3">
        <f t="shared" si="25"/>
        <v>6.0846309137135879E-6</v>
      </c>
      <c r="U30" s="3">
        <f t="shared" si="25"/>
        <v>3.5945930640222117E-38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4.8017157320440977E-2</v>
      </c>
      <c r="C31" s="18">
        <f t="shared" si="3"/>
        <v>3.3195679421044622E-2</v>
      </c>
      <c r="D31" s="17"/>
      <c r="F31" s="3">
        <f t="shared" si="25"/>
        <v>3.3195679421044372E-2</v>
      </c>
      <c r="G31" s="3">
        <f t="shared" si="25"/>
        <v>3.3195679421042151E-2</v>
      </c>
      <c r="H31" s="3">
        <f t="shared" si="25"/>
        <v>3.3195679421019926E-2</v>
      </c>
      <c r="I31" s="3">
        <f t="shared" si="25"/>
        <v>3.3195679420797708E-2</v>
      </c>
      <c r="J31" s="3">
        <f t="shared" si="25"/>
        <v>3.3195679418575499E-2</v>
      </c>
      <c r="K31" s="3">
        <f t="shared" si="25"/>
        <v>3.31956793963534E-2</v>
      </c>
      <c r="L31" s="3">
        <f t="shared" si="25"/>
        <v>3.3195679174132416E-2</v>
      </c>
      <c r="M31" s="3">
        <f t="shared" si="25"/>
        <v>3.3195676951922631E-2</v>
      </c>
      <c r="N31" s="3">
        <f t="shared" si="25"/>
        <v>3.3195654729832977E-2</v>
      </c>
      <c r="O31" s="3">
        <f t="shared" si="25"/>
        <v>3.3195432509754652E-2</v>
      </c>
      <c r="P31" s="3">
        <f t="shared" si="25"/>
        <v>3.3193210390787556E-2</v>
      </c>
      <c r="Q31" s="3">
        <f t="shared" si="25"/>
        <v>3.3170997380710776E-2</v>
      </c>
      <c r="R31" s="3">
        <f t="shared" si="25"/>
        <v>3.2949683216996484E-2</v>
      </c>
      <c r="S31" s="3">
        <f t="shared" si="25"/>
        <v>3.081614998459371E-2</v>
      </c>
      <c r="T31" s="3">
        <f t="shared" si="25"/>
        <v>1.5777919478412967E-2</v>
      </c>
      <c r="U31" s="3">
        <f t="shared" si="25"/>
        <v>1.9532745736049151E-5</v>
      </c>
      <c r="V31" s="3">
        <f t="shared" si="26"/>
        <v>1.651577322143543E-34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2.9485828516218296E-2</v>
      </c>
      <c r="C32" s="18">
        <f t="shared" si="3"/>
        <v>2.038442434974385E-2</v>
      </c>
      <c r="D32" s="17"/>
      <c r="F32" s="3">
        <f t="shared" si="25"/>
        <v>2.0384424349743836E-2</v>
      </c>
      <c r="G32" s="3">
        <f t="shared" si="25"/>
        <v>2.0384424349743715E-2</v>
      </c>
      <c r="H32" s="3">
        <f t="shared" si="25"/>
        <v>2.0384424349742483E-2</v>
      </c>
      <c r="I32" s="3">
        <f t="shared" si="25"/>
        <v>2.038442434973017E-2</v>
      </c>
      <c r="J32" s="3">
        <f t="shared" si="25"/>
        <v>2.0384424349607078E-2</v>
      </c>
      <c r="K32" s="3">
        <f t="shared" si="25"/>
        <v>2.0384424348376104E-2</v>
      </c>
      <c r="L32" s="3">
        <f t="shared" si="25"/>
        <v>2.0384424336066371E-2</v>
      </c>
      <c r="M32" s="3">
        <f t="shared" si="25"/>
        <v>2.0384424212969064E-2</v>
      </c>
      <c r="N32" s="3">
        <f t="shared" si="25"/>
        <v>2.0384422981996036E-2</v>
      </c>
      <c r="O32" s="3">
        <f t="shared" si="25"/>
        <v>2.0384410672269829E-2</v>
      </c>
      <c r="P32" s="3">
        <f t="shared" si="25"/>
        <v>2.0384287575416611E-2</v>
      </c>
      <c r="Q32" s="3">
        <f t="shared" si="25"/>
        <v>2.0383056647768166E-2</v>
      </c>
      <c r="R32" s="3">
        <f t="shared" si="25"/>
        <v>2.0370751458743872E-2</v>
      </c>
      <c r="S32" s="3">
        <f t="shared" si="25"/>
        <v>2.0248107402706356E-2</v>
      </c>
      <c r="T32" s="3">
        <f t="shared" si="25"/>
        <v>1.9061553549466415E-2</v>
      </c>
      <c r="U32" s="3">
        <f t="shared" si="25"/>
        <v>1.0420699453008126E-2</v>
      </c>
      <c r="V32" s="3">
        <f t="shared" si="26"/>
        <v>2.4847496603382837E-5</v>
      </c>
      <c r="W32" s="3">
        <f t="shared" si="26"/>
        <v>1.4761834587458596E-31</v>
      </c>
      <c r="X32" s="3">
        <f t="shared" si="26"/>
        <v>8.0856936196899736E-294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9.6806320595794484E-2</v>
      </c>
      <c r="C33" s="18">
        <f t="shared" si="3"/>
        <v>6.6925069366004494E-2</v>
      </c>
      <c r="D33" s="17"/>
      <c r="F33" s="3">
        <f t="shared" si="25"/>
        <v>6.692506936600448E-2</v>
      </c>
      <c r="G33" s="3">
        <f t="shared" si="25"/>
        <v>6.6925069366004453E-2</v>
      </c>
      <c r="H33" s="3">
        <f t="shared" si="25"/>
        <v>6.6925069366004092E-2</v>
      </c>
      <c r="I33" s="3">
        <f t="shared" si="25"/>
        <v>6.6925069366000442E-2</v>
      </c>
      <c r="J33" s="3">
        <f t="shared" si="25"/>
        <v>6.6925069365963985E-2</v>
      </c>
      <c r="K33" s="3">
        <f t="shared" si="25"/>
        <v>6.6925069365599402E-2</v>
      </c>
      <c r="L33" s="3">
        <f t="shared" si="25"/>
        <v>6.6925069361953679E-2</v>
      </c>
      <c r="M33" s="3">
        <f t="shared" si="25"/>
        <v>6.6925069325496286E-2</v>
      </c>
      <c r="N33" s="3">
        <f t="shared" si="25"/>
        <v>6.6925068960922429E-2</v>
      </c>
      <c r="O33" s="3">
        <f t="shared" si="25"/>
        <v>6.6925065315183982E-2</v>
      </c>
      <c r="P33" s="3">
        <f t="shared" si="25"/>
        <v>6.6925028857810404E-2</v>
      </c>
      <c r="Q33" s="3">
        <f t="shared" si="25"/>
        <v>6.6924664285166968E-2</v>
      </c>
      <c r="R33" s="3">
        <f t="shared" si="25"/>
        <v>6.6921018667960824E-2</v>
      </c>
      <c r="S33" s="3">
        <f t="shared" si="25"/>
        <v>6.6884573416528356E-2</v>
      </c>
      <c r="T33" s="3">
        <f t="shared" si="25"/>
        <v>6.6521210767162609E-2</v>
      </c>
      <c r="U33" s="3">
        <f t="shared" ref="P33:AE48" si="27">$C33*EXP(-U$15/$A33)</f>
        <v>6.2994405709247525E-2</v>
      </c>
      <c r="V33" s="3">
        <f t="shared" si="27"/>
        <v>3.6535946402787407E-2</v>
      </c>
      <c r="W33" s="3">
        <f t="shared" si="27"/>
        <v>1.5736355025505391E-4</v>
      </c>
      <c r="X33" s="3">
        <f t="shared" si="27"/>
        <v>3.4573391241386783E-28</v>
      </c>
      <c r="Y33" s="3">
        <f t="shared" si="27"/>
        <v>9.0598360369267452E-265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0.1398346130846487</v>
      </c>
      <c r="C34" s="18">
        <f t="shared" si="3"/>
        <v>9.6671799143506223E-2</v>
      </c>
      <c r="D34" s="17"/>
      <c r="F34" s="3">
        <f t="shared" ref="F34:O48" si="28">$C34*EXP(-F$15/$A34)</f>
        <v>9.6671799143506223E-2</v>
      </c>
      <c r="G34" s="3">
        <f t="shared" si="28"/>
        <v>9.6671799143506223E-2</v>
      </c>
      <c r="H34" s="3">
        <f t="shared" si="28"/>
        <v>9.6671799143506168E-2</v>
      </c>
      <c r="I34" s="3">
        <f t="shared" si="28"/>
        <v>9.6671799143505696E-2</v>
      </c>
      <c r="J34" s="3">
        <f t="shared" si="28"/>
        <v>9.6671799143500936E-2</v>
      </c>
      <c r="K34" s="3">
        <f t="shared" si="28"/>
        <v>9.6671799143453446E-2</v>
      </c>
      <c r="L34" s="3">
        <f t="shared" si="28"/>
        <v>9.6671799142978382E-2</v>
      </c>
      <c r="M34" s="3">
        <f t="shared" si="28"/>
        <v>9.6671799138227849E-2</v>
      </c>
      <c r="N34" s="3">
        <f t="shared" si="28"/>
        <v>9.6671799090722432E-2</v>
      </c>
      <c r="O34" s="3">
        <f t="shared" si="28"/>
        <v>9.6671798615668311E-2</v>
      </c>
      <c r="P34" s="3">
        <f t="shared" si="27"/>
        <v>9.6671793865127309E-2</v>
      </c>
      <c r="Q34" s="3">
        <f t="shared" si="27"/>
        <v>9.6671746359729971E-2</v>
      </c>
      <c r="R34" s="3">
        <f t="shared" si="27"/>
        <v>9.6671271307040674E-2</v>
      </c>
      <c r="S34" s="3">
        <f t="shared" si="27"/>
        <v>9.6666520908540374E-2</v>
      </c>
      <c r="T34" s="3">
        <f t="shared" si="27"/>
        <v>9.6619029760471833E-2</v>
      </c>
      <c r="U34" s="3">
        <f t="shared" si="27"/>
        <v>9.6145399642268384E-2</v>
      </c>
      <c r="V34" s="3">
        <f t="shared" si="27"/>
        <v>9.1534935224157857E-2</v>
      </c>
      <c r="W34" s="3">
        <f t="shared" si="27"/>
        <v>5.5997749587419272E-2</v>
      </c>
      <c r="X34" s="3">
        <f t="shared" si="27"/>
        <v>4.1115684983008069E-4</v>
      </c>
      <c r="Y34" s="3">
        <f t="shared" si="27"/>
        <v>1.8723071175868912E-25</v>
      </c>
      <c r="Z34" s="3">
        <f t="shared" si="27"/>
        <v>7.179144114736067E-239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0.12108378324611614</v>
      </c>
      <c r="C35" s="18">
        <f t="shared" si="3"/>
        <v>8.3708796522492912E-2</v>
      </c>
      <c r="D35" s="17"/>
      <c r="F35" s="3">
        <f t="shared" si="28"/>
        <v>8.3708796522492912E-2</v>
      </c>
      <c r="G35" s="3">
        <f t="shared" si="28"/>
        <v>8.3708796522492912E-2</v>
      </c>
      <c r="H35" s="3">
        <f t="shared" si="28"/>
        <v>8.3708796522492912E-2</v>
      </c>
      <c r="I35" s="3">
        <f t="shared" si="28"/>
        <v>8.370879652249287E-2</v>
      </c>
      <c r="J35" s="3">
        <f t="shared" si="28"/>
        <v>8.370879652249251E-2</v>
      </c>
      <c r="K35" s="3">
        <f t="shared" si="28"/>
        <v>8.370879652248879E-2</v>
      </c>
      <c r="L35" s="3">
        <f t="shared" si="28"/>
        <v>8.3708796522451681E-2</v>
      </c>
      <c r="M35" s="3">
        <f t="shared" si="28"/>
        <v>8.3708796522080603E-2</v>
      </c>
      <c r="N35" s="3">
        <f t="shared" si="28"/>
        <v>8.3708796518369863E-2</v>
      </c>
      <c r="O35" s="3">
        <f t="shared" si="28"/>
        <v>8.3708796481262421E-2</v>
      </c>
      <c r="P35" s="3">
        <f t="shared" si="27"/>
        <v>8.3708796110188041E-2</v>
      </c>
      <c r="Q35" s="3">
        <f t="shared" si="27"/>
        <v>8.3708792399444315E-2</v>
      </c>
      <c r="R35" s="3">
        <f t="shared" si="27"/>
        <v>8.3708755292016157E-2</v>
      </c>
      <c r="S35" s="3">
        <f t="shared" si="27"/>
        <v>8.3708384218639242E-2</v>
      </c>
      <c r="T35" s="3">
        <f t="shared" si="27"/>
        <v>8.3704673575340227E-2</v>
      </c>
      <c r="U35" s="3">
        <f t="shared" si="27"/>
        <v>8.3667576187887949E-2</v>
      </c>
      <c r="V35" s="3">
        <f t="shared" si="27"/>
        <v>8.329750538527235E-2</v>
      </c>
      <c r="W35" s="3">
        <f t="shared" si="27"/>
        <v>7.9685640748262204E-2</v>
      </c>
      <c r="X35" s="3">
        <f t="shared" si="27"/>
        <v>5.1151786708372206E-2</v>
      </c>
      <c r="Y35" s="3">
        <f t="shared" si="27"/>
        <v>6.0767056063999443E-4</v>
      </c>
      <c r="Z35" s="3">
        <f t="shared" si="27"/>
        <v>3.4020609179111786E-23</v>
      </c>
      <c r="AA35" s="3">
        <f t="shared" si="27"/>
        <v>1.0291554440541977E-215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8.5706818610181201E-2</v>
      </c>
      <c r="C36" s="18">
        <f t="shared" si="3"/>
        <v>5.9251655732023817E-2</v>
      </c>
      <c r="D36" s="17"/>
      <c r="F36" s="3">
        <f t="shared" si="28"/>
        <v>5.9251655732023817E-2</v>
      </c>
      <c r="G36" s="3">
        <f t="shared" si="28"/>
        <v>5.9251655732023817E-2</v>
      </c>
      <c r="H36" s="3">
        <f t="shared" si="28"/>
        <v>5.9251655732023817E-2</v>
      </c>
      <c r="I36" s="3">
        <f t="shared" si="28"/>
        <v>5.9251655732023817E-2</v>
      </c>
      <c r="J36" s="3">
        <f t="shared" si="28"/>
        <v>5.9251655732023789E-2</v>
      </c>
      <c r="K36" s="3">
        <f t="shared" si="28"/>
        <v>5.9251655732023553E-2</v>
      </c>
      <c r="L36" s="3">
        <f t="shared" si="28"/>
        <v>5.9251655732021187E-2</v>
      </c>
      <c r="M36" s="3">
        <f t="shared" si="28"/>
        <v>5.9251655731997491E-2</v>
      </c>
      <c r="N36" s="3">
        <f t="shared" si="28"/>
        <v>5.9251655731760548E-2</v>
      </c>
      <c r="O36" s="3">
        <f t="shared" si="28"/>
        <v>5.9251655729391159E-2</v>
      </c>
      <c r="P36" s="3">
        <f t="shared" si="27"/>
        <v>5.9251655705697237E-2</v>
      </c>
      <c r="Q36" s="3">
        <f t="shared" si="27"/>
        <v>5.9251655468758019E-2</v>
      </c>
      <c r="R36" s="3">
        <f t="shared" si="27"/>
        <v>5.9251653099365864E-2</v>
      </c>
      <c r="S36" s="3">
        <f t="shared" si="27"/>
        <v>5.9251629405449535E-2</v>
      </c>
      <c r="T36" s="3">
        <f t="shared" si="27"/>
        <v>5.9251392466807364E-2</v>
      </c>
      <c r="U36" s="3">
        <f t="shared" si="27"/>
        <v>5.9249023132496588E-2</v>
      </c>
      <c r="V36" s="3">
        <f t="shared" si="27"/>
        <v>5.9225334999712671E-2</v>
      </c>
      <c r="W36" s="3">
        <f t="shared" si="27"/>
        <v>5.8988973934172829E-2</v>
      </c>
      <c r="X36" s="3">
        <f t="shared" si="27"/>
        <v>5.6676627903848045E-2</v>
      </c>
      <c r="Y36" s="3">
        <f t="shared" si="27"/>
        <v>3.7995801793259502E-2</v>
      </c>
      <c r="Z36" s="3">
        <f t="shared" si="27"/>
        <v>6.9670947637446082E-4</v>
      </c>
      <c r="AA36" s="3">
        <f t="shared" si="27"/>
        <v>2.9937308972839164E-21</v>
      </c>
      <c r="AB36" s="3">
        <f t="shared" si="27"/>
        <v>6.4242610251088099E-195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7.5691466556440296E-2</v>
      </c>
      <c r="C37" s="18">
        <f t="shared" si="3"/>
        <v>5.2327746974864794E-2</v>
      </c>
      <c r="D37" s="17"/>
      <c r="F37" s="3">
        <f t="shared" si="28"/>
        <v>5.2327746974864794E-2</v>
      </c>
      <c r="G37" s="3">
        <f t="shared" si="28"/>
        <v>5.2327746974864794E-2</v>
      </c>
      <c r="H37" s="3">
        <f t="shared" si="28"/>
        <v>5.2327746974864794E-2</v>
      </c>
      <c r="I37" s="3">
        <f t="shared" si="28"/>
        <v>5.2327746974864794E-2</v>
      </c>
      <c r="J37" s="3">
        <f t="shared" si="28"/>
        <v>5.2327746974864794E-2</v>
      </c>
      <c r="K37" s="3">
        <f t="shared" si="28"/>
        <v>5.2327746974864774E-2</v>
      </c>
      <c r="L37" s="3">
        <f t="shared" si="28"/>
        <v>5.2327746974864586E-2</v>
      </c>
      <c r="M37" s="3">
        <f t="shared" si="28"/>
        <v>5.2327746974862699E-2</v>
      </c>
      <c r="N37" s="3">
        <f t="shared" si="28"/>
        <v>5.2327746974843825E-2</v>
      </c>
      <c r="O37" s="3">
        <f t="shared" si="28"/>
        <v>5.2327746974655059E-2</v>
      </c>
      <c r="P37" s="3">
        <f t="shared" si="27"/>
        <v>5.2327746972767437E-2</v>
      </c>
      <c r="Q37" s="3">
        <f t="shared" si="27"/>
        <v>5.2327746953891217E-2</v>
      </c>
      <c r="R37" s="3">
        <f t="shared" si="27"/>
        <v>5.2327746765128989E-2</v>
      </c>
      <c r="S37" s="3">
        <f t="shared" si="27"/>
        <v>5.2327744877506757E-2</v>
      </c>
      <c r="T37" s="3">
        <f t="shared" si="27"/>
        <v>5.2327726001288197E-2</v>
      </c>
      <c r="U37" s="3">
        <f t="shared" si="27"/>
        <v>5.232753723947714E-2</v>
      </c>
      <c r="V37" s="3">
        <f t="shared" si="27"/>
        <v>5.2325649658816746E-2</v>
      </c>
      <c r="W37" s="3">
        <f t="shared" si="27"/>
        <v>5.2306777596735195E-2</v>
      </c>
      <c r="X37" s="3">
        <f t="shared" si="27"/>
        <v>5.2118430928860572E-2</v>
      </c>
      <c r="Y37" s="3">
        <f t="shared" si="27"/>
        <v>5.0271865207303833E-2</v>
      </c>
      <c r="Z37" s="3">
        <f t="shared" si="27"/>
        <v>3.5047872775747349E-2</v>
      </c>
      <c r="AA37" s="3">
        <f t="shared" si="27"/>
        <v>9.5066676520259733E-4</v>
      </c>
      <c r="AB37" s="3">
        <f t="shared" si="27"/>
        <v>2.0497211832380188E-19</v>
      </c>
      <c r="AC37" s="3">
        <f t="shared" si="27"/>
        <v>4.4499954719897162E-176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2.5990342285963045E-2</v>
      </c>
      <c r="C38" s="18">
        <f t="shared" si="3"/>
        <v>1.7967891452015796E-2</v>
      </c>
      <c r="D38" s="17"/>
      <c r="F38" s="3">
        <f t="shared" si="28"/>
        <v>1.7967891452015796E-2</v>
      </c>
      <c r="G38" s="3">
        <f t="shared" si="28"/>
        <v>1.7967891452015796E-2</v>
      </c>
      <c r="H38" s="3">
        <f t="shared" si="28"/>
        <v>1.7967891452015796E-2</v>
      </c>
      <c r="I38" s="3">
        <f t="shared" si="28"/>
        <v>1.7967891452015796E-2</v>
      </c>
      <c r="J38" s="3">
        <f t="shared" si="28"/>
        <v>1.7967891452015796E-2</v>
      </c>
      <c r="K38" s="3">
        <f t="shared" si="28"/>
        <v>1.7967891452015796E-2</v>
      </c>
      <c r="L38" s="3">
        <f t="shared" si="28"/>
        <v>1.7967891452015789E-2</v>
      </c>
      <c r="M38" s="3">
        <f t="shared" si="28"/>
        <v>1.796789145201573E-2</v>
      </c>
      <c r="N38" s="3">
        <f t="shared" si="28"/>
        <v>1.7967891452015147E-2</v>
      </c>
      <c r="O38" s="3">
        <f t="shared" si="28"/>
        <v>1.7967891452009298E-2</v>
      </c>
      <c r="P38" s="3">
        <f t="shared" si="27"/>
        <v>1.7967891451950831E-2</v>
      </c>
      <c r="Q38" s="3">
        <f t="shared" si="27"/>
        <v>1.7967891451366139E-2</v>
      </c>
      <c r="R38" s="3">
        <f t="shared" si="27"/>
        <v>1.7967891445519222E-2</v>
      </c>
      <c r="S38" s="3">
        <f t="shared" si="27"/>
        <v>1.7967891387050076E-2</v>
      </c>
      <c r="T38" s="3">
        <f t="shared" si="27"/>
        <v>1.796789080235861E-2</v>
      </c>
      <c r="U38" s="3">
        <f t="shared" si="27"/>
        <v>1.7967884955445008E-2</v>
      </c>
      <c r="V38" s="3">
        <f t="shared" si="27"/>
        <v>1.7967826486413617E-2</v>
      </c>
      <c r="W38" s="3">
        <f t="shared" si="27"/>
        <v>1.7967241806564095E-2</v>
      </c>
      <c r="X38" s="3">
        <f t="shared" si="27"/>
        <v>1.7961396054380387E-2</v>
      </c>
      <c r="Y38" s="3">
        <f t="shared" si="27"/>
        <v>1.7903043037826319E-2</v>
      </c>
      <c r="Z38" s="3">
        <f t="shared" si="27"/>
        <v>1.7329838662521233E-2</v>
      </c>
      <c r="AA38" s="3">
        <f t="shared" si="27"/>
        <v>1.2516161490830182E-2</v>
      </c>
      <c r="AB38" s="3">
        <f t="shared" si="27"/>
        <v>4.8332308959257221E-4</v>
      </c>
      <c r="AC38" s="3">
        <f t="shared" si="27"/>
        <v>3.56370209799879E-18</v>
      </c>
      <c r="AD38" s="3">
        <f t="shared" si="27"/>
        <v>1.6925436974609281E-159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5.9640285387154227E-2</v>
      </c>
      <c r="C39" s="18">
        <f t="shared" si="3"/>
        <v>4.123109123431553E-2</v>
      </c>
      <c r="D39" s="17"/>
      <c r="F39" s="3">
        <f t="shared" si="28"/>
        <v>4.123109123431553E-2</v>
      </c>
      <c r="G39" s="3">
        <f t="shared" si="28"/>
        <v>4.123109123431553E-2</v>
      </c>
      <c r="H39" s="3">
        <f t="shared" si="28"/>
        <v>4.123109123431553E-2</v>
      </c>
      <c r="I39" s="3">
        <f t="shared" si="28"/>
        <v>4.123109123431553E-2</v>
      </c>
      <c r="J39" s="3">
        <f t="shared" si="28"/>
        <v>4.123109123431553E-2</v>
      </c>
      <c r="K39" s="3">
        <f t="shared" si="28"/>
        <v>4.123109123431553E-2</v>
      </c>
      <c r="L39" s="3">
        <f t="shared" si="28"/>
        <v>4.1231091234315523E-2</v>
      </c>
      <c r="M39" s="3">
        <f t="shared" si="28"/>
        <v>4.1231091234315488E-2</v>
      </c>
      <c r="N39" s="3">
        <f t="shared" si="28"/>
        <v>4.123109123431512E-2</v>
      </c>
      <c r="O39" s="3">
        <f t="shared" si="28"/>
        <v>4.1231091234311408E-2</v>
      </c>
      <c r="P39" s="3">
        <f t="shared" si="27"/>
        <v>4.1231091234274299E-2</v>
      </c>
      <c r="Q39" s="3">
        <f t="shared" si="27"/>
        <v>4.1231091233903221E-2</v>
      </c>
      <c r="R39" s="3">
        <f t="shared" si="27"/>
        <v>4.1231091230192418E-2</v>
      </c>
      <c r="S39" s="3">
        <f t="shared" si="27"/>
        <v>4.1231091193084442E-2</v>
      </c>
      <c r="T39" s="3">
        <f t="shared" si="27"/>
        <v>4.1231090822004622E-2</v>
      </c>
      <c r="U39" s="3">
        <f t="shared" si="27"/>
        <v>4.1231087111206613E-2</v>
      </c>
      <c r="V39" s="3">
        <f t="shared" si="27"/>
        <v>4.123105000324491E-2</v>
      </c>
      <c r="W39" s="3">
        <f t="shared" si="27"/>
        <v>4.1230678925464732E-2</v>
      </c>
      <c r="X39" s="3">
        <f t="shared" si="27"/>
        <v>4.122696833134068E-2</v>
      </c>
      <c r="Y39" s="3">
        <f t="shared" si="27"/>
        <v>4.1189880751756704E-2</v>
      </c>
      <c r="Z39" s="3">
        <f t="shared" si="27"/>
        <v>4.082083502183087E-2</v>
      </c>
      <c r="AA39" s="3">
        <f t="shared" si="27"/>
        <v>3.7307434135263148E-2</v>
      </c>
      <c r="AB39" s="3">
        <f t="shared" si="27"/>
        <v>1.5168070802168752E-2</v>
      </c>
      <c r="AC39" s="3">
        <f t="shared" si="27"/>
        <v>1.87188864606853E-6</v>
      </c>
      <c r="AD39" s="3">
        <f t="shared" si="27"/>
        <v>1.5338279196590049E-45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5.006394694520297E-2</v>
      </c>
      <c r="C40" s="18">
        <f t="shared" si="3"/>
        <v>3.4610685556715946E-2</v>
      </c>
      <c r="D40" s="17"/>
      <c r="F40" s="3">
        <f t="shared" si="28"/>
        <v>3.4610685556715946E-2</v>
      </c>
      <c r="G40" s="3">
        <f t="shared" si="28"/>
        <v>3.4610685556715946E-2</v>
      </c>
      <c r="H40" s="3">
        <f t="shared" si="28"/>
        <v>3.4610685556715946E-2</v>
      </c>
      <c r="I40" s="3">
        <f t="shared" si="28"/>
        <v>3.4610685556715946E-2</v>
      </c>
      <c r="J40" s="3">
        <f t="shared" si="28"/>
        <v>3.4610685556715946E-2</v>
      </c>
      <c r="K40" s="3">
        <f t="shared" si="28"/>
        <v>3.4610685556715946E-2</v>
      </c>
      <c r="L40" s="3">
        <f t="shared" si="28"/>
        <v>3.4610685556715946E-2</v>
      </c>
      <c r="M40" s="3">
        <f t="shared" si="28"/>
        <v>3.4610685556715939E-2</v>
      </c>
      <c r="N40" s="3">
        <f t="shared" si="28"/>
        <v>3.4610685556715912E-2</v>
      </c>
      <c r="O40" s="3">
        <f t="shared" si="28"/>
        <v>3.4610685556715599E-2</v>
      </c>
      <c r="P40" s="3">
        <f t="shared" si="27"/>
        <v>3.4610685556712484E-2</v>
      </c>
      <c r="Q40" s="3">
        <f t="shared" si="27"/>
        <v>3.4610685556681335E-2</v>
      </c>
      <c r="R40" s="3">
        <f t="shared" si="27"/>
        <v>3.4610685556369841E-2</v>
      </c>
      <c r="S40" s="3">
        <f t="shared" si="27"/>
        <v>3.4610685553254875E-2</v>
      </c>
      <c r="T40" s="3">
        <f t="shared" si="27"/>
        <v>3.4610685522105264E-2</v>
      </c>
      <c r="U40" s="3">
        <f t="shared" si="27"/>
        <v>3.4610685210609095E-2</v>
      </c>
      <c r="V40" s="3">
        <f t="shared" si="27"/>
        <v>3.4610682095647563E-2</v>
      </c>
      <c r="W40" s="3">
        <f t="shared" si="27"/>
        <v>3.4610650946047698E-2</v>
      </c>
      <c r="X40" s="3">
        <f t="shared" si="27"/>
        <v>3.4610339451590907E-2</v>
      </c>
      <c r="Y40" s="3">
        <f t="shared" si="27"/>
        <v>3.4607224661207935E-2</v>
      </c>
      <c r="Z40" s="3">
        <f t="shared" si="27"/>
        <v>3.4576092170735005E-2</v>
      </c>
      <c r="AA40" s="3">
        <f t="shared" si="27"/>
        <v>3.4266303481371357E-2</v>
      </c>
      <c r="AB40" s="3">
        <f t="shared" si="27"/>
        <v>3.1317043355593335E-2</v>
      </c>
      <c r="AC40" s="3">
        <f t="shared" si="27"/>
        <v>1.2732559661165172E-2</v>
      </c>
      <c r="AD40" s="3">
        <f t="shared" si="27"/>
        <v>1.5713226933063529E-6</v>
      </c>
      <c r="AE40" s="3">
        <f t="shared" si="27"/>
        <v>1.2875437985315033E-45</v>
      </c>
      <c r="AF40" s="3">
        <f t="shared" si="29"/>
        <v>0</v>
      </c>
      <c r="AG40" s="3">
        <f t="shared" si="29"/>
        <v>0</v>
      </c>
      <c r="AH40" s="3">
        <f t="shared" si="29"/>
        <v>0</v>
      </c>
      <c r="AI40" s="3">
        <f t="shared" si="29"/>
        <v>0</v>
      </c>
      <c r="AJ40" s="3">
        <f t="shared" si="29"/>
        <v>0</v>
      </c>
    </row>
    <row r="41" spans="1:36" x14ac:dyDescent="0.25">
      <c r="A41" s="3">
        <f t="shared" si="30"/>
        <v>1000000000</v>
      </c>
      <c r="B41" s="106">
        <v>6.1988146439840922E-2</v>
      </c>
      <c r="C41" s="18">
        <f t="shared" si="3"/>
        <v>4.2854236942630193E-2</v>
      </c>
      <c r="D41" s="17"/>
      <c r="F41" s="3">
        <f t="shared" si="28"/>
        <v>4.2854236942630193E-2</v>
      </c>
      <c r="G41" s="3">
        <f t="shared" si="28"/>
        <v>4.2854236942630193E-2</v>
      </c>
      <c r="H41" s="3">
        <f t="shared" si="28"/>
        <v>4.2854236942630193E-2</v>
      </c>
      <c r="I41" s="3">
        <f t="shared" si="28"/>
        <v>4.2854236942630193E-2</v>
      </c>
      <c r="J41" s="3">
        <f t="shared" si="28"/>
        <v>4.2854236942630193E-2</v>
      </c>
      <c r="K41" s="3">
        <f t="shared" si="28"/>
        <v>4.2854236942630193E-2</v>
      </c>
      <c r="L41" s="3">
        <f t="shared" si="28"/>
        <v>4.2854236942630193E-2</v>
      </c>
      <c r="M41" s="3">
        <f t="shared" si="28"/>
        <v>4.2854236942630193E-2</v>
      </c>
      <c r="N41" s="3">
        <f t="shared" si="28"/>
        <v>4.2854236942630186E-2</v>
      </c>
      <c r="O41" s="3">
        <f t="shared" si="28"/>
        <v>4.2854236942630151E-2</v>
      </c>
      <c r="P41" s="3">
        <f t="shared" si="27"/>
        <v>4.2854236942629763E-2</v>
      </c>
      <c r="Q41" s="3">
        <f t="shared" si="27"/>
        <v>4.2854236942625905E-2</v>
      </c>
      <c r="R41" s="3">
        <f t="shared" si="27"/>
        <v>4.2854236942587338E-2</v>
      </c>
      <c r="S41" s="3">
        <f t="shared" si="27"/>
        <v>4.2854236942201654E-2</v>
      </c>
      <c r="T41" s="3">
        <f t="shared" si="27"/>
        <v>4.2854236938344767E-2</v>
      </c>
      <c r="U41" s="3">
        <f t="shared" si="27"/>
        <v>4.2854236899775959E-2</v>
      </c>
      <c r="V41" s="3">
        <f t="shared" si="27"/>
        <v>4.2854236514087825E-2</v>
      </c>
      <c r="W41" s="3">
        <f t="shared" si="27"/>
        <v>4.2854232657206712E-2</v>
      </c>
      <c r="X41" s="3">
        <f t="shared" si="27"/>
        <v>4.2854194088414677E-2</v>
      </c>
      <c r="Y41" s="3">
        <f t="shared" si="27"/>
        <v>4.2853808402403472E-2</v>
      </c>
      <c r="Z41" s="3">
        <f t="shared" si="27"/>
        <v>4.284995173319997E-2</v>
      </c>
      <c r="AA41" s="3">
        <f t="shared" si="27"/>
        <v>4.2811404125665448E-2</v>
      </c>
      <c r="AB41" s="3">
        <f t="shared" si="27"/>
        <v>4.2427830160498482E-2</v>
      </c>
      <c r="AC41" s="3">
        <f t="shared" si="27"/>
        <v>3.8776117107070733E-2</v>
      </c>
      <c r="AD41" s="3">
        <f t="shared" si="27"/>
        <v>1.5765192738283376E-2</v>
      </c>
      <c r="AE41" s="3">
        <f t="shared" si="27"/>
        <v>1.9455793472202944E-6</v>
      </c>
      <c r="AF41" s="3">
        <f t="shared" si="29"/>
        <v>1.594210173209832E-45</v>
      </c>
      <c r="AG41" s="3">
        <f t="shared" si="29"/>
        <v>0</v>
      </c>
      <c r="AH41" s="3">
        <f t="shared" si="29"/>
        <v>0</v>
      </c>
      <c r="AI41" s="3">
        <f t="shared" si="29"/>
        <v>0</v>
      </c>
      <c r="AJ41" s="3">
        <f t="shared" si="29"/>
        <v>0</v>
      </c>
    </row>
    <row r="42" spans="1:36" x14ac:dyDescent="0.25">
      <c r="A42" s="3">
        <f t="shared" si="30"/>
        <v>10000000000</v>
      </c>
      <c r="B42" s="106">
        <v>4.6566702314931971E-2</v>
      </c>
      <c r="C42" s="18">
        <f t="shared" si="3"/>
        <v>3.2192937025108795E-2</v>
      </c>
      <c r="D42" s="17"/>
      <c r="F42" s="3">
        <f t="shared" si="28"/>
        <v>3.2192937025108795E-2</v>
      </c>
      <c r="G42" s="3">
        <f t="shared" si="28"/>
        <v>3.2192937025108795E-2</v>
      </c>
      <c r="H42" s="3">
        <f t="shared" si="28"/>
        <v>3.2192937025108795E-2</v>
      </c>
      <c r="I42" s="3">
        <f t="shared" si="28"/>
        <v>3.2192937025108795E-2</v>
      </c>
      <c r="J42" s="3">
        <f t="shared" si="28"/>
        <v>3.2192937025108795E-2</v>
      </c>
      <c r="K42" s="3">
        <f t="shared" si="28"/>
        <v>3.2192937025108795E-2</v>
      </c>
      <c r="L42" s="3">
        <f t="shared" si="28"/>
        <v>3.2192937025108795E-2</v>
      </c>
      <c r="M42" s="3">
        <f t="shared" si="28"/>
        <v>3.2192937025108795E-2</v>
      </c>
      <c r="N42" s="3">
        <f t="shared" si="28"/>
        <v>3.2192937025108795E-2</v>
      </c>
      <c r="O42" s="3">
        <f t="shared" si="28"/>
        <v>3.2192937025108788E-2</v>
      </c>
      <c r="P42" s="3">
        <f t="shared" si="27"/>
        <v>3.219293702510876E-2</v>
      </c>
      <c r="Q42" s="3">
        <f t="shared" si="27"/>
        <v>3.2192937025108476E-2</v>
      </c>
      <c r="R42" s="3">
        <f t="shared" si="27"/>
        <v>3.2192937025105575E-2</v>
      </c>
      <c r="S42" s="3">
        <f t="shared" si="27"/>
        <v>3.2192937025076605E-2</v>
      </c>
      <c r="T42" s="3">
        <f t="shared" si="27"/>
        <v>3.2192937024786865E-2</v>
      </c>
      <c r="U42" s="3">
        <f t="shared" si="27"/>
        <v>3.2192937021889502E-2</v>
      </c>
      <c r="V42" s="3">
        <f t="shared" si="27"/>
        <v>3.2192936992915859E-2</v>
      </c>
      <c r="W42" s="3">
        <f t="shared" si="27"/>
        <v>3.219293670317943E-2</v>
      </c>
      <c r="X42" s="3">
        <f t="shared" si="27"/>
        <v>3.2192933805815255E-2</v>
      </c>
      <c r="Y42" s="3">
        <f t="shared" si="27"/>
        <v>3.2192904832187869E-2</v>
      </c>
      <c r="Z42" s="3">
        <f t="shared" si="27"/>
        <v>3.2192615097348186E-2</v>
      </c>
      <c r="AA42" s="3">
        <f t="shared" si="27"/>
        <v>3.2189717892365605E-2</v>
      </c>
      <c r="AB42" s="3">
        <f t="shared" si="27"/>
        <v>3.216076017918805E-2</v>
      </c>
      <c r="AC42" s="3">
        <f t="shared" si="27"/>
        <v>3.1872611949606403E-2</v>
      </c>
      <c r="AD42" s="3">
        <f t="shared" si="27"/>
        <v>2.9129374016793684E-2</v>
      </c>
      <c r="AE42" s="3">
        <f t="shared" si="27"/>
        <v>1.1843119682464459E-2</v>
      </c>
      <c r="AF42" s="3">
        <f t="shared" si="29"/>
        <v>1.4615570797880375E-6</v>
      </c>
      <c r="AG42" s="3">
        <f t="shared" si="29"/>
        <v>1.1976017162465892E-45</v>
      </c>
      <c r="AH42" s="3">
        <f t="shared" si="29"/>
        <v>0</v>
      </c>
      <c r="AI42" s="3">
        <f t="shared" si="29"/>
        <v>0</v>
      </c>
      <c r="AJ42" s="3">
        <f t="shared" si="29"/>
        <v>0</v>
      </c>
    </row>
    <row r="43" spans="1:36" x14ac:dyDescent="0.25">
      <c r="A43" s="3">
        <f t="shared" si="30"/>
        <v>100000000000</v>
      </c>
      <c r="B43" s="106">
        <v>3.724853221471329E-2</v>
      </c>
      <c r="C43" s="18">
        <f t="shared" si="3"/>
        <v>2.5751010749186929E-2</v>
      </c>
      <c r="D43" s="17"/>
      <c r="F43" s="3">
        <f t="shared" si="28"/>
        <v>2.5751010749186929E-2</v>
      </c>
      <c r="G43" s="3">
        <f t="shared" si="28"/>
        <v>2.5751010749186929E-2</v>
      </c>
      <c r="H43" s="3">
        <f t="shared" si="28"/>
        <v>2.5751010749186929E-2</v>
      </c>
      <c r="I43" s="3">
        <f t="shared" si="28"/>
        <v>2.5751010749186929E-2</v>
      </c>
      <c r="J43" s="3">
        <f t="shared" si="28"/>
        <v>2.5751010749186929E-2</v>
      </c>
      <c r="K43" s="3">
        <f t="shared" si="28"/>
        <v>2.5751010749186929E-2</v>
      </c>
      <c r="L43" s="3">
        <f t="shared" si="28"/>
        <v>2.5751010749186929E-2</v>
      </c>
      <c r="M43" s="3">
        <f t="shared" si="28"/>
        <v>2.5751010749186929E-2</v>
      </c>
      <c r="N43" s="3">
        <f t="shared" si="28"/>
        <v>2.5751010749186929E-2</v>
      </c>
      <c r="O43" s="3">
        <f t="shared" si="28"/>
        <v>2.5751010749186929E-2</v>
      </c>
      <c r="P43" s="3">
        <f t="shared" si="27"/>
        <v>2.5751010749186926E-2</v>
      </c>
      <c r="Q43" s="3">
        <f t="shared" si="27"/>
        <v>2.5751010749186905E-2</v>
      </c>
      <c r="R43" s="3">
        <f t="shared" si="27"/>
        <v>2.5751010749186672E-2</v>
      </c>
      <c r="S43" s="3">
        <f t="shared" si="27"/>
        <v>2.5751010749184355E-2</v>
      </c>
      <c r="T43" s="3">
        <f t="shared" si="27"/>
        <v>2.5751010749161179E-2</v>
      </c>
      <c r="U43" s="3">
        <f t="shared" si="27"/>
        <v>2.575101074892942E-2</v>
      </c>
      <c r="V43" s="3">
        <f t="shared" si="27"/>
        <v>2.5751010746611829E-2</v>
      </c>
      <c r="W43" s="3">
        <f t="shared" si="27"/>
        <v>2.575101072343592E-2</v>
      </c>
      <c r="X43" s="3">
        <f t="shared" si="27"/>
        <v>2.5751010491676822E-2</v>
      </c>
      <c r="Y43" s="3">
        <f t="shared" si="27"/>
        <v>2.5751008174085984E-2</v>
      </c>
      <c r="Z43" s="3">
        <f t="shared" si="27"/>
        <v>2.5750984998189057E-2</v>
      </c>
      <c r="AA43" s="3">
        <f t="shared" si="27"/>
        <v>2.5750753240366984E-2</v>
      </c>
      <c r="AB43" s="3">
        <f t="shared" si="27"/>
        <v>2.5748435776862772E-2</v>
      </c>
      <c r="AC43" s="3">
        <f t="shared" si="27"/>
        <v>2.5725272609652357E-2</v>
      </c>
      <c r="AD43" s="3">
        <f t="shared" si="27"/>
        <v>2.5494783911105559E-2</v>
      </c>
      <c r="AE43" s="3">
        <f t="shared" si="27"/>
        <v>2.3300478078110542E-2</v>
      </c>
      <c r="AF43" s="3">
        <f t="shared" si="29"/>
        <v>9.4732674440106916E-3</v>
      </c>
      <c r="AG43" s="3">
        <f t="shared" si="29"/>
        <v>1.1690940793260791E-6</v>
      </c>
      <c r="AH43" s="3">
        <f t="shared" si="29"/>
        <v>9.5795716446304613E-46</v>
      </c>
      <c r="AI43" s="3">
        <f t="shared" si="29"/>
        <v>0</v>
      </c>
      <c r="AJ43" s="3">
        <f t="shared" si="29"/>
        <v>0</v>
      </c>
    </row>
    <row r="44" spans="1:36" x14ac:dyDescent="0.25">
      <c r="A44" s="3">
        <f t="shared" si="30"/>
        <v>1000000000000</v>
      </c>
      <c r="B44" s="106">
        <v>1.8205809031457923E-2</v>
      </c>
      <c r="C44" s="18">
        <f t="shared" si="3"/>
        <v>1.2586213635594824E-2</v>
      </c>
      <c r="D44" s="17"/>
      <c r="F44" s="3">
        <f t="shared" si="28"/>
        <v>1.2586213635594824E-2</v>
      </c>
      <c r="G44" s="3">
        <f t="shared" si="28"/>
        <v>1.2586213635594824E-2</v>
      </c>
      <c r="H44" s="3">
        <f t="shared" si="28"/>
        <v>1.2586213635594824E-2</v>
      </c>
      <c r="I44" s="3">
        <f t="shared" si="28"/>
        <v>1.2586213635594824E-2</v>
      </c>
      <c r="J44" s="3">
        <f t="shared" si="28"/>
        <v>1.2586213635594824E-2</v>
      </c>
      <c r="K44" s="3">
        <f t="shared" si="28"/>
        <v>1.2586213635594824E-2</v>
      </c>
      <c r="L44" s="3">
        <f t="shared" si="28"/>
        <v>1.2586213635594824E-2</v>
      </c>
      <c r="M44" s="3">
        <f t="shared" si="28"/>
        <v>1.2586213635594824E-2</v>
      </c>
      <c r="N44" s="3">
        <f t="shared" si="28"/>
        <v>1.2586213635594824E-2</v>
      </c>
      <c r="O44" s="3">
        <f t="shared" si="28"/>
        <v>1.2586213635594824E-2</v>
      </c>
      <c r="P44" s="3">
        <f t="shared" si="27"/>
        <v>1.2586213635594824E-2</v>
      </c>
      <c r="Q44" s="3">
        <f t="shared" si="27"/>
        <v>1.2586213635594822E-2</v>
      </c>
      <c r="R44" s="3">
        <f t="shared" si="27"/>
        <v>1.2586213635594812E-2</v>
      </c>
      <c r="S44" s="3">
        <f t="shared" si="27"/>
        <v>1.2586213635594699E-2</v>
      </c>
      <c r="T44" s="3">
        <f t="shared" si="27"/>
        <v>1.2586213635593564E-2</v>
      </c>
      <c r="U44" s="3">
        <f t="shared" si="27"/>
        <v>1.2586213635582238E-2</v>
      </c>
      <c r="V44" s="3">
        <f t="shared" si="27"/>
        <v>1.2586213635468961E-2</v>
      </c>
      <c r="W44" s="3">
        <f t="shared" si="27"/>
        <v>1.2586213634336202E-2</v>
      </c>
      <c r="X44" s="3">
        <f t="shared" si="27"/>
        <v>1.2586213623008611E-2</v>
      </c>
      <c r="Y44" s="3">
        <f t="shared" si="27"/>
        <v>1.2586213509732689E-2</v>
      </c>
      <c r="Z44" s="3">
        <f t="shared" si="27"/>
        <v>1.2586212376973525E-2</v>
      </c>
      <c r="AA44" s="3">
        <f t="shared" si="27"/>
        <v>1.2586201049387482E-2</v>
      </c>
      <c r="AB44" s="3">
        <f t="shared" si="27"/>
        <v>1.2586087774087776E-2</v>
      </c>
      <c r="AC44" s="3">
        <f t="shared" si="27"/>
        <v>1.2584955077160235E-2</v>
      </c>
      <c r="AD44" s="3">
        <f t="shared" si="27"/>
        <v>1.2573633712968869E-2</v>
      </c>
      <c r="AE44" s="3">
        <f t="shared" si="27"/>
        <v>1.2460978717452168E-2</v>
      </c>
      <c r="AF44" s="3">
        <f t="shared" si="29"/>
        <v>1.1388477048880607E-2</v>
      </c>
      <c r="AG44" s="3">
        <f t="shared" si="29"/>
        <v>4.630209238727011E-3</v>
      </c>
      <c r="AH44" s="3">
        <f t="shared" si="29"/>
        <v>5.7141321503163416E-7</v>
      </c>
      <c r="AI44" s="3">
        <f t="shared" si="29"/>
        <v>4.6821670974842173E-46</v>
      </c>
      <c r="AJ44" s="3">
        <f t="shared" si="29"/>
        <v>0</v>
      </c>
    </row>
    <row r="45" spans="1:36" x14ac:dyDescent="0.25">
      <c r="A45" s="3">
        <f t="shared" si="30"/>
        <v>10000000000000</v>
      </c>
      <c r="B45" s="106">
        <v>9.9996803124205759E-3</v>
      </c>
      <c r="C45" s="18">
        <f t="shared" si="3"/>
        <v>6.9130744193958088E-3</v>
      </c>
      <c r="D45" s="17"/>
      <c r="F45" s="3">
        <f t="shared" si="28"/>
        <v>6.9130744193958088E-3</v>
      </c>
      <c r="G45" s="3">
        <f t="shared" si="28"/>
        <v>6.9130744193958088E-3</v>
      </c>
      <c r="H45" s="3">
        <f t="shared" si="28"/>
        <v>6.9130744193958088E-3</v>
      </c>
      <c r="I45" s="3">
        <f t="shared" si="28"/>
        <v>6.9130744193958088E-3</v>
      </c>
      <c r="J45" s="3">
        <f t="shared" si="28"/>
        <v>6.9130744193958088E-3</v>
      </c>
      <c r="K45" s="3">
        <f t="shared" si="28"/>
        <v>6.9130744193958088E-3</v>
      </c>
      <c r="L45" s="3">
        <f t="shared" si="28"/>
        <v>6.9130744193958088E-3</v>
      </c>
      <c r="M45" s="3">
        <f t="shared" si="28"/>
        <v>6.9130744193958088E-3</v>
      </c>
      <c r="N45" s="3">
        <f t="shared" si="28"/>
        <v>6.9130744193958088E-3</v>
      </c>
      <c r="O45" s="3">
        <f t="shared" si="28"/>
        <v>6.9130744193958088E-3</v>
      </c>
      <c r="P45" s="3">
        <f t="shared" si="27"/>
        <v>6.9130744193958088E-3</v>
      </c>
      <c r="Q45" s="3">
        <f t="shared" si="27"/>
        <v>6.9130744193958088E-3</v>
      </c>
      <c r="R45" s="3">
        <f t="shared" si="27"/>
        <v>6.913074419395808E-3</v>
      </c>
      <c r="S45" s="3">
        <f t="shared" si="27"/>
        <v>6.9130744193958019E-3</v>
      </c>
      <c r="T45" s="3">
        <f t="shared" si="27"/>
        <v>6.9130744193957394E-3</v>
      </c>
      <c r="U45" s="3">
        <f t="shared" si="27"/>
        <v>6.9130744193951175E-3</v>
      </c>
      <c r="V45" s="3">
        <f t="shared" si="27"/>
        <v>6.913074419388896E-3</v>
      </c>
      <c r="W45" s="3">
        <f t="shared" si="27"/>
        <v>6.9130744193266784E-3</v>
      </c>
      <c r="X45" s="3">
        <f t="shared" si="27"/>
        <v>6.9130744187045016E-3</v>
      </c>
      <c r="Y45" s="3">
        <f t="shared" si="27"/>
        <v>6.9130744124827346E-3</v>
      </c>
      <c r="Z45" s="3">
        <f t="shared" si="27"/>
        <v>6.9130743502650652E-3</v>
      </c>
      <c r="AA45" s="3">
        <f t="shared" si="27"/>
        <v>6.9130737280884017E-3</v>
      </c>
      <c r="AB45" s="3">
        <f t="shared" si="27"/>
        <v>6.9130675063248459E-3</v>
      </c>
      <c r="AC45" s="3">
        <f t="shared" si="27"/>
        <v>6.9130052889972678E-3</v>
      </c>
      <c r="AD45" s="3">
        <f t="shared" si="27"/>
        <v>6.9123831465180896E-3</v>
      </c>
      <c r="AE45" s="3">
        <f t="shared" si="27"/>
        <v>6.906164800361732E-3</v>
      </c>
      <c r="AF45" s="3">
        <f t="shared" si="29"/>
        <v>6.8442881796184473E-3</v>
      </c>
      <c r="AG45" s="3">
        <f t="shared" si="29"/>
        <v>6.2552084083365433E-3</v>
      </c>
      <c r="AH45" s="3">
        <f t="shared" si="29"/>
        <v>2.5431779541839235E-3</v>
      </c>
      <c r="AI45" s="3">
        <f t="shared" si="29"/>
        <v>3.1385309308340047E-7</v>
      </c>
      <c r="AJ45" s="3">
        <f t="shared" si="29"/>
        <v>2.5717162068038538E-46</v>
      </c>
    </row>
    <row r="46" spans="1:36" x14ac:dyDescent="0.25">
      <c r="A46" s="3">
        <f t="shared" si="30"/>
        <v>100000000000000</v>
      </c>
      <c r="B46" s="106">
        <v>4.3863114103554132E-3</v>
      </c>
      <c r="C46" s="18">
        <f t="shared" si="3"/>
        <v>3.0323866622783903E-3</v>
      </c>
      <c r="D46" s="17"/>
      <c r="F46" s="3">
        <f t="shared" si="28"/>
        <v>3.0323866622783903E-3</v>
      </c>
      <c r="G46" s="3">
        <f t="shared" si="28"/>
        <v>3.0323866622783903E-3</v>
      </c>
      <c r="H46" s="3">
        <f t="shared" si="28"/>
        <v>3.0323866622783903E-3</v>
      </c>
      <c r="I46" s="3">
        <f t="shared" si="28"/>
        <v>3.0323866622783903E-3</v>
      </c>
      <c r="J46" s="3">
        <f t="shared" si="28"/>
        <v>3.0323866622783903E-3</v>
      </c>
      <c r="K46" s="3">
        <f t="shared" si="28"/>
        <v>3.0323866622783903E-3</v>
      </c>
      <c r="L46" s="3">
        <f t="shared" si="28"/>
        <v>3.0323866622783903E-3</v>
      </c>
      <c r="M46" s="3">
        <f t="shared" si="28"/>
        <v>3.0323866622783903E-3</v>
      </c>
      <c r="N46" s="3">
        <f t="shared" si="28"/>
        <v>3.0323866622783903E-3</v>
      </c>
      <c r="O46" s="3">
        <f t="shared" si="28"/>
        <v>3.0323866622783903E-3</v>
      </c>
      <c r="P46" s="3">
        <f t="shared" si="27"/>
        <v>3.0323866622783903E-3</v>
      </c>
      <c r="Q46" s="3">
        <f t="shared" si="27"/>
        <v>3.0323866622783903E-3</v>
      </c>
      <c r="R46" s="3">
        <f t="shared" si="27"/>
        <v>3.0323866622783903E-3</v>
      </c>
      <c r="S46" s="3">
        <f t="shared" si="27"/>
        <v>3.0323866622783899E-3</v>
      </c>
      <c r="T46" s="3">
        <f t="shared" si="27"/>
        <v>3.0323866622783873E-3</v>
      </c>
      <c r="U46" s="3">
        <f t="shared" si="27"/>
        <v>3.03238666227836E-3</v>
      </c>
      <c r="V46" s="3">
        <f t="shared" si="27"/>
        <v>3.0323866622780872E-3</v>
      </c>
      <c r="W46" s="3">
        <f t="shared" si="27"/>
        <v>3.032386662275358E-3</v>
      </c>
      <c r="X46" s="3">
        <f t="shared" si="27"/>
        <v>3.0323866622480665E-3</v>
      </c>
      <c r="Y46" s="3">
        <f t="shared" si="27"/>
        <v>3.0323866619751515E-3</v>
      </c>
      <c r="Z46" s="3">
        <f t="shared" si="27"/>
        <v>3.0323866592460039E-3</v>
      </c>
      <c r="AA46" s="3">
        <f t="shared" si="27"/>
        <v>3.0323866319545241E-3</v>
      </c>
      <c r="AB46" s="3">
        <f t="shared" si="27"/>
        <v>3.0323863590397395E-3</v>
      </c>
      <c r="AC46" s="3">
        <f t="shared" si="27"/>
        <v>3.0323836298932444E-3</v>
      </c>
      <c r="AD46" s="3">
        <f t="shared" si="27"/>
        <v>3.0323563385633865E-3</v>
      </c>
      <c r="AE46" s="3">
        <f t="shared" si="27"/>
        <v>3.0320834387735905E-3</v>
      </c>
      <c r="AF46" s="3">
        <f t="shared" si="29"/>
        <v>3.0293557913041716E-3</v>
      </c>
      <c r="AG46" s="3">
        <f t="shared" si="29"/>
        <v>3.0022139108519153E-3</v>
      </c>
      <c r="AH46" s="3">
        <f t="shared" si="29"/>
        <v>2.74381691798266E-3</v>
      </c>
      <c r="AI46" s="3">
        <f t="shared" si="29"/>
        <v>1.1155527107347095E-3</v>
      </c>
      <c r="AJ46" s="3">
        <f t="shared" si="29"/>
        <v>1.376701414801348E-7</v>
      </c>
    </row>
    <row r="47" spans="1:36" x14ac:dyDescent="0.25">
      <c r="A47" s="3">
        <f t="shared" si="30"/>
        <v>1000000000000000</v>
      </c>
      <c r="B47" s="106">
        <v>2.9435011167880203E-6</v>
      </c>
      <c r="C47" s="18">
        <f t="shared" si="3"/>
        <v>2.0349292815546579E-6</v>
      </c>
      <c r="D47" s="17"/>
      <c r="F47" s="3">
        <f t="shared" si="28"/>
        <v>2.0349292815546579E-6</v>
      </c>
      <c r="G47" s="3">
        <f t="shared" si="28"/>
        <v>2.0349292815546579E-6</v>
      </c>
      <c r="H47" s="3">
        <f t="shared" si="28"/>
        <v>2.0349292815546579E-6</v>
      </c>
      <c r="I47" s="3">
        <f t="shared" si="28"/>
        <v>2.0349292815546579E-6</v>
      </c>
      <c r="J47" s="3">
        <f t="shared" si="28"/>
        <v>2.0349292815546579E-6</v>
      </c>
      <c r="K47" s="3">
        <f t="shared" si="28"/>
        <v>2.0349292815546579E-6</v>
      </c>
      <c r="L47" s="3">
        <f t="shared" si="28"/>
        <v>2.0349292815546579E-6</v>
      </c>
      <c r="M47" s="3">
        <f t="shared" si="28"/>
        <v>2.0349292815546579E-6</v>
      </c>
      <c r="N47" s="3">
        <f t="shared" si="28"/>
        <v>2.0349292815546579E-6</v>
      </c>
      <c r="O47" s="3">
        <f t="shared" si="28"/>
        <v>2.0349292815546579E-6</v>
      </c>
      <c r="P47" s="3">
        <f t="shared" si="27"/>
        <v>2.0349292815546579E-6</v>
      </c>
      <c r="Q47" s="3">
        <f t="shared" si="27"/>
        <v>2.0349292815546579E-6</v>
      </c>
      <c r="R47" s="3">
        <f t="shared" si="27"/>
        <v>2.0349292815546579E-6</v>
      </c>
      <c r="S47" s="3">
        <f t="shared" si="27"/>
        <v>2.0349292815546579E-6</v>
      </c>
      <c r="T47" s="3">
        <f t="shared" si="27"/>
        <v>2.0349292815546575E-6</v>
      </c>
      <c r="U47" s="3">
        <f t="shared" si="27"/>
        <v>2.0349292815546558E-6</v>
      </c>
      <c r="V47" s="3">
        <f t="shared" si="27"/>
        <v>2.0349292815546376E-6</v>
      </c>
      <c r="W47" s="3">
        <f t="shared" si="27"/>
        <v>2.0349292815544542E-6</v>
      </c>
      <c r="X47" s="3">
        <f t="shared" si="27"/>
        <v>2.0349292815526229E-6</v>
      </c>
      <c r="Y47" s="3">
        <f t="shared" si="27"/>
        <v>2.0349292815343088E-6</v>
      </c>
      <c r="Z47" s="3">
        <f t="shared" si="27"/>
        <v>2.034929281351165E-6</v>
      </c>
      <c r="AA47" s="3">
        <f t="shared" si="27"/>
        <v>2.0349292795197286E-6</v>
      </c>
      <c r="AB47" s="3">
        <f t="shared" si="27"/>
        <v>2.0349292612053652E-6</v>
      </c>
      <c r="AC47" s="3">
        <f t="shared" si="27"/>
        <v>2.0349290780617402E-6</v>
      </c>
      <c r="AD47" s="3">
        <f t="shared" si="27"/>
        <v>2.0349272466263937E-6</v>
      </c>
      <c r="AE47" s="3">
        <f t="shared" si="27"/>
        <v>2.0349089323635885E-6</v>
      </c>
      <c r="AF47" s="3">
        <f t="shared" si="29"/>
        <v>2.0347257988008099E-6</v>
      </c>
      <c r="AG47" s="3">
        <f t="shared" si="29"/>
        <v>2.0328953693986739E-6</v>
      </c>
      <c r="AH47" s="3">
        <f t="shared" si="29"/>
        <v>2.014681396894503E-6</v>
      </c>
      <c r="AI47" s="3">
        <f t="shared" si="29"/>
        <v>1.8412801570076868E-6</v>
      </c>
      <c r="AJ47" s="3">
        <f t="shared" si="29"/>
        <v>7.4860864692173219E-7</v>
      </c>
    </row>
    <row r="48" spans="1:36" x14ac:dyDescent="0.25">
      <c r="A48" s="3">
        <f t="shared" si="30"/>
        <v>1E+16</v>
      </c>
      <c r="B48" s="106">
        <v>1.6983024800078211E-2</v>
      </c>
      <c r="C48" s="18">
        <f t="shared" si="3"/>
        <v>1.1740866771866395E-2</v>
      </c>
      <c r="D48" s="17"/>
      <c r="F48" s="3">
        <f t="shared" si="28"/>
        <v>1.1740866771866395E-2</v>
      </c>
      <c r="G48" s="3">
        <f t="shared" si="28"/>
        <v>1.1740866771866395E-2</v>
      </c>
      <c r="H48" s="3">
        <f t="shared" si="28"/>
        <v>1.1740866771866395E-2</v>
      </c>
      <c r="I48" s="3">
        <f t="shared" si="28"/>
        <v>1.1740866771866395E-2</v>
      </c>
      <c r="J48" s="3">
        <f t="shared" si="28"/>
        <v>1.1740866771866395E-2</v>
      </c>
      <c r="K48" s="3">
        <f t="shared" si="28"/>
        <v>1.1740866771866395E-2</v>
      </c>
      <c r="L48" s="3">
        <f t="shared" si="28"/>
        <v>1.1740866771866395E-2</v>
      </c>
      <c r="M48" s="3">
        <f t="shared" si="28"/>
        <v>1.1740866771866395E-2</v>
      </c>
      <c r="N48" s="3">
        <f t="shared" si="28"/>
        <v>1.1740866771866395E-2</v>
      </c>
      <c r="O48" s="3">
        <f t="shared" si="28"/>
        <v>1.1740866771866395E-2</v>
      </c>
      <c r="P48" s="3">
        <f t="shared" si="27"/>
        <v>1.1740866771866395E-2</v>
      </c>
      <c r="Q48" s="3">
        <f t="shared" si="27"/>
        <v>1.1740866771866395E-2</v>
      </c>
      <c r="R48" s="3">
        <f t="shared" si="27"/>
        <v>1.1740866771866395E-2</v>
      </c>
      <c r="S48" s="3">
        <f t="shared" si="27"/>
        <v>1.1740866771866395E-2</v>
      </c>
      <c r="T48" s="3">
        <f t="shared" si="27"/>
        <v>1.1740866771866395E-2</v>
      </c>
      <c r="U48" s="3">
        <f t="shared" si="27"/>
        <v>1.1740866771866393E-2</v>
      </c>
      <c r="V48" s="3">
        <f t="shared" si="27"/>
        <v>1.1740866771866382E-2</v>
      </c>
      <c r="W48" s="3">
        <f t="shared" si="27"/>
        <v>1.1740866771866277E-2</v>
      </c>
      <c r="X48" s="3">
        <f t="shared" si="27"/>
        <v>1.174086677186522E-2</v>
      </c>
      <c r="Y48" s="3">
        <f t="shared" si="27"/>
        <v>1.1740866771854654E-2</v>
      </c>
      <c r="Z48" s="3">
        <f t="shared" si="27"/>
        <v>1.1740866771748987E-2</v>
      </c>
      <c r="AA48" s="3">
        <f t="shared" si="27"/>
        <v>1.1740866770692308E-2</v>
      </c>
      <c r="AB48" s="3">
        <f t="shared" si="27"/>
        <v>1.1740866760125528E-2</v>
      </c>
      <c r="AC48" s="3">
        <f t="shared" si="27"/>
        <v>1.1740866654457727E-2</v>
      </c>
      <c r="AD48" s="3">
        <f t="shared" si="27"/>
        <v>1.1740865597779777E-2</v>
      </c>
      <c r="AE48" s="3">
        <f t="shared" si="27"/>
        <v>1.1740855031005493E-2</v>
      </c>
      <c r="AF48" s="3">
        <f t="shared" si="29"/>
        <v>1.1740749363785717E-2</v>
      </c>
      <c r="AG48" s="3">
        <f t="shared" si="29"/>
        <v>1.1739692743891585E-2</v>
      </c>
      <c r="AH48" s="3">
        <f t="shared" si="29"/>
        <v>1.1729131773571592E-2</v>
      </c>
      <c r="AI48" s="3">
        <f t="shared" si="29"/>
        <v>1.1624043195557456E-2</v>
      </c>
      <c r="AJ48" s="3">
        <f t="shared" si="29"/>
        <v>1.0623575575359779E-2</v>
      </c>
    </row>
    <row r="49" spans="1:36" x14ac:dyDescent="0.25">
      <c r="B49" s="16">
        <f>SUM(B17:B48)</f>
        <v>1.4464881622516268</v>
      </c>
      <c r="C49" s="18">
        <f>SUM(C17:C48)</f>
        <v>1.0000000000000004</v>
      </c>
      <c r="F49" s="3">
        <f t="shared" ref="F49:AJ49" si="31">F16-F17</f>
        <v>60.013253807560432</v>
      </c>
      <c r="G49" s="3">
        <f t="shared" si="31"/>
        <v>-77.625683257217133</v>
      </c>
      <c r="H49" s="3">
        <f t="shared" si="31"/>
        <v>20.553987452342881</v>
      </c>
      <c r="I49" s="3">
        <f t="shared" si="31"/>
        <v>-3.3609421668079449</v>
      </c>
      <c r="J49" s="3">
        <f t="shared" si="31"/>
        <v>0.47024759160467511</v>
      </c>
      <c r="K49" s="3">
        <f t="shared" si="31"/>
        <v>-6.447685243711021E-2</v>
      </c>
      <c r="L49" s="3">
        <f t="shared" si="31"/>
        <v>3.9140739974754979E-2</v>
      </c>
      <c r="M49" s="3">
        <f t="shared" si="31"/>
        <v>-0.10120313786683255</v>
      </c>
      <c r="N49" s="3">
        <f t="shared" si="31"/>
        <v>0.23347005134201027</v>
      </c>
      <c r="O49" s="3">
        <f t="shared" si="31"/>
        <v>-0.46477343821516115</v>
      </c>
      <c r="P49" s="3">
        <f t="shared" si="31"/>
        <v>0.79253905472342012</v>
      </c>
      <c r="Q49" s="3">
        <f t="shared" si="31"/>
        <v>-1.1439146987358981</v>
      </c>
      <c r="R49" s="3">
        <f t="shared" si="31"/>
        <v>1.3985789877515344</v>
      </c>
      <c r="S49" s="3">
        <f t="shared" si="31"/>
        <v>-1.4629801821502042</v>
      </c>
      <c r="T49" s="3">
        <f t="shared" si="31"/>
        <v>1.3076608131559624</v>
      </c>
      <c r="U49" s="3">
        <f t="shared" si="31"/>
        <v>-1.0003717409254023</v>
      </c>
      <c r="V49" s="3">
        <f t="shared" si="31"/>
        <v>0.65536567765730069</v>
      </c>
      <c r="W49" s="3">
        <f t="shared" si="31"/>
        <v>-0.37858372943355789</v>
      </c>
      <c r="X49" s="3">
        <f t="shared" si="31"/>
        <v>0.1880626952406601</v>
      </c>
      <c r="Y49" s="3">
        <f t="shared" si="31"/>
        <v>-7.7503678078301164E-2</v>
      </c>
      <c r="Z49" s="3">
        <f t="shared" si="31"/>
        <v>2.5029171319374655E-2</v>
      </c>
      <c r="AA49" s="3">
        <f t="shared" si="31"/>
        <v>-6.3338584468510817E-3</v>
      </c>
      <c r="AB49" s="3">
        <f t="shared" si="31"/>
        <v>3.442496262550776E-3</v>
      </c>
      <c r="AC49" s="3">
        <f t="shared" si="31"/>
        <v>-4.8639415199431824E-3</v>
      </c>
      <c r="AD49" s="3">
        <f t="shared" si="31"/>
        <v>3.8411863101828203E-4</v>
      </c>
      <c r="AE49" s="3">
        <f t="shared" si="31"/>
        <v>6.4449242373711968E-3</v>
      </c>
      <c r="AF49" s="3">
        <f t="shared" si="31"/>
        <v>-9.91950661671126E-3</v>
      </c>
      <c r="AG49" s="3">
        <f t="shared" si="31"/>
        <v>1.8647073168892803E-2</v>
      </c>
      <c r="AH49" s="3">
        <f t="shared" si="31"/>
        <v>-2.4338379776025931E-2</v>
      </c>
      <c r="AI49" s="3">
        <f t="shared" si="31"/>
        <v>2.5812781013314634E-2</v>
      </c>
      <c r="AJ49" s="3">
        <f t="shared" si="31"/>
        <v>-1.0360048759025631E-2</v>
      </c>
    </row>
    <row r="50" spans="1:36" x14ac:dyDescent="0.25">
      <c r="F50" s="57">
        <f t="shared" ref="F50:AJ50" si="32">F49/F17</f>
        <v>8.850764267898964E-3</v>
      </c>
      <c r="G50" s="57">
        <f t="shared" si="32"/>
        <v>-1.1549340356852665E-2</v>
      </c>
      <c r="H50" s="57">
        <f t="shared" si="32"/>
        <v>3.1589425416918217E-3</v>
      </c>
      <c r="I50" s="57">
        <f t="shared" si="32"/>
        <v>-5.2380819025774777E-4</v>
      </c>
      <c r="J50" s="57">
        <f t="shared" si="32"/>
        <v>7.4804757823208683E-5</v>
      </c>
      <c r="K50" s="57">
        <f t="shared" si="32"/>
        <v>-1.0481516892603667E-5</v>
      </c>
      <c r="L50" s="57">
        <f t="shared" si="32"/>
        <v>6.5245243909506087E-6</v>
      </c>
      <c r="M50" s="57">
        <f t="shared" si="32"/>
        <v>-1.7346255471530523E-5</v>
      </c>
      <c r="N50" s="57">
        <f t="shared" si="32"/>
        <v>4.1245959567325178E-5</v>
      </c>
      <c r="O50" s="57">
        <f t="shared" si="32"/>
        <v>-8.4487385853139119E-5</v>
      </c>
      <c r="P50" s="57">
        <f t="shared" si="32"/>
        <v>1.4910630713844017E-4</v>
      </c>
      <c r="Q50" s="57">
        <f t="shared" si="32"/>
        <v>-2.2446839965725734E-4</v>
      </c>
      <c r="R50" s="57">
        <f t="shared" si="32"/>
        <v>2.8787552598529014E-4</v>
      </c>
      <c r="S50" s="57">
        <f t="shared" si="32"/>
        <v>-3.1426251559359163E-4</v>
      </c>
      <c r="T50" s="57">
        <f t="shared" si="32"/>
        <v>2.926811868143783E-4</v>
      </c>
      <c r="U50" s="57">
        <f t="shared" si="32"/>
        <v>-2.3433586210236428E-4</v>
      </c>
      <c r="V50" s="57">
        <f t="shared" si="32"/>
        <v>1.648252956173623E-4</v>
      </c>
      <c r="W50" s="57">
        <f t="shared" si="32"/>
        <v>-1.0986058754551227E-4</v>
      </c>
      <c r="X50" s="57">
        <f t="shared" si="32"/>
        <v>6.6238438268954126E-5</v>
      </c>
      <c r="Y50" s="57">
        <f t="shared" si="32"/>
        <v>-3.3140354868545036E-5</v>
      </c>
      <c r="Z50" s="57">
        <f t="shared" si="32"/>
        <v>1.2768016719080033E-5</v>
      </c>
      <c r="AA50" s="57">
        <f t="shared" si="32"/>
        <v>-3.8240434379399491E-6</v>
      </c>
      <c r="AB50" s="57">
        <f t="shared" si="32"/>
        <v>2.4816017045703131E-6</v>
      </c>
      <c r="AC50" s="57">
        <f t="shared" si="32"/>
        <v>-4.3423792799062304E-6</v>
      </c>
      <c r="AD50" s="57">
        <f t="shared" si="32"/>
        <v>4.5227811415053021E-7</v>
      </c>
      <c r="AE50" s="57">
        <f t="shared" si="32"/>
        <v>1.070560303112362E-5</v>
      </c>
      <c r="AF50" s="57">
        <f t="shared" si="32"/>
        <v>-2.3927711147224712E-5</v>
      </c>
      <c r="AG50" s="57">
        <f t="shared" si="32"/>
        <v>6.2838583218347813E-5</v>
      </c>
      <c r="AH50" s="57">
        <f t="shared" si="32"/>
        <v>-1.0289839181395837E-4</v>
      </c>
      <c r="AI50" s="57">
        <f t="shared" si="32"/>
        <v>1.2492754335739257E-4</v>
      </c>
      <c r="AJ50" s="57">
        <f t="shared" si="32"/>
        <v>-5.401004707843532E-5</v>
      </c>
    </row>
    <row r="51" spans="1:36" x14ac:dyDescent="0.25">
      <c r="A51" s="13" t="s">
        <v>21</v>
      </c>
      <c r="B51" s="3">
        <f>STUTT!D8</f>
        <v>6992.4087</v>
      </c>
      <c r="E51" s="11" t="s">
        <v>24</v>
      </c>
      <c r="F51" s="20">
        <f t="shared" ref="F51:AJ51" si="33">(F16-F17)^2</f>
        <v>3601.5906325706665</v>
      </c>
      <c r="G51" s="20">
        <f t="shared" si="33"/>
        <v>6025.7467011498002</v>
      </c>
      <c r="H51" s="20">
        <f t="shared" si="33"/>
        <v>422.4664001910686</v>
      </c>
      <c r="I51" s="20">
        <f t="shared" si="33"/>
        <v>11.295932248627684</v>
      </c>
      <c r="J51" s="20">
        <f t="shared" si="33"/>
        <v>0.22113279740999731</v>
      </c>
      <c r="K51" s="20">
        <f t="shared" si="33"/>
        <v>4.1572645001968847E-3</v>
      </c>
      <c r="L51" s="20">
        <f t="shared" si="33"/>
        <v>1.5319975257713824E-3</v>
      </c>
      <c r="M51" s="20">
        <f t="shared" si="33"/>
        <v>1.0242075114093117E-2</v>
      </c>
      <c r="N51" s="20">
        <f t="shared" si="33"/>
        <v>5.450826487364091E-2</v>
      </c>
      <c r="O51" s="20">
        <f t="shared" si="33"/>
        <v>0.21601434887034221</v>
      </c>
      <c r="P51" s="20">
        <f t="shared" si="33"/>
        <v>0.62811815326189235</v>
      </c>
      <c r="Q51" s="20">
        <f t="shared" si="33"/>
        <v>1.3085408379840406</v>
      </c>
      <c r="R51" s="20">
        <f t="shared" si="33"/>
        <v>1.9560231849801066</v>
      </c>
      <c r="S51" s="20">
        <f t="shared" si="33"/>
        <v>2.1403110133642445</v>
      </c>
      <c r="T51" s="20">
        <f t="shared" si="33"/>
        <v>1.7099768022637127</v>
      </c>
      <c r="U51" s="20">
        <f t="shared" si="33"/>
        <v>1.0007436200421203</v>
      </c>
      <c r="V51" s="20">
        <f t="shared" si="33"/>
        <v>0.42950417145121295</v>
      </c>
      <c r="W51" s="20">
        <f t="shared" si="33"/>
        <v>0.14332564019182137</v>
      </c>
      <c r="X51" s="20">
        <f t="shared" si="33"/>
        <v>3.53675773411814E-2</v>
      </c>
      <c r="Y51" s="20">
        <f t="shared" si="33"/>
        <v>6.0068201156649407E-3</v>
      </c>
      <c r="Z51" s="20">
        <f t="shared" si="33"/>
        <v>6.2645941693460674E-4</v>
      </c>
      <c r="AA51" s="20">
        <f t="shared" si="33"/>
        <v>4.0117762824746799E-5</v>
      </c>
      <c r="AB51" s="20">
        <f t="shared" si="33"/>
        <v>1.1850780517676062E-5</v>
      </c>
      <c r="AC51" s="20">
        <f t="shared" si="33"/>
        <v>2.3657927109427194E-5</v>
      </c>
      <c r="AD51" s="20">
        <f t="shared" si="33"/>
        <v>1.4754712269535911E-7</v>
      </c>
      <c r="AE51" s="20">
        <f t="shared" si="33"/>
        <v>4.1537048425454705E-5</v>
      </c>
      <c r="AF51" s="20">
        <f t="shared" si="33"/>
        <v>9.8396611518978465E-5</v>
      </c>
      <c r="AG51" s="20">
        <f t="shared" si="33"/>
        <v>3.4771333776604184E-4</v>
      </c>
      <c r="AH51" s="20">
        <f t="shared" si="33"/>
        <v>5.923567301220681E-4</v>
      </c>
      <c r="AI51" s="20">
        <f t="shared" si="33"/>
        <v>6.6629966364133652E-4</v>
      </c>
      <c r="AJ51" s="20">
        <f t="shared" si="33"/>
        <v>1.0733061028938851E-4</v>
      </c>
    </row>
    <row r="52" spans="1:36" x14ac:dyDescent="0.25">
      <c r="A52" s="13"/>
    </row>
    <row r="53" spans="1:36" x14ac:dyDescent="0.25">
      <c r="E53" s="118" t="s">
        <v>25</v>
      </c>
      <c r="F53" s="118"/>
      <c r="G53" s="104">
        <f>SUM(F51:AJ51)</f>
        <v>10070.967726596888</v>
      </c>
      <c r="I53" s="3">
        <f>G53+C123</f>
        <v>10070.967726596888</v>
      </c>
      <c r="K53" s="3">
        <f>SUM(Z51:AJ51)</f>
        <v>2.5558674362724204E-3</v>
      </c>
    </row>
    <row r="55" spans="1:36" x14ac:dyDescent="0.25">
      <c r="E55" s="30" t="s">
        <v>30</v>
      </c>
      <c r="F55" s="31">
        <f t="shared" ref="F55:AJ55" si="34">ABS(F17-F16)/F16</f>
        <v>8.7731154907948854E-3</v>
      </c>
      <c r="G55" s="31">
        <f t="shared" si="34"/>
        <v>1.1684286154477587E-2</v>
      </c>
      <c r="H55" s="31">
        <f t="shared" si="34"/>
        <v>3.148995047273413E-3</v>
      </c>
      <c r="I55" s="31">
        <f t="shared" si="34"/>
        <v>5.2408270907313272E-4</v>
      </c>
      <c r="J55" s="31">
        <f t="shared" si="34"/>
        <v>7.4799162489973245E-5</v>
      </c>
      <c r="K55" s="31">
        <f t="shared" si="34"/>
        <v>1.0481626755951572E-5</v>
      </c>
      <c r="L55" s="31">
        <f t="shared" si="34"/>
        <v>6.5244818218098236E-6</v>
      </c>
      <c r="M55" s="31">
        <f t="shared" si="34"/>
        <v>1.7346556369328856E-5</v>
      </c>
      <c r="N55" s="31">
        <f t="shared" si="34"/>
        <v>4.1244258408310483E-5</v>
      </c>
      <c r="O55" s="31">
        <f t="shared" si="34"/>
        <v>8.4494524574639336E-5</v>
      </c>
      <c r="P55" s="31">
        <f t="shared" si="34"/>
        <v>1.4908407776215193E-4</v>
      </c>
      <c r="Q55" s="31">
        <f t="shared" si="34"/>
        <v>2.2451879703232016E-4</v>
      </c>
      <c r="R55" s="31">
        <f t="shared" si="34"/>
        <v>2.8779267751687527E-4</v>
      </c>
      <c r="S55" s="31">
        <f t="shared" si="34"/>
        <v>3.1436130756891352E-4</v>
      </c>
      <c r="T55" s="31">
        <f t="shared" si="34"/>
        <v>2.925955496016643E-4</v>
      </c>
      <c r="U55" s="31">
        <f t="shared" si="34"/>
        <v>2.3439078826980233E-4</v>
      </c>
      <c r="V55" s="31">
        <f t="shared" si="34"/>
        <v>1.6479813271642012E-4</v>
      </c>
      <c r="W55" s="31">
        <f t="shared" si="34"/>
        <v>1.0987265822029954E-4</v>
      </c>
      <c r="X55" s="31">
        <f t="shared" si="34"/>
        <v>6.6234051028853753E-5</v>
      </c>
      <c r="Y55" s="31">
        <f t="shared" si="34"/>
        <v>3.3141453188064549E-5</v>
      </c>
      <c r="Z55" s="31">
        <f t="shared" si="34"/>
        <v>1.2767853698910537E-5</v>
      </c>
      <c r="AA55" s="31">
        <f t="shared" si="34"/>
        <v>3.8240580613040846E-6</v>
      </c>
      <c r="AB55" s="31">
        <f t="shared" si="34"/>
        <v>2.4815955462385755E-6</v>
      </c>
      <c r="AC55" s="31">
        <f t="shared" si="34"/>
        <v>4.3423981362459218E-6</v>
      </c>
      <c r="AD55" s="31">
        <f t="shared" si="34"/>
        <v>4.5227790959513018E-7</v>
      </c>
      <c r="AE55" s="31">
        <f t="shared" si="34"/>
        <v>1.0705488422414316E-5</v>
      </c>
      <c r="AF55" s="31">
        <f t="shared" si="34"/>
        <v>2.3928283696285243E-5</v>
      </c>
      <c r="AG55" s="31">
        <f t="shared" si="34"/>
        <v>6.2834634778921255E-5</v>
      </c>
      <c r="AH55" s="31">
        <f t="shared" si="34"/>
        <v>1.029089809826047E-4</v>
      </c>
      <c r="AI55" s="31">
        <f t="shared" si="34"/>
        <v>1.2491193841579026E-4</v>
      </c>
      <c r="AJ55" s="31">
        <f t="shared" si="34"/>
        <v>5.4012964321181152E-5</v>
      </c>
    </row>
    <row r="56" spans="1:36" x14ac:dyDescent="0.25">
      <c r="E56" s="13" t="s">
        <v>31</v>
      </c>
      <c r="F56" s="32">
        <f>AVERAGE(F55:AJ55)</f>
        <v>8.5952677351335124E-4</v>
      </c>
    </row>
    <row r="57" spans="1:36" x14ac:dyDescent="0.25">
      <c r="A57" s="42"/>
      <c r="B57" s="15"/>
      <c r="C57" s="15"/>
      <c r="D57" s="15"/>
      <c r="F57" s="60">
        <f>AVERAGE(S55:X55)</f>
        <v>1.9704208123432558E-4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-21.791859757314405</v>
      </c>
    </row>
    <row r="119" spans="1:14" x14ac:dyDescent="0.25">
      <c r="L119" s="11">
        <f>L118+1</f>
        <v>2</v>
      </c>
      <c r="M119" s="11">
        <f t="shared" ref="M119:M124" si="35">INDEX($B$125:$K$126,1,L119)</f>
        <v>0</v>
      </c>
      <c r="N119" s="11">
        <f t="shared" ref="N119:N124" si="36">IF(L119=$B$3,0,INDEX($B$125:$K$126,2,L119))</f>
        <v>-13.12367018372645</v>
      </c>
    </row>
    <row r="120" spans="1:14" x14ac:dyDescent="0.25">
      <c r="L120" s="11">
        <f t="shared" ref="L120:L124" si="37">L119+1</f>
        <v>3</v>
      </c>
      <c r="M120" s="11">
        <f t="shared" si="35"/>
        <v>25</v>
      </c>
      <c r="N120" s="11">
        <f t="shared" si="36"/>
        <v>-9.5044877068991465</v>
      </c>
    </row>
    <row r="121" spans="1:14" x14ac:dyDescent="0.25">
      <c r="A121" s="103">
        <f>(A165+A204+A243+A282+A321+A360+A399)*10^9</f>
        <v>1.2471453371224252E+16</v>
      </c>
      <c r="L121" s="11">
        <f t="shared" si="37"/>
        <v>4</v>
      </c>
      <c r="M121" s="11">
        <f t="shared" si="35"/>
        <v>50</v>
      </c>
      <c r="N121" s="11">
        <f t="shared" si="36"/>
        <v>-4.7516897055913923</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8"/>
      <c r="B123" s="118"/>
      <c r="C123" s="3"/>
      <c r="D123" s="3"/>
      <c r="E123" s="3"/>
      <c r="F123" s="3"/>
      <c r="G123" s="3"/>
      <c r="H123" s="3"/>
      <c r="I123" s="3"/>
      <c r="J123" s="3"/>
      <c r="K123" s="3"/>
      <c r="L123" s="11">
        <f t="shared" si="37"/>
        <v>6</v>
      </c>
      <c r="M123" s="11">
        <f t="shared" si="35"/>
        <v>125</v>
      </c>
      <c r="N123" s="11">
        <f t="shared" si="36"/>
        <v>11.590177768105876</v>
      </c>
    </row>
    <row r="124" spans="1:14" x14ac:dyDescent="0.25">
      <c r="B124" s="3"/>
      <c r="C124" s="3"/>
      <c r="D124" s="3"/>
      <c r="E124" s="3"/>
      <c r="F124" s="3"/>
      <c r="G124" s="3"/>
      <c r="H124" s="3"/>
      <c r="I124" s="3"/>
      <c r="J124" s="3"/>
      <c r="K124" s="3"/>
      <c r="L124" s="11">
        <f t="shared" si="37"/>
        <v>7</v>
      </c>
      <c r="M124" s="11">
        <f t="shared" si="35"/>
        <v>160</v>
      </c>
      <c r="N124" s="11">
        <f t="shared" si="36"/>
        <v>24.749725021281535</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-21.791859757314405</v>
      </c>
      <c r="C126" s="107">
        <v>-13.12367018372645</v>
      </c>
      <c r="D126" s="107">
        <v>-9.5044877068991465</v>
      </c>
      <c r="E126" s="107">
        <v>-4.7516897055913923</v>
      </c>
      <c r="F126" s="107">
        <v>-4.4515395122520613E-4</v>
      </c>
      <c r="G126" s="107">
        <v>11.590177768105876</v>
      </c>
      <c r="H126" s="107">
        <v>24.749725021281535</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7093.1154116431162</v>
      </c>
      <c r="C130" s="26">
        <f>INDEX(Comparison!$AM$3:$AS$33,G14,$B$122)</f>
        <v>7093.186769557813</v>
      </c>
      <c r="D130" s="26">
        <f>INDEX(Comparison!$AM$3:$AS$33,H14,$B$122)</f>
        <v>7093.1496241627792</v>
      </c>
      <c r="E130" s="26">
        <f>INDEX(Comparison!$AM$3:$AS$33,I14,$B$122)</f>
        <v>7093.139849123485</v>
      </c>
      <c r="F130" s="26">
        <f>INDEX(Comparison!$AM$3:$AS$33,J14,$B$122)</f>
        <v>7093.1370316171597</v>
      </c>
      <c r="G130" s="26">
        <f>INDEX(Comparison!$AM$3:$AS$33,K14,$B$122)</f>
        <v>7093.1361691156708</v>
      </c>
      <c r="H130" s="26">
        <f>INDEX(Comparison!$AM$3:$AS$33,L14,$B$122)</f>
        <v>7093.1358816152215</v>
      </c>
      <c r="I130" s="26">
        <f>INDEX(Comparison!$AM$3:$AS$33,M14,$B$122)</f>
        <v>7093.135709114963</v>
      </c>
      <c r="J130" s="26">
        <f>INDEX(Comparison!$AM$3:$AS$33,N14,$B$122)</f>
        <v>7093.1355366147118</v>
      </c>
      <c r="K130" s="26">
        <f>INDEX(Comparison!$AM$3:$AS$33,O14,$B$122)</f>
        <v>7093.1340991129555</v>
      </c>
      <c r="L130" s="26">
        <f>INDEX(Comparison!$AM$3:$AS$33,P14,$B$122)</f>
        <v>7093.1198391270691</v>
      </c>
      <c r="M130" s="26">
        <f>INDEX(Comparison!$AM$3:$AS$33,Q14,$B$122)</f>
        <v>7092.9771274266232</v>
      </c>
      <c r="N130" s="26">
        <f>INDEX(Comparison!$AM$3:$AS$33,R14,$B$122)</f>
        <v>7091.5625107943715</v>
      </c>
      <c r="O130" s="26">
        <f>INDEX(Comparison!$AM$3:$AS$33,S14,$B$122)</f>
        <v>7078.0585854387473</v>
      </c>
      <c r="P130" s="26">
        <f>INDEX(Comparison!$AM$3:$AS$33,T14,$B$122)</f>
        <v>6980.1771345591078</v>
      </c>
      <c r="Q130" s="26">
        <f>INDEX(Comparison!$AM$3:$AS$33,U14,$B$122)</f>
        <v>6817.7458366168885</v>
      </c>
      <c r="R130" s="26">
        <f>INDEX(Comparison!$AM$3:$AS$33,V14,$B$122)</f>
        <v>6700.2000319833087</v>
      </c>
      <c r="S130" s="26">
        <f>INDEX(Comparison!$AM$3:$AS$33,W14,$B$122)</f>
        <v>6581.4875752007347</v>
      </c>
      <c r="T130" s="26">
        <f>INDEX(Comparison!$AM$3:$AS$33,X14,$B$122)</f>
        <v>6449.3747740231202</v>
      </c>
      <c r="U130" s="26">
        <f>INDEX(Comparison!$AM$3:$AS$33,Y14,$B$122)</f>
        <v>6289.3605252793404</v>
      </c>
      <c r="V130" s="26">
        <f>INDEX(Comparison!$AM$3:$AS$33,Z14,$B$122)</f>
        <v>6015.8011652173718</v>
      </c>
      <c r="W130" s="26">
        <f>INDEX(Comparison!$AM$3:$AS$33,AA14,$B$122)</f>
        <v>5393.4478275395559</v>
      </c>
      <c r="X130" s="26">
        <f>INDEX(Comparison!$AM$3:$AS$33,AB14,$B$122)</f>
        <v>4577.424969740212</v>
      </c>
      <c r="Y130" s="26">
        <f>INDEX(Comparison!$AM$3:$AS$33,AC14,$B$122)</f>
        <v>3914.6236771373719</v>
      </c>
      <c r="Z130" s="26">
        <f>INDEX(Comparison!$AM$3:$AS$33,AD14,$B$122)</f>
        <v>3439.215903424868</v>
      </c>
      <c r="AA130" s="26">
        <f>INDEX(Comparison!$AM$3:$AS$33,AE14,$B$122)</f>
        <v>3078.9760704970804</v>
      </c>
      <c r="AB130" s="26">
        <f>INDEX(Comparison!$AM$3:$AS$33,AF14,$B$122)</f>
        <v>2798.5736498484516</v>
      </c>
      <c r="AC130" s="26">
        <f>INDEX(Comparison!$AM$3:$AS$33,AG14,$B$122)</f>
        <v>2590.4913778751102</v>
      </c>
      <c r="AD130" s="26">
        <f>INDEX(Comparison!$AM$3:$AS$33,AH14,$B$122)</f>
        <v>2428.2171958860131</v>
      </c>
      <c r="AE130" s="26">
        <f>INDEX(Comparison!$AM$3:$AS$33,AI14,$B$122)</f>
        <v>2284.9023004500814</v>
      </c>
      <c r="AF130" s="26">
        <f>INDEX(Comparison!$AM$3:$AS$33,AJ14,$B$122)</f>
        <v>2162.351794570352</v>
      </c>
    </row>
    <row r="131" spans="1:33" x14ac:dyDescent="0.25">
      <c r="A131" s="68" t="s">
        <v>22</v>
      </c>
      <c r="B131" s="27">
        <f>($C$17+SUM(B132:B162))*$B$51</f>
        <v>6992.4016799387045</v>
      </c>
      <c r="C131" s="27">
        <f t="shared" ref="C131:AF131" si="40">($C$17+SUM(C132:C162))*$B$51</f>
        <v>6992.338510236832</v>
      </c>
      <c r="D131" s="27">
        <f t="shared" si="40"/>
        <v>6991.7078861190785</v>
      </c>
      <c r="E131" s="27">
        <f t="shared" si="40"/>
        <v>6985.5077179102382</v>
      </c>
      <c r="F131" s="27">
        <f t="shared" si="40"/>
        <v>6932.994100837991</v>
      </c>
      <c r="G131" s="27">
        <f t="shared" si="40"/>
        <v>6794.6178709721062</v>
      </c>
      <c r="H131" s="27">
        <f t="shared" si="40"/>
        <v>6788.0288114696978</v>
      </c>
      <c r="I131" s="27">
        <f t="shared" si="40"/>
        <v>6788.0054653828201</v>
      </c>
      <c r="J131" s="27">
        <f t="shared" si="40"/>
        <v>6787.772104053648</v>
      </c>
      <c r="K131" s="27">
        <f t="shared" si="40"/>
        <v>6785.4484156627623</v>
      </c>
      <c r="L131" s="27">
        <f t="shared" si="40"/>
        <v>6763.1755919891193</v>
      </c>
      <c r="M131" s="27">
        <f t="shared" si="40"/>
        <v>6613.7414848607177</v>
      </c>
      <c r="N131" s="27">
        <f t="shared" si="40"/>
        <v>6456.494374893141</v>
      </c>
      <c r="O131" s="27">
        <f t="shared" si="40"/>
        <v>6356.4776189026925</v>
      </c>
      <c r="P131" s="27">
        <f t="shared" si="40"/>
        <v>6219.8920041346673</v>
      </c>
      <c r="Q131" s="27">
        <f t="shared" si="40"/>
        <v>6077.7368870176115</v>
      </c>
      <c r="R131" s="27">
        <f t="shared" si="40"/>
        <v>5916.7693036446217</v>
      </c>
      <c r="S131" s="27">
        <f t="shared" si="40"/>
        <v>5745.1758726588296</v>
      </c>
      <c r="T131" s="27">
        <f t="shared" si="40"/>
        <v>5573.2907027688025</v>
      </c>
      <c r="U131" s="27">
        <f t="shared" si="40"/>
        <v>5408.6792548442718</v>
      </c>
      <c r="V131" s="27">
        <f t="shared" si="40"/>
        <v>5197.9980737129554</v>
      </c>
      <c r="W131" s="27">
        <f t="shared" si="40"/>
        <v>4964.4812550821871</v>
      </c>
      <c r="X131" s="27">
        <f t="shared" si="40"/>
        <v>4729.6680550539486</v>
      </c>
      <c r="Y131" s="27">
        <f t="shared" si="40"/>
        <v>4554.9452290739209</v>
      </c>
      <c r="Z131" s="27">
        <f t="shared" si="40"/>
        <v>4347.6669922183064</v>
      </c>
      <c r="AA131" s="27">
        <f t="shared" si="40"/>
        <v>4140.1965349376715</v>
      </c>
      <c r="AB131" s="27">
        <f t="shared" si="40"/>
        <v>3691.8838725194878</v>
      </c>
      <c r="AC131" s="27">
        <f t="shared" si="40"/>
        <v>3089.2028669158535</v>
      </c>
      <c r="AD131" s="27">
        <f t="shared" si="40"/>
        <v>2542.0682754456343</v>
      </c>
      <c r="AE131" s="27">
        <f t="shared" si="40"/>
        <v>2124.2237845362492</v>
      </c>
      <c r="AF131" s="27">
        <f t="shared" si="40"/>
        <v>1784.9676325982052</v>
      </c>
    </row>
    <row r="132" spans="1:33" x14ac:dyDescent="0.25">
      <c r="B132" s="3">
        <f t="shared" ref="B132:Z133" si="41">$C18*EXP(-B$129/$A18/EXP(-$B$126))</f>
        <v>2.9227449812852017E-2</v>
      </c>
      <c r="C132" s="3">
        <f t="shared" ref="C132:AF132" si="42">$C18*EXP(-C$129/$A18/EXP(-$B$126))</f>
        <v>2.9218415775907568E-2</v>
      </c>
      <c r="D132" s="3">
        <f t="shared" si="42"/>
        <v>2.9128228844431295E-2</v>
      </c>
      <c r="E132" s="3">
        <f t="shared" si="42"/>
        <v>2.8241529262051222E-2</v>
      </c>
      <c r="F132" s="3">
        <f t="shared" si="42"/>
        <v>2.0731442827164433E-2</v>
      </c>
      <c r="G132" s="3">
        <f t="shared" si="42"/>
        <v>9.4198223770190249E-4</v>
      </c>
      <c r="H132" s="3">
        <f t="shared" si="42"/>
        <v>3.5332516230325497E-17</v>
      </c>
      <c r="I132" s="3">
        <f t="shared" si="42"/>
        <v>1.9475701140251888E-151</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4.1218430693070233E-2</v>
      </c>
      <c r="C133" s="3">
        <f t="shared" si="41"/>
        <v>4.1218430689806219E-2</v>
      </c>
      <c r="D133" s="3">
        <f t="shared" si="41"/>
        <v>4.1218430657166127E-2</v>
      </c>
      <c r="E133" s="3">
        <f t="shared" si="41"/>
        <v>4.1218430330765173E-2</v>
      </c>
      <c r="F133" s="3">
        <f t="shared" si="41"/>
        <v>4.1218427066755707E-2</v>
      </c>
      <c r="G133" s="3">
        <f t="shared" si="41"/>
        <v>4.1218394426675319E-2</v>
      </c>
      <c r="H133" s="3">
        <f t="shared" si="41"/>
        <v>4.1218068027292977E-2</v>
      </c>
      <c r="I133" s="3">
        <f t="shared" si="41"/>
        <v>4.1214804175623884E-2</v>
      </c>
      <c r="J133" s="3">
        <f t="shared" si="41"/>
        <v>4.1182179870197379E-2</v>
      </c>
      <c r="K133" s="3">
        <f t="shared" si="41"/>
        <v>4.0857353787334585E-2</v>
      </c>
      <c r="L133" s="3">
        <f t="shared" si="41"/>
        <v>3.7746724906961779E-2</v>
      </c>
      <c r="M133" s="3">
        <f t="shared" si="41"/>
        <v>1.7098959534405402E-2</v>
      </c>
      <c r="N133" s="3">
        <f t="shared" si="41"/>
        <v>6.2211943553407755E-6</v>
      </c>
      <c r="O133" s="3">
        <f t="shared" si="41"/>
        <v>2.528800779807033E-40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8.4205642216326881E-3</v>
      </c>
      <c r="C134" s="3">
        <f t="shared" si="44"/>
        <v>8.4205642215725365E-3</v>
      </c>
      <c r="D134" s="3">
        <f t="shared" si="44"/>
        <v>8.4205642209710194E-3</v>
      </c>
      <c r="E134" s="3">
        <f t="shared" si="44"/>
        <v>8.4205642149558519E-3</v>
      </c>
      <c r="F134" s="3">
        <f t="shared" si="44"/>
        <v>8.4205641548041731E-3</v>
      </c>
      <c r="G134" s="3">
        <f t="shared" si="44"/>
        <v>8.4205635532873992E-3</v>
      </c>
      <c r="H134" s="3">
        <f t="shared" si="44"/>
        <v>8.4205575381220404E-3</v>
      </c>
      <c r="I134" s="3">
        <f t="shared" si="44"/>
        <v>8.4204973867047662E-3</v>
      </c>
      <c r="J134" s="3">
        <f t="shared" si="44"/>
        <v>8.4198958961642454E-3</v>
      </c>
      <c r="K134" s="3">
        <f t="shared" si="44"/>
        <v>8.4138833533551442E-3</v>
      </c>
      <c r="L134" s="3">
        <f t="shared" si="44"/>
        <v>8.3539935616158811E-3</v>
      </c>
      <c r="M134" s="3">
        <f t="shared" si="44"/>
        <v>7.7780481982370024E-3</v>
      </c>
      <c r="N134" s="3">
        <f t="shared" si="44"/>
        <v>3.8074619152989012E-3</v>
      </c>
      <c r="O134" s="3">
        <f t="shared" si="44"/>
        <v>3.0080492817957402E-6</v>
      </c>
      <c r="P134" s="3">
        <f t="shared" si="44"/>
        <v>2.8495661252057962E-37</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2.0972499021432351E-2</v>
      </c>
      <c r="C135" s="3">
        <f t="shared" si="47"/>
        <v>2.0972499021418838E-2</v>
      </c>
      <c r="D135" s="3">
        <f t="shared" si="47"/>
        <v>2.0972499021283692E-2</v>
      </c>
      <c r="E135" s="3">
        <f t="shared" si="47"/>
        <v>2.0972499019932232E-2</v>
      </c>
      <c r="F135" s="3">
        <f t="shared" si="47"/>
        <v>2.0972499006417625E-2</v>
      </c>
      <c r="G135" s="3">
        <f t="shared" si="47"/>
        <v>2.0972498871271582E-2</v>
      </c>
      <c r="H135" s="3">
        <f t="shared" si="47"/>
        <v>2.097249751981118E-2</v>
      </c>
      <c r="I135" s="3">
        <f t="shared" si="47"/>
        <v>2.0972484005211976E-2</v>
      </c>
      <c r="J135" s="3">
        <f t="shared" si="47"/>
        <v>2.0972348859698887E-2</v>
      </c>
      <c r="K135" s="3">
        <f t="shared" si="47"/>
        <v>2.0970997452464928E-2</v>
      </c>
      <c r="L135" s="3">
        <f t="shared" si="47"/>
        <v>2.0957488168676628E-2</v>
      </c>
      <c r="M135" s="3">
        <f t="shared" si="47"/>
        <v>2.0822873046168911E-2</v>
      </c>
      <c r="N135" s="3">
        <f t="shared" si="47"/>
        <v>1.9523373724177215E-2</v>
      </c>
      <c r="O135" s="3">
        <f t="shared" si="47"/>
        <v>1.0249366728627E-2</v>
      </c>
      <c r="P135" s="3">
        <f t="shared" si="47"/>
        <v>1.6297413403209241E-5</v>
      </c>
      <c r="Q135" s="3">
        <f t="shared" si="47"/>
        <v>1.6839732001613142E-33</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1.9327833781388179E-2</v>
      </c>
      <c r="C136" s="3">
        <f t="shared" si="49"/>
        <v>1.9327833781387055E-2</v>
      </c>
      <c r="D136" s="3">
        <f t="shared" si="49"/>
        <v>1.9327833781375821E-2</v>
      </c>
      <c r="E136" s="3">
        <f t="shared" si="49"/>
        <v>1.932783378126347E-2</v>
      </c>
      <c r="F136" s="3">
        <f t="shared" si="49"/>
        <v>1.9327833780139941E-2</v>
      </c>
      <c r="G136" s="3">
        <f t="shared" si="49"/>
        <v>1.9327833768904689E-2</v>
      </c>
      <c r="H136" s="3">
        <f t="shared" si="49"/>
        <v>1.9327833656552138E-2</v>
      </c>
      <c r="I136" s="3">
        <f t="shared" si="49"/>
        <v>1.9327832533026685E-2</v>
      </c>
      <c r="J136" s="3">
        <f t="shared" si="49"/>
        <v>1.9327821297775726E-2</v>
      </c>
      <c r="K136" s="3">
        <f t="shared" si="49"/>
        <v>1.9327708945625348E-2</v>
      </c>
      <c r="L136" s="3">
        <f t="shared" si="49"/>
        <v>1.932658546004146E-2</v>
      </c>
      <c r="M136" s="3">
        <f t="shared" si="49"/>
        <v>1.9315354195419104E-2</v>
      </c>
      <c r="N136" s="3">
        <f t="shared" si="49"/>
        <v>1.9203399899644352E-2</v>
      </c>
      <c r="O136" s="3">
        <f t="shared" si="49"/>
        <v>1.8118933081684375E-2</v>
      </c>
      <c r="P136" s="3">
        <f t="shared" si="49"/>
        <v>1.0131589188133625E-2</v>
      </c>
      <c r="Q136" s="3">
        <f t="shared" si="49"/>
        <v>3.027799272455414E-5</v>
      </c>
      <c r="R136" s="3">
        <f t="shared" si="49"/>
        <v>1.7203712035789881E-30</v>
      </c>
      <c r="S136" s="3">
        <f t="shared" si="49"/>
        <v>6.0335512590138995E-283</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2.3246647212008385E-2</v>
      </c>
      <c r="C137" s="3">
        <f t="shared" si="51"/>
        <v>2.3246647212008264E-2</v>
      </c>
      <c r="D137" s="3">
        <f t="shared" si="51"/>
        <v>2.3246647212007043E-2</v>
      </c>
      <c r="E137" s="3">
        <f t="shared" si="51"/>
        <v>2.3246647211994854E-2</v>
      </c>
      <c r="F137" s="3">
        <f t="shared" si="51"/>
        <v>2.3246647211872955E-2</v>
      </c>
      <c r="G137" s="3">
        <f t="shared" si="51"/>
        <v>2.3246647210653944E-2</v>
      </c>
      <c r="H137" s="3">
        <f t="shared" si="51"/>
        <v>2.3246647198463862E-2</v>
      </c>
      <c r="I137" s="3">
        <f t="shared" si="51"/>
        <v>2.3246647076563032E-2</v>
      </c>
      <c r="J137" s="3">
        <f t="shared" si="51"/>
        <v>2.3246645857554763E-2</v>
      </c>
      <c r="K137" s="3">
        <f t="shared" si="51"/>
        <v>2.3246633667475584E-2</v>
      </c>
      <c r="L137" s="3">
        <f t="shared" si="51"/>
        <v>2.3246511767035394E-2</v>
      </c>
      <c r="M137" s="3">
        <f t="shared" si="51"/>
        <v>2.3245292797790054E-2</v>
      </c>
      <c r="N137" s="3">
        <f t="shared" si="51"/>
        <v>2.3233106620310282E-2</v>
      </c>
      <c r="O137" s="3">
        <f t="shared" si="51"/>
        <v>2.3111595661856495E-2</v>
      </c>
      <c r="P137" s="3">
        <f t="shared" si="51"/>
        <v>2.1930896497149924E-2</v>
      </c>
      <c r="Q137" s="3">
        <f t="shared" si="51"/>
        <v>1.2981381960709878E-2</v>
      </c>
      <c r="R137" s="3">
        <f t="shared" si="51"/>
        <v>6.8543513587651951E-5</v>
      </c>
      <c r="S137" s="3">
        <f t="shared" si="51"/>
        <v>1.1545711602723807E-27</v>
      </c>
      <c r="T137" s="3">
        <f t="shared" si="51"/>
        <v>2.1230690922973068E-255</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2.4740814098249582E-2</v>
      </c>
      <c r="C138" s="3">
        <f t="shared" si="53"/>
        <v>2.4740814098249568E-2</v>
      </c>
      <c r="D138" s="3">
        <f t="shared" si="53"/>
        <v>2.4740814098249454E-2</v>
      </c>
      <c r="E138" s="3">
        <f t="shared" si="53"/>
        <v>2.4740814098248284E-2</v>
      </c>
      <c r="F138" s="3">
        <f t="shared" si="53"/>
        <v>2.4740814098236578E-2</v>
      </c>
      <c r="G138" s="3">
        <f t="shared" si="53"/>
        <v>2.4740814098119547E-2</v>
      </c>
      <c r="H138" s="3">
        <f t="shared" si="53"/>
        <v>2.4740814096949219E-2</v>
      </c>
      <c r="I138" s="3">
        <f t="shared" si="53"/>
        <v>2.4740814085245959E-2</v>
      </c>
      <c r="J138" s="3">
        <f t="shared" si="53"/>
        <v>2.4740813968213343E-2</v>
      </c>
      <c r="K138" s="3">
        <f t="shared" si="53"/>
        <v>2.4740812797887202E-2</v>
      </c>
      <c r="L138" s="3">
        <f t="shared" si="53"/>
        <v>2.4740801094628853E-2</v>
      </c>
      <c r="M138" s="3">
        <f t="shared" si="53"/>
        <v>2.4740684062349857E-2</v>
      </c>
      <c r="N138" s="3">
        <f t="shared" si="53"/>
        <v>2.4739513770007545E-2</v>
      </c>
      <c r="O138" s="3">
        <f t="shared" si="53"/>
        <v>2.4727813890818798E-2</v>
      </c>
      <c r="P138" s="3">
        <f t="shared" si="53"/>
        <v>2.4611118990231249E-2</v>
      </c>
      <c r="Q138" s="3">
        <f t="shared" si="53"/>
        <v>2.347403389805908E-2</v>
      </c>
      <c r="R138" s="3">
        <f t="shared" si="53"/>
        <v>1.4626869942479222E-2</v>
      </c>
      <c r="S138" s="3">
        <f t="shared" si="53"/>
        <v>1.2905894892368804E-4</v>
      </c>
      <c r="T138" s="3">
        <f t="shared" si="53"/>
        <v>3.6910961984885261E-25</v>
      </c>
      <c r="U138" s="3">
        <f t="shared" si="53"/>
        <v>1.3515364612497552E-230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2.7333416296139789E-2</v>
      </c>
      <c r="C139" s="3">
        <f t="shared" si="55"/>
        <v>2.7333416296139789E-2</v>
      </c>
      <c r="D139" s="3">
        <f t="shared" si="55"/>
        <v>2.7333416296139779E-2</v>
      </c>
      <c r="E139" s="3">
        <f t="shared" si="55"/>
        <v>2.7333416296139657E-2</v>
      </c>
      <c r="F139" s="3">
        <f t="shared" si="55"/>
        <v>2.7333416296138495E-2</v>
      </c>
      <c r="G139" s="3">
        <f t="shared" si="55"/>
        <v>2.7333416296126827E-2</v>
      </c>
      <c r="H139" s="3">
        <f t="shared" si="55"/>
        <v>2.7333416296010191E-2</v>
      </c>
      <c r="I139" s="3">
        <f t="shared" si="55"/>
        <v>2.7333416294843829E-2</v>
      </c>
      <c r="J139" s="3">
        <f t="shared" si="55"/>
        <v>2.7333416283180211E-2</v>
      </c>
      <c r="K139" s="3">
        <f t="shared" si="55"/>
        <v>2.733341616654399E-2</v>
      </c>
      <c r="L139" s="3">
        <f t="shared" si="55"/>
        <v>2.7333415000181813E-2</v>
      </c>
      <c r="M139" s="3">
        <f t="shared" si="55"/>
        <v>2.7333403336562798E-2</v>
      </c>
      <c r="N139" s="3">
        <f t="shared" si="55"/>
        <v>2.7333286700646404E-2</v>
      </c>
      <c r="O139" s="3">
        <f t="shared" si="55"/>
        <v>2.7332120368855798E-2</v>
      </c>
      <c r="P139" s="3">
        <f t="shared" si="55"/>
        <v>2.7320459787853107E-2</v>
      </c>
      <c r="Q139" s="3">
        <f t="shared" si="55"/>
        <v>2.7204127236540449E-2</v>
      </c>
      <c r="R139" s="3">
        <f t="shared" si="55"/>
        <v>2.6067701040092085E-2</v>
      </c>
      <c r="S139" s="3">
        <f t="shared" si="55"/>
        <v>1.7013045890293451E-2</v>
      </c>
      <c r="T139" s="3">
        <f t="shared" si="55"/>
        <v>2.3854784191983995E-4</v>
      </c>
      <c r="U139" s="3">
        <f t="shared" si="55"/>
        <v>7.0066379503909527E-23</v>
      </c>
      <c r="V139" s="3">
        <f t="shared" si="55"/>
        <v>3.3485094419842535E-208</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2.1342745356983432E-2</v>
      </c>
      <c r="C140" s="3">
        <f t="shared" si="57"/>
        <v>2.1342745356983432E-2</v>
      </c>
      <c r="D140" s="3">
        <f t="shared" si="57"/>
        <v>2.1342745356983432E-2</v>
      </c>
      <c r="E140" s="3">
        <f t="shared" si="57"/>
        <v>2.1342745356983422E-2</v>
      </c>
      <c r="F140" s="3">
        <f t="shared" si="57"/>
        <v>2.1342745356983338E-2</v>
      </c>
      <c r="G140" s="3">
        <f t="shared" si="57"/>
        <v>2.134274535698252E-2</v>
      </c>
      <c r="H140" s="3">
        <f t="shared" si="57"/>
        <v>2.1342745356974304E-2</v>
      </c>
      <c r="I140" s="3">
        <f t="shared" si="57"/>
        <v>2.1342745356892148E-2</v>
      </c>
      <c r="J140" s="3">
        <f t="shared" si="57"/>
        <v>2.1342745356070593E-2</v>
      </c>
      <c r="K140" s="3">
        <f t="shared" si="57"/>
        <v>2.1342745347855047E-2</v>
      </c>
      <c r="L140" s="3">
        <f t="shared" si="57"/>
        <v>2.1342745265699598E-2</v>
      </c>
      <c r="M140" s="3">
        <f t="shared" si="57"/>
        <v>2.1342744444145082E-2</v>
      </c>
      <c r="N140" s="3">
        <f t="shared" si="57"/>
        <v>2.1342736228601684E-2</v>
      </c>
      <c r="O140" s="3">
        <f t="shared" si="57"/>
        <v>2.134265407334163E-2</v>
      </c>
      <c r="P140" s="3">
        <f t="shared" si="57"/>
        <v>2.1341832538134278E-2</v>
      </c>
      <c r="Q140" s="3">
        <f t="shared" si="57"/>
        <v>2.1333618925128389E-2</v>
      </c>
      <c r="R140" s="3">
        <f t="shared" si="57"/>
        <v>2.1251656454400671E-2</v>
      </c>
      <c r="S140" s="3">
        <f t="shared" si="57"/>
        <v>2.0449152871038902E-2</v>
      </c>
      <c r="T140" s="3">
        <f t="shared" si="57"/>
        <v>1.3915559440076259E-2</v>
      </c>
      <c r="U140" s="3">
        <f t="shared" si="57"/>
        <v>2.9631535853714546E-4</v>
      </c>
      <c r="V140" s="3">
        <f t="shared" si="57"/>
        <v>5.6792250384761202E-21</v>
      </c>
      <c r="W140" s="3">
        <f t="shared" si="57"/>
        <v>3.7987283131598943E-188</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3.0213098985838894E-2</v>
      </c>
      <c r="C141" s="3">
        <f t="shared" si="59"/>
        <v>3.0213098985838894E-2</v>
      </c>
      <c r="D141" s="3">
        <f t="shared" si="59"/>
        <v>3.0213098985838894E-2</v>
      </c>
      <c r="E141" s="3">
        <f t="shared" si="59"/>
        <v>3.0213098985838894E-2</v>
      </c>
      <c r="F141" s="3">
        <f t="shared" si="59"/>
        <v>3.0213098985838883E-2</v>
      </c>
      <c r="G141" s="3">
        <f t="shared" si="59"/>
        <v>3.0213098985838776E-2</v>
      </c>
      <c r="H141" s="3">
        <f t="shared" si="59"/>
        <v>3.0213098985837728E-2</v>
      </c>
      <c r="I141" s="3">
        <f t="shared" si="59"/>
        <v>3.0213098985827237E-2</v>
      </c>
      <c r="J141" s="3">
        <f t="shared" si="59"/>
        <v>3.0213098985722324E-2</v>
      </c>
      <c r="K141" s="3">
        <f t="shared" si="59"/>
        <v>3.0213098984673198E-2</v>
      </c>
      <c r="L141" s="3">
        <f t="shared" si="59"/>
        <v>3.021309897418193E-2</v>
      </c>
      <c r="M141" s="3">
        <f t="shared" si="59"/>
        <v>3.0213098869269251E-2</v>
      </c>
      <c r="N141" s="3">
        <f t="shared" si="59"/>
        <v>3.0213097820142479E-2</v>
      </c>
      <c r="O141" s="3">
        <f t="shared" si="59"/>
        <v>3.0213087328876786E-2</v>
      </c>
      <c r="P141" s="3">
        <f t="shared" si="59"/>
        <v>3.02129824164202E-2</v>
      </c>
      <c r="Q141" s="3">
        <f t="shared" si="59"/>
        <v>3.0211933311890617E-2</v>
      </c>
      <c r="R141" s="3">
        <f t="shared" si="59"/>
        <v>3.0201444269965769E-2</v>
      </c>
      <c r="S141" s="3">
        <f t="shared" si="59"/>
        <v>3.0096753930660462E-2</v>
      </c>
      <c r="T141" s="3">
        <f t="shared" si="59"/>
        <v>2.9069603840051961E-2</v>
      </c>
      <c r="U141" s="3">
        <f t="shared" si="59"/>
        <v>2.0541571739645881E-2</v>
      </c>
      <c r="V141" s="3">
        <f t="shared" si="59"/>
        <v>6.3764541917443903E-4</v>
      </c>
      <c r="W141" s="3">
        <f t="shared" si="59"/>
        <v>5.2970610559634995E-19</v>
      </c>
      <c r="X141" s="3">
        <f t="shared" si="59"/>
        <v>8.2907214901094233E-170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3.3824388307374977E-2</v>
      </c>
      <c r="C142" s="3">
        <f t="shared" si="61"/>
        <v>3.3824388307374977E-2</v>
      </c>
      <c r="D142" s="3">
        <f t="shared" si="61"/>
        <v>3.3824388307374977E-2</v>
      </c>
      <c r="E142" s="3">
        <f t="shared" si="61"/>
        <v>3.3824388307374977E-2</v>
      </c>
      <c r="F142" s="3">
        <f t="shared" si="61"/>
        <v>3.3824388307374977E-2</v>
      </c>
      <c r="G142" s="3">
        <f t="shared" si="61"/>
        <v>3.3824388307374963E-2</v>
      </c>
      <c r="H142" s="3">
        <f t="shared" si="61"/>
        <v>3.3824388307374859E-2</v>
      </c>
      <c r="I142" s="3">
        <f t="shared" si="61"/>
        <v>3.3824388307373804E-2</v>
      </c>
      <c r="J142" s="3">
        <f t="shared" si="61"/>
        <v>3.3824388307363201E-2</v>
      </c>
      <c r="K142" s="3">
        <f t="shared" si="61"/>
        <v>3.3824388307257251E-2</v>
      </c>
      <c r="L142" s="3">
        <f t="shared" si="61"/>
        <v>3.3824388306197731E-2</v>
      </c>
      <c r="M142" s="3">
        <f t="shared" si="61"/>
        <v>3.3824388295602525E-2</v>
      </c>
      <c r="N142" s="3">
        <f t="shared" si="61"/>
        <v>3.3824388189650507E-2</v>
      </c>
      <c r="O142" s="3">
        <f t="shared" si="61"/>
        <v>3.3824387130130314E-2</v>
      </c>
      <c r="P142" s="3">
        <f t="shared" si="61"/>
        <v>3.3824376534930201E-2</v>
      </c>
      <c r="Q142" s="3">
        <f t="shared" si="61"/>
        <v>3.3824270583111625E-2</v>
      </c>
      <c r="R142" s="3">
        <f t="shared" si="61"/>
        <v>3.382321108317933E-2</v>
      </c>
      <c r="S142" s="3">
        <f t="shared" si="61"/>
        <v>3.3812617908992676E-2</v>
      </c>
      <c r="T142" s="3">
        <f t="shared" si="61"/>
        <v>3.3706868469402372E-2</v>
      </c>
      <c r="U142" s="3">
        <f t="shared" si="61"/>
        <v>3.2667394772604726E-2</v>
      </c>
      <c r="V142" s="3">
        <f t="shared" si="61"/>
        <v>2.3882261301912112E-2</v>
      </c>
      <c r="W142" s="3">
        <f t="shared" si="61"/>
        <v>1.0415614439120272E-3</v>
      </c>
      <c r="X142" s="3">
        <f t="shared" si="61"/>
        <v>2.5928619067418969E-17</v>
      </c>
      <c r="Y142" s="3">
        <f t="shared" si="61"/>
        <v>2.3698688377661141E-153</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3.8791797530712095E-2</v>
      </c>
      <c r="C143" s="3">
        <f t="shared" si="63"/>
        <v>3.8791797530712095E-2</v>
      </c>
      <c r="D143" s="3">
        <f t="shared" si="63"/>
        <v>3.8791797530712095E-2</v>
      </c>
      <c r="E143" s="3">
        <f t="shared" si="63"/>
        <v>3.8791797530712095E-2</v>
      </c>
      <c r="F143" s="3">
        <f t="shared" si="63"/>
        <v>3.8791797530712095E-2</v>
      </c>
      <c r="G143" s="3">
        <f t="shared" si="63"/>
        <v>3.8791797530712095E-2</v>
      </c>
      <c r="H143" s="3">
        <f t="shared" si="63"/>
        <v>3.8791797530712081E-2</v>
      </c>
      <c r="I143" s="3">
        <f t="shared" si="63"/>
        <v>3.8791797530711977E-2</v>
      </c>
      <c r="J143" s="3">
        <f t="shared" si="63"/>
        <v>3.8791797530710874E-2</v>
      </c>
      <c r="K143" s="3">
        <f t="shared" si="63"/>
        <v>3.8791797530699917E-2</v>
      </c>
      <c r="L143" s="3">
        <f t="shared" si="63"/>
        <v>3.8791797530590297E-2</v>
      </c>
      <c r="M143" s="3">
        <f t="shared" si="63"/>
        <v>3.879179752949416E-2</v>
      </c>
      <c r="N143" s="3">
        <f t="shared" si="63"/>
        <v>3.8791797518532768E-2</v>
      </c>
      <c r="O143" s="3">
        <f t="shared" si="63"/>
        <v>3.8791797408918832E-2</v>
      </c>
      <c r="P143" s="3">
        <f t="shared" si="63"/>
        <v>3.8791796312779438E-2</v>
      </c>
      <c r="Q143" s="3">
        <f t="shared" si="63"/>
        <v>3.8791785351387276E-2</v>
      </c>
      <c r="R143" s="3">
        <f t="shared" si="63"/>
        <v>3.8791675737636006E-2</v>
      </c>
      <c r="S143" s="3">
        <f t="shared" si="63"/>
        <v>3.8790579617158531E-2</v>
      </c>
      <c r="T143" s="3">
        <f t="shared" si="63"/>
        <v>3.877962011573393E-2</v>
      </c>
      <c r="U143" s="3">
        <f t="shared" si="63"/>
        <v>3.8670195258544184E-2</v>
      </c>
      <c r="V143" s="3">
        <f t="shared" si="63"/>
        <v>3.7592785828246503E-2</v>
      </c>
      <c r="W143" s="3">
        <f t="shared" si="63"/>
        <v>2.8339094240152764E-2</v>
      </c>
      <c r="X143" s="3">
        <f t="shared" si="63"/>
        <v>1.6795793058616889E-3</v>
      </c>
      <c r="Y143" s="3">
        <f t="shared" si="63"/>
        <v>8.9814407904807316E-16</v>
      </c>
      <c r="Z143" s="3">
        <f t="shared" si="63"/>
        <v>1.7171212886073588E-138</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2.3183984286354733E-2</v>
      </c>
      <c r="C144" s="3">
        <f t="shared" si="65"/>
        <v>2.3183984286354733E-2</v>
      </c>
      <c r="D144" s="3">
        <f t="shared" si="65"/>
        <v>2.3183984286354733E-2</v>
      </c>
      <c r="E144" s="3">
        <f t="shared" si="65"/>
        <v>2.3183984286354733E-2</v>
      </c>
      <c r="F144" s="3">
        <f t="shared" si="65"/>
        <v>2.3183984286354733E-2</v>
      </c>
      <c r="G144" s="3">
        <f t="shared" si="65"/>
        <v>2.3183984286354733E-2</v>
      </c>
      <c r="H144" s="3">
        <f t="shared" si="65"/>
        <v>2.3183984286354733E-2</v>
      </c>
      <c r="I144" s="3">
        <f t="shared" si="65"/>
        <v>2.3183984286354726E-2</v>
      </c>
      <c r="J144" s="3">
        <f t="shared" si="65"/>
        <v>2.3183984286354667E-2</v>
      </c>
      <c r="K144" s="3">
        <f t="shared" si="65"/>
        <v>2.3183984286354077E-2</v>
      </c>
      <c r="L144" s="3">
        <f t="shared" si="65"/>
        <v>2.3183984286348165E-2</v>
      </c>
      <c r="M144" s="3">
        <f t="shared" si="65"/>
        <v>2.318398428628907E-2</v>
      </c>
      <c r="N144" s="3">
        <f t="shared" si="65"/>
        <v>2.3183984285698109E-2</v>
      </c>
      <c r="O144" s="3">
        <f t="shared" si="65"/>
        <v>2.3183984279788471E-2</v>
      </c>
      <c r="P144" s="3">
        <f t="shared" si="65"/>
        <v>2.3183984220692139E-2</v>
      </c>
      <c r="Q144" s="3">
        <f t="shared" si="65"/>
        <v>2.3183983629728792E-2</v>
      </c>
      <c r="R144" s="3">
        <f t="shared" si="65"/>
        <v>2.3183977720096172E-2</v>
      </c>
      <c r="S144" s="3">
        <f t="shared" si="65"/>
        <v>2.3183918623852807E-2</v>
      </c>
      <c r="T144" s="3">
        <f t="shared" si="65"/>
        <v>2.3183327669704133E-2</v>
      </c>
      <c r="U144" s="3">
        <f t="shared" si="65"/>
        <v>2.3177418956636706E-2</v>
      </c>
      <c r="V144" s="3">
        <f t="shared" si="65"/>
        <v>2.3118414589814368E-2</v>
      </c>
      <c r="W144" s="3">
        <f t="shared" si="65"/>
        <v>2.2536569778599125E-2</v>
      </c>
      <c r="X144" s="3">
        <f t="shared" si="65"/>
        <v>1.746567913108029E-2</v>
      </c>
      <c r="Y144" s="3">
        <f t="shared" si="65"/>
        <v>1.3650925894709857E-3</v>
      </c>
      <c r="Z144" s="3">
        <f t="shared" si="65"/>
        <v>1.161257218481358E-14</v>
      </c>
      <c r="AA144" s="3">
        <f t="shared" ref="AA144" si="66">$C30*EXP(-AA$129/$A30/EXP(-$B$126))</f>
        <v>2.3045790114459612E-125</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3.3195679421044622E-2</v>
      </c>
      <c r="C145" s="3">
        <f t="shared" si="68"/>
        <v>3.3195679421044622E-2</v>
      </c>
      <c r="D145" s="3">
        <f t="shared" si="68"/>
        <v>3.3195679421044622E-2</v>
      </c>
      <c r="E145" s="3">
        <f t="shared" si="68"/>
        <v>3.3195679421044622E-2</v>
      </c>
      <c r="F145" s="3">
        <f t="shared" si="68"/>
        <v>3.3195679421044622E-2</v>
      </c>
      <c r="G145" s="3">
        <f t="shared" si="68"/>
        <v>3.3195679421044622E-2</v>
      </c>
      <c r="H145" s="3">
        <f t="shared" si="68"/>
        <v>3.3195679421044622E-2</v>
      </c>
      <c r="I145" s="3">
        <f t="shared" si="68"/>
        <v>3.3195679421044622E-2</v>
      </c>
      <c r="J145" s="3">
        <f t="shared" si="68"/>
        <v>3.3195679421044615E-2</v>
      </c>
      <c r="K145" s="3">
        <f t="shared" si="68"/>
        <v>3.3195679421044538E-2</v>
      </c>
      <c r="L145" s="3">
        <f t="shared" si="68"/>
        <v>3.3195679421043775E-2</v>
      </c>
      <c r="M145" s="3">
        <f t="shared" si="68"/>
        <v>3.3195679421036142E-2</v>
      </c>
      <c r="N145" s="3">
        <f t="shared" si="68"/>
        <v>3.3195679420959807E-2</v>
      </c>
      <c r="O145" s="3">
        <f t="shared" si="68"/>
        <v>3.3195679420196501E-2</v>
      </c>
      <c r="P145" s="3">
        <f t="shared" si="68"/>
        <v>3.3195679412563406E-2</v>
      </c>
      <c r="Q145" s="3">
        <f t="shared" si="68"/>
        <v>3.3195679336232464E-2</v>
      </c>
      <c r="R145" s="3">
        <f t="shared" si="68"/>
        <v>3.3195678572923042E-2</v>
      </c>
      <c r="S145" s="3">
        <f t="shared" si="68"/>
        <v>3.3195670939829773E-2</v>
      </c>
      <c r="T145" s="3">
        <f t="shared" si="68"/>
        <v>3.3195594608993635E-2</v>
      </c>
      <c r="U145" s="3">
        <f t="shared" si="68"/>
        <v>3.3194831310285597E-2</v>
      </c>
      <c r="V145" s="3">
        <f t="shared" si="68"/>
        <v>3.3187199288458619E-2</v>
      </c>
      <c r="W145" s="3">
        <f t="shared" si="68"/>
        <v>3.3110975513455432E-2</v>
      </c>
      <c r="X145" s="3">
        <f t="shared" si="68"/>
        <v>3.2358300539648853E-2</v>
      </c>
      <c r="Y145" s="3">
        <f t="shared" si="68"/>
        <v>2.5711237911584753E-2</v>
      </c>
      <c r="Z145" s="3">
        <f t="shared" si="68"/>
        <v>2.5792641000158623E-3</v>
      </c>
      <c r="AA145" s="3">
        <f t="shared" ref="AA145" si="69">$C31*EXP(-AA$129/$A31/EXP(-$B$126))</f>
        <v>2.6620982325849066E-13</v>
      </c>
      <c r="AB145" s="3">
        <f t="shared" si="67"/>
        <v>3.6517977297301406E-113</v>
      </c>
      <c r="AC145" s="3">
        <f t="shared" si="67"/>
        <v>0</v>
      </c>
      <c r="AD145" s="3">
        <f t="shared" si="67"/>
        <v>0</v>
      </c>
      <c r="AE145" s="3">
        <f t="shared" si="67"/>
        <v>0</v>
      </c>
      <c r="AF145" s="3">
        <f t="shared" si="67"/>
        <v>0</v>
      </c>
    </row>
    <row r="146" spans="1:32" x14ac:dyDescent="0.25">
      <c r="B146" s="3">
        <f t="shared" ref="B146:Z146" si="70">$C32*EXP(-B$129/$A32/EXP(-$B$126))</f>
        <v>2.038442434974385E-2</v>
      </c>
      <c r="C146" s="3">
        <f t="shared" si="70"/>
        <v>2.038442434974385E-2</v>
      </c>
      <c r="D146" s="3">
        <f t="shared" si="70"/>
        <v>2.038442434974385E-2</v>
      </c>
      <c r="E146" s="3">
        <f t="shared" si="70"/>
        <v>2.038442434974385E-2</v>
      </c>
      <c r="F146" s="3">
        <f t="shared" si="70"/>
        <v>2.038442434974385E-2</v>
      </c>
      <c r="G146" s="3">
        <f t="shared" si="70"/>
        <v>2.038442434974385E-2</v>
      </c>
      <c r="H146" s="3">
        <f t="shared" si="70"/>
        <v>2.038442434974385E-2</v>
      </c>
      <c r="I146" s="3">
        <f t="shared" si="70"/>
        <v>2.038442434974385E-2</v>
      </c>
      <c r="J146" s="3">
        <f t="shared" si="70"/>
        <v>2.038442434974385E-2</v>
      </c>
      <c r="K146" s="3">
        <f t="shared" si="70"/>
        <v>2.0384424349743847E-2</v>
      </c>
      <c r="L146" s="3">
        <f t="shared" si="70"/>
        <v>2.0384424349743802E-2</v>
      </c>
      <c r="M146" s="3">
        <f t="shared" si="70"/>
        <v>2.0384424349743378E-2</v>
      </c>
      <c r="N146" s="3">
        <f t="shared" si="70"/>
        <v>2.0384424349739153E-2</v>
      </c>
      <c r="O146" s="3">
        <f t="shared" si="70"/>
        <v>2.038442434969687E-2</v>
      </c>
      <c r="P146" s="3">
        <f t="shared" si="70"/>
        <v>2.0384424349274042E-2</v>
      </c>
      <c r="Q146" s="3">
        <f t="shared" si="70"/>
        <v>2.0384424345045758E-2</v>
      </c>
      <c r="R146" s="3">
        <f t="shared" si="70"/>
        <v>2.0384424302762921E-2</v>
      </c>
      <c r="S146" s="3">
        <f t="shared" si="70"/>
        <v>2.0384423879934565E-2</v>
      </c>
      <c r="T146" s="3">
        <f t="shared" si="70"/>
        <v>2.038441965165148E-2</v>
      </c>
      <c r="U146" s="3">
        <f t="shared" si="70"/>
        <v>2.0384377368868882E-2</v>
      </c>
      <c r="V146" s="3">
        <f t="shared" si="70"/>
        <v>2.0383954545866681E-2</v>
      </c>
      <c r="W146" s="3">
        <f t="shared" si="70"/>
        <v>2.0379726798187066E-2</v>
      </c>
      <c r="X146" s="3">
        <f t="shared" si="70"/>
        <v>2.0337497518630947E-2</v>
      </c>
      <c r="Y146" s="3">
        <f t="shared" si="70"/>
        <v>1.9919987660971462E-2</v>
      </c>
      <c r="Z146" s="3">
        <f t="shared" si="70"/>
        <v>1.6188424578419507E-2</v>
      </c>
      <c r="AA146" s="3">
        <f t="shared" ref="AA146" si="71">$C32*EXP(-AA$129/$A32/EXP(-$B$126))</f>
        <v>2.0340414455455509E-3</v>
      </c>
      <c r="AB146" s="3">
        <f t="shared" si="67"/>
        <v>1.9948576656330917E-12</v>
      </c>
      <c r="AC146" s="3">
        <f t="shared" si="67"/>
        <v>1.6422265718613072E-102</v>
      </c>
      <c r="AD146" s="3">
        <f t="shared" si="67"/>
        <v>0</v>
      </c>
      <c r="AE146" s="3">
        <f t="shared" si="67"/>
        <v>0</v>
      </c>
      <c r="AF146" s="3">
        <f t="shared" si="67"/>
        <v>0</v>
      </c>
    </row>
    <row r="147" spans="1:32" x14ac:dyDescent="0.25">
      <c r="B147" s="3">
        <f t="shared" ref="B147:Z147" si="72">$C33*EXP(-B$129/$A33/EXP(-$B$126))</f>
        <v>6.6925069366004494E-2</v>
      </c>
      <c r="C147" s="3">
        <f t="shared" si="72"/>
        <v>6.6925069366004494E-2</v>
      </c>
      <c r="D147" s="3">
        <f t="shared" si="72"/>
        <v>6.6925069366004494E-2</v>
      </c>
      <c r="E147" s="3">
        <f t="shared" si="72"/>
        <v>6.6925069366004494E-2</v>
      </c>
      <c r="F147" s="3">
        <f t="shared" si="72"/>
        <v>6.6925069366004494E-2</v>
      </c>
      <c r="G147" s="3">
        <f t="shared" si="72"/>
        <v>6.6925069366004494E-2</v>
      </c>
      <c r="H147" s="3">
        <f t="shared" si="72"/>
        <v>6.6925069366004494E-2</v>
      </c>
      <c r="I147" s="3">
        <f t="shared" si="72"/>
        <v>6.6925069366004494E-2</v>
      </c>
      <c r="J147" s="3">
        <f t="shared" si="72"/>
        <v>6.6925069366004494E-2</v>
      </c>
      <c r="K147" s="3">
        <f t="shared" si="72"/>
        <v>6.6925069366004494E-2</v>
      </c>
      <c r="L147" s="3">
        <f t="shared" si="72"/>
        <v>6.692506936600448E-2</v>
      </c>
      <c r="M147" s="3">
        <f t="shared" si="72"/>
        <v>6.6925069366004356E-2</v>
      </c>
      <c r="N147" s="3">
        <f t="shared" si="72"/>
        <v>6.6925069366003107E-2</v>
      </c>
      <c r="O147" s="3">
        <f t="shared" si="72"/>
        <v>6.6925069365990575E-2</v>
      </c>
      <c r="P147" s="3">
        <f t="shared" si="72"/>
        <v>6.6925069365865356E-2</v>
      </c>
      <c r="Q147" s="3">
        <f t="shared" si="72"/>
        <v>6.692506936461308E-2</v>
      </c>
      <c r="R147" s="3">
        <f t="shared" si="72"/>
        <v>6.6925069352090291E-2</v>
      </c>
      <c r="S147" s="3">
        <f t="shared" si="72"/>
        <v>6.6925069226862394E-2</v>
      </c>
      <c r="T147" s="3">
        <f t="shared" si="72"/>
        <v>6.6925067974583446E-2</v>
      </c>
      <c r="U147" s="3">
        <f t="shared" si="72"/>
        <v>6.6925055451795404E-2</v>
      </c>
      <c r="V147" s="3">
        <f t="shared" si="72"/>
        <v>6.6924930224043722E-2</v>
      </c>
      <c r="W147" s="3">
        <f t="shared" si="72"/>
        <v>6.6923677959414521E-2</v>
      </c>
      <c r="X147" s="3">
        <f t="shared" si="72"/>
        <v>6.6911156601795266E-2</v>
      </c>
      <c r="Y147" s="3">
        <f t="shared" si="72"/>
        <v>6.6786071803693434E-2</v>
      </c>
      <c r="Z147" s="3">
        <f t="shared" si="72"/>
        <v>6.5548012919142112E-2</v>
      </c>
      <c r="AA147" s="3">
        <f t="shared" ref="AA147" si="73">$C33*EXP(-AA$129/$A33/EXP(-$B$126))</f>
        <v>5.4362051345044717E-2</v>
      </c>
      <c r="AB147" s="3">
        <f t="shared" si="67"/>
        <v>8.3687172388729036E-3</v>
      </c>
      <c r="AC147" s="3">
        <f t="shared" si="67"/>
        <v>6.2558953086667912E-11</v>
      </c>
      <c r="AD147" s="3">
        <f t="shared" si="67"/>
        <v>3.4087507990133902E-92</v>
      </c>
      <c r="AE147" s="3">
        <f t="shared" si="67"/>
        <v>0</v>
      </c>
      <c r="AF147" s="3">
        <f t="shared" si="67"/>
        <v>0</v>
      </c>
    </row>
    <row r="148" spans="1:32" x14ac:dyDescent="0.25">
      <c r="B148" s="3">
        <f t="shared" ref="B148:Z148" si="74">$C34*EXP(-B$129/$A34/EXP(-$B$126))</f>
        <v>9.6671799143506223E-2</v>
      </c>
      <c r="C148" s="3">
        <f t="shared" si="74"/>
        <v>9.6671799143506223E-2</v>
      </c>
      <c r="D148" s="3">
        <f t="shared" si="74"/>
        <v>9.6671799143506223E-2</v>
      </c>
      <c r="E148" s="3">
        <f t="shared" si="74"/>
        <v>9.6671799143506223E-2</v>
      </c>
      <c r="F148" s="3">
        <f t="shared" si="74"/>
        <v>9.6671799143506223E-2</v>
      </c>
      <c r="G148" s="3">
        <f t="shared" si="74"/>
        <v>9.6671799143506223E-2</v>
      </c>
      <c r="H148" s="3">
        <f t="shared" si="74"/>
        <v>9.6671799143506223E-2</v>
      </c>
      <c r="I148" s="3">
        <f t="shared" si="74"/>
        <v>9.6671799143506223E-2</v>
      </c>
      <c r="J148" s="3">
        <f t="shared" si="74"/>
        <v>9.6671799143506223E-2</v>
      </c>
      <c r="K148" s="3">
        <f t="shared" si="74"/>
        <v>9.6671799143506223E-2</v>
      </c>
      <c r="L148" s="3">
        <f t="shared" si="74"/>
        <v>9.6671799143506223E-2</v>
      </c>
      <c r="M148" s="3">
        <f t="shared" si="74"/>
        <v>9.6671799143506196E-2</v>
      </c>
      <c r="N148" s="3">
        <f t="shared" si="74"/>
        <v>9.6671799143506043E-2</v>
      </c>
      <c r="O148" s="3">
        <f t="shared" si="74"/>
        <v>9.6671799143504406E-2</v>
      </c>
      <c r="P148" s="3">
        <f t="shared" si="74"/>
        <v>9.6671799143488099E-2</v>
      </c>
      <c r="Q148" s="3">
        <f t="shared" si="74"/>
        <v>9.667179914332491E-2</v>
      </c>
      <c r="R148" s="3">
        <f t="shared" si="74"/>
        <v>9.6671799141693146E-2</v>
      </c>
      <c r="S148" s="3">
        <f t="shared" si="74"/>
        <v>9.6671799125375463E-2</v>
      </c>
      <c r="T148" s="3">
        <f t="shared" si="74"/>
        <v>9.667179896219856E-2</v>
      </c>
      <c r="U148" s="3">
        <f t="shared" si="74"/>
        <v>9.6671797330429715E-2</v>
      </c>
      <c r="V148" s="3">
        <f t="shared" si="74"/>
        <v>9.6671781012742763E-2</v>
      </c>
      <c r="W148" s="3">
        <f t="shared" si="74"/>
        <v>9.6671617836024626E-2</v>
      </c>
      <c r="X148" s="3">
        <f t="shared" si="74"/>
        <v>9.6669986083992007E-2</v>
      </c>
      <c r="Y148" s="3">
        <f t="shared" si="74"/>
        <v>9.6653670078447468E-2</v>
      </c>
      <c r="Z148" s="3">
        <f t="shared" si="74"/>
        <v>9.6490661406605616E-2</v>
      </c>
      <c r="AA148" s="3">
        <f>$C34*EXP(-AA$129/$A34/EXP(-$B$126))</f>
        <v>9.4875618928726577E-2</v>
      </c>
      <c r="AB148" s="3">
        <f t="shared" si="67"/>
        <v>8.0139754815902214E-2</v>
      </c>
      <c r="AC148" s="3">
        <f t="shared" si="67"/>
        <v>1.4817737014668446E-2</v>
      </c>
      <c r="AD148" s="3">
        <f t="shared" si="67"/>
        <v>6.9202313764124018E-10</v>
      </c>
      <c r="AE148" s="3">
        <f t="shared" si="67"/>
        <v>3.4159219667411288E-83</v>
      </c>
      <c r="AF148" s="3">
        <f t="shared" si="67"/>
        <v>0</v>
      </c>
    </row>
    <row r="149" spans="1:32" x14ac:dyDescent="0.25">
      <c r="B149" s="3">
        <f t="shared" ref="B149:Z149" si="75">$C35*EXP(-B$129/$A35/EXP(-$B$126))</f>
        <v>8.3708796522492912E-2</v>
      </c>
      <c r="C149" s="3">
        <f t="shared" si="75"/>
        <v>8.3708796522492912E-2</v>
      </c>
      <c r="D149" s="3">
        <f t="shared" si="75"/>
        <v>8.3708796522492912E-2</v>
      </c>
      <c r="E149" s="3">
        <f t="shared" si="75"/>
        <v>8.3708796522492912E-2</v>
      </c>
      <c r="F149" s="3">
        <f t="shared" si="75"/>
        <v>8.3708796522492912E-2</v>
      </c>
      <c r="G149" s="3">
        <f t="shared" si="75"/>
        <v>8.3708796522492912E-2</v>
      </c>
      <c r="H149" s="3">
        <f t="shared" si="75"/>
        <v>8.3708796522492912E-2</v>
      </c>
      <c r="I149" s="3">
        <f t="shared" si="75"/>
        <v>8.3708796522492912E-2</v>
      </c>
      <c r="J149" s="3">
        <f t="shared" si="75"/>
        <v>8.3708796522492912E-2</v>
      </c>
      <c r="K149" s="3">
        <f t="shared" si="75"/>
        <v>8.3708796522492912E-2</v>
      </c>
      <c r="L149" s="3">
        <f t="shared" si="75"/>
        <v>8.3708796522492912E-2</v>
      </c>
      <c r="M149" s="3">
        <f t="shared" si="75"/>
        <v>8.3708796522492912E-2</v>
      </c>
      <c r="N149" s="3">
        <f t="shared" si="75"/>
        <v>8.3708796522492898E-2</v>
      </c>
      <c r="O149" s="3">
        <f t="shared" si="75"/>
        <v>8.3708796522492773E-2</v>
      </c>
      <c r="P149" s="3">
        <f t="shared" si="75"/>
        <v>8.3708796522491496E-2</v>
      </c>
      <c r="Q149" s="3">
        <f t="shared" si="75"/>
        <v>8.3708796522478743E-2</v>
      </c>
      <c r="R149" s="3">
        <f t="shared" si="75"/>
        <v>8.3708796522351289E-2</v>
      </c>
      <c r="S149" s="3">
        <f t="shared" si="75"/>
        <v>8.3708796521076684E-2</v>
      </c>
      <c r="T149" s="3">
        <f t="shared" si="75"/>
        <v>8.3708796508330602E-2</v>
      </c>
      <c r="U149" s="3">
        <f t="shared" si="75"/>
        <v>8.3708796380869838E-2</v>
      </c>
      <c r="V149" s="3">
        <f t="shared" si="75"/>
        <v>8.3708795106262168E-2</v>
      </c>
      <c r="W149" s="3">
        <f t="shared" si="75"/>
        <v>8.3708782360186584E-2</v>
      </c>
      <c r="X149" s="3">
        <f t="shared" si="75"/>
        <v>8.3708654899537466E-2</v>
      </c>
      <c r="Y149" s="3">
        <f t="shared" si="75"/>
        <v>8.3707380303720602E-2</v>
      </c>
      <c r="Z149" s="3">
        <f t="shared" si="75"/>
        <v>8.3694635412928001E-2</v>
      </c>
      <c r="AA149" s="3">
        <f t="shared" ref="AA149" si="76">$C35*EXP(-AA$129/$A35/EXP(-$B$126))</f>
        <v>8.3567293182499794E-2</v>
      </c>
      <c r="AB149" s="3">
        <f t="shared" si="67"/>
        <v>8.2304478771233772E-2</v>
      </c>
      <c r="AC149" s="3">
        <f t="shared" si="67"/>
        <v>7.067971762086199E-2</v>
      </c>
      <c r="AD149" s="3">
        <f t="shared" si="67"/>
        <v>1.5417294707870203E-2</v>
      </c>
      <c r="AE149" s="3">
        <f t="shared" si="67"/>
        <v>3.7596018854059738E-9</v>
      </c>
      <c r="AF149" s="3">
        <f t="shared" si="67"/>
        <v>2.7956236381972371E-75</v>
      </c>
    </row>
    <row r="150" spans="1:32" x14ac:dyDescent="0.25">
      <c r="B150" s="3">
        <f t="shared" ref="B150:Z150" si="77">$C36*EXP(-B$129/$A36/EXP(-$B$126))</f>
        <v>5.9251655732023817E-2</v>
      </c>
      <c r="C150" s="3">
        <f t="shared" si="77"/>
        <v>5.9251655732023817E-2</v>
      </c>
      <c r="D150" s="3">
        <f t="shared" si="77"/>
        <v>5.9251655732023817E-2</v>
      </c>
      <c r="E150" s="3">
        <f t="shared" si="77"/>
        <v>5.9251655732023817E-2</v>
      </c>
      <c r="F150" s="3">
        <f t="shared" si="77"/>
        <v>5.9251655732023817E-2</v>
      </c>
      <c r="G150" s="3">
        <f t="shared" si="77"/>
        <v>5.9251655732023817E-2</v>
      </c>
      <c r="H150" s="3">
        <f t="shared" si="77"/>
        <v>5.9251655732023817E-2</v>
      </c>
      <c r="I150" s="3">
        <f t="shared" si="77"/>
        <v>5.9251655732023817E-2</v>
      </c>
      <c r="J150" s="3">
        <f t="shared" si="77"/>
        <v>5.9251655732023817E-2</v>
      </c>
      <c r="K150" s="3">
        <f t="shared" si="77"/>
        <v>5.9251655732023817E-2</v>
      </c>
      <c r="L150" s="3">
        <f t="shared" si="77"/>
        <v>5.9251655732023817E-2</v>
      </c>
      <c r="M150" s="3">
        <f t="shared" si="77"/>
        <v>5.9251655732023817E-2</v>
      </c>
      <c r="N150" s="3">
        <f t="shared" si="77"/>
        <v>5.9251655732023817E-2</v>
      </c>
      <c r="O150" s="3">
        <f t="shared" si="77"/>
        <v>5.925165573202381E-2</v>
      </c>
      <c r="P150" s="3">
        <f t="shared" si="77"/>
        <v>5.9251655732023727E-2</v>
      </c>
      <c r="Q150" s="3">
        <f t="shared" si="77"/>
        <v>5.9251655732022915E-2</v>
      </c>
      <c r="R150" s="3">
        <f t="shared" si="77"/>
        <v>5.9251655732014769E-2</v>
      </c>
      <c r="S150" s="3">
        <f t="shared" si="77"/>
        <v>5.9251655731933382E-2</v>
      </c>
      <c r="T150" s="3">
        <f t="shared" si="77"/>
        <v>5.9251655731119526E-2</v>
      </c>
      <c r="U150" s="3">
        <f t="shared" si="77"/>
        <v>5.925165572298087E-2</v>
      </c>
      <c r="V150" s="3">
        <f t="shared" si="77"/>
        <v>5.9251655641594347E-2</v>
      </c>
      <c r="W150" s="3">
        <f t="shared" si="77"/>
        <v>5.9251654827729087E-2</v>
      </c>
      <c r="X150" s="3">
        <f t="shared" si="77"/>
        <v>5.925164668907712E-2</v>
      </c>
      <c r="Y150" s="3">
        <f t="shared" si="77"/>
        <v>5.9251565302618929E-2</v>
      </c>
      <c r="Z150" s="3">
        <f t="shared" si="77"/>
        <v>5.9250751444185519E-2</v>
      </c>
      <c r="AA150" s="3">
        <f t="shared" ref="AA150" si="78">$C36*EXP(-AA$129/$A36/EXP(-$B$126))</f>
        <v>5.9242613474663933E-2</v>
      </c>
      <c r="AB150" s="3">
        <f t="shared" si="67"/>
        <v>5.9161295229465262E-2</v>
      </c>
      <c r="AC150" s="3">
        <f t="shared" si="67"/>
        <v>5.8354226663341092E-2</v>
      </c>
      <c r="AD150" s="3">
        <f t="shared" si="67"/>
        <v>5.0864966455649446E-2</v>
      </c>
      <c r="AE150" s="3">
        <f t="shared" si="67"/>
        <v>1.2879031547694278E-2</v>
      </c>
      <c r="AF150" s="3">
        <f t="shared" si="67"/>
        <v>1.3948504696000296E-8</v>
      </c>
    </row>
    <row r="151" spans="1:32" x14ac:dyDescent="0.25">
      <c r="B151" s="3">
        <f t="shared" ref="B151:Z151" si="79">$C37*EXP(-B$129/$A37/EXP(-$B$126))</f>
        <v>5.2327746974864794E-2</v>
      </c>
      <c r="C151" s="3">
        <f t="shared" si="79"/>
        <v>5.2327746974864794E-2</v>
      </c>
      <c r="D151" s="3">
        <f t="shared" si="79"/>
        <v>5.2327746974864794E-2</v>
      </c>
      <c r="E151" s="3">
        <f t="shared" si="79"/>
        <v>5.2327746974864794E-2</v>
      </c>
      <c r="F151" s="3">
        <f t="shared" si="79"/>
        <v>5.2327746974864794E-2</v>
      </c>
      <c r="G151" s="3">
        <f t="shared" si="79"/>
        <v>5.2327746974864794E-2</v>
      </c>
      <c r="H151" s="3">
        <f t="shared" si="79"/>
        <v>5.2327746974864794E-2</v>
      </c>
      <c r="I151" s="3">
        <f t="shared" si="79"/>
        <v>5.2327746974864794E-2</v>
      </c>
      <c r="J151" s="3">
        <f t="shared" si="79"/>
        <v>5.2327746974864794E-2</v>
      </c>
      <c r="K151" s="3">
        <f t="shared" si="79"/>
        <v>5.2327746974864794E-2</v>
      </c>
      <c r="L151" s="3">
        <f t="shared" si="79"/>
        <v>5.2327746974864794E-2</v>
      </c>
      <c r="M151" s="3">
        <f t="shared" si="79"/>
        <v>5.2327746974864794E-2</v>
      </c>
      <c r="N151" s="3">
        <f t="shared" si="79"/>
        <v>5.2327746974864794E-2</v>
      </c>
      <c r="O151" s="3">
        <f t="shared" si="79"/>
        <v>5.2327746974864794E-2</v>
      </c>
      <c r="P151" s="3">
        <f t="shared" si="79"/>
        <v>5.2327746974864787E-2</v>
      </c>
      <c r="Q151" s="3">
        <f t="shared" si="79"/>
        <v>5.2327746974864725E-2</v>
      </c>
      <c r="R151" s="3">
        <f t="shared" si="79"/>
        <v>5.2327746974864073E-2</v>
      </c>
      <c r="S151" s="3">
        <f t="shared" si="79"/>
        <v>5.2327746974857592E-2</v>
      </c>
      <c r="T151" s="3">
        <f t="shared" si="79"/>
        <v>5.2327746974792748E-2</v>
      </c>
      <c r="U151" s="3">
        <f t="shared" si="79"/>
        <v>5.2327746974144371E-2</v>
      </c>
      <c r="V151" s="3">
        <f t="shared" si="79"/>
        <v>5.2327746967660557E-2</v>
      </c>
      <c r="W151" s="3">
        <f t="shared" si="79"/>
        <v>5.2327746902822395E-2</v>
      </c>
      <c r="X151" s="3">
        <f t="shared" si="79"/>
        <v>5.2327746254440852E-2</v>
      </c>
      <c r="Y151" s="3">
        <f t="shared" si="79"/>
        <v>5.2327739770625818E-2</v>
      </c>
      <c r="Z151" s="3">
        <f t="shared" si="79"/>
        <v>5.2327674932519677E-2</v>
      </c>
      <c r="AA151" s="3">
        <f t="shared" ref="AA151" si="80">$C37*EXP(-AA$129/$A37/EXP(-$B$126))</f>
        <v>5.2327026555876947E-2</v>
      </c>
      <c r="AB151" s="3">
        <f t="shared" si="67"/>
        <v>5.2320543231294474E-2</v>
      </c>
      <c r="AC151" s="3">
        <f t="shared" si="67"/>
        <v>5.225575414970806E-2</v>
      </c>
      <c r="AD151" s="3">
        <f t="shared" si="67"/>
        <v>5.1612259577123364E-2</v>
      </c>
      <c r="AE151" s="3">
        <f t="shared" si="67"/>
        <v>4.5597433963379654E-2</v>
      </c>
      <c r="AF151" s="3">
        <f t="shared" si="67"/>
        <v>1.3207350550997638E-2</v>
      </c>
    </row>
    <row r="152" spans="1:32" x14ac:dyDescent="0.25">
      <c r="B152" s="3">
        <f t="shared" ref="B152:Z152" si="81">$C38*EXP(-B$129/$A38/EXP(-$B$126))</f>
        <v>1.7967891452015796E-2</v>
      </c>
      <c r="C152" s="3">
        <f t="shared" si="81"/>
        <v>1.7967891452015796E-2</v>
      </c>
      <c r="D152" s="3">
        <f t="shared" si="81"/>
        <v>1.7967891452015796E-2</v>
      </c>
      <c r="E152" s="3">
        <f t="shared" si="81"/>
        <v>1.7967891452015796E-2</v>
      </c>
      <c r="F152" s="3">
        <f t="shared" si="81"/>
        <v>1.7967891452015796E-2</v>
      </c>
      <c r="G152" s="3">
        <f t="shared" si="81"/>
        <v>1.7967891452015796E-2</v>
      </c>
      <c r="H152" s="3">
        <f t="shared" si="81"/>
        <v>1.7967891452015796E-2</v>
      </c>
      <c r="I152" s="3">
        <f t="shared" si="81"/>
        <v>1.7967891452015796E-2</v>
      </c>
      <c r="J152" s="3">
        <f t="shared" si="81"/>
        <v>1.7967891452015796E-2</v>
      </c>
      <c r="K152" s="3">
        <f t="shared" si="81"/>
        <v>1.7967891452015796E-2</v>
      </c>
      <c r="L152" s="3">
        <f t="shared" si="81"/>
        <v>1.7967891452015796E-2</v>
      </c>
      <c r="M152" s="3">
        <f t="shared" si="81"/>
        <v>1.7967891452015796E-2</v>
      </c>
      <c r="N152" s="3">
        <f t="shared" si="81"/>
        <v>1.7967891452015796E-2</v>
      </c>
      <c r="O152" s="3">
        <f t="shared" si="81"/>
        <v>1.7967891452015796E-2</v>
      </c>
      <c r="P152" s="3">
        <f t="shared" si="81"/>
        <v>1.7967891452015796E-2</v>
      </c>
      <c r="Q152" s="3">
        <f t="shared" si="81"/>
        <v>1.7967891452015793E-2</v>
      </c>
      <c r="R152" s="3">
        <f t="shared" si="81"/>
        <v>1.7967891452015775E-2</v>
      </c>
      <c r="S152" s="3">
        <f t="shared" si="81"/>
        <v>1.7967891452015574E-2</v>
      </c>
      <c r="T152" s="3">
        <f t="shared" si="81"/>
        <v>1.7967891452013565E-2</v>
      </c>
      <c r="U152" s="3">
        <f t="shared" si="81"/>
        <v>1.7967891451993481E-2</v>
      </c>
      <c r="V152" s="3">
        <f t="shared" si="81"/>
        <v>1.7967891451792645E-2</v>
      </c>
      <c r="W152" s="3">
        <f t="shared" si="81"/>
        <v>1.7967891449784282E-2</v>
      </c>
      <c r="X152" s="3">
        <f t="shared" si="81"/>
        <v>1.7967891429700646E-2</v>
      </c>
      <c r="Y152" s="3">
        <f t="shared" si="81"/>
        <v>1.7967891228864295E-2</v>
      </c>
      <c r="Z152" s="3">
        <f t="shared" si="81"/>
        <v>1.7967889220500934E-2</v>
      </c>
      <c r="AA152" s="3">
        <f t="shared" ref="AA152" si="82">$C38*EXP(-AA$129/$A38/EXP(-$B$126))</f>
        <v>1.7967869136879651E-2</v>
      </c>
      <c r="AB152" s="3">
        <f t="shared" si="67"/>
        <v>1.7967668301901496E-2</v>
      </c>
      <c r="AC152" s="3">
        <f t="shared" si="67"/>
        <v>1.7965660075581067E-2</v>
      </c>
      <c r="AD152" s="3">
        <f t="shared" si="67"/>
        <v>1.7945590153385628E-2</v>
      </c>
      <c r="AE152" s="3">
        <f t="shared" si="67"/>
        <v>1.774611994369403E-2</v>
      </c>
      <c r="AF152" s="3">
        <f t="shared" si="67"/>
        <v>1.5869384690111225E-2</v>
      </c>
    </row>
    <row r="153" spans="1:32" x14ac:dyDescent="0.25">
      <c r="B153" s="3">
        <f t="shared" ref="B153:Z153" si="83">$C39*EXP(-B$129/$A39/EXP(-$B$126))</f>
        <v>4.123109123431553E-2</v>
      </c>
      <c r="C153" s="3">
        <f t="shared" si="83"/>
        <v>4.123109123431553E-2</v>
      </c>
      <c r="D153" s="3">
        <f t="shared" si="83"/>
        <v>4.123109123431553E-2</v>
      </c>
      <c r="E153" s="3">
        <f t="shared" si="83"/>
        <v>4.123109123431553E-2</v>
      </c>
      <c r="F153" s="3">
        <f t="shared" si="83"/>
        <v>4.123109123431553E-2</v>
      </c>
      <c r="G153" s="3">
        <f t="shared" si="83"/>
        <v>4.123109123431553E-2</v>
      </c>
      <c r="H153" s="3">
        <f t="shared" si="83"/>
        <v>4.123109123431553E-2</v>
      </c>
      <c r="I153" s="3">
        <f t="shared" si="83"/>
        <v>4.123109123431553E-2</v>
      </c>
      <c r="J153" s="3">
        <f t="shared" si="83"/>
        <v>4.123109123431553E-2</v>
      </c>
      <c r="K153" s="3">
        <f t="shared" si="83"/>
        <v>4.123109123431553E-2</v>
      </c>
      <c r="L153" s="3">
        <f t="shared" si="83"/>
        <v>4.123109123431553E-2</v>
      </c>
      <c r="M153" s="3">
        <f t="shared" si="83"/>
        <v>4.123109123431553E-2</v>
      </c>
      <c r="N153" s="3">
        <f t="shared" si="83"/>
        <v>4.123109123431553E-2</v>
      </c>
      <c r="O153" s="3">
        <f t="shared" si="83"/>
        <v>4.123109123431553E-2</v>
      </c>
      <c r="P153" s="3">
        <f t="shared" si="83"/>
        <v>4.123109123431553E-2</v>
      </c>
      <c r="Q153" s="3">
        <f t="shared" si="83"/>
        <v>4.123109123431553E-2</v>
      </c>
      <c r="R153" s="3">
        <f t="shared" si="83"/>
        <v>4.1231091234315516E-2</v>
      </c>
      <c r="S153" s="3">
        <f t="shared" si="83"/>
        <v>4.1231091234315391E-2</v>
      </c>
      <c r="T153" s="3">
        <f t="shared" si="83"/>
        <v>4.1231091234314114E-2</v>
      </c>
      <c r="U153" s="3">
        <f t="shared" si="83"/>
        <v>4.1231091234301367E-2</v>
      </c>
      <c r="V153" s="3">
        <f t="shared" si="83"/>
        <v>4.1231091234173907E-2</v>
      </c>
      <c r="W153" s="3">
        <f t="shared" si="83"/>
        <v>4.1231091232899281E-2</v>
      </c>
      <c r="X153" s="3">
        <f t="shared" si="83"/>
        <v>4.1231091220153018E-2</v>
      </c>
      <c r="Y153" s="3">
        <f t="shared" si="83"/>
        <v>4.1231091092690374E-2</v>
      </c>
      <c r="Z153" s="3">
        <f t="shared" si="83"/>
        <v>4.1231089818064046E-2</v>
      </c>
      <c r="AA153" s="3">
        <f t="shared" ref="AA153" si="84">$C39*EXP(-AA$129/$A39/EXP(-$B$126))</f>
        <v>4.123107707180286E-2</v>
      </c>
      <c r="AB153" s="3">
        <f t="shared" si="67"/>
        <v>4.1230949609407701E-2</v>
      </c>
      <c r="AC153" s="3">
        <f t="shared" si="67"/>
        <v>4.1229675007128111E-2</v>
      </c>
      <c r="AD153" s="3">
        <f t="shared" si="67"/>
        <v>4.1216931151280028E-2</v>
      </c>
      <c r="AE153" s="3">
        <f t="shared" si="67"/>
        <v>4.108970903992696E-2</v>
      </c>
      <c r="AF153" s="3">
        <f t="shared" si="67"/>
        <v>3.9838887095331198E-2</v>
      </c>
    </row>
    <row r="154" spans="1:32" x14ac:dyDescent="0.25">
      <c r="B154" s="3">
        <f t="shared" ref="B154:Z154" si="85">$C40*EXP(-B$129/$A40/EXP(-$B$126))</f>
        <v>3.4610685556715946E-2</v>
      </c>
      <c r="C154" s="3">
        <f t="shared" si="85"/>
        <v>3.4610685556715946E-2</v>
      </c>
      <c r="D154" s="3">
        <f t="shared" si="85"/>
        <v>3.4610685556715946E-2</v>
      </c>
      <c r="E154" s="3">
        <f t="shared" si="85"/>
        <v>3.4610685556715946E-2</v>
      </c>
      <c r="F154" s="3">
        <f t="shared" si="85"/>
        <v>3.4610685556715946E-2</v>
      </c>
      <c r="G154" s="3">
        <f t="shared" si="85"/>
        <v>3.4610685556715946E-2</v>
      </c>
      <c r="H154" s="3">
        <f t="shared" si="85"/>
        <v>3.4610685556715946E-2</v>
      </c>
      <c r="I154" s="3">
        <f t="shared" si="85"/>
        <v>3.4610685556715946E-2</v>
      </c>
      <c r="J154" s="3">
        <f t="shared" si="85"/>
        <v>3.4610685556715946E-2</v>
      </c>
      <c r="K154" s="3">
        <f t="shared" si="85"/>
        <v>3.4610685556715946E-2</v>
      </c>
      <c r="L154" s="3">
        <f t="shared" si="85"/>
        <v>3.4610685556715946E-2</v>
      </c>
      <c r="M154" s="3">
        <f t="shared" si="85"/>
        <v>3.4610685556715946E-2</v>
      </c>
      <c r="N154" s="3">
        <f t="shared" si="85"/>
        <v>3.4610685556715946E-2</v>
      </c>
      <c r="O154" s="3">
        <f t="shared" si="85"/>
        <v>3.4610685556715946E-2</v>
      </c>
      <c r="P154" s="3">
        <f t="shared" si="85"/>
        <v>3.4610685556715946E-2</v>
      </c>
      <c r="Q154" s="3">
        <f t="shared" si="85"/>
        <v>3.4610685556715946E-2</v>
      </c>
      <c r="R154" s="3">
        <f t="shared" si="85"/>
        <v>3.4610685556715946E-2</v>
      </c>
      <c r="S154" s="3">
        <f t="shared" si="85"/>
        <v>3.4610685556715932E-2</v>
      </c>
      <c r="T154" s="3">
        <f t="shared" si="85"/>
        <v>3.4610685556715828E-2</v>
      </c>
      <c r="U154" s="3">
        <f t="shared" si="85"/>
        <v>3.461068555671476E-2</v>
      </c>
      <c r="V154" s="3">
        <f t="shared" si="85"/>
        <v>3.461068555670406E-2</v>
      </c>
      <c r="W154" s="3">
        <f t="shared" si="85"/>
        <v>3.4610685556597062E-2</v>
      </c>
      <c r="X154" s="3">
        <f t="shared" si="85"/>
        <v>3.4610685555527099E-2</v>
      </c>
      <c r="Y154" s="3">
        <f t="shared" si="85"/>
        <v>3.4610685544827484E-2</v>
      </c>
      <c r="Z154" s="3">
        <f t="shared" si="85"/>
        <v>3.4610685437831301E-2</v>
      </c>
      <c r="AA154" s="3">
        <f t="shared" ref="AA154:AF154" si="86">$C40*EXP(-AA$129/$A40/EXP(-$B$126))</f>
        <v>3.4610684367869536E-2</v>
      </c>
      <c r="AB154" s="3">
        <f t="shared" si="86"/>
        <v>3.4610673668253669E-2</v>
      </c>
      <c r="AC154" s="3">
        <f t="shared" si="86"/>
        <v>3.4610566672276917E-2</v>
      </c>
      <c r="AD154" s="3">
        <f t="shared" si="86"/>
        <v>3.4609496730701565E-2</v>
      </c>
      <c r="AE154" s="3">
        <f t="shared" si="86"/>
        <v>3.4598799133952758E-2</v>
      </c>
      <c r="AF154" s="3">
        <f t="shared" si="86"/>
        <v>3.4492004859047957E-2</v>
      </c>
    </row>
    <row r="155" spans="1:32" x14ac:dyDescent="0.25">
      <c r="B155" s="3">
        <f t="shared" ref="B155:Z155" si="87">$C41*EXP(-B$129/$A41/EXP(-$B$126))</f>
        <v>4.2854236942630193E-2</v>
      </c>
      <c r="C155" s="3">
        <f t="shared" si="87"/>
        <v>4.2854236942630193E-2</v>
      </c>
      <c r="D155" s="3">
        <f t="shared" si="87"/>
        <v>4.2854236942630193E-2</v>
      </c>
      <c r="E155" s="3">
        <f t="shared" si="87"/>
        <v>4.2854236942630193E-2</v>
      </c>
      <c r="F155" s="3">
        <f t="shared" si="87"/>
        <v>4.2854236942630193E-2</v>
      </c>
      <c r="G155" s="3">
        <f t="shared" si="87"/>
        <v>4.2854236942630193E-2</v>
      </c>
      <c r="H155" s="3">
        <f t="shared" si="87"/>
        <v>4.2854236942630193E-2</v>
      </c>
      <c r="I155" s="3">
        <f t="shared" si="87"/>
        <v>4.2854236942630193E-2</v>
      </c>
      <c r="J155" s="3">
        <f t="shared" si="87"/>
        <v>4.2854236942630193E-2</v>
      </c>
      <c r="K155" s="3">
        <f t="shared" si="87"/>
        <v>4.2854236942630193E-2</v>
      </c>
      <c r="L155" s="3">
        <f t="shared" si="87"/>
        <v>4.2854236942630193E-2</v>
      </c>
      <c r="M155" s="3">
        <f t="shared" si="87"/>
        <v>4.2854236942630193E-2</v>
      </c>
      <c r="N155" s="3">
        <f t="shared" si="87"/>
        <v>4.2854236942630193E-2</v>
      </c>
      <c r="O155" s="3">
        <f t="shared" si="87"/>
        <v>4.2854236942630193E-2</v>
      </c>
      <c r="P155" s="3">
        <f t="shared" si="87"/>
        <v>4.2854236942630193E-2</v>
      </c>
      <c r="Q155" s="3">
        <f t="shared" si="87"/>
        <v>4.2854236942630193E-2</v>
      </c>
      <c r="R155" s="3">
        <f t="shared" si="87"/>
        <v>4.2854236942630193E-2</v>
      </c>
      <c r="S155" s="3">
        <f t="shared" si="87"/>
        <v>4.2854236942630193E-2</v>
      </c>
      <c r="T155" s="3">
        <f t="shared" si="87"/>
        <v>4.2854236942630179E-2</v>
      </c>
      <c r="U155" s="3">
        <f t="shared" si="87"/>
        <v>4.2854236942630047E-2</v>
      </c>
      <c r="V155" s="3">
        <f t="shared" si="87"/>
        <v>4.2854236942628722E-2</v>
      </c>
      <c r="W155" s="3">
        <f t="shared" si="87"/>
        <v>4.2854236942615476E-2</v>
      </c>
      <c r="X155" s="3">
        <f t="shared" si="87"/>
        <v>4.2854236942482991E-2</v>
      </c>
      <c r="Y155" s="3">
        <f t="shared" si="87"/>
        <v>4.285423694115819E-2</v>
      </c>
      <c r="Z155" s="3">
        <f t="shared" si="87"/>
        <v>4.2854236927910141E-2</v>
      </c>
      <c r="AA155" s="3">
        <f t="shared" ref="AA155:AF155" si="88">$C41*EXP(-AA$129/$A41/EXP(-$B$126))</f>
        <v>4.2854236795429677E-2</v>
      </c>
      <c r="AB155" s="3">
        <f t="shared" si="88"/>
        <v>4.2854235470625092E-2</v>
      </c>
      <c r="AC155" s="3">
        <f t="shared" si="88"/>
        <v>4.2854222222581423E-2</v>
      </c>
      <c r="AD155" s="3">
        <f t="shared" si="88"/>
        <v>4.2854089742370018E-2</v>
      </c>
      <c r="AE155" s="3">
        <f t="shared" si="88"/>
        <v>4.2852764962781072E-2</v>
      </c>
      <c r="AF155" s="3">
        <f t="shared" si="88"/>
        <v>4.2839519419145738E-2</v>
      </c>
    </row>
    <row r="156" spans="1:32" x14ac:dyDescent="0.25">
      <c r="B156" s="3">
        <f t="shared" ref="B156:Z156" si="89">$C42*EXP(-B$129/$A42/EXP(-$B$126))</f>
        <v>3.2192937025108795E-2</v>
      </c>
      <c r="C156" s="3">
        <f t="shared" si="89"/>
        <v>3.2192937025108795E-2</v>
      </c>
      <c r="D156" s="3">
        <f t="shared" si="89"/>
        <v>3.2192937025108795E-2</v>
      </c>
      <c r="E156" s="3">
        <f t="shared" si="89"/>
        <v>3.2192937025108795E-2</v>
      </c>
      <c r="F156" s="3">
        <f t="shared" si="89"/>
        <v>3.2192937025108795E-2</v>
      </c>
      <c r="G156" s="3">
        <f t="shared" si="89"/>
        <v>3.2192937025108795E-2</v>
      </c>
      <c r="H156" s="3">
        <f t="shared" si="89"/>
        <v>3.2192937025108795E-2</v>
      </c>
      <c r="I156" s="3">
        <f t="shared" si="89"/>
        <v>3.2192937025108795E-2</v>
      </c>
      <c r="J156" s="3">
        <f t="shared" si="89"/>
        <v>3.2192937025108795E-2</v>
      </c>
      <c r="K156" s="3">
        <f t="shared" si="89"/>
        <v>3.2192937025108795E-2</v>
      </c>
      <c r="L156" s="3">
        <f t="shared" si="89"/>
        <v>3.2192937025108795E-2</v>
      </c>
      <c r="M156" s="3">
        <f t="shared" si="89"/>
        <v>3.2192937025108795E-2</v>
      </c>
      <c r="N156" s="3">
        <f t="shared" si="89"/>
        <v>3.2192937025108795E-2</v>
      </c>
      <c r="O156" s="3">
        <f t="shared" si="89"/>
        <v>3.2192937025108795E-2</v>
      </c>
      <c r="P156" s="3">
        <f t="shared" si="89"/>
        <v>3.2192937025108795E-2</v>
      </c>
      <c r="Q156" s="3">
        <f t="shared" si="89"/>
        <v>3.2192937025108795E-2</v>
      </c>
      <c r="R156" s="3">
        <f t="shared" si="89"/>
        <v>3.2192937025108795E-2</v>
      </c>
      <c r="S156" s="3">
        <f t="shared" si="89"/>
        <v>3.2192937025108795E-2</v>
      </c>
      <c r="T156" s="3">
        <f t="shared" si="89"/>
        <v>3.2192937025108795E-2</v>
      </c>
      <c r="U156" s="3">
        <f t="shared" si="89"/>
        <v>3.2192937025108781E-2</v>
      </c>
      <c r="V156" s="3">
        <f t="shared" si="89"/>
        <v>3.2192937025108684E-2</v>
      </c>
      <c r="W156" s="3">
        <f t="shared" si="89"/>
        <v>3.2192937025107692E-2</v>
      </c>
      <c r="X156" s="3">
        <f t="shared" si="89"/>
        <v>3.2192937025097734E-2</v>
      </c>
      <c r="Y156" s="3">
        <f t="shared" si="89"/>
        <v>3.2192937024998217E-2</v>
      </c>
      <c r="Z156" s="3">
        <f t="shared" si="89"/>
        <v>3.2192937024002999E-2</v>
      </c>
      <c r="AA156" s="3">
        <f t="shared" ref="AA156:AF156" si="90">$C42*EXP(-AA$129/$A42/EXP(-$B$126))</f>
        <v>3.2192937014050807E-2</v>
      </c>
      <c r="AB156" s="3">
        <f t="shared" si="90"/>
        <v>3.2192936914528902E-2</v>
      </c>
      <c r="AC156" s="3">
        <f t="shared" si="90"/>
        <v>3.2192935919309905E-2</v>
      </c>
      <c r="AD156" s="3">
        <f t="shared" si="90"/>
        <v>3.2192925967121609E-2</v>
      </c>
      <c r="AE156" s="3">
        <f t="shared" si="90"/>
        <v>3.2192826445407836E-2</v>
      </c>
      <c r="AF156" s="3">
        <f t="shared" si="90"/>
        <v>3.2191831245191434E-2</v>
      </c>
    </row>
    <row r="157" spans="1:32" x14ac:dyDescent="0.25">
      <c r="B157" s="3">
        <f t="shared" ref="B157:Z157" si="91">$C43*EXP(-B$129/$A43/EXP(-$B$126))</f>
        <v>2.5751010749186929E-2</v>
      </c>
      <c r="C157" s="3">
        <f t="shared" si="91"/>
        <v>2.5751010749186929E-2</v>
      </c>
      <c r="D157" s="3">
        <f t="shared" si="91"/>
        <v>2.5751010749186929E-2</v>
      </c>
      <c r="E157" s="3">
        <f t="shared" si="91"/>
        <v>2.5751010749186929E-2</v>
      </c>
      <c r="F157" s="3">
        <f t="shared" si="91"/>
        <v>2.5751010749186929E-2</v>
      </c>
      <c r="G157" s="3">
        <f t="shared" si="91"/>
        <v>2.5751010749186929E-2</v>
      </c>
      <c r="H157" s="3">
        <f t="shared" si="91"/>
        <v>2.5751010749186929E-2</v>
      </c>
      <c r="I157" s="3">
        <f t="shared" si="91"/>
        <v>2.5751010749186929E-2</v>
      </c>
      <c r="J157" s="3">
        <f t="shared" si="91"/>
        <v>2.5751010749186929E-2</v>
      </c>
      <c r="K157" s="3">
        <f t="shared" si="91"/>
        <v>2.5751010749186929E-2</v>
      </c>
      <c r="L157" s="3">
        <f t="shared" si="91"/>
        <v>2.5751010749186929E-2</v>
      </c>
      <c r="M157" s="3">
        <f t="shared" si="91"/>
        <v>2.5751010749186929E-2</v>
      </c>
      <c r="N157" s="3">
        <f t="shared" si="91"/>
        <v>2.5751010749186929E-2</v>
      </c>
      <c r="O157" s="3">
        <f t="shared" si="91"/>
        <v>2.5751010749186929E-2</v>
      </c>
      <c r="P157" s="3">
        <f t="shared" si="91"/>
        <v>2.5751010749186929E-2</v>
      </c>
      <c r="Q157" s="3">
        <f t="shared" si="91"/>
        <v>2.5751010749186929E-2</v>
      </c>
      <c r="R157" s="3">
        <f t="shared" si="91"/>
        <v>2.5751010749186929E-2</v>
      </c>
      <c r="S157" s="3">
        <f t="shared" si="91"/>
        <v>2.5751010749186929E-2</v>
      </c>
      <c r="T157" s="3">
        <f t="shared" si="91"/>
        <v>2.5751010749186929E-2</v>
      </c>
      <c r="U157" s="3">
        <f t="shared" si="91"/>
        <v>2.5751010749186929E-2</v>
      </c>
      <c r="V157" s="3">
        <f t="shared" si="91"/>
        <v>2.5751010749186922E-2</v>
      </c>
      <c r="W157" s="3">
        <f t="shared" si="91"/>
        <v>2.5751010749186839E-2</v>
      </c>
      <c r="X157" s="3">
        <f t="shared" si="91"/>
        <v>2.5751010749186044E-2</v>
      </c>
      <c r="Y157" s="3">
        <f t="shared" si="91"/>
        <v>2.5751010749178082E-2</v>
      </c>
      <c r="Z157" s="3">
        <f t="shared" si="91"/>
        <v>2.5751010749098475E-2</v>
      </c>
      <c r="AA157" s="3">
        <f t="shared" ref="AA157:AF157" si="92">$C43*EXP(-AA$129/$A43/EXP(-$B$126))</f>
        <v>2.5751010748302404E-2</v>
      </c>
      <c r="AB157" s="3">
        <f t="shared" si="92"/>
        <v>2.5751010740341685E-2</v>
      </c>
      <c r="AC157" s="3">
        <f t="shared" si="92"/>
        <v>2.5751010660734486E-2</v>
      </c>
      <c r="AD157" s="3">
        <f t="shared" si="92"/>
        <v>2.5751009864662507E-2</v>
      </c>
      <c r="AE157" s="3">
        <f t="shared" si="92"/>
        <v>2.5751001903944051E-2</v>
      </c>
      <c r="AF157" s="3">
        <f t="shared" si="92"/>
        <v>2.5750922296894869E-2</v>
      </c>
    </row>
    <row r="158" spans="1:32" x14ac:dyDescent="0.25">
      <c r="B158" s="3">
        <f t="shared" ref="B158:Z158" si="93">$C44*EXP(-B$129/$A44/EXP(-$B$126))</f>
        <v>1.2586213635594824E-2</v>
      </c>
      <c r="C158" s="3">
        <f t="shared" si="93"/>
        <v>1.2586213635594824E-2</v>
      </c>
      <c r="D158" s="3">
        <f t="shared" si="93"/>
        <v>1.2586213635594824E-2</v>
      </c>
      <c r="E158" s="3">
        <f t="shared" si="93"/>
        <v>1.2586213635594824E-2</v>
      </c>
      <c r="F158" s="3">
        <f t="shared" si="93"/>
        <v>1.2586213635594824E-2</v>
      </c>
      <c r="G158" s="3">
        <f t="shared" si="93"/>
        <v>1.2586213635594824E-2</v>
      </c>
      <c r="H158" s="3">
        <f t="shared" si="93"/>
        <v>1.2586213635594824E-2</v>
      </c>
      <c r="I158" s="3">
        <f t="shared" si="93"/>
        <v>1.2586213635594824E-2</v>
      </c>
      <c r="J158" s="3">
        <f t="shared" si="93"/>
        <v>1.2586213635594824E-2</v>
      </c>
      <c r="K158" s="3">
        <f t="shared" si="93"/>
        <v>1.2586213635594824E-2</v>
      </c>
      <c r="L158" s="3">
        <f t="shared" si="93"/>
        <v>1.2586213635594824E-2</v>
      </c>
      <c r="M158" s="3">
        <f t="shared" si="93"/>
        <v>1.2586213635594824E-2</v>
      </c>
      <c r="N158" s="3">
        <f t="shared" si="93"/>
        <v>1.2586213635594824E-2</v>
      </c>
      <c r="O158" s="3">
        <f t="shared" si="93"/>
        <v>1.2586213635594824E-2</v>
      </c>
      <c r="P158" s="3">
        <f t="shared" si="93"/>
        <v>1.2586213635594824E-2</v>
      </c>
      <c r="Q158" s="3">
        <f t="shared" si="93"/>
        <v>1.2586213635594824E-2</v>
      </c>
      <c r="R158" s="3">
        <f t="shared" si="93"/>
        <v>1.2586213635594824E-2</v>
      </c>
      <c r="S158" s="3">
        <f t="shared" si="93"/>
        <v>1.2586213635594824E-2</v>
      </c>
      <c r="T158" s="3">
        <f t="shared" si="93"/>
        <v>1.2586213635594824E-2</v>
      </c>
      <c r="U158" s="3">
        <f t="shared" si="93"/>
        <v>1.2586213635594824E-2</v>
      </c>
      <c r="V158" s="3">
        <f t="shared" si="93"/>
        <v>1.2586213635594824E-2</v>
      </c>
      <c r="W158" s="3">
        <f t="shared" si="93"/>
        <v>1.258621363559482E-2</v>
      </c>
      <c r="X158" s="3">
        <f t="shared" si="93"/>
        <v>1.2586213635594781E-2</v>
      </c>
      <c r="Y158" s="3">
        <f t="shared" si="93"/>
        <v>1.2586213635594392E-2</v>
      </c>
      <c r="Z158" s="3">
        <f t="shared" si="93"/>
        <v>1.2586213635590501E-2</v>
      </c>
      <c r="AA158" s="3">
        <f t="shared" ref="AA158:AF158" si="94">$C44*EXP(-AA$129/$A44/EXP(-$B$126))</f>
        <v>1.2586213635551591E-2</v>
      </c>
      <c r="AB158" s="3">
        <f t="shared" si="94"/>
        <v>1.25862136351625E-2</v>
      </c>
      <c r="AC158" s="3">
        <f t="shared" si="94"/>
        <v>1.2586213631271572E-2</v>
      </c>
      <c r="AD158" s="3">
        <f t="shared" si="94"/>
        <v>1.2586213592362294E-2</v>
      </c>
      <c r="AE158" s="3">
        <f t="shared" si="94"/>
        <v>1.2586213203269527E-2</v>
      </c>
      <c r="AF158" s="3">
        <f t="shared" si="94"/>
        <v>1.2586209312342521E-2</v>
      </c>
    </row>
    <row r="159" spans="1:32" x14ac:dyDescent="0.25">
      <c r="A159" s="11" t="s">
        <v>75</v>
      </c>
      <c r="B159" s="3">
        <f t="shared" ref="B159:Z159" si="95">$C45*EXP(-B$129/$A45/EXP(-$B$126))</f>
        <v>6.9130744193958088E-3</v>
      </c>
      <c r="C159" s="3">
        <f t="shared" si="95"/>
        <v>6.9130744193958088E-3</v>
      </c>
      <c r="D159" s="3">
        <f t="shared" si="95"/>
        <v>6.9130744193958088E-3</v>
      </c>
      <c r="E159" s="3">
        <f t="shared" si="95"/>
        <v>6.9130744193958088E-3</v>
      </c>
      <c r="F159" s="3">
        <f t="shared" si="95"/>
        <v>6.9130744193958088E-3</v>
      </c>
      <c r="G159" s="3">
        <f t="shared" si="95"/>
        <v>6.9130744193958088E-3</v>
      </c>
      <c r="H159" s="3">
        <f t="shared" si="95"/>
        <v>6.9130744193958088E-3</v>
      </c>
      <c r="I159" s="3">
        <f t="shared" si="95"/>
        <v>6.9130744193958088E-3</v>
      </c>
      <c r="J159" s="3">
        <f t="shared" si="95"/>
        <v>6.9130744193958088E-3</v>
      </c>
      <c r="K159" s="3">
        <f t="shared" si="95"/>
        <v>6.9130744193958088E-3</v>
      </c>
      <c r="L159" s="3">
        <f t="shared" si="95"/>
        <v>6.9130744193958088E-3</v>
      </c>
      <c r="M159" s="3">
        <f t="shared" si="95"/>
        <v>6.9130744193958088E-3</v>
      </c>
      <c r="N159" s="3">
        <f t="shared" si="95"/>
        <v>6.9130744193958088E-3</v>
      </c>
      <c r="O159" s="3">
        <f t="shared" si="95"/>
        <v>6.9130744193958088E-3</v>
      </c>
      <c r="P159" s="3">
        <f t="shared" si="95"/>
        <v>6.9130744193958088E-3</v>
      </c>
      <c r="Q159" s="3">
        <f t="shared" si="95"/>
        <v>6.9130744193958088E-3</v>
      </c>
      <c r="R159" s="3">
        <f t="shared" si="95"/>
        <v>6.9130744193958088E-3</v>
      </c>
      <c r="S159" s="3">
        <f t="shared" si="95"/>
        <v>6.9130744193958088E-3</v>
      </c>
      <c r="T159" s="3">
        <f t="shared" si="95"/>
        <v>6.9130744193958088E-3</v>
      </c>
      <c r="U159" s="3">
        <f t="shared" si="95"/>
        <v>6.9130744193958088E-3</v>
      </c>
      <c r="V159" s="3">
        <f t="shared" si="95"/>
        <v>6.9130744193958088E-3</v>
      </c>
      <c r="W159" s="3">
        <f t="shared" si="95"/>
        <v>6.9130744193958088E-3</v>
      </c>
      <c r="X159" s="3">
        <f t="shared" si="95"/>
        <v>6.9130744193958062E-3</v>
      </c>
      <c r="Y159" s="3">
        <f t="shared" si="95"/>
        <v>6.9130744193957854E-3</v>
      </c>
      <c r="Z159" s="3">
        <f t="shared" si="95"/>
        <v>6.913074419395572E-3</v>
      </c>
      <c r="AA159" s="3">
        <f t="shared" ref="AA159:AF159" si="96">$C45*EXP(-AA$129/$A45/EXP(-$B$126))</f>
        <v>6.913074419393434E-3</v>
      </c>
      <c r="AB159" s="3">
        <f t="shared" si="96"/>
        <v>6.9130744193720631E-3</v>
      </c>
      <c r="AC159" s="3">
        <f t="shared" si="96"/>
        <v>6.9130744191583512E-3</v>
      </c>
      <c r="AD159" s="3">
        <f t="shared" si="96"/>
        <v>6.9130744170212291E-3</v>
      </c>
      <c r="AE159" s="3">
        <f t="shared" si="96"/>
        <v>6.9130743956500092E-3</v>
      </c>
      <c r="AF159" s="3">
        <f t="shared" si="96"/>
        <v>6.9130741819378224E-3</v>
      </c>
    </row>
    <row r="160" spans="1:32" x14ac:dyDescent="0.25">
      <c r="B160" s="3">
        <f t="shared" ref="B160:Z160" si="97">$C46*EXP(-B$129/$A46/EXP(-$B$126))</f>
        <v>3.0323866622783903E-3</v>
      </c>
      <c r="C160" s="3">
        <f t="shared" si="97"/>
        <v>3.0323866622783903E-3</v>
      </c>
      <c r="D160" s="3">
        <f t="shared" si="97"/>
        <v>3.0323866622783903E-3</v>
      </c>
      <c r="E160" s="3">
        <f t="shared" si="97"/>
        <v>3.0323866622783903E-3</v>
      </c>
      <c r="F160" s="3">
        <f t="shared" si="97"/>
        <v>3.0323866622783903E-3</v>
      </c>
      <c r="G160" s="3">
        <f t="shared" si="97"/>
        <v>3.0323866622783903E-3</v>
      </c>
      <c r="H160" s="3">
        <f t="shared" si="97"/>
        <v>3.0323866622783903E-3</v>
      </c>
      <c r="I160" s="3">
        <f t="shared" si="97"/>
        <v>3.0323866622783903E-3</v>
      </c>
      <c r="J160" s="3">
        <f t="shared" si="97"/>
        <v>3.0323866622783903E-3</v>
      </c>
      <c r="K160" s="3">
        <f t="shared" si="97"/>
        <v>3.0323866622783903E-3</v>
      </c>
      <c r="L160" s="3">
        <f t="shared" si="97"/>
        <v>3.0323866622783903E-3</v>
      </c>
      <c r="M160" s="3">
        <f t="shared" si="97"/>
        <v>3.0323866622783903E-3</v>
      </c>
      <c r="N160" s="3">
        <f t="shared" si="97"/>
        <v>3.0323866622783903E-3</v>
      </c>
      <c r="O160" s="3">
        <f t="shared" si="97"/>
        <v>3.0323866622783903E-3</v>
      </c>
      <c r="P160" s="3">
        <f t="shared" si="97"/>
        <v>3.0323866622783903E-3</v>
      </c>
      <c r="Q160" s="3">
        <f t="shared" si="97"/>
        <v>3.0323866622783903E-3</v>
      </c>
      <c r="R160" s="3">
        <f t="shared" si="97"/>
        <v>3.0323866622783903E-3</v>
      </c>
      <c r="S160" s="3">
        <f t="shared" si="97"/>
        <v>3.0323866622783903E-3</v>
      </c>
      <c r="T160" s="3">
        <f t="shared" si="97"/>
        <v>3.0323866622783903E-3</v>
      </c>
      <c r="U160" s="3">
        <f t="shared" si="97"/>
        <v>3.0323866622783903E-3</v>
      </c>
      <c r="V160" s="3">
        <f t="shared" si="97"/>
        <v>3.0323866622783903E-3</v>
      </c>
      <c r="W160" s="3">
        <f t="shared" si="97"/>
        <v>3.0323866622783903E-3</v>
      </c>
      <c r="X160" s="3">
        <f t="shared" si="97"/>
        <v>3.0323866622783903E-3</v>
      </c>
      <c r="Y160" s="3">
        <f t="shared" si="97"/>
        <v>3.0323866622783894E-3</v>
      </c>
      <c r="Z160" s="3">
        <f t="shared" si="97"/>
        <v>3.0323866622783799E-3</v>
      </c>
      <c r="AA160" s="3">
        <f t="shared" ref="AA160:AF160" si="98">$C46*EXP(-AA$129/$A46/EXP(-$B$126))</f>
        <v>3.0323866622782862E-3</v>
      </c>
      <c r="AB160" s="3">
        <f t="shared" si="98"/>
        <v>3.0323866622773486E-3</v>
      </c>
      <c r="AC160" s="3">
        <f t="shared" si="98"/>
        <v>3.0323866622679742E-3</v>
      </c>
      <c r="AD160" s="3">
        <f t="shared" si="98"/>
        <v>3.0323866621742306E-3</v>
      </c>
      <c r="AE160" s="3">
        <f t="shared" si="98"/>
        <v>3.0323866612367925E-3</v>
      </c>
      <c r="AF160" s="3">
        <f t="shared" si="98"/>
        <v>3.0323866518624102E-3</v>
      </c>
    </row>
    <row r="161" spans="1:34" x14ac:dyDescent="0.25">
      <c r="A161" s="11" t="s">
        <v>75</v>
      </c>
      <c r="B161" s="3">
        <f t="shared" ref="B161:Z161" si="99">$C47*EXP(-B$129/$A47/EXP(-$B$126))</f>
        <v>2.0349292815546579E-6</v>
      </c>
      <c r="C161" s="3">
        <f t="shared" si="99"/>
        <v>2.0349292815546579E-6</v>
      </c>
      <c r="D161" s="3">
        <f t="shared" si="99"/>
        <v>2.0349292815546579E-6</v>
      </c>
      <c r="E161" s="3">
        <f t="shared" si="99"/>
        <v>2.0349292815546579E-6</v>
      </c>
      <c r="F161" s="3">
        <f t="shared" si="99"/>
        <v>2.0349292815546579E-6</v>
      </c>
      <c r="G161" s="3">
        <f t="shared" si="99"/>
        <v>2.0349292815546579E-6</v>
      </c>
      <c r="H161" s="3">
        <f t="shared" si="99"/>
        <v>2.0349292815546579E-6</v>
      </c>
      <c r="I161" s="3">
        <f t="shared" si="99"/>
        <v>2.0349292815546579E-6</v>
      </c>
      <c r="J161" s="3">
        <f t="shared" si="99"/>
        <v>2.0349292815546579E-6</v>
      </c>
      <c r="K161" s="3">
        <f t="shared" si="99"/>
        <v>2.0349292815546579E-6</v>
      </c>
      <c r="L161" s="3">
        <f t="shared" si="99"/>
        <v>2.0349292815546579E-6</v>
      </c>
      <c r="M161" s="3">
        <f t="shared" si="99"/>
        <v>2.0349292815546579E-6</v>
      </c>
      <c r="N161" s="3">
        <f t="shared" si="99"/>
        <v>2.0349292815546579E-6</v>
      </c>
      <c r="O161" s="3">
        <f t="shared" si="99"/>
        <v>2.0349292815546579E-6</v>
      </c>
      <c r="P161" s="3">
        <f t="shared" si="99"/>
        <v>2.0349292815546579E-6</v>
      </c>
      <c r="Q161" s="3">
        <f t="shared" si="99"/>
        <v>2.0349292815546579E-6</v>
      </c>
      <c r="R161" s="3">
        <f t="shared" si="99"/>
        <v>2.0349292815546579E-6</v>
      </c>
      <c r="S161" s="3">
        <f t="shared" si="99"/>
        <v>2.0349292815546579E-6</v>
      </c>
      <c r="T161" s="3">
        <f t="shared" si="99"/>
        <v>2.0349292815546579E-6</v>
      </c>
      <c r="U161" s="3">
        <f t="shared" si="99"/>
        <v>2.0349292815546579E-6</v>
      </c>
      <c r="V161" s="3">
        <f t="shared" si="99"/>
        <v>2.0349292815546579E-6</v>
      </c>
      <c r="W161" s="3">
        <f t="shared" si="99"/>
        <v>2.0349292815546579E-6</v>
      </c>
      <c r="X161" s="3">
        <f t="shared" si="99"/>
        <v>2.0349292815546579E-6</v>
      </c>
      <c r="Y161" s="3">
        <f t="shared" si="99"/>
        <v>2.0349292815546579E-6</v>
      </c>
      <c r="Z161" s="3">
        <f t="shared" si="99"/>
        <v>2.0349292815546571E-6</v>
      </c>
      <c r="AA161" s="3">
        <f t="shared" ref="AA161:AF161" si="100">$C47*EXP(-AA$129/$A47/EXP(-$B$126))</f>
        <v>2.0349292815546507E-6</v>
      </c>
      <c r="AB161" s="3">
        <f t="shared" si="100"/>
        <v>2.0349292815545881E-6</v>
      </c>
      <c r="AC161" s="3">
        <f t="shared" si="100"/>
        <v>2.0349292815539591E-6</v>
      </c>
      <c r="AD161" s="3">
        <f t="shared" si="100"/>
        <v>2.0349292815476682E-6</v>
      </c>
      <c r="AE161" s="3">
        <f t="shared" si="100"/>
        <v>2.0349292814847599E-6</v>
      </c>
      <c r="AF161" s="3">
        <f t="shared" si="100"/>
        <v>2.0349292808556779E-6</v>
      </c>
    </row>
    <row r="162" spans="1:34" x14ac:dyDescent="0.25">
      <c r="B162" s="3">
        <f t="shared" ref="B162:Z162" si="101">$C48*EXP(-B$129/$A48/EXP(-$B$126))</f>
        <v>1.1740866771866395E-2</v>
      </c>
      <c r="C162" s="3">
        <f t="shared" si="101"/>
        <v>1.1740866771866395E-2</v>
      </c>
      <c r="D162" s="3">
        <f t="shared" si="101"/>
        <v>1.1740866771866395E-2</v>
      </c>
      <c r="E162" s="3">
        <f t="shared" si="101"/>
        <v>1.1740866771866395E-2</v>
      </c>
      <c r="F162" s="3">
        <f t="shared" si="101"/>
        <v>1.1740866771866395E-2</v>
      </c>
      <c r="G162" s="3">
        <f t="shared" si="101"/>
        <v>1.1740866771866395E-2</v>
      </c>
      <c r="H162" s="3">
        <f t="shared" si="101"/>
        <v>1.1740866771866395E-2</v>
      </c>
      <c r="I162" s="3">
        <f t="shared" si="101"/>
        <v>1.1740866771866395E-2</v>
      </c>
      <c r="J162" s="3">
        <f t="shared" si="101"/>
        <v>1.1740866771866395E-2</v>
      </c>
      <c r="K162" s="3">
        <f t="shared" si="101"/>
        <v>1.1740866771866395E-2</v>
      </c>
      <c r="L162" s="3">
        <f t="shared" si="101"/>
        <v>1.1740866771866395E-2</v>
      </c>
      <c r="M162" s="3">
        <f t="shared" si="101"/>
        <v>1.1740866771866395E-2</v>
      </c>
      <c r="N162" s="3">
        <f t="shared" si="101"/>
        <v>1.1740866771866395E-2</v>
      </c>
      <c r="O162" s="3">
        <f t="shared" si="101"/>
        <v>1.1740866771866395E-2</v>
      </c>
      <c r="P162" s="3">
        <f t="shared" si="101"/>
        <v>1.1740866771866395E-2</v>
      </c>
      <c r="Q162" s="3">
        <f t="shared" si="101"/>
        <v>1.1740866771866395E-2</v>
      </c>
      <c r="R162" s="3">
        <f t="shared" si="101"/>
        <v>1.1740866771866395E-2</v>
      </c>
      <c r="S162" s="3">
        <f t="shared" si="101"/>
        <v>1.1740866771866395E-2</v>
      </c>
      <c r="T162" s="3">
        <f t="shared" si="101"/>
        <v>1.1740866771866395E-2</v>
      </c>
      <c r="U162" s="3">
        <f t="shared" si="101"/>
        <v>1.1740866771866395E-2</v>
      </c>
      <c r="V162" s="3">
        <f t="shared" si="101"/>
        <v>1.1740866771866395E-2</v>
      </c>
      <c r="W162" s="3">
        <f t="shared" si="101"/>
        <v>1.1740866771866395E-2</v>
      </c>
      <c r="X162" s="3">
        <f t="shared" si="101"/>
        <v>1.1740866771866395E-2</v>
      </c>
      <c r="Y162" s="3">
        <f t="shared" si="101"/>
        <v>1.1740866771866395E-2</v>
      </c>
      <c r="Z162" s="3">
        <f t="shared" si="101"/>
        <v>1.1740866771866395E-2</v>
      </c>
      <c r="AA162" s="3">
        <f t="shared" ref="AA162:AF162" si="102">$C48*EXP(-AA$129/$A48/EXP(-$B$126))</f>
        <v>1.1740866771866391E-2</v>
      </c>
      <c r="AB162" s="3">
        <f t="shared" si="102"/>
        <v>1.1740866771866355E-2</v>
      </c>
      <c r="AC162" s="3">
        <f t="shared" si="102"/>
        <v>1.1740866771865992E-2</v>
      </c>
      <c r="AD162" s="3">
        <f t="shared" si="102"/>
        <v>1.1740866771862361E-2</v>
      </c>
      <c r="AE162" s="3">
        <f t="shared" si="102"/>
        <v>1.1740866771826066E-2</v>
      </c>
      <c r="AF162" s="3">
        <f t="shared" si="102"/>
        <v>1.1740866771463106E-2</v>
      </c>
    </row>
    <row r="163" spans="1:34" x14ac:dyDescent="0.25">
      <c r="A163" s="79">
        <f>AVERAGE(B163:AF163)</f>
        <v>3.8027371312068944E-2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4.6516096530318192E-2</v>
      </c>
      <c r="M163" s="80">
        <f t="shared" si="103"/>
        <v>6.7564808677139376E-2</v>
      </c>
      <c r="N163" s="80">
        <f t="shared" si="103"/>
        <v>8.9552638778064228E-2</v>
      </c>
      <c r="O163" s="80">
        <f t="shared" si="103"/>
        <v>0.10194617038357365</v>
      </c>
      <c r="P163" s="80">
        <f t="shared" si="103"/>
        <v>0.10892060699437575</v>
      </c>
      <c r="Q163" s="80">
        <f t="shared" si="103"/>
        <v>0.10854158652040412</v>
      </c>
      <c r="R163" s="80">
        <f t="shared" si="103"/>
        <v>0.11692646855302702</v>
      </c>
      <c r="S163" s="80">
        <f t="shared" si="103"/>
        <v>0.12707031548508207</v>
      </c>
      <c r="T163" s="80">
        <f t="shared" si="103"/>
        <v>0.13584015535630231</v>
      </c>
      <c r="U163" s="80">
        <f t="shared" si="103"/>
        <v>0.1400271564804203</v>
      </c>
      <c r="V163" s="80">
        <f t="shared" si="103"/>
        <v>0.13594250691543033</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10143.255753828214</v>
      </c>
      <c r="C164" s="21">
        <f t="shared" ref="C164:AF164" si="104">(C131-C130)^2</f>
        <v>10170.371408071835</v>
      </c>
      <c r="D164" s="21">
        <f t="shared" si="104"/>
        <v>10290.426217326805</v>
      </c>
      <c r="E164" s="21">
        <f t="shared" si="104"/>
        <v>11584.675669505576</v>
      </c>
      <c r="F164" s="21">
        <f t="shared" si="104"/>
        <v>25645.758278541598</v>
      </c>
      <c r="G164" s="21">
        <f t="shared" si="104"/>
        <v>89113.174326530134</v>
      </c>
      <c r="H164" s="21">
        <f t="shared" si="104"/>
        <v>93090.324252785533</v>
      </c>
      <c r="I164" s="21">
        <f t="shared" si="104"/>
        <v>93104.465640036899</v>
      </c>
      <c r="J164" s="21">
        <f t="shared" si="104"/>
        <v>93246.825945475328</v>
      </c>
      <c r="K164" s="21">
        <f t="shared" si="104"/>
        <v>94670.479800212503</v>
      </c>
      <c r="L164" s="21">
        <f t="shared" si="104"/>
        <v>108863.20621942848</v>
      </c>
      <c r="M164" s="21">
        <f t="shared" si="104"/>
        <v>229666.80110555628</v>
      </c>
      <c r="N164" s="21">
        <f t="shared" si="104"/>
        <v>403311.53723706387</v>
      </c>
      <c r="O164" s="21">
        <f t="shared" si="104"/>
        <v>520679.09126710705</v>
      </c>
      <c r="P164" s="21">
        <f t="shared" si="104"/>
        <v>578033.4795445085</v>
      </c>
      <c r="Q164" s="21">
        <f t="shared" si="104"/>
        <v>547613.24548702524</v>
      </c>
      <c r="R164" s="21">
        <f t="shared" si="104"/>
        <v>613763.70610528556</v>
      </c>
      <c r="S164" s="21">
        <f t="shared" si="104"/>
        <v>699417.26380853995</v>
      </c>
      <c r="T164" s="21">
        <f t="shared" si="104"/>
        <v>767523.29990554042</v>
      </c>
      <c r="U164" s="21">
        <f t="shared" si="104"/>
        <v>775599.50009512657</v>
      </c>
      <c r="V164" s="21">
        <f t="shared" si="104"/>
        <v>668801.89647418098</v>
      </c>
      <c r="W164" s="21">
        <f t="shared" si="104"/>
        <v>184012.32028582302</v>
      </c>
      <c r="X164" s="21">
        <f t="shared" si="104"/>
        <v>23177.957025845688</v>
      </c>
      <c r="Y164" s="21">
        <f t="shared" si="104"/>
        <v>410011.68987443059</v>
      </c>
      <c r="Z164" s="21">
        <f t="shared" si="104"/>
        <v>825283.38072998379</v>
      </c>
      <c r="AA164" s="21">
        <f t="shared" si="104"/>
        <v>1126188.8741475039</v>
      </c>
      <c r="AB164" s="21">
        <f t="shared" si="104"/>
        <v>798003.15392857627</v>
      </c>
      <c r="AC164" s="21">
        <f t="shared" si="104"/>
        <v>248713.14930123548</v>
      </c>
      <c r="AD164" s="21">
        <f t="shared" si="104"/>
        <v>12962.068316891198</v>
      </c>
      <c r="AE164" s="21">
        <f t="shared" si="104"/>
        <v>25817.585476271608</v>
      </c>
      <c r="AF164" s="21">
        <f t="shared" si="104"/>
        <v>142418.80570741952</v>
      </c>
    </row>
    <row r="165" spans="1:34" x14ac:dyDescent="0.25">
      <c r="A165" s="71">
        <f>SUM(B165:AF165)</f>
        <v>5913273.0272493623</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108863.20621942848</v>
      </c>
      <c r="M165" s="60">
        <f t="shared" si="105"/>
        <v>229666.80110555628</v>
      </c>
      <c r="N165" s="60">
        <f t="shared" si="105"/>
        <v>403311.53723706387</v>
      </c>
      <c r="O165" s="60">
        <f t="shared" si="105"/>
        <v>520679.09126710705</v>
      </c>
      <c r="P165" s="60">
        <f t="shared" si="105"/>
        <v>578033.4795445085</v>
      </c>
      <c r="Q165" s="60">
        <f t="shared" si="105"/>
        <v>547613.24548702524</v>
      </c>
      <c r="R165" s="60">
        <f t="shared" si="105"/>
        <v>613763.70610528556</v>
      </c>
      <c r="S165" s="60">
        <f t="shared" si="105"/>
        <v>699417.26380853995</v>
      </c>
      <c r="T165" s="60">
        <f t="shared" si="105"/>
        <v>767523.29990554042</v>
      </c>
      <c r="U165" s="60">
        <f t="shared" si="105"/>
        <v>775599.50009512657</v>
      </c>
      <c r="V165" s="60">
        <f t="shared" si="105"/>
        <v>668801.89647418098</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7031.9211529245395</v>
      </c>
      <c r="C169" s="26">
        <f>INDEX(Comparison!$AM$3:$AS$33,G$14,$C$122)</f>
        <v>7031.9907762783369</v>
      </c>
      <c r="D169" s="26">
        <f>INDEX(Comparison!$AM$3:$AS$33,H$14,$C$122)</f>
        <v>7031.9539299810422</v>
      </c>
      <c r="E169" s="26">
        <f>INDEX(Comparison!$AM$3:$AS$33,I$14,$C$122)</f>
        <v>7031.9433621725511</v>
      </c>
      <c r="F169" s="26">
        <f>INDEX(Comparison!$AM$3:$AS$33,J$14,$C$122)</f>
        <v>7031.9306469370567</v>
      </c>
      <c r="G169" s="26">
        <f>INDEX(Comparison!$AM$3:$AS$33,K$14,$C$122)</f>
        <v>7031.8305090006179</v>
      </c>
      <c r="H169" s="26">
        <f>INDEX(Comparison!$AM$3:$AS$33,L$14,$C$122)</f>
        <v>7030.8436925650376</v>
      </c>
      <c r="I169" s="26">
        <f>INDEX(Comparison!$AM$3:$AS$33,M$14,$C$122)</f>
        <v>7021.3347469085647</v>
      </c>
      <c r="J169" s="26">
        <f>INDEX(Comparison!$AM$3:$AS$33,N$14,$C$122)</f>
        <v>6946.0273669032786</v>
      </c>
      <c r="K169" s="26">
        <f>INDEX(Comparison!$AM$3:$AS$33,O$14,$C$122)</f>
        <v>6777.7782322116691</v>
      </c>
      <c r="L169" s="26">
        <f>INDEX(Comparison!$AM$3:$AS$33,P$14,$C$122)</f>
        <v>6659.4311503256295</v>
      </c>
      <c r="M169" s="26">
        <f>INDEX(Comparison!$AM$3:$AS$33,Q$14,$C$122)</f>
        <v>6544.645454565718</v>
      </c>
      <c r="N169" s="26">
        <f>INDEX(Comparison!$AM$3:$AS$33,R$14,$C$122)</f>
        <v>6415.8365900058752</v>
      </c>
      <c r="O169" s="26">
        <f>INDEX(Comparison!$AM$3:$AS$33,S$14,$C$122)</f>
        <v>6279.1797519689544</v>
      </c>
      <c r="P169" s="26">
        <f>INDEX(Comparison!$AM$3:$AS$33,T$14,$C$122)</f>
        <v>6124.6018825038309</v>
      </c>
      <c r="Q169" s="26">
        <f>INDEX(Comparison!$AM$3:$AS$33,U$14,$C$122)</f>
        <v>5956.8287989294422</v>
      </c>
      <c r="R169" s="26">
        <f>INDEX(Comparison!$AM$3:$AS$33,V$14,$C$122)</f>
        <v>5777.56401011038</v>
      </c>
      <c r="S169" s="26">
        <f>INDEX(Comparison!$AM$3:$AS$33,W$14,$C$122)</f>
        <v>5602.1564627366897</v>
      </c>
      <c r="T169" s="26">
        <f>INDEX(Comparison!$AM$3:$AS$33,X$14,$C$122)</f>
        <v>5348.811853446321</v>
      </c>
      <c r="U169" s="26">
        <f>INDEX(Comparison!$AM$3:$AS$33,Y$14,$C$122)</f>
        <v>4793.3449045957559</v>
      </c>
      <c r="V169" s="26">
        <f>INDEX(Comparison!$AM$3:$AS$33,Z$14,$C$122)</f>
        <v>4005.8829435497059</v>
      </c>
      <c r="W169" s="26">
        <f>INDEX(Comparison!$AM$3:$AS$33,AA$14,$C$122)</f>
        <v>3346.4776601581179</v>
      </c>
      <c r="X169" s="26">
        <f>INDEX(Comparison!$AM$3:$AS$33,AB$14,$C$122)</f>
        <v>2892.1899665732253</v>
      </c>
      <c r="Y169" s="26">
        <f>INDEX(Comparison!$AM$3:$AS$33,AC$14,$C$122)</f>
        <v>2569.6224142495339</v>
      </c>
      <c r="Z169" s="26">
        <f>INDEX(Comparison!$AM$3:$AS$33,AD$14,$C$122)</f>
        <v>2337.0503651981739</v>
      </c>
      <c r="AA169" s="26">
        <f>INDEX(Comparison!$AM$3:$AS$33,AE$14,$C$122)</f>
        <v>2151.250620328482</v>
      </c>
      <c r="AB169" s="26">
        <f>INDEX(Comparison!$AM$3:$AS$33,AF$14,$C$122)</f>
        <v>1990.2744047049448</v>
      </c>
      <c r="AC169" s="26">
        <f>INDEX(Comparison!$AM$3:$AS$33,AG$14,$C$122)</f>
        <v>1828.3308494849296</v>
      </c>
      <c r="AD169" s="26">
        <f>INDEX(Comparison!$AM$3:$AS$33,AH$14,$C$122)</f>
        <v>1665.1765081389453</v>
      </c>
      <c r="AE169" s="26">
        <f>INDEX(Comparison!$AM$3:$AS$33,AI$14,$C$122)</f>
        <v>1489.3314845424752</v>
      </c>
      <c r="AF169" s="26">
        <f>INDEX(Comparison!$AM$3:$AS$33,AJ$14,$C$122)</f>
        <v>1297.0734642842888</v>
      </c>
      <c r="AG169" s="26"/>
      <c r="AH169" s="26"/>
    </row>
    <row r="170" spans="1:34" x14ac:dyDescent="0.25">
      <c r="A170" s="70" t="s">
        <v>22</v>
      </c>
      <c r="B170" s="27">
        <f>($C$17+SUM(B171:B201))*$B$51</f>
        <v>6955.4050773888575</v>
      </c>
      <c r="C170" s="27">
        <f t="shared" ref="C170:AF170" si="106">($C$17+SUM(C171:C201))*$B$51</f>
        <v>6815.7630520957573</v>
      </c>
      <c r="D170" s="27">
        <f t="shared" si="106"/>
        <v>6788.0298975489759</v>
      </c>
      <c r="E170" s="27">
        <f t="shared" si="106"/>
        <v>6788.0163211859553</v>
      </c>
      <c r="F170" s="27">
        <f t="shared" si="106"/>
        <v>6787.8805955424177</v>
      </c>
      <c r="G170" s="27">
        <f t="shared" si="106"/>
        <v>6786.5266996558703</v>
      </c>
      <c r="H170" s="27">
        <f t="shared" si="106"/>
        <v>6773.3181486743397</v>
      </c>
      <c r="I170" s="27">
        <f t="shared" si="106"/>
        <v>6669.2822715849625</v>
      </c>
      <c r="J170" s="27">
        <f t="shared" si="106"/>
        <v>6473.2287151474438</v>
      </c>
      <c r="K170" s="27">
        <f t="shared" si="106"/>
        <v>6385.9868704399651</v>
      </c>
      <c r="L170" s="27">
        <f t="shared" si="106"/>
        <v>6248.2516785164544</v>
      </c>
      <c r="M170" s="27">
        <f t="shared" si="106"/>
        <v>6109.8093578560747</v>
      </c>
      <c r="N170" s="27">
        <f t="shared" si="106"/>
        <v>5950.9004061254254</v>
      </c>
      <c r="O170" s="27">
        <f t="shared" si="106"/>
        <v>5781.485580021139</v>
      </c>
      <c r="P170" s="27">
        <f t="shared" si="106"/>
        <v>5606.5183266103031</v>
      </c>
      <c r="Q170" s="27">
        <f t="shared" si="106"/>
        <v>5447.9156828697633</v>
      </c>
      <c r="R170" s="27">
        <f t="shared" si="106"/>
        <v>5245.8302572381435</v>
      </c>
      <c r="S170" s="27">
        <f t="shared" si="106"/>
        <v>5018.4221341704633</v>
      </c>
      <c r="T170" s="27">
        <f t="shared" si="106"/>
        <v>4779.6075391760214</v>
      </c>
      <c r="U170" s="27">
        <f t="shared" si="106"/>
        <v>4598.7315801211962</v>
      </c>
      <c r="V170" s="27">
        <f t="shared" si="106"/>
        <v>4398.2132073361818</v>
      </c>
      <c r="W170" s="27">
        <f t="shared" si="106"/>
        <v>4203.5148552790206</v>
      </c>
      <c r="X170" s="27">
        <f t="shared" si="106"/>
        <v>3823.188179021789</v>
      </c>
      <c r="Y170" s="27">
        <f t="shared" si="106"/>
        <v>3251.8286554165629</v>
      </c>
      <c r="Z170" s="27">
        <f t="shared" si="106"/>
        <v>2678.7757248373878</v>
      </c>
      <c r="AA170" s="27">
        <f t="shared" si="106"/>
        <v>2224.7786349038715</v>
      </c>
      <c r="AB170" s="27">
        <f t="shared" si="106"/>
        <v>1867.3345958830892</v>
      </c>
      <c r="AC170" s="27">
        <f t="shared" si="106"/>
        <v>1595.8388341540815</v>
      </c>
      <c r="AD170" s="27">
        <f t="shared" si="106"/>
        <v>1293.003638998646</v>
      </c>
      <c r="AE170" s="27">
        <f t="shared" si="106"/>
        <v>1035.765320102611</v>
      </c>
      <c r="AF170" s="27">
        <f t="shared" si="106"/>
        <v>758.51272823460931</v>
      </c>
      <c r="AG170" s="27"/>
      <c r="AH170" s="27"/>
    </row>
    <row r="171" spans="1:34" x14ac:dyDescent="0.25">
      <c r="B171" s="3">
        <f t="shared" ref="B171:AF171" si="107">$C18*EXP(-B$168/$A18/EXP(-$C$126))</f>
        <v>2.3936485131731546E-2</v>
      </c>
      <c r="C171" s="3">
        <f t="shared" si="107"/>
        <v>3.9659863349305645E-3</v>
      </c>
      <c r="D171" s="3">
        <f t="shared" si="107"/>
        <v>6.1838588085889396E-11</v>
      </c>
      <c r="E171" s="3">
        <f t="shared" si="107"/>
        <v>5.2522220826401159E-89</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4.1218428584533763E-2</v>
      </c>
      <c r="C172" s="3">
        <f t="shared" si="108"/>
        <v>4.1218409604446379E-2</v>
      </c>
      <c r="D172" s="3">
        <f t="shared" si="108"/>
        <v>4.121821980405322E-2</v>
      </c>
      <c r="E172" s="3">
        <f t="shared" si="108"/>
        <v>4.1216321848190046E-2</v>
      </c>
      <c r="F172" s="3">
        <f t="shared" si="108"/>
        <v>4.1197347095579519E-2</v>
      </c>
      <c r="G172" s="3">
        <f t="shared" si="108"/>
        <v>4.1008079353773014E-2</v>
      </c>
      <c r="H172" s="3">
        <f t="shared" si="108"/>
        <v>3.9162572898720417E-2</v>
      </c>
      <c r="I172" s="3">
        <f t="shared" si="108"/>
        <v>2.4710929802947885E-2</v>
      </c>
      <c r="J172" s="3">
        <f t="shared" si="108"/>
        <v>2.4721100142085107E-4</v>
      </c>
      <c r="K172" s="3">
        <f t="shared" si="108"/>
        <v>2.4823034038703223E-24</v>
      </c>
      <c r="L172" s="3">
        <f t="shared" si="108"/>
        <v>2.5865778372019849E-224</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8.4205641827749551E-3</v>
      </c>
      <c r="C173" s="3">
        <f t="shared" si="109"/>
        <v>8.4205638329952169E-3</v>
      </c>
      <c r="D173" s="3">
        <f t="shared" si="109"/>
        <v>8.4205603351986263E-3</v>
      </c>
      <c r="E173" s="3">
        <f t="shared" si="109"/>
        <v>8.4205253573126342E-3</v>
      </c>
      <c r="F173" s="3">
        <f t="shared" si="109"/>
        <v>8.4201755864437549E-3</v>
      </c>
      <c r="G173" s="3">
        <f t="shared" si="109"/>
        <v>8.4166786767363288E-3</v>
      </c>
      <c r="H173" s="3">
        <f t="shared" si="109"/>
        <v>8.3817893551376872E-3</v>
      </c>
      <c r="I173" s="3">
        <f t="shared" si="109"/>
        <v>8.0407524274745974E-3</v>
      </c>
      <c r="J173" s="3">
        <f t="shared" si="109"/>
        <v>5.3075754055002628E-3</v>
      </c>
      <c r="K173" s="3">
        <f t="shared" si="109"/>
        <v>8.3347196725306049E-5</v>
      </c>
      <c r="L173" s="3">
        <f t="shared" si="109"/>
        <v>7.6004488847264718E-23</v>
      </c>
      <c r="M173" s="3">
        <f t="shared" si="109"/>
        <v>3.0221895097678394E-203</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2.0972499012701974E-2</v>
      </c>
      <c r="C174" s="3">
        <f t="shared" si="110"/>
        <v>2.0972498934115059E-2</v>
      </c>
      <c r="D174" s="3">
        <f t="shared" si="110"/>
        <v>2.0972498148245925E-2</v>
      </c>
      <c r="E174" s="3">
        <f t="shared" si="110"/>
        <v>2.0972490289556205E-2</v>
      </c>
      <c r="F174" s="3">
        <f t="shared" si="110"/>
        <v>2.0972411702820964E-2</v>
      </c>
      <c r="G174" s="3">
        <f t="shared" si="110"/>
        <v>2.0971625851664503E-2</v>
      </c>
      <c r="H174" s="3">
        <f t="shared" si="110"/>
        <v>2.0963768959469897E-2</v>
      </c>
      <c r="I174" s="3">
        <f t="shared" si="110"/>
        <v>2.0885361750232256E-2</v>
      </c>
      <c r="J174" s="3">
        <f t="shared" si="110"/>
        <v>2.0117238952851051E-2</v>
      </c>
      <c r="K174" s="3">
        <f t="shared" si="110"/>
        <v>1.3830315893618016E-2</v>
      </c>
      <c r="L174" s="3">
        <f t="shared" si="110"/>
        <v>3.2618903109461761E-4</v>
      </c>
      <c r="M174" s="3">
        <f t="shared" si="110"/>
        <v>1.7371682455094168E-20</v>
      </c>
      <c r="N174" s="3">
        <f t="shared" si="110"/>
        <v>3.1883587058799795E-183</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1.9327833780662385E-2</v>
      </c>
      <c r="C175" s="3">
        <f t="shared" si="111"/>
        <v>1.9327833774129128E-2</v>
      </c>
      <c r="D175" s="3">
        <f t="shared" si="111"/>
        <v>1.9327833708796545E-2</v>
      </c>
      <c r="E175" s="3">
        <f t="shared" si="111"/>
        <v>1.9327833055470724E-2</v>
      </c>
      <c r="F175" s="3">
        <f t="shared" si="111"/>
        <v>1.932782652221373E-2</v>
      </c>
      <c r="G175" s="3">
        <f t="shared" si="111"/>
        <v>1.9327761189765254E-2</v>
      </c>
      <c r="H175" s="3">
        <f t="shared" si="111"/>
        <v>1.9327107877426492E-2</v>
      </c>
      <c r="I175" s="3">
        <f t="shared" si="111"/>
        <v>1.9320575968486586E-2</v>
      </c>
      <c r="J175" s="3">
        <f t="shared" si="111"/>
        <v>1.9255378172106558E-2</v>
      </c>
      <c r="K175" s="3">
        <f t="shared" si="111"/>
        <v>1.8615379172544098E-2</v>
      </c>
      <c r="L175" s="3">
        <f t="shared" si="111"/>
        <v>1.3276091243547852E-2</v>
      </c>
      <c r="M175" s="3">
        <f t="shared" si="111"/>
        <v>4.5191176430328873E-4</v>
      </c>
      <c r="N175" s="3">
        <f t="shared" si="111"/>
        <v>9.4381708189350054E-19</v>
      </c>
      <c r="O175" s="3">
        <f t="shared" si="111"/>
        <v>1.4901489949093297E-165</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2.3246647211929639E-2</v>
      </c>
      <c r="C176" s="3">
        <f t="shared" si="112"/>
        <v>2.324664721122079E-2</v>
      </c>
      <c r="D176" s="3">
        <f t="shared" si="112"/>
        <v>2.32466472041323E-2</v>
      </c>
      <c r="E176" s="3">
        <f t="shared" si="112"/>
        <v>2.3246647133247429E-2</v>
      </c>
      <c r="F176" s="3">
        <f t="shared" si="112"/>
        <v>2.3246646424398713E-2</v>
      </c>
      <c r="G176" s="3">
        <f t="shared" si="112"/>
        <v>2.3246639335912735E-2</v>
      </c>
      <c r="H176" s="3">
        <f t="shared" si="112"/>
        <v>2.3246568451171842E-2</v>
      </c>
      <c r="I176" s="3">
        <f t="shared" si="112"/>
        <v>2.3245859615650757E-2</v>
      </c>
      <c r="J176" s="3">
        <f t="shared" si="112"/>
        <v>2.3238772449092823E-2</v>
      </c>
      <c r="K176" s="3">
        <f t="shared" si="112"/>
        <v>2.3168019514806341E-2</v>
      </c>
      <c r="L176" s="3">
        <f t="shared" si="112"/>
        <v>2.2472230431408582E-2</v>
      </c>
      <c r="M176" s="3">
        <f t="shared" si="112"/>
        <v>1.6566046311778302E-2</v>
      </c>
      <c r="N176" s="3">
        <f t="shared" si="112"/>
        <v>7.8513762063554826E-4</v>
      </c>
      <c r="O176" s="3">
        <f t="shared" si="112"/>
        <v>4.4896754849859683E-17</v>
      </c>
      <c r="P176" s="3">
        <f t="shared" si="112"/>
        <v>1.6784429656466242E-149</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2.4740814098242019E-2</v>
      </c>
      <c r="C177" s="3">
        <f t="shared" si="113"/>
        <v>2.4740814098173965E-2</v>
      </c>
      <c r="D177" s="3">
        <f t="shared" si="113"/>
        <v>2.4740814097493426E-2</v>
      </c>
      <c r="E177" s="3">
        <f t="shared" si="113"/>
        <v>2.4740814090688023E-2</v>
      </c>
      <c r="F177" s="3">
        <f t="shared" si="113"/>
        <v>2.4740814022633999E-2</v>
      </c>
      <c r="G177" s="3">
        <f t="shared" si="113"/>
        <v>2.474081334209376E-2</v>
      </c>
      <c r="H177" s="3">
        <f t="shared" si="113"/>
        <v>2.4740806536692382E-2</v>
      </c>
      <c r="I177" s="3">
        <f t="shared" si="113"/>
        <v>2.4740738482781577E-2</v>
      </c>
      <c r="J177" s="3">
        <f t="shared" si="113"/>
        <v>2.4740057953969122E-2</v>
      </c>
      <c r="K177" s="3">
        <f t="shared" si="113"/>
        <v>2.4733253695299214E-2</v>
      </c>
      <c r="L177" s="3">
        <f t="shared" si="113"/>
        <v>2.4665313949371374E-2</v>
      </c>
      <c r="M177" s="3">
        <f t="shared" si="113"/>
        <v>2.3996096666551225E-2</v>
      </c>
      <c r="N177" s="3">
        <f t="shared" si="113"/>
        <v>1.8225529465518704E-2</v>
      </c>
      <c r="O177" s="3">
        <f t="shared" si="113"/>
        <v>1.1643288628118956E-3</v>
      </c>
      <c r="P177" s="3">
        <f t="shared" si="113"/>
        <v>1.3183501107221718E-15</v>
      </c>
      <c r="Q177" s="3">
        <f t="shared" si="113"/>
        <v>4.5664817450282091E-135</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2.7333416296139036E-2</v>
      </c>
      <c r="C178" s="3">
        <f t="shared" si="114"/>
        <v>2.7333416296132253E-2</v>
      </c>
      <c r="D178" s="3">
        <f t="shared" si="114"/>
        <v>2.7333416296064429E-2</v>
      </c>
      <c r="E178" s="3">
        <f t="shared" si="114"/>
        <v>2.7333416295386194E-2</v>
      </c>
      <c r="F178" s="3">
        <f t="shared" si="114"/>
        <v>2.7333416288603841E-2</v>
      </c>
      <c r="G178" s="3">
        <f t="shared" si="114"/>
        <v>2.733341622078032E-2</v>
      </c>
      <c r="H178" s="3">
        <f t="shared" si="114"/>
        <v>2.7333415542545109E-2</v>
      </c>
      <c r="I178" s="3">
        <f t="shared" si="114"/>
        <v>2.7333408760193939E-2</v>
      </c>
      <c r="J178" s="3">
        <f t="shared" si="114"/>
        <v>2.7333340936774805E-2</v>
      </c>
      <c r="K178" s="3">
        <f t="shared" si="114"/>
        <v>2.7332662711839491E-2</v>
      </c>
      <c r="L178" s="3">
        <f t="shared" si="114"/>
        <v>2.732588138800494E-2</v>
      </c>
      <c r="M178" s="3">
        <f t="shared" si="114"/>
        <v>2.725816061660372E-2</v>
      </c>
      <c r="N178" s="3">
        <f t="shared" si="114"/>
        <v>2.6590115263995746E-2</v>
      </c>
      <c r="O178" s="3">
        <f t="shared" si="114"/>
        <v>2.0747078814362826E-2</v>
      </c>
      <c r="P178" s="3">
        <f t="shared" si="114"/>
        <v>1.7350992615149691E-3</v>
      </c>
      <c r="Q178" s="3">
        <f t="shared" si="114"/>
        <v>2.9040093268728172E-14</v>
      </c>
      <c r="R178" s="3">
        <f t="shared" si="114"/>
        <v>5.0088130933034504E-122</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2.134274535698338E-2</v>
      </c>
      <c r="C179" s="3">
        <f t="shared" si="115"/>
        <v>2.1342745356982901E-2</v>
      </c>
      <c r="D179" s="3">
        <f t="shared" si="115"/>
        <v>2.1342745356978124E-2</v>
      </c>
      <c r="E179" s="3">
        <f t="shared" si="115"/>
        <v>2.134274535693035E-2</v>
      </c>
      <c r="F179" s="3">
        <f t="shared" si="115"/>
        <v>2.1342745356452621E-2</v>
      </c>
      <c r="G179" s="3">
        <f t="shared" si="115"/>
        <v>2.1342745351675314E-2</v>
      </c>
      <c r="H179" s="3">
        <f t="shared" si="115"/>
        <v>2.1342745303902226E-2</v>
      </c>
      <c r="I179" s="3">
        <f t="shared" si="115"/>
        <v>2.1342744826171371E-2</v>
      </c>
      <c r="J179" s="3">
        <f t="shared" si="115"/>
        <v>2.134274004886343E-2</v>
      </c>
      <c r="K179" s="3">
        <f t="shared" si="115"/>
        <v>2.1342692275842789E-2</v>
      </c>
      <c r="L179" s="3">
        <f t="shared" si="115"/>
        <v>2.1342214551517729E-2</v>
      </c>
      <c r="M179" s="3">
        <f t="shared" si="115"/>
        <v>2.1337437896350706E-2</v>
      </c>
      <c r="N179" s="3">
        <f t="shared" si="115"/>
        <v>2.1289730104360083E-2</v>
      </c>
      <c r="O179" s="3">
        <f t="shared" si="115"/>
        <v>2.0818479777704693E-2</v>
      </c>
      <c r="P179" s="3">
        <f t="shared" si="115"/>
        <v>1.6643228835263608E-2</v>
      </c>
      <c r="Q179" s="3">
        <f t="shared" si="115"/>
        <v>1.7746932612986671E-3</v>
      </c>
      <c r="R179" s="3">
        <f t="shared" si="115"/>
        <v>3.3727213153469402E-13</v>
      </c>
      <c r="S179" s="3">
        <f t="shared" si="115"/>
        <v>2.0727743625028238E-110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3.0213098985838887E-2</v>
      </c>
      <c r="C180" s="3">
        <f t="shared" si="116"/>
        <v>3.0213098985838828E-2</v>
      </c>
      <c r="D180" s="3">
        <f t="shared" si="116"/>
        <v>3.0213098985838217E-2</v>
      </c>
      <c r="E180" s="3">
        <f t="shared" si="116"/>
        <v>3.0213098985832115E-2</v>
      </c>
      <c r="F180" s="3">
        <f t="shared" si="116"/>
        <v>3.0213098985771111E-2</v>
      </c>
      <c r="G180" s="3">
        <f t="shared" si="116"/>
        <v>3.0213098985161044E-2</v>
      </c>
      <c r="H180" s="3">
        <f t="shared" si="116"/>
        <v>3.0213098979060413E-2</v>
      </c>
      <c r="I180" s="3">
        <f t="shared" si="116"/>
        <v>3.0213098918054088E-2</v>
      </c>
      <c r="J180" s="3">
        <f t="shared" si="116"/>
        <v>3.0213098307990825E-2</v>
      </c>
      <c r="K180" s="3">
        <f t="shared" si="116"/>
        <v>3.0213092207358884E-2</v>
      </c>
      <c r="L180" s="3">
        <f t="shared" si="116"/>
        <v>3.0213031201107212E-2</v>
      </c>
      <c r="M180" s="3">
        <f t="shared" si="116"/>
        <v>3.0212421145365594E-2</v>
      </c>
      <c r="N180" s="3">
        <f t="shared" si="116"/>
        <v>3.0206321265405428E-2</v>
      </c>
      <c r="O180" s="3">
        <f t="shared" si="116"/>
        <v>3.0145390160822329E-2</v>
      </c>
      <c r="P180" s="3">
        <f t="shared" si="116"/>
        <v>2.9542798313596526E-2</v>
      </c>
      <c r="Q180" s="3">
        <f t="shared" si="116"/>
        <v>2.4141198883744358E-2</v>
      </c>
      <c r="R180" s="3">
        <f t="shared" si="116"/>
        <v>3.2050209847151699E-3</v>
      </c>
      <c r="S180" s="3">
        <f t="shared" si="116"/>
        <v>5.4519430661377332E-12</v>
      </c>
      <c r="T180" s="3">
        <f t="shared" si="116"/>
        <v>1.1060013502326721E-99</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3.3824388307374977E-2</v>
      </c>
      <c r="C181" s="3">
        <f t="shared" si="117"/>
        <v>3.382438830737497E-2</v>
      </c>
      <c r="D181" s="3">
        <f t="shared" si="117"/>
        <v>3.3824388307374907E-2</v>
      </c>
      <c r="E181" s="3">
        <f t="shared" si="117"/>
        <v>3.3824388307374297E-2</v>
      </c>
      <c r="F181" s="3">
        <f t="shared" si="117"/>
        <v>3.3824388307368128E-2</v>
      </c>
      <c r="G181" s="3">
        <f t="shared" si="117"/>
        <v>3.3824388307306524E-2</v>
      </c>
      <c r="H181" s="3">
        <f t="shared" si="117"/>
        <v>3.3824388306690413E-2</v>
      </c>
      <c r="I181" s="3">
        <f t="shared" si="117"/>
        <v>3.3824388300529341E-2</v>
      </c>
      <c r="J181" s="3">
        <f t="shared" si="117"/>
        <v>3.3824388238918646E-2</v>
      </c>
      <c r="K181" s="3">
        <f t="shared" si="117"/>
        <v>3.3824387622811647E-2</v>
      </c>
      <c r="L181" s="3">
        <f t="shared" si="117"/>
        <v>3.3824381461742277E-2</v>
      </c>
      <c r="M181" s="3">
        <f t="shared" si="117"/>
        <v>3.3824319851110361E-2</v>
      </c>
      <c r="N181" s="3">
        <f t="shared" si="117"/>
        <v>3.3823703750963358E-2</v>
      </c>
      <c r="O181" s="3">
        <f t="shared" si="117"/>
        <v>3.3817543366674321E-2</v>
      </c>
      <c r="P181" s="3">
        <f t="shared" si="117"/>
        <v>3.3756001200303969E-2</v>
      </c>
      <c r="Q181" s="3">
        <f t="shared" si="117"/>
        <v>3.3146705823437435E-2</v>
      </c>
      <c r="R181" s="3">
        <f t="shared" si="117"/>
        <v>2.7627028578122974E-2</v>
      </c>
      <c r="S181" s="3">
        <f t="shared" si="117"/>
        <v>4.4696365189747954E-3</v>
      </c>
      <c r="T181" s="3">
        <f t="shared" si="117"/>
        <v>5.4910134172970898E-11</v>
      </c>
      <c r="U181" s="3">
        <f t="shared" si="117"/>
        <v>4.2998715935074762E-90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3.8791797530712095E-2</v>
      </c>
      <c r="C182" s="3">
        <f t="shared" si="118"/>
        <v>3.8791797530712095E-2</v>
      </c>
      <c r="D182" s="3">
        <f t="shared" si="118"/>
        <v>3.8791797530712088E-2</v>
      </c>
      <c r="E182" s="3">
        <f t="shared" si="118"/>
        <v>3.8791797530712026E-2</v>
      </c>
      <c r="F182" s="3">
        <f t="shared" si="118"/>
        <v>3.8791797530711387E-2</v>
      </c>
      <c r="G182" s="3">
        <f t="shared" si="118"/>
        <v>3.8791797530705018E-2</v>
      </c>
      <c r="H182" s="3">
        <f t="shared" si="118"/>
        <v>3.8791797530641277E-2</v>
      </c>
      <c r="I182" s="3">
        <f t="shared" si="118"/>
        <v>3.879179753000387E-2</v>
      </c>
      <c r="J182" s="3">
        <f t="shared" si="118"/>
        <v>3.8791797523629858E-2</v>
      </c>
      <c r="K182" s="3">
        <f t="shared" si="118"/>
        <v>3.8791797459889768E-2</v>
      </c>
      <c r="L182" s="3">
        <f t="shared" si="118"/>
        <v>3.8791796822488851E-2</v>
      </c>
      <c r="M182" s="3">
        <f t="shared" si="118"/>
        <v>3.8791790448480225E-2</v>
      </c>
      <c r="N182" s="3">
        <f t="shared" si="118"/>
        <v>3.8791726708451553E-2</v>
      </c>
      <c r="O182" s="3">
        <f t="shared" si="118"/>
        <v>3.8791089313925164E-2</v>
      </c>
      <c r="P182" s="3">
        <f t="shared" si="118"/>
        <v>3.8784715944656413E-2</v>
      </c>
      <c r="Q182" s="3">
        <f t="shared" si="118"/>
        <v>3.8721039816481548E-2</v>
      </c>
      <c r="R182" s="3">
        <f t="shared" si="118"/>
        <v>3.8090000142400528E-2</v>
      </c>
      <c r="S182" s="3">
        <f t="shared" si="118"/>
        <v>3.231845594059695E-2</v>
      </c>
      <c r="T182" s="3">
        <f t="shared" si="118"/>
        <v>6.2495233701911649E-3</v>
      </c>
      <c r="U182" s="3">
        <f t="shared" si="118"/>
        <v>4.5688807743788771E-10</v>
      </c>
      <c r="V182" s="3">
        <f t="shared" si="118"/>
        <v>1.9926871167093329E-81</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2.3183984286354733E-2</v>
      </c>
      <c r="C183" s="3">
        <f t="shared" si="119"/>
        <v>2.3183984286354733E-2</v>
      </c>
      <c r="D183" s="3">
        <f t="shared" si="119"/>
        <v>2.3183984286354733E-2</v>
      </c>
      <c r="E183" s="3">
        <f t="shared" si="119"/>
        <v>2.3183984286354729E-2</v>
      </c>
      <c r="F183" s="3">
        <f t="shared" si="119"/>
        <v>2.3183984286354695E-2</v>
      </c>
      <c r="G183" s="3">
        <f t="shared" si="119"/>
        <v>2.3183984286354351E-2</v>
      </c>
      <c r="H183" s="3">
        <f t="shared" si="119"/>
        <v>2.3183984286350916E-2</v>
      </c>
      <c r="I183" s="3">
        <f t="shared" si="119"/>
        <v>2.3183984286316552E-2</v>
      </c>
      <c r="J183" s="3">
        <f t="shared" si="119"/>
        <v>2.3183984285972906E-2</v>
      </c>
      <c r="K183" s="3">
        <f t="shared" si="119"/>
        <v>2.3183984282536478E-2</v>
      </c>
      <c r="L183" s="3">
        <f t="shared" si="119"/>
        <v>2.3183984248172182E-2</v>
      </c>
      <c r="M183" s="3">
        <f t="shared" si="119"/>
        <v>2.3183983904529228E-2</v>
      </c>
      <c r="N183" s="3">
        <f t="shared" si="119"/>
        <v>2.3183980468099937E-2</v>
      </c>
      <c r="O183" s="3">
        <f t="shared" si="119"/>
        <v>2.3183946103835094E-2</v>
      </c>
      <c r="P183" s="3">
        <f t="shared" si="119"/>
        <v>2.3183602463988089E-2</v>
      </c>
      <c r="Q183" s="3">
        <f t="shared" si="119"/>
        <v>2.3180166345650299E-2</v>
      </c>
      <c r="R183" s="3">
        <f t="shared" si="119"/>
        <v>2.3145833160136558E-2</v>
      </c>
      <c r="S183" s="3">
        <f t="shared" si="119"/>
        <v>2.2805285797242111E-2</v>
      </c>
      <c r="T183" s="3">
        <f t="shared" si="119"/>
        <v>1.966357722907653E-2</v>
      </c>
      <c r="U183" s="3">
        <f t="shared" si="119"/>
        <v>4.4661429361882842E-3</v>
      </c>
      <c r="V183" s="3">
        <f t="shared" si="119"/>
        <v>1.6316744720624267E-9</v>
      </c>
      <c r="W183" s="3">
        <f t="shared" si="119"/>
        <v>6.9126174850221882E-74</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3.3195679421044622E-2</v>
      </c>
      <c r="C184" s="3">
        <f t="shared" si="120"/>
        <v>3.3195679421044622E-2</v>
      </c>
      <c r="D184" s="3">
        <f t="shared" si="120"/>
        <v>3.3195679421044622E-2</v>
      </c>
      <c r="E184" s="3">
        <f t="shared" si="120"/>
        <v>3.3195679421044622E-2</v>
      </c>
      <c r="F184" s="3">
        <f t="shared" si="120"/>
        <v>3.3195679421044615E-2</v>
      </c>
      <c r="G184" s="3">
        <f t="shared" si="120"/>
        <v>3.3195679421044573E-2</v>
      </c>
      <c r="H184" s="3">
        <f t="shared" si="120"/>
        <v>3.3195679421044129E-2</v>
      </c>
      <c r="I184" s="3">
        <f t="shared" si="120"/>
        <v>3.3195679421039688E-2</v>
      </c>
      <c r="J184" s="3">
        <f t="shared" si="120"/>
        <v>3.31956794209953E-2</v>
      </c>
      <c r="K184" s="3">
        <f t="shared" si="120"/>
        <v>3.319567942055144E-2</v>
      </c>
      <c r="L184" s="3">
        <f t="shared" si="120"/>
        <v>3.3195679416112824E-2</v>
      </c>
      <c r="M184" s="3">
        <f t="shared" si="120"/>
        <v>3.3195679371726669E-2</v>
      </c>
      <c r="N184" s="3">
        <f t="shared" si="120"/>
        <v>3.3195678927865117E-2</v>
      </c>
      <c r="O184" s="3">
        <f t="shared" si="120"/>
        <v>3.3195674489249934E-2</v>
      </c>
      <c r="P184" s="3">
        <f t="shared" si="120"/>
        <v>3.3195630103130751E-2</v>
      </c>
      <c r="Q184" s="3">
        <f t="shared" si="120"/>
        <v>3.3195186245203019E-2</v>
      </c>
      <c r="R184" s="3">
        <f t="shared" si="120"/>
        <v>3.3190747992327387E-2</v>
      </c>
      <c r="S184" s="3">
        <f t="shared" si="120"/>
        <v>3.3146398087591476E-2</v>
      </c>
      <c r="T184" s="3">
        <f t="shared" si="120"/>
        <v>3.2706145359776187E-2</v>
      </c>
      <c r="U184" s="3">
        <f t="shared" si="120"/>
        <v>2.8612747965575079E-2</v>
      </c>
      <c r="V184" s="3">
        <f t="shared" si="120"/>
        <v>7.513834715092987E-3</v>
      </c>
      <c r="W184" s="3">
        <f t="shared" si="120"/>
        <v>1.1718777759694342E-8</v>
      </c>
      <c r="X184" s="3">
        <f t="shared" si="120"/>
        <v>9.9790483106959203E-67</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2.038442434974385E-2</v>
      </c>
      <c r="C185" s="3">
        <f t="shared" si="121"/>
        <v>2.038442434974385E-2</v>
      </c>
      <c r="D185" s="3">
        <f t="shared" si="121"/>
        <v>2.038442434974385E-2</v>
      </c>
      <c r="E185" s="3">
        <f t="shared" si="121"/>
        <v>2.038442434974385E-2</v>
      </c>
      <c r="F185" s="3">
        <f t="shared" si="121"/>
        <v>2.038442434974385E-2</v>
      </c>
      <c r="G185" s="3">
        <f t="shared" si="121"/>
        <v>2.0384424349743847E-2</v>
      </c>
      <c r="H185" s="3">
        <f t="shared" si="121"/>
        <v>2.0384424349743822E-2</v>
      </c>
      <c r="I185" s="3">
        <f t="shared" si="121"/>
        <v>2.0384424349743576E-2</v>
      </c>
      <c r="J185" s="3">
        <f t="shared" si="121"/>
        <v>2.038442434974112E-2</v>
      </c>
      <c r="K185" s="3">
        <f t="shared" si="121"/>
        <v>2.0384424349716532E-2</v>
      </c>
      <c r="L185" s="3">
        <f t="shared" si="121"/>
        <v>2.0384424349470655E-2</v>
      </c>
      <c r="M185" s="3">
        <f t="shared" si="121"/>
        <v>2.0384424347011928E-2</v>
      </c>
      <c r="N185" s="3">
        <f t="shared" si="121"/>
        <v>2.0384424322424616E-2</v>
      </c>
      <c r="O185" s="3">
        <f t="shared" si="121"/>
        <v>2.0384424076551524E-2</v>
      </c>
      <c r="P185" s="3">
        <f t="shared" si="121"/>
        <v>2.0384421617820739E-2</v>
      </c>
      <c r="Q185" s="3">
        <f t="shared" si="121"/>
        <v>2.038439703052922E-2</v>
      </c>
      <c r="R185" s="3">
        <f t="shared" si="121"/>
        <v>2.0384151159245138E-2</v>
      </c>
      <c r="S185" s="3">
        <f t="shared" si="121"/>
        <v>2.0381692609508353E-2</v>
      </c>
      <c r="T185" s="3">
        <f t="shared" si="121"/>
        <v>2.0357123415267936E-2</v>
      </c>
      <c r="U185" s="3">
        <f t="shared" si="121"/>
        <v>2.0113054533147174E-2</v>
      </c>
      <c r="V185" s="3">
        <f t="shared" si="121"/>
        <v>1.7827656053842969E-2</v>
      </c>
      <c r="W185" s="3">
        <f t="shared" si="121"/>
        <v>5.3364986353513881E-3</v>
      </c>
      <c r="X185" s="3">
        <f t="shared" si="121"/>
        <v>3.0823216911806457E-8</v>
      </c>
      <c r="Y185" s="3">
        <f t="shared" si="121"/>
        <v>1.2737774641219299E-60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6.6925069366004494E-2</v>
      </c>
      <c r="C186" s="3">
        <f t="shared" si="122"/>
        <v>6.6925069366004494E-2</v>
      </c>
      <c r="D186" s="3">
        <f t="shared" si="122"/>
        <v>6.6925069366004494E-2</v>
      </c>
      <c r="E186" s="3">
        <f t="shared" si="122"/>
        <v>6.6925069366004494E-2</v>
      </c>
      <c r="F186" s="3">
        <f t="shared" si="122"/>
        <v>6.6925069366004494E-2</v>
      </c>
      <c r="G186" s="3">
        <f t="shared" si="122"/>
        <v>6.6925069366004494E-2</v>
      </c>
      <c r="H186" s="3">
        <f t="shared" si="122"/>
        <v>6.692506936600448E-2</v>
      </c>
      <c r="I186" s="3">
        <f t="shared" si="122"/>
        <v>6.6925069366004411E-2</v>
      </c>
      <c r="J186" s="3">
        <f t="shared" si="122"/>
        <v>6.6925069366003689E-2</v>
      </c>
      <c r="K186" s="3">
        <f t="shared" si="122"/>
        <v>6.6925069365996404E-2</v>
      </c>
      <c r="L186" s="3">
        <f t="shared" si="122"/>
        <v>6.6925069365923587E-2</v>
      </c>
      <c r="M186" s="3">
        <f t="shared" si="122"/>
        <v>6.6925069365195392E-2</v>
      </c>
      <c r="N186" s="3">
        <f t="shared" si="122"/>
        <v>6.6925069357913439E-2</v>
      </c>
      <c r="O186" s="3">
        <f t="shared" si="122"/>
        <v>6.6925069285093883E-2</v>
      </c>
      <c r="P186" s="3">
        <f t="shared" si="122"/>
        <v>6.6925068556898407E-2</v>
      </c>
      <c r="Q186" s="3">
        <f t="shared" si="122"/>
        <v>6.6925061274944075E-2</v>
      </c>
      <c r="R186" s="3">
        <f t="shared" si="122"/>
        <v>6.6924988455444326E-2</v>
      </c>
      <c r="S186" s="3">
        <f t="shared" si="122"/>
        <v>6.6924260264804622E-2</v>
      </c>
      <c r="T186" s="3">
        <f t="shared" si="122"/>
        <v>6.6916978794170578E-2</v>
      </c>
      <c r="U186" s="3">
        <f t="shared" si="122"/>
        <v>6.6844207646596029E-2</v>
      </c>
      <c r="V186" s="3">
        <f t="shared" si="122"/>
        <v>6.6120834562121367E-2</v>
      </c>
      <c r="W186" s="3">
        <f t="shared" si="122"/>
        <v>5.9303973774434429E-2</v>
      </c>
      <c r="X186" s="3">
        <f t="shared" si="122"/>
        <v>1.9977377700812742E-2</v>
      </c>
      <c r="Y186" s="3">
        <f t="shared" si="122"/>
        <v>3.7591126156533012E-7</v>
      </c>
      <c r="Z186" s="3">
        <f t="shared" si="122"/>
        <v>2.0919625002787856E-54</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9.6671799143506223E-2</v>
      </c>
      <c r="C187" s="3">
        <f t="shared" si="123"/>
        <v>9.6671799143506223E-2</v>
      </c>
      <c r="D187" s="3">
        <f t="shared" si="123"/>
        <v>9.6671799143506223E-2</v>
      </c>
      <c r="E187" s="3">
        <f t="shared" si="123"/>
        <v>9.6671799143506223E-2</v>
      </c>
      <c r="F187" s="3">
        <f t="shared" si="123"/>
        <v>9.6671799143506223E-2</v>
      </c>
      <c r="G187" s="3">
        <f t="shared" si="123"/>
        <v>9.6671799143506223E-2</v>
      </c>
      <c r="H187" s="3">
        <f t="shared" si="123"/>
        <v>9.6671799143506223E-2</v>
      </c>
      <c r="I187" s="3">
        <f t="shared" si="123"/>
        <v>9.667179914350621E-2</v>
      </c>
      <c r="J187" s="3">
        <f t="shared" si="123"/>
        <v>9.6671799143506112E-2</v>
      </c>
      <c r="K187" s="3">
        <f t="shared" si="123"/>
        <v>9.6671799143505169E-2</v>
      </c>
      <c r="L187" s="3">
        <f t="shared" si="123"/>
        <v>9.667179914349569E-2</v>
      </c>
      <c r="M187" s="3">
        <f t="shared" si="123"/>
        <v>9.6671799143400794E-2</v>
      </c>
      <c r="N187" s="3">
        <f t="shared" si="123"/>
        <v>9.6671799142451928E-2</v>
      </c>
      <c r="O187" s="3">
        <f t="shared" si="123"/>
        <v>9.6671799132963254E-2</v>
      </c>
      <c r="P187" s="3">
        <f t="shared" si="123"/>
        <v>9.6671799038076517E-2</v>
      </c>
      <c r="Q187" s="3">
        <f t="shared" si="123"/>
        <v>9.6671798089209074E-2</v>
      </c>
      <c r="R187" s="3">
        <f t="shared" si="123"/>
        <v>9.6671788600535297E-2</v>
      </c>
      <c r="S187" s="3">
        <f t="shared" si="123"/>
        <v>9.6671693713848678E-2</v>
      </c>
      <c r="T187" s="3">
        <f t="shared" si="123"/>
        <v>9.6670744852104931E-2</v>
      </c>
      <c r="U187" s="3">
        <f t="shared" si="123"/>
        <v>9.6661256746887303E-2</v>
      </c>
      <c r="V187" s="3">
        <f t="shared" si="123"/>
        <v>9.6566426898103852E-2</v>
      </c>
      <c r="W187" s="3">
        <f t="shared" si="123"/>
        <v>9.5623230202843107E-2</v>
      </c>
      <c r="X187" s="3">
        <f t="shared" si="123"/>
        <v>8.6683390887447767E-2</v>
      </c>
      <c r="Y187" s="3">
        <f t="shared" si="123"/>
        <v>3.2483342116377288E-2</v>
      </c>
      <c r="Z187" s="3">
        <f t="shared" si="123"/>
        <v>1.7738171532954484E-6</v>
      </c>
      <c r="AA187" s="3">
        <f t="shared" si="123"/>
        <v>4.1820603143922291E-49</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8.3708796522492912E-2</v>
      </c>
      <c r="C188" s="3">
        <f t="shared" si="124"/>
        <v>8.3708796522492912E-2</v>
      </c>
      <c r="D188" s="3">
        <f t="shared" si="124"/>
        <v>8.3708796522492912E-2</v>
      </c>
      <c r="E188" s="3">
        <f t="shared" si="124"/>
        <v>8.3708796522492912E-2</v>
      </c>
      <c r="F188" s="3">
        <f t="shared" si="124"/>
        <v>8.3708796522492912E-2</v>
      </c>
      <c r="G188" s="3">
        <f t="shared" si="124"/>
        <v>8.3708796522492912E-2</v>
      </c>
      <c r="H188" s="3">
        <f t="shared" si="124"/>
        <v>8.3708796522492912E-2</v>
      </c>
      <c r="I188" s="3">
        <f t="shared" si="124"/>
        <v>8.3708796522492912E-2</v>
      </c>
      <c r="J188" s="3">
        <f t="shared" si="124"/>
        <v>8.3708796522492898E-2</v>
      </c>
      <c r="K188" s="3">
        <f t="shared" si="124"/>
        <v>8.3708796522492829E-2</v>
      </c>
      <c r="L188" s="3">
        <f t="shared" si="124"/>
        <v>8.3708796522492079E-2</v>
      </c>
      <c r="M188" s="3">
        <f t="shared" si="124"/>
        <v>8.3708796522484683E-2</v>
      </c>
      <c r="N188" s="3">
        <f t="shared" si="124"/>
        <v>8.3708796522410561E-2</v>
      </c>
      <c r="O188" s="3">
        <f t="shared" si="124"/>
        <v>8.3708796521669376E-2</v>
      </c>
      <c r="P188" s="3">
        <f t="shared" si="124"/>
        <v>8.3708796514257583E-2</v>
      </c>
      <c r="Q188" s="3">
        <f t="shared" si="124"/>
        <v>8.3708796440139621E-2</v>
      </c>
      <c r="R188" s="3">
        <f t="shared" si="124"/>
        <v>8.3708795698960073E-2</v>
      </c>
      <c r="S188" s="3">
        <f t="shared" si="124"/>
        <v>8.3708788287164951E-2</v>
      </c>
      <c r="T188" s="3">
        <f t="shared" si="124"/>
        <v>8.3708714169249743E-2</v>
      </c>
      <c r="U188" s="3">
        <f t="shared" si="124"/>
        <v>8.370797299370715E-2</v>
      </c>
      <c r="V188" s="3">
        <f t="shared" si="124"/>
        <v>8.3700561599210965E-2</v>
      </c>
      <c r="W188" s="3">
        <f t="shared" si="124"/>
        <v>8.3626483735399382E-2</v>
      </c>
      <c r="X188" s="3">
        <f t="shared" si="124"/>
        <v>8.2889301419796002E-2</v>
      </c>
      <c r="Y188" s="3">
        <f t="shared" si="124"/>
        <v>7.5865602546937763E-2</v>
      </c>
      <c r="Z188" s="3">
        <f t="shared" si="124"/>
        <v>3.1297469969601248E-2</v>
      </c>
      <c r="AA188" s="3">
        <f t="shared" si="124"/>
        <v>4.4684039869045187E-6</v>
      </c>
      <c r="AB188" s="3">
        <f t="shared" si="124"/>
        <v>1.5724774387714751E-44</v>
      </c>
      <c r="AC188" s="3">
        <f t="shared" si="124"/>
        <v>0</v>
      </c>
      <c r="AD188" s="3">
        <f t="shared" si="124"/>
        <v>0</v>
      </c>
      <c r="AE188" s="3">
        <f t="shared" si="124"/>
        <v>0</v>
      </c>
      <c r="AF188" s="3">
        <f t="shared" si="124"/>
        <v>0</v>
      </c>
      <c r="AG188" s="3"/>
      <c r="AH188" s="3"/>
    </row>
    <row r="189" spans="2:34" x14ac:dyDescent="0.25">
      <c r="B189" s="3">
        <f t="shared" ref="B189:AF189" si="125">$C36*EXP(-B$168/$A36/EXP(-$C$126))</f>
        <v>5.9251655732023817E-2</v>
      </c>
      <c r="C189" s="3">
        <f t="shared" si="125"/>
        <v>5.9251655732023817E-2</v>
      </c>
      <c r="D189" s="3">
        <f t="shared" si="125"/>
        <v>5.9251655732023817E-2</v>
      </c>
      <c r="E189" s="3">
        <f t="shared" si="125"/>
        <v>5.9251655732023817E-2</v>
      </c>
      <c r="F189" s="3">
        <f t="shared" si="125"/>
        <v>5.9251655732023817E-2</v>
      </c>
      <c r="G189" s="3">
        <f t="shared" si="125"/>
        <v>5.9251655732023817E-2</v>
      </c>
      <c r="H189" s="3">
        <f t="shared" si="125"/>
        <v>5.9251655732023817E-2</v>
      </c>
      <c r="I189" s="3">
        <f t="shared" si="125"/>
        <v>5.9251655732023817E-2</v>
      </c>
      <c r="J189" s="3">
        <f t="shared" si="125"/>
        <v>5.9251655732023817E-2</v>
      </c>
      <c r="K189" s="3">
        <f t="shared" si="125"/>
        <v>5.925165573202381E-2</v>
      </c>
      <c r="L189" s="3">
        <f t="shared" si="125"/>
        <v>5.9251655732023761E-2</v>
      </c>
      <c r="M189" s="3">
        <f t="shared" si="125"/>
        <v>5.925165573202329E-2</v>
      </c>
      <c r="N189" s="3">
        <f t="shared" si="125"/>
        <v>5.9251655732018564E-2</v>
      </c>
      <c r="O189" s="3">
        <f t="shared" si="125"/>
        <v>5.9251655731971227E-2</v>
      </c>
      <c r="P189" s="3">
        <f t="shared" si="125"/>
        <v>5.9251655731497974E-2</v>
      </c>
      <c r="Q189" s="3">
        <f t="shared" si="125"/>
        <v>5.9251655726765377E-2</v>
      </c>
      <c r="R189" s="3">
        <f t="shared" si="125"/>
        <v>5.9251655679439422E-2</v>
      </c>
      <c r="S189" s="3">
        <f t="shared" si="125"/>
        <v>5.9251655206179837E-2</v>
      </c>
      <c r="T189" s="3">
        <f t="shared" si="125"/>
        <v>5.9251650473584279E-2</v>
      </c>
      <c r="U189" s="3">
        <f t="shared" si="125"/>
        <v>5.9251603147649427E-2</v>
      </c>
      <c r="V189" s="3">
        <f t="shared" si="125"/>
        <v>5.9251129890379964E-2</v>
      </c>
      <c r="W189" s="3">
        <f t="shared" si="125"/>
        <v>5.9246397525581605E-2</v>
      </c>
      <c r="X189" s="3">
        <f t="shared" si="125"/>
        <v>5.9199094661085659E-2</v>
      </c>
      <c r="Y189" s="3">
        <f t="shared" si="125"/>
        <v>5.8728138235856264E-2</v>
      </c>
      <c r="Z189" s="3">
        <f t="shared" si="125"/>
        <v>5.421980058390808E-2</v>
      </c>
      <c r="AA189" s="3">
        <f t="shared" si="125"/>
        <v>2.4393535077466368E-2</v>
      </c>
      <c r="AB189" s="3">
        <f t="shared" si="125"/>
        <v>8.2878714271769398E-6</v>
      </c>
      <c r="AC189" s="3">
        <f t="shared" si="125"/>
        <v>1.698734994870722E-40</v>
      </c>
      <c r="AD189" s="3">
        <f t="shared" si="125"/>
        <v>0</v>
      </c>
      <c r="AE189" s="3">
        <f t="shared" si="125"/>
        <v>0</v>
      </c>
      <c r="AF189" s="3">
        <f t="shared" si="125"/>
        <v>0</v>
      </c>
      <c r="AG189" s="3"/>
      <c r="AH189" s="3"/>
    </row>
    <row r="190" spans="2:34" x14ac:dyDescent="0.25">
      <c r="B190" s="3">
        <f t="shared" ref="B190:AF190" si="126">$C37*EXP(-B$168/$A37/EXP(-$C$126))</f>
        <v>5.2327746974864794E-2</v>
      </c>
      <c r="C190" s="3">
        <f t="shared" si="126"/>
        <v>5.2327746974864794E-2</v>
      </c>
      <c r="D190" s="3">
        <f t="shared" si="126"/>
        <v>5.2327746974864794E-2</v>
      </c>
      <c r="E190" s="3">
        <f t="shared" si="126"/>
        <v>5.2327746974864794E-2</v>
      </c>
      <c r="F190" s="3">
        <f t="shared" si="126"/>
        <v>5.2327746974864794E-2</v>
      </c>
      <c r="G190" s="3">
        <f t="shared" si="126"/>
        <v>5.2327746974864794E-2</v>
      </c>
      <c r="H190" s="3">
        <f t="shared" si="126"/>
        <v>5.2327746974864794E-2</v>
      </c>
      <c r="I190" s="3">
        <f t="shared" si="126"/>
        <v>5.2327746974864794E-2</v>
      </c>
      <c r="J190" s="3">
        <f t="shared" si="126"/>
        <v>5.2327746974864794E-2</v>
      </c>
      <c r="K190" s="3">
        <f t="shared" si="126"/>
        <v>5.2327746974864794E-2</v>
      </c>
      <c r="L190" s="3">
        <f t="shared" si="126"/>
        <v>5.2327746974864787E-2</v>
      </c>
      <c r="M190" s="3">
        <f t="shared" si="126"/>
        <v>5.2327746974864753E-2</v>
      </c>
      <c r="N190" s="3">
        <f t="shared" si="126"/>
        <v>5.2327746974864378E-2</v>
      </c>
      <c r="O190" s="3">
        <f t="shared" si="126"/>
        <v>5.2327746974860603E-2</v>
      </c>
      <c r="P190" s="3">
        <f t="shared" si="126"/>
        <v>5.2327746974822904E-2</v>
      </c>
      <c r="Q190" s="3">
        <f t="shared" si="126"/>
        <v>5.2327746974445866E-2</v>
      </c>
      <c r="R190" s="3">
        <f t="shared" si="126"/>
        <v>5.2327746970675562E-2</v>
      </c>
      <c r="S190" s="3">
        <f t="shared" si="126"/>
        <v>5.2327746932972416E-2</v>
      </c>
      <c r="T190" s="3">
        <f t="shared" si="126"/>
        <v>5.2327746555940989E-2</v>
      </c>
      <c r="U190" s="3">
        <f t="shared" si="126"/>
        <v>5.23277427856269E-2</v>
      </c>
      <c r="V190" s="3">
        <f t="shared" si="126"/>
        <v>5.2327705082500987E-2</v>
      </c>
      <c r="W190" s="3">
        <f t="shared" si="126"/>
        <v>5.2327328052735878E-2</v>
      </c>
      <c r="X190" s="3">
        <f t="shared" si="126"/>
        <v>5.2323557904492488E-2</v>
      </c>
      <c r="Y190" s="3">
        <f t="shared" si="126"/>
        <v>5.2285871358843154E-2</v>
      </c>
      <c r="Z190" s="3">
        <f t="shared" si="126"/>
        <v>5.1910495606437047E-2</v>
      </c>
      <c r="AA190" s="3">
        <f t="shared" si="126"/>
        <v>4.8301812440200605E-2</v>
      </c>
      <c r="AB190" s="3">
        <f t="shared" si="126"/>
        <v>2.349881415646916E-2</v>
      </c>
      <c r="AC190" s="3">
        <f t="shared" si="126"/>
        <v>1.745304227691864E-5</v>
      </c>
      <c r="AD190" s="3">
        <f t="shared" si="126"/>
        <v>8.9150355962536025E-37</v>
      </c>
      <c r="AE190" s="3">
        <f t="shared" si="126"/>
        <v>0</v>
      </c>
      <c r="AF190" s="3">
        <f t="shared" si="126"/>
        <v>0</v>
      </c>
      <c r="AG190" s="3"/>
      <c r="AH190" s="3"/>
    </row>
    <row r="191" spans="2:34" x14ac:dyDescent="0.25">
      <c r="B191" s="3">
        <f t="shared" ref="B191:AF191" si="127">$C38*EXP(-B$168/$A38/EXP(-$C$126))</f>
        <v>1.7967891452015796E-2</v>
      </c>
      <c r="C191" s="3">
        <f t="shared" si="127"/>
        <v>1.7967891452015796E-2</v>
      </c>
      <c r="D191" s="3">
        <f t="shared" si="127"/>
        <v>1.7967891452015796E-2</v>
      </c>
      <c r="E191" s="3">
        <f t="shared" si="127"/>
        <v>1.7967891452015796E-2</v>
      </c>
      <c r="F191" s="3">
        <f t="shared" si="127"/>
        <v>1.7967891452015796E-2</v>
      </c>
      <c r="G191" s="3">
        <f t="shared" si="127"/>
        <v>1.7967891452015796E-2</v>
      </c>
      <c r="H191" s="3">
        <f t="shared" si="127"/>
        <v>1.7967891452015796E-2</v>
      </c>
      <c r="I191" s="3">
        <f t="shared" si="127"/>
        <v>1.7967891452015796E-2</v>
      </c>
      <c r="J191" s="3">
        <f t="shared" si="127"/>
        <v>1.7967891452015796E-2</v>
      </c>
      <c r="K191" s="3">
        <f t="shared" si="127"/>
        <v>1.7967891452015796E-2</v>
      </c>
      <c r="L191" s="3">
        <f t="shared" si="127"/>
        <v>1.7967891452015796E-2</v>
      </c>
      <c r="M191" s="3">
        <f t="shared" si="127"/>
        <v>1.7967891452015793E-2</v>
      </c>
      <c r="N191" s="3">
        <f t="shared" si="127"/>
        <v>1.7967891452015782E-2</v>
      </c>
      <c r="O191" s="3">
        <f t="shared" si="127"/>
        <v>1.7967891452015668E-2</v>
      </c>
      <c r="P191" s="3">
        <f t="shared" si="127"/>
        <v>1.7967891452014498E-2</v>
      </c>
      <c r="Q191" s="3">
        <f t="shared" si="127"/>
        <v>1.796789145200282E-2</v>
      </c>
      <c r="R191" s="3">
        <f t="shared" si="127"/>
        <v>1.7967891451886035E-2</v>
      </c>
      <c r="S191" s="3">
        <f t="shared" si="127"/>
        <v>1.7967891450718178E-2</v>
      </c>
      <c r="T191" s="3">
        <f t="shared" si="127"/>
        <v>1.796789143903962E-2</v>
      </c>
      <c r="U191" s="3">
        <f t="shared" si="127"/>
        <v>1.7967891322254043E-2</v>
      </c>
      <c r="V191" s="3">
        <f t="shared" si="127"/>
        <v>1.7967890154398293E-2</v>
      </c>
      <c r="W191" s="3">
        <f t="shared" si="127"/>
        <v>1.7967878475844992E-2</v>
      </c>
      <c r="X191" s="3">
        <f t="shared" si="127"/>
        <v>1.7967761690729438E-2</v>
      </c>
      <c r="Y191" s="3">
        <f t="shared" si="127"/>
        <v>1.7966593881321598E-2</v>
      </c>
      <c r="Z191" s="3">
        <f t="shared" si="127"/>
        <v>1.7954919961008006E-2</v>
      </c>
      <c r="AA191" s="3">
        <f t="shared" si="127"/>
        <v>1.7838597132353511E-2</v>
      </c>
      <c r="AB191" s="3">
        <f t="shared" si="127"/>
        <v>1.6716022133256885E-2</v>
      </c>
      <c r="AC191" s="3">
        <f t="shared" si="127"/>
        <v>8.7268063262703702E-3</v>
      </c>
      <c r="AD191" s="3">
        <f t="shared" si="127"/>
        <v>1.3124396447020708E-5</v>
      </c>
      <c r="AE191" s="3">
        <f t="shared" si="127"/>
        <v>7.7681815804425685E-34</v>
      </c>
      <c r="AF191" s="3">
        <f t="shared" si="127"/>
        <v>0</v>
      </c>
      <c r="AG191" s="3"/>
      <c r="AH191" s="3"/>
    </row>
    <row r="192" spans="2:34" x14ac:dyDescent="0.25">
      <c r="B192" s="3">
        <f t="shared" ref="B192:AF192" si="128">$C39*EXP(-B$168/$A39/EXP(-$C$126))</f>
        <v>4.123109123431553E-2</v>
      </c>
      <c r="C192" s="3">
        <f t="shared" si="128"/>
        <v>4.123109123431553E-2</v>
      </c>
      <c r="D192" s="3">
        <f t="shared" si="128"/>
        <v>4.123109123431553E-2</v>
      </c>
      <c r="E192" s="3">
        <f t="shared" si="128"/>
        <v>4.123109123431553E-2</v>
      </c>
      <c r="F192" s="3">
        <f t="shared" si="128"/>
        <v>4.123109123431553E-2</v>
      </c>
      <c r="G192" s="3">
        <f t="shared" si="128"/>
        <v>4.123109123431553E-2</v>
      </c>
      <c r="H192" s="3">
        <f t="shared" si="128"/>
        <v>4.123109123431553E-2</v>
      </c>
      <c r="I192" s="3">
        <f t="shared" si="128"/>
        <v>4.123109123431553E-2</v>
      </c>
      <c r="J192" s="3">
        <f t="shared" si="128"/>
        <v>4.123109123431553E-2</v>
      </c>
      <c r="K192" s="3">
        <f t="shared" si="128"/>
        <v>4.123109123431553E-2</v>
      </c>
      <c r="L192" s="3">
        <f t="shared" si="128"/>
        <v>4.123109123431553E-2</v>
      </c>
      <c r="M192" s="3">
        <f t="shared" si="128"/>
        <v>4.123109123431553E-2</v>
      </c>
      <c r="N192" s="3">
        <f t="shared" si="128"/>
        <v>4.1231091234315523E-2</v>
      </c>
      <c r="O192" s="3">
        <f t="shared" si="128"/>
        <v>4.1231091234315446E-2</v>
      </c>
      <c r="P192" s="3">
        <f t="shared" si="128"/>
        <v>4.1231091234314704E-2</v>
      </c>
      <c r="Q192" s="3">
        <f t="shared" si="128"/>
        <v>4.1231091234307293E-2</v>
      </c>
      <c r="R192" s="3">
        <f t="shared" si="128"/>
        <v>4.1231091234233172E-2</v>
      </c>
      <c r="S192" s="3">
        <f t="shared" si="128"/>
        <v>4.123109123349198E-2</v>
      </c>
      <c r="T192" s="3">
        <f t="shared" si="128"/>
        <v>4.1231091226080083E-2</v>
      </c>
      <c r="U192" s="3">
        <f t="shared" si="128"/>
        <v>4.1231091151961038E-2</v>
      </c>
      <c r="V192" s="3">
        <f t="shared" si="128"/>
        <v>4.1231090410770631E-2</v>
      </c>
      <c r="W192" s="3">
        <f t="shared" si="128"/>
        <v>4.1231082998867276E-2</v>
      </c>
      <c r="X192" s="3">
        <f t="shared" si="128"/>
        <v>4.1231008879907029E-2</v>
      </c>
      <c r="Y192" s="3">
        <f t="shared" si="128"/>
        <v>4.1230267697632682E-2</v>
      </c>
      <c r="Z192" s="3">
        <f t="shared" si="128"/>
        <v>4.1222856607655303E-2</v>
      </c>
      <c r="AA192" s="3">
        <f t="shared" si="128"/>
        <v>4.1148818935774163E-2</v>
      </c>
      <c r="AB192" s="3">
        <f t="shared" si="128"/>
        <v>4.0415716533461744E-2</v>
      </c>
      <c r="AC192" s="3">
        <f t="shared" si="128"/>
        <v>3.3765980580361302E-2</v>
      </c>
      <c r="AD192" s="3">
        <f t="shared" si="128"/>
        <v>5.594614949950105E-3</v>
      </c>
      <c r="AE192" s="3">
        <f t="shared" si="128"/>
        <v>8.7232547006539375E-11</v>
      </c>
      <c r="AF192" s="3">
        <f t="shared" si="128"/>
        <v>7.4090422161048837E-89</v>
      </c>
      <c r="AG192" s="3"/>
      <c r="AH192" s="3"/>
    </row>
    <row r="193" spans="1:34" x14ac:dyDescent="0.25">
      <c r="B193" s="3">
        <f t="shared" ref="B193:AF193" si="129">$C40*EXP(-B$168/$A40/EXP(-$C$126))</f>
        <v>3.4610685556715946E-2</v>
      </c>
      <c r="C193" s="3">
        <f t="shared" si="129"/>
        <v>3.4610685556715946E-2</v>
      </c>
      <c r="D193" s="3">
        <f t="shared" si="129"/>
        <v>3.4610685556715946E-2</v>
      </c>
      <c r="E193" s="3">
        <f t="shared" si="129"/>
        <v>3.4610685556715946E-2</v>
      </c>
      <c r="F193" s="3">
        <f t="shared" si="129"/>
        <v>3.4610685556715946E-2</v>
      </c>
      <c r="G193" s="3">
        <f t="shared" si="129"/>
        <v>3.4610685556715946E-2</v>
      </c>
      <c r="H193" s="3">
        <f t="shared" si="129"/>
        <v>3.4610685556715946E-2</v>
      </c>
      <c r="I193" s="3">
        <f t="shared" si="129"/>
        <v>3.4610685556715946E-2</v>
      </c>
      <c r="J193" s="3">
        <f t="shared" si="129"/>
        <v>3.4610685556715946E-2</v>
      </c>
      <c r="K193" s="3">
        <f t="shared" si="129"/>
        <v>3.4610685556715946E-2</v>
      </c>
      <c r="L193" s="3">
        <f t="shared" si="129"/>
        <v>3.4610685556715946E-2</v>
      </c>
      <c r="M193" s="3">
        <f t="shared" si="129"/>
        <v>3.4610685556715946E-2</v>
      </c>
      <c r="N193" s="3">
        <f t="shared" si="129"/>
        <v>3.4610685556715946E-2</v>
      </c>
      <c r="O193" s="3">
        <f t="shared" si="129"/>
        <v>3.4610685556715939E-2</v>
      </c>
      <c r="P193" s="3">
        <f t="shared" si="129"/>
        <v>3.4610685556715877E-2</v>
      </c>
      <c r="Q193" s="3">
        <f t="shared" si="129"/>
        <v>3.4610685556715252E-2</v>
      </c>
      <c r="R193" s="3">
        <f t="shared" si="129"/>
        <v>3.4610685556709035E-2</v>
      </c>
      <c r="S193" s="3">
        <f t="shared" si="129"/>
        <v>3.4610685556646814E-2</v>
      </c>
      <c r="T193" s="3">
        <f t="shared" si="129"/>
        <v>3.4610685556024638E-2</v>
      </c>
      <c r="U193" s="3">
        <f t="shared" si="129"/>
        <v>3.4610685549802851E-2</v>
      </c>
      <c r="V193" s="3">
        <f t="shared" si="129"/>
        <v>3.4610685487584975E-2</v>
      </c>
      <c r="W193" s="3">
        <f t="shared" si="129"/>
        <v>3.4610684865406242E-2</v>
      </c>
      <c r="X193" s="3">
        <f t="shared" si="129"/>
        <v>3.4610678643619511E-2</v>
      </c>
      <c r="Y193" s="3">
        <f t="shared" si="129"/>
        <v>3.4610616425813714E-2</v>
      </c>
      <c r="Z193" s="3">
        <f t="shared" si="129"/>
        <v>3.4609994253907289E-2</v>
      </c>
      <c r="AA193" s="3">
        <f t="shared" si="129"/>
        <v>3.4603773149950029E-2</v>
      </c>
      <c r="AB193" s="3">
        <f t="shared" si="129"/>
        <v>3.4541623580192908E-2</v>
      </c>
      <c r="AC193" s="3">
        <f t="shared" si="129"/>
        <v>3.3926234174583611E-2</v>
      </c>
      <c r="AD193" s="3">
        <f t="shared" si="129"/>
        <v>2.8344234930372511E-2</v>
      </c>
      <c r="AE193" s="3">
        <f t="shared" si="129"/>
        <v>4.6962972127807586E-3</v>
      </c>
      <c r="AF193" s="3">
        <f t="shared" si="129"/>
        <v>7.3225766390630875E-11</v>
      </c>
      <c r="AG193" s="3"/>
      <c r="AH193" s="3"/>
    </row>
    <row r="194" spans="1:34" x14ac:dyDescent="0.25">
      <c r="B194" s="3">
        <f t="shared" ref="B194:AF194" si="130">$C41*EXP(-B$168/$A41/EXP(-$C$126))</f>
        <v>4.2854236942630193E-2</v>
      </c>
      <c r="C194" s="3">
        <f t="shared" si="130"/>
        <v>4.2854236942630193E-2</v>
      </c>
      <c r="D194" s="3">
        <f t="shared" si="130"/>
        <v>4.2854236942630193E-2</v>
      </c>
      <c r="E194" s="3">
        <f t="shared" si="130"/>
        <v>4.2854236942630193E-2</v>
      </c>
      <c r="F194" s="3">
        <f t="shared" si="130"/>
        <v>4.2854236942630193E-2</v>
      </c>
      <c r="G194" s="3">
        <f t="shared" si="130"/>
        <v>4.2854236942630193E-2</v>
      </c>
      <c r="H194" s="3">
        <f t="shared" si="130"/>
        <v>4.2854236942630193E-2</v>
      </c>
      <c r="I194" s="3">
        <f t="shared" si="130"/>
        <v>4.2854236942630193E-2</v>
      </c>
      <c r="J194" s="3">
        <f t="shared" si="130"/>
        <v>4.2854236942630193E-2</v>
      </c>
      <c r="K194" s="3">
        <f t="shared" si="130"/>
        <v>4.2854236942630193E-2</v>
      </c>
      <c r="L194" s="3">
        <f t="shared" si="130"/>
        <v>4.2854236942630193E-2</v>
      </c>
      <c r="M194" s="3">
        <f t="shared" si="130"/>
        <v>4.2854236942630193E-2</v>
      </c>
      <c r="N194" s="3">
        <f t="shared" si="130"/>
        <v>4.2854236942630193E-2</v>
      </c>
      <c r="O194" s="3">
        <f t="shared" si="130"/>
        <v>4.2854236942630193E-2</v>
      </c>
      <c r="P194" s="3">
        <f t="shared" si="130"/>
        <v>4.2854236942630186E-2</v>
      </c>
      <c r="Q194" s="3">
        <f t="shared" si="130"/>
        <v>4.285423694263011E-2</v>
      </c>
      <c r="R194" s="3">
        <f t="shared" si="130"/>
        <v>4.285423694262934E-2</v>
      </c>
      <c r="S194" s="3">
        <f t="shared" si="130"/>
        <v>4.285423694262163E-2</v>
      </c>
      <c r="T194" s="3">
        <f t="shared" si="130"/>
        <v>4.2854236942544595E-2</v>
      </c>
      <c r="U194" s="3">
        <f t="shared" si="130"/>
        <v>4.2854236941774225E-2</v>
      </c>
      <c r="V194" s="3">
        <f t="shared" si="130"/>
        <v>4.285423693407054E-2</v>
      </c>
      <c r="W194" s="3">
        <f t="shared" si="130"/>
        <v>4.2854236857033649E-2</v>
      </c>
      <c r="X194" s="3">
        <f t="shared" si="130"/>
        <v>4.2854236086664776E-2</v>
      </c>
      <c r="Y194" s="3">
        <f t="shared" si="130"/>
        <v>4.2854228382976783E-2</v>
      </c>
      <c r="Z194" s="3">
        <f t="shared" si="130"/>
        <v>4.2854151346173014E-2</v>
      </c>
      <c r="AA194" s="3">
        <f t="shared" si="130"/>
        <v>4.2853380985751997E-2</v>
      </c>
      <c r="AB194" s="3">
        <f t="shared" si="130"/>
        <v>4.2845678143154667E-2</v>
      </c>
      <c r="AC194" s="3">
        <f t="shared" si="130"/>
        <v>4.276872582783893E-2</v>
      </c>
      <c r="AD194" s="3">
        <f t="shared" si="130"/>
        <v>4.2006763359434492E-2</v>
      </c>
      <c r="AE194" s="3">
        <f t="shared" si="130"/>
        <v>3.5095247035003066E-2</v>
      </c>
      <c r="AF194" s="3">
        <f t="shared" si="130"/>
        <v>5.8148583384667494E-3</v>
      </c>
      <c r="AG194" s="3"/>
      <c r="AH194" s="3"/>
    </row>
    <row r="195" spans="1:34" x14ac:dyDescent="0.25">
      <c r="B195" s="3">
        <f t="shared" ref="B195:AF195" si="131">$C42*EXP(-B$168/$A42/EXP(-$C$126))</f>
        <v>3.2192937025108795E-2</v>
      </c>
      <c r="C195" s="3">
        <f t="shared" si="131"/>
        <v>3.2192937025108795E-2</v>
      </c>
      <c r="D195" s="3">
        <f t="shared" si="131"/>
        <v>3.2192937025108795E-2</v>
      </c>
      <c r="E195" s="3">
        <f t="shared" si="131"/>
        <v>3.2192937025108795E-2</v>
      </c>
      <c r="F195" s="3">
        <f t="shared" si="131"/>
        <v>3.2192937025108795E-2</v>
      </c>
      <c r="G195" s="3">
        <f t="shared" si="131"/>
        <v>3.2192937025108795E-2</v>
      </c>
      <c r="H195" s="3">
        <f t="shared" si="131"/>
        <v>3.2192937025108795E-2</v>
      </c>
      <c r="I195" s="3">
        <f t="shared" si="131"/>
        <v>3.2192937025108795E-2</v>
      </c>
      <c r="J195" s="3">
        <f t="shared" si="131"/>
        <v>3.2192937025108795E-2</v>
      </c>
      <c r="K195" s="3">
        <f t="shared" si="131"/>
        <v>3.2192937025108795E-2</v>
      </c>
      <c r="L195" s="3">
        <f t="shared" si="131"/>
        <v>3.2192937025108795E-2</v>
      </c>
      <c r="M195" s="3">
        <f t="shared" si="131"/>
        <v>3.2192937025108795E-2</v>
      </c>
      <c r="N195" s="3">
        <f t="shared" si="131"/>
        <v>3.2192937025108795E-2</v>
      </c>
      <c r="O195" s="3">
        <f t="shared" si="131"/>
        <v>3.2192937025108795E-2</v>
      </c>
      <c r="P195" s="3">
        <f t="shared" si="131"/>
        <v>3.2192937025108795E-2</v>
      </c>
      <c r="Q195" s="3">
        <f t="shared" si="131"/>
        <v>3.2192937025108788E-2</v>
      </c>
      <c r="R195" s="3">
        <f t="shared" si="131"/>
        <v>3.2192937025108732E-2</v>
      </c>
      <c r="S195" s="3">
        <f t="shared" si="131"/>
        <v>3.219293702510815E-2</v>
      </c>
      <c r="T195" s="3">
        <f t="shared" si="131"/>
        <v>3.2192937025102362E-2</v>
      </c>
      <c r="U195" s="3">
        <f t="shared" si="131"/>
        <v>3.2192937025044492E-2</v>
      </c>
      <c r="V195" s="3">
        <f t="shared" si="131"/>
        <v>3.2192937024465774E-2</v>
      </c>
      <c r="W195" s="3">
        <f t="shared" si="131"/>
        <v>3.2192937018678619E-2</v>
      </c>
      <c r="X195" s="3">
        <f t="shared" si="131"/>
        <v>3.2192936960807002E-2</v>
      </c>
      <c r="Y195" s="3">
        <f t="shared" si="131"/>
        <v>3.2192936382090906E-2</v>
      </c>
      <c r="Z195" s="3">
        <f t="shared" si="131"/>
        <v>3.2192930594930523E-2</v>
      </c>
      <c r="AA195" s="3">
        <f t="shared" si="131"/>
        <v>3.2192872723383878E-2</v>
      </c>
      <c r="AB195" s="3">
        <f t="shared" si="131"/>
        <v>3.2192294013639169E-2</v>
      </c>
      <c r="AC195" s="3">
        <f t="shared" si="131"/>
        <v>3.2186507488330553E-2</v>
      </c>
      <c r="AD195" s="3">
        <f t="shared" si="131"/>
        <v>3.2128699411051932E-2</v>
      </c>
      <c r="AE195" s="3">
        <f t="shared" si="131"/>
        <v>3.1556298371834289E-2</v>
      </c>
      <c r="AF195" s="3">
        <f t="shared" si="131"/>
        <v>2.6364232763985525E-2</v>
      </c>
      <c r="AG195" s="3"/>
      <c r="AH195" s="3"/>
    </row>
    <row r="196" spans="1:34" x14ac:dyDescent="0.25">
      <c r="B196" s="3">
        <f t="shared" ref="B196:AF196" si="132">$C43*EXP(-B$168/$A43/EXP(-$C$126))</f>
        <v>2.5751010749186929E-2</v>
      </c>
      <c r="C196" s="3">
        <f t="shared" si="132"/>
        <v>2.5751010749186929E-2</v>
      </c>
      <c r="D196" s="3">
        <f t="shared" si="132"/>
        <v>2.5751010749186929E-2</v>
      </c>
      <c r="E196" s="3">
        <f t="shared" si="132"/>
        <v>2.5751010749186929E-2</v>
      </c>
      <c r="F196" s="3">
        <f t="shared" si="132"/>
        <v>2.5751010749186929E-2</v>
      </c>
      <c r="G196" s="3">
        <f t="shared" si="132"/>
        <v>2.5751010749186929E-2</v>
      </c>
      <c r="H196" s="3">
        <f t="shared" si="132"/>
        <v>2.5751010749186929E-2</v>
      </c>
      <c r="I196" s="3">
        <f t="shared" si="132"/>
        <v>2.5751010749186929E-2</v>
      </c>
      <c r="J196" s="3">
        <f t="shared" si="132"/>
        <v>2.5751010749186929E-2</v>
      </c>
      <c r="K196" s="3">
        <f t="shared" si="132"/>
        <v>2.5751010749186929E-2</v>
      </c>
      <c r="L196" s="3">
        <f t="shared" si="132"/>
        <v>2.5751010749186929E-2</v>
      </c>
      <c r="M196" s="3">
        <f t="shared" si="132"/>
        <v>2.5751010749186929E-2</v>
      </c>
      <c r="N196" s="3">
        <f t="shared" si="132"/>
        <v>2.5751010749186929E-2</v>
      </c>
      <c r="O196" s="3">
        <f t="shared" si="132"/>
        <v>2.5751010749186929E-2</v>
      </c>
      <c r="P196" s="3">
        <f t="shared" si="132"/>
        <v>2.5751010749186929E-2</v>
      </c>
      <c r="Q196" s="3">
        <f t="shared" si="132"/>
        <v>2.5751010749186929E-2</v>
      </c>
      <c r="R196" s="3">
        <f t="shared" si="132"/>
        <v>2.5751010749186922E-2</v>
      </c>
      <c r="S196" s="3">
        <f t="shared" si="132"/>
        <v>2.5751010749186877E-2</v>
      </c>
      <c r="T196" s="3">
        <f t="shared" si="132"/>
        <v>2.5751010749186416E-2</v>
      </c>
      <c r="U196" s="3">
        <f t="shared" si="132"/>
        <v>2.5751010749181787E-2</v>
      </c>
      <c r="V196" s="3">
        <f t="shared" si="132"/>
        <v>2.5751010749135494E-2</v>
      </c>
      <c r="W196" s="3">
        <f t="shared" si="132"/>
        <v>2.575101074867258E-2</v>
      </c>
      <c r="X196" s="3">
        <f t="shared" si="132"/>
        <v>2.5751010744043453E-2</v>
      </c>
      <c r="Y196" s="3">
        <f t="shared" si="132"/>
        <v>2.5751010697752166E-2</v>
      </c>
      <c r="Z196" s="3">
        <f t="shared" si="132"/>
        <v>2.5751010234839309E-2</v>
      </c>
      <c r="AA196" s="3">
        <f t="shared" si="132"/>
        <v>2.5751005605711214E-2</v>
      </c>
      <c r="AB196" s="3">
        <f t="shared" si="132"/>
        <v>2.5750959314476008E-2</v>
      </c>
      <c r="AC196" s="3">
        <f t="shared" si="132"/>
        <v>2.5750496406700775E-2</v>
      </c>
      <c r="AD196" s="3">
        <f t="shared" si="132"/>
        <v>2.5745867786599836E-2</v>
      </c>
      <c r="AE196" s="3">
        <f t="shared" si="132"/>
        <v>2.5699627320306548E-2</v>
      </c>
      <c r="AF196" s="3">
        <f t="shared" si="132"/>
        <v>2.5241765855158371E-2</v>
      </c>
      <c r="AG196" s="3"/>
      <c r="AH196" s="3"/>
    </row>
    <row r="197" spans="1:34" x14ac:dyDescent="0.25">
      <c r="B197" s="3">
        <f t="shared" ref="B197:AF197" si="133">$C44*EXP(-B$168/$A44/EXP(-$C$126))</f>
        <v>1.2586213635594824E-2</v>
      </c>
      <c r="C197" s="3">
        <f t="shared" si="133"/>
        <v>1.2586213635594824E-2</v>
      </c>
      <c r="D197" s="3">
        <f t="shared" si="133"/>
        <v>1.2586213635594824E-2</v>
      </c>
      <c r="E197" s="3">
        <f t="shared" si="133"/>
        <v>1.2586213635594824E-2</v>
      </c>
      <c r="F197" s="3">
        <f t="shared" si="133"/>
        <v>1.2586213635594824E-2</v>
      </c>
      <c r="G197" s="3">
        <f t="shared" si="133"/>
        <v>1.2586213635594824E-2</v>
      </c>
      <c r="H197" s="3">
        <f t="shared" si="133"/>
        <v>1.2586213635594824E-2</v>
      </c>
      <c r="I197" s="3">
        <f t="shared" si="133"/>
        <v>1.2586213635594824E-2</v>
      </c>
      <c r="J197" s="3">
        <f t="shared" si="133"/>
        <v>1.2586213635594824E-2</v>
      </c>
      <c r="K197" s="3">
        <f t="shared" si="133"/>
        <v>1.2586213635594824E-2</v>
      </c>
      <c r="L197" s="3">
        <f t="shared" si="133"/>
        <v>1.2586213635594824E-2</v>
      </c>
      <c r="M197" s="3">
        <f t="shared" si="133"/>
        <v>1.2586213635594824E-2</v>
      </c>
      <c r="N197" s="3">
        <f t="shared" si="133"/>
        <v>1.2586213635594824E-2</v>
      </c>
      <c r="O197" s="3">
        <f t="shared" si="133"/>
        <v>1.2586213635594824E-2</v>
      </c>
      <c r="P197" s="3">
        <f t="shared" si="133"/>
        <v>1.2586213635594824E-2</v>
      </c>
      <c r="Q197" s="3">
        <f t="shared" si="133"/>
        <v>1.2586213635594824E-2</v>
      </c>
      <c r="R197" s="3">
        <f t="shared" si="133"/>
        <v>1.2586213635594824E-2</v>
      </c>
      <c r="S197" s="3">
        <f t="shared" si="133"/>
        <v>1.258621363559482E-2</v>
      </c>
      <c r="T197" s="3">
        <f t="shared" si="133"/>
        <v>1.25862136355948E-2</v>
      </c>
      <c r="U197" s="3">
        <f t="shared" si="133"/>
        <v>1.2586213635594572E-2</v>
      </c>
      <c r="V197" s="3">
        <f t="shared" si="133"/>
        <v>1.258621363559231E-2</v>
      </c>
      <c r="W197" s="3">
        <f t="shared" si="133"/>
        <v>1.2586213635569684E-2</v>
      </c>
      <c r="X197" s="3">
        <f t="shared" si="133"/>
        <v>1.2586213635343428E-2</v>
      </c>
      <c r="Y197" s="3">
        <f t="shared" si="133"/>
        <v>1.258621363308087E-2</v>
      </c>
      <c r="Z197" s="3">
        <f t="shared" si="133"/>
        <v>1.258621361045527E-2</v>
      </c>
      <c r="AA197" s="3">
        <f t="shared" si="133"/>
        <v>1.2586213384199293E-2</v>
      </c>
      <c r="AB197" s="3">
        <f t="shared" si="133"/>
        <v>1.2586211121639749E-2</v>
      </c>
      <c r="AC197" s="3">
        <f t="shared" si="133"/>
        <v>1.2586188496066662E-2</v>
      </c>
      <c r="AD197" s="3">
        <f t="shared" si="133"/>
        <v>1.2585962242572793E-2</v>
      </c>
      <c r="AE197" s="3">
        <f t="shared" si="133"/>
        <v>1.2583699931318457E-2</v>
      </c>
      <c r="AF197" s="3">
        <f t="shared" si="133"/>
        <v>1.2561099172340665E-2</v>
      </c>
      <c r="AG197" s="3"/>
      <c r="AH197" s="3"/>
    </row>
    <row r="198" spans="1:34" x14ac:dyDescent="0.25">
      <c r="B198" s="3">
        <f t="shared" ref="B198:AF198" si="134">$C45*EXP(-B$168/$A45/EXP(-$C$126))</f>
        <v>6.9130744193958088E-3</v>
      </c>
      <c r="C198" s="3">
        <f t="shared" si="134"/>
        <v>6.9130744193958088E-3</v>
      </c>
      <c r="D198" s="3">
        <f t="shared" si="134"/>
        <v>6.9130744193958088E-3</v>
      </c>
      <c r="E198" s="3">
        <f t="shared" si="134"/>
        <v>6.9130744193958088E-3</v>
      </c>
      <c r="F198" s="3">
        <f t="shared" si="134"/>
        <v>6.9130744193958088E-3</v>
      </c>
      <c r="G198" s="3">
        <f t="shared" si="134"/>
        <v>6.9130744193958088E-3</v>
      </c>
      <c r="H198" s="3">
        <f t="shared" si="134"/>
        <v>6.9130744193958088E-3</v>
      </c>
      <c r="I198" s="3">
        <f t="shared" si="134"/>
        <v>6.9130744193958088E-3</v>
      </c>
      <c r="J198" s="3">
        <f t="shared" si="134"/>
        <v>6.9130744193958088E-3</v>
      </c>
      <c r="K198" s="3">
        <f t="shared" si="134"/>
        <v>6.9130744193958088E-3</v>
      </c>
      <c r="L198" s="3">
        <f t="shared" si="134"/>
        <v>6.9130744193958088E-3</v>
      </c>
      <c r="M198" s="3">
        <f t="shared" si="134"/>
        <v>6.9130744193958088E-3</v>
      </c>
      <c r="N198" s="3">
        <f t="shared" si="134"/>
        <v>6.9130744193958088E-3</v>
      </c>
      <c r="O198" s="3">
        <f t="shared" si="134"/>
        <v>6.9130744193958088E-3</v>
      </c>
      <c r="P198" s="3">
        <f t="shared" si="134"/>
        <v>6.9130744193958088E-3</v>
      </c>
      <c r="Q198" s="3">
        <f t="shared" si="134"/>
        <v>6.9130744193958088E-3</v>
      </c>
      <c r="R198" s="3">
        <f t="shared" si="134"/>
        <v>6.9130744193958088E-3</v>
      </c>
      <c r="S198" s="3">
        <f t="shared" si="134"/>
        <v>6.9130744193958088E-3</v>
      </c>
      <c r="T198" s="3">
        <f t="shared" si="134"/>
        <v>6.9130744193958071E-3</v>
      </c>
      <c r="U198" s="3">
        <f t="shared" si="134"/>
        <v>6.913074419395795E-3</v>
      </c>
      <c r="V198" s="3">
        <f t="shared" si="134"/>
        <v>6.9130744193956709E-3</v>
      </c>
      <c r="W198" s="3">
        <f t="shared" si="134"/>
        <v>6.913074419394428E-3</v>
      </c>
      <c r="X198" s="3">
        <f t="shared" si="134"/>
        <v>6.9130744193820004E-3</v>
      </c>
      <c r="Y198" s="3">
        <f t="shared" si="134"/>
        <v>6.9130744192577274E-3</v>
      </c>
      <c r="Z198" s="3">
        <f t="shared" si="134"/>
        <v>6.9130744180150002E-3</v>
      </c>
      <c r="AA198" s="3">
        <f t="shared" si="134"/>
        <v>6.9130744055877161E-3</v>
      </c>
      <c r="AB198" s="3">
        <f t="shared" si="134"/>
        <v>6.9130742813148845E-3</v>
      </c>
      <c r="AC198" s="3">
        <f t="shared" si="134"/>
        <v>6.9130730385866925E-3</v>
      </c>
      <c r="AD198" s="3">
        <f t="shared" si="134"/>
        <v>6.9130606113170581E-3</v>
      </c>
      <c r="AE198" s="3">
        <f t="shared" si="134"/>
        <v>6.9129363398493992E-3</v>
      </c>
      <c r="AF198" s="3">
        <f t="shared" si="134"/>
        <v>6.9116937480331571E-3</v>
      </c>
      <c r="AG198" s="3"/>
      <c r="AH198" s="3"/>
    </row>
    <row r="199" spans="1:34" x14ac:dyDescent="0.25">
      <c r="B199" s="3">
        <f t="shared" ref="B199:AF199" si="135">$C46*EXP(-B$168/$A46/EXP(-$C$126))</f>
        <v>3.0323866622783903E-3</v>
      </c>
      <c r="C199" s="3">
        <f t="shared" si="135"/>
        <v>3.0323866622783903E-3</v>
      </c>
      <c r="D199" s="3">
        <f t="shared" si="135"/>
        <v>3.0323866622783903E-3</v>
      </c>
      <c r="E199" s="3">
        <f t="shared" si="135"/>
        <v>3.0323866622783903E-3</v>
      </c>
      <c r="F199" s="3">
        <f t="shared" si="135"/>
        <v>3.0323866622783903E-3</v>
      </c>
      <c r="G199" s="3">
        <f t="shared" si="135"/>
        <v>3.0323866622783903E-3</v>
      </c>
      <c r="H199" s="3">
        <f t="shared" si="135"/>
        <v>3.0323866622783903E-3</v>
      </c>
      <c r="I199" s="3">
        <f t="shared" si="135"/>
        <v>3.0323866622783903E-3</v>
      </c>
      <c r="J199" s="3">
        <f t="shared" si="135"/>
        <v>3.0323866622783903E-3</v>
      </c>
      <c r="K199" s="3">
        <f t="shared" si="135"/>
        <v>3.0323866622783903E-3</v>
      </c>
      <c r="L199" s="3">
        <f t="shared" si="135"/>
        <v>3.0323866622783903E-3</v>
      </c>
      <c r="M199" s="3">
        <f t="shared" si="135"/>
        <v>3.0323866622783903E-3</v>
      </c>
      <c r="N199" s="3">
        <f t="shared" si="135"/>
        <v>3.0323866622783903E-3</v>
      </c>
      <c r="O199" s="3">
        <f t="shared" si="135"/>
        <v>3.0323866622783903E-3</v>
      </c>
      <c r="P199" s="3">
        <f t="shared" si="135"/>
        <v>3.0323866622783903E-3</v>
      </c>
      <c r="Q199" s="3">
        <f t="shared" si="135"/>
        <v>3.0323866622783903E-3</v>
      </c>
      <c r="R199" s="3">
        <f t="shared" si="135"/>
        <v>3.0323866622783903E-3</v>
      </c>
      <c r="S199" s="3">
        <f t="shared" si="135"/>
        <v>3.0323866622783903E-3</v>
      </c>
      <c r="T199" s="3">
        <f t="shared" si="135"/>
        <v>3.0323866622783903E-3</v>
      </c>
      <c r="U199" s="3">
        <f t="shared" si="135"/>
        <v>3.0323866622783894E-3</v>
      </c>
      <c r="V199" s="3">
        <f t="shared" si="135"/>
        <v>3.0323866622783842E-3</v>
      </c>
      <c r="W199" s="3">
        <f t="shared" si="135"/>
        <v>3.0323866622783296E-3</v>
      </c>
      <c r="X199" s="3">
        <f t="shared" si="135"/>
        <v>3.0323866622777845E-3</v>
      </c>
      <c r="Y199" s="3">
        <f t="shared" si="135"/>
        <v>3.0323866622723335E-3</v>
      </c>
      <c r="Z199" s="3">
        <f t="shared" si="135"/>
        <v>3.0323866622178216E-3</v>
      </c>
      <c r="AA199" s="3">
        <f t="shared" si="135"/>
        <v>3.0323866616727051E-3</v>
      </c>
      <c r="AB199" s="3">
        <f t="shared" si="135"/>
        <v>3.0323866562215369E-3</v>
      </c>
      <c r="AC199" s="3">
        <f t="shared" si="135"/>
        <v>3.0323866017098605E-3</v>
      </c>
      <c r="AD199" s="3">
        <f t="shared" si="135"/>
        <v>3.0323860565931492E-3</v>
      </c>
      <c r="AE199" s="3">
        <f t="shared" si="135"/>
        <v>3.0323806054314223E-3</v>
      </c>
      <c r="AF199" s="3">
        <f t="shared" si="135"/>
        <v>3.0323260943531135E-3</v>
      </c>
      <c r="AG199" s="3"/>
      <c r="AH199" s="3"/>
    </row>
    <row r="200" spans="1:34" x14ac:dyDescent="0.25">
      <c r="B200" s="3">
        <f t="shared" ref="B200:AF200" si="136">$C47*EXP(-B$168/$A47/EXP(-$C$126))</f>
        <v>2.0349292815546579E-6</v>
      </c>
      <c r="C200" s="3">
        <f t="shared" si="136"/>
        <v>2.0349292815546579E-6</v>
      </c>
      <c r="D200" s="3">
        <f t="shared" si="136"/>
        <v>2.0349292815546579E-6</v>
      </c>
      <c r="E200" s="3">
        <f t="shared" si="136"/>
        <v>2.0349292815546579E-6</v>
      </c>
      <c r="F200" s="3">
        <f t="shared" si="136"/>
        <v>2.0349292815546579E-6</v>
      </c>
      <c r="G200" s="3">
        <f t="shared" si="136"/>
        <v>2.0349292815546579E-6</v>
      </c>
      <c r="H200" s="3">
        <f t="shared" si="136"/>
        <v>2.0349292815546579E-6</v>
      </c>
      <c r="I200" s="3">
        <f t="shared" si="136"/>
        <v>2.0349292815546579E-6</v>
      </c>
      <c r="J200" s="3">
        <f t="shared" si="136"/>
        <v>2.0349292815546579E-6</v>
      </c>
      <c r="K200" s="3">
        <f t="shared" si="136"/>
        <v>2.0349292815546579E-6</v>
      </c>
      <c r="L200" s="3">
        <f t="shared" si="136"/>
        <v>2.0349292815546579E-6</v>
      </c>
      <c r="M200" s="3">
        <f t="shared" si="136"/>
        <v>2.0349292815546579E-6</v>
      </c>
      <c r="N200" s="3">
        <f t="shared" si="136"/>
        <v>2.0349292815546579E-6</v>
      </c>
      <c r="O200" s="3">
        <f t="shared" si="136"/>
        <v>2.0349292815546579E-6</v>
      </c>
      <c r="P200" s="3">
        <f t="shared" si="136"/>
        <v>2.0349292815546579E-6</v>
      </c>
      <c r="Q200" s="3">
        <f t="shared" si="136"/>
        <v>2.0349292815546579E-6</v>
      </c>
      <c r="R200" s="3">
        <f t="shared" si="136"/>
        <v>2.0349292815546579E-6</v>
      </c>
      <c r="S200" s="3">
        <f t="shared" si="136"/>
        <v>2.0349292815546579E-6</v>
      </c>
      <c r="T200" s="3">
        <f t="shared" si="136"/>
        <v>2.0349292815546579E-6</v>
      </c>
      <c r="U200" s="3">
        <f t="shared" si="136"/>
        <v>2.0349292815546579E-6</v>
      </c>
      <c r="V200" s="3">
        <f t="shared" si="136"/>
        <v>2.0349292815546575E-6</v>
      </c>
      <c r="W200" s="3">
        <f t="shared" si="136"/>
        <v>2.0349292815546537E-6</v>
      </c>
      <c r="X200" s="3">
        <f t="shared" si="136"/>
        <v>2.0349292815546173E-6</v>
      </c>
      <c r="Y200" s="3">
        <f t="shared" si="136"/>
        <v>2.0349292815542514E-6</v>
      </c>
      <c r="Z200" s="3">
        <f t="shared" si="136"/>
        <v>2.0349292815505934E-6</v>
      </c>
      <c r="AA200" s="3">
        <f t="shared" si="136"/>
        <v>2.0349292815140126E-6</v>
      </c>
      <c r="AB200" s="3">
        <f t="shared" si="136"/>
        <v>2.0349292811482037E-6</v>
      </c>
      <c r="AC200" s="3">
        <f t="shared" si="136"/>
        <v>2.0349292774901144E-6</v>
      </c>
      <c r="AD200" s="3">
        <f t="shared" si="136"/>
        <v>2.0349292409092229E-6</v>
      </c>
      <c r="AE200" s="3">
        <f t="shared" si="136"/>
        <v>2.0349288751003463E-6</v>
      </c>
      <c r="AF200" s="3">
        <f t="shared" si="136"/>
        <v>2.0349252170151971E-6</v>
      </c>
      <c r="AG200" s="3"/>
      <c r="AH200" s="3"/>
    </row>
    <row r="201" spans="1:34" x14ac:dyDescent="0.25">
      <c r="B201" s="3">
        <f t="shared" ref="B201:AF201" si="137">$C48*EXP(-B$168/$A48/EXP(-$C$126))</f>
        <v>1.1740866771866395E-2</v>
      </c>
      <c r="C201" s="3">
        <f t="shared" si="137"/>
        <v>1.1740866771866395E-2</v>
      </c>
      <c r="D201" s="3">
        <f t="shared" si="137"/>
        <v>1.1740866771866395E-2</v>
      </c>
      <c r="E201" s="3">
        <f t="shared" si="137"/>
        <v>1.1740866771866395E-2</v>
      </c>
      <c r="F201" s="3">
        <f t="shared" si="137"/>
        <v>1.1740866771866395E-2</v>
      </c>
      <c r="G201" s="3">
        <f t="shared" si="137"/>
        <v>1.1740866771866395E-2</v>
      </c>
      <c r="H201" s="3">
        <f t="shared" si="137"/>
        <v>1.1740866771866395E-2</v>
      </c>
      <c r="I201" s="3">
        <f t="shared" si="137"/>
        <v>1.1740866771866395E-2</v>
      </c>
      <c r="J201" s="3">
        <f t="shared" si="137"/>
        <v>1.1740866771866395E-2</v>
      </c>
      <c r="K201" s="3">
        <f t="shared" si="137"/>
        <v>1.1740866771866395E-2</v>
      </c>
      <c r="L201" s="3">
        <f t="shared" si="137"/>
        <v>1.1740866771866395E-2</v>
      </c>
      <c r="M201" s="3">
        <f t="shared" si="137"/>
        <v>1.1740866771866395E-2</v>
      </c>
      <c r="N201" s="3">
        <f t="shared" si="137"/>
        <v>1.1740866771866395E-2</v>
      </c>
      <c r="O201" s="3">
        <f t="shared" si="137"/>
        <v>1.1740866771866395E-2</v>
      </c>
      <c r="P201" s="3">
        <f t="shared" si="137"/>
        <v>1.1740866771866395E-2</v>
      </c>
      <c r="Q201" s="3">
        <f t="shared" si="137"/>
        <v>1.1740866771866395E-2</v>
      </c>
      <c r="R201" s="3">
        <f t="shared" si="137"/>
        <v>1.1740866771866395E-2</v>
      </c>
      <c r="S201" s="3">
        <f t="shared" si="137"/>
        <v>1.1740866771866395E-2</v>
      </c>
      <c r="T201" s="3">
        <f t="shared" si="137"/>
        <v>1.1740866771866395E-2</v>
      </c>
      <c r="U201" s="3">
        <f t="shared" si="137"/>
        <v>1.1740866771866395E-2</v>
      </c>
      <c r="V201" s="3">
        <f t="shared" si="137"/>
        <v>1.1740866771866395E-2</v>
      </c>
      <c r="W201" s="3">
        <f t="shared" si="137"/>
        <v>1.1740866771866391E-2</v>
      </c>
      <c r="X201" s="3">
        <f t="shared" si="137"/>
        <v>1.174086677186637E-2</v>
      </c>
      <c r="Y201" s="3">
        <f t="shared" si="137"/>
        <v>1.174086677186616E-2</v>
      </c>
      <c r="Z201" s="3">
        <f t="shared" si="137"/>
        <v>1.1740866771864049E-2</v>
      </c>
      <c r="AA201" s="3">
        <f t="shared" si="137"/>
        <v>1.1740866771842943E-2</v>
      </c>
      <c r="AB201" s="3">
        <f t="shared" si="137"/>
        <v>1.1740866771631884E-2</v>
      </c>
      <c r="AC201" s="3">
        <f t="shared" si="137"/>
        <v>1.1740866769521288E-2</v>
      </c>
      <c r="AD201" s="3">
        <f t="shared" si="137"/>
        <v>1.1740866748415327E-2</v>
      </c>
      <c r="AE201" s="3">
        <f t="shared" si="137"/>
        <v>1.1740866537355722E-2</v>
      </c>
      <c r="AF201" s="3">
        <f t="shared" si="137"/>
        <v>1.1740864426759878E-2</v>
      </c>
      <c r="AG201" s="3"/>
      <c r="AH201" s="3"/>
    </row>
    <row r="202" spans="1:34" x14ac:dyDescent="0.25">
      <c r="A202" s="79">
        <f>AVERAGE(B202:AF202)</f>
        <v>2.8746005389194099E-2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6.1743933156973844E-2</v>
      </c>
      <c r="M202" s="80">
        <f t="shared" si="138"/>
        <v>6.6441505460970399E-2</v>
      </c>
      <c r="N202" s="80">
        <f t="shared" si="138"/>
        <v>7.2466961612565634E-2</v>
      </c>
      <c r="O202" s="80">
        <f t="shared" si="138"/>
        <v>7.9261016821783783E-2</v>
      </c>
      <c r="P202" s="80">
        <f t="shared" si="138"/>
        <v>8.4590568633291688E-2</v>
      </c>
      <c r="Q202" s="80">
        <f t="shared" si="138"/>
        <v>8.5433564273517559E-2</v>
      </c>
      <c r="R202" s="80">
        <f t="shared" si="138"/>
        <v>9.2034246949360535E-2</v>
      </c>
      <c r="S202" s="80">
        <f t="shared" si="138"/>
        <v>0.1041981480611965</v>
      </c>
      <c r="T202" s="80">
        <f t="shared" si="138"/>
        <v>0.10641696321839263</v>
      </c>
      <c r="U202" s="80">
        <f t="shared" si="138"/>
        <v>4.0600734632713083E-2</v>
      </c>
      <c r="V202" s="80">
        <f t="shared" si="138"/>
        <v>9.793852424425134E-2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5854.7098153821817</v>
      </c>
      <c r="C203" s="21">
        <f t="shared" ref="C203:AF203" si="139">(C170-C169)^2</f>
        <v>46754.428705177699</v>
      </c>
      <c r="D203" s="21">
        <f t="shared" si="139"/>
        <v>59498.93359791972</v>
      </c>
      <c r="E203" s="21">
        <f t="shared" si="139"/>
        <v>59500.401324476377</v>
      </c>
      <c r="F203" s="21">
        <f t="shared" si="139"/>
        <v>59560.427585725942</v>
      </c>
      <c r="G203" s="21">
        <f t="shared" si="139"/>
        <v>60173.958879044279</v>
      </c>
      <c r="H203" s="21">
        <f t="shared" si="139"/>
        <v>66319.405756199776</v>
      </c>
      <c r="I203" s="21">
        <f t="shared" si="139"/>
        <v>123940.94538147558</v>
      </c>
      <c r="J203" s="21">
        <f t="shared" si="139"/>
        <v>223538.56510213509</v>
      </c>
      <c r="K203" s="21">
        <f t="shared" si="139"/>
        <v>153500.47115892626</v>
      </c>
      <c r="L203" s="21">
        <f t="shared" si="139"/>
        <v>169068.55803727222</v>
      </c>
      <c r="M203" s="21">
        <f t="shared" si="139"/>
        <v>189082.43100167823</v>
      </c>
      <c r="N203" s="21">
        <f t="shared" si="139"/>
        <v>216165.65508131543</v>
      </c>
      <c r="O203" s="21">
        <f t="shared" si="139"/>
        <v>247699.48879082169</v>
      </c>
      <c r="P203" s="21">
        <f t="shared" si="139"/>
        <v>268410.57088728214</v>
      </c>
      <c r="Q203" s="21">
        <f t="shared" si="139"/>
        <v>258992.55969757226</v>
      </c>
      <c r="R203" s="21">
        <f t="shared" si="139"/>
        <v>282740.78394359263</v>
      </c>
      <c r="S203" s="21">
        <f t="shared" si="139"/>
        <v>340745.76634666318</v>
      </c>
      <c r="T203" s="21">
        <f t="shared" si="139"/>
        <v>323993.55138392199</v>
      </c>
      <c r="U203" s="21">
        <f t="shared" si="139"/>
        <v>37874.346063040262</v>
      </c>
      <c r="V203" s="21">
        <f t="shared" si="139"/>
        <v>153923.03588276572</v>
      </c>
      <c r="W203" s="21">
        <f t="shared" si="139"/>
        <v>734512.75382070418</v>
      </c>
      <c r="X203" s="21">
        <f t="shared" si="139"/>
        <v>866757.67158242094</v>
      </c>
      <c r="Y203" s="21">
        <f t="shared" si="139"/>
        <v>465405.35548724659</v>
      </c>
      <c r="Z203" s="21">
        <f t="shared" si="139"/>
        <v>116776.22142055002</v>
      </c>
      <c r="AA203" s="21">
        <f t="shared" si="139"/>
        <v>5406.3689273986956</v>
      </c>
      <c r="AB203" s="21">
        <f t="shared" si="139"/>
        <v>15114.196593154416</v>
      </c>
      <c r="AC203" s="21">
        <f t="shared" si="139"/>
        <v>54052.537192599288</v>
      </c>
      <c r="AD203" s="21">
        <f t="shared" si="139"/>
        <v>138512.64452412236</v>
      </c>
      <c r="AE203" s="21">
        <f t="shared" si="139"/>
        <v>205722.26552468995</v>
      </c>
      <c r="AF203" s="21">
        <f t="shared" si="139"/>
        <v>290047.66641437251</v>
      </c>
      <c r="AG203" s="3"/>
      <c r="AH203" s="3"/>
    </row>
    <row r="204" spans="1:34" x14ac:dyDescent="0.25">
      <c r="A204" s="71">
        <f>SUM(B204:AF204)</f>
        <v>2488696.7471159254</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169068.55803727222</v>
      </c>
      <c r="M204" s="60">
        <f t="shared" ref="M204" si="150">IF($A$64&lt;=M168,IF($B$64&gt;=M168,ABS(M203),0),0)</f>
        <v>189082.43100167823</v>
      </c>
      <c r="N204" s="60">
        <f t="shared" ref="N204" si="151">IF($A$64&lt;=N168,IF($B$64&gt;=N168,ABS(N203),0),0)</f>
        <v>216165.65508131543</v>
      </c>
      <c r="O204" s="60">
        <f t="shared" ref="O204" si="152">IF($A$64&lt;=O168,IF($B$64&gt;=O168,ABS(O203),0),0)</f>
        <v>247699.48879082169</v>
      </c>
      <c r="P204" s="60">
        <f t="shared" ref="P204" si="153">IF($A$64&lt;=P168,IF($B$64&gt;=P168,ABS(P203),0),0)</f>
        <v>268410.57088728214</v>
      </c>
      <c r="Q204" s="60">
        <f t="shared" ref="Q204" si="154">IF($A$64&lt;=Q168,IF($B$64&gt;=Q168,ABS(Q203),0),0)</f>
        <v>258992.55969757226</v>
      </c>
      <c r="R204" s="60">
        <f t="shared" ref="R204" si="155">IF($A$64&lt;=R168,IF($B$64&gt;=R168,ABS(R203),0),0)</f>
        <v>282740.78394359263</v>
      </c>
      <c r="S204" s="60">
        <f t="shared" ref="S204" si="156">IF($A$64&lt;=S168,IF($B$64&gt;=S168,ABS(S203),0),0)</f>
        <v>340745.76634666318</v>
      </c>
      <c r="T204" s="60">
        <f t="shared" ref="T204" si="157">IF($A$64&lt;=T168,IF($B$64&gt;=T168,ABS(T203),0),0)</f>
        <v>323993.55138392199</v>
      </c>
      <c r="U204" s="60">
        <f t="shared" ref="U204" si="158">IF($A$64&lt;=U168,IF($B$64&gt;=U168,ABS(U203),0),0)</f>
        <v>37874.346063040262</v>
      </c>
      <c r="V204" s="60">
        <f t="shared" ref="V204" si="159">IF($A$64&lt;=V168,IF($B$64&gt;=V168,ABS(V203),0),0)</f>
        <v>153923.03588276572</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6992.3964680806075</v>
      </c>
      <c r="C208" s="26">
        <f>INDEX(Comparison!$AM$3:$AS$33,G$14,$D$122)</f>
        <v>6992.459052459466</v>
      </c>
      <c r="D208" s="26">
        <f>INDEX(Comparison!$AM$3:$AS$33,H$14,$D$122)</f>
        <v>6992.3628853177524</v>
      </c>
      <c r="E208" s="26">
        <f>INDEX(Comparison!$AM$3:$AS$33,I$14,$D$122)</f>
        <v>6991.7590094248426</v>
      </c>
      <c r="F208" s="26">
        <f>INDEX(Comparison!$AM$3:$AS$33,J$14,$D$122)</f>
        <v>6985.9675385002447</v>
      </c>
      <c r="G208" s="26">
        <f>INDEX(Comparison!$AM$3:$AS$33,K$14,$D$122)</f>
        <v>6936.0316435873456</v>
      </c>
      <c r="H208" s="26">
        <f>INDEX(Comparison!$AM$3:$AS$33,L$14,$D$122)</f>
        <v>6767.3497232459458</v>
      </c>
      <c r="I208" s="26">
        <f>INDEX(Comparison!$AM$3:$AS$33,M$14,$D$122)</f>
        <v>6644.5309370841214</v>
      </c>
      <c r="J208" s="26">
        <f>INDEX(Comparison!$AM$3:$AS$33,N$14,$D$122)</f>
        <v>6532.7504586905397</v>
      </c>
      <c r="K208" s="26">
        <f>INDEX(Comparison!$AM$3:$AS$33,O$14,$D$122)</f>
        <v>6406.2589516029093</v>
      </c>
      <c r="L208" s="26">
        <f>INDEX(Comparison!$AM$3:$AS$33,P$14,$D$122)</f>
        <v>6273.617616065887</v>
      </c>
      <c r="M208" s="26">
        <f>INDEX(Comparison!$AM$3:$AS$33,Q$14,$D$122)</f>
        <v>6123.1895749079549</v>
      </c>
      <c r="N208" s="26">
        <f>INDEX(Comparison!$AM$3:$AS$33,R$14,$D$122)</f>
        <v>5959.0875608576071</v>
      </c>
      <c r="O208" s="26">
        <f>INDEX(Comparison!$AM$3:$AS$33,S$14,$D$122)</f>
        <v>5781.2083401997561</v>
      </c>
      <c r="P208" s="26">
        <f>INDEX(Comparison!$AM$3:$AS$33,T$14,$D$122)</f>
        <v>5618.3452185734377</v>
      </c>
      <c r="Q208" s="26">
        <f>INDEX(Comparison!$AM$3:$AS$33,U$14,$D$122)</f>
        <v>5440.9922001853329</v>
      </c>
      <c r="R208" s="26">
        <f>INDEX(Comparison!$AM$3:$AS$33,V$14,$D$122)</f>
        <v>5221.4874412485688</v>
      </c>
      <c r="S208" s="26">
        <f>INDEX(Comparison!$AM$3:$AS$33,W$14,$D$122)</f>
        <v>4926.1795387850607</v>
      </c>
      <c r="T208" s="26">
        <f>INDEX(Comparison!$AM$3:$AS$33,X$14,$D$122)</f>
        <v>4442.9821588725517</v>
      </c>
      <c r="U208" s="26">
        <f>INDEX(Comparison!$AM$3:$AS$33,Y$14,$D$122)</f>
        <v>3752.7744100380223</v>
      </c>
      <c r="V208" s="26">
        <f>INDEX(Comparison!$AM$3:$AS$33,Z$14,$D$122)</f>
        <v>3130.6377978974938</v>
      </c>
      <c r="W208" s="26">
        <f>INDEX(Comparison!$AM$3:$AS$33,AA$14,$D$122)</f>
        <v>2685.7977977575347</v>
      </c>
      <c r="X208" s="26">
        <f>INDEX(Comparison!$AM$3:$AS$33,AB$14,$D$122)</f>
        <v>2368.346654493816</v>
      </c>
      <c r="Y208" s="26">
        <f>INDEX(Comparison!$AM$3:$AS$33,AC$14,$D$122)</f>
        <v>2132.4244867059297</v>
      </c>
      <c r="Z208" s="26">
        <f>INDEX(Comparison!$AM$3:$AS$33,AD$14,$D$122)</f>
        <v>1927.1689592855932</v>
      </c>
      <c r="AA208" s="26">
        <f>INDEX(Comparison!$AM$3:$AS$33,AE$14,$D$122)</f>
        <v>1740.579877269425</v>
      </c>
      <c r="AB208" s="26">
        <f>INDEX(Comparison!$AM$3:$AS$33,AF$14,$D$122)</f>
        <v>1552.3921804639763</v>
      </c>
      <c r="AC208" s="26">
        <f>INDEX(Comparison!$AM$3:$AS$33,AG$14,$D$122)</f>
        <v>1355.3669215252155</v>
      </c>
      <c r="AD208" s="26">
        <f>INDEX(Comparison!$AM$3:$AS$33,AH$14,$D$122)</f>
        <v>1134.9160288600715</v>
      </c>
      <c r="AE208" s="26">
        <f>INDEX(Comparison!$AM$3:$AS$33,AI$14,$D$122)</f>
        <v>892.49692017162795</v>
      </c>
      <c r="AF208" s="26">
        <f>INDEX(Comparison!$AM$3:$AS$33,AJ$14,$D$122)</f>
        <v>651.2901745739025</v>
      </c>
      <c r="AG208" s="26"/>
      <c r="AH208" s="26"/>
    </row>
    <row r="209" spans="1:34" x14ac:dyDescent="0.25">
      <c r="A209" s="70" t="s">
        <v>22</v>
      </c>
      <c r="B209" s="27">
        <f>($C$17+SUM(B210:B240))*$B$51</f>
        <v>6788.1494783627631</v>
      </c>
      <c r="C209" s="27">
        <f t="shared" ref="C209:AF209" si="170">($C$17+SUM(C210:C240))*$B$51</f>
        <v>6788.0257779552485</v>
      </c>
      <c r="D209" s="27">
        <f t="shared" si="170"/>
        <v>6787.9751339657205</v>
      </c>
      <c r="E209" s="27">
        <f t="shared" si="170"/>
        <v>6787.4691623514345</v>
      </c>
      <c r="F209" s="27">
        <f t="shared" si="170"/>
        <v>6782.4559784805451</v>
      </c>
      <c r="G209" s="27">
        <f t="shared" si="170"/>
        <v>6736.6951424680447</v>
      </c>
      <c r="H209" s="27">
        <f t="shared" si="170"/>
        <v>6530.7608571379005</v>
      </c>
      <c r="I209" s="27">
        <f t="shared" si="170"/>
        <v>6428.2536750072586</v>
      </c>
      <c r="J209" s="27">
        <f t="shared" si="170"/>
        <v>6305.3810391595989</v>
      </c>
      <c r="K209" s="27">
        <f t="shared" si="170"/>
        <v>6170.9523261287623</v>
      </c>
      <c r="L209" s="27">
        <f t="shared" si="170"/>
        <v>6021.7571569680795</v>
      </c>
      <c r="M209" s="27">
        <f t="shared" si="170"/>
        <v>5858.6509649239506</v>
      </c>
      <c r="N209" s="27">
        <f t="shared" si="170"/>
        <v>5685.6142589528863</v>
      </c>
      <c r="O209" s="27">
        <f t="shared" si="170"/>
        <v>5523.3041276081904</v>
      </c>
      <c r="P209" s="27">
        <f t="shared" si="170"/>
        <v>5344.3016035754454</v>
      </c>
      <c r="Q209" s="27">
        <f t="shared" si="170"/>
        <v>5127.667525187584</v>
      </c>
      <c r="R209" s="27">
        <f t="shared" si="170"/>
        <v>4890.5538592277389</v>
      </c>
      <c r="S209" s="27">
        <f t="shared" si="170"/>
        <v>4676.6175922467401</v>
      </c>
      <c r="T209" s="27">
        <f t="shared" si="170"/>
        <v>4494.316682173664</v>
      </c>
      <c r="U209" s="27">
        <f t="shared" si="170"/>
        <v>4291.187269195505</v>
      </c>
      <c r="V209" s="27">
        <f t="shared" si="170"/>
        <v>4029.2673741932526</v>
      </c>
      <c r="W209" s="27">
        <f t="shared" si="170"/>
        <v>3516.0817075421178</v>
      </c>
      <c r="X209" s="27">
        <f t="shared" si="170"/>
        <v>2900.5999302640776</v>
      </c>
      <c r="Y209" s="27">
        <f t="shared" si="170"/>
        <v>2384.9644559225653</v>
      </c>
      <c r="Z209" s="27">
        <f t="shared" si="170"/>
        <v>1998.8201282707842</v>
      </c>
      <c r="AA209" s="27">
        <f t="shared" si="170"/>
        <v>1684.0121314470045</v>
      </c>
      <c r="AB209" s="27">
        <f t="shared" si="170"/>
        <v>1429.5751393537876</v>
      </c>
      <c r="AC209" s="27">
        <f t="shared" si="170"/>
        <v>1153.720244115209</v>
      </c>
      <c r="AD209" s="27">
        <f t="shared" si="170"/>
        <v>887.15854221770996</v>
      </c>
      <c r="AE209" s="27">
        <f t="shared" si="170"/>
        <v>630.65079510486203</v>
      </c>
      <c r="AF209" s="27">
        <f t="shared" si="170"/>
        <v>436.0912167464819</v>
      </c>
      <c r="AG209" s="27"/>
      <c r="AH209" s="27"/>
    </row>
    <row r="210" spans="1:34" x14ac:dyDescent="0.25">
      <c r="B210" s="3">
        <f t="shared" ref="B210:AF210" si="171">$C18*EXP(-B$207/$A18/EXP(-$D$126))</f>
        <v>1.6966333787505553E-5</v>
      </c>
      <c r="C210" s="3">
        <f t="shared" si="171"/>
        <v>1.269484781063165E-34</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4.1218352016687811E-2</v>
      </c>
      <c r="C211" s="3">
        <f t="shared" si="172"/>
        <v>4.1217643932739877E-2</v>
      </c>
      <c r="D211" s="3">
        <f t="shared" si="172"/>
        <v>4.1210563762249866E-2</v>
      </c>
      <c r="E211" s="3">
        <f t="shared" si="172"/>
        <v>4.1139828913778383E-2</v>
      </c>
      <c r="F211" s="3">
        <f t="shared" si="172"/>
        <v>4.0439123771015613E-2</v>
      </c>
      <c r="G211" s="3">
        <f t="shared" si="172"/>
        <v>3.4056051340568952E-2</v>
      </c>
      <c r="H211" s="3">
        <f t="shared" si="172"/>
        <v>6.1111063652567561E-3</v>
      </c>
      <c r="I211" s="3">
        <f t="shared" si="172"/>
        <v>2.1153164746137782E-10</v>
      </c>
      <c r="J211" s="3">
        <f t="shared" si="172"/>
        <v>5.2231252704859034E-85</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8.4205627717225378E-3</v>
      </c>
      <c r="C212" s="3">
        <f t="shared" si="173"/>
        <v>8.4205497224822679E-3</v>
      </c>
      <c r="D212" s="3">
        <f t="shared" si="173"/>
        <v>8.420419231191776E-3</v>
      </c>
      <c r="E212" s="3">
        <f t="shared" si="173"/>
        <v>8.4191144295023036E-3</v>
      </c>
      <c r="F212" s="3">
        <f t="shared" si="173"/>
        <v>8.4060775277778714E-3</v>
      </c>
      <c r="G212" s="3">
        <f t="shared" si="173"/>
        <v>8.2768136806255777E-3</v>
      </c>
      <c r="H212" s="3">
        <f t="shared" si="173"/>
        <v>7.088609572178428E-3</v>
      </c>
      <c r="I212" s="3">
        <f t="shared" si="173"/>
        <v>1.5050115620533794E-3</v>
      </c>
      <c r="J212" s="3">
        <f t="shared" si="173"/>
        <v>2.8010936651095627E-10</v>
      </c>
      <c r="K212" s="3">
        <f t="shared" si="173"/>
        <v>1.3970295138432691E-77</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2.097249869567314E-2</v>
      </c>
      <c r="C213" s="3">
        <f t="shared" si="174"/>
        <v>2.0972495763826947E-2</v>
      </c>
      <c r="D213" s="3">
        <f t="shared" si="174"/>
        <v>2.0972466445387555E-2</v>
      </c>
      <c r="E213" s="3">
        <f t="shared" si="174"/>
        <v>2.0972173263247854E-2</v>
      </c>
      <c r="F213" s="3">
        <f t="shared" si="174"/>
        <v>2.0969241667259157E-2</v>
      </c>
      <c r="G213" s="3">
        <f t="shared" si="174"/>
        <v>2.0939948236551913E-2</v>
      </c>
      <c r="H213" s="3">
        <f t="shared" si="174"/>
        <v>2.0649255237885935E-2</v>
      </c>
      <c r="I213" s="3">
        <f t="shared" si="174"/>
        <v>1.7955284024484909E-2</v>
      </c>
      <c r="J213" s="3">
        <f t="shared" si="174"/>
        <v>4.4368132429279238E-3</v>
      </c>
      <c r="K213" s="3">
        <f t="shared" si="174"/>
        <v>3.7658224474364623E-9</v>
      </c>
      <c r="L213" s="3">
        <f t="shared" si="174"/>
        <v>7.3071286462995755E-70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1.9327833754306457E-2</v>
      </c>
      <c r="C214" s="3">
        <f t="shared" si="175"/>
        <v>1.9327833510569822E-2</v>
      </c>
      <c r="D214" s="3">
        <f t="shared" si="175"/>
        <v>1.9327831073203662E-2</v>
      </c>
      <c r="E214" s="3">
        <f t="shared" si="175"/>
        <v>1.932780669955898E-2</v>
      </c>
      <c r="F214" s="3">
        <f t="shared" si="175"/>
        <v>1.9327562964802657E-2</v>
      </c>
      <c r="G214" s="3">
        <f t="shared" si="175"/>
        <v>1.9325125786282985E-2</v>
      </c>
      <c r="H214" s="3">
        <f t="shared" si="175"/>
        <v>1.9300770897556763E-2</v>
      </c>
      <c r="I214" s="3">
        <f t="shared" si="175"/>
        <v>1.9058903800074165E-2</v>
      </c>
      <c r="J214" s="3">
        <f t="shared" si="175"/>
        <v>1.6800822409164286E-2</v>
      </c>
      <c r="K214" s="3">
        <f t="shared" si="175"/>
        <v>4.7605460826895809E-3</v>
      </c>
      <c r="L214" s="3">
        <f t="shared" si="175"/>
        <v>1.5882508521285119E-8</v>
      </c>
      <c r="M214" s="3">
        <f t="shared" si="175"/>
        <v>2.7135781385524027E-63</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2.3246647209070059E-2</v>
      </c>
      <c r="C215" s="3">
        <f t="shared" si="176"/>
        <v>2.3246647182625001E-2</v>
      </c>
      <c r="D215" s="3">
        <f t="shared" si="176"/>
        <v>2.3246646918174407E-2</v>
      </c>
      <c r="E215" s="3">
        <f t="shared" si="176"/>
        <v>2.3246644273668668E-2</v>
      </c>
      <c r="F215" s="3">
        <f t="shared" si="176"/>
        <v>2.3246617828627816E-2</v>
      </c>
      <c r="G215" s="3">
        <f t="shared" si="176"/>
        <v>2.3246353379873869E-2</v>
      </c>
      <c r="H215" s="3">
        <f t="shared" si="176"/>
        <v>2.3243709057786058E-2</v>
      </c>
      <c r="I215" s="3">
        <f t="shared" si="176"/>
        <v>2.3217282375112624E-2</v>
      </c>
      <c r="J215" s="3">
        <f t="shared" si="176"/>
        <v>2.2954662428932793E-2</v>
      </c>
      <c r="K215" s="3">
        <f t="shared" si="176"/>
        <v>2.0486425106716891E-2</v>
      </c>
      <c r="L215" s="3">
        <f t="shared" si="176"/>
        <v>6.5677842801382729E-3</v>
      </c>
      <c r="M215" s="3">
        <f t="shared" si="176"/>
        <v>7.5326168077154878E-8</v>
      </c>
      <c r="N215" s="3">
        <f t="shared" si="176"/>
        <v>2.9663051507430592E-57</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2.4740814097967481E-2</v>
      </c>
      <c r="C216" s="3">
        <f t="shared" si="177"/>
        <v>2.4740814095428589E-2</v>
      </c>
      <c r="D216" s="3">
        <f t="shared" si="177"/>
        <v>2.4740814070039634E-2</v>
      </c>
      <c r="E216" s="3">
        <f t="shared" si="177"/>
        <v>2.4740813816150103E-2</v>
      </c>
      <c r="F216" s="3">
        <f t="shared" si="177"/>
        <v>2.4740811277254932E-2</v>
      </c>
      <c r="G216" s="3">
        <f t="shared" si="177"/>
        <v>2.4740785888317584E-2</v>
      </c>
      <c r="H216" s="3">
        <f t="shared" si="177"/>
        <v>2.4740532000377062E-2</v>
      </c>
      <c r="I216" s="3">
        <f t="shared" si="177"/>
        <v>2.4737993264263167E-2</v>
      </c>
      <c r="J216" s="3">
        <f t="shared" si="177"/>
        <v>2.4712620226820036E-2</v>
      </c>
      <c r="K216" s="3">
        <f t="shared" si="177"/>
        <v>2.4460316798260464E-2</v>
      </c>
      <c r="L216" s="3">
        <f t="shared" si="177"/>
        <v>2.2074704615025642E-2</v>
      </c>
      <c r="M216" s="3">
        <f t="shared" si="177"/>
        <v>7.9108497323415704E-3</v>
      </c>
      <c r="N216" s="3">
        <f t="shared" si="177"/>
        <v>2.7637927733453171E-7</v>
      </c>
      <c r="O216" s="3">
        <f t="shared" si="177"/>
        <v>7.4873631044400443E-52</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2.7333416296111673E-2</v>
      </c>
      <c r="C217" s="3">
        <f t="shared" si="178"/>
        <v>2.7333416295858642E-2</v>
      </c>
      <c r="D217" s="3">
        <f t="shared" si="178"/>
        <v>2.7333416293328347E-2</v>
      </c>
      <c r="E217" s="3">
        <f t="shared" si="178"/>
        <v>2.7333416268025389E-2</v>
      </c>
      <c r="F217" s="3">
        <f t="shared" si="178"/>
        <v>2.7333416014995799E-2</v>
      </c>
      <c r="G217" s="3">
        <f t="shared" si="178"/>
        <v>2.7333413484700014E-2</v>
      </c>
      <c r="H217" s="3">
        <f t="shared" si="178"/>
        <v>2.7333388181755017E-2</v>
      </c>
      <c r="I217" s="3">
        <f t="shared" si="178"/>
        <v>2.7333135153593386E-2</v>
      </c>
      <c r="J217" s="3">
        <f t="shared" si="178"/>
        <v>2.7330605000800486E-2</v>
      </c>
      <c r="K217" s="3">
        <f t="shared" si="178"/>
        <v>2.7305316350803813E-2</v>
      </c>
      <c r="L217" s="3">
        <f t="shared" si="178"/>
        <v>2.7053713244091691E-2</v>
      </c>
      <c r="M217" s="3">
        <f t="shared" si="178"/>
        <v>2.4661732428870667E-2</v>
      </c>
      <c r="N217" s="3">
        <f t="shared" si="178"/>
        <v>9.7721600749338267E-3</v>
      </c>
      <c r="O217" s="3">
        <f t="shared" si="178"/>
        <v>9.3252499554179012E-7</v>
      </c>
      <c r="P217" s="3">
        <f t="shared" si="178"/>
        <v>5.8392836581595652E-47</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2.1342745356981451E-2</v>
      </c>
      <c r="C218" s="3">
        <f t="shared" si="179"/>
        <v>2.1342745356963629E-2</v>
      </c>
      <c r="D218" s="3">
        <f t="shared" si="179"/>
        <v>2.1342745356785403E-2</v>
      </c>
      <c r="E218" s="3">
        <f t="shared" si="179"/>
        <v>2.1342745355003127E-2</v>
      </c>
      <c r="F218" s="3">
        <f t="shared" si="179"/>
        <v>2.1342745337180398E-2</v>
      </c>
      <c r="G218" s="3">
        <f t="shared" si="179"/>
        <v>2.134274515895308E-2</v>
      </c>
      <c r="H218" s="3">
        <f t="shared" si="179"/>
        <v>2.1342743376679976E-2</v>
      </c>
      <c r="I218" s="3">
        <f t="shared" si="179"/>
        <v>2.1342725553957144E-2</v>
      </c>
      <c r="J218" s="3">
        <f t="shared" si="179"/>
        <v>2.1342547327547402E-2</v>
      </c>
      <c r="K218" s="3">
        <f t="shared" si="179"/>
        <v>2.1340765145305151E-2</v>
      </c>
      <c r="L218" s="3">
        <f t="shared" si="179"/>
        <v>2.1322951505869776E-2</v>
      </c>
      <c r="M218" s="3">
        <f t="shared" si="179"/>
        <v>2.1145630887516774E-2</v>
      </c>
      <c r="N218" s="3">
        <f t="shared" si="179"/>
        <v>1.9451537061744916E-2</v>
      </c>
      <c r="O218" s="3">
        <f t="shared" si="179"/>
        <v>8.4389167944589772E-3</v>
      </c>
      <c r="P218" s="3">
        <f t="shared" si="179"/>
        <v>1.9934920298495591E-6</v>
      </c>
      <c r="Q218" s="3">
        <f t="shared" si="179"/>
        <v>1.0786796646738798E-42</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3.0213098985838641E-2</v>
      </c>
      <c r="C219" s="3">
        <f t="shared" si="180"/>
        <v>3.0213098985836365E-2</v>
      </c>
      <c r="D219" s="3">
        <f t="shared" si="180"/>
        <v>3.0213098985813605E-2</v>
      </c>
      <c r="E219" s="3">
        <f t="shared" si="180"/>
        <v>3.0213098985586009E-2</v>
      </c>
      <c r="F219" s="3">
        <f t="shared" si="180"/>
        <v>3.0213098983310042E-2</v>
      </c>
      <c r="G219" s="3">
        <f t="shared" si="180"/>
        <v>3.021309896055038E-2</v>
      </c>
      <c r="H219" s="3">
        <f t="shared" si="180"/>
        <v>3.0213098732953737E-2</v>
      </c>
      <c r="I219" s="3">
        <f t="shared" si="180"/>
        <v>3.0213096456987384E-2</v>
      </c>
      <c r="J219" s="3">
        <f t="shared" si="180"/>
        <v>3.0213073697333323E-2</v>
      </c>
      <c r="K219" s="3">
        <f t="shared" si="180"/>
        <v>3.0212846101735677E-2</v>
      </c>
      <c r="L219" s="3">
        <f t="shared" si="180"/>
        <v>3.0210570240053577E-2</v>
      </c>
      <c r="M219" s="3">
        <f t="shared" si="180"/>
        <v>3.0187821050040059E-2</v>
      </c>
      <c r="N219" s="3">
        <f t="shared" si="180"/>
        <v>2.9961269208477161E-2</v>
      </c>
      <c r="O219" s="3">
        <f t="shared" si="180"/>
        <v>2.7787188454076302E-2</v>
      </c>
      <c r="P219" s="3">
        <f t="shared" si="180"/>
        <v>1.3082435521251368E-2</v>
      </c>
      <c r="Q219" s="3">
        <f t="shared" si="180"/>
        <v>7.0004920601135402E-6</v>
      </c>
      <c r="R219" s="3">
        <f t="shared" si="180"/>
        <v>1.347498255904166E-38</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3.3824388307374949E-2</v>
      </c>
      <c r="C220" s="3">
        <f t="shared" si="181"/>
        <v>3.382438830737472E-2</v>
      </c>
      <c r="D220" s="3">
        <f t="shared" si="181"/>
        <v>3.3824388307372423E-2</v>
      </c>
      <c r="E220" s="3">
        <f t="shared" si="181"/>
        <v>3.3824388307349434E-2</v>
      </c>
      <c r="F220" s="3">
        <f t="shared" si="181"/>
        <v>3.3824388307119584E-2</v>
      </c>
      <c r="G220" s="3">
        <f t="shared" si="181"/>
        <v>3.3824388304821075E-2</v>
      </c>
      <c r="H220" s="3">
        <f t="shared" si="181"/>
        <v>3.3824388281835933E-2</v>
      </c>
      <c r="I220" s="3">
        <f t="shared" si="181"/>
        <v>3.3824388051984546E-2</v>
      </c>
      <c r="J220" s="3">
        <f t="shared" si="181"/>
        <v>3.3824385753470791E-2</v>
      </c>
      <c r="K220" s="3">
        <f t="shared" si="181"/>
        <v>3.3824362768341817E-2</v>
      </c>
      <c r="L220" s="3">
        <f t="shared" si="181"/>
        <v>3.3824132917911143E-2</v>
      </c>
      <c r="M220" s="3">
        <f t="shared" si="181"/>
        <v>3.3821834499508638E-2</v>
      </c>
      <c r="N220" s="3">
        <f t="shared" si="181"/>
        <v>3.3798858903753191E-2</v>
      </c>
      <c r="O220" s="3">
        <f t="shared" si="181"/>
        <v>3.3569959617716527E-2</v>
      </c>
      <c r="P220" s="3">
        <f t="shared" si="181"/>
        <v>3.1364518563455603E-2</v>
      </c>
      <c r="Q220" s="3">
        <f t="shared" si="181"/>
        <v>1.5897055617494434E-2</v>
      </c>
      <c r="R220" s="3">
        <f t="shared" si="181"/>
        <v>1.7786781662089214E-5</v>
      </c>
      <c r="S220" s="3">
        <f t="shared" si="181"/>
        <v>5.4689528285387684E-35</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3.8791797530712088E-2</v>
      </c>
      <c r="C221" s="3">
        <f t="shared" si="182"/>
        <v>3.8791797530712067E-2</v>
      </c>
      <c r="D221" s="3">
        <f t="shared" si="182"/>
        <v>3.8791797530711832E-2</v>
      </c>
      <c r="E221" s="3">
        <f t="shared" si="182"/>
        <v>3.8791797530709458E-2</v>
      </c>
      <c r="F221" s="3">
        <f t="shared" si="182"/>
        <v>3.8791797530685672E-2</v>
      </c>
      <c r="G221" s="3">
        <f t="shared" si="182"/>
        <v>3.8791797530447876E-2</v>
      </c>
      <c r="H221" s="3">
        <f t="shared" si="182"/>
        <v>3.8791797528069924E-2</v>
      </c>
      <c r="I221" s="3">
        <f t="shared" si="182"/>
        <v>3.8791797504290369E-2</v>
      </c>
      <c r="J221" s="3">
        <f t="shared" si="182"/>
        <v>3.879179726649485E-2</v>
      </c>
      <c r="K221" s="3">
        <f t="shared" si="182"/>
        <v>3.8791794888539739E-2</v>
      </c>
      <c r="L221" s="3">
        <f t="shared" si="182"/>
        <v>3.8791771108996592E-2</v>
      </c>
      <c r="M221" s="3">
        <f t="shared" si="182"/>
        <v>3.8791533314366924E-2</v>
      </c>
      <c r="N221" s="3">
        <f t="shared" si="182"/>
        <v>3.8789155448241595E-2</v>
      </c>
      <c r="O221" s="3">
        <f t="shared" si="182"/>
        <v>3.8765384802304827E-2</v>
      </c>
      <c r="P221" s="3">
        <f t="shared" si="182"/>
        <v>3.8528478059605541E-2</v>
      </c>
      <c r="Q221" s="3">
        <f t="shared" si="182"/>
        <v>3.6237597806499357E-2</v>
      </c>
      <c r="R221" s="3">
        <f t="shared" si="182"/>
        <v>1.9630658414380716E-2</v>
      </c>
      <c r="S221" s="3">
        <f t="shared" si="182"/>
        <v>4.2725732982012896E-5</v>
      </c>
      <c r="T221" s="3">
        <f t="shared" si="182"/>
        <v>1.0191452408073698E-31</v>
      </c>
      <c r="U221" s="3">
        <f t="shared" si="182"/>
        <v>6.0771739600463854E-298</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2.3183984286354733E-2</v>
      </c>
      <c r="C222" s="3">
        <f t="shared" si="183"/>
        <v>2.3183984286354729E-2</v>
      </c>
      <c r="D222" s="3">
        <f t="shared" si="183"/>
        <v>2.3183984286354719E-2</v>
      </c>
      <c r="E222" s="3">
        <f t="shared" si="183"/>
        <v>2.3183984286354591E-2</v>
      </c>
      <c r="F222" s="3">
        <f t="shared" si="183"/>
        <v>2.318398428635331E-2</v>
      </c>
      <c r="G222" s="3">
        <f t="shared" si="183"/>
        <v>2.3183984286340487E-2</v>
      </c>
      <c r="H222" s="3">
        <f t="shared" si="183"/>
        <v>2.3183984286212284E-2</v>
      </c>
      <c r="I222" s="3">
        <f t="shared" si="183"/>
        <v>2.3183984284930254E-2</v>
      </c>
      <c r="J222" s="3">
        <f t="shared" si="183"/>
        <v>2.3183984272109947E-2</v>
      </c>
      <c r="K222" s="3">
        <f t="shared" si="183"/>
        <v>2.3183984143906877E-2</v>
      </c>
      <c r="L222" s="3">
        <f t="shared" si="183"/>
        <v>2.3183982861876208E-2</v>
      </c>
      <c r="M222" s="3">
        <f t="shared" si="183"/>
        <v>2.3183970041573406E-2</v>
      </c>
      <c r="N222" s="3">
        <f t="shared" si="183"/>
        <v>2.3183841838935317E-2</v>
      </c>
      <c r="O222" s="3">
        <f t="shared" si="183"/>
        <v>2.318255985154518E-2</v>
      </c>
      <c r="P222" s="3">
        <f t="shared" si="183"/>
        <v>2.3169743875921276E-2</v>
      </c>
      <c r="Q222" s="3">
        <f t="shared" si="183"/>
        <v>2.3041973151008269E-2</v>
      </c>
      <c r="R222" s="3">
        <f t="shared" si="183"/>
        <v>2.1802384701071105E-2</v>
      </c>
      <c r="S222" s="3">
        <f t="shared" si="183"/>
        <v>1.2541437571534425E-2</v>
      </c>
      <c r="T222" s="3">
        <f t="shared" si="183"/>
        <v>4.9748563256570663E-5</v>
      </c>
      <c r="U222" s="3">
        <f t="shared" si="183"/>
        <v>4.7985802699301276E-29</v>
      </c>
      <c r="V222" s="3">
        <f t="shared" si="183"/>
        <v>3.3452992733157851E-269</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3.3195679421044622E-2</v>
      </c>
      <c r="C223" s="3">
        <f t="shared" si="184"/>
        <v>3.3195679421044622E-2</v>
      </c>
      <c r="D223" s="3">
        <f t="shared" si="184"/>
        <v>3.3195679421044622E-2</v>
      </c>
      <c r="E223" s="3">
        <f t="shared" si="184"/>
        <v>3.3195679421044601E-2</v>
      </c>
      <c r="F223" s="3">
        <f t="shared" si="184"/>
        <v>3.3195679421044434E-2</v>
      </c>
      <c r="G223" s="3">
        <f t="shared" si="184"/>
        <v>3.3195679421042783E-2</v>
      </c>
      <c r="H223" s="3">
        <f t="shared" si="184"/>
        <v>3.3195679421026227E-2</v>
      </c>
      <c r="I223" s="3">
        <f t="shared" si="184"/>
        <v>3.319567942086063E-2</v>
      </c>
      <c r="J223" s="3">
        <f t="shared" si="184"/>
        <v>3.3195679419204711E-2</v>
      </c>
      <c r="K223" s="3">
        <f t="shared" si="184"/>
        <v>3.3195679402645548E-2</v>
      </c>
      <c r="L223" s="3">
        <f t="shared" si="184"/>
        <v>3.3195679237053868E-2</v>
      </c>
      <c r="M223" s="3">
        <f t="shared" si="184"/>
        <v>3.3195677581137131E-2</v>
      </c>
      <c r="N223" s="3">
        <f t="shared" si="184"/>
        <v>3.319566102197432E-2</v>
      </c>
      <c r="O223" s="3">
        <f t="shared" si="184"/>
        <v>3.3195495430800519E-2</v>
      </c>
      <c r="P223" s="3">
        <f t="shared" si="184"/>
        <v>3.3193839564493184E-2</v>
      </c>
      <c r="Q223" s="3">
        <f t="shared" si="184"/>
        <v>3.3177285443649465E-2</v>
      </c>
      <c r="R223" s="3">
        <f t="shared" si="184"/>
        <v>3.3012197620936663E-2</v>
      </c>
      <c r="S223" s="3">
        <f t="shared" si="184"/>
        <v>3.1405832205269976E-2</v>
      </c>
      <c r="T223" s="3">
        <f t="shared" si="184"/>
        <v>1.9070804036157993E-2</v>
      </c>
      <c r="U223" s="3">
        <f t="shared" si="184"/>
        <v>1.3000377961464504E-4</v>
      </c>
      <c r="V223" s="3">
        <f t="shared" si="184"/>
        <v>2.8172522293134507E-26</v>
      </c>
      <c r="W223" s="3">
        <f t="shared" si="184"/>
        <v>6.4346252022492596E-243</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2.038442434974385E-2</v>
      </c>
      <c r="C224" s="3">
        <f t="shared" si="185"/>
        <v>2.038442434974385E-2</v>
      </c>
      <c r="D224" s="3">
        <f t="shared" si="185"/>
        <v>2.038442434974385E-2</v>
      </c>
      <c r="E224" s="3">
        <f t="shared" si="185"/>
        <v>2.038442434974385E-2</v>
      </c>
      <c r="F224" s="3">
        <f t="shared" si="185"/>
        <v>2.038442434974384E-2</v>
      </c>
      <c r="G224" s="3">
        <f t="shared" si="185"/>
        <v>2.038442434974375E-2</v>
      </c>
      <c r="H224" s="3">
        <f t="shared" si="185"/>
        <v>2.038442434974283E-2</v>
      </c>
      <c r="I224" s="3">
        <f t="shared" si="185"/>
        <v>2.0384424349733657E-2</v>
      </c>
      <c r="J224" s="3">
        <f t="shared" si="185"/>
        <v>2.0384424349641932E-2</v>
      </c>
      <c r="K224" s="3">
        <f t="shared" si="185"/>
        <v>2.0384424348724648E-2</v>
      </c>
      <c r="L224" s="3">
        <f t="shared" si="185"/>
        <v>2.0384424339551847E-2</v>
      </c>
      <c r="M224" s="3">
        <f t="shared" si="185"/>
        <v>2.0384424247823836E-2</v>
      </c>
      <c r="N224" s="3">
        <f t="shared" si="185"/>
        <v>2.0384423330543723E-2</v>
      </c>
      <c r="O224" s="3">
        <f t="shared" si="185"/>
        <v>2.0384414157744876E-2</v>
      </c>
      <c r="P224" s="3">
        <f t="shared" si="185"/>
        <v>2.0384322429983424E-2</v>
      </c>
      <c r="Q224" s="3">
        <f t="shared" si="185"/>
        <v>2.0383405175070701E-2</v>
      </c>
      <c r="R224" s="3">
        <f t="shared" si="185"/>
        <v>2.0374234895744952E-2</v>
      </c>
      <c r="S224" s="3">
        <f t="shared" si="185"/>
        <v>2.0282758705176557E-2</v>
      </c>
      <c r="T224" s="3">
        <f t="shared" si="185"/>
        <v>1.9390284280914407E-2</v>
      </c>
      <c r="U224" s="3">
        <f t="shared" si="185"/>
        <v>1.2363906116784288E-2</v>
      </c>
      <c r="V224" s="3">
        <f t="shared" si="185"/>
        <v>1.3736336528619798E-4</v>
      </c>
      <c r="W224" s="3">
        <f t="shared" si="185"/>
        <v>3.9357106031124449E-24</v>
      </c>
      <c r="X224" s="3">
        <f t="shared" si="185"/>
        <v>1.4673898259439126E-219</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6.6925069366004494E-2</v>
      </c>
      <c r="C225" s="3">
        <f t="shared" si="186"/>
        <v>6.6925069366004494E-2</v>
      </c>
      <c r="D225" s="3">
        <f t="shared" si="186"/>
        <v>6.6925069366004494E-2</v>
      </c>
      <c r="E225" s="3">
        <f t="shared" si="186"/>
        <v>6.6925069366004494E-2</v>
      </c>
      <c r="F225" s="3">
        <f t="shared" si="186"/>
        <v>6.6925069366004494E-2</v>
      </c>
      <c r="G225" s="3">
        <f t="shared" si="186"/>
        <v>6.6925069366004467E-2</v>
      </c>
      <c r="H225" s="3">
        <f t="shared" si="186"/>
        <v>6.6925069366004189E-2</v>
      </c>
      <c r="I225" s="3">
        <f t="shared" si="186"/>
        <v>6.6925069366001483E-2</v>
      </c>
      <c r="J225" s="3">
        <f t="shared" si="186"/>
        <v>6.692506936597431E-2</v>
      </c>
      <c r="K225" s="3">
        <f t="shared" si="186"/>
        <v>6.6925069365702639E-2</v>
      </c>
      <c r="L225" s="3">
        <f t="shared" si="186"/>
        <v>6.6925069362985951E-2</v>
      </c>
      <c r="M225" s="3">
        <f t="shared" si="186"/>
        <v>6.6925069335819126E-2</v>
      </c>
      <c r="N225" s="3">
        <f t="shared" si="186"/>
        <v>6.6925069064150827E-2</v>
      </c>
      <c r="O225" s="3">
        <f t="shared" si="186"/>
        <v>6.6925066347467935E-2</v>
      </c>
      <c r="P225" s="3">
        <f t="shared" si="186"/>
        <v>6.6925039180645088E-2</v>
      </c>
      <c r="Q225" s="3">
        <f t="shared" si="186"/>
        <v>6.6924767513023078E-2</v>
      </c>
      <c r="R225" s="3">
        <f t="shared" si="186"/>
        <v>6.6922050897454927E-2</v>
      </c>
      <c r="S225" s="3">
        <f t="shared" si="186"/>
        <v>6.6894890806054222E-2</v>
      </c>
      <c r="T225" s="3">
        <f t="shared" si="186"/>
        <v>6.6623895410298811E-2</v>
      </c>
      <c r="U225" s="3">
        <f t="shared" si="186"/>
        <v>6.3973593617728836E-2</v>
      </c>
      <c r="V225" s="3">
        <f t="shared" si="186"/>
        <v>4.2629280464805186E-2</v>
      </c>
      <c r="W225" s="3">
        <f t="shared" si="186"/>
        <v>7.3583518946828276E-4</v>
      </c>
      <c r="X225" s="3">
        <f t="shared" si="186"/>
        <v>1.7278500917518274E-21</v>
      </c>
      <c r="Y225" s="3">
        <f t="shared" si="186"/>
        <v>8.8056442118782007E-198</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9.6671799143506223E-2</v>
      </c>
      <c r="C226" s="3">
        <f t="shared" si="187"/>
        <v>9.6671799143506223E-2</v>
      </c>
      <c r="D226" s="3">
        <f t="shared" si="187"/>
        <v>9.6671799143506223E-2</v>
      </c>
      <c r="E226" s="3">
        <f t="shared" si="187"/>
        <v>9.6671799143506223E-2</v>
      </c>
      <c r="F226" s="3">
        <f t="shared" si="187"/>
        <v>9.6671799143506223E-2</v>
      </c>
      <c r="G226" s="3">
        <f t="shared" si="187"/>
        <v>9.6671799143506223E-2</v>
      </c>
      <c r="H226" s="3">
        <f t="shared" si="187"/>
        <v>9.6671799143506182E-2</v>
      </c>
      <c r="I226" s="3">
        <f t="shared" si="187"/>
        <v>9.6671799143505821E-2</v>
      </c>
      <c r="J226" s="3">
        <f t="shared" si="187"/>
        <v>9.6671799143502296E-2</v>
      </c>
      <c r="K226" s="3">
        <f t="shared" si="187"/>
        <v>9.6671799143466894E-2</v>
      </c>
      <c r="L226" s="3">
        <f t="shared" si="187"/>
        <v>9.6671799143112899E-2</v>
      </c>
      <c r="M226" s="3">
        <f t="shared" si="187"/>
        <v>9.6671799139572953E-2</v>
      </c>
      <c r="N226" s="3">
        <f t="shared" si="187"/>
        <v>9.6671799104173506E-2</v>
      </c>
      <c r="O226" s="3">
        <f t="shared" si="187"/>
        <v>9.6671798750179005E-2</v>
      </c>
      <c r="P226" s="3">
        <f t="shared" si="187"/>
        <v>9.6671795210234016E-2</v>
      </c>
      <c r="Q226" s="3">
        <f t="shared" si="187"/>
        <v>9.667175981079143E-2</v>
      </c>
      <c r="R226" s="3">
        <f t="shared" si="187"/>
        <v>9.6671405817078435E-2</v>
      </c>
      <c r="S226" s="3">
        <f t="shared" si="187"/>
        <v>9.6667865951241883E-2</v>
      </c>
      <c r="T226" s="3">
        <f t="shared" si="187"/>
        <v>9.6632474421251627E-2</v>
      </c>
      <c r="U226" s="3">
        <f t="shared" si="187"/>
        <v>9.6279270994013094E-2</v>
      </c>
      <c r="V226" s="3">
        <f t="shared" si="187"/>
        <v>9.2817468865507902E-2</v>
      </c>
      <c r="W226" s="3">
        <f t="shared" si="187"/>
        <v>6.4357475340451914E-2</v>
      </c>
      <c r="X226" s="3">
        <f t="shared" si="187"/>
        <v>1.6530720323063217E-3</v>
      </c>
      <c r="Y226" s="3">
        <f t="shared" si="187"/>
        <v>2.0664246393005919E-19</v>
      </c>
      <c r="Z226" s="3">
        <f t="shared" si="187"/>
        <v>1.925295981577296E-178</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8.3708796522492912E-2</v>
      </c>
      <c r="C227" s="3">
        <f t="shared" si="188"/>
        <v>8.3708796522492912E-2</v>
      </c>
      <c r="D227" s="3">
        <f t="shared" si="188"/>
        <v>8.3708796522492912E-2</v>
      </c>
      <c r="E227" s="3">
        <f t="shared" si="188"/>
        <v>8.3708796522492912E-2</v>
      </c>
      <c r="F227" s="3">
        <f t="shared" si="188"/>
        <v>8.3708796522492912E-2</v>
      </c>
      <c r="G227" s="3">
        <f t="shared" si="188"/>
        <v>8.3708796522492912E-2</v>
      </c>
      <c r="H227" s="3">
        <f t="shared" si="188"/>
        <v>8.3708796522492912E-2</v>
      </c>
      <c r="I227" s="3">
        <f t="shared" si="188"/>
        <v>8.3708796522492884E-2</v>
      </c>
      <c r="J227" s="3">
        <f t="shared" si="188"/>
        <v>8.3708796522492607E-2</v>
      </c>
      <c r="K227" s="3">
        <f t="shared" si="188"/>
        <v>8.3708796522489831E-2</v>
      </c>
      <c r="L227" s="3">
        <f t="shared" si="188"/>
        <v>8.3708796522462187E-2</v>
      </c>
      <c r="M227" s="3">
        <f t="shared" si="188"/>
        <v>8.3708796522185672E-2</v>
      </c>
      <c r="N227" s="3">
        <f t="shared" si="188"/>
        <v>8.370879651942055E-2</v>
      </c>
      <c r="O227" s="3">
        <f t="shared" si="188"/>
        <v>8.3708796491769322E-2</v>
      </c>
      <c r="P227" s="3">
        <f t="shared" si="188"/>
        <v>8.3708796215257064E-2</v>
      </c>
      <c r="Q227" s="3">
        <f t="shared" si="188"/>
        <v>8.3708793450134406E-2</v>
      </c>
      <c r="R227" s="3">
        <f t="shared" si="188"/>
        <v>8.3708765798912912E-2</v>
      </c>
      <c r="S227" s="3">
        <f t="shared" si="188"/>
        <v>8.3708489287200413E-2</v>
      </c>
      <c r="T227" s="3">
        <f t="shared" si="188"/>
        <v>8.3705724220311306E-2</v>
      </c>
      <c r="U227" s="3">
        <f t="shared" si="188"/>
        <v>8.36780785744001E-2</v>
      </c>
      <c r="V227" s="3">
        <f t="shared" si="188"/>
        <v>8.3402123799898503E-2</v>
      </c>
      <c r="W227" s="3">
        <f t="shared" si="188"/>
        <v>8.0692136733170106E-2</v>
      </c>
      <c r="X227" s="3">
        <f t="shared" si="188"/>
        <v>5.7992559183981218E-2</v>
      </c>
      <c r="Y227" s="3">
        <f t="shared" si="188"/>
        <v>2.1319786953621061E-3</v>
      </c>
      <c r="Z227" s="3">
        <f t="shared" si="188"/>
        <v>9.6136591862573535E-18</v>
      </c>
      <c r="AA227" s="3">
        <f t="shared" si="188"/>
        <v>3.3415451663071149E-161</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5.9251655732023817E-2</v>
      </c>
      <c r="C228" s="3">
        <f t="shared" si="189"/>
        <v>5.9251655732023817E-2</v>
      </c>
      <c r="D228" s="3">
        <f t="shared" si="189"/>
        <v>5.9251655732023817E-2</v>
      </c>
      <c r="E228" s="3">
        <f t="shared" si="189"/>
        <v>5.9251655732023817E-2</v>
      </c>
      <c r="F228" s="3">
        <f t="shared" si="189"/>
        <v>5.9251655732023817E-2</v>
      </c>
      <c r="G228" s="3">
        <f t="shared" si="189"/>
        <v>5.9251655732023817E-2</v>
      </c>
      <c r="H228" s="3">
        <f t="shared" si="189"/>
        <v>5.9251655732023817E-2</v>
      </c>
      <c r="I228" s="3">
        <f t="shared" si="189"/>
        <v>5.9251655732023817E-2</v>
      </c>
      <c r="J228" s="3">
        <f t="shared" si="189"/>
        <v>5.9251655732023796E-2</v>
      </c>
      <c r="K228" s="3">
        <f t="shared" si="189"/>
        <v>5.9251655732023623E-2</v>
      </c>
      <c r="L228" s="3">
        <f t="shared" si="189"/>
        <v>5.9251655732021853E-2</v>
      </c>
      <c r="M228" s="3">
        <f t="shared" si="189"/>
        <v>5.9251655732004201E-2</v>
      </c>
      <c r="N228" s="3">
        <f t="shared" si="189"/>
        <v>5.925165573182764E-2</v>
      </c>
      <c r="O228" s="3">
        <f t="shared" si="189"/>
        <v>5.9251655730062053E-2</v>
      </c>
      <c r="P228" s="3">
        <f t="shared" si="189"/>
        <v>5.9251655712406127E-2</v>
      </c>
      <c r="Q228" s="3">
        <f t="shared" si="189"/>
        <v>5.9251655535846909E-2</v>
      </c>
      <c r="R228" s="3">
        <f t="shared" si="189"/>
        <v>5.9251653770254785E-2</v>
      </c>
      <c r="S228" s="3">
        <f t="shared" si="189"/>
        <v>5.9251636114336377E-2</v>
      </c>
      <c r="T228" s="3">
        <f t="shared" si="189"/>
        <v>5.9251459555441692E-2</v>
      </c>
      <c r="U228" s="3">
        <f t="shared" si="189"/>
        <v>5.9249693995430779E-2</v>
      </c>
      <c r="V228" s="3">
        <f t="shared" si="189"/>
        <v>5.9232041288597076E-2</v>
      </c>
      <c r="W228" s="3">
        <f t="shared" si="189"/>
        <v>5.9055803229065791E-2</v>
      </c>
      <c r="X228" s="3">
        <f t="shared" si="189"/>
        <v>5.7322007396375566E-2</v>
      </c>
      <c r="Y228" s="3">
        <f t="shared" si="189"/>
        <v>4.2550972574132803E-2</v>
      </c>
      <c r="Z228" s="3">
        <f t="shared" si="189"/>
        <v>2.1616754653677626E-3</v>
      </c>
      <c r="AA228" s="3">
        <f t="shared" si="189"/>
        <v>2.4751442643333507E-16</v>
      </c>
      <c r="AB228" s="3">
        <f t="shared" si="189"/>
        <v>9.5873979073044635E-146</v>
      </c>
      <c r="AC228" s="3">
        <f t="shared" si="189"/>
        <v>0</v>
      </c>
      <c r="AD228" s="3">
        <f t="shared" si="189"/>
        <v>0</v>
      </c>
      <c r="AE228" s="3">
        <f t="shared" si="189"/>
        <v>0</v>
      </c>
      <c r="AF228" s="3">
        <f t="shared" si="189"/>
        <v>0</v>
      </c>
      <c r="AG228" s="3"/>
      <c r="AH228" s="3"/>
    </row>
    <row r="229" spans="2:34" x14ac:dyDescent="0.25">
      <c r="B229" s="3">
        <f t="shared" ref="B229:AF229" si="190">$C37*EXP(-B$207/$A37/EXP(-$D$126))</f>
        <v>5.2327746974864794E-2</v>
      </c>
      <c r="C229" s="3">
        <f t="shared" si="190"/>
        <v>5.2327746974864794E-2</v>
      </c>
      <c r="D229" s="3">
        <f t="shared" si="190"/>
        <v>5.2327746974864794E-2</v>
      </c>
      <c r="E229" s="3">
        <f t="shared" si="190"/>
        <v>5.2327746974864794E-2</v>
      </c>
      <c r="F229" s="3">
        <f t="shared" si="190"/>
        <v>5.2327746974864794E-2</v>
      </c>
      <c r="G229" s="3">
        <f t="shared" si="190"/>
        <v>5.2327746974864794E-2</v>
      </c>
      <c r="H229" s="3">
        <f t="shared" si="190"/>
        <v>5.2327746974864794E-2</v>
      </c>
      <c r="I229" s="3">
        <f t="shared" si="190"/>
        <v>5.2327746974864794E-2</v>
      </c>
      <c r="J229" s="3">
        <f t="shared" si="190"/>
        <v>5.2327746974864794E-2</v>
      </c>
      <c r="K229" s="3">
        <f t="shared" si="190"/>
        <v>5.2327746974864774E-2</v>
      </c>
      <c r="L229" s="3">
        <f t="shared" si="190"/>
        <v>5.2327746974864635E-2</v>
      </c>
      <c r="M229" s="3">
        <f t="shared" si="190"/>
        <v>5.2327746974863233E-2</v>
      </c>
      <c r="N229" s="3">
        <f t="shared" si="190"/>
        <v>5.2327746974849168E-2</v>
      </c>
      <c r="O229" s="3">
        <f t="shared" si="190"/>
        <v>5.2327746974708503E-2</v>
      </c>
      <c r="P229" s="3">
        <f t="shared" si="190"/>
        <v>5.2327746973301913E-2</v>
      </c>
      <c r="Q229" s="3">
        <f t="shared" si="190"/>
        <v>5.2327746959235984E-2</v>
      </c>
      <c r="R229" s="3">
        <f t="shared" si="190"/>
        <v>5.2327746818576659E-2</v>
      </c>
      <c r="S229" s="3">
        <f t="shared" si="190"/>
        <v>5.2327745411983428E-2</v>
      </c>
      <c r="T229" s="3">
        <f t="shared" si="190"/>
        <v>5.2327731346053258E-2</v>
      </c>
      <c r="U229" s="3">
        <f t="shared" si="190"/>
        <v>5.2327590686959483E-2</v>
      </c>
      <c r="V229" s="3">
        <f t="shared" si="190"/>
        <v>5.2326184116816943E-2</v>
      </c>
      <c r="W229" s="3">
        <f t="shared" si="190"/>
        <v>5.2312120494703837E-2</v>
      </c>
      <c r="X229" s="3">
        <f t="shared" si="190"/>
        <v>5.2171691998145628E-2</v>
      </c>
      <c r="Y229" s="3">
        <f t="shared" si="190"/>
        <v>5.0787974368923447E-2</v>
      </c>
      <c r="Z229" s="3">
        <f t="shared" si="190"/>
        <v>3.8816877062072909E-2</v>
      </c>
      <c r="AA229" s="3">
        <f t="shared" si="190"/>
        <v>2.6400830930409574E-3</v>
      </c>
      <c r="AB229" s="3">
        <f t="shared" si="190"/>
        <v>5.5922635934093346E-15</v>
      </c>
      <c r="AC229" s="3">
        <f t="shared" si="190"/>
        <v>1.0169228670236711E-131</v>
      </c>
      <c r="AD229" s="3">
        <f t="shared" si="190"/>
        <v>0</v>
      </c>
      <c r="AE229" s="3">
        <f t="shared" si="190"/>
        <v>0</v>
      </c>
      <c r="AF229" s="3">
        <f t="shared" si="190"/>
        <v>0</v>
      </c>
      <c r="AG229" s="3"/>
      <c r="AH229" s="3"/>
    </row>
    <row r="230" spans="2:34" x14ac:dyDescent="0.25">
      <c r="B230" s="3">
        <f t="shared" ref="B230:AF230" si="191">$C38*EXP(-B$207/$A38/EXP(-$D$126))</f>
        <v>1.7967891452015796E-2</v>
      </c>
      <c r="C230" s="3">
        <f t="shared" si="191"/>
        <v>1.7967891452015796E-2</v>
      </c>
      <c r="D230" s="3">
        <f t="shared" si="191"/>
        <v>1.7967891452015796E-2</v>
      </c>
      <c r="E230" s="3">
        <f t="shared" si="191"/>
        <v>1.7967891452015796E-2</v>
      </c>
      <c r="F230" s="3">
        <f t="shared" si="191"/>
        <v>1.7967891452015796E-2</v>
      </c>
      <c r="G230" s="3">
        <f t="shared" si="191"/>
        <v>1.7967891452015796E-2</v>
      </c>
      <c r="H230" s="3">
        <f t="shared" si="191"/>
        <v>1.7967891452015796E-2</v>
      </c>
      <c r="I230" s="3">
        <f t="shared" si="191"/>
        <v>1.7967891452015796E-2</v>
      </c>
      <c r="J230" s="3">
        <f t="shared" si="191"/>
        <v>1.7967891452015796E-2</v>
      </c>
      <c r="K230" s="3">
        <f t="shared" si="191"/>
        <v>1.7967891452015796E-2</v>
      </c>
      <c r="L230" s="3">
        <f t="shared" si="191"/>
        <v>1.7967891452015793E-2</v>
      </c>
      <c r="M230" s="3">
        <f t="shared" si="191"/>
        <v>1.7967891452015747E-2</v>
      </c>
      <c r="N230" s="3">
        <f t="shared" si="191"/>
        <v>1.796789145201531E-2</v>
      </c>
      <c r="O230" s="3">
        <f t="shared" si="191"/>
        <v>1.7967891452010956E-2</v>
      </c>
      <c r="P230" s="3">
        <f t="shared" si="191"/>
        <v>1.7967891451967387E-2</v>
      </c>
      <c r="Q230" s="3">
        <f t="shared" si="191"/>
        <v>1.7967891451531694E-2</v>
      </c>
      <c r="R230" s="3">
        <f t="shared" si="191"/>
        <v>1.7967891447174766E-2</v>
      </c>
      <c r="S230" s="3">
        <f t="shared" si="191"/>
        <v>1.7967891403605506E-2</v>
      </c>
      <c r="T230" s="3">
        <f t="shared" si="191"/>
        <v>1.7967890967912899E-2</v>
      </c>
      <c r="U230" s="3">
        <f t="shared" si="191"/>
        <v>1.7967886610987395E-2</v>
      </c>
      <c r="V230" s="3">
        <f t="shared" si="191"/>
        <v>1.7967843041790478E-2</v>
      </c>
      <c r="W230" s="3">
        <f t="shared" si="191"/>
        <v>1.7967407355631911E-2</v>
      </c>
      <c r="X230" s="3">
        <f t="shared" si="191"/>
        <v>1.7963051075055001E-2</v>
      </c>
      <c r="Y230" s="3">
        <f t="shared" si="191"/>
        <v>1.791954631806783E-2</v>
      </c>
      <c r="Z230" s="3">
        <f t="shared" si="191"/>
        <v>1.7490251881633587E-2</v>
      </c>
      <c r="AA230" s="3">
        <f t="shared" si="191"/>
        <v>1.3724186205455683E-2</v>
      </c>
      <c r="AB230" s="3">
        <f t="shared" si="191"/>
        <v>1.2144845117474776E-3</v>
      </c>
      <c r="AC230" s="3">
        <f t="shared" si="191"/>
        <v>3.576397388813016E-14</v>
      </c>
      <c r="AD230" s="3">
        <f t="shared" si="191"/>
        <v>1.7538144900938838E-119</v>
      </c>
      <c r="AE230" s="3">
        <f t="shared" si="191"/>
        <v>0</v>
      </c>
      <c r="AF230" s="3">
        <f t="shared" si="191"/>
        <v>0</v>
      </c>
      <c r="AG230" s="3"/>
      <c r="AH230" s="3"/>
    </row>
    <row r="231" spans="2:34" x14ac:dyDescent="0.25">
      <c r="B231" s="3">
        <f t="shared" ref="B231:AF231" si="192">$C39*EXP(-B$207/$A39/EXP(-$D$126))</f>
        <v>4.123109123431553E-2</v>
      </c>
      <c r="C231" s="3">
        <f t="shared" si="192"/>
        <v>4.123109123431553E-2</v>
      </c>
      <c r="D231" s="3">
        <f t="shared" si="192"/>
        <v>4.123109123431553E-2</v>
      </c>
      <c r="E231" s="3">
        <f t="shared" si="192"/>
        <v>4.123109123431553E-2</v>
      </c>
      <c r="F231" s="3">
        <f t="shared" si="192"/>
        <v>4.123109123431553E-2</v>
      </c>
      <c r="G231" s="3">
        <f t="shared" si="192"/>
        <v>4.123109123431553E-2</v>
      </c>
      <c r="H231" s="3">
        <f t="shared" si="192"/>
        <v>4.123109123431553E-2</v>
      </c>
      <c r="I231" s="3">
        <f t="shared" si="192"/>
        <v>4.123109123431553E-2</v>
      </c>
      <c r="J231" s="3">
        <f t="shared" si="192"/>
        <v>4.123109123431553E-2</v>
      </c>
      <c r="K231" s="3">
        <f t="shared" si="192"/>
        <v>4.123109123431553E-2</v>
      </c>
      <c r="L231" s="3">
        <f t="shared" si="192"/>
        <v>4.1231091234315523E-2</v>
      </c>
      <c r="M231" s="3">
        <f t="shared" si="192"/>
        <v>4.1231091234315495E-2</v>
      </c>
      <c r="N231" s="3">
        <f t="shared" si="192"/>
        <v>4.1231091234315224E-2</v>
      </c>
      <c r="O231" s="3">
        <f t="shared" si="192"/>
        <v>4.1231091234312456E-2</v>
      </c>
      <c r="P231" s="3">
        <f t="shared" si="192"/>
        <v>4.1231091234284804E-2</v>
      </c>
      <c r="Q231" s="3">
        <f t="shared" si="192"/>
        <v>4.1231091234008289E-2</v>
      </c>
      <c r="R231" s="3">
        <f t="shared" si="192"/>
        <v>4.1231091231243126E-2</v>
      </c>
      <c r="S231" s="3">
        <f t="shared" si="192"/>
        <v>4.1231091203591495E-2</v>
      </c>
      <c r="T231" s="3">
        <f t="shared" si="192"/>
        <v>4.1231090927075172E-2</v>
      </c>
      <c r="U231" s="3">
        <f t="shared" si="192"/>
        <v>4.1231088161912052E-2</v>
      </c>
      <c r="V231" s="3">
        <f t="shared" si="192"/>
        <v>4.1231060510291018E-2</v>
      </c>
      <c r="W231" s="3">
        <f t="shared" si="192"/>
        <v>4.1230783995100689E-2</v>
      </c>
      <c r="X231" s="3">
        <f t="shared" si="192"/>
        <v>4.1228018945189675E-2</v>
      </c>
      <c r="Y231" s="3">
        <f t="shared" si="192"/>
        <v>4.1200378642780311E-2</v>
      </c>
      <c r="Z231" s="3">
        <f t="shared" si="192"/>
        <v>4.0924992763081418E-2</v>
      </c>
      <c r="AA231" s="3">
        <f t="shared" si="192"/>
        <v>3.8270369096829716E-2</v>
      </c>
      <c r="AB231" s="3">
        <f t="shared" si="192"/>
        <v>1.9570550662159916E-2</v>
      </c>
      <c r="AC231" s="3">
        <f t="shared" si="192"/>
        <v>2.3933543042599518E-5</v>
      </c>
      <c r="AD231" s="3">
        <f t="shared" si="192"/>
        <v>1.7907975305705041E-34</v>
      </c>
      <c r="AE231" s="3">
        <f t="shared" si="192"/>
        <v>0</v>
      </c>
      <c r="AF231" s="3">
        <f t="shared" si="192"/>
        <v>0</v>
      </c>
      <c r="AG231" s="3"/>
      <c r="AH231" s="3"/>
    </row>
    <row r="232" spans="2:34" x14ac:dyDescent="0.25">
      <c r="B232" s="3">
        <f t="shared" ref="B232:AF232" si="193">$C40*EXP(-B$207/$A40/EXP(-$D$126))</f>
        <v>3.4610685556715946E-2</v>
      </c>
      <c r="C232" s="3">
        <f t="shared" si="193"/>
        <v>3.4610685556715946E-2</v>
      </c>
      <c r="D232" s="3">
        <f t="shared" si="193"/>
        <v>3.4610685556715946E-2</v>
      </c>
      <c r="E232" s="3">
        <f t="shared" si="193"/>
        <v>3.4610685556715946E-2</v>
      </c>
      <c r="F232" s="3">
        <f t="shared" si="193"/>
        <v>3.4610685556715946E-2</v>
      </c>
      <c r="G232" s="3">
        <f t="shared" si="193"/>
        <v>3.4610685556715946E-2</v>
      </c>
      <c r="H232" s="3">
        <f t="shared" si="193"/>
        <v>3.4610685556715946E-2</v>
      </c>
      <c r="I232" s="3">
        <f t="shared" si="193"/>
        <v>3.4610685556715946E-2</v>
      </c>
      <c r="J232" s="3">
        <f t="shared" si="193"/>
        <v>3.4610685556715946E-2</v>
      </c>
      <c r="K232" s="3">
        <f t="shared" si="193"/>
        <v>3.4610685556715946E-2</v>
      </c>
      <c r="L232" s="3">
        <f t="shared" si="193"/>
        <v>3.4610685556715946E-2</v>
      </c>
      <c r="M232" s="3">
        <f t="shared" si="193"/>
        <v>3.4610685556715939E-2</v>
      </c>
      <c r="N232" s="3">
        <f t="shared" si="193"/>
        <v>3.4610685556715919E-2</v>
      </c>
      <c r="O232" s="3">
        <f t="shared" si="193"/>
        <v>3.461068555671569E-2</v>
      </c>
      <c r="P232" s="3">
        <f t="shared" si="193"/>
        <v>3.4610685556713365E-2</v>
      </c>
      <c r="Q232" s="3">
        <f t="shared" si="193"/>
        <v>3.4610685556690154E-2</v>
      </c>
      <c r="R232" s="3">
        <f t="shared" si="193"/>
        <v>3.4610685556458035E-2</v>
      </c>
      <c r="S232" s="3">
        <f t="shared" si="193"/>
        <v>3.4610685554136877E-2</v>
      </c>
      <c r="T232" s="3">
        <f t="shared" si="193"/>
        <v>3.4610685530925216E-2</v>
      </c>
      <c r="U232" s="3">
        <f t="shared" si="193"/>
        <v>3.4610685298808647E-2</v>
      </c>
      <c r="V232" s="3">
        <f t="shared" si="193"/>
        <v>3.4610682977643033E-2</v>
      </c>
      <c r="W232" s="3">
        <f t="shared" si="193"/>
        <v>3.4610659765995408E-2</v>
      </c>
      <c r="X232" s="3">
        <f t="shared" si="193"/>
        <v>3.4610427650375433E-2</v>
      </c>
      <c r="Y232" s="3">
        <f t="shared" si="193"/>
        <v>3.4608106579791229E-2</v>
      </c>
      <c r="Z232" s="3">
        <f t="shared" si="193"/>
        <v>3.4584904433383162E-2</v>
      </c>
      <c r="AA232" s="3">
        <f t="shared" si="193"/>
        <v>3.435373679256444E-2</v>
      </c>
      <c r="AB232" s="3">
        <f t="shared" si="193"/>
        <v>3.2125361500193177E-2</v>
      </c>
      <c r="AC232" s="3">
        <f t="shared" si="193"/>
        <v>1.6428140872877396E-2</v>
      </c>
      <c r="AD232" s="3">
        <f t="shared" si="193"/>
        <v>2.0090575041975113E-5</v>
      </c>
      <c r="AE232" s="3">
        <f t="shared" si="193"/>
        <v>1.5032522392891272E-34</v>
      </c>
      <c r="AF232" s="3">
        <f t="shared" si="193"/>
        <v>0</v>
      </c>
      <c r="AG232" s="3"/>
      <c r="AH232" s="3"/>
    </row>
    <row r="233" spans="2:34" x14ac:dyDescent="0.25">
      <c r="B233" s="3">
        <f t="shared" ref="B233:AF233" si="194">$C41*EXP(-B$207/$A41/EXP(-$D$126))</f>
        <v>4.2854236942630193E-2</v>
      </c>
      <c r="C233" s="3">
        <f t="shared" si="194"/>
        <v>4.2854236942630193E-2</v>
      </c>
      <c r="D233" s="3">
        <f t="shared" si="194"/>
        <v>4.2854236942630193E-2</v>
      </c>
      <c r="E233" s="3">
        <f t="shared" si="194"/>
        <v>4.2854236942630193E-2</v>
      </c>
      <c r="F233" s="3">
        <f t="shared" si="194"/>
        <v>4.2854236942630193E-2</v>
      </c>
      <c r="G233" s="3">
        <f t="shared" si="194"/>
        <v>4.2854236942630193E-2</v>
      </c>
      <c r="H233" s="3">
        <f t="shared" si="194"/>
        <v>4.2854236942630193E-2</v>
      </c>
      <c r="I233" s="3">
        <f t="shared" si="194"/>
        <v>4.2854236942630193E-2</v>
      </c>
      <c r="J233" s="3">
        <f t="shared" si="194"/>
        <v>4.2854236942630193E-2</v>
      </c>
      <c r="K233" s="3">
        <f t="shared" si="194"/>
        <v>4.2854236942630193E-2</v>
      </c>
      <c r="L233" s="3">
        <f t="shared" si="194"/>
        <v>4.2854236942630193E-2</v>
      </c>
      <c r="M233" s="3">
        <f t="shared" si="194"/>
        <v>4.2854236942630193E-2</v>
      </c>
      <c r="N233" s="3">
        <f t="shared" si="194"/>
        <v>4.2854236942630186E-2</v>
      </c>
      <c r="O233" s="3">
        <f t="shared" si="194"/>
        <v>4.2854236942630158E-2</v>
      </c>
      <c r="P233" s="3">
        <f t="shared" si="194"/>
        <v>4.2854236942629874E-2</v>
      </c>
      <c r="Q233" s="3">
        <f t="shared" si="194"/>
        <v>4.2854236942627001E-2</v>
      </c>
      <c r="R233" s="3">
        <f t="shared" si="194"/>
        <v>4.285423694259826E-2</v>
      </c>
      <c r="S233" s="3">
        <f t="shared" si="194"/>
        <v>4.2854236942310858E-2</v>
      </c>
      <c r="T233" s="3">
        <f t="shared" si="194"/>
        <v>4.2854236939436838E-2</v>
      </c>
      <c r="U233" s="3">
        <f t="shared" si="194"/>
        <v>4.285423691069664E-2</v>
      </c>
      <c r="V233" s="3">
        <f t="shared" si="194"/>
        <v>4.2854236623294691E-2</v>
      </c>
      <c r="W233" s="3">
        <f t="shared" si="194"/>
        <v>4.2854233749275307E-2</v>
      </c>
      <c r="X233" s="3">
        <f t="shared" si="194"/>
        <v>4.2854205009092011E-2</v>
      </c>
      <c r="Y233" s="3">
        <f t="shared" si="194"/>
        <v>4.2853917608319199E-2</v>
      </c>
      <c r="Z233" s="3">
        <f t="shared" si="194"/>
        <v>4.2851043706598493E-2</v>
      </c>
      <c r="AA233" s="3">
        <f t="shared" si="194"/>
        <v>4.2822315287506088E-2</v>
      </c>
      <c r="AB233" s="3">
        <f t="shared" si="194"/>
        <v>4.2536088282933163E-2</v>
      </c>
      <c r="AC233" s="3">
        <f t="shared" si="194"/>
        <v>3.9776959960557273E-2</v>
      </c>
      <c r="AD233" s="3">
        <f t="shared" si="194"/>
        <v>2.034098516596955E-2</v>
      </c>
      <c r="AE233" s="3">
        <f t="shared" si="194"/>
        <v>2.4875735609213613E-5</v>
      </c>
      <c r="AF233" s="3">
        <f t="shared" si="194"/>
        <v>1.8612959151436201E-34</v>
      </c>
      <c r="AG233" s="3"/>
      <c r="AH233" s="3"/>
    </row>
    <row r="234" spans="2:34" x14ac:dyDescent="0.25">
      <c r="B234" s="3">
        <f t="shared" ref="B234:AF234" si="195">$C42*EXP(-B$207/$A42/EXP(-$D$126))</f>
        <v>3.2192937025108795E-2</v>
      </c>
      <c r="C234" s="3">
        <f t="shared" si="195"/>
        <v>3.2192937025108795E-2</v>
      </c>
      <c r="D234" s="3">
        <f t="shared" si="195"/>
        <v>3.2192937025108795E-2</v>
      </c>
      <c r="E234" s="3">
        <f t="shared" si="195"/>
        <v>3.2192937025108795E-2</v>
      </c>
      <c r="F234" s="3">
        <f t="shared" si="195"/>
        <v>3.2192937025108795E-2</v>
      </c>
      <c r="G234" s="3">
        <f t="shared" si="195"/>
        <v>3.2192937025108795E-2</v>
      </c>
      <c r="H234" s="3">
        <f t="shared" si="195"/>
        <v>3.2192937025108795E-2</v>
      </c>
      <c r="I234" s="3">
        <f t="shared" si="195"/>
        <v>3.2192937025108795E-2</v>
      </c>
      <c r="J234" s="3">
        <f t="shared" si="195"/>
        <v>3.2192937025108795E-2</v>
      </c>
      <c r="K234" s="3">
        <f t="shared" si="195"/>
        <v>3.2192937025108795E-2</v>
      </c>
      <c r="L234" s="3">
        <f t="shared" si="195"/>
        <v>3.2192937025108795E-2</v>
      </c>
      <c r="M234" s="3">
        <f t="shared" si="195"/>
        <v>3.2192937025108795E-2</v>
      </c>
      <c r="N234" s="3">
        <f t="shared" si="195"/>
        <v>3.2192937025108795E-2</v>
      </c>
      <c r="O234" s="3">
        <f t="shared" si="195"/>
        <v>3.2192937025108788E-2</v>
      </c>
      <c r="P234" s="3">
        <f t="shared" si="195"/>
        <v>3.2192937025108767E-2</v>
      </c>
      <c r="Q234" s="3">
        <f t="shared" si="195"/>
        <v>3.2192937025108552E-2</v>
      </c>
      <c r="R234" s="3">
        <f t="shared" si="195"/>
        <v>3.2192937025106394E-2</v>
      </c>
      <c r="S234" s="3">
        <f t="shared" si="195"/>
        <v>3.2192937025084807E-2</v>
      </c>
      <c r="T234" s="3">
        <f t="shared" si="195"/>
        <v>3.2192937024868903E-2</v>
      </c>
      <c r="U234" s="3">
        <f t="shared" si="195"/>
        <v>3.2192937022709887E-2</v>
      </c>
      <c r="V234" s="3">
        <f t="shared" si="195"/>
        <v>3.2192937001119692E-2</v>
      </c>
      <c r="W234" s="3">
        <f t="shared" si="195"/>
        <v>3.219293678521775E-2</v>
      </c>
      <c r="X234" s="3">
        <f t="shared" si="195"/>
        <v>3.219293462619844E-2</v>
      </c>
      <c r="Y234" s="3">
        <f t="shared" si="195"/>
        <v>3.2192913036013272E-2</v>
      </c>
      <c r="Z234" s="3">
        <f t="shared" si="195"/>
        <v>3.2192697134957968E-2</v>
      </c>
      <c r="AA234" s="3">
        <f t="shared" si="195"/>
        <v>3.2190538204039776E-2</v>
      </c>
      <c r="AB234" s="3">
        <f t="shared" si="195"/>
        <v>3.2168956856367878E-2</v>
      </c>
      <c r="AC234" s="3">
        <f t="shared" si="195"/>
        <v>3.1953937558615891E-2</v>
      </c>
      <c r="AD234" s="3">
        <f t="shared" si="195"/>
        <v>2.98812266515158E-2</v>
      </c>
      <c r="AE234" s="3">
        <f t="shared" si="195"/>
        <v>1.5280544030065724E-2</v>
      </c>
      <c r="AF234" s="3">
        <f t="shared" si="195"/>
        <v>1.8687136839998984E-5</v>
      </c>
      <c r="AG234" s="3"/>
      <c r="AH234" s="3"/>
    </row>
    <row r="235" spans="2:34" x14ac:dyDescent="0.25">
      <c r="B235" s="3">
        <f t="shared" ref="B235:AF235" si="196">$C43*EXP(-B$207/$A43/EXP(-$D$126))</f>
        <v>2.5751010749186929E-2</v>
      </c>
      <c r="C235" s="3">
        <f t="shared" si="196"/>
        <v>2.5751010749186929E-2</v>
      </c>
      <c r="D235" s="3">
        <f t="shared" si="196"/>
        <v>2.5751010749186929E-2</v>
      </c>
      <c r="E235" s="3">
        <f t="shared" si="196"/>
        <v>2.5751010749186929E-2</v>
      </c>
      <c r="F235" s="3">
        <f t="shared" si="196"/>
        <v>2.5751010749186929E-2</v>
      </c>
      <c r="G235" s="3">
        <f t="shared" si="196"/>
        <v>2.5751010749186929E-2</v>
      </c>
      <c r="H235" s="3">
        <f t="shared" si="196"/>
        <v>2.5751010749186929E-2</v>
      </c>
      <c r="I235" s="3">
        <f t="shared" si="196"/>
        <v>2.5751010749186929E-2</v>
      </c>
      <c r="J235" s="3">
        <f t="shared" si="196"/>
        <v>2.5751010749186929E-2</v>
      </c>
      <c r="K235" s="3">
        <f t="shared" si="196"/>
        <v>2.5751010749186929E-2</v>
      </c>
      <c r="L235" s="3">
        <f t="shared" si="196"/>
        <v>2.5751010749186929E-2</v>
      </c>
      <c r="M235" s="3">
        <f t="shared" si="196"/>
        <v>2.5751010749186929E-2</v>
      </c>
      <c r="N235" s="3">
        <f t="shared" si="196"/>
        <v>2.5751010749186929E-2</v>
      </c>
      <c r="O235" s="3">
        <f t="shared" si="196"/>
        <v>2.5751010749186929E-2</v>
      </c>
      <c r="P235" s="3">
        <f t="shared" si="196"/>
        <v>2.5751010749186926E-2</v>
      </c>
      <c r="Q235" s="3">
        <f t="shared" si="196"/>
        <v>2.5751010749186908E-2</v>
      </c>
      <c r="R235" s="3">
        <f t="shared" si="196"/>
        <v>2.5751010749186738E-2</v>
      </c>
      <c r="S235" s="3">
        <f t="shared" si="196"/>
        <v>2.575101074918501E-2</v>
      </c>
      <c r="T235" s="3">
        <f t="shared" si="196"/>
        <v>2.575101074916774E-2</v>
      </c>
      <c r="U235" s="3">
        <f t="shared" si="196"/>
        <v>2.5751010748995041E-2</v>
      </c>
      <c r="V235" s="3">
        <f t="shared" si="196"/>
        <v>2.5751010747268051E-2</v>
      </c>
      <c r="W235" s="3">
        <f t="shared" si="196"/>
        <v>2.5751010729998133E-2</v>
      </c>
      <c r="X235" s="3">
        <f t="shared" si="196"/>
        <v>2.5751010557298972E-2</v>
      </c>
      <c r="Y235" s="3">
        <f t="shared" si="196"/>
        <v>2.5751008830307447E-2</v>
      </c>
      <c r="Z235" s="3">
        <f t="shared" si="196"/>
        <v>2.5750991560398524E-2</v>
      </c>
      <c r="AA235" s="3">
        <f t="shared" si="196"/>
        <v>2.5750818861946329E-2</v>
      </c>
      <c r="AB235" s="3">
        <f t="shared" si="196"/>
        <v>2.5749091941123983E-2</v>
      </c>
      <c r="AC235" s="3">
        <f t="shared" si="196"/>
        <v>2.573182910128282E-2</v>
      </c>
      <c r="AD235" s="3">
        <f t="shared" si="196"/>
        <v>2.5559835963677034E-2</v>
      </c>
      <c r="AE235" s="3">
        <f t="shared" si="196"/>
        <v>2.3901882207949119E-2</v>
      </c>
      <c r="AF235" s="3">
        <f t="shared" si="196"/>
        <v>1.2222850411714396E-2</v>
      </c>
      <c r="AG235" s="3"/>
      <c r="AH235" s="3"/>
    </row>
    <row r="236" spans="2:34" x14ac:dyDescent="0.25">
      <c r="B236" s="3">
        <f t="shared" ref="B236:AF236" si="197">$C44*EXP(-B$207/$A44/EXP(-$D$126))</f>
        <v>1.2586213635594824E-2</v>
      </c>
      <c r="C236" s="3">
        <f t="shared" si="197"/>
        <v>1.2586213635594824E-2</v>
      </c>
      <c r="D236" s="3">
        <f t="shared" si="197"/>
        <v>1.2586213635594824E-2</v>
      </c>
      <c r="E236" s="3">
        <f t="shared" si="197"/>
        <v>1.2586213635594824E-2</v>
      </c>
      <c r="F236" s="3">
        <f t="shared" si="197"/>
        <v>1.2586213635594824E-2</v>
      </c>
      <c r="G236" s="3">
        <f t="shared" si="197"/>
        <v>1.2586213635594824E-2</v>
      </c>
      <c r="H236" s="3">
        <f t="shared" si="197"/>
        <v>1.2586213635594824E-2</v>
      </c>
      <c r="I236" s="3">
        <f t="shared" si="197"/>
        <v>1.2586213635594824E-2</v>
      </c>
      <c r="J236" s="3">
        <f t="shared" si="197"/>
        <v>1.2586213635594824E-2</v>
      </c>
      <c r="K236" s="3">
        <f t="shared" si="197"/>
        <v>1.2586213635594824E-2</v>
      </c>
      <c r="L236" s="3">
        <f t="shared" si="197"/>
        <v>1.2586213635594824E-2</v>
      </c>
      <c r="M236" s="3">
        <f t="shared" si="197"/>
        <v>1.2586213635594824E-2</v>
      </c>
      <c r="N236" s="3">
        <f t="shared" si="197"/>
        <v>1.2586213635594824E-2</v>
      </c>
      <c r="O236" s="3">
        <f t="shared" si="197"/>
        <v>1.2586213635594824E-2</v>
      </c>
      <c r="P236" s="3">
        <f t="shared" si="197"/>
        <v>1.2586213635594824E-2</v>
      </c>
      <c r="Q236" s="3">
        <f t="shared" si="197"/>
        <v>1.2586213635594822E-2</v>
      </c>
      <c r="R236" s="3">
        <f t="shared" si="197"/>
        <v>1.2586213635594814E-2</v>
      </c>
      <c r="S236" s="3">
        <f t="shared" si="197"/>
        <v>1.258621363559473E-2</v>
      </c>
      <c r="T236" s="3">
        <f t="shared" si="197"/>
        <v>1.2586213635593885E-2</v>
      </c>
      <c r="U236" s="3">
        <f t="shared" si="197"/>
        <v>1.2586213635585444E-2</v>
      </c>
      <c r="V236" s="3">
        <f t="shared" si="197"/>
        <v>1.2586213635501034E-2</v>
      </c>
      <c r="W236" s="3">
        <f t="shared" si="197"/>
        <v>1.2586213634656942E-2</v>
      </c>
      <c r="X236" s="3">
        <f t="shared" si="197"/>
        <v>1.2586213626215996E-2</v>
      </c>
      <c r="Y236" s="3">
        <f t="shared" si="197"/>
        <v>1.2586213541806552E-2</v>
      </c>
      <c r="Z236" s="3">
        <f t="shared" si="197"/>
        <v>1.2586212697712139E-2</v>
      </c>
      <c r="AA236" s="3">
        <f t="shared" si="197"/>
        <v>1.258620425677111E-2</v>
      </c>
      <c r="AB236" s="3">
        <f t="shared" si="197"/>
        <v>1.258611984767218E-2</v>
      </c>
      <c r="AC236" s="3">
        <f t="shared" si="197"/>
        <v>1.2585275787817074E-2</v>
      </c>
      <c r="AD236" s="3">
        <f t="shared" si="197"/>
        <v>1.2576838301913544E-2</v>
      </c>
      <c r="AE236" s="3">
        <f t="shared" si="197"/>
        <v>1.2492773936640772E-2</v>
      </c>
      <c r="AF236" s="3">
        <f t="shared" si="197"/>
        <v>1.1682422825735847E-2</v>
      </c>
      <c r="AG236" s="3"/>
      <c r="AH236" s="3"/>
    </row>
    <row r="237" spans="2:34" x14ac:dyDescent="0.25">
      <c r="B237" s="3">
        <f t="shared" ref="B237:AF237" si="198">$C45*EXP(-B$207/$A45/EXP(-$D$126))</f>
        <v>6.9130744193958088E-3</v>
      </c>
      <c r="C237" s="3">
        <f t="shared" si="198"/>
        <v>6.9130744193958088E-3</v>
      </c>
      <c r="D237" s="3">
        <f t="shared" si="198"/>
        <v>6.9130744193958088E-3</v>
      </c>
      <c r="E237" s="3">
        <f t="shared" si="198"/>
        <v>6.9130744193958088E-3</v>
      </c>
      <c r="F237" s="3">
        <f t="shared" si="198"/>
        <v>6.9130744193958088E-3</v>
      </c>
      <c r="G237" s="3">
        <f t="shared" si="198"/>
        <v>6.9130744193958088E-3</v>
      </c>
      <c r="H237" s="3">
        <f t="shared" si="198"/>
        <v>6.9130744193958088E-3</v>
      </c>
      <c r="I237" s="3">
        <f t="shared" si="198"/>
        <v>6.9130744193958088E-3</v>
      </c>
      <c r="J237" s="3">
        <f t="shared" si="198"/>
        <v>6.9130744193958088E-3</v>
      </c>
      <c r="K237" s="3">
        <f t="shared" si="198"/>
        <v>6.9130744193958088E-3</v>
      </c>
      <c r="L237" s="3">
        <f t="shared" si="198"/>
        <v>6.9130744193958088E-3</v>
      </c>
      <c r="M237" s="3">
        <f t="shared" si="198"/>
        <v>6.9130744193958088E-3</v>
      </c>
      <c r="N237" s="3">
        <f t="shared" si="198"/>
        <v>6.9130744193958088E-3</v>
      </c>
      <c r="O237" s="3">
        <f t="shared" si="198"/>
        <v>6.9130744193958088E-3</v>
      </c>
      <c r="P237" s="3">
        <f t="shared" si="198"/>
        <v>6.9130744193958088E-3</v>
      </c>
      <c r="Q237" s="3">
        <f t="shared" si="198"/>
        <v>6.9130744193958088E-3</v>
      </c>
      <c r="R237" s="3">
        <f t="shared" si="198"/>
        <v>6.913074419395808E-3</v>
      </c>
      <c r="S237" s="3">
        <f t="shared" si="198"/>
        <v>6.9130744193958036E-3</v>
      </c>
      <c r="T237" s="3">
        <f t="shared" si="198"/>
        <v>6.9130744193957577E-3</v>
      </c>
      <c r="U237" s="3">
        <f t="shared" si="198"/>
        <v>6.9130744193952936E-3</v>
      </c>
      <c r="V237" s="3">
        <f t="shared" si="198"/>
        <v>6.9130744193906576E-3</v>
      </c>
      <c r="W237" s="3">
        <f t="shared" si="198"/>
        <v>6.9130744193442945E-3</v>
      </c>
      <c r="X237" s="3">
        <f t="shared" si="198"/>
        <v>6.9130744188806697E-3</v>
      </c>
      <c r="Y237" s="3">
        <f t="shared" si="198"/>
        <v>6.9130744142444156E-3</v>
      </c>
      <c r="Z237" s="3">
        <f t="shared" si="198"/>
        <v>6.9130743678818803E-3</v>
      </c>
      <c r="AA237" s="3">
        <f t="shared" si="198"/>
        <v>6.9130739042565469E-3</v>
      </c>
      <c r="AB237" s="3">
        <f t="shared" si="198"/>
        <v>6.9130692680049151E-3</v>
      </c>
      <c r="AC237" s="3">
        <f t="shared" si="198"/>
        <v>6.9130229056596172E-3</v>
      </c>
      <c r="AD237" s="3">
        <f t="shared" si="198"/>
        <v>6.9125592993073241E-3</v>
      </c>
      <c r="AE237" s="3">
        <f t="shared" si="198"/>
        <v>6.9079249454299402E-3</v>
      </c>
      <c r="AF237" s="3">
        <f t="shared" si="198"/>
        <v>6.861751947737733E-3</v>
      </c>
      <c r="AG237" s="3"/>
      <c r="AH237" s="3"/>
    </row>
    <row r="238" spans="2:34" x14ac:dyDescent="0.25">
      <c r="B238" s="3">
        <f t="shared" ref="B238:AF238" si="199">$C46*EXP(-B$207/$A46/EXP(-$D$126))</f>
        <v>3.0323866622783903E-3</v>
      </c>
      <c r="C238" s="3">
        <f t="shared" si="199"/>
        <v>3.0323866622783903E-3</v>
      </c>
      <c r="D238" s="3">
        <f t="shared" si="199"/>
        <v>3.0323866622783903E-3</v>
      </c>
      <c r="E238" s="3">
        <f t="shared" si="199"/>
        <v>3.0323866622783903E-3</v>
      </c>
      <c r="F238" s="3">
        <f t="shared" si="199"/>
        <v>3.0323866622783903E-3</v>
      </c>
      <c r="G238" s="3">
        <f t="shared" si="199"/>
        <v>3.0323866622783903E-3</v>
      </c>
      <c r="H238" s="3">
        <f t="shared" si="199"/>
        <v>3.0323866622783903E-3</v>
      </c>
      <c r="I238" s="3">
        <f t="shared" si="199"/>
        <v>3.0323866622783903E-3</v>
      </c>
      <c r="J238" s="3">
        <f t="shared" si="199"/>
        <v>3.0323866622783903E-3</v>
      </c>
      <c r="K238" s="3">
        <f t="shared" si="199"/>
        <v>3.0323866622783903E-3</v>
      </c>
      <c r="L238" s="3">
        <f t="shared" si="199"/>
        <v>3.0323866622783903E-3</v>
      </c>
      <c r="M238" s="3">
        <f t="shared" si="199"/>
        <v>3.0323866622783903E-3</v>
      </c>
      <c r="N238" s="3">
        <f t="shared" si="199"/>
        <v>3.0323866622783903E-3</v>
      </c>
      <c r="O238" s="3">
        <f t="shared" si="199"/>
        <v>3.0323866622783903E-3</v>
      </c>
      <c r="P238" s="3">
        <f t="shared" si="199"/>
        <v>3.0323866622783903E-3</v>
      </c>
      <c r="Q238" s="3">
        <f t="shared" si="199"/>
        <v>3.0323866622783903E-3</v>
      </c>
      <c r="R238" s="3">
        <f t="shared" si="199"/>
        <v>3.0323866622783903E-3</v>
      </c>
      <c r="S238" s="3">
        <f t="shared" si="199"/>
        <v>3.0323866622783899E-3</v>
      </c>
      <c r="T238" s="3">
        <f t="shared" si="199"/>
        <v>3.0323866622783881E-3</v>
      </c>
      <c r="U238" s="3">
        <f t="shared" si="199"/>
        <v>3.0323866622783678E-3</v>
      </c>
      <c r="V238" s="3">
        <f t="shared" si="199"/>
        <v>3.0323866622781644E-3</v>
      </c>
      <c r="W238" s="3">
        <f t="shared" si="199"/>
        <v>3.0323866622761308E-3</v>
      </c>
      <c r="X238" s="3">
        <f t="shared" si="199"/>
        <v>3.0323866622557938E-3</v>
      </c>
      <c r="Y238" s="3">
        <f t="shared" si="199"/>
        <v>3.032386662052427E-3</v>
      </c>
      <c r="Z238" s="3">
        <f t="shared" si="199"/>
        <v>3.0323866600187569E-3</v>
      </c>
      <c r="AA238" s="3">
        <f t="shared" si="199"/>
        <v>3.0323866396820549E-3</v>
      </c>
      <c r="AB238" s="3">
        <f t="shared" si="199"/>
        <v>3.0323864363150442E-3</v>
      </c>
      <c r="AC238" s="3">
        <f t="shared" si="199"/>
        <v>3.0323844026456871E-3</v>
      </c>
      <c r="AD238" s="3">
        <f t="shared" si="199"/>
        <v>3.0323640660271313E-3</v>
      </c>
      <c r="AE238" s="3">
        <f t="shared" si="199"/>
        <v>3.0321607073427095E-3</v>
      </c>
      <c r="AF238" s="3">
        <f t="shared" si="199"/>
        <v>3.0301278704262385E-3</v>
      </c>
      <c r="AG238" s="3"/>
      <c r="AH238" s="3"/>
    </row>
    <row r="239" spans="2:34" x14ac:dyDescent="0.25">
      <c r="B239" s="3">
        <f t="shared" ref="B239:AF239" si="200">$C47*EXP(-B$207/$A47/EXP(-$D$126))</f>
        <v>2.0349292815546579E-6</v>
      </c>
      <c r="C239" s="3">
        <f t="shared" si="200"/>
        <v>2.0349292815546579E-6</v>
      </c>
      <c r="D239" s="3">
        <f t="shared" si="200"/>
        <v>2.0349292815546579E-6</v>
      </c>
      <c r="E239" s="3">
        <f t="shared" si="200"/>
        <v>2.0349292815546579E-6</v>
      </c>
      <c r="F239" s="3">
        <f t="shared" si="200"/>
        <v>2.0349292815546579E-6</v>
      </c>
      <c r="G239" s="3">
        <f t="shared" si="200"/>
        <v>2.0349292815546579E-6</v>
      </c>
      <c r="H239" s="3">
        <f t="shared" si="200"/>
        <v>2.0349292815546579E-6</v>
      </c>
      <c r="I239" s="3">
        <f t="shared" si="200"/>
        <v>2.0349292815546579E-6</v>
      </c>
      <c r="J239" s="3">
        <f t="shared" si="200"/>
        <v>2.0349292815546579E-6</v>
      </c>
      <c r="K239" s="3">
        <f t="shared" si="200"/>
        <v>2.0349292815546579E-6</v>
      </c>
      <c r="L239" s="3">
        <f t="shared" si="200"/>
        <v>2.0349292815546579E-6</v>
      </c>
      <c r="M239" s="3">
        <f t="shared" si="200"/>
        <v>2.0349292815546579E-6</v>
      </c>
      <c r="N239" s="3">
        <f t="shared" si="200"/>
        <v>2.0349292815546579E-6</v>
      </c>
      <c r="O239" s="3">
        <f t="shared" si="200"/>
        <v>2.0349292815546579E-6</v>
      </c>
      <c r="P239" s="3">
        <f t="shared" si="200"/>
        <v>2.0349292815546579E-6</v>
      </c>
      <c r="Q239" s="3">
        <f t="shared" si="200"/>
        <v>2.0349292815546579E-6</v>
      </c>
      <c r="R239" s="3">
        <f t="shared" si="200"/>
        <v>2.0349292815546579E-6</v>
      </c>
      <c r="S239" s="3">
        <f t="shared" si="200"/>
        <v>2.0349292815546579E-6</v>
      </c>
      <c r="T239" s="3">
        <f t="shared" si="200"/>
        <v>2.0349292815546575E-6</v>
      </c>
      <c r="U239" s="3">
        <f t="shared" si="200"/>
        <v>2.0349292815546562E-6</v>
      </c>
      <c r="V239" s="3">
        <f t="shared" si="200"/>
        <v>2.0349292815546427E-6</v>
      </c>
      <c r="W239" s="3">
        <f t="shared" si="200"/>
        <v>2.0349292815545063E-6</v>
      </c>
      <c r="X239" s="3">
        <f t="shared" si="200"/>
        <v>2.0349292815531417E-6</v>
      </c>
      <c r="Y239" s="3">
        <f t="shared" si="200"/>
        <v>2.0349292815394944E-6</v>
      </c>
      <c r="Z239" s="3">
        <f t="shared" si="200"/>
        <v>2.0349292814030221E-6</v>
      </c>
      <c r="AA239" s="3">
        <f t="shared" si="200"/>
        <v>2.0349292800382966E-6</v>
      </c>
      <c r="AB239" s="3">
        <f t="shared" si="200"/>
        <v>2.0349292663910428E-6</v>
      </c>
      <c r="AC239" s="3">
        <f t="shared" si="200"/>
        <v>2.034929129918511E-6</v>
      </c>
      <c r="AD239" s="3">
        <f t="shared" si="200"/>
        <v>2.034927765193697E-6</v>
      </c>
      <c r="AE239" s="3">
        <f t="shared" si="200"/>
        <v>2.0349141179958965E-6</v>
      </c>
      <c r="AF239" s="3">
        <f t="shared" si="200"/>
        <v>2.0347776510516456E-6</v>
      </c>
      <c r="AG239" s="3"/>
      <c r="AH239" s="3"/>
    </row>
    <row r="240" spans="2:34" x14ac:dyDescent="0.25">
      <c r="B240" s="3">
        <f t="shared" ref="B240:AF240" si="201">$C48*EXP(-B$207/$A48/EXP(-$D$126))</f>
        <v>1.1740866771866395E-2</v>
      </c>
      <c r="C240" s="3">
        <f t="shared" si="201"/>
        <v>1.1740866771866395E-2</v>
      </c>
      <c r="D240" s="3">
        <f t="shared" si="201"/>
        <v>1.1740866771866395E-2</v>
      </c>
      <c r="E240" s="3">
        <f t="shared" si="201"/>
        <v>1.1740866771866395E-2</v>
      </c>
      <c r="F240" s="3">
        <f t="shared" si="201"/>
        <v>1.1740866771866395E-2</v>
      </c>
      <c r="G240" s="3">
        <f t="shared" si="201"/>
        <v>1.1740866771866395E-2</v>
      </c>
      <c r="H240" s="3">
        <f t="shared" si="201"/>
        <v>1.1740866771866395E-2</v>
      </c>
      <c r="I240" s="3">
        <f t="shared" si="201"/>
        <v>1.1740866771866395E-2</v>
      </c>
      <c r="J240" s="3">
        <f t="shared" si="201"/>
        <v>1.1740866771866395E-2</v>
      </c>
      <c r="K240" s="3">
        <f t="shared" si="201"/>
        <v>1.1740866771866395E-2</v>
      </c>
      <c r="L240" s="3">
        <f t="shared" si="201"/>
        <v>1.1740866771866395E-2</v>
      </c>
      <c r="M240" s="3">
        <f t="shared" si="201"/>
        <v>1.1740866771866395E-2</v>
      </c>
      <c r="N240" s="3">
        <f t="shared" si="201"/>
        <v>1.1740866771866395E-2</v>
      </c>
      <c r="O240" s="3">
        <f t="shared" si="201"/>
        <v>1.1740866771866395E-2</v>
      </c>
      <c r="P240" s="3">
        <f t="shared" si="201"/>
        <v>1.1740866771866395E-2</v>
      </c>
      <c r="Q240" s="3">
        <f t="shared" si="201"/>
        <v>1.1740866771866395E-2</v>
      </c>
      <c r="R240" s="3">
        <f t="shared" si="201"/>
        <v>1.1740866771866395E-2</v>
      </c>
      <c r="S240" s="3">
        <f t="shared" si="201"/>
        <v>1.1740866771866395E-2</v>
      </c>
      <c r="T240" s="3">
        <f t="shared" si="201"/>
        <v>1.1740866771866395E-2</v>
      </c>
      <c r="U240" s="3">
        <f t="shared" si="201"/>
        <v>1.1740866771866393E-2</v>
      </c>
      <c r="V240" s="3">
        <f t="shared" si="201"/>
        <v>1.1740866771866386E-2</v>
      </c>
      <c r="W240" s="3">
        <f t="shared" si="201"/>
        <v>1.1740866771866308E-2</v>
      </c>
      <c r="X240" s="3">
        <f t="shared" si="201"/>
        <v>1.174086677186552E-2</v>
      </c>
      <c r="Y240" s="3">
        <f t="shared" si="201"/>
        <v>1.1740866771857645E-2</v>
      </c>
      <c r="Z240" s="3">
        <f t="shared" si="201"/>
        <v>1.1740866771778906E-2</v>
      </c>
      <c r="AA240" s="3">
        <f t="shared" si="201"/>
        <v>1.1740866770991504E-2</v>
      </c>
      <c r="AB240" s="3">
        <f t="shared" si="201"/>
        <v>1.1740866763117492E-2</v>
      </c>
      <c r="AC240" s="3">
        <f t="shared" si="201"/>
        <v>1.1740866684377366E-2</v>
      </c>
      <c r="AD240" s="3">
        <f t="shared" si="201"/>
        <v>1.1740865896976139E-2</v>
      </c>
      <c r="AE240" s="3">
        <f t="shared" si="201"/>
        <v>1.1740858022966774E-2</v>
      </c>
      <c r="AF240" s="3">
        <f t="shared" si="201"/>
        <v>1.174077928316356E-2</v>
      </c>
      <c r="AG240" s="3"/>
      <c r="AH240" s="3"/>
    </row>
    <row r="241" spans="1:34" x14ac:dyDescent="0.25">
      <c r="A241" s="79">
        <f>AVERAGE(B241:AF241)</f>
        <v>2.6978117328281211E-2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4.0145969121998588E-2</v>
      </c>
      <c r="M241" s="80">
        <f t="shared" si="202"/>
        <v>4.3202746991216734E-2</v>
      </c>
      <c r="N241" s="80">
        <f t="shared" si="202"/>
        <v>4.5891807950773529E-2</v>
      </c>
      <c r="O241" s="80">
        <f t="shared" si="202"/>
        <v>4.4610779860366434E-2</v>
      </c>
      <c r="P241" s="80">
        <f t="shared" si="202"/>
        <v>4.8776571096422437E-2</v>
      </c>
      <c r="Q241" s="80">
        <f t="shared" si="202"/>
        <v>5.7585944524433663E-2</v>
      </c>
      <c r="R241" s="80">
        <f t="shared" si="202"/>
        <v>6.3379178010949416E-2</v>
      </c>
      <c r="S241" s="80">
        <f t="shared" si="202"/>
        <v>5.0660343289045014E-2</v>
      </c>
      <c r="T241" s="80">
        <f t="shared" si="202"/>
        <v>1.1554069196203779E-2</v>
      </c>
      <c r="U241" s="80">
        <f t="shared" si="202"/>
        <v>0.14347061675685099</v>
      </c>
      <c r="V241" s="80">
        <f t="shared" si="202"/>
        <v>0.28704361037845699</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41716.832808801228</v>
      </c>
      <c r="C242" s="21">
        <f t="shared" ref="C242:AF242" si="203">(C209-C208)^2</f>
        <v>41792.96372451674</v>
      </c>
      <c r="D242" s="21">
        <f t="shared" si="203"/>
        <v>41774.352902740044</v>
      </c>
      <c r="E242" s="21">
        <f t="shared" si="203"/>
        <v>41734.341617276448</v>
      </c>
      <c r="F242" s="21">
        <f t="shared" si="203"/>
        <v>41416.955061651781</v>
      </c>
      <c r="G242" s="21">
        <f t="shared" si="203"/>
        <v>39735.040678485057</v>
      </c>
      <c r="H242" s="21">
        <f t="shared" si="203"/>
        <v>55974.291566290587</v>
      </c>
      <c r="I242" s="21">
        <f t="shared" si="203"/>
        <v>46775.854091464003</v>
      </c>
      <c r="J242" s="21">
        <f t="shared" si="203"/>
        <v>51696.852937836979</v>
      </c>
      <c r="K242" s="21">
        <f t="shared" si="203"/>
        <v>55369.207992030504</v>
      </c>
      <c r="L242" s="21">
        <f t="shared" si="203"/>
        <v>63433.690856958368</v>
      </c>
      <c r="M242" s="21">
        <f t="shared" si="203"/>
        <v>69980.676172269159</v>
      </c>
      <c r="N242" s="21">
        <f t="shared" si="203"/>
        <v>74787.646854670544</v>
      </c>
      <c r="O242" s="21">
        <f t="shared" si="203"/>
        <v>66514.582872475541</v>
      </c>
      <c r="P242" s="21">
        <f t="shared" si="203"/>
        <v>75099.902921167843</v>
      </c>
      <c r="Q242" s="21">
        <f t="shared" si="203"/>
        <v>98172.35196244494</v>
      </c>
      <c r="R242" s="21">
        <f t="shared" si="203"/>
        <v>109517.0357091373</v>
      </c>
      <c r="S242" s="21">
        <f t="shared" si="203"/>
        <v>62281.165159995602</v>
      </c>
      <c r="T242" s="21">
        <f t="shared" si="203"/>
        <v>2635.2332825524431</v>
      </c>
      <c r="U242" s="21">
        <f t="shared" si="203"/>
        <v>289888.40690613526</v>
      </c>
      <c r="V242" s="21">
        <f t="shared" si="203"/>
        <v>807535.11539349507</v>
      </c>
      <c r="W242" s="21">
        <f t="shared" si="203"/>
        <v>689371.37084717373</v>
      </c>
      <c r="X242" s="21">
        <f t="shared" si="203"/>
        <v>283293.54956817412</v>
      </c>
      <c r="Y242" s="21">
        <f t="shared" si="203"/>
        <v>63776.436051939287</v>
      </c>
      <c r="Z242" s="21">
        <f t="shared" si="203"/>
        <v>5133.8900169443832</v>
      </c>
      <c r="AA242" s="21">
        <f t="shared" si="203"/>
        <v>3199.909867429963</v>
      </c>
      <c r="AB242" s="21">
        <f t="shared" si="203"/>
        <v>15084.025587061784</v>
      </c>
      <c r="AC242" s="21">
        <f t="shared" si="203"/>
        <v>40661.382510495241</v>
      </c>
      <c r="AD242" s="21">
        <f t="shared" si="203"/>
        <v>61383.77218733995</v>
      </c>
      <c r="AE242" s="21">
        <f t="shared" si="203"/>
        <v>68563.393212480427</v>
      </c>
      <c r="AF242" s="21">
        <f t="shared" si="203"/>
        <v>46310.591450007953</v>
      </c>
      <c r="AG242" s="3"/>
      <c r="AH242" s="3"/>
    </row>
    <row r="243" spans="1:34" x14ac:dyDescent="0.25">
      <c r="A243" s="71">
        <f>SUM(B243:AF243)</f>
        <v>1719845.8080913019</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63433.690856958368</v>
      </c>
      <c r="M243" s="60">
        <f t="shared" ref="M243" si="214">IF($A$64&lt;=M207,IF($B$64&gt;=M207,ABS(M242),0),0)</f>
        <v>69980.676172269159</v>
      </c>
      <c r="N243" s="60">
        <f t="shared" ref="N243" si="215">IF($A$64&lt;=N207,IF($B$64&gt;=N207,ABS(N242),0),0)</f>
        <v>74787.646854670544</v>
      </c>
      <c r="O243" s="60">
        <f t="shared" ref="O243" si="216">IF($A$64&lt;=O207,IF($B$64&gt;=O207,ABS(O242),0),0)</f>
        <v>66514.582872475541</v>
      </c>
      <c r="P243" s="60">
        <f t="shared" ref="P243" si="217">IF($A$64&lt;=P207,IF($B$64&gt;=P207,ABS(P242),0),0)</f>
        <v>75099.902921167843</v>
      </c>
      <c r="Q243" s="60">
        <f t="shared" ref="Q243" si="218">IF($A$64&lt;=Q207,IF($B$64&gt;=Q207,ABS(Q242),0),0)</f>
        <v>98172.35196244494</v>
      </c>
      <c r="R243" s="60">
        <f t="shared" ref="R243" si="219">IF($A$64&lt;=R207,IF($B$64&gt;=R207,ABS(R242),0),0)</f>
        <v>109517.0357091373</v>
      </c>
      <c r="S243" s="60">
        <f t="shared" ref="S243" si="220">IF($A$64&lt;=S207,IF($B$64&gt;=S207,ABS(S242),0),0)</f>
        <v>62281.165159995602</v>
      </c>
      <c r="T243" s="60">
        <f t="shared" ref="T243" si="221">IF($A$64&lt;=T207,IF($B$64&gt;=T207,ABS(T242),0),0)</f>
        <v>2635.2332825524431</v>
      </c>
      <c r="U243" s="60">
        <f t="shared" ref="U243" si="222">IF($A$64&lt;=U207,IF($B$64&gt;=U207,ABS(U242),0),0)</f>
        <v>289888.40690613526</v>
      </c>
      <c r="V243" s="60">
        <f t="shared" ref="V243" si="223">IF($A$64&lt;=V207,IF($B$64&gt;=V207,ABS(V242),0),0)</f>
        <v>807535.11539349507</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6951.7769139036336</v>
      </c>
      <c r="C247" s="26">
        <f>INDEX(Comparison!$AM$3:$AS$33,G$14,$E$122)</f>
        <v>6950.7516447504031</v>
      </c>
      <c r="D247" s="26">
        <f>INDEX(Comparison!$AM$3:$AS$33,H$14,$E$122)</f>
        <v>6940.1985301294053</v>
      </c>
      <c r="E247" s="26">
        <f>INDEX(Comparison!$AM$3:$AS$33,I$14,$E$122)</f>
        <v>6859.1289652487367</v>
      </c>
      <c r="F247" s="26">
        <f>INDEX(Comparison!$AM$3:$AS$33,J$14,$E$122)</f>
        <v>6695.6616107202954</v>
      </c>
      <c r="G247" s="26">
        <f>INDEX(Comparison!$AM$3:$AS$33,K$14,$E$122)</f>
        <v>6579.8912612434069</v>
      </c>
      <c r="H247" s="26">
        <f>INDEX(Comparison!$AM$3:$AS$33,L$14,$E$122)</f>
        <v>6466.0632255652681</v>
      </c>
      <c r="I247" s="26">
        <f>INDEX(Comparison!$AM$3:$AS$33,M$14,$E$122)</f>
        <v>6338.9884403076148</v>
      </c>
      <c r="J247" s="26">
        <f>INDEX(Comparison!$AM$3:$AS$33,N$14,$E$122)</f>
        <v>6203.5301972004399</v>
      </c>
      <c r="K247" s="26">
        <f>INDEX(Comparison!$AM$3:$AS$33,O$14,$E$122)</f>
        <v>6050.6164561665273</v>
      </c>
      <c r="L247" s="26">
        <f>INDEX(Comparison!$AM$3:$AS$33,P$14,$E$122)</f>
        <v>5884.895018012654</v>
      </c>
      <c r="M247" s="26">
        <f>INDEX(Comparison!$AM$3:$AS$33,Q$14,$E$122)</f>
        <v>5709.3519393565812</v>
      </c>
      <c r="N247" s="26">
        <f>INDEX(Comparison!$AM$3:$AS$33,R$14,$E$122)</f>
        <v>5547.9132434192643</v>
      </c>
      <c r="O247" s="26">
        <f>INDEX(Comparison!$AM$3:$AS$33,S$14,$E$122)</f>
        <v>5364.2356794540465</v>
      </c>
      <c r="P247" s="26">
        <f>INDEX(Comparison!$AM$3:$AS$33,T$14,$E$122)</f>
        <v>5142.9380897638539</v>
      </c>
      <c r="Q247" s="26">
        <f>INDEX(Comparison!$AM$3:$AS$33,U$14,$E$122)</f>
        <v>4901.2536857987861</v>
      </c>
      <c r="R247" s="26">
        <f>INDEX(Comparison!$AM$3:$AS$33,V$14,$E$122)</f>
        <v>4661.3568218837227</v>
      </c>
      <c r="S247" s="26">
        <f>INDEX(Comparison!$AM$3:$AS$33,W$14,$E$122)</f>
        <v>4298.6774546472579</v>
      </c>
      <c r="T247" s="26">
        <f>INDEX(Comparison!$AM$3:$AS$33,X$14,$E$122)</f>
        <v>3673.7236771243274</v>
      </c>
      <c r="U247" s="26">
        <f>INDEX(Comparison!$AM$3:$AS$33,Y$14,$E$122)</f>
        <v>3055.9581241953465</v>
      </c>
      <c r="V247" s="26">
        <f>INDEX(Comparison!$AM$3:$AS$33,Z$14,$E$122)</f>
        <v>2586.4007874245467</v>
      </c>
      <c r="W247" s="26">
        <f>INDEX(Comparison!$AM$3:$AS$33,AA$14,$E$122)</f>
        <v>2247.3343211844494</v>
      </c>
      <c r="X247" s="26">
        <f>INDEX(Comparison!$AM$3:$AS$33,AB$14,$E$122)</f>
        <v>1979.307169199863</v>
      </c>
      <c r="Y247" s="26">
        <f>INDEX(Comparison!$AM$3:$AS$33,AC$14,$E$122)</f>
        <v>1753.9456058771568</v>
      </c>
      <c r="Z247" s="26">
        <f>INDEX(Comparison!$AM$3:$AS$33,AD$14,$E$122)</f>
        <v>1541.283272452644</v>
      </c>
      <c r="AA247" s="26">
        <f>INDEX(Comparison!$AM$3:$AS$33,AE$14,$E$122)</f>
        <v>1325.7320252858156</v>
      </c>
      <c r="AB247" s="26">
        <f>INDEX(Comparison!$AM$3:$AS$33,AF$14,$E$122)</f>
        <v>1090.3481138846798</v>
      </c>
      <c r="AC247" s="26">
        <f>INDEX(Comparison!$AM$3:$AS$33,AG$14,$E$122)</f>
        <v>838.64271647474698</v>
      </c>
      <c r="AD247" s="26">
        <f>INDEX(Comparison!$AM$3:$AS$33,AH$14,$E$122)</f>
        <v>600.54666630574377</v>
      </c>
      <c r="AE247" s="26">
        <f>INDEX(Comparison!$AM$3:$AS$33,AI$14,$E$122)</f>
        <v>415.97655166325364</v>
      </c>
      <c r="AF247" s="26">
        <f>INDEX(Comparison!$AM$3:$AS$33,AJ$14,$E$122)</f>
        <v>297.69240550814368</v>
      </c>
      <c r="AG247" s="26"/>
      <c r="AH247" s="26"/>
    </row>
    <row r="248" spans="1:34" x14ac:dyDescent="0.25">
      <c r="A248" s="70" t="s">
        <v>22</v>
      </c>
      <c r="B248" s="27">
        <f>($C$17+SUM(B249:B279))*$B$51</f>
        <v>6787.9661831650756</v>
      </c>
      <c r="C248" s="27">
        <f t="shared" ref="C248:AF248" si="234">($C$17+SUM(C249:C279))*$B$51</f>
        <v>6787.3798167404157</v>
      </c>
      <c r="D248" s="27">
        <f t="shared" si="234"/>
        <v>6781.578597300695</v>
      </c>
      <c r="E248" s="27">
        <f t="shared" si="234"/>
        <v>6729.3750024963892</v>
      </c>
      <c r="F248" s="27">
        <f t="shared" si="234"/>
        <v>6517.8409769305299</v>
      </c>
      <c r="G248" s="27">
        <f t="shared" si="234"/>
        <v>6422.334992567794</v>
      </c>
      <c r="H248" s="27">
        <f t="shared" si="234"/>
        <v>6295.6419983926789</v>
      </c>
      <c r="I248" s="27">
        <f t="shared" si="234"/>
        <v>6161.1058349214791</v>
      </c>
      <c r="J248" s="27">
        <f t="shared" si="234"/>
        <v>6010.2828913695785</v>
      </c>
      <c r="K248" s="27">
        <f t="shared" si="234"/>
        <v>5846.4262178284844</v>
      </c>
      <c r="L248" s="27">
        <f t="shared" si="234"/>
        <v>5672.9955405273486</v>
      </c>
      <c r="M248" s="27">
        <f t="shared" si="234"/>
        <v>5512.3183307941463</v>
      </c>
      <c r="N248" s="27">
        <f t="shared" si="234"/>
        <v>5329.958216753952</v>
      </c>
      <c r="O248" s="27">
        <f t="shared" si="234"/>
        <v>5112.1403798364372</v>
      </c>
      <c r="P248" s="27">
        <f t="shared" si="234"/>
        <v>4874.6697595958203</v>
      </c>
      <c r="Q248" s="27">
        <f t="shared" si="234"/>
        <v>4666.175086596867</v>
      </c>
      <c r="R248" s="27">
        <f t="shared" si="234"/>
        <v>4481.3895926487075</v>
      </c>
      <c r="S248" s="27">
        <f t="shared" si="234"/>
        <v>4280.3742948548388</v>
      </c>
      <c r="T248" s="27">
        <f t="shared" si="234"/>
        <v>4003.5508511385447</v>
      </c>
      <c r="U248" s="27">
        <f t="shared" si="234"/>
        <v>3481.7219841975902</v>
      </c>
      <c r="V248" s="27">
        <f t="shared" si="234"/>
        <v>2869.8052356056755</v>
      </c>
      <c r="W248" s="27">
        <f t="shared" si="234"/>
        <v>2361.331176257137</v>
      </c>
      <c r="X248" s="27">
        <f t="shared" si="234"/>
        <v>1979.1419397638215</v>
      </c>
      <c r="Y248" s="27">
        <f t="shared" si="234"/>
        <v>1669.5277223251344</v>
      </c>
      <c r="Z248" s="27">
        <f t="shared" si="234"/>
        <v>1408.2891454367539</v>
      </c>
      <c r="AA248" s="27">
        <f t="shared" si="234"/>
        <v>1137.1981980691678</v>
      </c>
      <c r="AB248" s="27">
        <f t="shared" si="234"/>
        <v>868.47646357048029</v>
      </c>
      <c r="AC248" s="27">
        <f t="shared" si="234"/>
        <v>616.50696493428291</v>
      </c>
      <c r="AD248" s="27">
        <f t="shared" si="234"/>
        <v>425.42439477505229</v>
      </c>
      <c r="AE248" s="27">
        <f t="shared" si="234"/>
        <v>302.12676897241226</v>
      </c>
      <c r="AF248" s="27">
        <f t="shared" si="234"/>
        <v>239.41095775184726</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4.1209312418071922E-2</v>
      </c>
      <c r="C250" s="3">
        <f t="shared" si="236"/>
        <v>4.1127338657160235E-2</v>
      </c>
      <c r="D250" s="3">
        <f t="shared" si="236"/>
        <v>4.0316516182970268E-2</v>
      </c>
      <c r="E250" s="3">
        <f t="shared" si="236"/>
        <v>3.3037478498051526E-2</v>
      </c>
      <c r="F250" s="3">
        <f t="shared" si="236"/>
        <v>4.5107198902427491E-3</v>
      </c>
      <c r="G250" s="3">
        <f t="shared" si="236"/>
        <v>1.0153961494759894E-11</v>
      </c>
      <c r="H250" s="3">
        <f t="shared" si="236"/>
        <v>3.3925952182528214E-98</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8.4203961661351127E-3</v>
      </c>
      <c r="C251" s="3">
        <f t="shared" si="237"/>
        <v>8.4188838175191689E-3</v>
      </c>
      <c r="D251" s="3">
        <f t="shared" si="237"/>
        <v>8.4037752627417559E-3</v>
      </c>
      <c r="E251" s="3">
        <f t="shared" si="237"/>
        <v>8.2541729772770186E-3</v>
      </c>
      <c r="F251" s="3">
        <f t="shared" si="237"/>
        <v>6.897074647540068E-3</v>
      </c>
      <c r="G251" s="3">
        <f t="shared" si="237"/>
        <v>1.1444017993007757E-3</v>
      </c>
      <c r="H251" s="3">
        <f t="shared" si="237"/>
        <v>1.8101500948818847E-11</v>
      </c>
      <c r="I251" s="3">
        <f t="shared" si="237"/>
        <v>1.774496478333461E-89</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2.0972461263148397E-2</v>
      </c>
      <c r="C252" s="3">
        <f t="shared" si="238"/>
        <v>2.0972121441638326E-2</v>
      </c>
      <c r="D252" s="3">
        <f t="shared" si="238"/>
        <v>2.0968723529364148E-2</v>
      </c>
      <c r="E252" s="3">
        <f t="shared" si="238"/>
        <v>2.0934774671127265E-2</v>
      </c>
      <c r="F252" s="3">
        <f t="shared" si="238"/>
        <v>2.0598294473317891E-2</v>
      </c>
      <c r="G252" s="3">
        <f t="shared" si="238"/>
        <v>1.751705042149022E-2</v>
      </c>
      <c r="H252" s="3">
        <f t="shared" si="238"/>
        <v>3.4654381756384655E-3</v>
      </c>
      <c r="I252" s="3">
        <f t="shared" si="238"/>
        <v>3.1822178534084882E-10</v>
      </c>
      <c r="J252" s="3">
        <f t="shared" si="238"/>
        <v>1.3565863234488372E-80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1.9327830642381832E-2</v>
      </c>
      <c r="C253" s="3">
        <f t="shared" si="239"/>
        <v>1.9327802391346512E-2</v>
      </c>
      <c r="D253" s="3">
        <f t="shared" si="239"/>
        <v>1.9327519883264487E-2</v>
      </c>
      <c r="E253" s="3">
        <f t="shared" si="239"/>
        <v>1.9324695029547256E-2</v>
      </c>
      <c r="F253" s="3">
        <f t="shared" si="239"/>
        <v>1.929646919040022E-2</v>
      </c>
      <c r="G253" s="3">
        <f t="shared" si="239"/>
        <v>1.901646837374393E-2</v>
      </c>
      <c r="H253" s="3">
        <f t="shared" si="239"/>
        <v>1.6430471122557421E-2</v>
      </c>
      <c r="I253" s="3">
        <f t="shared" si="239"/>
        <v>3.8093556924350433E-3</v>
      </c>
      <c r="J253" s="3">
        <f t="shared" si="239"/>
        <v>1.7094902282146883E-9</v>
      </c>
      <c r="K253" s="3">
        <f t="shared" si="239"/>
        <v>5.6626222084031945E-73</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2.3246646871430878E-2</v>
      </c>
      <c r="C254" s="3">
        <f t="shared" si="240"/>
        <v>2.3246643806233435E-2</v>
      </c>
      <c r="D254" s="3">
        <f t="shared" si="240"/>
        <v>2.3246613154281223E-2</v>
      </c>
      <c r="E254" s="3">
        <f t="shared" si="240"/>
        <v>2.3246306636981979E-2</v>
      </c>
      <c r="F254" s="3">
        <f t="shared" si="240"/>
        <v>2.324324168626719E-2</v>
      </c>
      <c r="G254" s="3">
        <f t="shared" si="240"/>
        <v>2.3212614396044252E-2</v>
      </c>
      <c r="H254" s="3">
        <f t="shared" si="240"/>
        <v>2.2908552385568718E-2</v>
      </c>
      <c r="I254" s="3">
        <f t="shared" si="240"/>
        <v>2.0078605260648051E-2</v>
      </c>
      <c r="J254" s="3">
        <f t="shared" si="240"/>
        <v>5.3714618215549396E-3</v>
      </c>
      <c r="K254" s="3">
        <f t="shared" si="240"/>
        <v>1.0085141799190583E-8</v>
      </c>
      <c r="L254" s="3">
        <f t="shared" si="240"/>
        <v>5.490060935461954E-66</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2.4740814065551956E-2</v>
      </c>
      <c r="C255" s="3">
        <f t="shared" si="241"/>
        <v>2.4740813771273316E-2</v>
      </c>
      <c r="D255" s="3">
        <f t="shared" si="241"/>
        <v>2.4740810828487121E-2</v>
      </c>
      <c r="E255" s="3">
        <f t="shared" si="241"/>
        <v>2.4740781400644406E-2</v>
      </c>
      <c r="F255" s="3">
        <f t="shared" si="241"/>
        <v>2.4740487124142417E-2</v>
      </c>
      <c r="G255" s="3">
        <f t="shared" si="241"/>
        <v>2.4737544551628812E-2</v>
      </c>
      <c r="H255" s="3">
        <f t="shared" si="241"/>
        <v>2.4708138068653556E-2</v>
      </c>
      <c r="I255" s="3">
        <f t="shared" si="241"/>
        <v>2.4415989013472639E-2</v>
      </c>
      <c r="J255" s="3">
        <f t="shared" si="241"/>
        <v>2.1677906279900447E-2</v>
      </c>
      <c r="K255" s="3">
        <f t="shared" si="241"/>
        <v>6.598534162888684E-3</v>
      </c>
      <c r="L255" s="3">
        <f t="shared" si="241"/>
        <v>4.505560452580757E-8</v>
      </c>
      <c r="M255" s="3">
        <f t="shared" si="241"/>
        <v>9.9257272542080938E-60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2.7333416292881101E-2</v>
      </c>
      <c r="C256" s="3">
        <f t="shared" si="242"/>
        <v>2.7333416263552911E-2</v>
      </c>
      <c r="D256" s="3">
        <f t="shared" si="242"/>
        <v>2.7333415970271013E-2</v>
      </c>
      <c r="E256" s="3">
        <f t="shared" si="242"/>
        <v>2.7333413037452195E-2</v>
      </c>
      <c r="F256" s="3">
        <f t="shared" si="242"/>
        <v>2.7333383709281331E-2</v>
      </c>
      <c r="G256" s="3">
        <f t="shared" si="242"/>
        <v>2.7333090429303437E-2</v>
      </c>
      <c r="H256" s="3">
        <f t="shared" si="242"/>
        <v>2.733015780259385E-2</v>
      </c>
      <c r="I256" s="3">
        <f t="shared" si="242"/>
        <v>2.7300848835563239E-2</v>
      </c>
      <c r="J256" s="3">
        <f t="shared" si="242"/>
        <v>2.7009482323283141E-2</v>
      </c>
      <c r="K256" s="3">
        <f t="shared" si="242"/>
        <v>2.4261483962029848E-2</v>
      </c>
      <c r="L256" s="3">
        <f t="shared" si="242"/>
        <v>8.2971390529556453E-3</v>
      </c>
      <c r="M256" s="3">
        <f t="shared" si="242"/>
        <v>1.8156763761010868E-7</v>
      </c>
      <c r="N256" s="3">
        <f t="shared" si="242"/>
        <v>4.5723470540868556E-54</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2.13427453567539E-2</v>
      </c>
      <c r="C257" s="3">
        <f t="shared" si="243"/>
        <v>2.1342745354688098E-2</v>
      </c>
      <c r="D257" s="3">
        <f t="shared" si="243"/>
        <v>2.1342745334030102E-2</v>
      </c>
      <c r="E257" s="3">
        <f t="shared" si="243"/>
        <v>2.1342745127450127E-2</v>
      </c>
      <c r="F257" s="3">
        <f t="shared" si="243"/>
        <v>2.1342743061650502E-2</v>
      </c>
      <c r="G257" s="3">
        <f t="shared" si="243"/>
        <v>2.1342722403665224E-2</v>
      </c>
      <c r="H257" s="3">
        <f t="shared" si="243"/>
        <v>2.134251582491218E-2</v>
      </c>
      <c r="I257" s="3">
        <f t="shared" si="243"/>
        <v>2.134045014735109E-2</v>
      </c>
      <c r="J257" s="3">
        <f t="shared" si="243"/>
        <v>2.1319804364735542E-2</v>
      </c>
      <c r="K257" s="3">
        <f t="shared" si="243"/>
        <v>2.1114441911377683E-2</v>
      </c>
      <c r="L257" s="3">
        <f t="shared" si="243"/>
        <v>1.9166531314160067E-2</v>
      </c>
      <c r="M257" s="3">
        <f t="shared" si="243"/>
        <v>7.2808600819683298E-3</v>
      </c>
      <c r="N257" s="3">
        <f t="shared" si="243"/>
        <v>4.555901299534924E-7</v>
      </c>
      <c r="O257" s="3">
        <f t="shared" si="243"/>
        <v>4.19266847599564E-49</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3.0213098985809584E-2</v>
      </c>
      <c r="C258" s="3">
        <f t="shared" si="244"/>
        <v>3.0213098985545778E-2</v>
      </c>
      <c r="D258" s="3">
        <f t="shared" si="244"/>
        <v>3.0213098982907749E-2</v>
      </c>
      <c r="E258" s="3">
        <f t="shared" si="244"/>
        <v>3.0213098956527445E-2</v>
      </c>
      <c r="F258" s="3">
        <f t="shared" si="244"/>
        <v>3.0213098692724403E-2</v>
      </c>
      <c r="G258" s="3">
        <f t="shared" si="244"/>
        <v>3.0213096054694105E-2</v>
      </c>
      <c r="H258" s="3">
        <f t="shared" si="244"/>
        <v>3.0213069674403806E-2</v>
      </c>
      <c r="I258" s="3">
        <f t="shared" si="244"/>
        <v>3.0212805872767642E-2</v>
      </c>
      <c r="J258" s="3">
        <f t="shared" si="244"/>
        <v>3.0210167983087014E-2</v>
      </c>
      <c r="K258" s="3">
        <f t="shared" si="244"/>
        <v>3.0183801750287592E-2</v>
      </c>
      <c r="L258" s="3">
        <f t="shared" si="244"/>
        <v>2.9921401741253951E-2</v>
      </c>
      <c r="M258" s="3">
        <f t="shared" si="244"/>
        <v>2.7419648971568945E-2</v>
      </c>
      <c r="N258" s="3">
        <f t="shared" si="244"/>
        <v>1.1451475393696377E-2</v>
      </c>
      <c r="O258" s="3">
        <f t="shared" si="244"/>
        <v>1.8486597277785026E-6</v>
      </c>
      <c r="P258" s="3">
        <f t="shared" si="244"/>
        <v>2.2223494102808399E-44</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3.3824388307372021E-2</v>
      </c>
      <c r="C259" s="3">
        <f t="shared" si="245"/>
        <v>3.3824388307345375E-2</v>
      </c>
      <c r="D259" s="3">
        <f t="shared" si="245"/>
        <v>3.3824388307078956E-2</v>
      </c>
      <c r="E259" s="3">
        <f t="shared" si="245"/>
        <v>3.3824388304414796E-2</v>
      </c>
      <c r="F259" s="3">
        <f t="shared" si="245"/>
        <v>3.3824388277773149E-2</v>
      </c>
      <c r="G259" s="3">
        <f t="shared" si="245"/>
        <v>3.3824388011356676E-2</v>
      </c>
      <c r="H259" s="3">
        <f t="shared" si="245"/>
        <v>3.3824385347192093E-2</v>
      </c>
      <c r="I259" s="3">
        <f t="shared" si="245"/>
        <v>3.382435870555784E-2</v>
      </c>
      <c r="J259" s="3">
        <f t="shared" si="245"/>
        <v>3.3824092290369409E-2</v>
      </c>
      <c r="K259" s="3">
        <f t="shared" si="245"/>
        <v>3.3821428253894364E-2</v>
      </c>
      <c r="L259" s="3">
        <f t="shared" si="245"/>
        <v>3.379479942671159E-2</v>
      </c>
      <c r="M259" s="3">
        <f t="shared" si="245"/>
        <v>3.3529661556335834E-2</v>
      </c>
      <c r="N259" s="3">
        <f t="shared" si="245"/>
        <v>3.099003985989807E-2</v>
      </c>
      <c r="O259" s="3">
        <f t="shared" si="245"/>
        <v>1.4097814304198222E-2</v>
      </c>
      <c r="P259" s="3">
        <f t="shared" si="245"/>
        <v>5.3511644161816142E-6</v>
      </c>
      <c r="Q259" s="3">
        <f t="shared" si="245"/>
        <v>3.3221052498839425E-40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3.879179753071179E-2</v>
      </c>
      <c r="C260" s="3">
        <f t="shared" si="246"/>
        <v>3.8791797530709035E-2</v>
      </c>
      <c r="D260" s="3">
        <f t="shared" si="246"/>
        <v>3.8791797530681467E-2</v>
      </c>
      <c r="E260" s="3">
        <f t="shared" si="246"/>
        <v>3.8791797530405847E-2</v>
      </c>
      <c r="F260" s="3">
        <f t="shared" si="246"/>
        <v>3.87917975276496E-2</v>
      </c>
      <c r="G260" s="3">
        <f t="shared" si="246"/>
        <v>3.8791797500087162E-2</v>
      </c>
      <c r="H260" s="3">
        <f t="shared" si="246"/>
        <v>3.8791797224462798E-2</v>
      </c>
      <c r="I260" s="3">
        <f t="shared" si="246"/>
        <v>3.8791794468219211E-2</v>
      </c>
      <c r="J260" s="3">
        <f t="shared" si="246"/>
        <v>3.8791766905794133E-2</v>
      </c>
      <c r="K260" s="3">
        <f t="shared" si="246"/>
        <v>3.879149128262048E-2</v>
      </c>
      <c r="L260" s="3">
        <f t="shared" si="246"/>
        <v>3.8788735158591284E-2</v>
      </c>
      <c r="M260" s="3">
        <f t="shared" si="246"/>
        <v>3.8761184686202953E-2</v>
      </c>
      <c r="N260" s="3">
        <f t="shared" si="246"/>
        <v>3.8486753927251843E-2</v>
      </c>
      <c r="O260" s="3">
        <f t="shared" si="246"/>
        <v>3.5847072308152962E-2</v>
      </c>
      <c r="P260" s="3">
        <f t="shared" si="246"/>
        <v>1.7614802554148472E-2</v>
      </c>
      <c r="Q260" s="3">
        <f t="shared" si="246"/>
        <v>1.4458347403917035E-5</v>
      </c>
      <c r="R260" s="3">
        <f t="shared" si="246"/>
        <v>2.0069077866384693E-36</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2.3183984286354719E-2</v>
      </c>
      <c r="C261" s="3">
        <f t="shared" si="247"/>
        <v>2.318398428635457E-2</v>
      </c>
      <c r="D261" s="3">
        <f t="shared" si="247"/>
        <v>2.3183984286353081E-2</v>
      </c>
      <c r="E261" s="3">
        <f t="shared" si="247"/>
        <v>2.3183984286338222E-2</v>
      </c>
      <c r="F261" s="3">
        <f t="shared" si="247"/>
        <v>2.3183984286189625E-2</v>
      </c>
      <c r="G261" s="3">
        <f t="shared" si="247"/>
        <v>2.3183984284703647E-2</v>
      </c>
      <c r="H261" s="3">
        <f t="shared" si="247"/>
        <v>2.3183984269843867E-2</v>
      </c>
      <c r="I261" s="3">
        <f t="shared" si="247"/>
        <v>2.3183984121246067E-2</v>
      </c>
      <c r="J261" s="3">
        <f t="shared" si="247"/>
        <v>2.3183982635268142E-2</v>
      </c>
      <c r="K261" s="3">
        <f t="shared" si="247"/>
        <v>2.318396777549412E-2</v>
      </c>
      <c r="L261" s="3">
        <f t="shared" si="247"/>
        <v>2.3183819178277724E-2</v>
      </c>
      <c r="M261" s="3">
        <f t="shared" si="247"/>
        <v>2.3182333258496456E-2</v>
      </c>
      <c r="N261" s="3">
        <f t="shared" si="247"/>
        <v>2.3167479297712248E-2</v>
      </c>
      <c r="O261" s="3">
        <f t="shared" si="247"/>
        <v>2.3019462152873271E-2</v>
      </c>
      <c r="P261" s="3">
        <f t="shared" si="247"/>
        <v>2.1590318931718047E-2</v>
      </c>
      <c r="Q261" s="3">
        <f t="shared" si="247"/>
        <v>1.1373599040231962E-2</v>
      </c>
      <c r="R261" s="3">
        <f t="shared" si="247"/>
        <v>1.8719165055793609E-5</v>
      </c>
      <c r="S261" s="3">
        <f t="shared" si="247"/>
        <v>2.7300592524569313E-33</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3.3195679421044615E-2</v>
      </c>
      <c r="C262" s="3">
        <f t="shared" si="248"/>
        <v>3.3195679421044601E-2</v>
      </c>
      <c r="D262" s="3">
        <f t="shared" si="248"/>
        <v>3.3195679421044406E-2</v>
      </c>
      <c r="E262" s="3">
        <f t="shared" si="248"/>
        <v>3.3195679421042484E-2</v>
      </c>
      <c r="F262" s="3">
        <f t="shared" si="248"/>
        <v>3.3195679421023291E-2</v>
      </c>
      <c r="G262" s="3">
        <f t="shared" si="248"/>
        <v>3.3195679420831362E-2</v>
      </c>
      <c r="H262" s="3">
        <f t="shared" si="248"/>
        <v>3.3195679418912022E-2</v>
      </c>
      <c r="I262" s="3">
        <f t="shared" si="248"/>
        <v>3.3195679399718597E-2</v>
      </c>
      <c r="J262" s="3">
        <f t="shared" si="248"/>
        <v>3.3195679207784358E-2</v>
      </c>
      <c r="K262" s="3">
        <f t="shared" si="248"/>
        <v>3.3195677288442041E-2</v>
      </c>
      <c r="L262" s="3">
        <f t="shared" si="248"/>
        <v>3.3195658095024963E-2</v>
      </c>
      <c r="M262" s="3">
        <f t="shared" si="248"/>
        <v>3.3195466161464557E-2</v>
      </c>
      <c r="N262" s="3">
        <f t="shared" si="248"/>
        <v>3.319354688689502E-2</v>
      </c>
      <c r="O262" s="3">
        <f t="shared" si="248"/>
        <v>3.3174360243348695E-2</v>
      </c>
      <c r="P262" s="3">
        <f t="shared" si="248"/>
        <v>3.2983102719367219E-2</v>
      </c>
      <c r="Q262" s="3">
        <f t="shared" si="248"/>
        <v>3.1130135881922982E-2</v>
      </c>
      <c r="R262" s="3">
        <f t="shared" si="248"/>
        <v>1.7461281227904614E-2</v>
      </c>
      <c r="S262" s="3">
        <f t="shared" si="248"/>
        <v>5.3830326496420013E-5</v>
      </c>
      <c r="T262" s="3">
        <f t="shared" si="248"/>
        <v>4.1738427489820558E-30</v>
      </c>
      <c r="U262" s="3">
        <f t="shared" si="248"/>
        <v>3.2781345250010566E-281</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2.038442434974385E-2</v>
      </c>
      <c r="C263" s="3">
        <f t="shared" si="249"/>
        <v>2.0384424349743847E-2</v>
      </c>
      <c r="D263" s="3">
        <f t="shared" si="249"/>
        <v>2.038442434974384E-2</v>
      </c>
      <c r="E263" s="3">
        <f t="shared" si="249"/>
        <v>2.0384424349743732E-2</v>
      </c>
      <c r="F263" s="3">
        <f t="shared" si="249"/>
        <v>2.0384424349742667E-2</v>
      </c>
      <c r="G263" s="3">
        <f t="shared" si="249"/>
        <v>2.0384424349732037E-2</v>
      </c>
      <c r="H263" s="3">
        <f t="shared" si="249"/>
        <v>2.0384424349625719E-2</v>
      </c>
      <c r="I263" s="3">
        <f t="shared" si="249"/>
        <v>2.0384424348562514E-2</v>
      </c>
      <c r="J263" s="3">
        <f t="shared" si="249"/>
        <v>2.0384424337930491E-2</v>
      </c>
      <c r="K263" s="3">
        <f t="shared" si="249"/>
        <v>2.0384424231610253E-2</v>
      </c>
      <c r="L263" s="3">
        <f t="shared" si="249"/>
        <v>2.0384423168407922E-2</v>
      </c>
      <c r="M263" s="3">
        <f t="shared" si="249"/>
        <v>2.0384412536387637E-2</v>
      </c>
      <c r="N263" s="3">
        <f t="shared" si="249"/>
        <v>2.0384306216489814E-2</v>
      </c>
      <c r="O263" s="3">
        <f t="shared" si="249"/>
        <v>2.0383243048010622E-2</v>
      </c>
      <c r="P263" s="3">
        <f t="shared" si="249"/>
        <v>2.0372614412538608E-2</v>
      </c>
      <c r="Q263" s="3">
        <f t="shared" si="249"/>
        <v>2.0266632402161065E-2</v>
      </c>
      <c r="R263" s="3">
        <f t="shared" si="249"/>
        <v>1.9236667503724898E-2</v>
      </c>
      <c r="S263" s="3">
        <f t="shared" si="249"/>
        <v>1.1418585821380486E-2</v>
      </c>
      <c r="T263" s="3">
        <f t="shared" si="249"/>
        <v>6.2006488755052776E-5</v>
      </c>
      <c r="U263" s="3">
        <f t="shared" si="249"/>
        <v>1.3825642657300636E-27</v>
      </c>
      <c r="V263" s="3">
        <f t="shared" si="249"/>
        <v>4.1992063167053025E-254</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6.6925069366004494E-2</v>
      </c>
      <c r="C264" s="3">
        <f t="shared" si="250"/>
        <v>6.6925069366004494E-2</v>
      </c>
      <c r="D264" s="3">
        <f t="shared" si="250"/>
        <v>6.6925069366004494E-2</v>
      </c>
      <c r="E264" s="3">
        <f t="shared" si="250"/>
        <v>6.6925069366004453E-2</v>
      </c>
      <c r="F264" s="3">
        <f t="shared" si="250"/>
        <v>6.6925069366004147E-2</v>
      </c>
      <c r="G264" s="3">
        <f t="shared" si="250"/>
        <v>6.6925069366000997E-2</v>
      </c>
      <c r="H264" s="3">
        <f t="shared" si="250"/>
        <v>6.6925069365969508E-2</v>
      </c>
      <c r="I264" s="3">
        <f t="shared" si="250"/>
        <v>6.6925069365654621E-2</v>
      </c>
      <c r="J264" s="3">
        <f t="shared" si="250"/>
        <v>6.6925069362505765E-2</v>
      </c>
      <c r="K264" s="3">
        <f t="shared" si="250"/>
        <v>6.692506933101719E-2</v>
      </c>
      <c r="L264" s="3">
        <f t="shared" si="250"/>
        <v>6.6925069016131516E-2</v>
      </c>
      <c r="M264" s="3">
        <f t="shared" si="250"/>
        <v>6.6925065867274855E-2</v>
      </c>
      <c r="N264" s="3">
        <f t="shared" si="250"/>
        <v>6.69250343787164E-2</v>
      </c>
      <c r="O264" s="3">
        <f t="shared" si="250"/>
        <v>6.6924719493946558E-2</v>
      </c>
      <c r="P264" s="3">
        <f t="shared" si="250"/>
        <v>6.6921570727732027E-2</v>
      </c>
      <c r="Q264" s="3">
        <f t="shared" si="250"/>
        <v>6.6890091212548269E-2</v>
      </c>
      <c r="R264" s="3">
        <f t="shared" si="250"/>
        <v>6.6576109340368117E-2</v>
      </c>
      <c r="S264" s="3">
        <f t="shared" si="250"/>
        <v>6.3516220413799424E-2</v>
      </c>
      <c r="T264" s="3">
        <f t="shared" si="250"/>
        <v>3.9677746769143783E-2</v>
      </c>
      <c r="U264" s="3">
        <f t="shared" si="250"/>
        <v>3.5906290773285096E-4</v>
      </c>
      <c r="V264" s="3">
        <f t="shared" si="250"/>
        <v>1.3225313188837042E-24</v>
      </c>
      <c r="W264" s="3">
        <f t="shared" si="250"/>
        <v>6.077992833730278E-229</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9.6671799143506223E-2</v>
      </c>
      <c r="C265" s="3">
        <f t="shared" si="251"/>
        <v>9.6671799143506223E-2</v>
      </c>
      <c r="D265" s="3">
        <f t="shared" si="251"/>
        <v>9.6671799143506223E-2</v>
      </c>
      <c r="E265" s="3">
        <f t="shared" si="251"/>
        <v>9.6671799143506223E-2</v>
      </c>
      <c r="F265" s="3">
        <f t="shared" si="251"/>
        <v>9.6671799143506182E-2</v>
      </c>
      <c r="G265" s="3">
        <f t="shared" si="251"/>
        <v>9.6671799143505779E-2</v>
      </c>
      <c r="H265" s="3">
        <f t="shared" si="251"/>
        <v>9.6671799143501658E-2</v>
      </c>
      <c r="I265" s="3">
        <f t="shared" si="251"/>
        <v>9.6671799143460635E-2</v>
      </c>
      <c r="J265" s="3">
        <f t="shared" si="251"/>
        <v>9.6671799143050324E-2</v>
      </c>
      <c r="K265" s="3">
        <f t="shared" si="251"/>
        <v>9.6671799138947245E-2</v>
      </c>
      <c r="L265" s="3">
        <f t="shared" si="251"/>
        <v>9.66717990979164E-2</v>
      </c>
      <c r="M265" s="3">
        <f t="shared" si="251"/>
        <v>9.6671798687607946E-2</v>
      </c>
      <c r="N265" s="3">
        <f t="shared" si="251"/>
        <v>9.6671794584523491E-2</v>
      </c>
      <c r="O265" s="3">
        <f t="shared" si="251"/>
        <v>9.6671753553688636E-2</v>
      </c>
      <c r="P265" s="3">
        <f t="shared" si="251"/>
        <v>9.667134324629785E-2</v>
      </c>
      <c r="Q265" s="3">
        <f t="shared" si="251"/>
        <v>9.6667240268170321E-2</v>
      </c>
      <c r="R265" s="3">
        <f t="shared" si="251"/>
        <v>9.6626220063422127E-2</v>
      </c>
      <c r="S265" s="3">
        <f t="shared" si="251"/>
        <v>9.621697416645425E-2</v>
      </c>
      <c r="T265" s="3">
        <f t="shared" si="251"/>
        <v>9.2218645596775201E-2</v>
      </c>
      <c r="U265" s="3">
        <f t="shared" si="251"/>
        <v>6.0323868388316007E-2</v>
      </c>
      <c r="V265" s="3">
        <f t="shared" si="251"/>
        <v>8.653536428602504E-4</v>
      </c>
      <c r="W265" s="3">
        <f t="shared" si="251"/>
        <v>3.1932877229972794E-22</v>
      </c>
      <c r="X265" s="3">
        <f t="shared" si="251"/>
        <v>1.4951415188017102E-206</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8.3708796522492912E-2</v>
      </c>
      <c r="C266" s="3">
        <f t="shared" si="252"/>
        <v>8.3708796522492912E-2</v>
      </c>
      <c r="D266" s="3">
        <f t="shared" si="252"/>
        <v>8.3708796522492912E-2</v>
      </c>
      <c r="E266" s="3">
        <f t="shared" si="252"/>
        <v>8.3708796522492912E-2</v>
      </c>
      <c r="F266" s="3">
        <f t="shared" si="252"/>
        <v>8.3708796522492912E-2</v>
      </c>
      <c r="G266" s="3">
        <f t="shared" si="252"/>
        <v>8.370879652249287E-2</v>
      </c>
      <c r="H266" s="3">
        <f t="shared" si="252"/>
        <v>8.3708796522492565E-2</v>
      </c>
      <c r="I266" s="3">
        <f t="shared" si="252"/>
        <v>8.3708796522489359E-2</v>
      </c>
      <c r="J266" s="3">
        <f t="shared" si="252"/>
        <v>8.3708796522457302E-2</v>
      </c>
      <c r="K266" s="3">
        <f t="shared" si="252"/>
        <v>8.3708796522136808E-2</v>
      </c>
      <c r="L266" s="3">
        <f t="shared" si="252"/>
        <v>8.3708796518931802E-2</v>
      </c>
      <c r="M266" s="3">
        <f t="shared" si="252"/>
        <v>8.3708796486881773E-2</v>
      </c>
      <c r="N266" s="3">
        <f t="shared" si="252"/>
        <v>8.3708796166381549E-2</v>
      </c>
      <c r="O266" s="3">
        <f t="shared" si="252"/>
        <v>8.3708792961379258E-2</v>
      </c>
      <c r="P266" s="3">
        <f t="shared" si="252"/>
        <v>8.3708760911363117E-2</v>
      </c>
      <c r="Q266" s="3">
        <f t="shared" si="252"/>
        <v>8.3708440411876625E-2</v>
      </c>
      <c r="R266" s="3">
        <f t="shared" si="252"/>
        <v>8.3705235484502108E-2</v>
      </c>
      <c r="S266" s="3">
        <f t="shared" si="252"/>
        <v>8.367319295883259E-2</v>
      </c>
      <c r="T266" s="3">
        <f t="shared" si="252"/>
        <v>8.335344155472113E-2</v>
      </c>
      <c r="U266" s="3">
        <f t="shared" si="252"/>
        <v>8.0222367864197147E-2</v>
      </c>
      <c r="V266" s="3">
        <f t="shared" si="252"/>
        <v>5.4703470854956651E-2</v>
      </c>
      <c r="W266" s="3">
        <f t="shared" si="252"/>
        <v>1.1890741621853407E-3</v>
      </c>
      <c r="X266" s="3">
        <f t="shared" si="252"/>
        <v>2.7999452514322196E-20</v>
      </c>
      <c r="Y266" s="3">
        <f t="shared" si="252"/>
        <v>1.4674236407861461E-186</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5.9251655732023817E-2</v>
      </c>
      <c r="C267" s="3">
        <f t="shared" si="253"/>
        <v>5.9251655732023817E-2</v>
      </c>
      <c r="D267" s="3">
        <f t="shared" si="253"/>
        <v>5.9251655732023817E-2</v>
      </c>
      <c r="E267" s="3">
        <f t="shared" si="253"/>
        <v>5.9251655732023817E-2</v>
      </c>
      <c r="F267" s="3">
        <f t="shared" si="253"/>
        <v>5.9251655732023817E-2</v>
      </c>
      <c r="G267" s="3">
        <f t="shared" si="253"/>
        <v>5.9251655732023817E-2</v>
      </c>
      <c r="H267" s="3">
        <f t="shared" si="253"/>
        <v>5.9251655732023796E-2</v>
      </c>
      <c r="I267" s="3">
        <f t="shared" si="253"/>
        <v>5.9251655732023588E-2</v>
      </c>
      <c r="J267" s="3">
        <f t="shared" si="253"/>
        <v>5.9251655732021541E-2</v>
      </c>
      <c r="K267" s="3">
        <f t="shared" si="253"/>
        <v>5.9251655732001078E-2</v>
      </c>
      <c r="L267" s="3">
        <f t="shared" si="253"/>
        <v>5.9251655731796436E-2</v>
      </c>
      <c r="M267" s="3">
        <f t="shared" si="253"/>
        <v>5.9251655729749962E-2</v>
      </c>
      <c r="N267" s="3">
        <f t="shared" si="253"/>
        <v>5.9251655709285311E-2</v>
      </c>
      <c r="O267" s="3">
        <f t="shared" si="253"/>
        <v>5.9251655504638803E-2</v>
      </c>
      <c r="P267" s="3">
        <f t="shared" si="253"/>
        <v>5.9251653458173778E-2</v>
      </c>
      <c r="Q267" s="3">
        <f t="shared" si="253"/>
        <v>5.9251632993527321E-2</v>
      </c>
      <c r="R267" s="3">
        <f t="shared" si="253"/>
        <v>5.925142834745159E-2</v>
      </c>
      <c r="S267" s="3">
        <f t="shared" si="253"/>
        <v>5.9249381925568674E-2</v>
      </c>
      <c r="T267" s="3">
        <f t="shared" si="253"/>
        <v>5.9228921593691815E-2</v>
      </c>
      <c r="U267" s="3">
        <f t="shared" si="253"/>
        <v>5.9024706473886912E-2</v>
      </c>
      <c r="V267" s="3">
        <f t="shared" si="253"/>
        <v>5.7020883632610563E-2</v>
      </c>
      <c r="W267" s="3">
        <f t="shared" si="253"/>
        <v>4.036779373676308E-2</v>
      </c>
      <c r="X267" s="3">
        <f t="shared" si="253"/>
        <v>1.2765732032554925E-3</v>
      </c>
      <c r="Y267" s="3">
        <f t="shared" si="253"/>
        <v>1.2768880461054945E-18</v>
      </c>
      <c r="Z267" s="3">
        <f t="shared" si="253"/>
        <v>1.2800407485218017E-168</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5.2327746974864794E-2</v>
      </c>
      <c r="C268" s="3">
        <f t="shared" si="254"/>
        <v>5.2327746974864794E-2</v>
      </c>
      <c r="D268" s="3">
        <f t="shared" si="254"/>
        <v>5.2327746974864794E-2</v>
      </c>
      <c r="E268" s="3">
        <f t="shared" si="254"/>
        <v>5.2327746974864794E-2</v>
      </c>
      <c r="F268" s="3">
        <f t="shared" si="254"/>
        <v>5.2327746974864794E-2</v>
      </c>
      <c r="G268" s="3">
        <f t="shared" si="254"/>
        <v>5.2327746974864794E-2</v>
      </c>
      <c r="H268" s="3">
        <f t="shared" si="254"/>
        <v>5.2327746974864794E-2</v>
      </c>
      <c r="I268" s="3">
        <f t="shared" si="254"/>
        <v>5.2327746974864774E-2</v>
      </c>
      <c r="J268" s="3">
        <f t="shared" si="254"/>
        <v>5.2327746974864614E-2</v>
      </c>
      <c r="K268" s="3">
        <f t="shared" si="254"/>
        <v>5.2327746974862983E-2</v>
      </c>
      <c r="L268" s="3">
        <f t="shared" si="254"/>
        <v>5.2327746974846677E-2</v>
      </c>
      <c r="M268" s="3">
        <f t="shared" si="254"/>
        <v>5.2327746974683641E-2</v>
      </c>
      <c r="N268" s="3">
        <f t="shared" si="254"/>
        <v>5.2327746973053292E-2</v>
      </c>
      <c r="O268" s="3">
        <f t="shared" si="254"/>
        <v>5.2327746956749729E-2</v>
      </c>
      <c r="P268" s="3">
        <f t="shared" si="254"/>
        <v>5.2327746793714117E-2</v>
      </c>
      <c r="Q268" s="3">
        <f t="shared" si="254"/>
        <v>5.2327745163358044E-2</v>
      </c>
      <c r="R268" s="3">
        <f t="shared" si="254"/>
        <v>5.2327728859800096E-2</v>
      </c>
      <c r="S268" s="3">
        <f t="shared" si="254"/>
        <v>5.232756582450003E-2</v>
      </c>
      <c r="T268" s="3">
        <f t="shared" si="254"/>
        <v>5.2325935499437037E-2</v>
      </c>
      <c r="U268" s="3">
        <f t="shared" si="254"/>
        <v>5.2309635042251126E-2</v>
      </c>
      <c r="V268" s="3">
        <f t="shared" si="254"/>
        <v>5.2146909493036624E-2</v>
      </c>
      <c r="W268" s="3">
        <f t="shared" si="254"/>
        <v>5.0547237272458266E-2</v>
      </c>
      <c r="X268" s="3">
        <f t="shared" si="254"/>
        <v>3.701569524752845E-2</v>
      </c>
      <c r="Y268" s="3">
        <f t="shared" si="254"/>
        <v>1.6416130052496053E-3</v>
      </c>
      <c r="Z268" s="3">
        <f t="shared" si="254"/>
        <v>4.8319175494458788E-17</v>
      </c>
      <c r="AA268" s="3">
        <f t="shared" si="254"/>
        <v>2.3583422125136795E-152</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1.7967891452015796E-2</v>
      </c>
      <c r="C269" s="3">
        <f t="shared" si="255"/>
        <v>1.7967891452015796E-2</v>
      </c>
      <c r="D269" s="3">
        <f t="shared" si="255"/>
        <v>1.7967891452015796E-2</v>
      </c>
      <c r="E269" s="3">
        <f t="shared" si="255"/>
        <v>1.7967891452015796E-2</v>
      </c>
      <c r="F269" s="3">
        <f t="shared" si="255"/>
        <v>1.7967891452015796E-2</v>
      </c>
      <c r="G269" s="3">
        <f t="shared" si="255"/>
        <v>1.7967891452015796E-2</v>
      </c>
      <c r="H269" s="3">
        <f t="shared" si="255"/>
        <v>1.7967891452015796E-2</v>
      </c>
      <c r="I269" s="3">
        <f t="shared" si="255"/>
        <v>1.7967891452015796E-2</v>
      </c>
      <c r="J269" s="3">
        <f t="shared" si="255"/>
        <v>1.7967891452015789E-2</v>
      </c>
      <c r="K269" s="3">
        <f t="shared" si="255"/>
        <v>1.7967891452015741E-2</v>
      </c>
      <c r="L269" s="3">
        <f t="shared" si="255"/>
        <v>1.7967891452015234E-2</v>
      </c>
      <c r="M269" s="3">
        <f t="shared" si="255"/>
        <v>1.7967891452010186E-2</v>
      </c>
      <c r="N269" s="3">
        <f t="shared" si="255"/>
        <v>1.7967891451959685E-2</v>
      </c>
      <c r="O269" s="3">
        <f t="shared" si="255"/>
        <v>1.7967891451454679E-2</v>
      </c>
      <c r="P269" s="3">
        <f t="shared" si="255"/>
        <v>1.7967891446404649E-2</v>
      </c>
      <c r="Q269" s="3">
        <f t="shared" si="255"/>
        <v>1.7967891395904326E-2</v>
      </c>
      <c r="R269" s="3">
        <f t="shared" si="255"/>
        <v>1.796789089090112E-2</v>
      </c>
      <c r="S269" s="3">
        <f t="shared" si="255"/>
        <v>1.7967885840869825E-2</v>
      </c>
      <c r="T269" s="3">
        <f t="shared" si="255"/>
        <v>1.7967835340634935E-2</v>
      </c>
      <c r="U269" s="3">
        <f t="shared" si="255"/>
        <v>1.7967330346092408E-2</v>
      </c>
      <c r="V269" s="3">
        <f t="shared" si="255"/>
        <v>1.7962281181222454E-2</v>
      </c>
      <c r="W269" s="3">
        <f t="shared" si="255"/>
        <v>1.7911867506943579E-2</v>
      </c>
      <c r="X269" s="3">
        <f t="shared" si="255"/>
        <v>1.741544772527848E-2</v>
      </c>
      <c r="Y269" s="3">
        <f t="shared" si="255"/>
        <v>1.3148384711782861E-2</v>
      </c>
      <c r="Z269" s="3">
        <f t="shared" si="255"/>
        <v>7.9113389187339216E-4</v>
      </c>
      <c r="AA269" s="3">
        <f t="shared" si="255"/>
        <v>4.9206883712723851E-16</v>
      </c>
      <c r="AB269" s="3">
        <f t="shared" si="255"/>
        <v>4.263679797276178E-138</v>
      </c>
      <c r="AC269" s="3">
        <f t="shared" si="255"/>
        <v>0</v>
      </c>
      <c r="AD269" s="3">
        <f t="shared" si="255"/>
        <v>0</v>
      </c>
      <c r="AE269" s="3">
        <f t="shared" si="255"/>
        <v>0</v>
      </c>
      <c r="AF269" s="3">
        <f t="shared" si="255"/>
        <v>0</v>
      </c>
      <c r="AG269" s="3"/>
      <c r="AH269" s="3"/>
    </row>
    <row r="270" spans="2:34" x14ac:dyDescent="0.25">
      <c r="B270" s="3">
        <f t="shared" ref="B270:AF270" si="256">$C39*EXP(-B$246/$A39/EXP(-$E$126))</f>
        <v>4.123109123431553E-2</v>
      </c>
      <c r="C270" s="3">
        <f t="shared" si="256"/>
        <v>4.123109123431553E-2</v>
      </c>
      <c r="D270" s="3">
        <f t="shared" si="256"/>
        <v>4.123109123431553E-2</v>
      </c>
      <c r="E270" s="3">
        <f t="shared" si="256"/>
        <v>4.123109123431553E-2</v>
      </c>
      <c r="F270" s="3">
        <f t="shared" si="256"/>
        <v>4.123109123431553E-2</v>
      </c>
      <c r="G270" s="3">
        <f t="shared" si="256"/>
        <v>4.123109123431553E-2</v>
      </c>
      <c r="H270" s="3">
        <f t="shared" si="256"/>
        <v>4.123109123431553E-2</v>
      </c>
      <c r="I270" s="3">
        <f t="shared" si="256"/>
        <v>4.123109123431553E-2</v>
      </c>
      <c r="J270" s="3">
        <f t="shared" si="256"/>
        <v>4.1231091234315523E-2</v>
      </c>
      <c r="K270" s="3">
        <f t="shared" si="256"/>
        <v>4.1231091234315495E-2</v>
      </c>
      <c r="L270" s="3">
        <f t="shared" si="256"/>
        <v>4.1231091234315176E-2</v>
      </c>
      <c r="M270" s="3">
        <f t="shared" si="256"/>
        <v>4.123109123431197E-2</v>
      </c>
      <c r="N270" s="3">
        <f t="shared" si="256"/>
        <v>4.1231091234279919E-2</v>
      </c>
      <c r="O270" s="3">
        <f t="shared" si="256"/>
        <v>4.1231091233959412E-2</v>
      </c>
      <c r="P270" s="3">
        <f t="shared" si="256"/>
        <v>4.1231091230754364E-2</v>
      </c>
      <c r="Q270" s="3">
        <f t="shared" si="256"/>
        <v>4.123109119870387E-2</v>
      </c>
      <c r="R270" s="3">
        <f t="shared" si="256"/>
        <v>4.1231090878198935E-2</v>
      </c>
      <c r="S270" s="3">
        <f t="shared" si="256"/>
        <v>4.1231087673149751E-2</v>
      </c>
      <c r="T270" s="3">
        <f t="shared" si="256"/>
        <v>4.123105562267157E-2</v>
      </c>
      <c r="U270" s="3">
        <f t="shared" si="256"/>
        <v>4.1230735119260037E-2</v>
      </c>
      <c r="V270" s="3">
        <f t="shared" si="256"/>
        <v>4.1227530222167727E-2</v>
      </c>
      <c r="W270" s="3">
        <f t="shared" si="256"/>
        <v>4.1195494949602812E-2</v>
      </c>
      <c r="X270" s="3">
        <f t="shared" si="256"/>
        <v>4.0876508128101521E-2</v>
      </c>
      <c r="Y270" s="3">
        <f t="shared" si="256"/>
        <v>3.781938213382216E-2</v>
      </c>
      <c r="Z270" s="3">
        <f t="shared" si="256"/>
        <v>1.7382843958919265E-2</v>
      </c>
      <c r="AA270" s="3">
        <f t="shared" si="256"/>
        <v>7.31450353843332E-6</v>
      </c>
      <c r="AB270" s="3">
        <f t="shared" si="256"/>
        <v>1.272990261601899E-39</v>
      </c>
      <c r="AC270" s="3">
        <f t="shared" si="256"/>
        <v>0</v>
      </c>
      <c r="AD270" s="3">
        <f t="shared" si="256"/>
        <v>0</v>
      </c>
      <c r="AE270" s="3">
        <f t="shared" si="256"/>
        <v>0</v>
      </c>
      <c r="AF270" s="3">
        <f t="shared" si="256"/>
        <v>0</v>
      </c>
      <c r="AG270" s="3"/>
      <c r="AH270" s="3"/>
    </row>
    <row r="271" spans="2:34" x14ac:dyDescent="0.25">
      <c r="B271" s="3">
        <f t="shared" ref="B271:AF271" si="257">$C40*EXP(-B$246/$A40/EXP(-$E$126))</f>
        <v>3.4610685556715946E-2</v>
      </c>
      <c r="C271" s="3">
        <f t="shared" si="257"/>
        <v>3.4610685556715946E-2</v>
      </c>
      <c r="D271" s="3">
        <f t="shared" si="257"/>
        <v>3.4610685556715946E-2</v>
      </c>
      <c r="E271" s="3">
        <f t="shared" si="257"/>
        <v>3.4610685556715946E-2</v>
      </c>
      <c r="F271" s="3">
        <f t="shared" si="257"/>
        <v>3.4610685556715946E-2</v>
      </c>
      <c r="G271" s="3">
        <f t="shared" si="257"/>
        <v>3.4610685556715946E-2</v>
      </c>
      <c r="H271" s="3">
        <f t="shared" si="257"/>
        <v>3.4610685556715946E-2</v>
      </c>
      <c r="I271" s="3">
        <f t="shared" si="257"/>
        <v>3.4610685556715946E-2</v>
      </c>
      <c r="J271" s="3">
        <f t="shared" si="257"/>
        <v>3.4610685556715946E-2</v>
      </c>
      <c r="K271" s="3">
        <f t="shared" si="257"/>
        <v>3.4610685556715939E-2</v>
      </c>
      <c r="L271" s="3">
        <f t="shared" si="257"/>
        <v>3.4610685556715919E-2</v>
      </c>
      <c r="M271" s="3">
        <f t="shared" si="257"/>
        <v>3.4610685556715648E-2</v>
      </c>
      <c r="N271" s="3">
        <f t="shared" si="257"/>
        <v>3.4610685556712956E-2</v>
      </c>
      <c r="O271" s="3">
        <f t="shared" si="257"/>
        <v>3.4610685556686054E-2</v>
      </c>
      <c r="P271" s="3">
        <f t="shared" si="257"/>
        <v>3.4610685556417012E-2</v>
      </c>
      <c r="Q271" s="3">
        <f t="shared" si="257"/>
        <v>3.4610685553726588E-2</v>
      </c>
      <c r="R271" s="3">
        <f t="shared" si="257"/>
        <v>3.4610685526822386E-2</v>
      </c>
      <c r="S271" s="3">
        <f t="shared" si="257"/>
        <v>3.4610685257780383E-2</v>
      </c>
      <c r="T271" s="3">
        <f t="shared" si="257"/>
        <v>3.4610682567360454E-2</v>
      </c>
      <c r="U271" s="3">
        <f t="shared" si="257"/>
        <v>3.4610655663172639E-2</v>
      </c>
      <c r="V271" s="3">
        <f t="shared" si="257"/>
        <v>3.4610386622444776E-2</v>
      </c>
      <c r="W271" s="3">
        <f t="shared" si="257"/>
        <v>3.4607696330187579E-2</v>
      </c>
      <c r="X271" s="3">
        <f t="shared" si="257"/>
        <v>3.4580804906451865E-2</v>
      </c>
      <c r="Y271" s="3">
        <f t="shared" si="257"/>
        <v>3.4313037252353761E-2</v>
      </c>
      <c r="Z271" s="3">
        <f t="shared" si="257"/>
        <v>3.1746788741152498E-2</v>
      </c>
      <c r="AA271" s="3">
        <f t="shared" si="257"/>
        <v>1.4591710486742872E-2</v>
      </c>
      <c r="AB271" s="3">
        <f t="shared" si="257"/>
        <v>6.140026237324117E-6</v>
      </c>
      <c r="AC271" s="3">
        <f t="shared" si="257"/>
        <v>1.068588396331255E-39</v>
      </c>
      <c r="AD271" s="3">
        <f t="shared" si="257"/>
        <v>0</v>
      </c>
      <c r="AE271" s="3">
        <f t="shared" si="257"/>
        <v>0</v>
      </c>
      <c r="AF271" s="3">
        <f t="shared" si="257"/>
        <v>0</v>
      </c>
      <c r="AG271" s="3"/>
      <c r="AH271" s="3"/>
    </row>
    <row r="272" spans="2:34" x14ac:dyDescent="0.25">
      <c r="B272" s="3">
        <f t="shared" ref="B272:AF272" si="258">$C41*EXP(-B$246/$A41/EXP(-$E$126))</f>
        <v>4.2854236942630193E-2</v>
      </c>
      <c r="C272" s="3">
        <f t="shared" si="258"/>
        <v>4.2854236942630193E-2</v>
      </c>
      <c r="D272" s="3">
        <f t="shared" si="258"/>
        <v>4.2854236942630193E-2</v>
      </c>
      <c r="E272" s="3">
        <f t="shared" si="258"/>
        <v>4.2854236942630193E-2</v>
      </c>
      <c r="F272" s="3">
        <f t="shared" si="258"/>
        <v>4.2854236942630193E-2</v>
      </c>
      <c r="G272" s="3">
        <f t="shared" si="258"/>
        <v>4.2854236942630193E-2</v>
      </c>
      <c r="H272" s="3">
        <f t="shared" si="258"/>
        <v>4.2854236942630193E-2</v>
      </c>
      <c r="I272" s="3">
        <f t="shared" si="258"/>
        <v>4.2854236942630193E-2</v>
      </c>
      <c r="J272" s="3">
        <f t="shared" si="258"/>
        <v>4.2854236942630193E-2</v>
      </c>
      <c r="K272" s="3">
        <f t="shared" si="258"/>
        <v>4.2854236942630193E-2</v>
      </c>
      <c r="L272" s="3">
        <f t="shared" si="258"/>
        <v>4.2854236942630186E-2</v>
      </c>
      <c r="M272" s="3">
        <f t="shared" si="258"/>
        <v>4.2854236942630158E-2</v>
      </c>
      <c r="N272" s="3">
        <f t="shared" si="258"/>
        <v>4.2854236942629825E-2</v>
      </c>
      <c r="O272" s="3">
        <f t="shared" si="258"/>
        <v>4.2854236942626495E-2</v>
      </c>
      <c r="P272" s="3">
        <f t="shared" si="258"/>
        <v>4.2854236942593181E-2</v>
      </c>
      <c r="Q272" s="3">
        <f t="shared" si="258"/>
        <v>4.2854236942260059E-2</v>
      </c>
      <c r="R272" s="3">
        <f t="shared" si="258"/>
        <v>4.2854236938928834E-2</v>
      </c>
      <c r="S272" s="3">
        <f t="shared" si="258"/>
        <v>4.2854236905616606E-2</v>
      </c>
      <c r="T272" s="3">
        <f t="shared" si="258"/>
        <v>4.2854236572494347E-2</v>
      </c>
      <c r="U272" s="3">
        <f t="shared" si="258"/>
        <v>4.2854233241271883E-2</v>
      </c>
      <c r="V272" s="3">
        <f t="shared" si="258"/>
        <v>4.285419992906149E-2</v>
      </c>
      <c r="W272" s="3">
        <f t="shared" si="258"/>
        <v>4.2853866808381741E-2</v>
      </c>
      <c r="X272" s="3">
        <f t="shared" si="258"/>
        <v>4.285053574400146E-2</v>
      </c>
      <c r="Y272" s="3">
        <f t="shared" si="258"/>
        <v>4.2817239337820584E-2</v>
      </c>
      <c r="Z272" s="3">
        <f t="shared" si="258"/>
        <v>4.2485694951752632E-2</v>
      </c>
      <c r="AA272" s="3">
        <f t="shared" si="258"/>
        <v>3.9308218979123392E-2</v>
      </c>
      <c r="AB272" s="3">
        <f t="shared" si="258"/>
        <v>1.806715494185878E-2</v>
      </c>
      <c r="AC272" s="3">
        <f t="shared" si="258"/>
        <v>7.6024538368959342E-6</v>
      </c>
      <c r="AD272" s="3">
        <f t="shared" si="258"/>
        <v>1.323104110592774E-39</v>
      </c>
      <c r="AE272" s="3">
        <f t="shared" si="258"/>
        <v>0</v>
      </c>
      <c r="AF272" s="3">
        <f t="shared" si="258"/>
        <v>0</v>
      </c>
      <c r="AG272" s="3"/>
      <c r="AH272" s="3"/>
    </row>
    <row r="273" spans="1:34" x14ac:dyDescent="0.25">
      <c r="B273" s="3">
        <f t="shared" ref="B273:AF273" si="259">$C42*EXP(-B$246/$A42/EXP(-$E$126))</f>
        <v>3.2192937025108795E-2</v>
      </c>
      <c r="C273" s="3">
        <f t="shared" si="259"/>
        <v>3.2192937025108795E-2</v>
      </c>
      <c r="D273" s="3">
        <f t="shared" si="259"/>
        <v>3.2192937025108795E-2</v>
      </c>
      <c r="E273" s="3">
        <f t="shared" si="259"/>
        <v>3.2192937025108795E-2</v>
      </c>
      <c r="F273" s="3">
        <f t="shared" si="259"/>
        <v>3.2192937025108795E-2</v>
      </c>
      <c r="G273" s="3">
        <f t="shared" si="259"/>
        <v>3.2192937025108795E-2</v>
      </c>
      <c r="H273" s="3">
        <f t="shared" si="259"/>
        <v>3.2192937025108795E-2</v>
      </c>
      <c r="I273" s="3">
        <f t="shared" si="259"/>
        <v>3.2192937025108795E-2</v>
      </c>
      <c r="J273" s="3">
        <f t="shared" si="259"/>
        <v>3.2192937025108795E-2</v>
      </c>
      <c r="K273" s="3">
        <f t="shared" si="259"/>
        <v>3.2192937025108795E-2</v>
      </c>
      <c r="L273" s="3">
        <f t="shared" si="259"/>
        <v>3.2192937025108795E-2</v>
      </c>
      <c r="M273" s="3">
        <f t="shared" si="259"/>
        <v>3.2192937025108788E-2</v>
      </c>
      <c r="N273" s="3">
        <f t="shared" si="259"/>
        <v>3.2192937025108767E-2</v>
      </c>
      <c r="O273" s="3">
        <f t="shared" si="259"/>
        <v>3.2192937025108517E-2</v>
      </c>
      <c r="P273" s="3">
        <f t="shared" si="259"/>
        <v>3.2192937025106012E-2</v>
      </c>
      <c r="Q273" s="3">
        <f t="shared" si="259"/>
        <v>3.2192937025080991E-2</v>
      </c>
      <c r="R273" s="3">
        <f t="shared" si="259"/>
        <v>3.2192937024830739E-2</v>
      </c>
      <c r="S273" s="3">
        <f t="shared" si="259"/>
        <v>3.2192937022328262E-2</v>
      </c>
      <c r="T273" s="3">
        <f t="shared" si="259"/>
        <v>3.2192936997303467E-2</v>
      </c>
      <c r="U273" s="3">
        <f t="shared" si="259"/>
        <v>3.2192936747055541E-2</v>
      </c>
      <c r="V273" s="3">
        <f t="shared" si="259"/>
        <v>3.2192934244576379E-2</v>
      </c>
      <c r="W273" s="3">
        <f t="shared" si="259"/>
        <v>3.2192909219795451E-2</v>
      </c>
      <c r="X273" s="3">
        <f t="shared" si="259"/>
        <v>3.2192658973056038E-2</v>
      </c>
      <c r="Y273" s="3">
        <f t="shared" si="259"/>
        <v>3.2190156612648492E-2</v>
      </c>
      <c r="Z273" s="3">
        <f t="shared" si="259"/>
        <v>3.2165143704151758E-2</v>
      </c>
      <c r="AA273" s="3">
        <f t="shared" si="259"/>
        <v>3.1916081107237412E-2</v>
      </c>
      <c r="AB273" s="3">
        <f t="shared" si="259"/>
        <v>2.9529099301387269E-2</v>
      </c>
      <c r="AC273" s="3">
        <f t="shared" si="259"/>
        <v>1.3572398501571471E-2</v>
      </c>
      <c r="AD273" s="3">
        <f t="shared" si="259"/>
        <v>5.7111113175374675E-6</v>
      </c>
      <c r="AE273" s="3">
        <f t="shared" si="259"/>
        <v>9.939415644478279E-40</v>
      </c>
      <c r="AF273" s="3">
        <f t="shared" si="259"/>
        <v>0</v>
      </c>
      <c r="AG273" s="3"/>
      <c r="AH273" s="3"/>
    </row>
    <row r="274" spans="1:34" x14ac:dyDescent="0.25">
      <c r="B274" s="3">
        <f t="shared" ref="B274:AF274" si="260">$C43*EXP(-B$246/$A43/EXP(-$E$126))</f>
        <v>2.5751010749186929E-2</v>
      </c>
      <c r="C274" s="3">
        <f t="shared" si="260"/>
        <v>2.5751010749186929E-2</v>
      </c>
      <c r="D274" s="3">
        <f t="shared" si="260"/>
        <v>2.5751010749186929E-2</v>
      </c>
      <c r="E274" s="3">
        <f t="shared" si="260"/>
        <v>2.5751010749186929E-2</v>
      </c>
      <c r="F274" s="3">
        <f t="shared" si="260"/>
        <v>2.5751010749186929E-2</v>
      </c>
      <c r="G274" s="3">
        <f t="shared" si="260"/>
        <v>2.5751010749186929E-2</v>
      </c>
      <c r="H274" s="3">
        <f t="shared" si="260"/>
        <v>2.5751010749186929E-2</v>
      </c>
      <c r="I274" s="3">
        <f t="shared" si="260"/>
        <v>2.5751010749186929E-2</v>
      </c>
      <c r="J274" s="3">
        <f t="shared" si="260"/>
        <v>2.5751010749186929E-2</v>
      </c>
      <c r="K274" s="3">
        <f t="shared" si="260"/>
        <v>2.5751010749186929E-2</v>
      </c>
      <c r="L274" s="3">
        <f t="shared" si="260"/>
        <v>2.5751010749186929E-2</v>
      </c>
      <c r="M274" s="3">
        <f t="shared" si="260"/>
        <v>2.5751010749186929E-2</v>
      </c>
      <c r="N274" s="3">
        <f t="shared" si="260"/>
        <v>2.5751010749186926E-2</v>
      </c>
      <c r="O274" s="3">
        <f t="shared" si="260"/>
        <v>2.5751010749186905E-2</v>
      </c>
      <c r="P274" s="3">
        <f t="shared" si="260"/>
        <v>2.5751010749186707E-2</v>
      </c>
      <c r="Q274" s="3">
        <f t="shared" si="260"/>
        <v>2.5751010749184705E-2</v>
      </c>
      <c r="R274" s="3">
        <f t="shared" si="260"/>
        <v>2.5751010749164686E-2</v>
      </c>
      <c r="S274" s="3">
        <f t="shared" si="260"/>
        <v>2.5751010748964517E-2</v>
      </c>
      <c r="T274" s="3">
        <f t="shared" si="260"/>
        <v>2.5751010746962791E-2</v>
      </c>
      <c r="U274" s="3">
        <f t="shared" si="260"/>
        <v>2.5751010726945554E-2</v>
      </c>
      <c r="V274" s="3">
        <f t="shared" si="260"/>
        <v>2.5751010526773165E-2</v>
      </c>
      <c r="W274" s="3">
        <f t="shared" si="260"/>
        <v>2.5751008525049378E-2</v>
      </c>
      <c r="X274" s="3">
        <f t="shared" si="260"/>
        <v>2.5750988507820063E-2</v>
      </c>
      <c r="Y274" s="3">
        <f t="shared" si="260"/>
        <v>2.5750788336382724E-2</v>
      </c>
      <c r="Z274" s="3">
        <f t="shared" si="260"/>
        <v>2.5748786707587474E-2</v>
      </c>
      <c r="AA274" s="3">
        <f t="shared" si="260"/>
        <v>2.5728778974988691E-2</v>
      </c>
      <c r="AB274" s="3">
        <f t="shared" si="260"/>
        <v>2.5529554728833101E-2</v>
      </c>
      <c r="AC274" s="3">
        <f t="shared" si="260"/>
        <v>2.3620216848520427E-2</v>
      </c>
      <c r="AD274" s="3">
        <f t="shared" si="260"/>
        <v>1.0856511148194451E-2</v>
      </c>
      <c r="AE274" s="3">
        <f t="shared" si="260"/>
        <v>4.5682967295902831E-6</v>
      </c>
      <c r="AF274" s="3">
        <f t="shared" si="260"/>
        <v>7.9505016551291785E-40</v>
      </c>
      <c r="AG274" s="3"/>
      <c r="AH274" s="3"/>
    </row>
    <row r="275" spans="1:34" x14ac:dyDescent="0.25">
      <c r="B275" s="3">
        <f t="shared" ref="B275:AF275" si="261">$C44*EXP(-B$246/$A44/EXP(-$E$126))</f>
        <v>1.2586213635594824E-2</v>
      </c>
      <c r="C275" s="3">
        <f t="shared" si="261"/>
        <v>1.2586213635594824E-2</v>
      </c>
      <c r="D275" s="3">
        <f t="shared" si="261"/>
        <v>1.2586213635594824E-2</v>
      </c>
      <c r="E275" s="3">
        <f t="shared" si="261"/>
        <v>1.2586213635594824E-2</v>
      </c>
      <c r="F275" s="3">
        <f t="shared" si="261"/>
        <v>1.2586213635594824E-2</v>
      </c>
      <c r="G275" s="3">
        <f t="shared" si="261"/>
        <v>1.2586213635594824E-2</v>
      </c>
      <c r="H275" s="3">
        <f t="shared" si="261"/>
        <v>1.2586213635594824E-2</v>
      </c>
      <c r="I275" s="3">
        <f t="shared" si="261"/>
        <v>1.2586213635594824E-2</v>
      </c>
      <c r="J275" s="3">
        <f t="shared" si="261"/>
        <v>1.2586213635594824E-2</v>
      </c>
      <c r="K275" s="3">
        <f t="shared" si="261"/>
        <v>1.2586213635594824E-2</v>
      </c>
      <c r="L275" s="3">
        <f t="shared" si="261"/>
        <v>1.2586213635594824E-2</v>
      </c>
      <c r="M275" s="3">
        <f t="shared" si="261"/>
        <v>1.2586213635594824E-2</v>
      </c>
      <c r="N275" s="3">
        <f t="shared" si="261"/>
        <v>1.2586213635594824E-2</v>
      </c>
      <c r="O275" s="3">
        <f t="shared" si="261"/>
        <v>1.2586213635594822E-2</v>
      </c>
      <c r="P275" s="3">
        <f t="shared" si="261"/>
        <v>1.2586213635594814E-2</v>
      </c>
      <c r="Q275" s="3">
        <f t="shared" si="261"/>
        <v>1.2586213635594715E-2</v>
      </c>
      <c r="R275" s="3">
        <f t="shared" si="261"/>
        <v>1.2586213635593736E-2</v>
      </c>
      <c r="S275" s="3">
        <f t="shared" si="261"/>
        <v>1.2586213635583952E-2</v>
      </c>
      <c r="T275" s="3">
        <f t="shared" si="261"/>
        <v>1.2586213635486116E-2</v>
      </c>
      <c r="U275" s="3">
        <f t="shared" si="261"/>
        <v>1.258621363450774E-2</v>
      </c>
      <c r="V275" s="3">
        <f t="shared" si="261"/>
        <v>1.2586213624723999E-2</v>
      </c>
      <c r="W275" s="3">
        <f t="shared" si="261"/>
        <v>1.258621352688658E-2</v>
      </c>
      <c r="X275" s="3">
        <f t="shared" si="261"/>
        <v>1.2586212548512431E-2</v>
      </c>
      <c r="Y275" s="3">
        <f t="shared" si="261"/>
        <v>1.2586202764775125E-2</v>
      </c>
      <c r="Z275" s="3">
        <f t="shared" si="261"/>
        <v>1.2586104927820349E-2</v>
      </c>
      <c r="AA275" s="3">
        <f t="shared" si="261"/>
        <v>1.2585126600100263E-2</v>
      </c>
      <c r="AB275" s="3">
        <f t="shared" si="261"/>
        <v>1.2575347504463791E-2</v>
      </c>
      <c r="AC275" s="3">
        <f t="shared" si="261"/>
        <v>1.2477973504354542E-2</v>
      </c>
      <c r="AD275" s="3">
        <f t="shared" si="261"/>
        <v>1.1544754428093317E-2</v>
      </c>
      <c r="AE275" s="3">
        <f t="shared" si="261"/>
        <v>5.3062914686836755E-3</v>
      </c>
      <c r="AF275" s="3">
        <f t="shared" si="261"/>
        <v>2.2328272528575567E-6</v>
      </c>
      <c r="AG275" s="3"/>
      <c r="AH275" s="3"/>
    </row>
    <row r="276" spans="1:34" x14ac:dyDescent="0.25">
      <c r="B276" s="3">
        <f t="shared" ref="B276:AF276" si="262">$C45*EXP(-B$246/$A45/EXP(-$E$126))</f>
        <v>6.9130744193958088E-3</v>
      </c>
      <c r="C276" s="3">
        <f t="shared" si="262"/>
        <v>6.9130744193958088E-3</v>
      </c>
      <c r="D276" s="3">
        <f t="shared" si="262"/>
        <v>6.9130744193958088E-3</v>
      </c>
      <c r="E276" s="3">
        <f t="shared" si="262"/>
        <v>6.9130744193958088E-3</v>
      </c>
      <c r="F276" s="3">
        <f t="shared" si="262"/>
        <v>6.9130744193958088E-3</v>
      </c>
      <c r="G276" s="3">
        <f t="shared" si="262"/>
        <v>6.9130744193958088E-3</v>
      </c>
      <c r="H276" s="3">
        <f t="shared" si="262"/>
        <v>6.9130744193958088E-3</v>
      </c>
      <c r="I276" s="3">
        <f t="shared" si="262"/>
        <v>6.9130744193958088E-3</v>
      </c>
      <c r="J276" s="3">
        <f t="shared" si="262"/>
        <v>6.9130744193958088E-3</v>
      </c>
      <c r="K276" s="3">
        <f t="shared" si="262"/>
        <v>6.9130744193958088E-3</v>
      </c>
      <c r="L276" s="3">
        <f t="shared" si="262"/>
        <v>6.9130744193958088E-3</v>
      </c>
      <c r="M276" s="3">
        <f t="shared" si="262"/>
        <v>6.9130744193958088E-3</v>
      </c>
      <c r="N276" s="3">
        <f t="shared" si="262"/>
        <v>6.9130744193958088E-3</v>
      </c>
      <c r="O276" s="3">
        <f t="shared" si="262"/>
        <v>6.9130744193958088E-3</v>
      </c>
      <c r="P276" s="3">
        <f t="shared" si="262"/>
        <v>6.913074419395808E-3</v>
      </c>
      <c r="Q276" s="3">
        <f t="shared" si="262"/>
        <v>6.9130744193958028E-3</v>
      </c>
      <c r="R276" s="3">
        <f t="shared" si="262"/>
        <v>6.913074419395749E-3</v>
      </c>
      <c r="S276" s="3">
        <f t="shared" si="262"/>
        <v>6.9130744193952121E-3</v>
      </c>
      <c r="T276" s="3">
        <f t="shared" si="262"/>
        <v>6.9130744193898379E-3</v>
      </c>
      <c r="U276" s="3">
        <f t="shared" si="262"/>
        <v>6.9130744193360997E-3</v>
      </c>
      <c r="V276" s="3">
        <f t="shared" si="262"/>
        <v>6.9130744187987205E-3</v>
      </c>
      <c r="W276" s="3">
        <f t="shared" si="262"/>
        <v>6.9130744134249253E-3</v>
      </c>
      <c r="X276" s="3">
        <f t="shared" si="262"/>
        <v>6.913074359686972E-3</v>
      </c>
      <c r="Y276" s="3">
        <f t="shared" si="262"/>
        <v>6.9130738223074631E-3</v>
      </c>
      <c r="Z276" s="3">
        <f t="shared" si="262"/>
        <v>6.9130684485146721E-3</v>
      </c>
      <c r="AA276" s="3">
        <f t="shared" si="262"/>
        <v>6.9130147108165119E-3</v>
      </c>
      <c r="AB276" s="3">
        <f t="shared" si="262"/>
        <v>6.9124773568090773E-3</v>
      </c>
      <c r="AC276" s="3">
        <f t="shared" si="262"/>
        <v>6.90710611349106E-3</v>
      </c>
      <c r="AD276" s="3">
        <f t="shared" si="262"/>
        <v>6.853622696733716E-3</v>
      </c>
      <c r="AE276" s="3">
        <f t="shared" si="262"/>
        <v>6.3410449580603026E-3</v>
      </c>
      <c r="AF276" s="3">
        <f t="shared" si="262"/>
        <v>2.9145213068903788E-3</v>
      </c>
      <c r="AG276" s="3"/>
      <c r="AH276" s="3"/>
    </row>
    <row r="277" spans="1:34" x14ac:dyDescent="0.25">
      <c r="B277" s="3">
        <f t="shared" ref="B277:AF277" si="263">$C46*EXP(-B$246/$A46/EXP(-$E$126))</f>
        <v>3.0323866622783903E-3</v>
      </c>
      <c r="C277" s="3">
        <f t="shared" si="263"/>
        <v>3.0323866622783903E-3</v>
      </c>
      <c r="D277" s="3">
        <f t="shared" si="263"/>
        <v>3.0323866622783903E-3</v>
      </c>
      <c r="E277" s="3">
        <f t="shared" si="263"/>
        <v>3.0323866622783903E-3</v>
      </c>
      <c r="F277" s="3">
        <f t="shared" si="263"/>
        <v>3.0323866622783903E-3</v>
      </c>
      <c r="G277" s="3">
        <f t="shared" si="263"/>
        <v>3.0323866622783903E-3</v>
      </c>
      <c r="H277" s="3">
        <f t="shared" si="263"/>
        <v>3.0323866622783903E-3</v>
      </c>
      <c r="I277" s="3">
        <f t="shared" si="263"/>
        <v>3.0323866622783903E-3</v>
      </c>
      <c r="J277" s="3">
        <f t="shared" si="263"/>
        <v>3.0323866622783903E-3</v>
      </c>
      <c r="K277" s="3">
        <f t="shared" si="263"/>
        <v>3.0323866622783903E-3</v>
      </c>
      <c r="L277" s="3">
        <f t="shared" si="263"/>
        <v>3.0323866622783903E-3</v>
      </c>
      <c r="M277" s="3">
        <f t="shared" si="263"/>
        <v>3.0323866622783903E-3</v>
      </c>
      <c r="N277" s="3">
        <f t="shared" si="263"/>
        <v>3.0323866622783903E-3</v>
      </c>
      <c r="O277" s="3">
        <f t="shared" si="263"/>
        <v>3.0323866622783903E-3</v>
      </c>
      <c r="P277" s="3">
        <f t="shared" si="263"/>
        <v>3.0323866622783903E-3</v>
      </c>
      <c r="Q277" s="3">
        <f t="shared" si="263"/>
        <v>3.0323866622783899E-3</v>
      </c>
      <c r="R277" s="3">
        <f t="shared" si="263"/>
        <v>3.0323866622783877E-3</v>
      </c>
      <c r="S277" s="3">
        <f t="shared" si="263"/>
        <v>3.0323866622783639E-3</v>
      </c>
      <c r="T277" s="3">
        <f t="shared" si="263"/>
        <v>3.0323866622781284E-3</v>
      </c>
      <c r="U277" s="3">
        <f t="shared" si="263"/>
        <v>3.0323866622757709E-3</v>
      </c>
      <c r="V277" s="3">
        <f t="shared" si="263"/>
        <v>3.0323866622521995E-3</v>
      </c>
      <c r="W277" s="3">
        <f t="shared" si="263"/>
        <v>3.0323866620164805E-3</v>
      </c>
      <c r="X277" s="3">
        <f t="shared" si="263"/>
        <v>3.0323866596592909E-3</v>
      </c>
      <c r="Y277" s="3">
        <f t="shared" si="263"/>
        <v>3.0323866360873978E-3</v>
      </c>
      <c r="Z277" s="3">
        <f t="shared" si="263"/>
        <v>3.0323864003684751E-3</v>
      </c>
      <c r="AA277" s="3">
        <f t="shared" si="263"/>
        <v>3.0323840431802549E-3</v>
      </c>
      <c r="AB277" s="3">
        <f t="shared" si="263"/>
        <v>3.0323604713988336E-3</v>
      </c>
      <c r="AC277" s="3">
        <f t="shared" si="263"/>
        <v>3.0321247636621289E-3</v>
      </c>
      <c r="AD277" s="3">
        <f t="shared" si="263"/>
        <v>3.0297686937561393E-3</v>
      </c>
      <c r="AE277" s="3">
        <f t="shared" si="263"/>
        <v>3.0063084516425845E-3</v>
      </c>
      <c r="AF277" s="3">
        <f t="shared" si="263"/>
        <v>2.7814687054114246E-3</v>
      </c>
      <c r="AG277" s="3"/>
      <c r="AH277" s="3"/>
    </row>
    <row r="278" spans="1:34" x14ac:dyDescent="0.25">
      <c r="B278" s="3">
        <f t="shared" ref="B278:AF278" si="264">$C47*EXP(-B$246/$A47/EXP(-$E$126))</f>
        <v>2.0349292815546579E-6</v>
      </c>
      <c r="C278" s="3">
        <f t="shared" si="264"/>
        <v>2.0349292815546579E-6</v>
      </c>
      <c r="D278" s="3">
        <f t="shared" si="264"/>
        <v>2.0349292815546579E-6</v>
      </c>
      <c r="E278" s="3">
        <f t="shared" si="264"/>
        <v>2.0349292815546579E-6</v>
      </c>
      <c r="F278" s="3">
        <f t="shared" si="264"/>
        <v>2.0349292815546579E-6</v>
      </c>
      <c r="G278" s="3">
        <f t="shared" si="264"/>
        <v>2.0349292815546579E-6</v>
      </c>
      <c r="H278" s="3">
        <f t="shared" si="264"/>
        <v>2.0349292815546579E-6</v>
      </c>
      <c r="I278" s="3">
        <f t="shared" si="264"/>
        <v>2.0349292815546579E-6</v>
      </c>
      <c r="J278" s="3">
        <f t="shared" si="264"/>
        <v>2.0349292815546579E-6</v>
      </c>
      <c r="K278" s="3">
        <f t="shared" si="264"/>
        <v>2.0349292815546579E-6</v>
      </c>
      <c r="L278" s="3">
        <f t="shared" si="264"/>
        <v>2.0349292815546579E-6</v>
      </c>
      <c r="M278" s="3">
        <f t="shared" si="264"/>
        <v>2.0349292815546579E-6</v>
      </c>
      <c r="N278" s="3">
        <f t="shared" si="264"/>
        <v>2.0349292815546579E-6</v>
      </c>
      <c r="O278" s="3">
        <f t="shared" si="264"/>
        <v>2.0349292815546579E-6</v>
      </c>
      <c r="P278" s="3">
        <f t="shared" si="264"/>
        <v>2.0349292815546579E-6</v>
      </c>
      <c r="Q278" s="3">
        <f t="shared" si="264"/>
        <v>2.0349292815546579E-6</v>
      </c>
      <c r="R278" s="3">
        <f t="shared" si="264"/>
        <v>2.0349292815546575E-6</v>
      </c>
      <c r="S278" s="3">
        <f t="shared" si="264"/>
        <v>2.0349292815546562E-6</v>
      </c>
      <c r="T278" s="3">
        <f t="shared" si="264"/>
        <v>2.0349292815546401E-6</v>
      </c>
      <c r="U278" s="3">
        <f t="shared" si="264"/>
        <v>2.0349292815544822E-6</v>
      </c>
      <c r="V278" s="3">
        <f t="shared" si="264"/>
        <v>2.0349292815529003E-6</v>
      </c>
      <c r="W278" s="3">
        <f t="shared" si="264"/>
        <v>2.034929281537082E-6</v>
      </c>
      <c r="X278" s="3">
        <f t="shared" si="264"/>
        <v>2.0349292813788994E-6</v>
      </c>
      <c r="Y278" s="3">
        <f t="shared" si="264"/>
        <v>2.0349292797970713E-6</v>
      </c>
      <c r="Z278" s="3">
        <f t="shared" si="264"/>
        <v>2.0349292639787933E-6</v>
      </c>
      <c r="AA278" s="3">
        <f t="shared" si="264"/>
        <v>2.0349291057960181E-6</v>
      </c>
      <c r="AB278" s="3">
        <f t="shared" si="264"/>
        <v>2.0349275239689407E-6</v>
      </c>
      <c r="AC278" s="3">
        <f t="shared" si="264"/>
        <v>2.0349117057657976E-6</v>
      </c>
      <c r="AD278" s="3">
        <f t="shared" si="264"/>
        <v>2.0347535304970311E-6</v>
      </c>
      <c r="AE278" s="3">
        <f t="shared" si="264"/>
        <v>2.0331724538814633E-6</v>
      </c>
      <c r="AF278" s="3">
        <f t="shared" si="264"/>
        <v>2.0174291008905341E-6</v>
      </c>
      <c r="AG278" s="3"/>
      <c r="AH278" s="3"/>
    </row>
    <row r="279" spans="1:34" x14ac:dyDescent="0.25">
      <c r="B279" s="3">
        <f t="shared" ref="B279:AF279" si="265">$C48*EXP(-B$246/$A48/EXP(-$E$126))</f>
        <v>1.1740866771866395E-2</v>
      </c>
      <c r="C279" s="3">
        <f t="shared" si="265"/>
        <v>1.1740866771866395E-2</v>
      </c>
      <c r="D279" s="3">
        <f t="shared" si="265"/>
        <v>1.1740866771866395E-2</v>
      </c>
      <c r="E279" s="3">
        <f t="shared" si="265"/>
        <v>1.1740866771866395E-2</v>
      </c>
      <c r="F279" s="3">
        <f t="shared" si="265"/>
        <v>1.1740866771866395E-2</v>
      </c>
      <c r="G279" s="3">
        <f t="shared" si="265"/>
        <v>1.1740866771866395E-2</v>
      </c>
      <c r="H279" s="3">
        <f t="shared" si="265"/>
        <v>1.1740866771866395E-2</v>
      </c>
      <c r="I279" s="3">
        <f t="shared" si="265"/>
        <v>1.1740866771866395E-2</v>
      </c>
      <c r="J279" s="3">
        <f t="shared" si="265"/>
        <v>1.1740866771866395E-2</v>
      </c>
      <c r="K279" s="3">
        <f t="shared" si="265"/>
        <v>1.1740866771866395E-2</v>
      </c>
      <c r="L279" s="3">
        <f t="shared" si="265"/>
        <v>1.1740866771866395E-2</v>
      </c>
      <c r="M279" s="3">
        <f t="shared" si="265"/>
        <v>1.1740866771866395E-2</v>
      </c>
      <c r="N279" s="3">
        <f t="shared" si="265"/>
        <v>1.1740866771866395E-2</v>
      </c>
      <c r="O279" s="3">
        <f t="shared" si="265"/>
        <v>1.1740866771866395E-2</v>
      </c>
      <c r="P279" s="3">
        <f t="shared" si="265"/>
        <v>1.1740866771866395E-2</v>
      </c>
      <c r="Q279" s="3">
        <f t="shared" si="265"/>
        <v>1.1740866771866395E-2</v>
      </c>
      <c r="R279" s="3">
        <f t="shared" si="265"/>
        <v>1.1740866771866395E-2</v>
      </c>
      <c r="S279" s="3">
        <f t="shared" si="265"/>
        <v>1.1740866771866393E-2</v>
      </c>
      <c r="T279" s="3">
        <f t="shared" si="265"/>
        <v>1.1740866771866384E-2</v>
      </c>
      <c r="U279" s="3">
        <f t="shared" si="265"/>
        <v>1.1740866771866292E-2</v>
      </c>
      <c r="V279" s="3">
        <f t="shared" si="265"/>
        <v>1.174086677186538E-2</v>
      </c>
      <c r="W279" s="3">
        <f t="shared" si="265"/>
        <v>1.1740866771856253E-2</v>
      </c>
      <c r="X279" s="3">
        <f t="shared" si="265"/>
        <v>1.1740866771764988E-2</v>
      </c>
      <c r="Y279" s="3">
        <f t="shared" si="265"/>
        <v>1.1740866770852326E-2</v>
      </c>
      <c r="Z279" s="3">
        <f t="shared" si="265"/>
        <v>1.1740866761725704E-2</v>
      </c>
      <c r="AA279" s="3">
        <f t="shared" si="265"/>
        <v>1.1740866670459487E-2</v>
      </c>
      <c r="AB279" s="3">
        <f t="shared" si="265"/>
        <v>1.1740865757797357E-2</v>
      </c>
      <c r="AC279" s="3">
        <f t="shared" si="265"/>
        <v>1.1740856631179967E-2</v>
      </c>
      <c r="AD279" s="3">
        <f t="shared" si="265"/>
        <v>1.1740765365396257E-2</v>
      </c>
      <c r="AE279" s="3">
        <f t="shared" si="265"/>
        <v>1.17398527465775E-2</v>
      </c>
      <c r="AF279" s="3">
        <f t="shared" si="265"/>
        <v>1.1730730459101585E-2</v>
      </c>
      <c r="AG279" s="3"/>
      <c r="AH279" s="3"/>
    </row>
    <row r="280" spans="1:34" x14ac:dyDescent="0.25">
      <c r="A280" s="79">
        <f>AVERAGE(B280:AF280)</f>
        <v>3.2131188356912206E-2</v>
      </c>
      <c r="B280" s="80">
        <f>IF($D$61&lt;=B246,IF($E$61&gt;=B246,ABS((B248-B247)/B247),0),0)</f>
        <v>2.3563864716506466E-2</v>
      </c>
      <c r="C280" s="80">
        <f t="shared" ref="C280:AF280" si="266">IF($D$61&lt;=C246,IF($E$61&gt;=C246,ABS((C248-C247)/C247),0),0)</f>
        <v>2.3504195856771114E-2</v>
      </c>
      <c r="D280" s="80">
        <f t="shared" si="266"/>
        <v>2.2855244290216677E-2</v>
      </c>
      <c r="E280" s="80">
        <f t="shared" si="266"/>
        <v>1.8916973774620097E-2</v>
      </c>
      <c r="F280" s="80">
        <f t="shared" si="266"/>
        <v>2.6557589694356752E-2</v>
      </c>
      <c r="G280" s="80">
        <f t="shared" si="266"/>
        <v>2.3945117391778816E-2</v>
      </c>
      <c r="H280" s="80">
        <f t="shared" si="266"/>
        <v>2.6356257467261435E-2</v>
      </c>
      <c r="I280" s="80">
        <f t="shared" si="266"/>
        <v>2.8061670574288596E-2</v>
      </c>
      <c r="J280" s="80">
        <f t="shared" si="266"/>
        <v>3.1151183227587267E-2</v>
      </c>
      <c r="K280" s="80">
        <f t="shared" si="266"/>
        <v>3.3747014013744178E-2</v>
      </c>
      <c r="L280" s="80">
        <f t="shared" si="266"/>
        <v>3.6007350485729561E-2</v>
      </c>
      <c r="M280" s="80">
        <f t="shared" si="266"/>
        <v>3.4510678384391154E-2</v>
      </c>
      <c r="N280" s="80">
        <f t="shared" si="266"/>
        <v>3.9285947184527936E-2</v>
      </c>
      <c r="O280" s="80">
        <f t="shared" si="266"/>
        <v>4.6995567436229173E-2</v>
      </c>
      <c r="P280" s="80">
        <f t="shared" si="266"/>
        <v>5.2162465401241399E-2</v>
      </c>
      <c r="Q280" s="80">
        <f t="shared" si="266"/>
        <v>4.7962952801861955E-2</v>
      </c>
      <c r="R280" s="80">
        <f t="shared" si="266"/>
        <v>3.8608335751110279E-2</v>
      </c>
      <c r="S280" s="80">
        <f t="shared" si="266"/>
        <v>4.2578583728425058E-3</v>
      </c>
      <c r="T280" s="80">
        <f t="shared" si="266"/>
        <v>8.9780071394045438E-2</v>
      </c>
      <c r="U280" s="80">
        <f t="shared" si="266"/>
        <v>0.13932254392862473</v>
      </c>
      <c r="V280" s="80">
        <f t="shared" si="266"/>
        <v>0.10957483834643188</v>
      </c>
      <c r="W280" s="80">
        <f t="shared" si="266"/>
        <v>5.0725365602304319E-2</v>
      </c>
      <c r="X280" s="80">
        <f t="shared" si="266"/>
        <v>8.3478420435517363E-5</v>
      </c>
      <c r="Y280" s="80">
        <f t="shared" si="266"/>
        <v>4.8130274547370948E-2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26833.955505100366</v>
      </c>
      <c r="C281" s="21">
        <f t="shared" ref="C281:AF281" si="267">(C248-C247)^2</f>
        <v>26690.354187324916</v>
      </c>
      <c r="D281" s="21">
        <f t="shared" si="267"/>
        <v>25160.283090584555</v>
      </c>
      <c r="E281" s="21">
        <f t="shared" si="267"/>
        <v>16836.090849937566</v>
      </c>
      <c r="F281" s="21">
        <f t="shared" si="267"/>
        <v>31620.177801393875</v>
      </c>
      <c r="G281" s="21">
        <f t="shared" si="267"/>
        <v>24823.977798981938</v>
      </c>
      <c r="H281" s="21">
        <f t="shared" si="267"/>
        <v>29043.394671011247</v>
      </c>
      <c r="I281" s="21">
        <f t="shared" si="267"/>
        <v>31642.221298959696</v>
      </c>
      <c r="J281" s="21">
        <f t="shared" si="267"/>
        <v>37344.521210886509</v>
      </c>
      <c r="K281" s="21">
        <f t="shared" si="267"/>
        <v>41693.65343254678</v>
      </c>
      <c r="L281" s="21">
        <f t="shared" si="267"/>
        <v>44901.388558545448</v>
      </c>
      <c r="M281" s="21">
        <f t="shared" si="267"/>
        <v>38822.242903134815</v>
      </c>
      <c r="N281" s="21">
        <f t="shared" si="267"/>
        <v>47504.393648676989</v>
      </c>
      <c r="O281" s="21">
        <f t="shared" si="267"/>
        <v>63552.04008929219</v>
      </c>
      <c r="P281" s="21">
        <f t="shared" si="267"/>
        <v>71967.896971145077</v>
      </c>
      <c r="Q281" s="21">
        <f t="shared" si="267"/>
        <v>55261.947802736533</v>
      </c>
      <c r="R281" s="21">
        <f t="shared" si="267"/>
        <v>32388.203598528478</v>
      </c>
      <c r="S281" s="21">
        <f t="shared" si="267"/>
        <v>335.00565838682854</v>
      </c>
      <c r="T281" s="21">
        <f t="shared" si="267"/>
        <v>108785.96471820473</v>
      </c>
      <c r="U281" s="21">
        <f t="shared" si="267"/>
        <v>181274.86448401021</v>
      </c>
      <c r="V281" s="21">
        <f t="shared" si="267"/>
        <v>80318.08124885014</v>
      </c>
      <c r="W281" s="21">
        <f t="shared" si="267"/>
        <v>12995.282966463339</v>
      </c>
      <c r="X281" s="21">
        <f t="shared" si="267"/>
        <v>2.7300766534592093E-2</v>
      </c>
      <c r="Y281" s="21">
        <f t="shared" si="267"/>
        <v>7126.3790634028192</v>
      </c>
      <c r="Z281" s="21">
        <f t="shared" si="267"/>
        <v>17687.437820718729</v>
      </c>
      <c r="AA281" s="21">
        <f t="shared" si="267"/>
        <v>35545.004004956791</v>
      </c>
      <c r="AB281" s="21">
        <f t="shared" si="267"/>
        <v>49227.029213146445</v>
      </c>
      <c r="AC281" s="21">
        <f t="shared" si="267"/>
        <v>49344.292112446783</v>
      </c>
      <c r="AD281" s="21">
        <f t="shared" si="267"/>
        <v>30667.809986069235</v>
      </c>
      <c r="AE281" s="21">
        <f t="shared" si="267"/>
        <v>12961.773018751806</v>
      </c>
      <c r="AF281" s="21">
        <f t="shared" si="267"/>
        <v>3396.7271525699084</v>
      </c>
      <c r="AG281" s="3"/>
      <c r="AH281" s="3"/>
    </row>
    <row r="282" spans="1:34" s="3" customFormat="1" x14ac:dyDescent="0.25">
      <c r="A282" s="71">
        <f>SUM(B282:AF282)</f>
        <v>1036922.3488588714</v>
      </c>
      <c r="B282" s="21">
        <f>IF($D$61&lt;=B246,IF($E$61&gt;=B246,ABS(B281),0),0)</f>
        <v>26833.955505100366</v>
      </c>
      <c r="C282" s="21">
        <f t="shared" ref="C282:AF282" si="268">IF($D$61&lt;=C246,IF($E$61&gt;=C246,ABS(C281),0),0)</f>
        <v>26690.354187324916</v>
      </c>
      <c r="D282" s="21">
        <f t="shared" si="268"/>
        <v>25160.283090584555</v>
      </c>
      <c r="E282" s="21">
        <f t="shared" si="268"/>
        <v>16836.090849937566</v>
      </c>
      <c r="F282" s="21">
        <f t="shared" si="268"/>
        <v>31620.177801393875</v>
      </c>
      <c r="G282" s="21">
        <f t="shared" si="268"/>
        <v>24823.977798981938</v>
      </c>
      <c r="H282" s="21">
        <f t="shared" si="268"/>
        <v>29043.394671011247</v>
      </c>
      <c r="I282" s="21">
        <f t="shared" si="268"/>
        <v>31642.221298959696</v>
      </c>
      <c r="J282" s="21">
        <f t="shared" si="268"/>
        <v>37344.521210886509</v>
      </c>
      <c r="K282" s="21">
        <f t="shared" si="268"/>
        <v>41693.65343254678</v>
      </c>
      <c r="L282" s="21">
        <f t="shared" si="268"/>
        <v>44901.388558545448</v>
      </c>
      <c r="M282" s="21">
        <f t="shared" si="268"/>
        <v>38822.242903134815</v>
      </c>
      <c r="N282" s="21">
        <f t="shared" si="268"/>
        <v>47504.393648676989</v>
      </c>
      <c r="O282" s="21">
        <f t="shared" si="268"/>
        <v>63552.04008929219</v>
      </c>
      <c r="P282" s="21">
        <f t="shared" si="268"/>
        <v>71967.896971145077</v>
      </c>
      <c r="Q282" s="21">
        <f t="shared" si="268"/>
        <v>55261.947802736533</v>
      </c>
      <c r="R282" s="21">
        <f t="shared" si="268"/>
        <v>32388.203598528478</v>
      </c>
      <c r="S282" s="21">
        <f t="shared" si="268"/>
        <v>335.00565838682854</v>
      </c>
      <c r="T282" s="21">
        <f t="shared" si="268"/>
        <v>108785.96471820473</v>
      </c>
      <c r="U282" s="21">
        <f t="shared" si="268"/>
        <v>181274.86448401021</v>
      </c>
      <c r="V282" s="21">
        <f t="shared" si="268"/>
        <v>80318.08124885014</v>
      </c>
      <c r="W282" s="21">
        <f t="shared" si="268"/>
        <v>12995.282966463339</v>
      </c>
      <c r="X282" s="21">
        <f t="shared" si="268"/>
        <v>2.7300766534592093E-2</v>
      </c>
      <c r="Y282" s="21">
        <f t="shared" si="268"/>
        <v>7126.3790634028192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6840.5863197092085</v>
      </c>
      <c r="C286" s="26">
        <f>INDEX(Comparison!$AM$3:$AS$33,G$14,$F$122)</f>
        <v>6643.5965561721414</v>
      </c>
      <c r="D286" s="26">
        <f>INDEX(Comparison!$AM$3:$AS$33,H$14,$F$122)</f>
        <v>6527.1577578820725</v>
      </c>
      <c r="E286" s="26">
        <f>INDEX(Comparison!$AM$3:$AS$33,I$14,$F$122)</f>
        <v>6412.9995296962652</v>
      </c>
      <c r="F286" s="26">
        <f>INDEX(Comparison!$AM$3:$AS$33,J$14,$F$122)</f>
        <v>6286.8028992665704</v>
      </c>
      <c r="G286" s="26">
        <f>INDEX(Comparison!$AM$3:$AS$33,K$14,$F$122)</f>
        <v>6151.4165633211096</v>
      </c>
      <c r="H286" s="26">
        <f>INDEX(Comparison!$AM$3:$AS$33,L$14,$F$122)</f>
        <v>5999.0572498672</v>
      </c>
      <c r="I286" s="26">
        <f>INDEX(Comparison!$AM$3:$AS$33,M$14,$F$122)</f>
        <v>5834.1918541119712</v>
      </c>
      <c r="J286" s="26">
        <f>INDEX(Comparison!$AM$3:$AS$33,N$14,$F$122)</f>
        <v>5660.667941479277</v>
      </c>
      <c r="K286" s="26">
        <f>INDEX(Comparison!$AM$3:$AS$33,O$14,$F$122)</f>
        <v>5500.6338050295499</v>
      </c>
      <c r="L286" s="26">
        <f>INDEX(Comparison!$AM$3:$AS$33,P$14,$F$122)</f>
        <v>5316.0543139142828</v>
      </c>
      <c r="M286" s="26">
        <f>INDEX(Comparison!$AM$3:$AS$33,Q$14,$F$122)</f>
        <v>5094.9618199282804</v>
      </c>
      <c r="N286" s="26">
        <f>INDEX(Comparison!$AM$3:$AS$33,R$14,$F$122)</f>
        <v>4859.6753740182503</v>
      </c>
      <c r="O286" s="26">
        <f>INDEX(Comparison!$AM$3:$AS$33,S$14,$F$122)</f>
        <v>4653.8175879978271</v>
      </c>
      <c r="P286" s="26">
        <f>INDEX(Comparison!$AM$3:$AS$33,T$14,$F$122)</f>
        <v>4469.1753341299773</v>
      </c>
      <c r="Q286" s="26">
        <f>INDEX(Comparison!$AM$3:$AS$33,U$14,$F$122)</f>
        <v>4267.9652571239076</v>
      </c>
      <c r="R286" s="26">
        <f>INDEX(Comparison!$AM$3:$AS$33,V$14,$F$122)</f>
        <v>3976.7785402340392</v>
      </c>
      <c r="S286" s="26">
        <f>INDEX(Comparison!$AM$3:$AS$33,W$14,$F$122)</f>
        <v>3445.6591436468279</v>
      </c>
      <c r="T286" s="26">
        <f>INDEX(Comparison!$AM$3:$AS$33,X$14,$F$122)</f>
        <v>2839.3657389117534</v>
      </c>
      <c r="U286" s="26">
        <f>INDEX(Comparison!$AM$3:$AS$33,Y$14,$F$122)</f>
        <v>2338.5721090290958</v>
      </c>
      <c r="V286" s="26">
        <f>INDEX(Comparison!$AM$3:$AS$33,Z$14,$F$122)</f>
        <v>1960.3272335044344</v>
      </c>
      <c r="W286" s="26">
        <f>INDEX(Comparison!$AM$3:$AS$33,AA$14,$F$122)</f>
        <v>1656.3185875611684</v>
      </c>
      <c r="X286" s="26">
        <f>INDEX(Comparison!$AM$3:$AS$33,AB$14,$F$122)</f>
        <v>1387.2108481854204</v>
      </c>
      <c r="Y286" s="26">
        <f>INDEX(Comparison!$AM$3:$AS$33,AC$14,$F$122)</f>
        <v>1120.1049206759617</v>
      </c>
      <c r="Z286" s="26">
        <f>INDEX(Comparison!$AM$3:$AS$33,AD$14,$F$122)</f>
        <v>849.29779427462438</v>
      </c>
      <c r="AA286" s="26">
        <f>INDEX(Comparison!$AM$3:$AS$33,AE$14,$F$122)</f>
        <v>602.02056954985051</v>
      </c>
      <c r="AB286" s="26">
        <f>INDEX(Comparison!$AM$3:$AS$33,AF$14,$F$122)</f>
        <v>414.55153000594095</v>
      </c>
      <c r="AC286" s="26">
        <f>INDEX(Comparison!$AM$3:$AS$33,AG$14,$F$122)</f>
        <v>296.76424848335745</v>
      </c>
      <c r="AD286" s="26">
        <f>INDEX(Comparison!$AM$3:$AS$33,AH$14,$F$122)</f>
        <v>236.5039430342818</v>
      </c>
      <c r="AE286" s="26">
        <f>INDEX(Comparison!$AM$3:$AS$33,AI$14,$F$122)</f>
        <v>206.64782998877558</v>
      </c>
      <c r="AF286" s="26">
        <f>INDEX(Comparison!$AM$3:$AS$33,AJ$14,$F$122)</f>
        <v>191.80670583863778</v>
      </c>
      <c r="AG286" s="26"/>
      <c r="AH286" s="26"/>
    </row>
    <row r="287" spans="1:34" x14ac:dyDescent="0.25">
      <c r="A287" s="70" t="s">
        <v>22</v>
      </c>
      <c r="B287" s="27">
        <f>($C$17+SUM(B288:B318))*$B$51</f>
        <v>6780.5763438480599</v>
      </c>
      <c r="C287" s="27">
        <f t="shared" ref="C287:AF287" si="269">($C$17+SUM(C288:C318))*$B$51</f>
        <v>6721.2484133969256</v>
      </c>
      <c r="D287" s="27">
        <f t="shared" si="269"/>
        <v>6506.6354110798329</v>
      </c>
      <c r="E287" s="27">
        <f t="shared" si="269"/>
        <v>6416.3787718995709</v>
      </c>
      <c r="F287" s="27">
        <f t="shared" si="269"/>
        <v>6286.3602885660493</v>
      </c>
      <c r="G287" s="27">
        <f t="shared" si="269"/>
        <v>6151.5099432130646</v>
      </c>
      <c r="H287" s="27">
        <f t="shared" si="269"/>
        <v>5999.0519819151932</v>
      </c>
      <c r="I287" s="27">
        <f t="shared" si="269"/>
        <v>5834.3297344928915</v>
      </c>
      <c r="J287" s="27">
        <f t="shared" si="269"/>
        <v>5660.4724745024305</v>
      </c>
      <c r="K287" s="27">
        <f t="shared" si="269"/>
        <v>5501.133007817898</v>
      </c>
      <c r="L287" s="27">
        <f t="shared" si="269"/>
        <v>5315.3069331602901</v>
      </c>
      <c r="M287" s="27">
        <f t="shared" si="269"/>
        <v>5096.1552208197709</v>
      </c>
      <c r="N287" s="27">
        <f t="shared" si="269"/>
        <v>4858.3273811440295</v>
      </c>
      <c r="O287" s="27">
        <f t="shared" si="269"/>
        <v>4655.3144737567482</v>
      </c>
      <c r="P287" s="27">
        <f t="shared" si="269"/>
        <v>4467.9097686673576</v>
      </c>
      <c r="Q287" s="27">
        <f t="shared" si="269"/>
        <v>4269.001481055132</v>
      </c>
      <c r="R287" s="27">
        <f t="shared" si="269"/>
        <v>3976.2094427178095</v>
      </c>
      <c r="S287" s="27">
        <f t="shared" si="269"/>
        <v>3446.148956452852</v>
      </c>
      <c r="T287" s="27">
        <f t="shared" si="269"/>
        <v>2839.2716067142542</v>
      </c>
      <c r="U287" s="27">
        <f t="shared" si="269"/>
        <v>2338.7180925564276</v>
      </c>
      <c r="V287" s="27">
        <f t="shared" si="269"/>
        <v>1960.3589098562222</v>
      </c>
      <c r="W287" s="27">
        <f t="shared" si="269"/>
        <v>1656.3636950025088</v>
      </c>
      <c r="X287" s="27">
        <f t="shared" si="269"/>
        <v>1387.2712369878675</v>
      </c>
      <c r="Y287" s="27">
        <f t="shared" si="269"/>
        <v>1120.1626191132339</v>
      </c>
      <c r="Z287" s="27">
        <f t="shared" si="269"/>
        <v>849.35643151125339</v>
      </c>
      <c r="AA287" s="27">
        <f t="shared" si="269"/>
        <v>602.05871090783785</v>
      </c>
      <c r="AB287" s="27">
        <f t="shared" si="269"/>
        <v>414.5947494885844</v>
      </c>
      <c r="AC287" s="27">
        <f t="shared" si="269"/>
        <v>296.76209407448613</v>
      </c>
      <c r="AD287" s="27">
        <f t="shared" si="269"/>
        <v>236.53710584189409</v>
      </c>
      <c r="AE287" s="27">
        <f t="shared" si="269"/>
        <v>206.62586169034117</v>
      </c>
      <c r="AF287" s="27">
        <f t="shared" si="269"/>
        <v>191.82037864773071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4.0176468285619854E-2</v>
      </c>
      <c r="C289" s="3">
        <f t="shared" si="271"/>
        <v>3.1907626381477858E-2</v>
      </c>
      <c r="D289" s="3">
        <f t="shared" si="271"/>
        <v>3.1850914396920628E-3</v>
      </c>
      <c r="E289" s="3">
        <f t="shared" si="271"/>
        <v>3.1289309026977153E-13</v>
      </c>
      <c r="F289" s="3">
        <f t="shared" si="271"/>
        <v>2.6190069425973488E-113</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8.4011377057300451E-3</v>
      </c>
      <c r="C290" s="3">
        <f t="shared" si="272"/>
        <v>8.2283034972403992E-3</v>
      </c>
      <c r="D290" s="3">
        <f t="shared" si="272"/>
        <v>6.6839360885171941E-3</v>
      </c>
      <c r="E290" s="3">
        <f t="shared" si="272"/>
        <v>8.3608831369373388E-4</v>
      </c>
      <c r="F290" s="3">
        <f t="shared" si="272"/>
        <v>7.8424326852933237E-13</v>
      </c>
      <c r="G290" s="3">
        <f t="shared" si="272"/>
        <v>4.134635835886536E-103</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2.0968129773347988E-2</v>
      </c>
      <c r="C291" s="3">
        <f t="shared" si="273"/>
        <v>2.0928847479316687E-2</v>
      </c>
      <c r="D291" s="3">
        <f t="shared" si="273"/>
        <v>2.054004946691898E-2</v>
      </c>
      <c r="E291" s="3">
        <f t="shared" si="273"/>
        <v>1.7027982946680485E-2</v>
      </c>
      <c r="F291" s="3">
        <f t="shared" si="273"/>
        <v>2.6108409776013659E-3</v>
      </c>
      <c r="G291" s="3">
        <f t="shared" si="273"/>
        <v>1.8747896997451196E-11</v>
      </c>
      <c r="H291" s="3">
        <f t="shared" si="273"/>
        <v>6.833983765839671E-93</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1.9327470513126242E-2</v>
      </c>
      <c r="C292" s="3">
        <f t="shared" si="274"/>
        <v>1.932420140599686E-2</v>
      </c>
      <c r="D292" s="3">
        <f t="shared" si="274"/>
        <v>1.92915407313459E-2</v>
      </c>
      <c r="E292" s="3">
        <f t="shared" si="274"/>
        <v>1.8967954710179303E-2</v>
      </c>
      <c r="F292" s="3">
        <f t="shared" si="274"/>
        <v>1.6016086352263485E-2</v>
      </c>
      <c r="G292" s="3">
        <f t="shared" si="274"/>
        <v>2.9506342444864078E-3</v>
      </c>
      <c r="H292" s="3">
        <f t="shared" si="274"/>
        <v>1.3289393039740988E-10</v>
      </c>
      <c r="I292" s="3">
        <f t="shared" si="274"/>
        <v>4.5646010128258533E-84</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2.3246607797609911E-2</v>
      </c>
      <c r="C293" s="3">
        <f t="shared" si="275"/>
        <v>2.324625307103069E-2</v>
      </c>
      <c r="D293" s="3">
        <f t="shared" si="275"/>
        <v>2.3242706102932907E-2</v>
      </c>
      <c r="E293" s="3">
        <f t="shared" si="275"/>
        <v>2.3207266174595308E-2</v>
      </c>
      <c r="F293" s="3">
        <f t="shared" si="275"/>
        <v>2.2855825425313669E-2</v>
      </c>
      <c r="G293" s="3">
        <f t="shared" si="275"/>
        <v>1.962122772685956E-2</v>
      </c>
      <c r="H293" s="3">
        <f t="shared" si="275"/>
        <v>4.2659804326753755E-3</v>
      </c>
      <c r="I293" s="3">
        <f t="shared" si="275"/>
        <v>1.0068057032276209E-9</v>
      </c>
      <c r="J293" s="3">
        <f t="shared" si="275"/>
        <v>5.3977621841307179E-76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2.4740810314211572E-2</v>
      </c>
      <c r="C294" s="3">
        <f t="shared" si="276"/>
        <v>2.474077625789553E-2</v>
      </c>
      <c r="D294" s="3">
        <f t="shared" si="276"/>
        <v>2.4740435697313445E-2</v>
      </c>
      <c r="E294" s="3">
        <f t="shared" si="276"/>
        <v>2.4737030349314727E-2</v>
      </c>
      <c r="F294" s="3">
        <f t="shared" si="276"/>
        <v>2.4703002638414181E-2</v>
      </c>
      <c r="G294" s="3">
        <f t="shared" si="276"/>
        <v>2.4365289361693857E-2</v>
      </c>
      <c r="H294" s="3">
        <f t="shared" si="276"/>
        <v>2.1231948887834709E-2</v>
      </c>
      <c r="I294" s="3">
        <f t="shared" si="276"/>
        <v>5.3600979517829297E-3</v>
      </c>
      <c r="J294" s="3">
        <f t="shared" si="276"/>
        <v>5.6363945662542231E-9</v>
      </c>
      <c r="K294" s="3">
        <f t="shared" si="276"/>
        <v>9.3172554219059974E-69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2.733341591901764E-2</v>
      </c>
      <c r="C295" s="3">
        <f t="shared" si="277"/>
        <v>2.7333412524918523E-2</v>
      </c>
      <c r="D295" s="3">
        <f t="shared" si="277"/>
        <v>2.7333378583950546E-2</v>
      </c>
      <c r="E295" s="3">
        <f t="shared" si="277"/>
        <v>2.7333039176588796E-2</v>
      </c>
      <c r="F295" s="3">
        <f t="shared" si="277"/>
        <v>2.7329645334761826E-2</v>
      </c>
      <c r="G295" s="3">
        <f t="shared" si="277"/>
        <v>2.7295730084900386E-2</v>
      </c>
      <c r="H295" s="3">
        <f t="shared" si="277"/>
        <v>2.6958883817793156E-2</v>
      </c>
      <c r="I295" s="3">
        <f t="shared" si="277"/>
        <v>2.3810791287414378E-2</v>
      </c>
      <c r="J295" s="3">
        <f t="shared" si="277"/>
        <v>6.8784888861999358E-3</v>
      </c>
      <c r="K295" s="3">
        <f t="shared" si="277"/>
        <v>2.7841020912265291E-8</v>
      </c>
      <c r="L295" s="3">
        <f t="shared" si="277"/>
        <v>3.2855367000126622E-62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2.1342745330419952E-2</v>
      </c>
      <c r="C296" s="3">
        <f t="shared" si="278"/>
        <v>2.1342745091348612E-2</v>
      </c>
      <c r="D296" s="3">
        <f t="shared" si="278"/>
        <v>2.1342742700635402E-2</v>
      </c>
      <c r="E296" s="3">
        <f t="shared" si="278"/>
        <v>2.1342718793518008E-2</v>
      </c>
      <c r="F296" s="3">
        <f t="shared" si="278"/>
        <v>2.1342479723816941E-2</v>
      </c>
      <c r="G296" s="3">
        <f t="shared" si="278"/>
        <v>2.1340089174087497E-2</v>
      </c>
      <c r="H296" s="3">
        <f t="shared" si="278"/>
        <v>2.1316198398814677E-2</v>
      </c>
      <c r="I296" s="3">
        <f t="shared" si="278"/>
        <v>2.107875676484831E-2</v>
      </c>
      <c r="J296" s="3">
        <f t="shared" si="278"/>
        <v>1.8845053681540231E-2</v>
      </c>
      <c r="K296" s="3">
        <f t="shared" si="278"/>
        <v>6.147821423204837E-3</v>
      </c>
      <c r="L296" s="3">
        <f t="shared" si="278"/>
        <v>8.393824695875732E-8</v>
      </c>
      <c r="M296" s="3">
        <f t="shared" si="278"/>
        <v>1.8894978525871756E-56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3.0213098982446732E-2</v>
      </c>
      <c r="C297" s="3">
        <f t="shared" si="279"/>
        <v>3.0213098951917275E-2</v>
      </c>
      <c r="D297" s="3">
        <f t="shared" si="279"/>
        <v>3.0213098646622697E-2</v>
      </c>
      <c r="E297" s="3">
        <f t="shared" si="279"/>
        <v>3.0213095593677092E-2</v>
      </c>
      <c r="F297" s="3">
        <f t="shared" si="279"/>
        <v>3.0213065064238022E-2</v>
      </c>
      <c r="G297" s="3">
        <f t="shared" si="279"/>
        <v>3.0212759771544001E-2</v>
      </c>
      <c r="H297" s="3">
        <f t="shared" si="279"/>
        <v>3.0209707014266965E-2</v>
      </c>
      <c r="I297" s="3">
        <f t="shared" si="279"/>
        <v>3.0179196401471424E-2</v>
      </c>
      <c r="J297" s="3">
        <f t="shared" si="279"/>
        <v>2.9875779947202447E-2</v>
      </c>
      <c r="K297" s="3">
        <f t="shared" si="279"/>
        <v>2.7004432655224057E-2</v>
      </c>
      <c r="L297" s="3">
        <f t="shared" si="279"/>
        <v>9.830896251157439E-3</v>
      </c>
      <c r="M297" s="3">
        <f t="shared" si="279"/>
        <v>4.0195151205241911E-7</v>
      </c>
      <c r="N297" s="3">
        <f t="shared" si="279"/>
        <v>5.2478233220465306E-51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3.3824388307032396E-2</v>
      </c>
      <c r="C298" s="3">
        <f t="shared" si="280"/>
        <v>3.382438830394921E-2</v>
      </c>
      <c r="D298" s="3">
        <f t="shared" si="280"/>
        <v>3.3824388273117303E-2</v>
      </c>
      <c r="E298" s="3">
        <f t="shared" si="280"/>
        <v>3.3824387964798253E-2</v>
      </c>
      <c r="F298" s="3">
        <f t="shared" si="280"/>
        <v>3.3824384881607904E-2</v>
      </c>
      <c r="G298" s="3">
        <f t="shared" si="280"/>
        <v>3.3824354049719889E-2</v>
      </c>
      <c r="H298" s="3">
        <f t="shared" si="280"/>
        <v>3.382404573238542E-2</v>
      </c>
      <c r="I298" s="3">
        <f t="shared" si="280"/>
        <v>3.3820962713607926E-2</v>
      </c>
      <c r="J298" s="3">
        <f t="shared" si="280"/>
        <v>3.379014797733576E-2</v>
      </c>
      <c r="K298" s="3">
        <f t="shared" si="280"/>
        <v>3.3483540566317332E-2</v>
      </c>
      <c r="L298" s="3">
        <f t="shared" si="280"/>
        <v>3.0566392113179318E-2</v>
      </c>
      <c r="M298" s="3">
        <f t="shared" si="280"/>
        <v>1.2284917318208362E-2</v>
      </c>
      <c r="N298" s="3">
        <f t="shared" si="280"/>
        <v>1.3509921206881809E-6</v>
      </c>
      <c r="O298" s="3">
        <f t="shared" si="280"/>
        <v>3.4950918920580722E-46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3.8791797530676658E-2</v>
      </c>
      <c r="C299" s="3">
        <f t="shared" si="281"/>
        <v>3.8791797530357677E-2</v>
      </c>
      <c r="D299" s="3">
        <f t="shared" si="281"/>
        <v>3.8791797527167923E-2</v>
      </c>
      <c r="E299" s="3">
        <f t="shared" si="281"/>
        <v>3.8791797495270404E-2</v>
      </c>
      <c r="F299" s="3">
        <f t="shared" si="281"/>
        <v>3.8791797176295217E-2</v>
      </c>
      <c r="G299" s="3">
        <f t="shared" si="281"/>
        <v>3.879179398654347E-2</v>
      </c>
      <c r="H299" s="3">
        <f t="shared" si="281"/>
        <v>3.8791762089040428E-2</v>
      </c>
      <c r="I299" s="3">
        <f t="shared" si="281"/>
        <v>3.8791443115452559E-2</v>
      </c>
      <c r="J299" s="3">
        <f t="shared" si="281"/>
        <v>3.8788253523825908E-2</v>
      </c>
      <c r="K299" s="3">
        <f t="shared" si="281"/>
        <v>3.8756372028373988E-2</v>
      </c>
      <c r="L299" s="3">
        <f t="shared" si="281"/>
        <v>3.8438994777537566E-2</v>
      </c>
      <c r="M299" s="3">
        <f t="shared" si="281"/>
        <v>3.5404713090419607E-2</v>
      </c>
      <c r="N299" s="3">
        <f t="shared" si="281"/>
        <v>1.5557924303859709E-2</v>
      </c>
      <c r="O299" s="3">
        <f t="shared" si="281"/>
        <v>4.1769319703473736E-6</v>
      </c>
      <c r="P299" s="3">
        <f t="shared" si="281"/>
        <v>8.1267122105524486E-42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2.3183984286352825E-2</v>
      </c>
      <c r="C300" s="3">
        <f t="shared" si="282"/>
        <v>2.3183984286335623E-2</v>
      </c>
      <c r="D300" s="3">
        <f t="shared" si="282"/>
        <v>2.3183984286163657E-2</v>
      </c>
      <c r="E300" s="3">
        <f t="shared" si="282"/>
        <v>2.3183984284443959E-2</v>
      </c>
      <c r="F300" s="3">
        <f t="shared" si="282"/>
        <v>2.3183984267247E-2</v>
      </c>
      <c r="G300" s="3">
        <f t="shared" si="282"/>
        <v>2.3183984095277405E-2</v>
      </c>
      <c r="H300" s="3">
        <f t="shared" si="282"/>
        <v>2.3183982375581544E-2</v>
      </c>
      <c r="I300" s="3">
        <f t="shared" si="282"/>
        <v>2.3183965178629935E-2</v>
      </c>
      <c r="J300" s="3">
        <f t="shared" si="282"/>
        <v>2.3183793209815402E-2</v>
      </c>
      <c r="K300" s="3">
        <f t="shared" si="282"/>
        <v>2.3182073591826065E-2</v>
      </c>
      <c r="L300" s="3">
        <f t="shared" si="282"/>
        <v>2.3164884425605773E-2</v>
      </c>
      <c r="M300" s="3">
        <f t="shared" si="282"/>
        <v>2.2993692209612802E-2</v>
      </c>
      <c r="N300" s="3">
        <f t="shared" si="282"/>
        <v>2.1349832525556663E-2</v>
      </c>
      <c r="O300" s="3">
        <f t="shared" si="282"/>
        <v>1.0168386899801431E-2</v>
      </c>
      <c r="P300" s="3">
        <f t="shared" si="282"/>
        <v>6.1070005708054727E-6</v>
      </c>
      <c r="Q300" s="3">
        <f t="shared" si="282"/>
        <v>3.7289532784296474E-38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3.3195679421044372E-2</v>
      </c>
      <c r="C301" s="3">
        <f t="shared" si="283"/>
        <v>3.3195679421042151E-2</v>
      </c>
      <c r="D301" s="3">
        <f t="shared" si="283"/>
        <v>3.319567942101994E-2</v>
      </c>
      <c r="E301" s="3">
        <f t="shared" si="283"/>
        <v>3.3195679420797819E-2</v>
      </c>
      <c r="F301" s="3">
        <f t="shared" si="283"/>
        <v>3.3195679418576596E-2</v>
      </c>
      <c r="G301" s="3">
        <f t="shared" si="283"/>
        <v>3.3195679396364391E-2</v>
      </c>
      <c r="H301" s="3">
        <f t="shared" si="283"/>
        <v>3.31956791742423E-2</v>
      </c>
      <c r="I301" s="3">
        <f t="shared" si="283"/>
        <v>3.3195676953021523E-2</v>
      </c>
      <c r="J301" s="3">
        <f t="shared" si="283"/>
        <v>3.3195654740821916E-2</v>
      </c>
      <c r="K301" s="3">
        <f t="shared" si="283"/>
        <v>3.319543261964332E-2</v>
      </c>
      <c r="L301" s="3">
        <f t="shared" si="283"/>
        <v>3.319321148960068E-2</v>
      </c>
      <c r="M301" s="3">
        <f t="shared" si="283"/>
        <v>3.3171008361490409E-2</v>
      </c>
      <c r="N301" s="3">
        <f t="shared" si="283"/>
        <v>3.2949792292326675E-2</v>
      </c>
      <c r="O301" s="3">
        <f t="shared" si="283"/>
        <v>3.081717012545054E-2</v>
      </c>
      <c r="P301" s="3">
        <f t="shared" si="283"/>
        <v>1.5783143394530609E-2</v>
      </c>
      <c r="Q301" s="3">
        <f t="shared" si="283"/>
        <v>1.9597513201698588E-5</v>
      </c>
      <c r="R301" s="3">
        <f t="shared" si="283"/>
        <v>1.7071654002768117E-34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2.0384424349743836E-2</v>
      </c>
      <c r="C302" s="3">
        <f t="shared" si="284"/>
        <v>2.0384424349743715E-2</v>
      </c>
      <c r="D302" s="3">
        <f t="shared" si="284"/>
        <v>2.0384424349742483E-2</v>
      </c>
      <c r="E302" s="3">
        <f t="shared" si="284"/>
        <v>2.0384424349730177E-2</v>
      </c>
      <c r="F302" s="3">
        <f t="shared" si="284"/>
        <v>2.0384424349607137E-2</v>
      </c>
      <c r="G302" s="3">
        <f t="shared" si="284"/>
        <v>2.0384424348376711E-2</v>
      </c>
      <c r="H302" s="3">
        <f t="shared" si="284"/>
        <v>2.038442433607246E-2</v>
      </c>
      <c r="I302" s="3">
        <f t="shared" si="284"/>
        <v>2.0384424213029936E-2</v>
      </c>
      <c r="J302" s="3">
        <f t="shared" si="284"/>
        <v>2.0384422982604757E-2</v>
      </c>
      <c r="K302" s="3">
        <f t="shared" si="284"/>
        <v>2.0384410678357053E-2</v>
      </c>
      <c r="L302" s="3">
        <f t="shared" si="284"/>
        <v>2.0384287636288488E-2</v>
      </c>
      <c r="M302" s="3">
        <f t="shared" si="284"/>
        <v>2.0383057256450201E-2</v>
      </c>
      <c r="N302" s="3">
        <f t="shared" si="284"/>
        <v>2.0370757541890428E-2</v>
      </c>
      <c r="O302" s="3">
        <f t="shared" si="284"/>
        <v>2.0248167868011525E-2</v>
      </c>
      <c r="P302" s="3">
        <f t="shared" si="284"/>
        <v>1.9062122777057763E-2</v>
      </c>
      <c r="Q302" s="3">
        <f t="shared" si="284"/>
        <v>1.0423811763249021E-2</v>
      </c>
      <c r="R302" s="3">
        <f t="shared" si="284"/>
        <v>2.4921807485146027E-5</v>
      </c>
      <c r="S302" s="3">
        <f t="shared" si="284"/>
        <v>1.5209302729687683E-31</v>
      </c>
      <c r="T302" s="3">
        <f t="shared" si="284"/>
        <v>1.0899510104658925E-293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6.692506936600448E-2</v>
      </c>
      <c r="C303" s="3">
        <f t="shared" si="285"/>
        <v>6.6925069366004453E-2</v>
      </c>
      <c r="D303" s="3">
        <f t="shared" si="285"/>
        <v>6.6925069366004092E-2</v>
      </c>
      <c r="E303" s="3">
        <f t="shared" si="285"/>
        <v>6.6925069366000442E-2</v>
      </c>
      <c r="F303" s="3">
        <f t="shared" si="285"/>
        <v>6.6925069365964013E-2</v>
      </c>
      <c r="G303" s="3">
        <f t="shared" si="285"/>
        <v>6.6925069365599596E-2</v>
      </c>
      <c r="H303" s="3">
        <f t="shared" si="285"/>
        <v>6.6925069361955483E-2</v>
      </c>
      <c r="I303" s="3">
        <f t="shared" si="285"/>
        <v>6.6925069325514314E-2</v>
      </c>
      <c r="J303" s="3">
        <f t="shared" si="285"/>
        <v>6.6925068961102716E-2</v>
      </c>
      <c r="K303" s="3">
        <f t="shared" si="285"/>
        <v>6.6925065316986818E-2</v>
      </c>
      <c r="L303" s="3">
        <f t="shared" si="285"/>
        <v>6.6925028875838774E-2</v>
      </c>
      <c r="M303" s="3">
        <f t="shared" si="285"/>
        <v>6.6924664465449618E-2</v>
      </c>
      <c r="N303" s="3">
        <f t="shared" si="285"/>
        <v>6.6921020470689249E-2</v>
      </c>
      <c r="O303" s="3">
        <f t="shared" si="285"/>
        <v>6.688459143399704E-2</v>
      </c>
      <c r="P303" s="3">
        <f t="shared" si="285"/>
        <v>6.6521389963234784E-2</v>
      </c>
      <c r="Q303" s="3">
        <f t="shared" si="285"/>
        <v>6.2996102684810956E-2</v>
      </c>
      <c r="R303" s="3">
        <f t="shared" si="285"/>
        <v>3.6545789836341928E-2</v>
      </c>
      <c r="S303" s="3">
        <f t="shared" si="285"/>
        <v>1.577880300146276E-4</v>
      </c>
      <c r="T303" s="3">
        <f t="shared" si="285"/>
        <v>3.5517392150677509E-28</v>
      </c>
      <c r="U303" s="3">
        <f t="shared" si="285"/>
        <v>1.1860724928774615E-264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9.6671799143506223E-2</v>
      </c>
      <c r="C304" s="3">
        <f t="shared" si="286"/>
        <v>9.6671799143506223E-2</v>
      </c>
      <c r="D304" s="3">
        <f t="shared" si="286"/>
        <v>9.6671799143506168E-2</v>
      </c>
      <c r="E304" s="3">
        <f t="shared" si="286"/>
        <v>9.6671799143505696E-2</v>
      </c>
      <c r="F304" s="3">
        <f t="shared" si="286"/>
        <v>9.6671799143500936E-2</v>
      </c>
      <c r="G304" s="3">
        <f t="shared" si="286"/>
        <v>9.667179914345346E-2</v>
      </c>
      <c r="H304" s="3">
        <f t="shared" si="286"/>
        <v>9.6671799142978618E-2</v>
      </c>
      <c r="I304" s="3">
        <f t="shared" si="286"/>
        <v>9.6671799138230194E-2</v>
      </c>
      <c r="J304" s="3">
        <f t="shared" si="286"/>
        <v>9.6671799090745927E-2</v>
      </c>
      <c r="K304" s="3">
        <f t="shared" si="286"/>
        <v>9.6671798615903234E-2</v>
      </c>
      <c r="L304" s="3">
        <f t="shared" si="286"/>
        <v>9.6671793867476472E-2</v>
      </c>
      <c r="M304" s="3">
        <f t="shared" si="286"/>
        <v>9.6671746383221638E-2</v>
      </c>
      <c r="N304" s="3">
        <f t="shared" si="286"/>
        <v>9.6671271541956233E-2</v>
      </c>
      <c r="O304" s="3">
        <f t="shared" si="286"/>
        <v>9.6666523257580531E-2</v>
      </c>
      <c r="P304" s="3">
        <f t="shared" si="286"/>
        <v>9.6619053239335354E-2</v>
      </c>
      <c r="Q304" s="3">
        <f t="shared" si="286"/>
        <v>9.6145633280216442E-2</v>
      </c>
      <c r="R304" s="3">
        <f t="shared" si="286"/>
        <v>9.1537159591458223E-2</v>
      </c>
      <c r="S304" s="3">
        <f t="shared" si="286"/>
        <v>5.6011358947021778E-2</v>
      </c>
      <c r="T304" s="3">
        <f t="shared" si="286"/>
        <v>4.1215719449695583E-4</v>
      </c>
      <c r="U304" s="3">
        <f t="shared" si="286"/>
        <v>1.9183623413449847E-25</v>
      </c>
      <c r="V304" s="3">
        <f t="shared" si="286"/>
        <v>9.1539427586206966E-239</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8.3708796522492912E-2</v>
      </c>
      <c r="C305" s="3">
        <f t="shared" si="287"/>
        <v>8.3708796522492912E-2</v>
      </c>
      <c r="D305" s="3">
        <f t="shared" si="287"/>
        <v>8.3708796522492912E-2</v>
      </c>
      <c r="E305" s="3">
        <f t="shared" si="287"/>
        <v>8.370879652249287E-2</v>
      </c>
      <c r="F305" s="3">
        <f t="shared" si="287"/>
        <v>8.370879652249251E-2</v>
      </c>
      <c r="G305" s="3">
        <f t="shared" si="287"/>
        <v>8.370879652248879E-2</v>
      </c>
      <c r="H305" s="3">
        <f t="shared" si="287"/>
        <v>8.3708796522451709E-2</v>
      </c>
      <c r="I305" s="3">
        <f t="shared" si="287"/>
        <v>8.3708796522080783E-2</v>
      </c>
      <c r="J305" s="3">
        <f t="shared" si="287"/>
        <v>8.3708796518371695E-2</v>
      </c>
      <c r="K305" s="3">
        <f t="shared" si="287"/>
        <v>8.3708796481280781E-2</v>
      </c>
      <c r="L305" s="3">
        <f t="shared" si="287"/>
        <v>8.3708796110371547E-2</v>
      </c>
      <c r="M305" s="3">
        <f t="shared" si="287"/>
        <v>8.3708792401279306E-2</v>
      </c>
      <c r="N305" s="3">
        <f t="shared" si="287"/>
        <v>8.3708755310365979E-2</v>
      </c>
      <c r="O305" s="3">
        <f t="shared" si="287"/>
        <v>8.3708384402136626E-2</v>
      </c>
      <c r="P305" s="3">
        <f t="shared" si="287"/>
        <v>8.3704675410232826E-2</v>
      </c>
      <c r="Q305" s="3">
        <f t="shared" si="287"/>
        <v>8.366759452868365E-2</v>
      </c>
      <c r="R305" s="3">
        <f t="shared" si="287"/>
        <v>8.329768798217603E-2</v>
      </c>
      <c r="S305" s="3">
        <f t="shared" si="287"/>
        <v>7.9687387558653955E-2</v>
      </c>
      <c r="T305" s="3">
        <f t="shared" si="287"/>
        <v>5.1163000935489401E-2</v>
      </c>
      <c r="U305" s="3">
        <f t="shared" si="287"/>
        <v>6.0900409813309693E-4</v>
      </c>
      <c r="V305" s="3">
        <f t="shared" si="287"/>
        <v>3.4774609984901357E-23</v>
      </c>
      <c r="W305" s="3">
        <f t="shared" si="287"/>
        <v>1.281394322083145E-215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5.9251655732023817E-2</v>
      </c>
      <c r="C306" s="3">
        <f t="shared" si="288"/>
        <v>5.9251655732023817E-2</v>
      </c>
      <c r="D306" s="3">
        <f t="shared" si="288"/>
        <v>5.9251655732023817E-2</v>
      </c>
      <c r="E306" s="3">
        <f t="shared" si="288"/>
        <v>5.9251655732023817E-2</v>
      </c>
      <c r="F306" s="3">
        <f t="shared" si="288"/>
        <v>5.9251655732023789E-2</v>
      </c>
      <c r="G306" s="3">
        <f t="shared" si="288"/>
        <v>5.9251655732023553E-2</v>
      </c>
      <c r="H306" s="3">
        <f t="shared" si="288"/>
        <v>5.9251655732021187E-2</v>
      </c>
      <c r="I306" s="3">
        <f t="shared" si="288"/>
        <v>5.9251655731997505E-2</v>
      </c>
      <c r="J306" s="3">
        <f t="shared" si="288"/>
        <v>5.9251655731760666E-2</v>
      </c>
      <c r="K306" s="3">
        <f t="shared" si="288"/>
        <v>5.9251655729392332E-2</v>
      </c>
      <c r="L306" s="3">
        <f t="shared" si="288"/>
        <v>5.9251655705708957E-2</v>
      </c>
      <c r="M306" s="3">
        <f t="shared" si="288"/>
        <v>5.9251655468875182E-2</v>
      </c>
      <c r="N306" s="3">
        <f t="shared" si="288"/>
        <v>5.9251653100537538E-2</v>
      </c>
      <c r="O306" s="3">
        <f t="shared" si="288"/>
        <v>5.9251629417166302E-2</v>
      </c>
      <c r="P306" s="3">
        <f t="shared" si="288"/>
        <v>5.925139258397457E-2</v>
      </c>
      <c r="Q306" s="3">
        <f t="shared" si="288"/>
        <v>5.924902430412185E-2</v>
      </c>
      <c r="R306" s="3">
        <f t="shared" si="288"/>
        <v>5.9225346711282101E-2</v>
      </c>
      <c r="S306" s="3">
        <f t="shared" si="288"/>
        <v>5.8989090582576537E-2</v>
      </c>
      <c r="T306" s="3">
        <f t="shared" si="288"/>
        <v>5.6677748672114121E-2</v>
      </c>
      <c r="U306" s="3">
        <f t="shared" si="288"/>
        <v>3.8003316050920131E-2</v>
      </c>
      <c r="V306" s="3">
        <f t="shared" si="288"/>
        <v>6.9808855401391388E-4</v>
      </c>
      <c r="W306" s="3">
        <f t="shared" si="288"/>
        <v>3.0535199072643958E-21</v>
      </c>
      <c r="X306" s="3">
        <f t="shared" si="288"/>
        <v>7.8289431560661404E-195</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5.2327746974864794E-2</v>
      </c>
      <c r="C307" s="3">
        <f t="shared" si="289"/>
        <v>5.2327746974864794E-2</v>
      </c>
      <c r="D307" s="3">
        <f t="shared" si="289"/>
        <v>5.2327746974864794E-2</v>
      </c>
      <c r="E307" s="3">
        <f t="shared" si="289"/>
        <v>5.2327746974864794E-2</v>
      </c>
      <c r="F307" s="3">
        <f t="shared" si="289"/>
        <v>5.2327746974864794E-2</v>
      </c>
      <c r="G307" s="3">
        <f t="shared" si="289"/>
        <v>5.2327746974864774E-2</v>
      </c>
      <c r="H307" s="3">
        <f t="shared" si="289"/>
        <v>5.2327746974864586E-2</v>
      </c>
      <c r="I307" s="3">
        <f t="shared" si="289"/>
        <v>5.2327746974862699E-2</v>
      </c>
      <c r="J307" s="3">
        <f t="shared" si="289"/>
        <v>5.2327746974843825E-2</v>
      </c>
      <c r="K307" s="3">
        <f t="shared" si="289"/>
        <v>5.232774697465515E-2</v>
      </c>
      <c r="L307" s="3">
        <f t="shared" si="289"/>
        <v>5.2327746972768367E-2</v>
      </c>
      <c r="M307" s="3">
        <f t="shared" si="289"/>
        <v>5.232774695390055E-2</v>
      </c>
      <c r="N307" s="3">
        <f t="shared" si="289"/>
        <v>5.2327746765222331E-2</v>
      </c>
      <c r="O307" s="3">
        <f t="shared" si="289"/>
        <v>5.2327744878440198E-2</v>
      </c>
      <c r="P307" s="3">
        <f t="shared" si="289"/>
        <v>5.2327726010622591E-2</v>
      </c>
      <c r="Q307" s="3">
        <f t="shared" si="289"/>
        <v>5.2327537332820709E-2</v>
      </c>
      <c r="R307" s="3">
        <f t="shared" si="289"/>
        <v>5.2325650592218796E-2</v>
      </c>
      <c r="S307" s="3">
        <f t="shared" si="289"/>
        <v>5.2306786927390027E-2</v>
      </c>
      <c r="T307" s="3">
        <f t="shared" si="289"/>
        <v>5.2118523899504568E-2</v>
      </c>
      <c r="U307" s="3">
        <f t="shared" si="289"/>
        <v>5.027276198126996E-2</v>
      </c>
      <c r="V307" s="3">
        <f t="shared" si="289"/>
        <v>3.5054125287535348E-2</v>
      </c>
      <c r="W307" s="3">
        <f t="shared" si="289"/>
        <v>9.5236410909857298E-4</v>
      </c>
      <c r="X307" s="3">
        <f t="shared" si="289"/>
        <v>2.0866128443490406E-19</v>
      </c>
      <c r="Y307" s="3">
        <f t="shared" si="289"/>
        <v>5.3190054909768174E-176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1.7967891452015796E-2</v>
      </c>
      <c r="C308" s="3">
        <f t="shared" si="290"/>
        <v>1.7967891452015796E-2</v>
      </c>
      <c r="D308" s="3">
        <f t="shared" si="290"/>
        <v>1.7967891452015796E-2</v>
      </c>
      <c r="E308" s="3">
        <f t="shared" si="290"/>
        <v>1.7967891452015796E-2</v>
      </c>
      <c r="F308" s="3">
        <f t="shared" si="290"/>
        <v>1.7967891452015796E-2</v>
      </c>
      <c r="G308" s="3">
        <f t="shared" si="290"/>
        <v>1.7967891452015796E-2</v>
      </c>
      <c r="H308" s="3">
        <f t="shared" si="290"/>
        <v>1.7967891452015789E-2</v>
      </c>
      <c r="I308" s="3">
        <f t="shared" si="290"/>
        <v>1.796789145201573E-2</v>
      </c>
      <c r="J308" s="3">
        <f t="shared" si="290"/>
        <v>1.7967891452015147E-2</v>
      </c>
      <c r="K308" s="3">
        <f t="shared" si="290"/>
        <v>1.7967891452009301E-2</v>
      </c>
      <c r="L308" s="3">
        <f t="shared" si="290"/>
        <v>1.7967891451950858E-2</v>
      </c>
      <c r="M308" s="3">
        <f t="shared" si="290"/>
        <v>1.796789145136643E-2</v>
      </c>
      <c r="N308" s="3">
        <f t="shared" si="290"/>
        <v>1.7967891445522115E-2</v>
      </c>
      <c r="O308" s="3">
        <f t="shared" si="290"/>
        <v>1.796789138707899E-2</v>
      </c>
      <c r="P308" s="3">
        <f t="shared" si="290"/>
        <v>1.7967890802647744E-2</v>
      </c>
      <c r="Q308" s="3">
        <f t="shared" si="290"/>
        <v>1.7967884958336337E-2</v>
      </c>
      <c r="R308" s="3">
        <f t="shared" si="290"/>
        <v>1.7967826515326826E-2</v>
      </c>
      <c r="S308" s="3">
        <f t="shared" si="290"/>
        <v>1.7967242095686755E-2</v>
      </c>
      <c r="T308" s="3">
        <f t="shared" si="290"/>
        <v>1.7961398944666491E-2</v>
      </c>
      <c r="U308" s="3">
        <f t="shared" si="290"/>
        <v>1.790307184680854E-2</v>
      </c>
      <c r="V308" s="3">
        <f t="shared" si="290"/>
        <v>1.7330117530548351E-2</v>
      </c>
      <c r="W308" s="3">
        <f t="shared" si="290"/>
        <v>1.2518175710401522E-2</v>
      </c>
      <c r="X308" s="3">
        <f t="shared" si="290"/>
        <v>4.8410146252680935E-4</v>
      </c>
      <c r="Y308" s="3">
        <f t="shared" si="290"/>
        <v>3.6215118421486223E-18</v>
      </c>
      <c r="Z308" s="3">
        <f t="shared" si="290"/>
        <v>1.9880397298364656E-159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4.123109123431553E-2</v>
      </c>
      <c r="C309" s="3">
        <f t="shared" si="291"/>
        <v>4.123109123431553E-2</v>
      </c>
      <c r="D309" s="3">
        <f t="shared" si="291"/>
        <v>4.123109123431553E-2</v>
      </c>
      <c r="E309" s="3">
        <f t="shared" si="291"/>
        <v>4.123109123431553E-2</v>
      </c>
      <c r="F309" s="3">
        <f t="shared" si="291"/>
        <v>4.123109123431553E-2</v>
      </c>
      <c r="G309" s="3">
        <f t="shared" si="291"/>
        <v>4.123109123431553E-2</v>
      </c>
      <c r="H309" s="3">
        <f t="shared" si="291"/>
        <v>4.1231091234315523E-2</v>
      </c>
      <c r="I309" s="3">
        <f t="shared" si="291"/>
        <v>4.1231091234315488E-2</v>
      </c>
      <c r="J309" s="3">
        <f t="shared" si="291"/>
        <v>4.123109123431512E-2</v>
      </c>
      <c r="K309" s="3">
        <f t="shared" si="291"/>
        <v>4.1231091234311408E-2</v>
      </c>
      <c r="L309" s="3">
        <f t="shared" si="291"/>
        <v>4.123109123427432E-2</v>
      </c>
      <c r="M309" s="3">
        <f t="shared" si="291"/>
        <v>4.1231091233903401E-2</v>
      </c>
      <c r="N309" s="3">
        <f t="shared" si="291"/>
        <v>4.1231091230194257E-2</v>
      </c>
      <c r="O309" s="3">
        <f t="shared" si="291"/>
        <v>4.1231091193102788E-2</v>
      </c>
      <c r="P309" s="3">
        <f t="shared" si="291"/>
        <v>4.1231090822188121E-2</v>
      </c>
      <c r="Q309" s="3">
        <f t="shared" si="291"/>
        <v>4.1231087113041617E-2</v>
      </c>
      <c r="R309" s="3">
        <f t="shared" si="291"/>
        <v>4.1231050021594995E-2</v>
      </c>
      <c r="S309" s="3">
        <f t="shared" si="291"/>
        <v>4.1230679108963886E-2</v>
      </c>
      <c r="T309" s="3">
        <f t="shared" si="291"/>
        <v>4.1226970166167089E-2</v>
      </c>
      <c r="U309" s="3">
        <f t="shared" si="291"/>
        <v>4.1189899083518416E-2</v>
      </c>
      <c r="V309" s="3">
        <f t="shared" si="291"/>
        <v>4.0821016697355474E-2</v>
      </c>
      <c r="W309" s="3">
        <f t="shared" si="291"/>
        <v>3.7309094557792355E-2</v>
      </c>
      <c r="X309" s="3">
        <f t="shared" si="291"/>
        <v>1.5174822928595825E-2</v>
      </c>
      <c r="Y309" s="3">
        <f t="shared" si="291"/>
        <v>1.8802381440704091E-6</v>
      </c>
      <c r="Z309" s="3">
        <f t="shared" si="291"/>
        <v>1.6036335249242397E-45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3.4610685556715946E-2</v>
      </c>
      <c r="C310" s="3">
        <f t="shared" si="292"/>
        <v>3.4610685556715946E-2</v>
      </c>
      <c r="D310" s="3">
        <f t="shared" si="292"/>
        <v>3.4610685556715946E-2</v>
      </c>
      <c r="E310" s="3">
        <f t="shared" si="292"/>
        <v>3.4610685556715946E-2</v>
      </c>
      <c r="F310" s="3">
        <f t="shared" si="292"/>
        <v>3.4610685556715946E-2</v>
      </c>
      <c r="G310" s="3">
        <f t="shared" si="292"/>
        <v>3.4610685556715946E-2</v>
      </c>
      <c r="H310" s="3">
        <f t="shared" si="292"/>
        <v>3.4610685556715946E-2</v>
      </c>
      <c r="I310" s="3">
        <f t="shared" si="292"/>
        <v>3.4610685556715939E-2</v>
      </c>
      <c r="J310" s="3">
        <f t="shared" si="292"/>
        <v>3.4610685556715912E-2</v>
      </c>
      <c r="K310" s="3">
        <f t="shared" si="292"/>
        <v>3.4610685556715599E-2</v>
      </c>
      <c r="L310" s="3">
        <f t="shared" si="292"/>
        <v>3.4610685556712491E-2</v>
      </c>
      <c r="M310" s="3">
        <f t="shared" si="292"/>
        <v>3.4610685556681349E-2</v>
      </c>
      <c r="N310" s="3">
        <f t="shared" si="292"/>
        <v>3.4610685556369994E-2</v>
      </c>
      <c r="O310" s="3">
        <f t="shared" si="292"/>
        <v>3.4610685553256415E-2</v>
      </c>
      <c r="P310" s="3">
        <f t="shared" si="292"/>
        <v>3.4610685522120661E-2</v>
      </c>
      <c r="Q310" s="3">
        <f t="shared" si="292"/>
        <v>3.4610685210763131E-2</v>
      </c>
      <c r="R310" s="3">
        <f t="shared" si="292"/>
        <v>3.4610682097187928E-2</v>
      </c>
      <c r="S310" s="3">
        <f t="shared" si="292"/>
        <v>3.4610650961451335E-2</v>
      </c>
      <c r="T310" s="3">
        <f t="shared" si="292"/>
        <v>3.4610339605625914E-2</v>
      </c>
      <c r="U310" s="3">
        <f t="shared" si="292"/>
        <v>3.4607226201419407E-2</v>
      </c>
      <c r="V310" s="3">
        <f t="shared" si="292"/>
        <v>3.4576107558997149E-2</v>
      </c>
      <c r="W310" s="3">
        <f t="shared" si="292"/>
        <v>3.4266455985568239E-2</v>
      </c>
      <c r="X310" s="3">
        <f t="shared" si="292"/>
        <v>3.1318437166921856E-2</v>
      </c>
      <c r="Y310" s="3">
        <f t="shared" si="292"/>
        <v>1.2738227610220377E-2</v>
      </c>
      <c r="Z310" s="3">
        <f t="shared" si="292"/>
        <v>1.5783315267194001E-6</v>
      </c>
      <c r="AA310" s="3">
        <f t="shared" si="292"/>
        <v>1.3461408373583702E-45</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4.2854236942630193E-2</v>
      </c>
      <c r="C311" s="3">
        <f t="shared" si="293"/>
        <v>4.2854236942630193E-2</v>
      </c>
      <c r="D311" s="3">
        <f t="shared" si="293"/>
        <v>4.2854236942630193E-2</v>
      </c>
      <c r="E311" s="3">
        <f t="shared" si="293"/>
        <v>4.2854236942630193E-2</v>
      </c>
      <c r="F311" s="3">
        <f t="shared" si="293"/>
        <v>4.2854236942630193E-2</v>
      </c>
      <c r="G311" s="3">
        <f t="shared" si="293"/>
        <v>4.2854236942630193E-2</v>
      </c>
      <c r="H311" s="3">
        <f t="shared" si="293"/>
        <v>4.2854236942630193E-2</v>
      </c>
      <c r="I311" s="3">
        <f t="shared" si="293"/>
        <v>4.2854236942630193E-2</v>
      </c>
      <c r="J311" s="3">
        <f t="shared" si="293"/>
        <v>4.2854236942630186E-2</v>
      </c>
      <c r="K311" s="3">
        <f t="shared" si="293"/>
        <v>4.2854236942630151E-2</v>
      </c>
      <c r="L311" s="3">
        <f t="shared" si="293"/>
        <v>4.2854236942629763E-2</v>
      </c>
      <c r="M311" s="3">
        <f t="shared" si="293"/>
        <v>4.2854236942625912E-2</v>
      </c>
      <c r="N311" s="3">
        <f t="shared" si="293"/>
        <v>4.2854236942587359E-2</v>
      </c>
      <c r="O311" s="3">
        <f t="shared" si="293"/>
        <v>4.2854236942201841E-2</v>
      </c>
      <c r="P311" s="3">
        <f t="shared" si="293"/>
        <v>4.2854236938346675E-2</v>
      </c>
      <c r="Q311" s="3">
        <f t="shared" si="293"/>
        <v>4.2854236899795027E-2</v>
      </c>
      <c r="R311" s="3">
        <f t="shared" si="293"/>
        <v>4.2854236514278554E-2</v>
      </c>
      <c r="S311" s="3">
        <f t="shared" si="293"/>
        <v>4.2854232659113957E-2</v>
      </c>
      <c r="T311" s="3">
        <f t="shared" si="293"/>
        <v>4.2854194107487149E-2</v>
      </c>
      <c r="U311" s="3">
        <f t="shared" si="293"/>
        <v>4.2853808593126444E-2</v>
      </c>
      <c r="V311" s="3">
        <f t="shared" si="293"/>
        <v>4.2849953640258051E-2</v>
      </c>
      <c r="W311" s="3">
        <f t="shared" si="293"/>
        <v>4.281142317909422E-2</v>
      </c>
      <c r="X311" s="3">
        <f t="shared" si="293"/>
        <v>4.2428018988049362E-2</v>
      </c>
      <c r="Y311" s="3">
        <f t="shared" si="293"/>
        <v>3.8777842895507598E-2</v>
      </c>
      <c r="Z311" s="3">
        <f t="shared" si="293"/>
        <v>1.5772210675890894E-2</v>
      </c>
      <c r="AA311" s="3">
        <f t="shared" si="293"/>
        <v>1.954257540181308E-6</v>
      </c>
      <c r="AB311" s="3">
        <f t="shared" si="293"/>
        <v>1.6667638180056884E-45</v>
      </c>
      <c r="AC311" s="3">
        <f t="shared" si="293"/>
        <v>0</v>
      </c>
      <c r="AD311" s="3">
        <f t="shared" si="293"/>
        <v>0</v>
      </c>
      <c r="AE311" s="3">
        <f t="shared" si="293"/>
        <v>0</v>
      </c>
      <c r="AF311" s="3">
        <f t="shared" si="293"/>
        <v>0</v>
      </c>
      <c r="AG311" s="3"/>
      <c r="AH311" s="3"/>
    </row>
    <row r="312" spans="1:34" x14ac:dyDescent="0.25">
      <c r="B312" s="3">
        <f t="shared" ref="B312:AF312" si="294">$C42*EXP(-B$285/$A42/EXP(-$F$126))</f>
        <v>3.2192937025108795E-2</v>
      </c>
      <c r="C312" s="3">
        <f t="shared" si="294"/>
        <v>3.2192937025108795E-2</v>
      </c>
      <c r="D312" s="3">
        <f t="shared" si="294"/>
        <v>3.2192937025108795E-2</v>
      </c>
      <c r="E312" s="3">
        <f t="shared" si="294"/>
        <v>3.2192937025108795E-2</v>
      </c>
      <c r="F312" s="3">
        <f t="shared" si="294"/>
        <v>3.2192937025108795E-2</v>
      </c>
      <c r="G312" s="3">
        <f t="shared" si="294"/>
        <v>3.2192937025108795E-2</v>
      </c>
      <c r="H312" s="3">
        <f t="shared" si="294"/>
        <v>3.2192937025108795E-2</v>
      </c>
      <c r="I312" s="3">
        <f t="shared" si="294"/>
        <v>3.2192937025108795E-2</v>
      </c>
      <c r="J312" s="3">
        <f t="shared" si="294"/>
        <v>3.2192937025108795E-2</v>
      </c>
      <c r="K312" s="3">
        <f t="shared" si="294"/>
        <v>3.2192937025108788E-2</v>
      </c>
      <c r="L312" s="3">
        <f t="shared" si="294"/>
        <v>3.219293702510876E-2</v>
      </c>
      <c r="M312" s="3">
        <f t="shared" si="294"/>
        <v>3.2192937025108476E-2</v>
      </c>
      <c r="N312" s="3">
        <f t="shared" si="294"/>
        <v>3.2192937025105575E-2</v>
      </c>
      <c r="O312" s="3">
        <f t="shared" si="294"/>
        <v>3.2192937025076619E-2</v>
      </c>
      <c r="P312" s="3">
        <f t="shared" si="294"/>
        <v>3.2192937024787011E-2</v>
      </c>
      <c r="Q312" s="3">
        <f t="shared" si="294"/>
        <v>3.2192937021890931E-2</v>
      </c>
      <c r="R312" s="3">
        <f t="shared" si="294"/>
        <v>3.2192936992930181E-2</v>
      </c>
      <c r="S312" s="3">
        <f t="shared" si="294"/>
        <v>3.2192936703322704E-2</v>
      </c>
      <c r="T312" s="3">
        <f t="shared" si="294"/>
        <v>3.2192933807248011E-2</v>
      </c>
      <c r="U312" s="3">
        <f t="shared" si="294"/>
        <v>3.2192904846515477E-2</v>
      </c>
      <c r="V312" s="3">
        <f t="shared" si="294"/>
        <v>3.2192615240622995E-2</v>
      </c>
      <c r="W312" s="3">
        <f t="shared" si="294"/>
        <v>3.2189719324984753E-2</v>
      </c>
      <c r="X312" s="3">
        <f t="shared" si="294"/>
        <v>3.2160774492494652E-2</v>
      </c>
      <c r="Y312" s="3">
        <f t="shared" si="294"/>
        <v>3.1872753800538486E-2</v>
      </c>
      <c r="Z312" s="3">
        <f t="shared" si="294"/>
        <v>2.9130670462662996E-2</v>
      </c>
      <c r="AA312" s="3">
        <f t="shared" si="294"/>
        <v>1.1848391693811843E-2</v>
      </c>
      <c r="AB312" s="3">
        <f t="shared" si="294"/>
        <v>1.4680763072767838E-6</v>
      </c>
      <c r="AC312" s="3">
        <f t="shared" si="294"/>
        <v>1.2521054266027434E-45</v>
      </c>
      <c r="AD312" s="3">
        <f t="shared" si="294"/>
        <v>0</v>
      </c>
      <c r="AE312" s="3">
        <f t="shared" si="294"/>
        <v>0</v>
      </c>
      <c r="AF312" s="3">
        <f t="shared" si="294"/>
        <v>0</v>
      </c>
      <c r="AG312" s="3"/>
      <c r="AH312" s="3"/>
    </row>
    <row r="313" spans="1:34" x14ac:dyDescent="0.25">
      <c r="B313" s="3">
        <f t="shared" ref="B313:AF313" si="295">$C43*EXP(-B$285/$A43/EXP(-$F$126))</f>
        <v>2.5751010749186929E-2</v>
      </c>
      <c r="C313" s="3">
        <f t="shared" si="295"/>
        <v>2.5751010749186929E-2</v>
      </c>
      <c r="D313" s="3">
        <f t="shared" si="295"/>
        <v>2.5751010749186929E-2</v>
      </c>
      <c r="E313" s="3">
        <f t="shared" si="295"/>
        <v>2.5751010749186929E-2</v>
      </c>
      <c r="F313" s="3">
        <f t="shared" si="295"/>
        <v>2.5751010749186929E-2</v>
      </c>
      <c r="G313" s="3">
        <f t="shared" si="295"/>
        <v>2.5751010749186929E-2</v>
      </c>
      <c r="H313" s="3">
        <f t="shared" si="295"/>
        <v>2.5751010749186929E-2</v>
      </c>
      <c r="I313" s="3">
        <f t="shared" si="295"/>
        <v>2.5751010749186929E-2</v>
      </c>
      <c r="J313" s="3">
        <f t="shared" si="295"/>
        <v>2.5751010749186929E-2</v>
      </c>
      <c r="K313" s="3">
        <f t="shared" si="295"/>
        <v>2.5751010749186929E-2</v>
      </c>
      <c r="L313" s="3">
        <f t="shared" si="295"/>
        <v>2.5751010749186926E-2</v>
      </c>
      <c r="M313" s="3">
        <f t="shared" si="295"/>
        <v>2.5751010749186905E-2</v>
      </c>
      <c r="N313" s="3">
        <f t="shared" si="295"/>
        <v>2.5751010749186672E-2</v>
      </c>
      <c r="O313" s="3">
        <f t="shared" si="295"/>
        <v>2.5751010749184355E-2</v>
      </c>
      <c r="P313" s="3">
        <f t="shared" si="295"/>
        <v>2.5751010749161189E-2</v>
      </c>
      <c r="Q313" s="3">
        <f t="shared" si="295"/>
        <v>2.5751010748929534E-2</v>
      </c>
      <c r="R313" s="3">
        <f t="shared" si="295"/>
        <v>2.5751010746612974E-2</v>
      </c>
      <c r="S313" s="3">
        <f t="shared" si="295"/>
        <v>2.5751010723447376E-2</v>
      </c>
      <c r="T313" s="3">
        <f t="shared" si="295"/>
        <v>2.5751010491791428E-2</v>
      </c>
      <c r="U313" s="3">
        <f t="shared" si="295"/>
        <v>2.5751008175232043E-2</v>
      </c>
      <c r="V313" s="3">
        <f t="shared" si="295"/>
        <v>2.5750985009649657E-2</v>
      </c>
      <c r="W313" s="3">
        <f t="shared" si="295"/>
        <v>2.575075335497197E-2</v>
      </c>
      <c r="X313" s="3">
        <f t="shared" si="295"/>
        <v>2.5748436922809512E-2</v>
      </c>
      <c r="Y313" s="3">
        <f t="shared" si="295"/>
        <v>2.5725284058813143E-2</v>
      </c>
      <c r="Z313" s="3">
        <f t="shared" si="295"/>
        <v>2.5494897377139246E-2</v>
      </c>
      <c r="AA313" s="3">
        <f t="shared" si="295"/>
        <v>2.3301515100345893E-2</v>
      </c>
      <c r="AB313" s="3">
        <f t="shared" si="295"/>
        <v>9.4774845063051467E-3</v>
      </c>
      <c r="AC313" s="3">
        <f t="shared" si="295"/>
        <v>1.1743087851793589E-6</v>
      </c>
      <c r="AD313" s="3">
        <f t="shared" si="295"/>
        <v>1.0015544799287715E-45</v>
      </c>
      <c r="AE313" s="3">
        <f t="shared" si="295"/>
        <v>0</v>
      </c>
      <c r="AF313" s="3">
        <f t="shared" si="295"/>
        <v>0</v>
      </c>
      <c r="AG313" s="3"/>
      <c r="AH313" s="3"/>
    </row>
    <row r="314" spans="1:34" x14ac:dyDescent="0.25">
      <c r="B314" s="3">
        <f t="shared" ref="B314:AF314" si="296">$C44*EXP(-B$285/$A44/EXP(-$F$126))</f>
        <v>1.2586213635594824E-2</v>
      </c>
      <c r="C314" s="3">
        <f t="shared" si="296"/>
        <v>1.2586213635594824E-2</v>
      </c>
      <c r="D314" s="3">
        <f t="shared" si="296"/>
        <v>1.2586213635594824E-2</v>
      </c>
      <c r="E314" s="3">
        <f t="shared" si="296"/>
        <v>1.2586213635594824E-2</v>
      </c>
      <c r="F314" s="3">
        <f t="shared" si="296"/>
        <v>1.2586213635594824E-2</v>
      </c>
      <c r="G314" s="3">
        <f t="shared" si="296"/>
        <v>1.2586213635594824E-2</v>
      </c>
      <c r="H314" s="3">
        <f t="shared" si="296"/>
        <v>1.2586213635594824E-2</v>
      </c>
      <c r="I314" s="3">
        <f t="shared" si="296"/>
        <v>1.2586213635594824E-2</v>
      </c>
      <c r="J314" s="3">
        <f t="shared" si="296"/>
        <v>1.2586213635594824E-2</v>
      </c>
      <c r="K314" s="3">
        <f t="shared" si="296"/>
        <v>1.2586213635594824E-2</v>
      </c>
      <c r="L314" s="3">
        <f t="shared" si="296"/>
        <v>1.2586213635594824E-2</v>
      </c>
      <c r="M314" s="3">
        <f t="shared" si="296"/>
        <v>1.2586213635594822E-2</v>
      </c>
      <c r="N314" s="3">
        <f t="shared" si="296"/>
        <v>1.2586213635594812E-2</v>
      </c>
      <c r="O314" s="3">
        <f t="shared" si="296"/>
        <v>1.2586213635594699E-2</v>
      </c>
      <c r="P314" s="3">
        <f t="shared" si="296"/>
        <v>1.2586213635593566E-2</v>
      </c>
      <c r="Q314" s="3">
        <f t="shared" si="296"/>
        <v>1.2586213635582244E-2</v>
      </c>
      <c r="R314" s="3">
        <f t="shared" si="296"/>
        <v>1.2586213635469018E-2</v>
      </c>
      <c r="S314" s="3">
        <f t="shared" si="296"/>
        <v>1.2586213634336763E-2</v>
      </c>
      <c r="T314" s="3">
        <f t="shared" si="296"/>
        <v>1.2586213623014212E-2</v>
      </c>
      <c r="U314" s="3">
        <f t="shared" si="296"/>
        <v>1.2586213509788703E-2</v>
      </c>
      <c r="V314" s="3">
        <f t="shared" si="296"/>
        <v>1.2586212377533679E-2</v>
      </c>
      <c r="W314" s="3">
        <f t="shared" si="296"/>
        <v>1.2586201054989032E-2</v>
      </c>
      <c r="X314" s="3">
        <f t="shared" si="296"/>
        <v>1.2586087830102776E-2</v>
      </c>
      <c r="Y314" s="3">
        <f t="shared" si="296"/>
        <v>1.2584955637259821E-2</v>
      </c>
      <c r="Z314" s="3">
        <f t="shared" si="296"/>
        <v>1.2573639308927218E-2</v>
      </c>
      <c r="AA314" s="3">
        <f t="shared" si="296"/>
        <v>1.2461034175770066E-2</v>
      </c>
      <c r="AB314" s="3">
        <f t="shared" si="296"/>
        <v>1.1388983909893798E-2</v>
      </c>
      <c r="AC314" s="3">
        <f t="shared" si="296"/>
        <v>4.6322703945965646E-3</v>
      </c>
      <c r="AD314" s="3">
        <f t="shared" si="296"/>
        <v>5.7396198496363538E-7</v>
      </c>
      <c r="AE314" s="3">
        <f t="shared" si="296"/>
        <v>4.8952558697015826E-46</v>
      </c>
      <c r="AF314" s="3">
        <f t="shared" si="296"/>
        <v>0</v>
      </c>
      <c r="AG314" s="3"/>
      <c r="AH314" s="3"/>
    </row>
    <row r="315" spans="1:34" x14ac:dyDescent="0.25">
      <c r="B315" s="3">
        <f t="shared" ref="B315:AF315" si="297">$C45*EXP(-B$285/$A45/EXP(-$F$126))</f>
        <v>6.9130744193958088E-3</v>
      </c>
      <c r="C315" s="3">
        <f t="shared" si="297"/>
        <v>6.9130744193958088E-3</v>
      </c>
      <c r="D315" s="3">
        <f t="shared" si="297"/>
        <v>6.9130744193958088E-3</v>
      </c>
      <c r="E315" s="3">
        <f t="shared" si="297"/>
        <v>6.9130744193958088E-3</v>
      </c>
      <c r="F315" s="3">
        <f t="shared" si="297"/>
        <v>6.9130744193958088E-3</v>
      </c>
      <c r="G315" s="3">
        <f t="shared" si="297"/>
        <v>6.9130744193958088E-3</v>
      </c>
      <c r="H315" s="3">
        <f t="shared" si="297"/>
        <v>6.9130744193958088E-3</v>
      </c>
      <c r="I315" s="3">
        <f t="shared" si="297"/>
        <v>6.9130744193958088E-3</v>
      </c>
      <c r="J315" s="3">
        <f t="shared" si="297"/>
        <v>6.9130744193958088E-3</v>
      </c>
      <c r="K315" s="3">
        <f t="shared" si="297"/>
        <v>6.9130744193958088E-3</v>
      </c>
      <c r="L315" s="3">
        <f t="shared" si="297"/>
        <v>6.9130744193958088E-3</v>
      </c>
      <c r="M315" s="3">
        <f t="shared" si="297"/>
        <v>6.9130744193958088E-3</v>
      </c>
      <c r="N315" s="3">
        <f t="shared" si="297"/>
        <v>6.913074419395808E-3</v>
      </c>
      <c r="O315" s="3">
        <f t="shared" si="297"/>
        <v>6.9130744193958019E-3</v>
      </c>
      <c r="P315" s="3">
        <f t="shared" si="297"/>
        <v>6.9130744193957394E-3</v>
      </c>
      <c r="Q315" s="3">
        <f t="shared" si="297"/>
        <v>6.9130744193951184E-3</v>
      </c>
      <c r="R315" s="3">
        <f t="shared" si="297"/>
        <v>6.9130744193888986E-3</v>
      </c>
      <c r="S315" s="3">
        <f t="shared" si="297"/>
        <v>6.9130744193267087E-3</v>
      </c>
      <c r="T315" s="3">
        <f t="shared" si="297"/>
        <v>6.9130744187048095E-3</v>
      </c>
      <c r="U315" s="3">
        <f t="shared" si="297"/>
        <v>6.9130744124858111E-3</v>
      </c>
      <c r="V315" s="3">
        <f t="shared" si="297"/>
        <v>6.9130743502958322E-3</v>
      </c>
      <c r="W315" s="3">
        <f t="shared" si="297"/>
        <v>6.9130737283960705E-3</v>
      </c>
      <c r="X315" s="3">
        <f t="shared" si="297"/>
        <v>6.9130675094015402E-3</v>
      </c>
      <c r="Y315" s="3">
        <f t="shared" si="297"/>
        <v>6.9130053197639357E-3</v>
      </c>
      <c r="Z315" s="3">
        <f t="shared" si="297"/>
        <v>6.9123834541570846E-3</v>
      </c>
      <c r="AA315" s="3">
        <f t="shared" si="297"/>
        <v>6.9061678739847955E-3</v>
      </c>
      <c r="AB315" s="3">
        <f t="shared" si="297"/>
        <v>6.8443186405251115E-3</v>
      </c>
      <c r="AC315" s="3">
        <f t="shared" si="297"/>
        <v>6.2554868056374259E-3</v>
      </c>
      <c r="AD315" s="3">
        <f t="shared" si="297"/>
        <v>2.5443100598615113E-3</v>
      </c>
      <c r="AE315" s="3">
        <f t="shared" si="297"/>
        <v>3.1525302452648453E-7</v>
      </c>
      <c r="AF315" s="3">
        <f t="shared" si="297"/>
        <v>2.6887568500764493E-46</v>
      </c>
      <c r="AG315" s="3"/>
      <c r="AH315" s="3"/>
    </row>
    <row r="316" spans="1:34" x14ac:dyDescent="0.25">
      <c r="B316" s="3">
        <f t="shared" ref="B316:AF316" si="298">$C46*EXP(-B$285/$A46/EXP(-$F$126))</f>
        <v>3.0323866622783903E-3</v>
      </c>
      <c r="C316" s="3">
        <f t="shared" si="298"/>
        <v>3.0323866622783903E-3</v>
      </c>
      <c r="D316" s="3">
        <f t="shared" si="298"/>
        <v>3.0323866622783903E-3</v>
      </c>
      <c r="E316" s="3">
        <f t="shared" si="298"/>
        <v>3.0323866622783903E-3</v>
      </c>
      <c r="F316" s="3">
        <f t="shared" si="298"/>
        <v>3.0323866622783903E-3</v>
      </c>
      <c r="G316" s="3">
        <f t="shared" si="298"/>
        <v>3.0323866622783903E-3</v>
      </c>
      <c r="H316" s="3">
        <f t="shared" si="298"/>
        <v>3.0323866622783903E-3</v>
      </c>
      <c r="I316" s="3">
        <f t="shared" si="298"/>
        <v>3.0323866622783903E-3</v>
      </c>
      <c r="J316" s="3">
        <f t="shared" si="298"/>
        <v>3.0323866622783903E-3</v>
      </c>
      <c r="K316" s="3">
        <f t="shared" si="298"/>
        <v>3.0323866622783903E-3</v>
      </c>
      <c r="L316" s="3">
        <f t="shared" si="298"/>
        <v>3.0323866622783903E-3</v>
      </c>
      <c r="M316" s="3">
        <f t="shared" si="298"/>
        <v>3.0323866622783903E-3</v>
      </c>
      <c r="N316" s="3">
        <f t="shared" si="298"/>
        <v>3.0323866622783903E-3</v>
      </c>
      <c r="O316" s="3">
        <f t="shared" si="298"/>
        <v>3.0323866622783899E-3</v>
      </c>
      <c r="P316" s="3">
        <f t="shared" si="298"/>
        <v>3.0323866622783873E-3</v>
      </c>
      <c r="Q316" s="3">
        <f t="shared" si="298"/>
        <v>3.03238666227836E-3</v>
      </c>
      <c r="R316" s="3">
        <f t="shared" si="298"/>
        <v>3.0323866622780872E-3</v>
      </c>
      <c r="S316" s="3">
        <f t="shared" si="298"/>
        <v>3.0323866622753593E-3</v>
      </c>
      <c r="T316" s="3">
        <f t="shared" si="298"/>
        <v>3.0323866622480799E-3</v>
      </c>
      <c r="U316" s="3">
        <f t="shared" si="298"/>
        <v>3.0323866619752864E-3</v>
      </c>
      <c r="V316" s="3">
        <f t="shared" si="298"/>
        <v>3.0323866592473531E-3</v>
      </c>
      <c r="W316" s="3">
        <f t="shared" si="298"/>
        <v>3.0323866319680198E-3</v>
      </c>
      <c r="X316" s="3">
        <f t="shared" si="298"/>
        <v>3.0323863591746971E-3</v>
      </c>
      <c r="Y316" s="3">
        <f t="shared" si="298"/>
        <v>3.0323836312428215E-3</v>
      </c>
      <c r="Z316" s="3">
        <f t="shared" si="298"/>
        <v>3.0323563520590364E-3</v>
      </c>
      <c r="AA316" s="3">
        <f t="shared" si="298"/>
        <v>3.0320835737179482E-3</v>
      </c>
      <c r="AB316" s="3">
        <f t="shared" si="298"/>
        <v>3.0293571395340647E-3</v>
      </c>
      <c r="AC316" s="3">
        <f t="shared" si="298"/>
        <v>3.0022272723813138E-3</v>
      </c>
      <c r="AD316" s="3">
        <f t="shared" si="298"/>
        <v>2.7439390356123559E-3</v>
      </c>
      <c r="AE316" s="3">
        <f t="shared" si="298"/>
        <v>1.116049303415294E-3</v>
      </c>
      <c r="AF316" s="3">
        <f t="shared" si="298"/>
        <v>1.3828421463754243E-7</v>
      </c>
      <c r="AG316" s="3"/>
      <c r="AH316" s="3"/>
    </row>
    <row r="317" spans="1:34" x14ac:dyDescent="0.25">
      <c r="B317" s="3">
        <f t="shared" ref="B317:AF317" si="299">$C47*EXP(-B$285/$A47/EXP(-$F$126))</f>
        <v>2.0349292815546579E-6</v>
      </c>
      <c r="C317" s="3">
        <f t="shared" si="299"/>
        <v>2.0349292815546579E-6</v>
      </c>
      <c r="D317" s="3">
        <f t="shared" si="299"/>
        <v>2.0349292815546579E-6</v>
      </c>
      <c r="E317" s="3">
        <f t="shared" si="299"/>
        <v>2.0349292815546579E-6</v>
      </c>
      <c r="F317" s="3">
        <f t="shared" si="299"/>
        <v>2.0349292815546579E-6</v>
      </c>
      <c r="G317" s="3">
        <f t="shared" si="299"/>
        <v>2.0349292815546579E-6</v>
      </c>
      <c r="H317" s="3">
        <f t="shared" si="299"/>
        <v>2.0349292815546579E-6</v>
      </c>
      <c r="I317" s="3">
        <f t="shared" si="299"/>
        <v>2.0349292815546579E-6</v>
      </c>
      <c r="J317" s="3">
        <f t="shared" si="299"/>
        <v>2.0349292815546579E-6</v>
      </c>
      <c r="K317" s="3">
        <f t="shared" si="299"/>
        <v>2.0349292815546579E-6</v>
      </c>
      <c r="L317" s="3">
        <f t="shared" si="299"/>
        <v>2.0349292815546579E-6</v>
      </c>
      <c r="M317" s="3">
        <f t="shared" si="299"/>
        <v>2.0349292815546579E-6</v>
      </c>
      <c r="N317" s="3">
        <f t="shared" si="299"/>
        <v>2.0349292815546579E-6</v>
      </c>
      <c r="O317" s="3">
        <f t="shared" si="299"/>
        <v>2.0349292815546579E-6</v>
      </c>
      <c r="P317" s="3">
        <f t="shared" si="299"/>
        <v>2.0349292815546575E-6</v>
      </c>
      <c r="Q317" s="3">
        <f t="shared" si="299"/>
        <v>2.0349292815546558E-6</v>
      </c>
      <c r="R317" s="3">
        <f t="shared" si="299"/>
        <v>2.0349292815546376E-6</v>
      </c>
      <c r="S317" s="3">
        <f t="shared" si="299"/>
        <v>2.0349292815544546E-6</v>
      </c>
      <c r="T317" s="3">
        <f t="shared" si="299"/>
        <v>2.0349292815526238E-6</v>
      </c>
      <c r="U317" s="3">
        <f t="shared" si="299"/>
        <v>2.0349292815343177E-6</v>
      </c>
      <c r="V317" s="3">
        <f t="shared" si="299"/>
        <v>2.0349292813512557E-6</v>
      </c>
      <c r="W317" s="3">
        <f t="shared" si="299"/>
        <v>2.0349292795206341E-6</v>
      </c>
      <c r="X317" s="3">
        <f t="shared" si="299"/>
        <v>2.0349292612144217E-6</v>
      </c>
      <c r="Y317" s="3">
        <f t="shared" si="299"/>
        <v>2.0349290781523054E-6</v>
      </c>
      <c r="Z317" s="3">
        <f t="shared" si="299"/>
        <v>2.0349272475320481E-6</v>
      </c>
      <c r="AA317" s="3">
        <f t="shared" si="299"/>
        <v>2.0349089414200503E-6</v>
      </c>
      <c r="AB317" s="3">
        <f t="shared" si="299"/>
        <v>2.0347258893572776E-6</v>
      </c>
      <c r="AC317" s="3">
        <f t="shared" si="299"/>
        <v>2.0328962741488901E-6</v>
      </c>
      <c r="AD317" s="3">
        <f t="shared" si="299"/>
        <v>2.0146903633524282E-6</v>
      </c>
      <c r="AE317" s="3">
        <f t="shared" si="299"/>
        <v>1.8413621059040968E-6</v>
      </c>
      <c r="AF317" s="3">
        <f t="shared" si="299"/>
        <v>7.4894189300782592E-7</v>
      </c>
      <c r="AG317" s="3"/>
      <c r="AH317" s="3"/>
    </row>
    <row r="318" spans="1:34" x14ac:dyDescent="0.25">
      <c r="B318" s="3">
        <f t="shared" ref="B318:AF318" si="300">$C48*EXP(-B$285/$A48/EXP(-$F$126))</f>
        <v>1.1740866771866395E-2</v>
      </c>
      <c r="C318" s="3">
        <f t="shared" si="300"/>
        <v>1.1740866771866395E-2</v>
      </c>
      <c r="D318" s="3">
        <f t="shared" si="300"/>
        <v>1.1740866771866395E-2</v>
      </c>
      <c r="E318" s="3">
        <f t="shared" si="300"/>
        <v>1.1740866771866395E-2</v>
      </c>
      <c r="F318" s="3">
        <f t="shared" si="300"/>
        <v>1.1740866771866395E-2</v>
      </c>
      <c r="G318" s="3">
        <f t="shared" si="300"/>
        <v>1.1740866771866395E-2</v>
      </c>
      <c r="H318" s="3">
        <f t="shared" si="300"/>
        <v>1.1740866771866395E-2</v>
      </c>
      <c r="I318" s="3">
        <f t="shared" si="300"/>
        <v>1.1740866771866395E-2</v>
      </c>
      <c r="J318" s="3">
        <f t="shared" si="300"/>
        <v>1.1740866771866395E-2</v>
      </c>
      <c r="K318" s="3">
        <f t="shared" si="300"/>
        <v>1.1740866771866395E-2</v>
      </c>
      <c r="L318" s="3">
        <f t="shared" si="300"/>
        <v>1.1740866771866395E-2</v>
      </c>
      <c r="M318" s="3">
        <f t="shared" si="300"/>
        <v>1.1740866771866395E-2</v>
      </c>
      <c r="N318" s="3">
        <f t="shared" si="300"/>
        <v>1.1740866771866395E-2</v>
      </c>
      <c r="O318" s="3">
        <f t="shared" si="300"/>
        <v>1.1740866771866395E-2</v>
      </c>
      <c r="P318" s="3">
        <f t="shared" si="300"/>
        <v>1.1740866771866395E-2</v>
      </c>
      <c r="Q318" s="3">
        <f t="shared" si="300"/>
        <v>1.1740866771866393E-2</v>
      </c>
      <c r="R318" s="3">
        <f t="shared" si="300"/>
        <v>1.1740866771866382E-2</v>
      </c>
      <c r="S318" s="3">
        <f t="shared" si="300"/>
        <v>1.1740866771866277E-2</v>
      </c>
      <c r="T318" s="3">
        <f t="shared" si="300"/>
        <v>1.1740866771865222E-2</v>
      </c>
      <c r="U318" s="3">
        <f t="shared" si="300"/>
        <v>1.1740866771854659E-2</v>
      </c>
      <c r="V318" s="3">
        <f t="shared" si="300"/>
        <v>1.1740866771749039E-2</v>
      </c>
      <c r="W318" s="3">
        <f t="shared" si="300"/>
        <v>1.174086677069283E-2</v>
      </c>
      <c r="X318" s="3">
        <f t="shared" si="300"/>
        <v>1.1740866760130753E-2</v>
      </c>
      <c r="Y318" s="3">
        <f t="shared" si="300"/>
        <v>1.174086665450998E-2</v>
      </c>
      <c r="Z318" s="3">
        <f t="shared" si="300"/>
        <v>1.1740865598302308E-2</v>
      </c>
      <c r="AA318" s="3">
        <f t="shared" si="300"/>
        <v>1.1740855036230818E-2</v>
      </c>
      <c r="AB318" s="3">
        <f t="shared" si="300"/>
        <v>1.1740749416038497E-2</v>
      </c>
      <c r="AC318" s="3">
        <f t="shared" si="300"/>
        <v>1.1739693266372357E-2</v>
      </c>
      <c r="AD318" s="3">
        <f t="shared" si="300"/>
        <v>1.1729136993680144E-2</v>
      </c>
      <c r="AE318" s="3">
        <f t="shared" si="300"/>
        <v>1.1624094929044641E-2</v>
      </c>
      <c r="AF318" s="3">
        <f t="shared" si="300"/>
        <v>1.0624048393301697E-2</v>
      </c>
      <c r="AG318" s="3"/>
      <c r="AH318" s="3"/>
    </row>
    <row r="319" spans="1:34" x14ac:dyDescent="0.25">
      <c r="A319" s="79">
        <f>AVERAGE(B319:AF319)</f>
        <v>6.1187513281110725E-5</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1.4058937510035008E-4</v>
      </c>
      <c r="M319" s="80">
        <f t="shared" si="301"/>
        <v>2.3423156711844688E-4</v>
      </c>
      <c r="N319" s="80">
        <f t="shared" si="301"/>
        <v>2.7738331688320985E-4</v>
      </c>
      <c r="O319" s="80">
        <f t="shared" si="301"/>
        <v>3.2164684812346618E-4</v>
      </c>
      <c r="P319" s="80">
        <f t="shared" si="301"/>
        <v>2.8317650752138229E-4</v>
      </c>
      <c r="Q319" s="80">
        <f t="shared" si="301"/>
        <v>2.4279108867973832E-4</v>
      </c>
      <c r="R319" s="80">
        <f t="shared" si="301"/>
        <v>1.4310515671717828E-4</v>
      </c>
      <c r="S319" s="80">
        <f t="shared" si="301"/>
        <v>1.4215358676064805E-4</v>
      </c>
      <c r="T319" s="80">
        <f t="shared" si="301"/>
        <v>3.3152543967547761E-5</v>
      </c>
      <c r="U319" s="80">
        <f t="shared" si="301"/>
        <v>6.2424214659921102E-5</v>
      </c>
      <c r="V319" s="80">
        <f t="shared" si="301"/>
        <v>1.6158706182543818E-5</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3601.1972028556415</v>
      </c>
      <c r="C320" s="21">
        <f t="shared" ref="C320:AF320" si="302">(C287-C286)^2</f>
        <v>6029.8109304582667</v>
      </c>
      <c r="D320" s="21">
        <f t="shared" si="302"/>
        <v>421.16671827139203</v>
      </c>
      <c r="E320" s="21">
        <f t="shared" si="302"/>
        <v>11.41927786860232</v>
      </c>
      <c r="F320" s="21">
        <f t="shared" si="302"/>
        <v>0.19590423221575445</v>
      </c>
      <c r="G320" s="21">
        <f t="shared" si="302"/>
        <v>8.7198042215293325E-3</v>
      </c>
      <c r="H320" s="21">
        <f t="shared" si="302"/>
        <v>2.7751318345540764E-5</v>
      </c>
      <c r="I320" s="21">
        <f t="shared" si="302"/>
        <v>1.9010999442713488E-2</v>
      </c>
      <c r="J320" s="21">
        <f t="shared" si="302"/>
        <v>3.8207339037528328E-2</v>
      </c>
      <c r="K320" s="21">
        <f t="shared" si="302"/>
        <v>0.24920342389457473</v>
      </c>
      <c r="L320" s="21">
        <f t="shared" si="302"/>
        <v>0.55857799143874054</v>
      </c>
      <c r="M320" s="21">
        <f t="shared" si="302"/>
        <v>1.4242056878102134</v>
      </c>
      <c r="N320" s="21">
        <f t="shared" si="302"/>
        <v>1.81708478895015</v>
      </c>
      <c r="O320" s="21">
        <f t="shared" si="302"/>
        <v>2.2406669752606567</v>
      </c>
      <c r="P320" s="21">
        <f t="shared" si="302"/>
        <v>1.6016559401756476</v>
      </c>
      <c r="Q320" s="21">
        <f t="shared" si="302"/>
        <v>1.0737600356421766</v>
      </c>
      <c r="R320" s="21">
        <f t="shared" si="302"/>
        <v>0.32387198297881775</v>
      </c>
      <c r="S320" s="21">
        <f t="shared" si="302"/>
        <v>0.23991658494512391</v>
      </c>
      <c r="T320" s="21">
        <f t="shared" si="302"/>
        <v>8.8608706060322798E-3</v>
      </c>
      <c r="U320" s="21">
        <f t="shared" si="302"/>
        <v>2.1311190252215916E-2</v>
      </c>
      <c r="V320" s="21">
        <f t="shared" si="302"/>
        <v>1.0033912625868118E-3</v>
      </c>
      <c r="W320" s="21">
        <f t="shared" si="302"/>
        <v>2.0346812642781488E-3</v>
      </c>
      <c r="X320" s="21">
        <f t="shared" si="302"/>
        <v>3.6468074609889156E-3</v>
      </c>
      <c r="Y320" s="21">
        <f t="shared" si="302"/>
        <v>3.3291096636500045E-3</v>
      </c>
      <c r="Z320" s="21">
        <f t="shared" si="302"/>
        <v>3.4383255194865891E-3</v>
      </c>
      <c r="AA320" s="21">
        <f t="shared" si="302"/>
        <v>1.4547631891186092E-3</v>
      </c>
      <c r="AB320" s="21">
        <f t="shared" si="302"/>
        <v>1.867923679967571E-3</v>
      </c>
      <c r="AC320" s="21">
        <f t="shared" si="302"/>
        <v>4.6414775848218925E-6</v>
      </c>
      <c r="AD320" s="21">
        <f t="shared" si="302"/>
        <v>1.0997718087294548E-3</v>
      </c>
      <c r="AE320" s="21">
        <f t="shared" si="302"/>
        <v>4.8260613610356695E-4</v>
      </c>
      <c r="AF320" s="21">
        <f t="shared" si="302"/>
        <v>1.8694570849154245E-4</v>
      </c>
      <c r="AG320" s="3"/>
      <c r="AH320" s="3"/>
    </row>
    <row r="321" spans="1:34" x14ac:dyDescent="0.25">
      <c r="A321" s="71">
        <f>SUM(B321:AF321)</f>
        <v>9.310915439322363</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0.55857799143874054</v>
      </c>
      <c r="M321" s="60">
        <f t="shared" ref="M321" si="313">IF($A$64&lt;=M285,IF($B$64&gt;=M285,ABS(M320),0),0)</f>
        <v>1.4242056878102134</v>
      </c>
      <c r="N321" s="60">
        <f t="shared" ref="N321" si="314">IF($A$64&lt;=N285,IF($B$64&gt;=N285,ABS(N320),0),0)</f>
        <v>1.81708478895015</v>
      </c>
      <c r="O321" s="60">
        <f t="shared" ref="O321" si="315">IF($A$64&lt;=O285,IF($B$64&gt;=O285,ABS(O320),0),0)</f>
        <v>2.2406669752606567</v>
      </c>
      <c r="P321" s="60">
        <f t="shared" ref="P321" si="316">IF($A$64&lt;=P285,IF($B$64&gt;=P285,ABS(P320),0),0)</f>
        <v>1.6016559401756476</v>
      </c>
      <c r="Q321" s="60">
        <f t="shared" ref="Q321" si="317">IF($A$64&lt;=Q285,IF($B$64&gt;=Q285,ABS(Q320),0),0)</f>
        <v>1.0737600356421766</v>
      </c>
      <c r="R321" s="60">
        <f t="shared" ref="R321" si="318">IF($A$64&lt;=R285,IF($B$64&gt;=R285,ABS(R320),0),0)</f>
        <v>0.32387198297881775</v>
      </c>
      <c r="S321" s="60">
        <f t="shared" ref="S321" si="319">IF($A$64&lt;=S285,IF($B$64&gt;=S285,ABS(S320),0),0)</f>
        <v>0.23991658494512391</v>
      </c>
      <c r="T321" s="60">
        <f t="shared" ref="T321" si="320">IF($A$64&lt;=T285,IF($B$64&gt;=T285,ABS(T320),0),0)</f>
        <v>8.8608706060322798E-3</v>
      </c>
      <c r="U321" s="60">
        <f t="shared" ref="U321" si="321">IF($A$64&lt;=U285,IF($B$64&gt;=U285,ABS(U320),0),0)</f>
        <v>2.1311190252215916E-2</v>
      </c>
      <c r="V321" s="60">
        <f t="shared" ref="V321" si="322">IF($A$64&lt;=V285,IF($B$64&gt;=V285,ABS(V320),0),0)</f>
        <v>1.0033912625868118E-3</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5776.5900052436255</v>
      </c>
      <c r="C325" s="26">
        <f>INDEX(Comparison!$AM$3:$AS$33,G$14,$G$122)</f>
        <v>5571.6920956359099</v>
      </c>
      <c r="D325" s="26">
        <f>INDEX(Comparison!$AM$3:$AS$33,H$14,$G$122)</f>
        <v>5400.7646013667554</v>
      </c>
      <c r="E325" s="26">
        <f>INDEX(Comparison!$AM$3:$AS$33,I$14,$G$122)</f>
        <v>5215.0678795321228</v>
      </c>
      <c r="F325" s="26">
        <f>INDEX(Comparison!$AM$3:$AS$33,J$14,$G$122)</f>
        <v>4985.425095489265</v>
      </c>
      <c r="G325" s="26">
        <f>INDEX(Comparison!$AM$3:$AS$33,K$14,$G$122)</f>
        <v>4758.3350912889036</v>
      </c>
      <c r="H325" s="26">
        <f>INDEX(Comparison!$AM$3:$AS$33,L$14,$G$122)</f>
        <v>4565.5114420012915</v>
      </c>
      <c r="I325" s="26">
        <f>INDEX(Comparison!$AM$3:$AS$33,M$14,$G$122)</f>
        <v>4384.874474223483</v>
      </c>
      <c r="J325" s="26">
        <f>INDEX(Comparison!$AM$3:$AS$33,N$14,$G$122)</f>
        <v>4203.1654341512503</v>
      </c>
      <c r="K325" s="26">
        <f>INDEX(Comparison!$AM$3:$AS$33,O$14,$G$122)</f>
        <v>4026.8171479490911</v>
      </c>
      <c r="L325" s="26">
        <f>INDEX(Comparison!$AM$3:$AS$33,P$14,$G$122)</f>
        <v>3842.8247437350828</v>
      </c>
      <c r="M325" s="26">
        <f>INDEX(Comparison!$AM$3:$AS$33,Q$14,$G$122)</f>
        <v>3637.9090125528774</v>
      </c>
      <c r="N325" s="26">
        <f>INDEX(Comparison!$AM$3:$AS$33,R$14,$G$122)</f>
        <v>3407.0475124340101</v>
      </c>
      <c r="O325" s="26">
        <f>INDEX(Comparison!$AM$3:$AS$33,S$14,$G$122)</f>
        <v>3145.7192687287707</v>
      </c>
      <c r="P325" s="26">
        <f>INDEX(Comparison!$AM$3:$AS$33,T$14,$G$122)</f>
        <v>2837.9758401657195</v>
      </c>
      <c r="Q325" s="26">
        <f>INDEX(Comparison!$AM$3:$AS$33,U$14,$G$122)</f>
        <v>2426.1662837806571</v>
      </c>
      <c r="R325" s="26">
        <f>INDEX(Comparison!$AM$3:$AS$33,V$14,$G$122)</f>
        <v>1854.808278855141</v>
      </c>
      <c r="S325" s="26">
        <f>INDEX(Comparison!$AM$3:$AS$33,W$14,$G$122)</f>
        <v>1269.173844412863</v>
      </c>
      <c r="T325" s="26">
        <f>INDEX(Comparison!$AM$3:$AS$33,X$14,$G$122)</f>
        <v>808.20803145416335</v>
      </c>
      <c r="U325" s="26">
        <f>INDEX(Comparison!$AM$3:$AS$33,Y$14,$G$122)</f>
        <v>509.02880387480866</v>
      </c>
      <c r="V325" s="26">
        <f>INDEX(Comparison!$AM$3:$AS$33,Z$14,$G$122)</f>
        <v>344.05387649356049</v>
      </c>
      <c r="W325" s="26">
        <f>INDEX(Comparison!$AM$3:$AS$33,AA$14,$G$122)</f>
        <v>262.73242624087396</v>
      </c>
      <c r="X325" s="26">
        <f>INDEX(Comparison!$AM$3:$AS$33,AB$14,$G$122)</f>
        <v>222.939887660718</v>
      </c>
      <c r="Y325" s="26">
        <f>INDEX(Comparison!$AM$3:$AS$33,AC$14,$G$122)</f>
        <v>201.32214117210117</v>
      </c>
      <c r="Z325" s="26">
        <f>INDEX(Comparison!$AM$3:$AS$33,AD$14,$G$122)</f>
        <v>188.02569432355588</v>
      </c>
      <c r="AA325" s="26">
        <f>INDEX(Comparison!$AM$3:$AS$33,AE$14,$G$122)</f>
        <v>181.14617749166206</v>
      </c>
      <c r="AB325" s="26">
        <f>INDEX(Comparison!$AM$3:$AS$33,AF$14,$G$122)</f>
        <v>171.73287142228415</v>
      </c>
      <c r="AC325" s="26">
        <f>INDEX(Comparison!$AM$3:$AS$33,AG$14,$G$122)</f>
        <v>164.88164851800227</v>
      </c>
      <c r="AD325" s="26">
        <f>INDEX(Comparison!$AM$3:$AS$33,AH$14,$G$122)</f>
        <v>164.50146393142782</v>
      </c>
      <c r="AE325" s="26">
        <f>INDEX(Comparison!$AM$3:$AS$33,AI$14,$G$122)</f>
        <v>163.00727748318997</v>
      </c>
      <c r="AF325" s="26">
        <f>INDEX(Comparison!$AM$3:$AS$33,AJ$14,$G$122)</f>
        <v>162.92272722143832</v>
      </c>
      <c r="AG325" s="26"/>
      <c r="AH325" s="26"/>
    </row>
    <row r="326" spans="1:34" x14ac:dyDescent="0.25">
      <c r="A326" s="77" t="s">
        <v>22</v>
      </c>
      <c r="B326" s="27">
        <f>($C$17+SUM(B327:B357))*$B$51</f>
        <v>6146.5030572890792</v>
      </c>
      <c r="C326" s="27">
        <f t="shared" ref="C326:AF326" si="333">($C$17+SUM(C327:C357))*$B$51</f>
        <v>5993.1827595888226</v>
      </c>
      <c r="D326" s="27">
        <f t="shared" si="333"/>
        <v>5827.9577739045917</v>
      </c>
      <c r="E326" s="27">
        <f t="shared" si="333"/>
        <v>5653.8695404151595</v>
      </c>
      <c r="F326" s="27">
        <f t="shared" si="333"/>
        <v>5495.102372784625</v>
      </c>
      <c r="G326" s="27">
        <f t="shared" si="333"/>
        <v>5307.3928058428337</v>
      </c>
      <c r="H326" s="27">
        <f t="shared" si="333"/>
        <v>5087.4613859851461</v>
      </c>
      <c r="I326" s="27">
        <f t="shared" si="333"/>
        <v>4849.4413870320086</v>
      </c>
      <c r="J326" s="27">
        <f t="shared" si="333"/>
        <v>4649.3254467900633</v>
      </c>
      <c r="K326" s="27">
        <f t="shared" si="333"/>
        <v>4460.4748553627196</v>
      </c>
      <c r="L326" s="27">
        <f t="shared" si="333"/>
        <v>4262.6258462188671</v>
      </c>
      <c r="M326" s="27">
        <f t="shared" si="333"/>
        <v>3960.8815398166339</v>
      </c>
      <c r="N326" s="27">
        <f t="shared" si="333"/>
        <v>3426.454868576589</v>
      </c>
      <c r="O326" s="27">
        <f t="shared" si="333"/>
        <v>2822.7489176668569</v>
      </c>
      <c r="P326" s="27">
        <f t="shared" si="333"/>
        <v>2326.7561668409776</v>
      </c>
      <c r="Q326" s="27">
        <f t="shared" si="333"/>
        <v>1950.4741431152538</v>
      </c>
      <c r="R326" s="27">
        <f t="shared" si="333"/>
        <v>1649.6852767946052</v>
      </c>
      <c r="S326" s="27">
        <f t="shared" si="333"/>
        <v>1376.1610160802607</v>
      </c>
      <c r="T326" s="27">
        <f t="shared" si="333"/>
        <v>1110.8686246075863</v>
      </c>
      <c r="U326" s="27">
        <f t="shared" si="333"/>
        <v>839.00401780063419</v>
      </c>
      <c r="V326" s="27">
        <f t="shared" si="333"/>
        <v>594.23837960304104</v>
      </c>
      <c r="W326" s="27">
        <f t="shared" si="333"/>
        <v>408.76653002170639</v>
      </c>
      <c r="X326" s="27">
        <f t="shared" si="333"/>
        <v>293.87508275259341</v>
      </c>
      <c r="Y326" s="27">
        <f t="shared" si="333"/>
        <v>234.99362282383598</v>
      </c>
      <c r="Z326" s="27">
        <f t="shared" si="333"/>
        <v>205.95346073917858</v>
      </c>
      <c r="AA326" s="27">
        <f t="shared" si="333"/>
        <v>191.22190777624198</v>
      </c>
      <c r="AB326" s="27">
        <f t="shared" si="333"/>
        <v>145.39746997998523</v>
      </c>
      <c r="AC326" s="27">
        <f t="shared" si="333"/>
        <v>117.52815586182993</v>
      </c>
      <c r="AD326" s="27">
        <f t="shared" si="333"/>
        <v>117.52648638563295</v>
      </c>
      <c r="AE326" s="27">
        <f t="shared" si="333"/>
        <v>117.52648638563295</v>
      </c>
      <c r="AF326" s="27">
        <f t="shared" si="333"/>
        <v>117.52648638563295</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3.2502514811832129E-111</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3.4822296147290591E-12</v>
      </c>
      <c r="C330" s="3">
        <f t="shared" si="337"/>
        <v>3.3398149271563556E-100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2.5349214913667375E-3</v>
      </c>
      <c r="C331" s="3">
        <f t="shared" si="338"/>
        <v>2.9106936322558006E-11</v>
      </c>
      <c r="D331" s="3">
        <f t="shared" si="338"/>
        <v>1.1596216617997457E-90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1.9354272953011203E-2</v>
      </c>
      <c r="C332" s="3">
        <f t="shared" si="339"/>
        <v>3.7198522662795562E-3</v>
      </c>
      <c r="D332" s="3">
        <f t="shared" si="339"/>
        <v>2.5586683592056603E-10</v>
      </c>
      <c r="E332" s="3">
        <f t="shared" si="339"/>
        <v>6.0659253648857216E-82</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2.433519863827022E-2</v>
      </c>
      <c r="C333" s="3">
        <f t="shared" si="340"/>
        <v>2.0971190311737591E-2</v>
      </c>
      <c r="D333" s="3">
        <f t="shared" si="340"/>
        <v>4.7370169675019294E-3</v>
      </c>
      <c r="E333" s="3">
        <f t="shared" si="340"/>
        <v>1.6380363276079389E-9</v>
      </c>
      <c r="F333" s="3">
        <f t="shared" si="340"/>
        <v>4.0041415054896754E-74</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2.7292687473651916E-2</v>
      </c>
      <c r="C334" s="3">
        <f t="shared" si="341"/>
        <v>2.6928848251591923E-2</v>
      </c>
      <c r="D334" s="3">
        <f t="shared" si="341"/>
        <v>2.3546835375034231E-2</v>
      </c>
      <c r="E334" s="3">
        <f t="shared" si="341"/>
        <v>6.1529053210066659E-3</v>
      </c>
      <c r="F334" s="3">
        <f t="shared" si="341"/>
        <v>9.1318145020063571E-9</v>
      </c>
      <c r="G334" s="3">
        <f t="shared" si="341"/>
        <v>4.7350608733525573E-67</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2.1339874580571787E-2</v>
      </c>
      <c r="C335" s="3">
        <f t="shared" si="342"/>
        <v>2.1314054963082276E-2</v>
      </c>
      <c r="D335" s="3">
        <f t="shared" si="342"/>
        <v>2.1057570753652513E-2</v>
      </c>
      <c r="E335" s="3">
        <f t="shared" si="342"/>
        <v>1.8656498644575862E-2</v>
      </c>
      <c r="F335" s="3">
        <f t="shared" si="342"/>
        <v>5.5596680754449257E-3</v>
      </c>
      <c r="G335" s="3">
        <f t="shared" si="342"/>
        <v>3.0706908508070666E-8</v>
      </c>
      <c r="H335" s="3">
        <f t="shared" si="342"/>
        <v>8.1116350838018651E-61</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3.0212732364680292E-2</v>
      </c>
      <c r="C336" s="3">
        <f t="shared" si="343"/>
        <v>3.0209432974440956E-2</v>
      </c>
      <c r="D336" s="3">
        <f t="shared" si="343"/>
        <v>3.0176458882654605E-2</v>
      </c>
      <c r="E336" s="3">
        <f t="shared" si="343"/>
        <v>2.9848691043719726E-2</v>
      </c>
      <c r="F336" s="3">
        <f t="shared" si="343"/>
        <v>2.6760575288315901E-2</v>
      </c>
      <c r="G336" s="3">
        <f t="shared" si="343"/>
        <v>8.9783595425106544E-3</v>
      </c>
      <c r="H336" s="3">
        <f t="shared" si="343"/>
        <v>1.6226037203434046E-7</v>
      </c>
      <c r="I336" s="3">
        <f t="shared" si="343"/>
        <v>6.0306928800435638E-55</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3.3824351281852849E-2</v>
      </c>
      <c r="C337" s="3">
        <f t="shared" si="344"/>
        <v>3.38240180539775E-2</v>
      </c>
      <c r="D337" s="3">
        <f t="shared" si="344"/>
        <v>3.3820685955776343E-2</v>
      </c>
      <c r="E337" s="3">
        <f t="shared" si="344"/>
        <v>3.3787383022415157E-2</v>
      </c>
      <c r="F337" s="3">
        <f t="shared" si="344"/>
        <v>3.3456151992132997E-2</v>
      </c>
      <c r="G337" s="3">
        <f t="shared" si="344"/>
        <v>3.0317286110159831E-2</v>
      </c>
      <c r="H337" s="3">
        <f t="shared" si="344"/>
        <v>1.131966724010053E-2</v>
      </c>
      <c r="I337" s="3">
        <f t="shared" si="344"/>
        <v>5.9602851816944216E-7</v>
      </c>
      <c r="J337" s="3">
        <f t="shared" si="344"/>
        <v>9.7633944734746589E-50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3.8791793700190175E-2</v>
      </c>
      <c r="C338" s="3">
        <f t="shared" si="345"/>
        <v>3.8791759225509932E-2</v>
      </c>
      <c r="D338" s="3">
        <f t="shared" si="345"/>
        <v>3.8791414480392548E-2</v>
      </c>
      <c r="E338" s="3">
        <f t="shared" si="345"/>
        <v>3.8787967197721832E-2</v>
      </c>
      <c r="F338" s="3">
        <f t="shared" si="345"/>
        <v>3.8753511215784721E-2</v>
      </c>
      <c r="G338" s="3">
        <f t="shared" si="345"/>
        <v>3.8410630347615458E-2</v>
      </c>
      <c r="H338" s="3">
        <f t="shared" si="345"/>
        <v>3.514432480065998E-2</v>
      </c>
      <c r="I338" s="3">
        <f t="shared" si="345"/>
        <v>1.4450833612781138E-2</v>
      </c>
      <c r="J338" s="3">
        <f t="shared" si="345"/>
        <v>1.9965025378924839E-6</v>
      </c>
      <c r="K338" s="3">
        <f t="shared" si="345"/>
        <v>5.0587070095992332E-45</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2.3183984079839196E-2</v>
      </c>
      <c r="C339" s="3">
        <f t="shared" si="346"/>
        <v>2.3183982221199443E-2</v>
      </c>
      <c r="D339" s="3">
        <f t="shared" si="346"/>
        <v>2.3183963634810106E-2</v>
      </c>
      <c r="E339" s="3">
        <f t="shared" si="346"/>
        <v>2.3183777771736289E-2</v>
      </c>
      <c r="F339" s="3">
        <f t="shared" si="346"/>
        <v>2.3181919222948429E-2</v>
      </c>
      <c r="G339" s="3">
        <f t="shared" si="346"/>
        <v>2.316334192767406E-2</v>
      </c>
      <c r="H339" s="3">
        <f t="shared" si="346"/>
        <v>2.2978385810415131E-2</v>
      </c>
      <c r="I339" s="3">
        <f t="shared" si="346"/>
        <v>2.1208136325312862E-2</v>
      </c>
      <c r="J339" s="3">
        <f t="shared" si="346"/>
        <v>9.5133264478798191E-3</v>
      </c>
      <c r="K339" s="3">
        <f t="shared" si="346"/>
        <v>3.1378438902708405E-6</v>
      </c>
      <c r="L339" s="3">
        <f t="shared" si="346"/>
        <v>4.7821222000944552E-41</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3.3195679394370334E-2</v>
      </c>
      <c r="C340" s="3">
        <f t="shared" si="347"/>
        <v>3.3195679154301758E-2</v>
      </c>
      <c r="D340" s="3">
        <f t="shared" si="347"/>
        <v>3.3195676753616073E-2</v>
      </c>
      <c r="E340" s="3">
        <f t="shared" si="347"/>
        <v>3.3195652746768778E-2</v>
      </c>
      <c r="F340" s="3">
        <f t="shared" si="347"/>
        <v>3.3195412679250663E-2</v>
      </c>
      <c r="G340" s="3">
        <f t="shared" si="347"/>
        <v>3.3193012099555427E-2</v>
      </c>
      <c r="H340" s="3">
        <f t="shared" si="347"/>
        <v>3.3169015848629989E-2</v>
      </c>
      <c r="I340" s="3">
        <f t="shared" si="347"/>
        <v>3.2930005392670846E-2</v>
      </c>
      <c r="J340" s="3">
        <f t="shared" si="347"/>
        <v>3.0632607178915559E-2</v>
      </c>
      <c r="K340" s="3">
        <f t="shared" si="347"/>
        <v>1.4862968609586934E-2</v>
      </c>
      <c r="L340" s="3">
        <f t="shared" si="347"/>
        <v>1.074784882224012E-5</v>
      </c>
      <c r="M340" s="3">
        <f t="shared" si="347"/>
        <v>4.202245629427946E-37</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2.0384424348266254E-2</v>
      </c>
      <c r="C341" s="3">
        <f t="shared" si="348"/>
        <v>2.0384424334967871E-2</v>
      </c>
      <c r="D341" s="3">
        <f t="shared" si="348"/>
        <v>2.0384424201984049E-2</v>
      </c>
      <c r="E341" s="3">
        <f t="shared" si="348"/>
        <v>2.038442287214591E-2</v>
      </c>
      <c r="F341" s="3">
        <f t="shared" si="348"/>
        <v>2.038440957376925E-2</v>
      </c>
      <c r="G341" s="3">
        <f t="shared" si="348"/>
        <v>2.0384276590479842E-2</v>
      </c>
      <c r="H341" s="3">
        <f t="shared" si="348"/>
        <v>2.0382946805300218E-2</v>
      </c>
      <c r="I341" s="3">
        <f t="shared" si="348"/>
        <v>2.0369653723800445E-2</v>
      </c>
      <c r="J341" s="3">
        <f t="shared" si="348"/>
        <v>2.0237198789000096E-2</v>
      </c>
      <c r="K341" s="3">
        <f t="shared" si="348"/>
        <v>1.895910854879311E-2</v>
      </c>
      <c r="L341" s="3">
        <f t="shared" si="348"/>
        <v>9.8739987169961865E-3</v>
      </c>
      <c r="M341" s="3">
        <f t="shared" si="348"/>
        <v>1.4495880496095337E-5</v>
      </c>
      <c r="N341" s="3">
        <f t="shared" si="348"/>
        <v>6.7415527302756251E-34</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6.6925069365566886E-2</v>
      </c>
      <c r="C342" s="3">
        <f t="shared" si="349"/>
        <v>6.6925069361628342E-2</v>
      </c>
      <c r="D342" s="3">
        <f t="shared" si="349"/>
        <v>6.6925069322242889E-2</v>
      </c>
      <c r="E342" s="3">
        <f t="shared" si="349"/>
        <v>6.6925068928388426E-2</v>
      </c>
      <c r="F342" s="3">
        <f t="shared" si="349"/>
        <v>6.6925064989843921E-2</v>
      </c>
      <c r="G342" s="3">
        <f t="shared" si="349"/>
        <v>6.6925025604411714E-2</v>
      </c>
      <c r="H342" s="3">
        <f t="shared" si="349"/>
        <v>6.6924631751364344E-2</v>
      </c>
      <c r="I342" s="3">
        <f t="shared" si="349"/>
        <v>6.6920693348368573E-2</v>
      </c>
      <c r="J342" s="3">
        <f t="shared" si="349"/>
        <v>6.6881322063425369E-2</v>
      </c>
      <c r="K342" s="3">
        <f t="shared" si="349"/>
        <v>6.6488880944644446E-2</v>
      </c>
      <c r="L342" s="3">
        <f t="shared" si="349"/>
        <v>6.2688916739648534E-2</v>
      </c>
      <c r="M342" s="3">
        <f t="shared" si="349"/>
        <v>3.4802318986175085E-2</v>
      </c>
      <c r="N342" s="3">
        <f t="shared" si="349"/>
        <v>9.677927469861561E-5</v>
      </c>
      <c r="O342" s="3">
        <f t="shared" si="349"/>
        <v>2.676234470401614E-30</v>
      </c>
      <c r="P342" s="3">
        <f t="shared" si="349"/>
        <v>6.9974875108033208E-286</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9.66717991434492E-2</v>
      </c>
      <c r="C343" s="3">
        <f t="shared" si="350"/>
        <v>9.6671799142935999E-2</v>
      </c>
      <c r="D343" s="3">
        <f t="shared" si="350"/>
        <v>9.667179913780391E-2</v>
      </c>
      <c r="E343" s="3">
        <f t="shared" si="350"/>
        <v>9.6671799086483129E-2</v>
      </c>
      <c r="F343" s="3">
        <f t="shared" si="350"/>
        <v>9.6671798573275222E-2</v>
      </c>
      <c r="G343" s="3">
        <f t="shared" si="350"/>
        <v>9.6671793441196377E-2</v>
      </c>
      <c r="H343" s="3">
        <f t="shared" si="350"/>
        <v>9.6671742120422885E-2</v>
      </c>
      <c r="I343" s="3">
        <f t="shared" si="350"/>
        <v>9.6671228914186488E-2</v>
      </c>
      <c r="J343" s="3">
        <f t="shared" si="350"/>
        <v>9.6666097001666659E-2</v>
      </c>
      <c r="K343" s="3">
        <f t="shared" si="350"/>
        <v>9.661479285795041E-2</v>
      </c>
      <c r="L343" s="3">
        <f t="shared" si="350"/>
        <v>9.6103246630431599E-2</v>
      </c>
      <c r="M343" s="3">
        <f t="shared" si="350"/>
        <v>9.1134409603417954E-2</v>
      </c>
      <c r="N343" s="3">
        <f t="shared" si="350"/>
        <v>5.359516755742099E-2</v>
      </c>
      <c r="O343" s="3">
        <f t="shared" si="350"/>
        <v>2.6519059571520899E-4</v>
      </c>
      <c r="P343" s="3">
        <f t="shared" si="350"/>
        <v>2.332829387806125E-27</v>
      </c>
      <c r="Q343" s="3">
        <f t="shared" si="350"/>
        <v>6.4733869156721405E-258</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8.3708796522488457E-2</v>
      </c>
      <c r="C344" s="3">
        <f t="shared" si="351"/>
        <v>8.3708796522448364E-2</v>
      </c>
      <c r="D344" s="3">
        <f t="shared" si="351"/>
        <v>8.3708796522047491E-2</v>
      </c>
      <c r="E344" s="3">
        <f t="shared" si="351"/>
        <v>8.3708796518038725E-2</v>
      </c>
      <c r="F344" s="3">
        <f t="shared" si="351"/>
        <v>8.3708796477951014E-2</v>
      </c>
      <c r="G344" s="3">
        <f t="shared" si="351"/>
        <v>8.3708796077073933E-2</v>
      </c>
      <c r="H344" s="3">
        <f t="shared" si="351"/>
        <v>8.3708792068303298E-2</v>
      </c>
      <c r="I344" s="3">
        <f t="shared" si="351"/>
        <v>8.3708751980607427E-2</v>
      </c>
      <c r="J344" s="3">
        <f t="shared" si="351"/>
        <v>8.3708351104704634E-2</v>
      </c>
      <c r="K344" s="3">
        <f t="shared" si="351"/>
        <v>8.3704342451262459E-2</v>
      </c>
      <c r="L344" s="3">
        <f t="shared" si="351"/>
        <v>8.3664266473549354E-2</v>
      </c>
      <c r="M344" s="3">
        <f t="shared" si="351"/>
        <v>8.3264560499120371E-2</v>
      </c>
      <c r="N344" s="3">
        <f t="shared" si="351"/>
        <v>7.937103745835572E-2</v>
      </c>
      <c r="O344" s="3">
        <f t="shared" si="351"/>
        <v>4.916778985844595E-2</v>
      </c>
      <c r="P344" s="3">
        <f t="shared" si="351"/>
        <v>4.0913533056197583E-4</v>
      </c>
      <c r="Q344" s="3">
        <f t="shared" si="351"/>
        <v>6.5122334319449342E-25</v>
      </c>
      <c r="R344" s="3">
        <f t="shared" si="351"/>
        <v>6.7976642764183815E-233</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5.9251655732023532E-2</v>
      </c>
      <c r="C345" s="3">
        <f t="shared" si="352"/>
        <v>5.9251655732020972E-2</v>
      </c>
      <c r="D345" s="3">
        <f t="shared" si="352"/>
        <v>5.9251655731995381E-2</v>
      </c>
      <c r="E345" s="3">
        <f t="shared" si="352"/>
        <v>5.9251655731739405E-2</v>
      </c>
      <c r="F345" s="3">
        <f t="shared" si="352"/>
        <v>5.9251655729179717E-2</v>
      </c>
      <c r="G345" s="3">
        <f t="shared" si="352"/>
        <v>5.9251655703582831E-2</v>
      </c>
      <c r="H345" s="3">
        <f t="shared" si="352"/>
        <v>5.9251655447613925E-2</v>
      </c>
      <c r="I345" s="3">
        <f t="shared" si="352"/>
        <v>5.9251652887924972E-2</v>
      </c>
      <c r="J345" s="3">
        <f t="shared" si="352"/>
        <v>5.9251627291041525E-2</v>
      </c>
      <c r="K345" s="3">
        <f t="shared" si="352"/>
        <v>5.9251371322815244E-2</v>
      </c>
      <c r="L345" s="3">
        <f t="shared" si="352"/>
        <v>5.9248811701369954E-2</v>
      </c>
      <c r="M345" s="3">
        <f t="shared" si="352"/>
        <v>5.9223221567699755E-2</v>
      </c>
      <c r="N345" s="3">
        <f t="shared" si="352"/>
        <v>5.8967927338427012E-2</v>
      </c>
      <c r="O345" s="3">
        <f t="shared" si="352"/>
        <v>5.6474736492922381E-2</v>
      </c>
      <c r="P345" s="3">
        <f t="shared" si="352"/>
        <v>3.6663820234535204E-2</v>
      </c>
      <c r="Q345" s="3">
        <f t="shared" si="352"/>
        <v>4.8761014344867105E-4</v>
      </c>
      <c r="R345" s="3">
        <f t="shared" si="352"/>
        <v>8.4415635974852138E-23</v>
      </c>
      <c r="S345" s="3">
        <f t="shared" si="352"/>
        <v>2.0413832644625687E-210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5.2327746974864774E-2</v>
      </c>
      <c r="C346" s="3">
        <f t="shared" si="353"/>
        <v>5.2327746974864565E-2</v>
      </c>
      <c r="D346" s="3">
        <f t="shared" si="353"/>
        <v>5.2327746974862525E-2</v>
      </c>
      <c r="E346" s="3">
        <f t="shared" si="353"/>
        <v>5.2327746974842139E-2</v>
      </c>
      <c r="F346" s="3">
        <f t="shared" si="353"/>
        <v>5.2327746974638219E-2</v>
      </c>
      <c r="G346" s="3">
        <f t="shared" si="353"/>
        <v>5.2327746972598989E-2</v>
      </c>
      <c r="H346" s="3">
        <f t="shared" si="353"/>
        <v>5.2327746952206732E-2</v>
      </c>
      <c r="I346" s="3">
        <f t="shared" si="353"/>
        <v>5.2327746748284137E-2</v>
      </c>
      <c r="J346" s="3">
        <f t="shared" si="353"/>
        <v>5.2327744709058266E-2</v>
      </c>
      <c r="K346" s="3">
        <f t="shared" si="353"/>
        <v>5.2327724316803964E-2</v>
      </c>
      <c r="L346" s="3">
        <f t="shared" si="353"/>
        <v>5.2327520394697999E-2</v>
      </c>
      <c r="M346" s="3">
        <f t="shared" si="353"/>
        <v>5.2325481217345697E-2</v>
      </c>
      <c r="N346" s="3">
        <f t="shared" si="353"/>
        <v>5.2305093813926555E-2</v>
      </c>
      <c r="O346" s="3">
        <f t="shared" si="353"/>
        <v>5.2101656160654118E-2</v>
      </c>
      <c r="P346" s="3">
        <f t="shared" si="353"/>
        <v>5.0110295007440575E-2</v>
      </c>
      <c r="Q346" s="3">
        <f t="shared" si="353"/>
        <v>3.3937611189797247E-2</v>
      </c>
      <c r="R346" s="3">
        <f t="shared" si="353"/>
        <v>6.8900817189916272E-4</v>
      </c>
      <c r="S346" s="3">
        <f t="shared" si="353"/>
        <v>8.1970088325456203E-21</v>
      </c>
      <c r="T346" s="3">
        <f t="shared" si="353"/>
        <v>4.6554932920862583E-190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1.7967891452015796E-2</v>
      </c>
      <c r="C347" s="3">
        <f t="shared" si="354"/>
        <v>1.7967891452015789E-2</v>
      </c>
      <c r="D347" s="3">
        <f t="shared" si="354"/>
        <v>1.7967891452015727E-2</v>
      </c>
      <c r="E347" s="3">
        <f t="shared" si="354"/>
        <v>1.7967891452015095E-2</v>
      </c>
      <c r="F347" s="3">
        <f t="shared" si="354"/>
        <v>1.7967891452008777E-2</v>
      </c>
      <c r="G347" s="3">
        <f t="shared" si="354"/>
        <v>1.7967891451945613E-2</v>
      </c>
      <c r="H347" s="3">
        <f t="shared" si="354"/>
        <v>1.7967891451313962E-2</v>
      </c>
      <c r="I347" s="3">
        <f t="shared" si="354"/>
        <v>1.7967891444997455E-2</v>
      </c>
      <c r="J347" s="3">
        <f t="shared" si="354"/>
        <v>1.7967891381832381E-2</v>
      </c>
      <c r="K347" s="3">
        <f t="shared" si="354"/>
        <v>1.796789075018165E-2</v>
      </c>
      <c r="L347" s="3">
        <f t="shared" si="354"/>
        <v>1.7967884433675568E-2</v>
      </c>
      <c r="M347" s="3">
        <f t="shared" si="354"/>
        <v>1.7967821268736885E-2</v>
      </c>
      <c r="N347" s="3">
        <f t="shared" si="354"/>
        <v>1.7967189631562804E-2</v>
      </c>
      <c r="O347" s="3">
        <f t="shared" si="354"/>
        <v>1.7960874480937736E-2</v>
      </c>
      <c r="P347" s="3">
        <f t="shared" si="354"/>
        <v>1.7897844927579443E-2</v>
      </c>
      <c r="Q347" s="3">
        <f t="shared" si="354"/>
        <v>1.7279587538027379E-2</v>
      </c>
      <c r="R347" s="3">
        <f t="shared" si="354"/>
        <v>1.2157931151423751E-2</v>
      </c>
      <c r="S347" s="3">
        <f t="shared" si="354"/>
        <v>3.6151203494381442E-4</v>
      </c>
      <c r="T347" s="3">
        <f t="shared" si="354"/>
        <v>1.9532307846599332E-19</v>
      </c>
      <c r="U347" s="3">
        <f t="shared" si="354"/>
        <v>4.1405836990803885E-172</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4.123109123431553E-2</v>
      </c>
      <c r="C348" s="3">
        <f t="shared" si="355"/>
        <v>4.1231091234315523E-2</v>
      </c>
      <c r="D348" s="3">
        <f t="shared" si="355"/>
        <v>4.1231091234315481E-2</v>
      </c>
      <c r="E348" s="3">
        <f t="shared" si="355"/>
        <v>4.1231091234315086E-2</v>
      </c>
      <c r="F348" s="3">
        <f t="shared" si="355"/>
        <v>4.1231091234311075E-2</v>
      </c>
      <c r="G348" s="3">
        <f t="shared" si="355"/>
        <v>4.1231091234270982E-2</v>
      </c>
      <c r="H348" s="3">
        <f t="shared" si="355"/>
        <v>4.1231091233870101E-2</v>
      </c>
      <c r="I348" s="3">
        <f t="shared" si="355"/>
        <v>4.1231091229861273E-2</v>
      </c>
      <c r="J348" s="3">
        <f t="shared" si="355"/>
        <v>4.123109118977298E-2</v>
      </c>
      <c r="K348" s="3">
        <f t="shared" si="355"/>
        <v>4.1231090788890028E-2</v>
      </c>
      <c r="L348" s="3">
        <f t="shared" si="355"/>
        <v>4.1231086780060752E-2</v>
      </c>
      <c r="M348" s="3">
        <f t="shared" si="355"/>
        <v>4.1231046691789397E-2</v>
      </c>
      <c r="N348" s="3">
        <f t="shared" si="355"/>
        <v>4.123064581121956E-2</v>
      </c>
      <c r="O348" s="3">
        <f t="shared" si="355"/>
        <v>4.1226637219887091E-2</v>
      </c>
      <c r="P348" s="3">
        <f t="shared" si="355"/>
        <v>4.1186572735441469E-2</v>
      </c>
      <c r="Q348" s="3">
        <f t="shared" si="355"/>
        <v>4.0788063089970829E-2</v>
      </c>
      <c r="R348" s="3">
        <f t="shared" si="355"/>
        <v>3.7009000968904568E-2</v>
      </c>
      <c r="S348" s="3">
        <f t="shared" si="355"/>
        <v>1.3997489674766323E-2</v>
      </c>
      <c r="T348" s="3">
        <f t="shared" si="355"/>
        <v>8.3845178958703568E-7</v>
      </c>
      <c r="U348" s="3">
        <f t="shared" si="355"/>
        <v>4.9860599748918372E-49</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3.4610685556715946E-2</v>
      </c>
      <c r="C349" s="3">
        <f t="shared" si="356"/>
        <v>3.4610685556715946E-2</v>
      </c>
      <c r="D349" s="3">
        <f t="shared" si="356"/>
        <v>3.4610685556715939E-2</v>
      </c>
      <c r="E349" s="3">
        <f t="shared" si="356"/>
        <v>3.4610685556715905E-2</v>
      </c>
      <c r="F349" s="3">
        <f t="shared" si="356"/>
        <v>3.4610685556715572E-2</v>
      </c>
      <c r="G349" s="3">
        <f t="shared" si="356"/>
        <v>3.4610685556712206E-2</v>
      </c>
      <c r="H349" s="3">
        <f t="shared" si="356"/>
        <v>3.4610685556678553E-2</v>
      </c>
      <c r="I349" s="3">
        <f t="shared" si="356"/>
        <v>3.4610685556342044E-2</v>
      </c>
      <c r="J349" s="3">
        <f t="shared" si="356"/>
        <v>3.4610685552976903E-2</v>
      </c>
      <c r="K349" s="3">
        <f t="shared" si="356"/>
        <v>3.4610685519325515E-2</v>
      </c>
      <c r="L349" s="3">
        <f t="shared" si="356"/>
        <v>3.4610685182811657E-2</v>
      </c>
      <c r="M349" s="3">
        <f t="shared" si="356"/>
        <v>3.4610681817673225E-2</v>
      </c>
      <c r="N349" s="3">
        <f t="shared" si="356"/>
        <v>3.4610648166306913E-2</v>
      </c>
      <c r="O349" s="3">
        <f t="shared" si="356"/>
        <v>3.4610311654443345E-2</v>
      </c>
      <c r="P349" s="3">
        <f t="shared" si="356"/>
        <v>3.4606946715753151E-2</v>
      </c>
      <c r="Q349" s="3">
        <f t="shared" si="356"/>
        <v>3.4573315316931835E-2</v>
      </c>
      <c r="R349" s="3">
        <f t="shared" si="356"/>
        <v>3.4238793682461396E-2</v>
      </c>
      <c r="S349" s="3">
        <f t="shared" si="356"/>
        <v>3.1066529091446585E-2</v>
      </c>
      <c r="T349" s="3">
        <f t="shared" si="356"/>
        <v>1.1749936739814204E-2</v>
      </c>
      <c r="U349" s="3">
        <f t="shared" si="356"/>
        <v>7.0382302226603676E-7</v>
      </c>
      <c r="V349" s="3">
        <f t="shared" si="356"/>
        <v>4.1854568674205309E-49</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4.2854236942630193E-2</v>
      </c>
      <c r="C350" s="3">
        <f t="shared" si="357"/>
        <v>4.2854236942630193E-2</v>
      </c>
      <c r="D350" s="3">
        <f t="shared" si="357"/>
        <v>4.2854236942630193E-2</v>
      </c>
      <c r="E350" s="3">
        <f t="shared" si="357"/>
        <v>4.2854236942630186E-2</v>
      </c>
      <c r="F350" s="3">
        <f t="shared" si="357"/>
        <v>4.2854236942630144E-2</v>
      </c>
      <c r="G350" s="3">
        <f t="shared" si="357"/>
        <v>4.2854236942629728E-2</v>
      </c>
      <c r="H350" s="3">
        <f t="shared" si="357"/>
        <v>4.2854236942625565E-2</v>
      </c>
      <c r="I350" s="3">
        <f t="shared" si="357"/>
        <v>4.2854236942583897E-2</v>
      </c>
      <c r="J350" s="3">
        <f t="shared" si="357"/>
        <v>4.285423694216723E-2</v>
      </c>
      <c r="K350" s="3">
        <f t="shared" si="357"/>
        <v>4.2854236938000584E-2</v>
      </c>
      <c r="L350" s="3">
        <f t="shared" si="357"/>
        <v>4.2854236896334136E-2</v>
      </c>
      <c r="M350" s="3">
        <f t="shared" si="357"/>
        <v>4.2854236479669613E-2</v>
      </c>
      <c r="N350" s="3">
        <f t="shared" si="357"/>
        <v>4.2854232313024626E-2</v>
      </c>
      <c r="O350" s="3">
        <f t="shared" si="357"/>
        <v>4.2854190646596985E-2</v>
      </c>
      <c r="P350" s="3">
        <f t="shared" si="357"/>
        <v>4.2853773984548732E-2</v>
      </c>
      <c r="Q350" s="3">
        <f t="shared" si="357"/>
        <v>4.2849607586871029E-2</v>
      </c>
      <c r="R350" s="3">
        <f t="shared" si="357"/>
        <v>4.2807965882564449E-2</v>
      </c>
      <c r="S350" s="3">
        <f t="shared" si="357"/>
        <v>4.2393768094932067E-2</v>
      </c>
      <c r="T350" s="3">
        <f t="shared" si="357"/>
        <v>3.8465935512555331E-2</v>
      </c>
      <c r="U350" s="3">
        <f t="shared" si="357"/>
        <v>1.4548529305603611E-2</v>
      </c>
      <c r="V350" s="3">
        <f t="shared" si="357"/>
        <v>8.7145914843094334E-7</v>
      </c>
      <c r="W350" s="3">
        <f t="shared" si="357"/>
        <v>5.1823463599320066E-49</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3.2192937025108795E-2</v>
      </c>
      <c r="C351" s="3">
        <f t="shared" si="358"/>
        <v>3.2192937025108795E-2</v>
      </c>
      <c r="D351" s="3">
        <f t="shared" si="358"/>
        <v>3.2192937025108795E-2</v>
      </c>
      <c r="E351" s="3">
        <f t="shared" si="358"/>
        <v>3.2192937025108795E-2</v>
      </c>
      <c r="F351" s="3">
        <f t="shared" si="358"/>
        <v>3.2192937025108788E-2</v>
      </c>
      <c r="G351" s="3">
        <f t="shared" si="358"/>
        <v>3.219293702510876E-2</v>
      </c>
      <c r="H351" s="3">
        <f t="shared" si="358"/>
        <v>3.2192937025108448E-2</v>
      </c>
      <c r="I351" s="3">
        <f t="shared" si="358"/>
        <v>3.2192937025105318E-2</v>
      </c>
      <c r="J351" s="3">
        <f t="shared" si="358"/>
        <v>3.2192937025074017E-2</v>
      </c>
      <c r="K351" s="3">
        <f t="shared" si="358"/>
        <v>3.2192937024761011E-2</v>
      </c>
      <c r="L351" s="3">
        <f t="shared" si="358"/>
        <v>3.2192937021630945E-2</v>
      </c>
      <c r="M351" s="3">
        <f t="shared" si="358"/>
        <v>3.2192936990330295E-2</v>
      </c>
      <c r="N351" s="3">
        <f t="shared" si="358"/>
        <v>3.2192936677323793E-2</v>
      </c>
      <c r="O351" s="3">
        <f t="shared" si="358"/>
        <v>3.2192933547258967E-2</v>
      </c>
      <c r="P351" s="3">
        <f t="shared" si="358"/>
        <v>3.2192902246627415E-2</v>
      </c>
      <c r="Q351" s="3">
        <f t="shared" si="358"/>
        <v>3.2192589241985703E-2</v>
      </c>
      <c r="R351" s="3">
        <f t="shared" si="358"/>
        <v>3.218945936294388E-2</v>
      </c>
      <c r="S351" s="3">
        <f t="shared" si="358"/>
        <v>3.2158177304039075E-2</v>
      </c>
      <c r="T351" s="3">
        <f t="shared" si="358"/>
        <v>3.184702386287433E-2</v>
      </c>
      <c r="U351" s="3">
        <f t="shared" si="358"/>
        <v>2.8896359564758285E-2</v>
      </c>
      <c r="V351" s="3">
        <f t="shared" si="358"/>
        <v>1.0929138427321653E-2</v>
      </c>
      <c r="W351" s="3">
        <f t="shared" si="358"/>
        <v>6.5465707680082708E-7</v>
      </c>
      <c r="X351" s="3">
        <f t="shared" si="358"/>
        <v>3.8930794691534957E-49</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2.5751010749186929E-2</v>
      </c>
      <c r="C352" s="3">
        <f t="shared" si="359"/>
        <v>2.5751010749186929E-2</v>
      </c>
      <c r="D352" s="3">
        <f t="shared" si="359"/>
        <v>2.5751010749186929E-2</v>
      </c>
      <c r="E352" s="3">
        <f t="shared" si="359"/>
        <v>2.5751010749186929E-2</v>
      </c>
      <c r="F352" s="3">
        <f t="shared" si="359"/>
        <v>2.5751010749186929E-2</v>
      </c>
      <c r="G352" s="3">
        <f t="shared" si="359"/>
        <v>2.5751010749186926E-2</v>
      </c>
      <c r="H352" s="3">
        <f t="shared" si="359"/>
        <v>2.5751010749186901E-2</v>
      </c>
      <c r="I352" s="3">
        <f t="shared" si="359"/>
        <v>2.5751010749186651E-2</v>
      </c>
      <c r="J352" s="3">
        <f t="shared" si="359"/>
        <v>2.5751010749184147E-2</v>
      </c>
      <c r="K352" s="3">
        <f t="shared" si="359"/>
        <v>2.5751010749159108E-2</v>
      </c>
      <c r="L352" s="3">
        <f t="shared" si="359"/>
        <v>2.5751010748908738E-2</v>
      </c>
      <c r="M352" s="3">
        <f t="shared" si="359"/>
        <v>2.5751010746405009E-2</v>
      </c>
      <c r="N352" s="3">
        <f t="shared" si="359"/>
        <v>2.5751010721367734E-2</v>
      </c>
      <c r="O352" s="3">
        <f t="shared" si="359"/>
        <v>2.5751010470994998E-2</v>
      </c>
      <c r="P352" s="3">
        <f t="shared" si="359"/>
        <v>2.5751007967267769E-2</v>
      </c>
      <c r="Q352" s="3">
        <f t="shared" si="359"/>
        <v>2.5750982930008853E-2</v>
      </c>
      <c r="R352" s="3">
        <f t="shared" si="359"/>
        <v>2.5750732558758569E-2</v>
      </c>
      <c r="S352" s="3">
        <f t="shared" si="359"/>
        <v>2.5748228980138618E-2</v>
      </c>
      <c r="T352" s="3">
        <f t="shared" si="359"/>
        <v>2.57232065774145E-2</v>
      </c>
      <c r="U352" s="3">
        <f t="shared" si="359"/>
        <v>2.5474316095572769E-2</v>
      </c>
      <c r="V352" s="3">
        <f t="shared" si="359"/>
        <v>2.3114090683434511E-2</v>
      </c>
      <c r="W352" s="3">
        <f t="shared" si="359"/>
        <v>8.7421772329069041E-3</v>
      </c>
      <c r="X352" s="3">
        <f t="shared" si="359"/>
        <v>5.2365776407977235E-7</v>
      </c>
      <c r="Y352" s="3">
        <f t="shared" si="359"/>
        <v>3.1140598069514543E-49</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1.2586213635594824E-2</v>
      </c>
      <c r="C353" s="3">
        <f t="shared" si="360"/>
        <v>1.2586213635594824E-2</v>
      </c>
      <c r="D353" s="3">
        <f t="shared" si="360"/>
        <v>1.2586213635594824E-2</v>
      </c>
      <c r="E353" s="3">
        <f t="shared" si="360"/>
        <v>1.2586213635594824E-2</v>
      </c>
      <c r="F353" s="3">
        <f t="shared" si="360"/>
        <v>1.2586213635594824E-2</v>
      </c>
      <c r="G353" s="3">
        <f t="shared" si="360"/>
        <v>1.2586213635594824E-2</v>
      </c>
      <c r="H353" s="3">
        <f t="shared" si="360"/>
        <v>1.2586213635594822E-2</v>
      </c>
      <c r="I353" s="3">
        <f t="shared" si="360"/>
        <v>1.258621363559481E-2</v>
      </c>
      <c r="J353" s="3">
        <f t="shared" si="360"/>
        <v>1.2586213635594689E-2</v>
      </c>
      <c r="K353" s="3">
        <f t="shared" si="360"/>
        <v>1.2586213635593464E-2</v>
      </c>
      <c r="L353" s="3">
        <f t="shared" si="360"/>
        <v>1.2586213635581227E-2</v>
      </c>
      <c r="M353" s="3">
        <f t="shared" si="360"/>
        <v>1.2586213635458853E-2</v>
      </c>
      <c r="N353" s="3">
        <f t="shared" si="360"/>
        <v>1.2586213634235116E-2</v>
      </c>
      <c r="O353" s="3">
        <f t="shared" si="360"/>
        <v>1.2586213621997753E-2</v>
      </c>
      <c r="P353" s="3">
        <f t="shared" si="360"/>
        <v>1.258621349962412E-2</v>
      </c>
      <c r="Q353" s="3">
        <f t="shared" si="360"/>
        <v>1.2586212275887852E-2</v>
      </c>
      <c r="R353" s="3">
        <f t="shared" si="360"/>
        <v>1.258620003853171E-2</v>
      </c>
      <c r="S353" s="3">
        <f t="shared" si="360"/>
        <v>1.258607766562468E-2</v>
      </c>
      <c r="T353" s="3">
        <f t="shared" si="360"/>
        <v>1.2584854001991781E-2</v>
      </c>
      <c r="U353" s="3">
        <f t="shared" si="360"/>
        <v>1.2572623907047971E-2</v>
      </c>
      <c r="V353" s="3">
        <f t="shared" si="360"/>
        <v>1.2450974749007637E-2</v>
      </c>
      <c r="W353" s="3">
        <f t="shared" si="360"/>
        <v>1.1297377262886829E-2</v>
      </c>
      <c r="X353" s="3">
        <f t="shared" si="360"/>
        <v>4.272877339273902E-3</v>
      </c>
      <c r="Y353" s="3">
        <f t="shared" si="360"/>
        <v>2.559460113950685E-7</v>
      </c>
      <c r="Z353" s="3">
        <f t="shared" si="360"/>
        <v>1.5220459649548983E-49</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6.9130744193958088E-3</v>
      </c>
      <c r="C354" s="3">
        <f t="shared" si="361"/>
        <v>6.9130744193958088E-3</v>
      </c>
      <c r="D354" s="3">
        <f t="shared" si="361"/>
        <v>6.9130744193958088E-3</v>
      </c>
      <c r="E354" s="3">
        <f t="shared" si="361"/>
        <v>6.9130744193958088E-3</v>
      </c>
      <c r="F354" s="3">
        <f t="shared" si="361"/>
        <v>6.9130744193958088E-3</v>
      </c>
      <c r="G354" s="3">
        <f t="shared" si="361"/>
        <v>6.9130744193958088E-3</v>
      </c>
      <c r="H354" s="3">
        <f t="shared" si="361"/>
        <v>6.9130744193958088E-3</v>
      </c>
      <c r="I354" s="3">
        <f t="shared" si="361"/>
        <v>6.913074419395808E-3</v>
      </c>
      <c r="J354" s="3">
        <f t="shared" si="361"/>
        <v>6.913074419395801E-3</v>
      </c>
      <c r="K354" s="3">
        <f t="shared" si="361"/>
        <v>6.9130744193957342E-3</v>
      </c>
      <c r="L354" s="3">
        <f t="shared" si="361"/>
        <v>6.913074419395062E-3</v>
      </c>
      <c r="M354" s="3">
        <f t="shared" si="361"/>
        <v>6.91307441938834E-3</v>
      </c>
      <c r="N354" s="3">
        <f t="shared" si="361"/>
        <v>6.9130744193211255E-3</v>
      </c>
      <c r="O354" s="3">
        <f t="shared" si="361"/>
        <v>6.9130744186489792E-3</v>
      </c>
      <c r="P354" s="3">
        <f t="shared" si="361"/>
        <v>6.9130744119275138E-3</v>
      </c>
      <c r="Q354" s="3">
        <f t="shared" si="361"/>
        <v>6.9130743447128563E-3</v>
      </c>
      <c r="R354" s="3">
        <f t="shared" si="361"/>
        <v>6.9130736725663208E-3</v>
      </c>
      <c r="S354" s="3">
        <f t="shared" si="361"/>
        <v>6.9130669511045561E-3</v>
      </c>
      <c r="T354" s="3">
        <f t="shared" si="361"/>
        <v>6.9129997368463448E-3</v>
      </c>
      <c r="U354" s="3">
        <f t="shared" si="361"/>
        <v>6.9123276302062173E-3</v>
      </c>
      <c r="V354" s="3">
        <f t="shared" si="361"/>
        <v>6.9056101567109536E-3</v>
      </c>
      <c r="W354" s="3">
        <f t="shared" si="361"/>
        <v>6.838793423185047E-3</v>
      </c>
      <c r="X354" s="3">
        <f t="shared" si="361"/>
        <v>6.2051711518271704E-3</v>
      </c>
      <c r="Y354" s="3">
        <f t="shared" si="361"/>
        <v>2.3469106664304957E-3</v>
      </c>
      <c r="Z354" s="3">
        <f t="shared" si="361"/>
        <v>1.4058031075507131E-7</v>
      </c>
      <c r="AA354" s="3">
        <f t="shared" si="361"/>
        <v>8.3599542563914596E-50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3.0323866622783903E-3</v>
      </c>
      <c r="C355" s="3">
        <f t="shared" si="362"/>
        <v>3.0323866622783903E-3</v>
      </c>
      <c r="D355" s="3">
        <f t="shared" si="362"/>
        <v>3.0323866622783903E-3</v>
      </c>
      <c r="E355" s="3">
        <f t="shared" si="362"/>
        <v>3.0323866622783903E-3</v>
      </c>
      <c r="F355" s="3">
        <f t="shared" si="362"/>
        <v>3.0323866622783903E-3</v>
      </c>
      <c r="G355" s="3">
        <f t="shared" si="362"/>
        <v>3.0323866622783903E-3</v>
      </c>
      <c r="H355" s="3">
        <f t="shared" si="362"/>
        <v>3.0323866622783903E-3</v>
      </c>
      <c r="I355" s="3">
        <f t="shared" si="362"/>
        <v>3.0323866622783903E-3</v>
      </c>
      <c r="J355" s="3">
        <f t="shared" si="362"/>
        <v>3.0323866622783899E-3</v>
      </c>
      <c r="K355" s="3">
        <f t="shared" si="362"/>
        <v>3.0323866622783868E-3</v>
      </c>
      <c r="L355" s="3">
        <f t="shared" si="362"/>
        <v>3.0323866622783578E-3</v>
      </c>
      <c r="M355" s="3">
        <f t="shared" si="362"/>
        <v>3.0323866622780629E-3</v>
      </c>
      <c r="N355" s="3">
        <f t="shared" si="362"/>
        <v>3.0323866622751143E-3</v>
      </c>
      <c r="O355" s="3">
        <f t="shared" si="362"/>
        <v>3.0323866622456309E-3</v>
      </c>
      <c r="P355" s="3">
        <f t="shared" si="362"/>
        <v>3.0323866619507973E-3</v>
      </c>
      <c r="Q355" s="3">
        <f t="shared" si="362"/>
        <v>3.0323866590024587E-3</v>
      </c>
      <c r="R355" s="3">
        <f t="shared" si="362"/>
        <v>3.0323866295190742E-3</v>
      </c>
      <c r="S355" s="3">
        <f t="shared" si="362"/>
        <v>3.0323863346852472E-3</v>
      </c>
      <c r="T355" s="3">
        <f t="shared" si="362"/>
        <v>3.0323833863485491E-3</v>
      </c>
      <c r="U355" s="3">
        <f t="shared" si="362"/>
        <v>3.0323539031392346E-3</v>
      </c>
      <c r="V355" s="3">
        <f t="shared" si="362"/>
        <v>3.032059086811866E-3</v>
      </c>
      <c r="W355" s="3">
        <f t="shared" si="362"/>
        <v>3.0291124995490276E-3</v>
      </c>
      <c r="X355" s="3">
        <f t="shared" si="362"/>
        <v>2.9998036625151748E-3</v>
      </c>
      <c r="Y355" s="3">
        <f t="shared" si="362"/>
        <v>2.7218683173961663E-3</v>
      </c>
      <c r="Z355" s="3">
        <f t="shared" si="362"/>
        <v>1.0294610141148625E-3</v>
      </c>
      <c r="AA355" s="3">
        <f t="shared" si="362"/>
        <v>6.1664873463041194E-8</v>
      </c>
      <c r="AB355" s="3">
        <f t="shared" si="362"/>
        <v>3.6670535056317997E-50</v>
      </c>
      <c r="AC355" s="3">
        <f t="shared" si="362"/>
        <v>0</v>
      </c>
      <c r="AD355" s="3">
        <f t="shared" si="362"/>
        <v>0</v>
      </c>
      <c r="AE355" s="3">
        <f t="shared" si="362"/>
        <v>0</v>
      </c>
      <c r="AF355" s="3">
        <f t="shared" si="362"/>
        <v>0</v>
      </c>
      <c r="AG355" s="3"/>
      <c r="AH355" s="3"/>
    </row>
    <row r="356" spans="1:34" x14ac:dyDescent="0.25">
      <c r="B356" s="3">
        <f t="shared" ref="B356:AF356" si="363">$C47*EXP(-B$363/$A47/EXP(-$G$126))</f>
        <v>2.0349292815546579E-6</v>
      </c>
      <c r="C356" s="3">
        <f t="shared" si="363"/>
        <v>2.0349292815546579E-6</v>
      </c>
      <c r="D356" s="3">
        <f t="shared" si="363"/>
        <v>2.0349292815546579E-6</v>
      </c>
      <c r="E356" s="3">
        <f t="shared" si="363"/>
        <v>2.0349292815546579E-6</v>
      </c>
      <c r="F356" s="3">
        <f t="shared" si="363"/>
        <v>2.0349292815546579E-6</v>
      </c>
      <c r="G356" s="3">
        <f t="shared" si="363"/>
        <v>2.0349292815546579E-6</v>
      </c>
      <c r="H356" s="3">
        <f t="shared" si="363"/>
        <v>2.0349292815546579E-6</v>
      </c>
      <c r="I356" s="3">
        <f t="shared" si="363"/>
        <v>2.0349292815546579E-6</v>
      </c>
      <c r="J356" s="3">
        <f t="shared" si="363"/>
        <v>2.0349292815546579E-6</v>
      </c>
      <c r="K356" s="3">
        <f t="shared" si="363"/>
        <v>2.0349292815546575E-6</v>
      </c>
      <c r="L356" s="3">
        <f t="shared" si="363"/>
        <v>2.0349292815546558E-6</v>
      </c>
      <c r="M356" s="3">
        <f t="shared" si="363"/>
        <v>2.0349292815546359E-6</v>
      </c>
      <c r="N356" s="3">
        <f t="shared" si="363"/>
        <v>2.0349292815544381E-6</v>
      </c>
      <c r="O356" s="3">
        <f t="shared" si="363"/>
        <v>2.0349292815524595E-6</v>
      </c>
      <c r="P356" s="3">
        <f t="shared" si="363"/>
        <v>2.0349292815326745E-6</v>
      </c>
      <c r="Q356" s="3">
        <f t="shared" si="363"/>
        <v>2.0349292813348215E-6</v>
      </c>
      <c r="R356" s="3">
        <f t="shared" si="363"/>
        <v>2.034929279356294E-6</v>
      </c>
      <c r="S356" s="3">
        <f t="shared" si="363"/>
        <v>2.0349292595710198E-6</v>
      </c>
      <c r="T356" s="3">
        <f t="shared" si="363"/>
        <v>2.034929061718287E-6</v>
      </c>
      <c r="U356" s="3">
        <f t="shared" si="363"/>
        <v>2.0349270831920146E-6</v>
      </c>
      <c r="V356" s="3">
        <f t="shared" si="363"/>
        <v>2.034907298035097E-6</v>
      </c>
      <c r="W356" s="3">
        <f t="shared" si="363"/>
        <v>2.0347094570457848E-6</v>
      </c>
      <c r="X356" s="3">
        <f t="shared" si="363"/>
        <v>2.0327321047587577E-6</v>
      </c>
      <c r="Y356" s="3">
        <f t="shared" si="363"/>
        <v>2.0130639630173321E-6</v>
      </c>
      <c r="Z356" s="3">
        <f t="shared" si="363"/>
        <v>1.8265512141000414E-6</v>
      </c>
      <c r="AA356" s="3">
        <f t="shared" si="363"/>
        <v>6.9083550191692698E-7</v>
      </c>
      <c r="AB356" s="3">
        <f t="shared" si="363"/>
        <v>4.1381153074661959E-11</v>
      </c>
      <c r="AC356" s="3">
        <f t="shared" si="363"/>
        <v>2.4608321387454829E-53</v>
      </c>
      <c r="AD356" s="3">
        <f t="shared" si="363"/>
        <v>0</v>
      </c>
      <c r="AE356" s="3">
        <f t="shared" si="363"/>
        <v>0</v>
      </c>
      <c r="AF356" s="3">
        <f t="shared" si="363"/>
        <v>0</v>
      </c>
      <c r="AG356" s="3"/>
      <c r="AH356" s="3"/>
    </row>
    <row r="357" spans="1:34" x14ac:dyDescent="0.25">
      <c r="B357" s="3">
        <f t="shared" ref="B357:AF357" si="364">$C48*EXP(-B$363/$A48/EXP(-$G$126))</f>
        <v>1.1740866771866395E-2</v>
      </c>
      <c r="C357" s="3">
        <f t="shared" si="364"/>
        <v>1.1740866771866395E-2</v>
      </c>
      <c r="D357" s="3">
        <f t="shared" si="364"/>
        <v>1.1740866771866395E-2</v>
      </c>
      <c r="E357" s="3">
        <f t="shared" si="364"/>
        <v>1.1740866771866395E-2</v>
      </c>
      <c r="F357" s="3">
        <f t="shared" si="364"/>
        <v>1.1740866771866395E-2</v>
      </c>
      <c r="G357" s="3">
        <f t="shared" si="364"/>
        <v>1.1740866771866395E-2</v>
      </c>
      <c r="H357" s="3">
        <f t="shared" si="364"/>
        <v>1.1740866771866395E-2</v>
      </c>
      <c r="I357" s="3">
        <f t="shared" si="364"/>
        <v>1.1740866771866395E-2</v>
      </c>
      <c r="J357" s="3">
        <f t="shared" si="364"/>
        <v>1.1740866771866395E-2</v>
      </c>
      <c r="K357" s="3">
        <f t="shared" si="364"/>
        <v>1.1740866771866395E-2</v>
      </c>
      <c r="L357" s="3">
        <f t="shared" si="364"/>
        <v>1.1740866771866393E-2</v>
      </c>
      <c r="M357" s="3">
        <f t="shared" si="364"/>
        <v>1.1740866771866381E-2</v>
      </c>
      <c r="N357" s="3">
        <f t="shared" si="364"/>
        <v>1.1740866771866268E-2</v>
      </c>
      <c r="O357" s="3">
        <f t="shared" si="364"/>
        <v>1.1740866771865126E-2</v>
      </c>
      <c r="P357" s="3">
        <f t="shared" si="364"/>
        <v>1.174086677185371E-2</v>
      </c>
      <c r="Q357" s="3">
        <f t="shared" si="364"/>
        <v>1.1740866771739557E-2</v>
      </c>
      <c r="R357" s="3">
        <f t="shared" si="364"/>
        <v>1.1740866770598012E-2</v>
      </c>
      <c r="S357" s="3">
        <f t="shared" si="364"/>
        <v>1.1740866759182565E-2</v>
      </c>
      <c r="T357" s="3">
        <f t="shared" si="364"/>
        <v>1.1740866645028096E-2</v>
      </c>
      <c r="U357" s="3">
        <f t="shared" si="364"/>
        <v>1.1740865503483475E-2</v>
      </c>
      <c r="V357" s="3">
        <f t="shared" si="364"/>
        <v>1.1740854088043352E-2</v>
      </c>
      <c r="W357" s="3">
        <f t="shared" si="364"/>
        <v>1.1740739934252585E-2</v>
      </c>
      <c r="X357" s="3">
        <f t="shared" si="364"/>
        <v>1.1739598457387229E-2</v>
      </c>
      <c r="Y357" s="3">
        <f t="shared" si="364"/>
        <v>1.1728189790769936E-2</v>
      </c>
      <c r="Z357" s="3">
        <f t="shared" si="364"/>
        <v>1.1614711138745308E-2</v>
      </c>
      <c r="AA357" s="3">
        <f t="shared" si="364"/>
        <v>1.0538594461796474E-2</v>
      </c>
      <c r="AB357" s="3">
        <f t="shared" si="364"/>
        <v>3.9858916291603966E-3</v>
      </c>
      <c r="AC357" s="3">
        <f t="shared" si="364"/>
        <v>2.387555231131336E-7</v>
      </c>
      <c r="AD357" s="3">
        <f t="shared" si="364"/>
        <v>1.4198184944719275E-49</v>
      </c>
      <c r="AE357" s="3">
        <f t="shared" si="364"/>
        <v>0</v>
      </c>
      <c r="AF357" s="3">
        <f t="shared" si="364"/>
        <v>0</v>
      </c>
      <c r="AG357" s="3"/>
      <c r="AH357" s="3"/>
    </row>
    <row r="358" spans="1:34" x14ac:dyDescent="0.25">
      <c r="A358" s="79">
        <f>AVERAGE(B358:AF358)</f>
        <v>8.475395937018726E-2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0.10924284360565274</v>
      </c>
      <c r="M358" s="80">
        <f t="shared" si="365"/>
        <v>8.8779715531453834E-2</v>
      </c>
      <c r="N358" s="80">
        <f t="shared" si="365"/>
        <v>5.6962387732345469E-3</v>
      </c>
      <c r="O358" s="80">
        <f t="shared" si="365"/>
        <v>0.10266979455939521</v>
      </c>
      <c r="P358" s="80">
        <f t="shared" si="365"/>
        <v>0.18013531549123055</v>
      </c>
      <c r="Q358" s="80">
        <f t="shared" si="365"/>
        <v>0.19606741048438758</v>
      </c>
      <c r="R358" s="80">
        <f t="shared" si="365"/>
        <v>0.11058986764235579</v>
      </c>
      <c r="S358" s="80">
        <f t="shared" si="365"/>
        <v>8.4296703826961847E-2</v>
      </c>
      <c r="T358" s="80">
        <f t="shared" si="365"/>
        <v>0.37448352574381466</v>
      </c>
      <c r="U358" s="80">
        <f t="shared" si="365"/>
        <v>0.64824467969985478</v>
      </c>
      <c r="V358" s="80">
        <f t="shared" si="365"/>
        <v>0.72716664511746354</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136835.66607358254</v>
      </c>
      <c r="C359" s="21">
        <f t="shared" ref="C359:AF359" si="366">(C326-C325)^2</f>
        <v>177654.37979946713</v>
      </c>
      <c r="D359" s="21">
        <f t="shared" si="366"/>
        <v>182494.00666294157</v>
      </c>
      <c r="E359" s="21">
        <f t="shared" si="366"/>
        <v>192546.89759371153</v>
      </c>
      <c r="F359" s="21">
        <f t="shared" si="366"/>
        <v>259770.92699121128</v>
      </c>
      <c r="G359" s="21">
        <f t="shared" si="366"/>
        <v>301464.37391118496</v>
      </c>
      <c r="H359" s="21">
        <f t="shared" si="366"/>
        <v>272431.74402474897</v>
      </c>
      <c r="I359" s="21">
        <f t="shared" si="366"/>
        <v>215822.4164764442</v>
      </c>
      <c r="J359" s="21">
        <f t="shared" si="366"/>
        <v>199058.75687786576</v>
      </c>
      <c r="K359" s="21">
        <f t="shared" si="366"/>
        <v>188059.00719924422</v>
      </c>
      <c r="L359" s="21">
        <f t="shared" si="366"/>
        <v>176232.9656466007</v>
      </c>
      <c r="M359" s="21">
        <f t="shared" si="366"/>
        <v>104311.25336713796</v>
      </c>
      <c r="N359" s="21">
        <f t="shared" si="366"/>
        <v>376.64547244489569</v>
      </c>
      <c r="O359" s="21">
        <f t="shared" si="366"/>
        <v>104309.84766505584</v>
      </c>
      <c r="P359" s="21">
        <f t="shared" si="366"/>
        <v>261345.55439425589</v>
      </c>
      <c r="Q359" s="21">
        <f t="shared" si="366"/>
        <v>226283.0126908338</v>
      </c>
      <c r="R359" s="21">
        <f t="shared" si="366"/>
        <v>42075.445974326569</v>
      </c>
      <c r="S359" s="21">
        <f t="shared" si="366"/>
        <v>11446.254901389217</v>
      </c>
      <c r="T359" s="21">
        <f t="shared" si="366"/>
        <v>91603.434647981805</v>
      </c>
      <c r="U359" s="21">
        <f t="shared" si="366"/>
        <v>108883.64180539432</v>
      </c>
      <c r="V359" s="21">
        <f t="shared" si="366"/>
        <v>62592.285596137677</v>
      </c>
      <c r="W359" s="21">
        <f t="shared" si="366"/>
        <v>21325.959467070934</v>
      </c>
      <c r="X359" s="21">
        <f t="shared" si="366"/>
        <v>5031.8019027224254</v>
      </c>
      <c r="Y359" s="21">
        <f t="shared" si="366"/>
        <v>1133.7686766231138</v>
      </c>
      <c r="Z359" s="21">
        <f t="shared" si="366"/>
        <v>321.40480865312918</v>
      </c>
      <c r="AA359" s="21">
        <f t="shared" si="366"/>
        <v>101.52034076760093</v>
      </c>
      <c r="AB359" s="21">
        <f t="shared" si="366"/>
        <v>693.5533691270399</v>
      </c>
      <c r="AC359" s="21">
        <f t="shared" si="366"/>
        <v>2242.3532667381673</v>
      </c>
      <c r="AD359" s="21">
        <f t="shared" si="366"/>
        <v>2206.6485154279326</v>
      </c>
      <c r="AE359" s="21">
        <f t="shared" si="366"/>
        <v>2068.5023588596214</v>
      </c>
      <c r="AF359" s="21">
        <f t="shared" si="366"/>
        <v>2060.8186820224432</v>
      </c>
      <c r="AG359" s="3"/>
      <c r="AH359" s="3"/>
    </row>
    <row r="360" spans="1:34" x14ac:dyDescent="0.25">
      <c r="A360" s="71">
        <f>SUM(B360:AF360)</f>
        <v>1189460.3421615586</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176232.9656466007</v>
      </c>
      <c r="M360" s="60">
        <f t="shared" si="367"/>
        <v>104311.25336713796</v>
      </c>
      <c r="N360" s="60">
        <f t="shared" si="367"/>
        <v>376.64547244489569</v>
      </c>
      <c r="O360" s="60">
        <f t="shared" si="367"/>
        <v>104309.84766505584</v>
      </c>
      <c r="P360" s="60">
        <f t="shared" si="367"/>
        <v>261345.55439425589</v>
      </c>
      <c r="Q360" s="60">
        <f t="shared" si="367"/>
        <v>226283.0126908338</v>
      </c>
      <c r="R360" s="60">
        <f t="shared" si="367"/>
        <v>42075.445974326569</v>
      </c>
      <c r="S360" s="60">
        <f t="shared" si="367"/>
        <v>11446.254901389217</v>
      </c>
      <c r="T360" s="60">
        <f t="shared" si="367"/>
        <v>91603.434647981805</v>
      </c>
      <c r="U360" s="60">
        <f t="shared" si="367"/>
        <v>108883.64180539432</v>
      </c>
      <c r="V360" s="60">
        <f t="shared" si="367"/>
        <v>62592.285596137677</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4536.230397827354</v>
      </c>
      <c r="C364" s="26">
        <f>INDEX(Comparison!$AM$3:$AS$33,G$14,$H$122)</f>
        <v>4303.1205029931816</v>
      </c>
      <c r="D364" s="26">
        <f>INDEX(Comparison!$AM$3:$AS$33,H$14,$H$122)</f>
        <v>4127.6064584710148</v>
      </c>
      <c r="E364" s="26">
        <f>INDEX(Comparison!$AM$3:$AS$33,I$14,$H$122)</f>
        <v>3945.604356178083</v>
      </c>
      <c r="F364" s="26">
        <f>INDEX(Comparison!$AM$3:$AS$33,J$14,$H$122)</f>
        <v>3766.6240058114313</v>
      </c>
      <c r="G364" s="26">
        <f>INDEX(Comparison!$AM$3:$AS$33,K$14,$H$122)</f>
        <v>3551.9419942460731</v>
      </c>
      <c r="H364" s="26">
        <f>INDEX(Comparison!$AM$3:$AS$33,L$14,$H$122)</f>
        <v>3318.4500658255338</v>
      </c>
      <c r="I364" s="26">
        <f>INDEX(Comparison!$AM$3:$AS$33,M$14,$H$122)</f>
        <v>3050.6755206683788</v>
      </c>
      <c r="J364" s="26">
        <f>INDEX(Comparison!$AM$3:$AS$33,N$14,$H$122)</f>
        <v>2745.1346410108995</v>
      </c>
      <c r="K364" s="26">
        <f>INDEX(Comparison!$AM$3:$AS$33,O$14,$H$122)</f>
        <v>2379.9691784471511</v>
      </c>
      <c r="L364" s="26">
        <f>INDEX(Comparison!$AM$3:$AS$33,P$14,$H$122)</f>
        <v>1948.7143373862357</v>
      </c>
      <c r="M364" s="26">
        <f>INDEX(Comparison!$AM$3:$AS$33,Q$14,$H$122)</f>
        <v>1482.8611668944652</v>
      </c>
      <c r="N364" s="26">
        <f>INDEX(Comparison!$AM$3:$AS$33,R$14,$H$122)</f>
        <v>1064.7698916660522</v>
      </c>
      <c r="O364" s="26">
        <f>INDEX(Comparison!$AM$3:$AS$33,S$14,$H$122)</f>
        <v>756.04671038027936</v>
      </c>
      <c r="P364" s="26">
        <f>INDEX(Comparison!$AM$3:$AS$33,T$14,$H$122)</f>
        <v>574.27764486440731</v>
      </c>
      <c r="Q364" s="26">
        <f>INDEX(Comparison!$AM$3:$AS$33,U$14,$H$122)</f>
        <v>472.36033693576201</v>
      </c>
      <c r="R364" s="26">
        <f>INDEX(Comparison!$AM$3:$AS$33,V$14,$H$122)</f>
        <v>404.76609252146119</v>
      </c>
      <c r="S364" s="26">
        <f>INDEX(Comparison!$AM$3:$AS$33,W$14,$H$122)</f>
        <v>332.62382454066642</v>
      </c>
      <c r="T364" s="26">
        <f>INDEX(Comparison!$AM$3:$AS$33,X$14,$H$122)</f>
        <v>270.11210763785351</v>
      </c>
      <c r="U364" s="26">
        <f>INDEX(Comparison!$AM$3:$AS$33,Y$14,$H$122)</f>
        <v>230.23496622900356</v>
      </c>
      <c r="V364" s="26">
        <f>INDEX(Comparison!$AM$3:$AS$33,Z$14,$H$122)</f>
        <v>198.97748766430533</v>
      </c>
      <c r="W364" s="26">
        <f>INDEX(Comparison!$AM$3:$AS$33,AA$14,$H$122)</f>
        <v>182.67861803771595</v>
      </c>
      <c r="X364" s="26">
        <f>INDEX(Comparison!$AM$3:$AS$33,AB$14,$H$122)</f>
        <v>174.62746722417066</v>
      </c>
      <c r="Y364" s="26">
        <f>INDEX(Comparison!$AM$3:$AS$33,AC$14,$H$122)</f>
        <v>169.86894542912563</v>
      </c>
      <c r="Z364" s="26">
        <f>INDEX(Comparison!$AM$3:$AS$33,AD$14,$H$122)</f>
        <v>166.84170745231376</v>
      </c>
      <c r="AA364" s="26">
        <f>INDEX(Comparison!$AM$3:$AS$33,AE$14,$H$122)</f>
        <v>166.12540478353452</v>
      </c>
      <c r="AB364" s="26">
        <f>INDEX(Comparison!$AM$3:$AS$33,AF$14,$H$122)</f>
        <v>165.25800429032441</v>
      </c>
      <c r="AC364" s="26">
        <f>INDEX(Comparison!$AM$3:$AS$33,AG$14,$H$122)</f>
        <v>162.97529182821398</v>
      </c>
      <c r="AD364" s="26">
        <f>INDEX(Comparison!$AM$3:$AS$33,AH$14,$H$122)</f>
        <v>162.91152498499585</v>
      </c>
      <c r="AE364" s="26">
        <f>INDEX(Comparison!$AM$3:$AS$33,AI$14,$H$122)</f>
        <v>161.92883558935978</v>
      </c>
      <c r="AF364" s="26">
        <f>INDEX(Comparison!$AM$3:$AS$33,AJ$14,$H$122)</f>
        <v>161.56401350859798</v>
      </c>
      <c r="AG364" s="26"/>
      <c r="AH364" s="26"/>
    </row>
    <row r="365" spans="1:34" x14ac:dyDescent="0.25">
      <c r="A365" s="70" t="s">
        <v>22</v>
      </c>
      <c r="B365" s="27">
        <f>($C$17+SUM(B366:B396))*$B$51</f>
        <v>5155.4540610539416</v>
      </c>
      <c r="C365" s="27">
        <f t="shared" ref="C365:AF365" si="368">($C$17+SUM(C366:C396))*$B$51</f>
        <v>4919.1365581279069</v>
      </c>
      <c r="D365" s="27">
        <f t="shared" si="368"/>
        <v>4695.6164007218295</v>
      </c>
      <c r="E365" s="27">
        <f t="shared" si="368"/>
        <v>4517.4662429732252</v>
      </c>
      <c r="F365" s="27">
        <f t="shared" si="368"/>
        <v>4311.0217382484234</v>
      </c>
      <c r="G365" s="27">
        <f t="shared" si="368"/>
        <v>4073.9871884299669</v>
      </c>
      <c r="H365" s="27">
        <f t="shared" si="368"/>
        <v>3579.8867802092623</v>
      </c>
      <c r="I365" s="27">
        <f t="shared" si="368"/>
        <v>2962.8735651414008</v>
      </c>
      <c r="J365" s="27">
        <f t="shared" si="368"/>
        <v>2435.2578620067875</v>
      </c>
      <c r="K365" s="27">
        <f t="shared" si="368"/>
        <v>2040.2590540732456</v>
      </c>
      <c r="L365" s="27">
        <f t="shared" si="368"/>
        <v>1716.3410416899301</v>
      </c>
      <c r="M365" s="27">
        <f t="shared" si="368"/>
        <v>1470.1464049755896</v>
      </c>
      <c r="N365" s="27">
        <f t="shared" si="368"/>
        <v>1183.5220664525555</v>
      </c>
      <c r="O365" s="27">
        <f t="shared" si="368"/>
        <v>920.97310049426619</v>
      </c>
      <c r="P365" s="27">
        <f t="shared" si="368"/>
        <v>656.51685897298864</v>
      </c>
      <c r="Q365" s="27">
        <f t="shared" si="368"/>
        <v>455.72386593590852</v>
      </c>
      <c r="R365" s="27">
        <f t="shared" si="368"/>
        <v>317.32328815143399</v>
      </c>
      <c r="S365" s="27">
        <f t="shared" si="368"/>
        <v>247.55723229742716</v>
      </c>
      <c r="T365" s="27">
        <f t="shared" si="368"/>
        <v>211.45978411325865</v>
      </c>
      <c r="U365" s="27">
        <f t="shared" si="368"/>
        <v>195.23358428436123</v>
      </c>
      <c r="V365" s="27">
        <f t="shared" si="368"/>
        <v>164.39196343150996</v>
      </c>
      <c r="W365" s="27">
        <f t="shared" si="368"/>
        <v>117.82819165473701</v>
      </c>
      <c r="X365" s="27">
        <f t="shared" si="368"/>
        <v>117.52648638563295</v>
      </c>
      <c r="Y365" s="27">
        <f t="shared" si="368"/>
        <v>117.52648638563295</v>
      </c>
      <c r="Z365" s="27">
        <f t="shared" si="368"/>
        <v>117.52648638563295</v>
      </c>
      <c r="AA365" s="27">
        <f t="shared" si="368"/>
        <v>117.52648638563295</v>
      </c>
      <c r="AB365" s="27">
        <f t="shared" si="368"/>
        <v>117.52648638563295</v>
      </c>
      <c r="AC365" s="27">
        <f t="shared" si="368"/>
        <v>117.52648638563295</v>
      </c>
      <c r="AD365" s="27">
        <f t="shared" si="368"/>
        <v>117.52648638563295</v>
      </c>
      <c r="AE365" s="27">
        <f t="shared" si="368"/>
        <v>117.52648638563295</v>
      </c>
      <c r="AF365" s="27">
        <f t="shared" si="368"/>
        <v>117.52648638563295</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1.0294127532732679E-32</v>
      </c>
      <c r="C374" s="3">
        <f t="shared" si="377"/>
        <v>1.4542628120398867E-305</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5.5639121555405539E-5</v>
      </c>
      <c r="C375" s="3">
        <f t="shared" si="378"/>
        <v>1.3553304144710379E-29</v>
      </c>
      <c r="D375" s="3">
        <f t="shared" si="378"/>
        <v>9.9699821519995655E-276</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1.9165797098983698E-2</v>
      </c>
      <c r="C376" s="3">
        <f t="shared" si="379"/>
        <v>1.1539827014318723E-4</v>
      </c>
      <c r="D376" s="3">
        <f t="shared" si="379"/>
        <v>7.2264237400223015E-27</v>
      </c>
      <c r="E376" s="3">
        <f t="shared" si="379"/>
        <v>6.7013866626309951E-249</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3.6854051254900835E-2</v>
      </c>
      <c r="C377" s="3">
        <f t="shared" si="380"/>
        <v>2.3237704019869063E-2</v>
      </c>
      <c r="D377" s="3">
        <f t="shared" si="380"/>
        <v>2.3081977769056329E-4</v>
      </c>
      <c r="E377" s="3">
        <f t="shared" si="380"/>
        <v>2.1580974163723546E-24</v>
      </c>
      <c r="F377" s="3">
        <f t="shared" si="380"/>
        <v>1.1016694563996603E-224</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2.3077062034067338E-2</v>
      </c>
      <c r="C378" s="3">
        <f t="shared" si="381"/>
        <v>2.2136681220601227E-2</v>
      </c>
      <c r="D378" s="3">
        <f t="shared" si="381"/>
        <v>1.4602675907272579E-2</v>
      </c>
      <c r="E378" s="3">
        <f t="shared" si="381"/>
        <v>2.2784095988666507E-4</v>
      </c>
      <c r="F378" s="3">
        <f t="shared" si="381"/>
        <v>1.9481632758604557E-22</v>
      </c>
      <c r="G378" s="3">
        <f t="shared" si="381"/>
        <v>4.0696856011748848E-203</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3.3181839901193534E-2</v>
      </c>
      <c r="C379" s="3">
        <f t="shared" si="382"/>
        <v>3.3057543574923222E-2</v>
      </c>
      <c r="D379" s="3">
        <f t="shared" si="382"/>
        <v>3.1839902864492071E-2</v>
      </c>
      <c r="E379" s="3">
        <f t="shared" si="382"/>
        <v>2.1876774228239696E-2</v>
      </c>
      <c r="F379" s="3">
        <f t="shared" si="382"/>
        <v>5.1297806116414339E-4</v>
      </c>
      <c r="G379" s="3">
        <f t="shared" si="382"/>
        <v>2.5778275522713488E-20</v>
      </c>
      <c r="H379" s="3">
        <f t="shared" si="382"/>
        <v>2.6473085075592833E-183</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2.0383657576621146E-2</v>
      </c>
      <c r="C380" s="3">
        <f t="shared" si="383"/>
        <v>2.0376757916306339E-2</v>
      </c>
      <c r="D380" s="3">
        <f t="shared" si="383"/>
        <v>2.0307889633366671E-2</v>
      </c>
      <c r="E380" s="3">
        <f t="shared" si="383"/>
        <v>1.963187953299754E-2</v>
      </c>
      <c r="F380" s="3">
        <f t="shared" si="383"/>
        <v>1.3993705820833169E-2</v>
      </c>
      <c r="G380" s="3">
        <f t="shared" si="383"/>
        <v>4.7385048967430766E-4</v>
      </c>
      <c r="H380" s="3">
        <f t="shared" si="383"/>
        <v>9.391333712676862E-19</v>
      </c>
      <c r="I380" s="3">
        <f t="shared" si="383"/>
        <v>8.7818631761277924E-166</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6.6924842269064644E-2</v>
      </c>
      <c r="C381" s="3">
        <f t="shared" si="384"/>
        <v>6.6922798431283084E-2</v>
      </c>
      <c r="D381" s="3">
        <f t="shared" si="384"/>
        <v>6.6902363486108521E-2</v>
      </c>
      <c r="E381" s="3">
        <f t="shared" si="384"/>
        <v>6.6698356910905199E-2</v>
      </c>
      <c r="F381" s="3">
        <f t="shared" si="384"/>
        <v>6.4692194517065163E-2</v>
      </c>
      <c r="G381" s="3">
        <f t="shared" si="384"/>
        <v>4.7667169848239925E-2</v>
      </c>
      <c r="H381" s="3">
        <f t="shared" si="384"/>
        <v>2.2485067854964413E-3</v>
      </c>
      <c r="I381" s="3">
        <f t="shared" si="384"/>
        <v>1.2264294064221881E-16</v>
      </c>
      <c r="J381" s="3">
        <f t="shared" si="384"/>
        <v>2.8584202619396726E-149</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9.6671769551833528E-2</v>
      </c>
      <c r="C382" s="3">
        <f t="shared" si="385"/>
        <v>9.6671503227186928E-2</v>
      </c>
      <c r="D382" s="3">
        <f t="shared" si="385"/>
        <v>9.6668840021074509E-2</v>
      </c>
      <c r="E382" s="3">
        <f t="shared" si="385"/>
        <v>9.6642211994897725E-2</v>
      </c>
      <c r="F382" s="3">
        <f t="shared" si="385"/>
        <v>9.6376334816884179E-2</v>
      </c>
      <c r="G382" s="3">
        <f t="shared" si="385"/>
        <v>9.3757463547756922E-2</v>
      </c>
      <c r="H382" s="3">
        <f t="shared" si="385"/>
        <v>7.1180377331692357E-2</v>
      </c>
      <c r="I382" s="3">
        <f t="shared" si="385"/>
        <v>4.5279815406293212E-3</v>
      </c>
      <c r="J382" s="3">
        <f t="shared" si="385"/>
        <v>4.9130169847023502E-15</v>
      </c>
      <c r="K382" s="3">
        <f t="shared" si="385"/>
        <v>1.1111800716983785E-134</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8.3708794211027171E-2</v>
      </c>
      <c r="C383" s="3">
        <f t="shared" si="386"/>
        <v>8.3708773407838263E-2</v>
      </c>
      <c r="D383" s="3">
        <f t="shared" si="386"/>
        <v>8.370856537623371E-2</v>
      </c>
      <c r="E383" s="3">
        <f t="shared" si="386"/>
        <v>8.3706485088622745E-2</v>
      </c>
      <c r="F383" s="3">
        <f t="shared" si="386"/>
        <v>8.3685685055711584E-2</v>
      </c>
      <c r="G383" s="3">
        <f t="shared" si="386"/>
        <v>8.3477968785183723E-2</v>
      </c>
      <c r="H383" s="3">
        <f t="shared" si="386"/>
        <v>8.1428952468318036E-2</v>
      </c>
      <c r="I383" s="3">
        <f t="shared" si="386"/>
        <v>6.351094806977603E-2</v>
      </c>
      <c r="J383" s="3">
        <f t="shared" si="386"/>
        <v>5.2911012788480587E-3</v>
      </c>
      <c r="K383" s="3">
        <f t="shared" si="386"/>
        <v>8.5215944652766369E-14</v>
      </c>
      <c r="L383" s="3">
        <f t="shared" si="386"/>
        <v>1.0006189964969095E-121</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5.9251655584431601E-2</v>
      </c>
      <c r="C384" s="3">
        <f t="shared" si="387"/>
        <v>5.9251654256101675E-2</v>
      </c>
      <c r="D384" s="3">
        <f t="shared" si="387"/>
        <v>5.9251640972804089E-2</v>
      </c>
      <c r="E384" s="3">
        <f t="shared" si="387"/>
        <v>5.9251508139991943E-2</v>
      </c>
      <c r="F384" s="3">
        <f t="shared" si="387"/>
        <v>5.9250179828248872E-2</v>
      </c>
      <c r="G384" s="3">
        <f t="shared" si="387"/>
        <v>5.923689834851717E-2</v>
      </c>
      <c r="H384" s="3">
        <f t="shared" si="387"/>
        <v>5.9104247185342212E-2</v>
      </c>
      <c r="I384" s="3">
        <f t="shared" si="387"/>
        <v>5.7793964046239682E-2</v>
      </c>
      <c r="J384" s="3">
        <f t="shared" si="387"/>
        <v>4.6187070488990511E-2</v>
      </c>
      <c r="K384" s="3">
        <f t="shared" si="387"/>
        <v>4.9079457505566276E-3</v>
      </c>
      <c r="L384" s="3">
        <f t="shared" si="387"/>
        <v>9.0093429542661405E-13</v>
      </c>
      <c r="M384" s="3">
        <f t="shared" si="387"/>
        <v>3.9140536645418196E-110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5.2327746963106575E-2</v>
      </c>
      <c r="C385" s="3">
        <f t="shared" si="388"/>
        <v>5.2327746857282594E-2</v>
      </c>
      <c r="D385" s="3">
        <f t="shared" si="388"/>
        <v>5.2327745799042785E-2</v>
      </c>
      <c r="E385" s="3">
        <f t="shared" si="388"/>
        <v>5.2327735216645924E-2</v>
      </c>
      <c r="F385" s="3">
        <f t="shared" si="388"/>
        <v>5.2327629392794978E-2</v>
      </c>
      <c r="G385" s="3">
        <f t="shared" si="388"/>
        <v>5.2326571166056039E-2</v>
      </c>
      <c r="H385" s="3">
        <f t="shared" si="388"/>
        <v>5.2315990075629482E-2</v>
      </c>
      <c r="I385" s="3">
        <f t="shared" si="388"/>
        <v>5.2210296779625673E-2</v>
      </c>
      <c r="J385" s="3">
        <f t="shared" si="388"/>
        <v>5.1165037117967473E-2</v>
      </c>
      <c r="K385" s="3">
        <f t="shared" si="388"/>
        <v>4.1796951758487785E-2</v>
      </c>
      <c r="L385" s="3">
        <f t="shared" si="388"/>
        <v>5.5316892376715424E-3</v>
      </c>
      <c r="M385" s="3">
        <f t="shared" si="388"/>
        <v>9.1198861244216097E-12</v>
      </c>
      <c r="N385" s="3">
        <f t="shared" si="388"/>
        <v>1.3530250277175614E-99</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1.7967891451651584E-2</v>
      </c>
      <c r="C386" s="3">
        <f t="shared" si="389"/>
        <v>1.7967891448373685E-2</v>
      </c>
      <c r="D386" s="3">
        <f t="shared" si="389"/>
        <v>1.796789141559468E-2</v>
      </c>
      <c r="E386" s="3">
        <f t="shared" si="389"/>
        <v>1.7967891087804631E-2</v>
      </c>
      <c r="F386" s="3">
        <f t="shared" si="389"/>
        <v>1.7967887809904482E-2</v>
      </c>
      <c r="G386" s="3">
        <f t="shared" si="389"/>
        <v>1.7967855030935894E-2</v>
      </c>
      <c r="H386" s="3">
        <f t="shared" si="389"/>
        <v>1.7967527244538914E-2</v>
      </c>
      <c r="I386" s="3">
        <f t="shared" si="389"/>
        <v>1.7964249709439346E-2</v>
      </c>
      <c r="J386" s="3">
        <f t="shared" si="389"/>
        <v>1.7931507223277209E-2</v>
      </c>
      <c r="K386" s="3">
        <f t="shared" si="389"/>
        <v>1.7607346769257917E-2</v>
      </c>
      <c r="L386" s="3">
        <f t="shared" si="389"/>
        <v>1.4671183137062066E-2</v>
      </c>
      <c r="M386" s="3">
        <f t="shared" si="389"/>
        <v>2.3668860279349403E-3</v>
      </c>
      <c r="N386" s="3">
        <f t="shared" si="389"/>
        <v>2.8268282466735113E-11</v>
      </c>
      <c r="O386" s="3">
        <f t="shared" si="389"/>
        <v>1.6692453902980921E-90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4.1231091234084381E-2</v>
      </c>
      <c r="C387" s="3">
        <f t="shared" si="390"/>
        <v>4.1231091232004032E-2</v>
      </c>
      <c r="D387" s="3">
        <f t="shared" si="390"/>
        <v>4.1231091211200534E-2</v>
      </c>
      <c r="E387" s="3">
        <f t="shared" si="390"/>
        <v>4.1231091003165563E-2</v>
      </c>
      <c r="F387" s="3">
        <f t="shared" si="390"/>
        <v>4.1231088922815934E-2</v>
      </c>
      <c r="G387" s="3">
        <f t="shared" si="390"/>
        <v>4.1231068119325379E-2</v>
      </c>
      <c r="H387" s="3">
        <f t="shared" si="390"/>
        <v>4.1230860084997149E-2</v>
      </c>
      <c r="I387" s="3">
        <f t="shared" si="390"/>
        <v>4.1228779799444872E-2</v>
      </c>
      <c r="J387" s="3">
        <f t="shared" si="390"/>
        <v>4.1207982715844298E-2</v>
      </c>
      <c r="K387" s="3">
        <f t="shared" si="390"/>
        <v>4.1000587995967265E-2</v>
      </c>
      <c r="L387" s="3">
        <f t="shared" si="390"/>
        <v>3.8983191239604878E-2</v>
      </c>
      <c r="M387" s="3">
        <f t="shared" si="390"/>
        <v>2.35369628664545E-2</v>
      </c>
      <c r="N387" s="3">
        <f t="shared" si="390"/>
        <v>1.515237673135639E-4</v>
      </c>
      <c r="O387" s="3">
        <f t="shared" si="390"/>
        <v>1.8526105541683479E-26</v>
      </c>
      <c r="P387" s="3">
        <f t="shared" si="390"/>
        <v>1.3829862954486499E-245</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3.4610685556696538E-2</v>
      </c>
      <c r="C388" s="3">
        <f t="shared" si="391"/>
        <v>3.4610685556521914E-2</v>
      </c>
      <c r="D388" s="3">
        <f t="shared" si="391"/>
        <v>3.4610685554775603E-2</v>
      </c>
      <c r="E388" s="3">
        <f t="shared" si="391"/>
        <v>3.4610685537312481E-2</v>
      </c>
      <c r="F388" s="3">
        <f t="shared" si="391"/>
        <v>3.4610685362681332E-2</v>
      </c>
      <c r="G388" s="3">
        <f t="shared" si="391"/>
        <v>3.4610683616369875E-2</v>
      </c>
      <c r="H388" s="3">
        <f t="shared" si="391"/>
        <v>3.461066615326016E-2</v>
      </c>
      <c r="I388" s="3">
        <f t="shared" si="391"/>
        <v>3.4610491522647585E-2</v>
      </c>
      <c r="J388" s="3">
        <f t="shared" si="391"/>
        <v>3.4608745264982255E-2</v>
      </c>
      <c r="K388" s="3">
        <f t="shared" si="391"/>
        <v>3.4591287533463445E-2</v>
      </c>
      <c r="L388" s="3">
        <f t="shared" si="391"/>
        <v>3.4417193828424342E-2</v>
      </c>
      <c r="M388" s="3">
        <f t="shared" si="391"/>
        <v>3.2723727012792629E-2</v>
      </c>
      <c r="N388" s="3">
        <f t="shared" si="391"/>
        <v>1.9757673065246482E-2</v>
      </c>
      <c r="O388" s="3">
        <f t="shared" si="391"/>
        <v>1.2719385560414247E-4</v>
      </c>
      <c r="P388" s="3">
        <f t="shared" si="391"/>
        <v>1.5551400515931171E-26</v>
      </c>
      <c r="Q388" s="3">
        <f t="shared" si="391"/>
        <v>1.1609225554812144E-245</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4.2854236942627792E-2</v>
      </c>
      <c r="C389" s="3">
        <f t="shared" si="392"/>
        <v>4.2854236942606164E-2</v>
      </c>
      <c r="D389" s="3">
        <f t="shared" si="392"/>
        <v>4.2854236942389948E-2</v>
      </c>
      <c r="E389" s="3">
        <f t="shared" si="392"/>
        <v>4.2854236940227698E-2</v>
      </c>
      <c r="F389" s="3">
        <f t="shared" si="392"/>
        <v>4.285423691860523E-2</v>
      </c>
      <c r="G389" s="3">
        <f t="shared" si="392"/>
        <v>4.285423670238054E-2</v>
      </c>
      <c r="H389" s="3">
        <f t="shared" si="392"/>
        <v>4.2854234540133714E-2</v>
      </c>
      <c r="I389" s="3">
        <f t="shared" si="392"/>
        <v>4.2854212917671476E-2</v>
      </c>
      <c r="J389" s="3">
        <f t="shared" si="392"/>
        <v>4.2853996693649088E-2</v>
      </c>
      <c r="K389" s="3">
        <f t="shared" si="392"/>
        <v>4.2851834513427882E-2</v>
      </c>
      <c r="L389" s="3">
        <f t="shared" si="392"/>
        <v>4.283021871036146E-2</v>
      </c>
      <c r="M389" s="3">
        <f t="shared" si="392"/>
        <v>4.2614659475808288E-2</v>
      </c>
      <c r="N389" s="3">
        <f t="shared" si="392"/>
        <v>4.0517843795788315E-2</v>
      </c>
      <c r="O389" s="3">
        <f t="shared" si="392"/>
        <v>2.4463543248388488E-2</v>
      </c>
      <c r="P389" s="3">
        <f t="shared" si="392"/>
        <v>1.5748880838475408E-4</v>
      </c>
      <c r="Q389" s="3">
        <f t="shared" si="392"/>
        <v>1.9255423340498883E-26</v>
      </c>
      <c r="R389" s="3">
        <f t="shared" si="392"/>
        <v>1.4374303618779954E-245</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3.2192937025108614E-2</v>
      </c>
      <c r="C390" s="3">
        <f t="shared" si="393"/>
        <v>3.2192937025106991E-2</v>
      </c>
      <c r="D390" s="3">
        <f t="shared" si="393"/>
        <v>3.2192937025090747E-2</v>
      </c>
      <c r="E390" s="3">
        <f t="shared" si="393"/>
        <v>3.2192937024928314E-2</v>
      </c>
      <c r="F390" s="3">
        <f t="shared" si="393"/>
        <v>3.2192937023303995E-2</v>
      </c>
      <c r="G390" s="3">
        <f t="shared" si="393"/>
        <v>3.2192937007060773E-2</v>
      </c>
      <c r="H390" s="3">
        <f t="shared" si="393"/>
        <v>3.2192936844628581E-2</v>
      </c>
      <c r="I390" s="3">
        <f t="shared" si="393"/>
        <v>3.2192935220306668E-2</v>
      </c>
      <c r="J390" s="3">
        <f t="shared" si="393"/>
        <v>3.2192918977092116E-2</v>
      </c>
      <c r="K390" s="3">
        <f t="shared" si="393"/>
        <v>3.2192756545397314E-2</v>
      </c>
      <c r="L390" s="3">
        <f t="shared" si="393"/>
        <v>3.2191132273524471E-2</v>
      </c>
      <c r="M390" s="3">
        <f t="shared" si="393"/>
        <v>3.2174894061470991E-2</v>
      </c>
      <c r="N390" s="3">
        <f t="shared" si="393"/>
        <v>3.2012961768231443E-2</v>
      </c>
      <c r="O390" s="3">
        <f t="shared" si="393"/>
        <v>3.0437793011160567E-2</v>
      </c>
      <c r="P390" s="3">
        <f t="shared" si="393"/>
        <v>1.8377489914491049E-2</v>
      </c>
      <c r="Q390" s="3">
        <f t="shared" si="393"/>
        <v>1.1830865865788624E-4</v>
      </c>
      <c r="R390" s="3">
        <f t="shared" si="393"/>
        <v>1.4465048854383934E-26</v>
      </c>
      <c r="S390" s="3">
        <f t="shared" si="393"/>
        <v>1.0798256699767409E-245</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2.5751010749186915E-2</v>
      </c>
      <c r="C391" s="3">
        <f t="shared" si="394"/>
        <v>2.5751010749186787E-2</v>
      </c>
      <c r="D391" s="3">
        <f t="shared" si="394"/>
        <v>2.5751010749185486E-2</v>
      </c>
      <c r="E391" s="3">
        <f t="shared" si="394"/>
        <v>2.5751010749172493E-2</v>
      </c>
      <c r="F391" s="3">
        <f t="shared" si="394"/>
        <v>2.5751010749042565E-2</v>
      </c>
      <c r="G391" s="3">
        <f t="shared" si="394"/>
        <v>2.5751010747743275E-2</v>
      </c>
      <c r="H391" s="3">
        <f t="shared" si="394"/>
        <v>2.5751010734750383E-2</v>
      </c>
      <c r="I391" s="3">
        <f t="shared" si="394"/>
        <v>2.5751010604821475E-2</v>
      </c>
      <c r="J391" s="3">
        <f t="shared" si="394"/>
        <v>2.5751009305532414E-2</v>
      </c>
      <c r="K391" s="3">
        <f t="shared" si="394"/>
        <v>2.5750996312645425E-2</v>
      </c>
      <c r="L391" s="3">
        <f t="shared" si="394"/>
        <v>2.5750866384136088E-2</v>
      </c>
      <c r="M391" s="3">
        <f t="shared" si="394"/>
        <v>2.574956713509818E-2</v>
      </c>
      <c r="N391" s="3">
        <f t="shared" si="394"/>
        <v>2.5736578249591694E-2</v>
      </c>
      <c r="O391" s="3">
        <f t="shared" si="394"/>
        <v>2.5607049209709448E-2</v>
      </c>
      <c r="P391" s="3">
        <f t="shared" si="394"/>
        <v>2.4347077571723164E-2</v>
      </c>
      <c r="Q391" s="3">
        <f t="shared" si="394"/>
        <v>1.4700085921394249E-2</v>
      </c>
      <c r="R391" s="3">
        <f t="shared" si="394"/>
        <v>9.4634656615671736E-5</v>
      </c>
      <c r="S391" s="3">
        <f t="shared" si="394"/>
        <v>1.1570538849755538E-26</v>
      </c>
      <c r="T391" s="3">
        <f t="shared" si="394"/>
        <v>8.6374854251823462E-246</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1.2586213635594822E-2</v>
      </c>
      <c r="C392" s="3">
        <f t="shared" si="395"/>
        <v>1.2586213635594817E-2</v>
      </c>
      <c r="D392" s="3">
        <f t="shared" si="395"/>
        <v>1.2586213635594755E-2</v>
      </c>
      <c r="E392" s="3">
        <f t="shared" si="395"/>
        <v>1.2586213635594118E-2</v>
      </c>
      <c r="F392" s="3">
        <f t="shared" si="395"/>
        <v>1.2586213635587767E-2</v>
      </c>
      <c r="G392" s="3">
        <f t="shared" si="395"/>
        <v>1.2586213635524264E-2</v>
      </c>
      <c r="H392" s="3">
        <f t="shared" si="395"/>
        <v>1.2586213634889215E-2</v>
      </c>
      <c r="I392" s="3">
        <f t="shared" si="395"/>
        <v>1.2586213628538734E-2</v>
      </c>
      <c r="J392" s="3">
        <f t="shared" si="395"/>
        <v>1.2586213565033925E-2</v>
      </c>
      <c r="K392" s="3">
        <f t="shared" si="395"/>
        <v>1.2586212929985855E-2</v>
      </c>
      <c r="L392" s="3">
        <f t="shared" si="395"/>
        <v>1.2586206579506917E-2</v>
      </c>
      <c r="M392" s="3">
        <f t="shared" si="395"/>
        <v>1.2586143074893766E-2</v>
      </c>
      <c r="N392" s="3">
        <f t="shared" si="395"/>
        <v>1.2585508046384936E-2</v>
      </c>
      <c r="O392" s="3">
        <f t="shared" si="395"/>
        <v>1.2579159523235097E-2</v>
      </c>
      <c r="P392" s="3">
        <f t="shared" si="395"/>
        <v>1.2515850157096027E-2</v>
      </c>
      <c r="Q392" s="3">
        <f t="shared" si="395"/>
        <v>1.1900019098465194E-2</v>
      </c>
      <c r="R392" s="3">
        <f t="shared" si="395"/>
        <v>7.1848994072634459E-3</v>
      </c>
      <c r="S392" s="3">
        <f t="shared" si="395"/>
        <v>4.6254184625883451E-5</v>
      </c>
      <c r="T392" s="3">
        <f t="shared" si="395"/>
        <v>5.6552837968339146E-27</v>
      </c>
      <c r="U392" s="3">
        <f t="shared" si="395"/>
        <v>4.2217075630366912E-246</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6.9130744193958088E-3</v>
      </c>
      <c r="C393" s="3">
        <f t="shared" si="396"/>
        <v>6.913074419395808E-3</v>
      </c>
      <c r="D393" s="3">
        <f t="shared" si="396"/>
        <v>6.9130744193958054E-3</v>
      </c>
      <c r="E393" s="3">
        <f t="shared" si="396"/>
        <v>6.9130744193957707E-3</v>
      </c>
      <c r="F393" s="3">
        <f t="shared" si="396"/>
        <v>6.9130744193954211E-3</v>
      </c>
      <c r="G393" s="3">
        <f t="shared" si="396"/>
        <v>6.9130744193919326E-3</v>
      </c>
      <c r="H393" s="3">
        <f t="shared" si="396"/>
        <v>6.9130744193570525E-3</v>
      </c>
      <c r="I393" s="3">
        <f t="shared" si="396"/>
        <v>6.9130744190082473E-3</v>
      </c>
      <c r="J393" s="3">
        <f t="shared" si="396"/>
        <v>6.9130744155201972E-3</v>
      </c>
      <c r="K393" s="3">
        <f t="shared" si="396"/>
        <v>6.9130743806396942E-3</v>
      </c>
      <c r="L393" s="3">
        <f t="shared" si="396"/>
        <v>6.9130740318346685E-3</v>
      </c>
      <c r="M393" s="3">
        <f t="shared" si="396"/>
        <v>6.9130705437853816E-3</v>
      </c>
      <c r="N393" s="3">
        <f t="shared" si="396"/>
        <v>6.9130356633893067E-3</v>
      </c>
      <c r="O393" s="3">
        <f t="shared" si="396"/>
        <v>6.9126868691079544E-3</v>
      </c>
      <c r="P393" s="3">
        <f t="shared" si="396"/>
        <v>6.9091998940526466E-3</v>
      </c>
      <c r="Q393" s="3">
        <f t="shared" si="396"/>
        <v>6.8744267388976734E-3</v>
      </c>
      <c r="R393" s="3">
        <f t="shared" si="396"/>
        <v>6.5361768043780263E-3</v>
      </c>
      <c r="S393" s="3">
        <f t="shared" si="396"/>
        <v>3.9463611326137835E-3</v>
      </c>
      <c r="T393" s="3">
        <f t="shared" si="396"/>
        <v>2.5405465836278411E-5</v>
      </c>
      <c r="U393" s="3">
        <f t="shared" si="396"/>
        <v>3.1062080211121802E-27</v>
      </c>
      <c r="V393" s="3">
        <f t="shared" si="396"/>
        <v>2.3188052741820068E-246</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3.0323866622783903E-3</v>
      </c>
      <c r="C394" s="3">
        <f t="shared" si="397"/>
        <v>3.0323866622783903E-3</v>
      </c>
      <c r="D394" s="3">
        <f t="shared" si="397"/>
        <v>3.0323866622783899E-3</v>
      </c>
      <c r="E394" s="3">
        <f t="shared" si="397"/>
        <v>3.0323866622783886E-3</v>
      </c>
      <c r="F394" s="3">
        <f t="shared" si="397"/>
        <v>3.0323866622783734E-3</v>
      </c>
      <c r="G394" s="3">
        <f t="shared" si="397"/>
        <v>3.0323866622782203E-3</v>
      </c>
      <c r="H394" s="3">
        <f t="shared" si="397"/>
        <v>3.0323866622766903E-3</v>
      </c>
      <c r="I394" s="3">
        <f t="shared" si="397"/>
        <v>3.03238666226139E-3</v>
      </c>
      <c r="J394" s="3">
        <f t="shared" si="397"/>
        <v>3.0323866621083887E-3</v>
      </c>
      <c r="K394" s="3">
        <f t="shared" si="397"/>
        <v>3.0323866605783721E-3</v>
      </c>
      <c r="L394" s="3">
        <f t="shared" si="397"/>
        <v>3.0323866452782078E-3</v>
      </c>
      <c r="M394" s="3">
        <f t="shared" si="397"/>
        <v>3.0323864922765704E-3</v>
      </c>
      <c r="N394" s="3">
        <f t="shared" si="397"/>
        <v>3.0323849622606188E-3</v>
      </c>
      <c r="O394" s="3">
        <f t="shared" si="397"/>
        <v>3.0323696621435631E-3</v>
      </c>
      <c r="P394" s="3">
        <f t="shared" si="397"/>
        <v>3.0322166652188252E-3</v>
      </c>
      <c r="Q394" s="3">
        <f t="shared" si="397"/>
        <v>3.0306871204739071E-3</v>
      </c>
      <c r="R394" s="3">
        <f t="shared" si="397"/>
        <v>3.01543404412897E-3</v>
      </c>
      <c r="S394" s="3">
        <f t="shared" si="397"/>
        <v>2.8670623461365214E-3</v>
      </c>
      <c r="T394" s="3">
        <f t="shared" si="397"/>
        <v>1.7310522261262979E-3</v>
      </c>
      <c r="U394" s="3">
        <f t="shared" si="397"/>
        <v>1.1143984727656535E-5</v>
      </c>
      <c r="V394" s="3">
        <f t="shared" si="397"/>
        <v>1.3625231267662171E-27</v>
      </c>
      <c r="W394" s="3">
        <f t="shared" si="397"/>
        <v>1.0171327197233972E-246</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2.0349292815546579E-6</v>
      </c>
      <c r="C395" s="3">
        <f t="shared" si="398"/>
        <v>2.0349292815546579E-6</v>
      </c>
      <c r="D395" s="3">
        <f t="shared" si="398"/>
        <v>2.0349292815546579E-6</v>
      </c>
      <c r="E395" s="3">
        <f t="shared" si="398"/>
        <v>2.0349292815546575E-6</v>
      </c>
      <c r="F395" s="3">
        <f t="shared" si="398"/>
        <v>2.0349292815546567E-6</v>
      </c>
      <c r="G395" s="3">
        <f t="shared" si="398"/>
        <v>2.0349292815546465E-6</v>
      </c>
      <c r="H395" s="3">
        <f t="shared" si="398"/>
        <v>2.034929281554544E-6</v>
      </c>
      <c r="I395" s="3">
        <f t="shared" si="398"/>
        <v>2.034929281553517E-6</v>
      </c>
      <c r="J395" s="3">
        <f t="shared" si="398"/>
        <v>2.0349292815432497E-6</v>
      </c>
      <c r="K395" s="3">
        <f t="shared" si="398"/>
        <v>2.0349292814405757E-6</v>
      </c>
      <c r="L395" s="3">
        <f t="shared" si="398"/>
        <v>2.0349292804138346E-6</v>
      </c>
      <c r="M395" s="3">
        <f t="shared" si="398"/>
        <v>2.0349292701464265E-6</v>
      </c>
      <c r="N395" s="3">
        <f t="shared" si="398"/>
        <v>2.034929167472346E-6</v>
      </c>
      <c r="O395" s="3">
        <f t="shared" si="398"/>
        <v>2.0349281407318252E-6</v>
      </c>
      <c r="P395" s="3">
        <f t="shared" si="398"/>
        <v>2.0349178733551098E-6</v>
      </c>
      <c r="Q395" s="3">
        <f t="shared" si="398"/>
        <v>2.034815202437179E-6</v>
      </c>
      <c r="R395" s="3">
        <f t="shared" si="398"/>
        <v>2.0337887781267179E-6</v>
      </c>
      <c r="S395" s="3">
        <f t="shared" si="398"/>
        <v>2.0235529687973164E-6</v>
      </c>
      <c r="T395" s="3">
        <f t="shared" si="398"/>
        <v>1.9239858797599421E-6</v>
      </c>
      <c r="U395" s="3">
        <f t="shared" si="398"/>
        <v>1.1616489765846975E-6</v>
      </c>
      <c r="V395" s="3">
        <f t="shared" si="398"/>
        <v>7.4783407794267281E-9</v>
      </c>
      <c r="W395" s="3">
        <f t="shared" si="398"/>
        <v>9.1434190828710361E-31</v>
      </c>
      <c r="X395" s="3">
        <f t="shared" si="398"/>
        <v>6.8256241208940167E-250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1.1740866771866395E-2</v>
      </c>
      <c r="C396" s="3">
        <f t="shared" si="399"/>
        <v>1.1740866771866395E-2</v>
      </c>
      <c r="D396" s="3">
        <f t="shared" si="399"/>
        <v>1.1740866771866395E-2</v>
      </c>
      <c r="E396" s="3">
        <f t="shared" si="399"/>
        <v>1.1740866771866395E-2</v>
      </c>
      <c r="F396" s="3">
        <f t="shared" si="399"/>
        <v>1.1740866771866393E-2</v>
      </c>
      <c r="G396" s="3">
        <f t="shared" si="399"/>
        <v>1.1740866771866388E-2</v>
      </c>
      <c r="H396" s="3">
        <f t="shared" si="399"/>
        <v>1.1740866771866329E-2</v>
      </c>
      <c r="I396" s="3">
        <f t="shared" si="399"/>
        <v>1.1740866771865737E-2</v>
      </c>
      <c r="J396" s="3">
        <f t="shared" si="399"/>
        <v>1.1740866771859811E-2</v>
      </c>
      <c r="K396" s="3">
        <f t="shared" si="399"/>
        <v>1.1740866771800574E-2</v>
      </c>
      <c r="L396" s="3">
        <f t="shared" si="399"/>
        <v>1.1740866771208178E-2</v>
      </c>
      <c r="M396" s="3">
        <f t="shared" si="399"/>
        <v>1.1740866765284224E-2</v>
      </c>
      <c r="N396" s="3">
        <f t="shared" si="399"/>
        <v>1.1740866706044684E-2</v>
      </c>
      <c r="O396" s="3">
        <f t="shared" si="399"/>
        <v>1.1740866113649306E-2</v>
      </c>
      <c r="P396" s="3">
        <f t="shared" si="399"/>
        <v>1.174086018969717E-2</v>
      </c>
      <c r="Q396" s="3">
        <f t="shared" si="399"/>
        <v>1.1740800950340205E-2</v>
      </c>
      <c r="R396" s="3">
        <f t="shared" si="399"/>
        <v>1.174020857320961E-2</v>
      </c>
      <c r="S396" s="3">
        <f t="shared" si="399"/>
        <v>1.1734286445502388E-2</v>
      </c>
      <c r="T396" s="3">
        <f t="shared" si="399"/>
        <v>1.1675229221878915E-2</v>
      </c>
      <c r="U396" s="3">
        <f t="shared" si="399"/>
        <v>1.1100760154159141E-2</v>
      </c>
      <c r="V396" s="3">
        <f t="shared" si="399"/>
        <v>6.7023291636631463E-3</v>
      </c>
      <c r="W396" s="3">
        <f t="shared" si="399"/>
        <v>4.3147545008927798E-5</v>
      </c>
      <c r="X396" s="3">
        <f t="shared" si="399"/>
        <v>5.2754494352410347E-27</v>
      </c>
      <c r="Y396" s="3">
        <f t="shared" si="399"/>
        <v>3.9381586458390057E-246</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5.3247535824709043E-2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0.11924441219434059</v>
      </c>
      <c r="M397" s="80">
        <f t="shared" si="400"/>
        <v>8.5744789888213078E-3</v>
      </c>
      <c r="N397" s="80">
        <f t="shared" si="400"/>
        <v>0.1115284867800788</v>
      </c>
      <c r="O397" s="80">
        <f t="shared" si="400"/>
        <v>0.21814312244151093</v>
      </c>
      <c r="P397" s="80">
        <f t="shared" si="400"/>
        <v>0.14320462383312663</v>
      </c>
      <c r="Q397" s="80">
        <f t="shared" si="400"/>
        <v>3.521987283643576E-2</v>
      </c>
      <c r="R397" s="80">
        <f t="shared" si="400"/>
        <v>0.21603292861145695</v>
      </c>
      <c r="S397" s="80">
        <f t="shared" si="400"/>
        <v>0.25574413486680075</v>
      </c>
      <c r="T397" s="80">
        <f t="shared" si="400"/>
        <v>0.21714066813780741</v>
      </c>
      <c r="U397" s="80">
        <f t="shared" si="400"/>
        <v>0.15202461432303968</v>
      </c>
      <c r="V397" s="80">
        <f t="shared" si="400"/>
        <v>0.17381626755256133</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383437.94509975443</v>
      </c>
      <c r="C398" s="21">
        <f t="shared" ref="C398:AF398" si="401">(C365-C364)^2</f>
        <v>379475.78018374892</v>
      </c>
      <c r="D398" s="21">
        <f t="shared" si="401"/>
        <v>322635.29449577379</v>
      </c>
      <c r="E398" s="21">
        <f t="shared" si="401"/>
        <v>327026.01756890008</v>
      </c>
      <c r="F398" s="21">
        <f t="shared" si="401"/>
        <v>296368.89108253882</v>
      </c>
      <c r="G398" s="21">
        <f t="shared" si="401"/>
        <v>272531.1847704993</v>
      </c>
      <c r="H398" s="21">
        <f t="shared" si="401"/>
        <v>68349.155627759232</v>
      </c>
      <c r="I398" s="21">
        <f t="shared" si="401"/>
        <v>7709.1833943614165</v>
      </c>
      <c r="J398" s="21">
        <f t="shared" si="401"/>
        <v>96023.618165963271</v>
      </c>
      <c r="K398" s="21">
        <f t="shared" si="401"/>
        <v>115402.96860213435</v>
      </c>
      <c r="L398" s="21">
        <f t="shared" si="401"/>
        <v>53997.348552762684</v>
      </c>
      <c r="M398" s="21">
        <f t="shared" si="401"/>
        <v>161.6651706536901</v>
      </c>
      <c r="N398" s="21">
        <f t="shared" si="401"/>
        <v>14102.079016524218</v>
      </c>
      <c r="O398" s="21">
        <f t="shared" si="401"/>
        <v>27200.714156030972</v>
      </c>
      <c r="P398" s="21">
        <f t="shared" si="401"/>
        <v>6763.2883371970838</v>
      </c>
      <c r="Q398" s="21">
        <f t="shared" si="401"/>
        <v>276.77216732896608</v>
      </c>
      <c r="R398" s="21">
        <f t="shared" si="401"/>
        <v>7646.2440360948485</v>
      </c>
      <c r="S398" s="21">
        <f t="shared" si="401"/>
        <v>7236.3251158775329</v>
      </c>
      <c r="T398" s="21">
        <f t="shared" si="401"/>
        <v>3440.0950548337441</v>
      </c>
      <c r="U398" s="21">
        <f t="shared" si="401"/>
        <v>1225.0967380347342</v>
      </c>
      <c r="V398" s="21">
        <f t="shared" si="401"/>
        <v>1196.1584864572753</v>
      </c>
      <c r="W398" s="21">
        <f t="shared" si="401"/>
        <v>4205.5778020541711</v>
      </c>
      <c r="X398" s="21">
        <f t="shared" si="401"/>
        <v>3260.5220127230505</v>
      </c>
      <c r="Y398" s="21">
        <f t="shared" si="401"/>
        <v>2739.733018719709</v>
      </c>
      <c r="Z398" s="21">
        <f t="shared" si="401"/>
        <v>2431.9910288555984</v>
      </c>
      <c r="AA398" s="21">
        <f t="shared" si="401"/>
        <v>2361.8548694458959</v>
      </c>
      <c r="AB398" s="21">
        <f t="shared" si="401"/>
        <v>2278.2978014858813</v>
      </c>
      <c r="AC398" s="21">
        <f t="shared" si="401"/>
        <v>2065.5939161575834</v>
      </c>
      <c r="AD398" s="21">
        <f t="shared" si="401"/>
        <v>2059.8017286656604</v>
      </c>
      <c r="AE398" s="21">
        <f t="shared" si="401"/>
        <v>1971.5686148097004</v>
      </c>
      <c r="AF398" s="21">
        <f t="shared" si="401"/>
        <v>1939.3037951058807</v>
      </c>
      <c r="AG398" s="3"/>
      <c r="AH398" s="3"/>
    </row>
    <row r="399" spans="1:34" x14ac:dyDescent="0.25">
      <c r="A399" s="71">
        <f>SUM(B399:AF399)</f>
        <v>123245.78683179575</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53997.348552762684</v>
      </c>
      <c r="M399" s="60">
        <f t="shared" ref="M399" si="412">IF($A$64&lt;=M363,IF($B$64&gt;=M363,ABS(M398),0),0)</f>
        <v>161.6651706536901</v>
      </c>
      <c r="N399" s="60">
        <f t="shared" ref="N399" si="413">IF($A$64&lt;=N363,IF($B$64&gt;=N363,ABS(N398),0),0)</f>
        <v>14102.079016524218</v>
      </c>
      <c r="O399" s="60">
        <f t="shared" ref="O399" si="414">IF($A$64&lt;=O363,IF($B$64&gt;=O363,ABS(O398),0),0)</f>
        <v>27200.714156030972</v>
      </c>
      <c r="P399" s="60">
        <f t="shared" ref="P399" si="415">IF($A$64&lt;=P363,IF($B$64&gt;=P363,ABS(P398),0),0)</f>
        <v>6763.2883371970838</v>
      </c>
      <c r="Q399" s="60">
        <f t="shared" ref="Q399" si="416">IF($A$64&lt;=Q363,IF($B$64&gt;=Q363,ABS(Q398),0),0)</f>
        <v>276.77216732896608</v>
      </c>
      <c r="R399" s="60">
        <f t="shared" ref="R399" si="417">IF($A$64&lt;=R363,IF($B$64&gt;=R363,ABS(R398),0),0)</f>
        <v>7646.2440360948485</v>
      </c>
      <c r="S399" s="60">
        <f t="shared" ref="S399" si="418">IF($A$64&lt;=S363,IF($B$64&gt;=S363,ABS(S398),0),0)</f>
        <v>7236.3251158775329</v>
      </c>
      <c r="T399" s="60">
        <f t="shared" ref="T399" si="419">IF($A$64&lt;=T363,IF($B$64&gt;=T363,ABS(T398),0),0)</f>
        <v>3440.0950548337441</v>
      </c>
      <c r="U399" s="60">
        <f t="shared" ref="U399" si="420">IF($A$64&lt;=U363,IF($B$64&gt;=U363,ABS(U398),0),0)</f>
        <v>1225.0967380347342</v>
      </c>
      <c r="V399" s="60">
        <f t="shared" ref="V399" si="421">IF($A$64&lt;=V363,IF($B$64&gt;=V363,ABS(V398),0),0)</f>
        <v>1196.1584864572753</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-21.791859757314405</v>
      </c>
      <c r="C403" s="107">
        <f t="shared" ref="C403:H403" si="432">IF(C125=$B$2,0,C126)</f>
        <v>-13.12367018372645</v>
      </c>
      <c r="D403" s="107">
        <f t="shared" si="432"/>
        <v>-9.5044877068991465</v>
      </c>
      <c r="E403" s="107">
        <f t="shared" si="432"/>
        <v>-4.7516897055913923</v>
      </c>
      <c r="F403" s="107">
        <f t="shared" si="432"/>
        <v>0</v>
      </c>
      <c r="G403" s="107">
        <f t="shared" si="432"/>
        <v>11.590177768105876</v>
      </c>
      <c r="H403" s="107">
        <f t="shared" si="432"/>
        <v>24.749725021281535</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3.4349115394182919E-25</v>
      </c>
      <c r="C404" s="3">
        <f t="shared" ref="C404:H419" si="433">$A404/EXP(-C$403)</f>
        <v>1.9973880943548683E-21</v>
      </c>
      <c r="D404" s="3">
        <f t="shared" si="433"/>
        <v>7.4516669427751229E-20</v>
      </c>
      <c r="E404" s="3">
        <f t="shared" si="433"/>
        <v>8.6370887291565159E-18</v>
      </c>
      <c r="F404" s="3">
        <f t="shared" si="433"/>
        <v>1.0000000000000001E-15</v>
      </c>
      <c r="G404" s="3">
        <f t="shared" si="433"/>
        <v>1.0803146087740475E-10</v>
      </c>
      <c r="H404" s="3">
        <f t="shared" si="433"/>
        <v>5.6062053997458421E-5</v>
      </c>
      <c r="I404" s="109">
        <f>Comparison!AL3</f>
        <v>1.0000000000000001E-15</v>
      </c>
      <c r="J404" s="3">
        <f>Comparison!AM3</f>
        <v>7093.1154116431162</v>
      </c>
      <c r="K404" s="3">
        <f>Comparison!AN3</f>
        <v>7031.9211529245395</v>
      </c>
      <c r="L404" s="3">
        <f>Comparison!AO3</f>
        <v>6992.3964680806075</v>
      </c>
      <c r="M404" s="3">
        <f>Comparison!AP3</f>
        <v>6951.7769139036336</v>
      </c>
      <c r="N404" s="3">
        <f>Comparison!AQ3</f>
        <v>6840.5863197092085</v>
      </c>
      <c r="O404" s="3">
        <f>Comparison!AR3</f>
        <v>5776.5900052436255</v>
      </c>
      <c r="P404" s="3">
        <f>Comparison!AS3</f>
        <v>4536.230397827354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3.4349115394182918E-24</v>
      </c>
      <c r="C405" s="3">
        <f t="shared" si="433"/>
        <v>1.9973880943548683E-20</v>
      </c>
      <c r="D405" s="3">
        <f t="shared" si="433"/>
        <v>7.4516669427751222E-19</v>
      </c>
      <c r="E405" s="3">
        <f t="shared" si="433"/>
        <v>8.6370887291565149E-17</v>
      </c>
      <c r="F405" s="3">
        <f t="shared" si="433"/>
        <v>1E-14</v>
      </c>
      <c r="G405" s="3">
        <f t="shared" si="433"/>
        <v>1.0803146087740474E-9</v>
      </c>
      <c r="H405" s="3">
        <f t="shared" si="433"/>
        <v>5.6062053997458421E-4</v>
      </c>
      <c r="I405" s="109">
        <f>Comparison!AL4</f>
        <v>1E-14</v>
      </c>
      <c r="J405" s="3">
        <f>Comparison!AM4</f>
        <v>7093.186769557813</v>
      </c>
      <c r="K405" s="3">
        <f>Comparison!AN4</f>
        <v>7031.9907762783369</v>
      </c>
      <c r="L405" s="3">
        <f>Comparison!AO4</f>
        <v>6992.459052459466</v>
      </c>
      <c r="M405" s="3">
        <f>Comparison!AP4</f>
        <v>6950.7516447504031</v>
      </c>
      <c r="N405" s="3">
        <f>Comparison!AQ4</f>
        <v>6643.5965561721414</v>
      </c>
      <c r="O405" s="3">
        <f>Comparison!AR4</f>
        <v>5571.6920956359099</v>
      </c>
      <c r="P405" s="3">
        <f>Comparison!AS4</f>
        <v>4303.1205029931816</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3.4349115394182919E-23</v>
      </c>
      <c r="C406" s="3">
        <f t="shared" si="433"/>
        <v>1.9973880943548683E-19</v>
      </c>
      <c r="D406" s="3">
        <f t="shared" si="433"/>
        <v>7.4516669427751218E-18</v>
      </c>
      <c r="E406" s="3">
        <f t="shared" si="433"/>
        <v>8.6370887291565149E-16</v>
      </c>
      <c r="F406" s="3">
        <f t="shared" si="433"/>
        <v>1E-13</v>
      </c>
      <c r="G406" s="3">
        <f t="shared" si="433"/>
        <v>1.0803146087740473E-8</v>
      </c>
      <c r="H406" s="3">
        <f t="shared" si="433"/>
        <v>5.6062053997458419E-3</v>
      </c>
      <c r="I406" s="109">
        <f>Comparison!AL5</f>
        <v>1E-13</v>
      </c>
      <c r="J406" s="3">
        <f>Comparison!AM5</f>
        <v>7093.1496241627792</v>
      </c>
      <c r="K406" s="3">
        <f>Comparison!AN5</f>
        <v>7031.9539299810422</v>
      </c>
      <c r="L406" s="3">
        <f>Comparison!AO5</f>
        <v>6992.3628853177524</v>
      </c>
      <c r="M406" s="3">
        <f>Comparison!AP5</f>
        <v>6940.1985301294053</v>
      </c>
      <c r="N406" s="3">
        <f>Comparison!AQ5</f>
        <v>6527.1577578820725</v>
      </c>
      <c r="O406" s="3">
        <f>Comparison!AR5</f>
        <v>5400.7646013667554</v>
      </c>
      <c r="P406" s="3">
        <f>Comparison!AS5</f>
        <v>4127.6064584710148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3.4349115394182919E-22</v>
      </c>
      <c r="C407" s="3">
        <f t="shared" si="433"/>
        <v>1.9973880943548682E-18</v>
      </c>
      <c r="D407" s="3">
        <f t="shared" si="433"/>
        <v>7.4516669427751224E-17</v>
      </c>
      <c r="E407" s="3">
        <f t="shared" si="433"/>
        <v>8.637088729156514E-15</v>
      </c>
      <c r="F407" s="3">
        <f t="shared" si="433"/>
        <v>9.9999999999999998E-13</v>
      </c>
      <c r="G407" s="3">
        <f t="shared" si="433"/>
        <v>1.0803146087740473E-7</v>
      </c>
      <c r="H407" s="3">
        <f t="shared" si="433"/>
        <v>5.6062053997458415E-2</v>
      </c>
      <c r="I407" s="109">
        <f>Comparison!AL6</f>
        <v>9.9999999999999998E-13</v>
      </c>
      <c r="J407" s="3">
        <f>Comparison!AM6</f>
        <v>7093.139849123485</v>
      </c>
      <c r="K407" s="3">
        <f>Comparison!AN6</f>
        <v>7031.9433621725511</v>
      </c>
      <c r="L407" s="3">
        <f>Comparison!AO6</f>
        <v>6991.7590094248426</v>
      </c>
      <c r="M407" s="3">
        <f>Comparison!AP6</f>
        <v>6859.1289652487367</v>
      </c>
      <c r="N407" s="3">
        <f>Comparison!AQ6</f>
        <v>6412.9995296962652</v>
      </c>
      <c r="O407" s="3">
        <f>Comparison!AR6</f>
        <v>5215.0678795321228</v>
      </c>
      <c r="P407" s="3">
        <f>Comparison!AS6</f>
        <v>3945.604356178083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3.4349115394182918E-21</v>
      </c>
      <c r="C408" s="3">
        <f t="shared" si="433"/>
        <v>1.9973880943548682E-17</v>
      </c>
      <c r="D408" s="3">
        <f t="shared" si="433"/>
        <v>7.4516669427751212E-16</v>
      </c>
      <c r="E408" s="3">
        <f t="shared" si="433"/>
        <v>8.6370887291565136E-14</v>
      </c>
      <c r="F408" s="3">
        <f t="shared" si="433"/>
        <v>9.9999999999999994E-12</v>
      </c>
      <c r="G408" s="3">
        <f t="shared" si="433"/>
        <v>1.0803146087740472E-6</v>
      </c>
      <c r="H408" s="3">
        <f t="shared" si="433"/>
        <v>0.56062053997458416</v>
      </c>
      <c r="I408" s="109">
        <f>Comparison!AL7</f>
        <v>9.9999999999999994E-12</v>
      </c>
      <c r="J408" s="3">
        <f>Comparison!AM7</f>
        <v>7093.1370316171597</v>
      </c>
      <c r="K408" s="3">
        <f>Comparison!AN7</f>
        <v>7031.9306469370567</v>
      </c>
      <c r="L408" s="3">
        <f>Comparison!AO7</f>
        <v>6985.9675385002447</v>
      </c>
      <c r="M408" s="3">
        <f>Comparison!AP7</f>
        <v>6695.6616107202954</v>
      </c>
      <c r="N408" s="3">
        <f>Comparison!AQ7</f>
        <v>6286.8028992665704</v>
      </c>
      <c r="O408" s="3">
        <f>Comparison!AR7</f>
        <v>4985.425095489265</v>
      </c>
      <c r="P408" s="3">
        <f>Comparison!AS7</f>
        <v>3766.6240058114313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3.4349115394182918E-20</v>
      </c>
      <c r="C409" s="3">
        <f t="shared" si="433"/>
        <v>1.9973880943548683E-16</v>
      </c>
      <c r="D409" s="3">
        <f t="shared" si="433"/>
        <v>7.4516669427751216E-15</v>
      </c>
      <c r="E409" s="3">
        <f t="shared" si="433"/>
        <v>8.6370887291565149E-13</v>
      </c>
      <c r="F409" s="3">
        <f t="shared" si="433"/>
        <v>1E-10</v>
      </c>
      <c r="G409" s="3">
        <f t="shared" si="433"/>
        <v>1.0803146087740474E-5</v>
      </c>
      <c r="H409" s="3">
        <f t="shared" si="433"/>
        <v>5.6062053997458419</v>
      </c>
      <c r="I409" s="109">
        <f>Comparison!AL8</f>
        <v>1E-10</v>
      </c>
      <c r="J409" s="3">
        <f>Comparison!AM8</f>
        <v>7093.1361691156708</v>
      </c>
      <c r="K409" s="3">
        <f>Comparison!AN8</f>
        <v>7031.8305090006179</v>
      </c>
      <c r="L409" s="3">
        <f>Comparison!AO8</f>
        <v>6936.0316435873456</v>
      </c>
      <c r="M409" s="3">
        <f>Comparison!AP8</f>
        <v>6579.8912612434069</v>
      </c>
      <c r="N409" s="3">
        <f>Comparison!AQ8</f>
        <v>6151.4165633211096</v>
      </c>
      <c r="O409" s="3">
        <f>Comparison!AR8</f>
        <v>4758.3350912889036</v>
      </c>
      <c r="P409" s="3">
        <f>Comparison!AS8</f>
        <v>3551.9419942460731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3.4349115394182922E-19</v>
      </c>
      <c r="C410" s="3">
        <f t="shared" si="433"/>
        <v>1.9973880943548682E-15</v>
      </c>
      <c r="D410" s="3">
        <f t="shared" si="433"/>
        <v>7.4516669427751225E-14</v>
      </c>
      <c r="E410" s="3">
        <f t="shared" si="433"/>
        <v>8.6370887291565155E-12</v>
      </c>
      <c r="F410" s="3">
        <f t="shared" si="433"/>
        <v>1.0000000000000001E-9</v>
      </c>
      <c r="G410" s="3">
        <f t="shared" si="433"/>
        <v>1.0803146087740474E-4</v>
      </c>
      <c r="H410" s="3">
        <f t="shared" si="433"/>
        <v>56.06205399745842</v>
      </c>
      <c r="I410" s="109">
        <f>Comparison!AL9</f>
        <v>1.0000000000000001E-9</v>
      </c>
      <c r="J410" s="3">
        <f>Comparison!AM9</f>
        <v>7093.1358816152215</v>
      </c>
      <c r="K410" s="3">
        <f>Comparison!AN9</f>
        <v>7030.8436925650376</v>
      </c>
      <c r="L410" s="3">
        <f>Comparison!AO9</f>
        <v>6767.3497232459458</v>
      </c>
      <c r="M410" s="3">
        <f>Comparison!AP9</f>
        <v>6466.0632255652681</v>
      </c>
      <c r="N410" s="3">
        <f>Comparison!AQ9</f>
        <v>5999.0572498672</v>
      </c>
      <c r="O410" s="3">
        <f>Comparison!AR9</f>
        <v>4565.5114420012915</v>
      </c>
      <c r="P410" s="3">
        <f>Comparison!AS9</f>
        <v>3318.4500658255338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3.4349115394182919E-18</v>
      </c>
      <c r="C411" s="3">
        <f t="shared" si="433"/>
        <v>1.9973880943548682E-14</v>
      </c>
      <c r="D411" s="3">
        <f t="shared" si="433"/>
        <v>7.4516669427751218E-13</v>
      </c>
      <c r="E411" s="3">
        <f t="shared" si="433"/>
        <v>8.6370887291565149E-11</v>
      </c>
      <c r="F411" s="3">
        <f t="shared" si="433"/>
        <v>1E-8</v>
      </c>
      <c r="G411" s="3">
        <f t="shared" si="433"/>
        <v>1.0803146087740474E-3</v>
      </c>
      <c r="H411" s="3">
        <f t="shared" si="433"/>
        <v>560.62053997458418</v>
      </c>
      <c r="I411" s="109">
        <f>Comparison!AL10</f>
        <v>1E-8</v>
      </c>
      <c r="J411" s="3">
        <f>Comparison!AM10</f>
        <v>7093.135709114963</v>
      </c>
      <c r="K411" s="3">
        <f>Comparison!AN10</f>
        <v>7021.3347469085647</v>
      </c>
      <c r="L411" s="3">
        <f>Comparison!AO10</f>
        <v>6644.5309370841214</v>
      </c>
      <c r="M411" s="3">
        <f>Comparison!AP10</f>
        <v>6338.9884403076148</v>
      </c>
      <c r="N411" s="3">
        <f>Comparison!AQ10</f>
        <v>5834.1918541119712</v>
      </c>
      <c r="O411" s="3">
        <f>Comparison!AR10</f>
        <v>4384.874474223483</v>
      </c>
      <c r="P411" s="3">
        <f>Comparison!AS10</f>
        <v>3050.6755206683788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3.4349115394182916E-17</v>
      </c>
      <c r="C412" s="3">
        <f t="shared" si="433"/>
        <v>1.9973880943548681E-13</v>
      </c>
      <c r="D412" s="3">
        <f t="shared" si="433"/>
        <v>7.451666942775122E-12</v>
      </c>
      <c r="E412" s="3">
        <f t="shared" si="433"/>
        <v>8.6370887291565143E-10</v>
      </c>
      <c r="F412" s="3">
        <f t="shared" si="433"/>
        <v>9.9999999999999995E-8</v>
      </c>
      <c r="G412" s="3">
        <f t="shared" si="433"/>
        <v>1.0803146087740472E-2</v>
      </c>
      <c r="H412" s="3">
        <f t="shared" si="433"/>
        <v>5606.2053997458415</v>
      </c>
      <c r="I412" s="109">
        <f>Comparison!AL11</f>
        <v>9.9999999999999995E-8</v>
      </c>
      <c r="J412" s="3">
        <f>Comparison!AM11</f>
        <v>7093.1355366147118</v>
      </c>
      <c r="K412" s="3">
        <f>Comparison!AN11</f>
        <v>6946.0273669032786</v>
      </c>
      <c r="L412" s="3">
        <f>Comparison!AO11</f>
        <v>6532.7504586905397</v>
      </c>
      <c r="M412" s="3">
        <f>Comparison!AP11</f>
        <v>6203.5301972004399</v>
      </c>
      <c r="N412" s="3">
        <f>Comparison!AQ11</f>
        <v>5660.667941479277</v>
      </c>
      <c r="O412" s="3">
        <f>Comparison!AR11</f>
        <v>4203.1654341512503</v>
      </c>
      <c r="P412" s="3">
        <f>Comparison!AS11</f>
        <v>2745.1346410108995</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3.4349115394182916E-16</v>
      </c>
      <c r="C413" s="3">
        <f t="shared" si="433"/>
        <v>1.9973880943548683E-12</v>
      </c>
      <c r="D413" s="3">
        <f t="shared" si="433"/>
        <v>7.4516669427751213E-11</v>
      </c>
      <c r="E413" s="3">
        <f t="shared" si="433"/>
        <v>8.6370887291565135E-9</v>
      </c>
      <c r="F413" s="3">
        <f t="shared" si="433"/>
        <v>9.9999999999999995E-7</v>
      </c>
      <c r="G413" s="3">
        <f t="shared" si="433"/>
        <v>0.10803146087740473</v>
      </c>
      <c r="H413" s="3">
        <f t="shared" si="433"/>
        <v>56062.053997458417</v>
      </c>
      <c r="I413" s="109">
        <f>Comparison!AL12</f>
        <v>9.9999999999999995E-7</v>
      </c>
      <c r="J413" s="3">
        <f>Comparison!AM12</f>
        <v>7093.1340991129555</v>
      </c>
      <c r="K413" s="3">
        <f>Comparison!AN12</f>
        <v>6777.7782322116691</v>
      </c>
      <c r="L413" s="3">
        <f>Comparison!AO12</f>
        <v>6406.2589516029093</v>
      </c>
      <c r="M413" s="3">
        <f>Comparison!AP12</f>
        <v>6050.6164561665273</v>
      </c>
      <c r="N413" s="3">
        <f>Comparison!AQ12</f>
        <v>5500.6338050295499</v>
      </c>
      <c r="O413" s="3">
        <f>Comparison!AR12</f>
        <v>4026.8171479490911</v>
      </c>
      <c r="P413" s="3">
        <f>Comparison!AS12</f>
        <v>2379.9691784471511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3.4349115394182922E-15</v>
      </c>
      <c r="C414" s="3">
        <f t="shared" si="433"/>
        <v>1.9973880943548685E-11</v>
      </c>
      <c r="D414" s="3">
        <f t="shared" si="433"/>
        <v>7.4516669427751231E-10</v>
      </c>
      <c r="E414" s="3">
        <f t="shared" si="433"/>
        <v>8.6370887291565152E-8</v>
      </c>
      <c r="F414" s="3">
        <f t="shared" si="433"/>
        <v>1.0000000000000001E-5</v>
      </c>
      <c r="G414" s="3">
        <f t="shared" si="433"/>
        <v>1.0803146087740474</v>
      </c>
      <c r="H414" s="3">
        <f t="shared" si="433"/>
        <v>560620.53997458424</v>
      </c>
      <c r="I414" s="109">
        <f>Comparison!AL13</f>
        <v>1.0000000000000001E-5</v>
      </c>
      <c r="J414" s="3">
        <f>Comparison!AM13</f>
        <v>7093.1198391270691</v>
      </c>
      <c r="K414" s="3">
        <f>Comparison!AN13</f>
        <v>6659.4311503256295</v>
      </c>
      <c r="L414" s="3">
        <f>Comparison!AO13</f>
        <v>6273.617616065887</v>
      </c>
      <c r="M414" s="3">
        <f>Comparison!AP13</f>
        <v>5884.895018012654</v>
      </c>
      <c r="N414" s="3">
        <f>Comparison!AQ13</f>
        <v>5316.0543139142828</v>
      </c>
      <c r="O414" s="3">
        <f>Comparison!AR13</f>
        <v>3842.8247437350828</v>
      </c>
      <c r="P414" s="3">
        <f>Comparison!AS13</f>
        <v>1948.7143373862357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3.4349115394182922E-14</v>
      </c>
      <c r="C415" s="3">
        <f t="shared" si="433"/>
        <v>1.9973880943548684E-10</v>
      </c>
      <c r="D415" s="3">
        <f t="shared" si="433"/>
        <v>7.4516669427751217E-9</v>
      </c>
      <c r="E415" s="3">
        <f t="shared" si="433"/>
        <v>8.6370887291565149E-7</v>
      </c>
      <c r="F415" s="3">
        <f t="shared" si="433"/>
        <v>1E-4</v>
      </c>
      <c r="G415" s="3">
        <f t="shared" si="433"/>
        <v>10.803146087740474</v>
      </c>
      <c r="H415" s="3">
        <f t="shared" si="433"/>
        <v>5606205.3997458424</v>
      </c>
      <c r="I415" s="109">
        <f>Comparison!AL14</f>
        <v>1E-4</v>
      </c>
      <c r="J415" s="3">
        <f>Comparison!AM14</f>
        <v>7092.9771274266232</v>
      </c>
      <c r="K415" s="3">
        <f>Comparison!AN14</f>
        <v>6544.645454565718</v>
      </c>
      <c r="L415" s="3">
        <f>Comparison!AO14</f>
        <v>6123.1895749079549</v>
      </c>
      <c r="M415" s="3">
        <f>Comparison!AP14</f>
        <v>5709.3519393565812</v>
      </c>
      <c r="N415" s="3">
        <f>Comparison!AQ14</f>
        <v>5094.9618199282804</v>
      </c>
      <c r="O415" s="3">
        <f>Comparison!AR14</f>
        <v>3637.9090125528774</v>
      </c>
      <c r="P415" s="3">
        <f>Comparison!AS14</f>
        <v>1482.8611668944652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3.4349115394182919E-13</v>
      </c>
      <c r="C416" s="3">
        <f t="shared" si="433"/>
        <v>1.9973880943548684E-9</v>
      </c>
      <c r="D416" s="3">
        <f t="shared" si="433"/>
        <v>7.4516669427751223E-8</v>
      </c>
      <c r="E416" s="3">
        <f t="shared" si="433"/>
        <v>8.6370887291565147E-6</v>
      </c>
      <c r="F416" s="3">
        <f t="shared" si="433"/>
        <v>1E-3</v>
      </c>
      <c r="G416" s="3">
        <f t="shared" si="433"/>
        <v>108.03146087740474</v>
      </c>
      <c r="H416" s="3">
        <f t="shared" si="433"/>
        <v>56062053.997458421</v>
      </c>
      <c r="I416" s="109">
        <f>Comparison!AL15</f>
        <v>1E-3</v>
      </c>
      <c r="J416" s="3">
        <f>Comparison!AM15</f>
        <v>7091.5625107943715</v>
      </c>
      <c r="K416" s="3">
        <f>Comparison!AN15</f>
        <v>6415.8365900058752</v>
      </c>
      <c r="L416" s="3">
        <f>Comparison!AO15</f>
        <v>5959.0875608576071</v>
      </c>
      <c r="M416" s="3">
        <f>Comparison!AP15</f>
        <v>5547.9132434192643</v>
      </c>
      <c r="N416" s="3">
        <f>Comparison!AQ15</f>
        <v>4859.6753740182503</v>
      </c>
      <c r="O416" s="3">
        <f>Comparison!AR15</f>
        <v>3407.0475124340101</v>
      </c>
      <c r="P416" s="3">
        <f>Comparison!AS15</f>
        <v>1064.7698916660522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3.4349115394182921E-12</v>
      </c>
      <c r="C417" s="3">
        <f t="shared" si="433"/>
        <v>1.9973880943548684E-8</v>
      </c>
      <c r="D417" s="3">
        <f t="shared" si="433"/>
        <v>7.4516669427751221E-7</v>
      </c>
      <c r="E417" s="3">
        <f t="shared" si="433"/>
        <v>8.6370887291565147E-5</v>
      </c>
      <c r="F417" s="3">
        <f t="shared" si="433"/>
        <v>0.01</v>
      </c>
      <c r="G417" s="3">
        <f t="shared" si="433"/>
        <v>1080.3146087740474</v>
      </c>
      <c r="H417" s="3">
        <f t="shared" si="433"/>
        <v>560620539.97458422</v>
      </c>
      <c r="I417" s="109">
        <f>Comparison!AL16</f>
        <v>0.01</v>
      </c>
      <c r="J417" s="3">
        <f>Comparison!AM16</f>
        <v>7078.0585854387473</v>
      </c>
      <c r="K417" s="3">
        <f>Comparison!AN16</f>
        <v>6279.1797519689544</v>
      </c>
      <c r="L417" s="3">
        <f>Comparison!AO16</f>
        <v>5781.2083401997561</v>
      </c>
      <c r="M417" s="3">
        <f>Comparison!AP16</f>
        <v>5364.2356794540465</v>
      </c>
      <c r="N417" s="3">
        <f>Comparison!AQ16</f>
        <v>4653.8175879978271</v>
      </c>
      <c r="O417" s="3">
        <f>Comparison!AR16</f>
        <v>3145.7192687287707</v>
      </c>
      <c r="P417" s="3">
        <f>Comparison!AS16</f>
        <v>756.04671038027936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3.434911539418292E-11</v>
      </c>
      <c r="C418" s="3">
        <f t="shared" si="433"/>
        <v>1.9973880943548683E-7</v>
      </c>
      <c r="D418" s="3">
        <f t="shared" si="433"/>
        <v>7.4516669427751223E-6</v>
      </c>
      <c r="E418" s="3">
        <f t="shared" si="433"/>
        <v>8.6370887291565147E-4</v>
      </c>
      <c r="F418" s="3">
        <f t="shared" si="433"/>
        <v>0.1</v>
      </c>
      <c r="G418" s="3">
        <f t="shared" si="433"/>
        <v>10803.146087740473</v>
      </c>
      <c r="H418" s="3">
        <f t="shared" si="433"/>
        <v>5606205399.745842</v>
      </c>
      <c r="I418" s="109">
        <f>Comparison!AL17</f>
        <v>0.1</v>
      </c>
      <c r="J418" s="3">
        <f>Comparison!AM17</f>
        <v>6980.1771345591078</v>
      </c>
      <c r="K418" s="3">
        <f>Comparison!AN17</f>
        <v>6124.6018825038309</v>
      </c>
      <c r="L418" s="3">
        <f>Comparison!AO17</f>
        <v>5618.3452185734377</v>
      </c>
      <c r="M418" s="3">
        <f>Comparison!AP17</f>
        <v>5142.9380897638539</v>
      </c>
      <c r="N418" s="3">
        <f>Comparison!AQ17</f>
        <v>4469.1753341299773</v>
      </c>
      <c r="O418" s="3">
        <f>Comparison!AR17</f>
        <v>2837.9758401657195</v>
      </c>
      <c r="P418" s="3">
        <f>Comparison!AS17</f>
        <v>574.27764486440731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3.434911539418292E-10</v>
      </c>
      <c r="C419" s="3">
        <f t="shared" si="433"/>
        <v>1.9973880943548682E-6</v>
      </c>
      <c r="D419" s="3">
        <f t="shared" si="433"/>
        <v>7.4516669427751218E-5</v>
      </c>
      <c r="E419" s="3">
        <f t="shared" si="433"/>
        <v>8.637088729156514E-3</v>
      </c>
      <c r="F419" s="3">
        <f t="shared" si="433"/>
        <v>1</v>
      </c>
      <c r="G419" s="3">
        <f t="shared" si="433"/>
        <v>108031.46087740474</v>
      </c>
      <c r="H419" s="3">
        <f t="shared" si="433"/>
        <v>56062053997.45842</v>
      </c>
      <c r="I419" s="109">
        <f>Comparison!AL18</f>
        <v>1</v>
      </c>
      <c r="J419" s="3">
        <f>Comparison!AM18</f>
        <v>6817.7458366168885</v>
      </c>
      <c r="K419" s="3">
        <f>Comparison!AN18</f>
        <v>5956.8287989294422</v>
      </c>
      <c r="L419" s="3">
        <f>Comparison!AO18</f>
        <v>5440.9922001853329</v>
      </c>
      <c r="M419" s="3">
        <f>Comparison!AP18</f>
        <v>4901.2536857987861</v>
      </c>
      <c r="N419" s="3">
        <f>Comparison!AQ18</f>
        <v>4267.9652571239076</v>
      </c>
      <c r="O419" s="3">
        <f>Comparison!AR18</f>
        <v>2426.1662837806571</v>
      </c>
      <c r="P419" s="3">
        <f>Comparison!AS18</f>
        <v>472.36033693576201</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3.4349115394182918E-9</v>
      </c>
      <c r="C420" s="3">
        <f t="shared" si="434"/>
        <v>1.9973880943548683E-5</v>
      </c>
      <c r="D420" s="3">
        <f t="shared" si="434"/>
        <v>7.4516669427751223E-4</v>
      </c>
      <c r="E420" s="3">
        <f t="shared" si="434"/>
        <v>8.637088729156514E-2</v>
      </c>
      <c r="F420" s="3">
        <f t="shared" si="434"/>
        <v>10</v>
      </c>
      <c r="G420" s="3">
        <f t="shared" si="434"/>
        <v>1080314.6087740473</v>
      </c>
      <c r="H420" s="3">
        <f t="shared" si="434"/>
        <v>560620539974.58423</v>
      </c>
      <c r="I420" s="109">
        <f>Comparison!AL19</f>
        <v>10</v>
      </c>
      <c r="J420" s="3">
        <f>Comparison!AM19</f>
        <v>6700.2000319833087</v>
      </c>
      <c r="K420" s="3">
        <f>Comparison!AN19</f>
        <v>5777.56401011038</v>
      </c>
      <c r="L420" s="3">
        <f>Comparison!AO19</f>
        <v>5221.4874412485688</v>
      </c>
      <c r="M420" s="3">
        <f>Comparison!AP19</f>
        <v>4661.3568218837227</v>
      </c>
      <c r="N420" s="3">
        <f>Comparison!AQ19</f>
        <v>3976.7785402340392</v>
      </c>
      <c r="O420" s="3">
        <f>Comparison!AR19</f>
        <v>1854.808278855141</v>
      </c>
      <c r="P420" s="3">
        <f>Comparison!AS19</f>
        <v>404.76609252146119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3.4349115394182921E-8</v>
      </c>
      <c r="C421" s="3">
        <f t="shared" si="434"/>
        <v>1.9973880943548682E-4</v>
      </c>
      <c r="D421" s="3">
        <f t="shared" si="434"/>
        <v>7.4516669427751219E-3</v>
      </c>
      <c r="E421" s="3">
        <f t="shared" si="434"/>
        <v>0.86370887291565146</v>
      </c>
      <c r="F421" s="3">
        <f t="shared" si="434"/>
        <v>100</v>
      </c>
      <c r="G421" s="3">
        <f t="shared" si="434"/>
        <v>10803146.087740473</v>
      </c>
      <c r="H421" s="3">
        <f t="shared" si="434"/>
        <v>5606205399745.8418</v>
      </c>
      <c r="I421" s="109">
        <f>Comparison!AL20</f>
        <v>100</v>
      </c>
      <c r="J421" s="3">
        <f>Comparison!AM20</f>
        <v>6581.4875752007347</v>
      </c>
      <c r="K421" s="3">
        <f>Comparison!AN20</f>
        <v>5602.1564627366897</v>
      </c>
      <c r="L421" s="3">
        <f>Comparison!AO20</f>
        <v>4926.1795387850607</v>
      </c>
      <c r="M421" s="3">
        <f>Comparison!AP20</f>
        <v>4298.6774546472579</v>
      </c>
      <c r="N421" s="3">
        <f>Comparison!AQ20</f>
        <v>3445.6591436468279</v>
      </c>
      <c r="O421" s="3">
        <f>Comparison!AR20</f>
        <v>1269.173844412863</v>
      </c>
      <c r="P421" s="3">
        <f>Comparison!AS20</f>
        <v>332.62382454066642</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3.4349115394182918E-7</v>
      </c>
      <c r="C422" s="3">
        <f t="shared" si="434"/>
        <v>1.9973880943548682E-3</v>
      </c>
      <c r="D422" s="3">
        <f t="shared" si="434"/>
        <v>7.4516669427751217E-2</v>
      </c>
      <c r="E422" s="3">
        <f t="shared" si="434"/>
        <v>8.637088729156515</v>
      </c>
      <c r="F422" s="3">
        <f t="shared" si="434"/>
        <v>1000</v>
      </c>
      <c r="G422" s="3">
        <f t="shared" si="434"/>
        <v>108031460.87740473</v>
      </c>
      <c r="H422" s="3">
        <f t="shared" si="434"/>
        <v>56062053997458.414</v>
      </c>
      <c r="I422" s="109">
        <f>Comparison!AL21</f>
        <v>1000</v>
      </c>
      <c r="J422" s="3">
        <f>Comparison!AM21</f>
        <v>6449.3747740231202</v>
      </c>
      <c r="K422" s="3">
        <f>Comparison!AN21</f>
        <v>5348.811853446321</v>
      </c>
      <c r="L422" s="3">
        <f>Comparison!AO21</f>
        <v>4442.9821588725517</v>
      </c>
      <c r="M422" s="3">
        <f>Comparison!AP21</f>
        <v>3673.7236771243274</v>
      </c>
      <c r="N422" s="3">
        <f>Comparison!AQ21</f>
        <v>2839.3657389117534</v>
      </c>
      <c r="O422" s="3">
        <f>Comparison!AR21</f>
        <v>808.20803145416335</v>
      </c>
      <c r="P422" s="3">
        <f>Comparison!AS21</f>
        <v>270.11210763785351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3.4349115394182919E-6</v>
      </c>
      <c r="C423" s="3">
        <f t="shared" si="434"/>
        <v>1.9973880943548683E-2</v>
      </c>
      <c r="D423" s="3">
        <f t="shared" si="434"/>
        <v>0.74516669427751225</v>
      </c>
      <c r="E423" s="3">
        <f t="shared" si="434"/>
        <v>86.37088729156514</v>
      </c>
      <c r="F423" s="3">
        <f t="shared" si="434"/>
        <v>10000</v>
      </c>
      <c r="G423" s="3">
        <f t="shared" si="434"/>
        <v>1080314608.7740474</v>
      </c>
      <c r="H423" s="3">
        <f t="shared" si="434"/>
        <v>560620539974584.19</v>
      </c>
      <c r="I423" s="109">
        <f>Comparison!AL22</f>
        <v>10000</v>
      </c>
      <c r="J423" s="3">
        <f>Comparison!AM22</f>
        <v>6289.3605252793404</v>
      </c>
      <c r="K423" s="3">
        <f>Comparison!AN22</f>
        <v>4793.3449045957559</v>
      </c>
      <c r="L423" s="3">
        <f>Comparison!AO22</f>
        <v>3752.7744100380223</v>
      </c>
      <c r="M423" s="3">
        <f>Comparison!AP22</f>
        <v>3055.9581241953465</v>
      </c>
      <c r="N423" s="3">
        <f>Comparison!AQ22</f>
        <v>2338.5721090290958</v>
      </c>
      <c r="O423" s="3">
        <f>Comparison!AR22</f>
        <v>509.02880387480866</v>
      </c>
      <c r="P423" s="3">
        <f>Comparison!AS22</f>
        <v>230.23496622900356</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3.4349115394182917E-5</v>
      </c>
      <c r="C424" s="3">
        <f t="shared" si="434"/>
        <v>0.19973880943548683</v>
      </c>
      <c r="D424" s="3">
        <f t="shared" si="434"/>
        <v>7.4516669427751223</v>
      </c>
      <c r="E424" s="3">
        <f t="shared" si="434"/>
        <v>863.70887291565145</v>
      </c>
      <c r="F424" s="3">
        <f t="shared" si="434"/>
        <v>100000</v>
      </c>
      <c r="G424" s="3">
        <f t="shared" si="434"/>
        <v>10803146087.740473</v>
      </c>
      <c r="H424" s="3">
        <f t="shared" si="434"/>
        <v>5606205399745842</v>
      </c>
      <c r="I424" s="109">
        <f>Comparison!AL23</f>
        <v>100000</v>
      </c>
      <c r="J424" s="3">
        <f>Comparison!AM23</f>
        <v>6015.8011652173718</v>
      </c>
      <c r="K424" s="3">
        <f>Comparison!AN23</f>
        <v>4005.8829435497059</v>
      </c>
      <c r="L424" s="3">
        <f>Comparison!AO23</f>
        <v>3130.6377978974938</v>
      </c>
      <c r="M424" s="3">
        <f>Comparison!AP23</f>
        <v>2586.4007874245467</v>
      </c>
      <c r="N424" s="3">
        <f>Comparison!AQ23</f>
        <v>1960.3272335044344</v>
      </c>
      <c r="O424" s="3">
        <f>Comparison!AR23</f>
        <v>344.05387649356049</v>
      </c>
      <c r="P424" s="3">
        <f>Comparison!AS23</f>
        <v>198.97748766430533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3.434911539418292E-4</v>
      </c>
      <c r="C425" s="3">
        <f t="shared" si="434"/>
        <v>1.9973880943548683</v>
      </c>
      <c r="D425" s="3">
        <f t="shared" si="434"/>
        <v>74.516669427751225</v>
      </c>
      <c r="E425" s="3">
        <f t="shared" si="434"/>
        <v>8637.0887291565141</v>
      </c>
      <c r="F425" s="3">
        <f t="shared" si="434"/>
        <v>1000000</v>
      </c>
      <c r="G425" s="3">
        <f t="shared" si="434"/>
        <v>108031460877.40474</v>
      </c>
      <c r="H425" s="3">
        <f t="shared" si="434"/>
        <v>5.6062053997458416E+16</v>
      </c>
      <c r="I425" s="109">
        <f>Comparison!AL24</f>
        <v>1000000</v>
      </c>
      <c r="J425" s="3">
        <f>Comparison!AM24</f>
        <v>5393.4478275395559</v>
      </c>
      <c r="K425" s="3">
        <f>Comparison!AN24</f>
        <v>3346.4776601581179</v>
      </c>
      <c r="L425" s="3">
        <f>Comparison!AO24</f>
        <v>2685.7977977575347</v>
      </c>
      <c r="M425" s="3">
        <f>Comparison!AP24</f>
        <v>2247.3343211844494</v>
      </c>
      <c r="N425" s="3">
        <f>Comparison!AQ24</f>
        <v>1656.3185875611684</v>
      </c>
      <c r="O425" s="3">
        <f>Comparison!AR24</f>
        <v>262.73242624087396</v>
      </c>
      <c r="P425" s="3">
        <f>Comparison!AS24</f>
        <v>182.67861803771595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3.4349115394182918E-3</v>
      </c>
      <c r="C426" s="3">
        <f t="shared" si="434"/>
        <v>19.973880943548682</v>
      </c>
      <c r="D426" s="3">
        <f t="shared" si="434"/>
        <v>745.16669427751219</v>
      </c>
      <c r="E426" s="3">
        <f t="shared" si="434"/>
        <v>86370.887291565145</v>
      </c>
      <c r="F426" s="3">
        <f t="shared" si="434"/>
        <v>10000000</v>
      </c>
      <c r="G426" s="3">
        <f t="shared" si="434"/>
        <v>1080314608774.0474</v>
      </c>
      <c r="H426" s="3">
        <f t="shared" si="434"/>
        <v>5.6062053997458419E+17</v>
      </c>
      <c r="I426" s="109">
        <f>Comparison!AL25</f>
        <v>10000000</v>
      </c>
      <c r="J426" s="3">
        <f>Comparison!AM25</f>
        <v>4577.424969740212</v>
      </c>
      <c r="K426" s="3">
        <f>Comparison!AN25</f>
        <v>2892.1899665732253</v>
      </c>
      <c r="L426" s="3">
        <f>Comparison!AO25</f>
        <v>2368.346654493816</v>
      </c>
      <c r="M426" s="3">
        <f>Comparison!AP25</f>
        <v>1979.307169199863</v>
      </c>
      <c r="N426" s="3">
        <f>Comparison!AQ25</f>
        <v>1387.2108481854204</v>
      </c>
      <c r="O426" s="3">
        <f>Comparison!AR25</f>
        <v>222.939887660718</v>
      </c>
      <c r="P426" s="3">
        <f>Comparison!AS25</f>
        <v>174.62746722417066</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3.4349115394182915E-2</v>
      </c>
      <c r="C427" s="3">
        <f t="shared" si="434"/>
        <v>199.73880943548681</v>
      </c>
      <c r="D427" s="3">
        <f t="shared" si="434"/>
        <v>7451.6669427751222</v>
      </c>
      <c r="E427" s="3">
        <f t="shared" si="434"/>
        <v>863708.87291565142</v>
      </c>
      <c r="F427" s="3">
        <f t="shared" si="434"/>
        <v>100000000</v>
      </c>
      <c r="G427" s="3">
        <f t="shared" si="434"/>
        <v>10803146087740.473</v>
      </c>
      <c r="H427" s="3">
        <f t="shared" si="434"/>
        <v>5.6062053997458422E+18</v>
      </c>
      <c r="I427" s="109">
        <f>Comparison!AL26</f>
        <v>100000000</v>
      </c>
      <c r="J427" s="3">
        <f>Comparison!AM26</f>
        <v>3914.6236771373719</v>
      </c>
      <c r="K427" s="3">
        <f>Comparison!AN26</f>
        <v>2569.6224142495339</v>
      </c>
      <c r="L427" s="3">
        <f>Comparison!AO26</f>
        <v>2132.4244867059297</v>
      </c>
      <c r="M427" s="3">
        <f>Comparison!AP26</f>
        <v>1753.9456058771568</v>
      </c>
      <c r="N427" s="3">
        <f>Comparison!AQ26</f>
        <v>1120.1049206759617</v>
      </c>
      <c r="O427" s="3">
        <f>Comparison!AR26</f>
        <v>201.32214117210117</v>
      </c>
      <c r="P427" s="3">
        <f>Comparison!AS26</f>
        <v>169.86894542912563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0.34349115394182916</v>
      </c>
      <c r="C428" s="3">
        <f t="shared" si="434"/>
        <v>1997.3880943548681</v>
      </c>
      <c r="D428" s="3">
        <f t="shared" si="434"/>
        <v>74516.669427751214</v>
      </c>
      <c r="E428" s="3">
        <f t="shared" si="434"/>
        <v>8637088.7291565146</v>
      </c>
      <c r="F428" s="3">
        <f t="shared" si="434"/>
        <v>1000000000</v>
      </c>
      <c r="G428" s="3">
        <f t="shared" si="434"/>
        <v>108031460877404.73</v>
      </c>
      <c r="H428" s="3">
        <f t="shared" si="434"/>
        <v>5.6062053997458416E+19</v>
      </c>
      <c r="I428" s="109">
        <f>Comparison!AL27</f>
        <v>1000000000</v>
      </c>
      <c r="J428" s="3">
        <f>Comparison!AM27</f>
        <v>3439.215903424868</v>
      </c>
      <c r="K428" s="3">
        <f>Comparison!AN27</f>
        <v>2337.0503651981739</v>
      </c>
      <c r="L428" s="3">
        <f>Comparison!AO27</f>
        <v>1927.1689592855932</v>
      </c>
      <c r="M428" s="3">
        <f>Comparison!AP27</f>
        <v>1541.283272452644</v>
      </c>
      <c r="N428" s="3">
        <f>Comparison!AQ27</f>
        <v>849.29779427462438</v>
      </c>
      <c r="O428" s="3">
        <f>Comparison!AR27</f>
        <v>188.02569432355588</v>
      </c>
      <c r="P428" s="3">
        <f>Comparison!AS27</f>
        <v>166.84170745231376</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3.4349115394182919</v>
      </c>
      <c r="C429" s="3">
        <f t="shared" si="434"/>
        <v>19973.880943548684</v>
      </c>
      <c r="D429" s="3">
        <f t="shared" si="434"/>
        <v>745166.69427751226</v>
      </c>
      <c r="E429" s="3">
        <f t="shared" si="434"/>
        <v>86370887.29156515</v>
      </c>
      <c r="F429" s="3">
        <f t="shared" si="434"/>
        <v>10000000000</v>
      </c>
      <c r="G429" s="3">
        <f t="shared" si="434"/>
        <v>1080314608774047.4</v>
      </c>
      <c r="H429" s="3">
        <f t="shared" si="434"/>
        <v>5.6062053997458417E+20</v>
      </c>
      <c r="I429" s="109">
        <f>Comparison!AL28</f>
        <v>10000000000</v>
      </c>
      <c r="J429" s="3">
        <f>Comparison!AM28</f>
        <v>3078.9760704970804</v>
      </c>
      <c r="K429" s="3">
        <f>Comparison!AN28</f>
        <v>2151.250620328482</v>
      </c>
      <c r="L429" s="3">
        <f>Comparison!AO28</f>
        <v>1740.579877269425</v>
      </c>
      <c r="M429" s="3">
        <f>Comparison!AP28</f>
        <v>1325.7320252858156</v>
      </c>
      <c r="N429" s="3">
        <f>Comparison!AQ28</f>
        <v>602.02056954985051</v>
      </c>
      <c r="O429" s="3">
        <f>Comparison!AR28</f>
        <v>181.14617749166206</v>
      </c>
      <c r="P429" s="3">
        <f>Comparison!AS28</f>
        <v>166.12540478353452</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34.349115394182917</v>
      </c>
      <c r="C430" s="3">
        <f t="shared" si="434"/>
        <v>199738.80943548682</v>
      </c>
      <c r="D430" s="3">
        <f t="shared" si="434"/>
        <v>7451666.9427751219</v>
      </c>
      <c r="E430" s="3">
        <f t="shared" si="434"/>
        <v>863708872.91565144</v>
      </c>
      <c r="F430" s="3">
        <f t="shared" si="434"/>
        <v>100000000000</v>
      </c>
      <c r="G430" s="3">
        <f t="shared" si="434"/>
        <v>1.0803146087740474E+16</v>
      </c>
      <c r="H430" s="3">
        <f t="shared" si="434"/>
        <v>5.6062053997458416E+21</v>
      </c>
      <c r="I430" s="109">
        <f>Comparison!AL29</f>
        <v>100000000000</v>
      </c>
      <c r="J430" s="3">
        <f>Comparison!AM29</f>
        <v>2798.5736498484516</v>
      </c>
      <c r="K430" s="3">
        <f>Comparison!AN29</f>
        <v>1990.2744047049448</v>
      </c>
      <c r="L430" s="3">
        <f>Comparison!AO29</f>
        <v>1552.3921804639763</v>
      </c>
      <c r="M430" s="3">
        <f>Comparison!AP29</f>
        <v>1090.3481138846798</v>
      </c>
      <c r="N430" s="3">
        <f>Comparison!AQ29</f>
        <v>414.55153000594095</v>
      </c>
      <c r="O430" s="3">
        <f>Comparison!AR29</f>
        <v>171.73287142228415</v>
      </c>
      <c r="P430" s="3">
        <f>Comparison!AS29</f>
        <v>165.25800429032441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343.49115394182917</v>
      </c>
      <c r="C431" s="3">
        <f t="shared" si="434"/>
        <v>1997388.0943548682</v>
      </c>
      <c r="D431" s="3">
        <f t="shared" si="434"/>
        <v>74516669.427751213</v>
      </c>
      <c r="E431" s="3">
        <f t="shared" si="434"/>
        <v>8637088729.1565151</v>
      </c>
      <c r="F431" s="3">
        <f t="shared" si="434"/>
        <v>1000000000000</v>
      </c>
      <c r="G431" s="3">
        <f t="shared" si="434"/>
        <v>1.0803146087740474E+17</v>
      </c>
      <c r="H431" s="3">
        <f t="shared" si="434"/>
        <v>5.6062053997458418E+22</v>
      </c>
      <c r="I431" s="109">
        <f>Comparison!AL30</f>
        <v>1000000000000</v>
      </c>
      <c r="J431" s="3">
        <f>Comparison!AM30</f>
        <v>2590.4913778751102</v>
      </c>
      <c r="K431" s="3">
        <f>Comparison!AN30</f>
        <v>1828.3308494849296</v>
      </c>
      <c r="L431" s="3">
        <f>Comparison!AO30</f>
        <v>1355.3669215252155</v>
      </c>
      <c r="M431" s="3">
        <f>Comparison!AP30</f>
        <v>838.64271647474698</v>
      </c>
      <c r="N431" s="3">
        <f>Comparison!AQ30</f>
        <v>296.76424848335745</v>
      </c>
      <c r="O431" s="3">
        <f>Comparison!AR30</f>
        <v>164.88164851800227</v>
      </c>
      <c r="P431" s="3">
        <f>Comparison!AS30</f>
        <v>162.97529182821398</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3434.9115394182918</v>
      </c>
      <c r="C432" s="3">
        <f t="shared" si="434"/>
        <v>19973880.943548683</v>
      </c>
      <c r="D432" s="3">
        <f t="shared" si="434"/>
        <v>745166694.27751219</v>
      </c>
      <c r="E432" s="3">
        <f t="shared" si="434"/>
        <v>86370887291.56514</v>
      </c>
      <c r="F432" s="3">
        <f t="shared" si="434"/>
        <v>10000000000000</v>
      </c>
      <c r="G432" s="3">
        <f t="shared" si="434"/>
        <v>1.0803146087740474E+18</v>
      </c>
      <c r="H432" s="3">
        <f t="shared" si="434"/>
        <v>5.6062053997458415E+23</v>
      </c>
      <c r="I432" s="109">
        <f>Comparison!AL31</f>
        <v>10000000000000</v>
      </c>
      <c r="J432" s="3">
        <f>Comparison!AM31</f>
        <v>2428.2171958860131</v>
      </c>
      <c r="K432" s="3">
        <f>Comparison!AN31</f>
        <v>1665.1765081389453</v>
      </c>
      <c r="L432" s="3">
        <f>Comparison!AO31</f>
        <v>1134.9160288600715</v>
      </c>
      <c r="M432" s="3">
        <f>Comparison!AP31</f>
        <v>600.54666630574377</v>
      </c>
      <c r="N432" s="3">
        <f>Comparison!AQ31</f>
        <v>236.5039430342818</v>
      </c>
      <c r="O432" s="3">
        <f>Comparison!AR31</f>
        <v>164.50146393142782</v>
      </c>
      <c r="P432" s="3">
        <f>Comparison!AS31</f>
        <v>162.91152498499585</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34349.115394182918</v>
      </c>
      <c r="C433" s="3">
        <f t="shared" si="434"/>
        <v>199738809.43548682</v>
      </c>
      <c r="D433" s="3">
        <f t="shared" si="434"/>
        <v>7451666942.7751217</v>
      </c>
      <c r="E433" s="3">
        <f t="shared" si="434"/>
        <v>863708872915.65149</v>
      </c>
      <c r="F433" s="3">
        <f t="shared" si="434"/>
        <v>100000000000000</v>
      </c>
      <c r="G433" s="3">
        <f t="shared" si="434"/>
        <v>1.0803146087740473E+19</v>
      </c>
      <c r="H433" s="3">
        <f t="shared" si="434"/>
        <v>5.6062053997458415E+24</v>
      </c>
      <c r="I433" s="109">
        <f>Comparison!AL32</f>
        <v>100000000000000</v>
      </c>
      <c r="J433" s="3">
        <f>Comparison!AM32</f>
        <v>2284.9023004500814</v>
      </c>
      <c r="K433" s="3">
        <f>Comparison!AN32</f>
        <v>1489.3314845424752</v>
      </c>
      <c r="L433" s="3">
        <f>Comparison!AO32</f>
        <v>892.49692017162795</v>
      </c>
      <c r="M433" s="3">
        <f>Comparison!AP32</f>
        <v>415.97655166325364</v>
      </c>
      <c r="N433" s="3">
        <f>Comparison!AQ32</f>
        <v>206.64782998877558</v>
      </c>
      <c r="O433" s="3">
        <f>Comparison!AR32</f>
        <v>163.00727748318997</v>
      </c>
      <c r="P433" s="3">
        <f>Comparison!AS32</f>
        <v>161.92883558935978</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343491.15394182916</v>
      </c>
      <c r="C434" s="3">
        <f t="shared" si="434"/>
        <v>1997388094.3548682</v>
      </c>
      <c r="D434" s="3">
        <f t="shared" si="434"/>
        <v>74516669427.751221</v>
      </c>
      <c r="E434" s="3">
        <f t="shared" si="434"/>
        <v>8637088729156.5146</v>
      </c>
      <c r="F434" s="3">
        <f t="shared" si="434"/>
        <v>1000000000000000</v>
      </c>
      <c r="G434" s="3">
        <f t="shared" si="434"/>
        <v>1.0803146087740473E+20</v>
      </c>
      <c r="H434" s="3">
        <f t="shared" si="434"/>
        <v>5.6062053997458417E+25</v>
      </c>
      <c r="I434" s="109">
        <f>Comparison!AL33</f>
        <v>1000000000000000</v>
      </c>
      <c r="J434" s="3">
        <f>Comparison!AM33</f>
        <v>2162.351794570352</v>
      </c>
      <c r="K434" s="3">
        <f>Comparison!AN33</f>
        <v>1297.0734642842888</v>
      </c>
      <c r="L434" s="3">
        <f>Comparison!AO33</f>
        <v>651.2901745739025</v>
      </c>
      <c r="M434" s="3">
        <f>Comparison!AP33</f>
        <v>297.69240550814368</v>
      </c>
      <c r="N434" s="3">
        <f>Comparison!AQ33</f>
        <v>191.80670583863778</v>
      </c>
      <c r="O434" s="3">
        <f>Comparison!AR33</f>
        <v>162.92272722143832</v>
      </c>
      <c r="P434" s="3">
        <f>Comparison!AS33</f>
        <v>161.56401350859798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-21.791859757314405</v>
      </c>
      <c r="M1" s="54">
        <v>1</v>
      </c>
      <c r="N1" s="56">
        <f>INDEX($H$217:$P$217,1,Q1)</f>
        <v>0.174806652702578</v>
      </c>
      <c r="O1" s="11"/>
      <c r="P1" s="55">
        <v>1</v>
      </c>
      <c r="Q1" s="11">
        <v>2</v>
      </c>
    </row>
    <row r="2" spans="1:17" x14ac:dyDescent="0.25">
      <c r="A2" s="11">
        <f>'Mastercurve bestimmen'!M119</f>
        <v>0</v>
      </c>
      <c r="B2" s="11">
        <f>'Mastercurve bestimmen'!N119</f>
        <v>-13.12367018372645</v>
      </c>
      <c r="M2" s="54">
        <v>2</v>
      </c>
      <c r="N2" s="56">
        <f t="shared" ref="N2:N9" si="0">INDEX($H$217:$P$217,1,Q2)</f>
        <v>1.032307419209947E-3</v>
      </c>
      <c r="O2" s="11"/>
      <c r="P2" s="55">
        <v>2</v>
      </c>
      <c r="Q2" s="11">
        <f>Q1+1</f>
        <v>3</v>
      </c>
    </row>
    <row r="3" spans="1:17" x14ac:dyDescent="0.25">
      <c r="A3" s="11">
        <f>'Mastercurve bestimmen'!M120</f>
        <v>25</v>
      </c>
      <c r="B3" s="11">
        <f>'Mastercurve bestimmen'!N120</f>
        <v>-9.5044877068991465</v>
      </c>
      <c r="M3" s="54">
        <v>3</v>
      </c>
      <c r="N3" s="56">
        <f t="shared" si="0"/>
        <v>2.7959540856864365E-5</v>
      </c>
      <c r="O3" s="11"/>
      <c r="P3" s="55">
        <v>3</v>
      </c>
      <c r="Q3" s="11">
        <f t="shared" ref="Q3:Q8" si="1">Q2+1</f>
        <v>4</v>
      </c>
    </row>
    <row r="4" spans="1:17" x14ac:dyDescent="0.25">
      <c r="A4" s="11">
        <f>'Mastercurve bestimmen'!M121</f>
        <v>50</v>
      </c>
      <c r="B4" s="11">
        <f>'Mastercurve bestimmen'!N121</f>
        <v>-4.7516897055913923</v>
      </c>
      <c r="M4" s="54">
        <v>4</v>
      </c>
      <c r="N4" s="56">
        <f t="shared" si="0"/>
        <v>2.9879470387768583E-8</v>
      </c>
      <c r="O4" s="11"/>
      <c r="P4" s="55">
        <v>4</v>
      </c>
      <c r="Q4" s="11">
        <f t="shared" si="1"/>
        <v>5</v>
      </c>
    </row>
    <row r="5" spans="1:17" x14ac:dyDescent="0.25">
      <c r="A5" s="11">
        <f>'Mastercurve bestimmen'!M122</f>
        <v>80</v>
      </c>
      <c r="B5" s="11">
        <f>'Mastercurve bestimmen'!N122</f>
        <v>0</v>
      </c>
      <c r="M5" s="54">
        <v>5</v>
      </c>
      <c r="N5" s="56">
        <f t="shared" si="0"/>
        <v>-5.1037058145443865E-9</v>
      </c>
      <c r="O5" s="11"/>
      <c r="P5" s="55">
        <v>5</v>
      </c>
      <c r="Q5" s="11">
        <f t="shared" si="1"/>
        <v>6</v>
      </c>
    </row>
    <row r="6" spans="1:17" x14ac:dyDescent="0.25">
      <c r="A6" s="11">
        <f>'Mastercurve bestimmen'!M123</f>
        <v>125</v>
      </c>
      <c r="B6" s="11">
        <f>'Mastercurve bestimmen'!N123</f>
        <v>11.590177768105876</v>
      </c>
      <c r="M6" s="54">
        <v>6</v>
      </c>
      <c r="N6" s="56">
        <f t="shared" si="0"/>
        <v>-2.2993208497839854E-11</v>
      </c>
      <c r="O6" s="11"/>
      <c r="P6" s="55">
        <v>6</v>
      </c>
      <c r="Q6" s="11">
        <f t="shared" si="1"/>
        <v>7</v>
      </c>
    </row>
    <row r="7" spans="1:17" x14ac:dyDescent="0.25">
      <c r="A7" s="11">
        <f>'Mastercurve bestimmen'!M124</f>
        <v>160</v>
      </c>
      <c r="B7" s="11">
        <f>'Mastercurve bestimmen'!N124</f>
        <v>24.749725021281535</v>
      </c>
      <c r="M7" s="54">
        <v>7</v>
      </c>
      <c r="N7" s="56">
        <f t="shared" si="0"/>
        <v>3.675176572019269E-13</v>
      </c>
      <c r="O7" s="11"/>
      <c r="P7" s="55">
        <v>7</v>
      </c>
      <c r="Q7" s="11">
        <f t="shared" si="1"/>
        <v>8</v>
      </c>
    </row>
    <row r="8" spans="1:17" x14ac:dyDescent="0.25">
      <c r="A8" s="11"/>
      <c r="B8" s="11"/>
      <c r="M8" s="54">
        <v>8</v>
      </c>
      <c r="N8" s="56">
        <f t="shared" si="0"/>
        <v>2.3252703794060338E-15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-21.791859757314405</v>
      </c>
      <c r="E15" s="11">
        <f>A15-'Mastercurve bestimmen'!$B$2</f>
        <v>-120</v>
      </c>
      <c r="F15" s="11">
        <f>B15</f>
        <v>-21.791859757314405</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-21.593386487052296</v>
      </c>
      <c r="E16" s="11">
        <f>A16-'Mastercurve bestimmen'!$B$2</f>
        <v>-119</v>
      </c>
      <c r="F16" s="11">
        <f t="shared" ref="F16:F79" si="4">B16</f>
        <v>-21.593386487052296</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-21.394844806024423</v>
      </c>
      <c r="E17" s="11">
        <f>A17-'Mastercurve bestimmen'!$B$2</f>
        <v>-118</v>
      </c>
      <c r="F17" s="11">
        <f t="shared" si="4"/>
        <v>-21.394844806024423</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-21.196166303465006</v>
      </c>
      <c r="E18" s="11">
        <f>A18-'Mastercurve bestimmen'!$B$2</f>
        <v>-117</v>
      </c>
      <c r="F18" s="11">
        <f t="shared" si="4"/>
        <v>-21.196166303465006</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-20.997282568608284</v>
      </c>
      <c r="E19" s="11">
        <f>A19-'Mastercurve bestimmen'!$B$2</f>
        <v>-116</v>
      </c>
      <c r="F19" s="11">
        <f t="shared" si="4"/>
        <v>-20.997282568608284</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-20.798125190688484</v>
      </c>
      <c r="E20" s="11">
        <f>A20-'Mastercurve bestimmen'!$B$2</f>
        <v>-115</v>
      </c>
      <c r="F20" s="11">
        <f t="shared" si="4"/>
        <v>-20.798125190688484</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-20.598625758939832</v>
      </c>
      <c r="E21" s="11">
        <f>A21-'Mastercurve bestimmen'!$B$2</f>
        <v>-114</v>
      </c>
      <c r="F21" s="11">
        <f t="shared" si="4"/>
        <v>-20.598625758939832</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-20.398715862596568</v>
      </c>
      <c r="E22" s="11">
        <f>A22-'Mastercurve bestimmen'!$B$2</f>
        <v>-113</v>
      </c>
      <c r="F22" s="11">
        <f t="shared" si="4"/>
        <v>-20.398715862596568</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-20.19832709089291</v>
      </c>
      <c r="E23" s="11">
        <f>A23-'Mastercurve bestimmen'!$B$2</f>
        <v>-112</v>
      </c>
      <c r="F23" s="11">
        <f t="shared" si="4"/>
        <v>-20.19832709089291</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-19.997391033063099</v>
      </c>
      <c r="E24" s="11">
        <f>A24-'Mastercurve bestimmen'!$B$2</f>
        <v>-111</v>
      </c>
      <c r="F24" s="11">
        <f t="shared" si="4"/>
        <v>-19.997391033063099</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-19.795839278341361</v>
      </c>
      <c r="E25" s="11">
        <f>A25-'Mastercurve bestimmen'!$B$2</f>
        <v>-110</v>
      </c>
      <c r="F25" s="11">
        <f t="shared" si="4"/>
        <v>-19.795839278341361</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-19.59360341596193</v>
      </c>
      <c r="E26" s="11">
        <f>A26-'Mastercurve bestimmen'!$B$2</f>
        <v>-109</v>
      </c>
      <c r="F26" s="11">
        <f t="shared" si="4"/>
        <v>-19.59360341596193</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-19.39061503515903</v>
      </c>
      <c r="E27" s="11">
        <f>A27-'Mastercurve bestimmen'!$B$2</f>
        <v>-108</v>
      </c>
      <c r="F27" s="11">
        <f t="shared" si="4"/>
        <v>-19.39061503515903</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-19.186805725166899</v>
      </c>
      <c r="E28" s="11">
        <f>A28-'Mastercurve bestimmen'!$B$2</f>
        <v>-107</v>
      </c>
      <c r="F28" s="11">
        <f t="shared" si="4"/>
        <v>-19.186805725166899</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-18.982107075219762</v>
      </c>
      <c r="E29" s="11">
        <f>A29-'Mastercurve bestimmen'!$B$2</f>
        <v>-106</v>
      </c>
      <c r="F29" s="11">
        <f t="shared" si="4"/>
        <v>-18.982107075219762</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-18.77645067455185</v>
      </c>
      <c r="E30" s="11">
        <f>A30-'Mastercurve bestimmen'!$B$2</f>
        <v>-105</v>
      </c>
      <c r="F30" s="11">
        <f t="shared" si="4"/>
        <v>-18.77645067455185</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-18.569768112397394</v>
      </c>
      <c r="E31" s="11">
        <f>A31-'Mastercurve bestimmen'!$B$2</f>
        <v>-104</v>
      </c>
      <c r="F31" s="11">
        <f t="shared" si="4"/>
        <v>-18.569768112397394</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-18.361990977990626</v>
      </c>
      <c r="E32" s="11">
        <f>A32-'Mastercurve bestimmen'!$B$2</f>
        <v>-103</v>
      </c>
      <c r="F32" s="11">
        <f t="shared" si="4"/>
        <v>-18.361990977990626</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-18.15305086056577</v>
      </c>
      <c r="E33" s="11">
        <f>A33-'Mastercurve bestimmen'!$B$2</f>
        <v>-102</v>
      </c>
      <c r="F33" s="11">
        <f t="shared" si="4"/>
        <v>-18.15305086056577</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-17.942879349357067</v>
      </c>
      <c r="E34" s="11">
        <f>A34-'Mastercurve bestimmen'!$B$2</f>
        <v>-101</v>
      </c>
      <c r="F34" s="11">
        <f t="shared" si="4"/>
        <v>-17.942879349357067</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-17.731408033598743</v>
      </c>
      <c r="E35" s="11">
        <f>A35-'Mastercurve bestimmen'!$B$2</f>
        <v>-100</v>
      </c>
      <c r="F35" s="11">
        <f t="shared" si="4"/>
        <v>-17.731408033598743</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-17.518568502525024</v>
      </c>
      <c r="E36" s="11">
        <f>A36-'Mastercurve bestimmen'!$B$2</f>
        <v>-99</v>
      </c>
      <c r="F36" s="11">
        <f t="shared" si="4"/>
        <v>-17.518568502525024</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-17.304292345370147</v>
      </c>
      <c r="E37" s="11">
        <f>A37-'Mastercurve bestimmen'!$B$2</f>
        <v>-98</v>
      </c>
      <c r="F37" s="11">
        <f t="shared" si="4"/>
        <v>-17.304292345370147</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-17.088511151368337</v>
      </c>
      <c r="E38" s="11">
        <f>A38-'Mastercurve bestimmen'!$B$2</f>
        <v>-97</v>
      </c>
      <c r="F38" s="11">
        <f t="shared" si="4"/>
        <v>-17.088511151368337</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-16.871156509753824</v>
      </c>
      <c r="E39" s="11">
        <f>A39-'Mastercurve bestimmen'!$B$2</f>
        <v>-96</v>
      </c>
      <c r="F39" s="11">
        <f t="shared" si="4"/>
        <v>-16.871156509753824</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-16.652160009760848</v>
      </c>
      <c r="E40" s="11">
        <f>A40-'Mastercurve bestimmen'!$B$2</f>
        <v>-95</v>
      </c>
      <c r="F40" s="11">
        <f t="shared" si="4"/>
        <v>-16.652160009760848</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-16.431453240623629</v>
      </c>
      <c r="E41" s="11">
        <f>A41-'Mastercurve bestimmen'!$B$2</f>
        <v>-94</v>
      </c>
      <c r="F41" s="11">
        <f t="shared" si="4"/>
        <v>-16.431453240623629</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-16.208967791576399</v>
      </c>
      <c r="E42" s="11">
        <f>A42-'Mastercurve bestimmen'!$B$2</f>
        <v>-93</v>
      </c>
      <c r="F42" s="11">
        <f t="shared" si="4"/>
        <v>-16.208967791576399</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-15.984635251853394</v>
      </c>
      <c r="E43" s="11">
        <f>A43-'Mastercurve bestimmen'!$B$2</f>
        <v>-92</v>
      </c>
      <c r="F43" s="11">
        <f t="shared" si="4"/>
        <v>-15.984635251853394</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-15.758387210688838</v>
      </c>
      <c r="E44" s="11">
        <f>A44-'Mastercurve bestimmen'!$B$2</f>
        <v>-91</v>
      </c>
      <c r="F44" s="11">
        <f t="shared" si="4"/>
        <v>-15.758387210688838</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-15.530155257316965</v>
      </c>
      <c r="E45" s="11">
        <f>A45-'Mastercurve bestimmen'!$B$2</f>
        <v>-90</v>
      </c>
      <c r="F45" s="11">
        <f t="shared" si="4"/>
        <v>-15.530155257316965</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-15.299870980972004</v>
      </c>
      <c r="E46" s="11">
        <f>A46-'Mastercurve bestimmen'!$B$2</f>
        <v>-89</v>
      </c>
      <c r="F46" s="11">
        <f t="shared" si="4"/>
        <v>-15.299870980972004</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-15.067465970888188</v>
      </c>
      <c r="E47" s="11">
        <f>A47-'Mastercurve bestimmen'!$B$2</f>
        <v>-88</v>
      </c>
      <c r="F47" s="11">
        <f t="shared" si="4"/>
        <v>-15.067465970888188</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-14.832871816299743</v>
      </c>
      <c r="E48" s="11">
        <f>A48-'Mastercurve bestimmen'!$B$2</f>
        <v>-87</v>
      </c>
      <c r="F48" s="11">
        <f t="shared" si="4"/>
        <v>-14.832871816299743</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-14.596020106440905</v>
      </c>
      <c r="E49" s="11">
        <f>A49-'Mastercurve bestimmen'!$B$2</f>
        <v>-86</v>
      </c>
      <c r="F49" s="11">
        <f t="shared" si="4"/>
        <v>-14.596020106440905</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-14.3568424305459</v>
      </c>
      <c r="E50" s="11">
        <f>A50-'Mastercurve bestimmen'!$B$2</f>
        <v>-85</v>
      </c>
      <c r="F50" s="11">
        <f t="shared" si="4"/>
        <v>-14.3568424305459</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-14.115270377848958</v>
      </c>
      <c r="E51" s="11">
        <f>A51-'Mastercurve bestimmen'!$B$2</f>
        <v>-84</v>
      </c>
      <c r="F51" s="11">
        <f t="shared" si="4"/>
        <v>-14.115270377848958</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-13.871235537584312</v>
      </c>
      <c r="E52" s="11">
        <f>A52-'Mastercurve bestimmen'!$B$2</f>
        <v>-83</v>
      </c>
      <c r="F52" s="11">
        <f t="shared" si="4"/>
        <v>-13.871235537584312</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-13.624669498986192</v>
      </c>
      <c r="E53" s="11">
        <f>A53-'Mastercurve bestimmen'!$B$2</f>
        <v>-82</v>
      </c>
      <c r="F53" s="11">
        <f t="shared" si="4"/>
        <v>-13.624669498986192</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-13.375503851288828</v>
      </c>
      <c r="E54" s="11">
        <f>A54-'Mastercurve bestimmen'!$B$2</f>
        <v>-81</v>
      </c>
      <c r="F54" s="11">
        <f t="shared" si="4"/>
        <v>-13.375503851288828</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-13.123670183726452</v>
      </c>
      <c r="E55" s="11">
        <f>A55-'Mastercurve bestimmen'!$B$2</f>
        <v>-80</v>
      </c>
      <c r="F55" s="11">
        <f t="shared" si="4"/>
        <v>-13.123670183726452</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-13.012333549728124</v>
      </c>
      <c r="E56" s="11">
        <f>A56-'Mastercurve bestimmen'!$B$2</f>
        <v>-79</v>
      </c>
      <c r="F56" s="11">
        <f t="shared" si="4"/>
        <v>-13.012333549728124</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-12.898254778392232</v>
      </c>
      <c r="E57" s="11">
        <f>A57-'Mastercurve bestimmen'!$B$2</f>
        <v>-78</v>
      </c>
      <c r="F57" s="11">
        <f t="shared" si="4"/>
        <v>-12.898254778392232</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-12.781428163011991</v>
      </c>
      <c r="E58" s="11">
        <f>A58-'Mastercurve bestimmen'!$B$2</f>
        <v>-77</v>
      </c>
      <c r="F58" s="11">
        <f t="shared" si="4"/>
        <v>-12.781428163011991</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-12.661847996880624</v>
      </c>
      <c r="E59" s="11">
        <f>A59-'Mastercurve bestimmen'!$B$2</f>
        <v>-76</v>
      </c>
      <c r="F59" s="11">
        <f t="shared" si="4"/>
        <v>-12.661847996880624</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-12.539508573291341</v>
      </c>
      <c r="E60" s="11">
        <f>A60-'Mastercurve bestimmen'!$B$2</f>
        <v>-75</v>
      </c>
      <c r="F60" s="11">
        <f t="shared" si="4"/>
        <v>-12.539508573291341</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-12.414404185537364</v>
      </c>
      <c r="E61" s="11">
        <f>A61-'Mastercurve bestimmen'!$B$2</f>
        <v>-74</v>
      </c>
      <c r="F61" s="11">
        <f t="shared" si="4"/>
        <v>-12.414404185537364</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-12.286529126911908</v>
      </c>
      <c r="E62" s="11">
        <f>A62-'Mastercurve bestimmen'!$B$2</f>
        <v>-73</v>
      </c>
      <c r="F62" s="11">
        <f t="shared" si="4"/>
        <v>-12.286529126911908</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-12.155877690708195</v>
      </c>
      <c r="E63" s="11">
        <f>A63-'Mastercurve bestimmen'!$B$2</f>
        <v>-72</v>
      </c>
      <c r="F63" s="11">
        <f t="shared" si="4"/>
        <v>-12.155877690708195</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-12.022444170219437</v>
      </c>
      <c r="E64" s="11">
        <f>A64-'Mastercurve bestimmen'!$B$2</f>
        <v>-71</v>
      </c>
      <c r="F64" s="11">
        <f t="shared" si="4"/>
        <v>-12.022444170219437</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-11.886222858738854</v>
      </c>
      <c r="E65" s="11">
        <f>A65-'Mastercurve bestimmen'!$B$2</f>
        <v>-70</v>
      </c>
      <c r="F65" s="11">
        <f t="shared" si="4"/>
        <v>-11.886222858738854</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-11.747208049559665</v>
      </c>
      <c r="E66" s="11">
        <f>A66-'Mastercurve bestimmen'!$B$2</f>
        <v>-69</v>
      </c>
      <c r="F66" s="11">
        <f t="shared" si="4"/>
        <v>-11.747208049559665</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-11.605394035975088</v>
      </c>
      <c r="E67" s="11">
        <f>A67-'Mastercurve bestimmen'!$B$2</f>
        <v>-68</v>
      </c>
      <c r="F67" s="11">
        <f t="shared" si="4"/>
        <v>-11.605394035975088</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-11.460775111278338</v>
      </c>
      <c r="E68" s="11">
        <f>A68-'Mastercurve bestimmen'!$B$2</f>
        <v>-67</v>
      </c>
      <c r="F68" s="11">
        <f t="shared" si="4"/>
        <v>-11.460775111278338</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-11.313345568762633</v>
      </c>
      <c r="E69" s="11">
        <f>A69-'Mastercurve bestimmen'!$B$2</f>
        <v>-66</v>
      </c>
      <c r="F69" s="11">
        <f t="shared" si="4"/>
        <v>-11.313345568762633</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-11.163099701721192</v>
      </c>
      <c r="E70" s="11">
        <f>A70-'Mastercurve bestimmen'!$B$2</f>
        <v>-65</v>
      </c>
      <c r="F70" s="11">
        <f t="shared" si="4"/>
        <v>-11.163099701721192</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-11.010031803447234</v>
      </c>
      <c r="E71" s="11">
        <f>A71-'Mastercurve bestimmen'!$B$2</f>
        <v>-64</v>
      </c>
      <c r="F71" s="11">
        <f t="shared" si="4"/>
        <v>-11.010031803447234</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-10.854136167233971</v>
      </c>
      <c r="E72" s="11">
        <f>A72-'Mastercurve bestimmen'!$B$2</f>
        <v>-63</v>
      </c>
      <c r="F72" s="11">
        <f t="shared" si="4"/>
        <v>-10.854136167233971</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-10.695407086374626</v>
      </c>
      <c r="E73" s="11">
        <f>A73-'Mastercurve bestimmen'!$B$2</f>
        <v>-62</v>
      </c>
      <c r="F73" s="11">
        <f t="shared" si="4"/>
        <v>-10.695407086374626</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-10.533838854162415</v>
      </c>
      <c r="E74" s="11">
        <f>A74-'Mastercurve bestimmen'!$B$2</f>
        <v>-61</v>
      </c>
      <c r="F74" s="11">
        <f t="shared" si="4"/>
        <v>-10.533838854162415</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-10.369425763890556</v>
      </c>
      <c r="E75" s="11">
        <f>A75-'Mastercurve bestimmen'!$B$2</f>
        <v>-60</v>
      </c>
      <c r="F75" s="11">
        <f t="shared" si="4"/>
        <v>-10.369425763890556</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-10.202162108852267</v>
      </c>
      <c r="E76" s="11">
        <f>A76-'Mastercurve bestimmen'!$B$2</f>
        <v>-59</v>
      </c>
      <c r="F76" s="11">
        <f t="shared" si="4"/>
        <v>-10.202162108852267</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-10.032042182340762</v>
      </c>
      <c r="E77" s="11">
        <f>A77-'Mastercurve bestimmen'!$B$2</f>
        <v>-58</v>
      </c>
      <c r="F77" s="11">
        <f t="shared" si="4"/>
        <v>-10.032042182340762</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-9.8590602776492613</v>
      </c>
      <c r="E78" s="11">
        <f>A78-'Mastercurve bestimmen'!$B$2</f>
        <v>-57</v>
      </c>
      <c r="F78" s="11">
        <f t="shared" si="4"/>
        <v>-9.8590602776492613</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-9.6832106880709858</v>
      </c>
      <c r="E79" s="11">
        <f>A79-'Mastercurve bestimmen'!$B$2</f>
        <v>-56</v>
      </c>
      <c r="F79" s="11">
        <f t="shared" si="4"/>
        <v>-9.6832106880709858</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-9.5044877068991482</v>
      </c>
      <c r="E80" s="11">
        <f>A80-'Mastercurve bestimmen'!$B$2</f>
        <v>-55</v>
      </c>
      <c r="F80" s="11">
        <f t="shared" ref="F80:F143" si="10">B80</f>
        <v>-9.5044877068991482</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-9.3229282399654139</v>
      </c>
      <c r="E81" s="11">
        <f>A81-'Mastercurve bestimmen'!$B$2</f>
        <v>-54</v>
      </c>
      <c r="F81" s="11">
        <f t="shared" si="10"/>
        <v>-9.3229282399654139</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-9.138739643255235</v>
      </c>
      <c r="E82" s="11">
        <f>A82-'Mastercurve bestimmen'!$B$2</f>
        <v>-53</v>
      </c>
      <c r="F82" s="11">
        <f t="shared" si="10"/>
        <v>-9.138739643255235</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-8.952171885292513</v>
      </c>
      <c r="E83" s="11">
        <f>A83-'Mastercurve bestimmen'!$B$2</f>
        <v>-52</v>
      </c>
      <c r="F83" s="11">
        <f t="shared" si="10"/>
        <v>-8.952171885292513</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-8.7634749346011489</v>
      </c>
      <c r="E84" s="11">
        <f>A84-'Mastercurve bestimmen'!$B$2</f>
        <v>-51</v>
      </c>
      <c r="F84" s="11">
        <f t="shared" si="10"/>
        <v>-8.7634749346011489</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-8.572898759705037</v>
      </c>
      <c r="E85" s="11">
        <f>A85-'Mastercurve bestimmen'!$B$2</f>
        <v>-50</v>
      </c>
      <c r="F85" s="11">
        <f t="shared" si="10"/>
        <v>-8.572898759705037</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-8.3806933291280785</v>
      </c>
      <c r="E86" s="11">
        <f>A86-'Mastercurve bestimmen'!$B$2</f>
        <v>-49</v>
      </c>
      <c r="F86" s="11">
        <f t="shared" si="10"/>
        <v>-8.3806933291280785</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-8.1871086113941764</v>
      </c>
      <c r="E87" s="11">
        <f>A87-'Mastercurve bestimmen'!$B$2</f>
        <v>-48</v>
      </c>
      <c r="F87" s="11">
        <f t="shared" si="10"/>
        <v>-8.1871086113941764</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-7.9923945750272249</v>
      </c>
      <c r="E88" s="11">
        <f>A88-'Mastercurve bestimmen'!$B$2</f>
        <v>-47</v>
      </c>
      <c r="F88" s="11">
        <f t="shared" si="10"/>
        <v>-7.9923945750272249</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-7.7968011885511261</v>
      </c>
      <c r="E89" s="11">
        <f>A89-'Mastercurve bestimmen'!$B$2</f>
        <v>-46</v>
      </c>
      <c r="F89" s="11">
        <f t="shared" si="10"/>
        <v>-7.7968011885511261</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-7.6005784204897795</v>
      </c>
      <c r="E90" s="11">
        <f>A90-'Mastercurve bestimmen'!$B$2</f>
        <v>-45</v>
      </c>
      <c r="F90" s="11">
        <f t="shared" si="10"/>
        <v>-7.6005784204897795</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-7.4039762393670845</v>
      </c>
      <c r="E91" s="11">
        <f>A91-'Mastercurve bestimmen'!$B$2</f>
        <v>-44</v>
      </c>
      <c r="F91" s="11">
        <f t="shared" si="10"/>
        <v>-7.4039762393670845</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-7.2072446137069406</v>
      </c>
      <c r="E92" s="11">
        <f>A92-'Mastercurve bestimmen'!$B$2</f>
        <v>-43</v>
      </c>
      <c r="F92" s="11">
        <f t="shared" si="10"/>
        <v>-7.2072446137069406</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-7.0106335120332455</v>
      </c>
      <c r="E93" s="11">
        <f>A93-'Mastercurve bestimmen'!$B$2</f>
        <v>-42</v>
      </c>
      <c r="F93" s="11">
        <f t="shared" si="10"/>
        <v>-7.0106335120332455</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-6.8143929028698995</v>
      </c>
      <c r="E94" s="11">
        <f>A94-'Mastercurve bestimmen'!$B$2</f>
        <v>-41</v>
      </c>
      <c r="F94" s="11">
        <f t="shared" si="10"/>
        <v>-6.8143929028698995</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-6.6187727547408031</v>
      </c>
      <c r="E95" s="11">
        <f>A95-'Mastercurve bestimmen'!$B$2</f>
        <v>-40</v>
      </c>
      <c r="F95" s="11">
        <f t="shared" si="10"/>
        <v>-6.6187727547408031</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-6.4240230361698547</v>
      </c>
      <c r="E96" s="11">
        <f>A96-'Mastercurve bestimmen'!$B$2</f>
        <v>-39</v>
      </c>
      <c r="F96" s="11">
        <f t="shared" si="10"/>
        <v>-6.4240230361698547</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-6.2303937156809548</v>
      </c>
      <c r="E97" s="11">
        <f>A97-'Mastercurve bestimmen'!$B$2</f>
        <v>-38</v>
      </c>
      <c r="F97" s="11">
        <f t="shared" si="10"/>
        <v>-6.2303937156809548</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-6.038134761798001</v>
      </c>
      <c r="E98" s="11">
        <f>A98-'Mastercurve bestimmen'!$B$2</f>
        <v>-37</v>
      </c>
      <c r="F98" s="11">
        <f t="shared" si="10"/>
        <v>-6.038134761798001</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-5.8474961430448937</v>
      </c>
      <c r="E99" s="11">
        <f>A99-'Mastercurve bestimmen'!$B$2</f>
        <v>-36</v>
      </c>
      <c r="F99" s="11">
        <f t="shared" si="10"/>
        <v>-5.8474961430448937</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-5.6587278279455324</v>
      </c>
      <c r="E100" s="11">
        <f>A100-'Mastercurve bestimmen'!$B$2</f>
        <v>-35</v>
      </c>
      <c r="F100" s="11">
        <f t="shared" si="10"/>
        <v>-5.6587278279455324</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-5.4720797850238156</v>
      </c>
      <c r="E101" s="11">
        <f>A101-'Mastercurve bestimmen'!$B$2</f>
        <v>-34</v>
      </c>
      <c r="F101" s="11">
        <f t="shared" si="10"/>
        <v>-5.4720797850238156</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-5.2878019828036447</v>
      </c>
      <c r="E102" s="11">
        <f>A102-'Mastercurve bestimmen'!$B$2</f>
        <v>-33</v>
      </c>
      <c r="F102" s="11">
        <f t="shared" si="10"/>
        <v>-5.2878019828036447</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-5.1061443898089172</v>
      </c>
      <c r="E103" s="11">
        <f>A103-'Mastercurve bestimmen'!$B$2</f>
        <v>-32</v>
      </c>
      <c r="F103" s="11">
        <f t="shared" si="10"/>
        <v>-5.1061443898089172</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-4.9273569745635335</v>
      </c>
      <c r="E104" s="11">
        <f>A104-'Mastercurve bestimmen'!$B$2</f>
        <v>-31</v>
      </c>
      <c r="F104" s="11">
        <f t="shared" si="10"/>
        <v>-4.9273569745635335</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-4.7516897055913923</v>
      </c>
      <c r="E105" s="11">
        <f>A105-'Mastercurve bestimmen'!$B$2</f>
        <v>-30</v>
      </c>
      <c r="F105" s="11">
        <f t="shared" si="10"/>
        <v>-4.7516897055913923</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-4.5793120927670588</v>
      </c>
      <c r="E106" s="11">
        <f>A106-'Mastercurve bestimmen'!$B$2</f>
        <v>-29</v>
      </c>
      <c r="F106" s="11">
        <f t="shared" si="10"/>
        <v>-4.5793120927670588</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-4.4100718113677617</v>
      </c>
      <c r="E107" s="11">
        <f>A107-'Mastercurve bestimmen'!$B$2</f>
        <v>-28</v>
      </c>
      <c r="F107" s="11">
        <f t="shared" si="10"/>
        <v>-4.4100718113677617</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-4.2437360780213931</v>
      </c>
      <c r="E108" s="11">
        <f>A108-'Mastercurve bestimmen'!$B$2</f>
        <v>-27</v>
      </c>
      <c r="F108" s="11">
        <f t="shared" si="10"/>
        <v>-4.2437360780213931</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-4.0800721093558492</v>
      </c>
      <c r="E109" s="11">
        <f>A109-'Mastercurve bestimmen'!$B$2</f>
        <v>-26</v>
      </c>
      <c r="F109" s="11">
        <f t="shared" si="10"/>
        <v>-4.0800721093558492</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-3.9188471219990206</v>
      </c>
      <c r="E110" s="11">
        <f>A110-'Mastercurve bestimmen'!$B$2</f>
        <v>-25</v>
      </c>
      <c r="F110" s="11">
        <f t="shared" si="10"/>
        <v>-3.9188471219990206</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-3.7598283325788029</v>
      </c>
      <c r="E111" s="11">
        <f>A111-'Mastercurve bestimmen'!$B$2</f>
        <v>-24</v>
      </c>
      <c r="F111" s="11">
        <f t="shared" si="10"/>
        <v>-3.7598283325788029</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-3.6027829577230883</v>
      </c>
      <c r="E112" s="11">
        <f>A112-'Mastercurve bestimmen'!$B$2</f>
        <v>-23</v>
      </c>
      <c r="F112" s="11">
        <f t="shared" si="10"/>
        <v>-3.6027829577230883</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-3.447478214059772</v>
      </c>
      <c r="E113" s="11">
        <f>A113-'Mastercurve bestimmen'!$B$2</f>
        <v>-22</v>
      </c>
      <c r="F113" s="11">
        <f t="shared" si="10"/>
        <v>-3.447478214059772</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-3.2936813182167461</v>
      </c>
      <c r="E114" s="11">
        <f>A114-'Mastercurve bestimmen'!$B$2</f>
        <v>-21</v>
      </c>
      <c r="F114" s="11">
        <f t="shared" si="10"/>
        <v>-3.2936813182167461</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-3.1411594868219055</v>
      </c>
      <c r="E115" s="11">
        <f>A115-'Mastercurve bestimmen'!$B$2</f>
        <v>-20</v>
      </c>
      <c r="F115" s="11">
        <f t="shared" si="10"/>
        <v>-3.1411594868219055</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-2.9896799365031428</v>
      </c>
      <c r="E116" s="11">
        <f>A116-'Mastercurve bestimmen'!$B$2</f>
        <v>-19</v>
      </c>
      <c r="F116" s="11">
        <f t="shared" si="10"/>
        <v>-2.9896799365031428</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-2.8390098838883517</v>
      </c>
      <c r="E117" s="11">
        <f>A117-'Mastercurve bestimmen'!$B$2</f>
        <v>-18</v>
      </c>
      <c r="F117" s="11">
        <f t="shared" si="10"/>
        <v>-2.8390098838883517</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-2.6889165456054265</v>
      </c>
      <c r="E118" s="11">
        <f>A118-'Mastercurve bestimmen'!$B$2</f>
        <v>-17</v>
      </c>
      <c r="F118" s="11">
        <f t="shared" si="10"/>
        <v>-2.6889165456054265</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-2.5391671382822603</v>
      </c>
      <c r="E119" s="11">
        <f>A119-'Mastercurve bestimmen'!$B$2</f>
        <v>-16</v>
      </c>
      <c r="F119" s="11">
        <f t="shared" si="10"/>
        <v>-2.5391671382822603</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-2.3895288785467463</v>
      </c>
      <c r="E120" s="11">
        <f>A120-'Mastercurve bestimmen'!$B$2</f>
        <v>-15</v>
      </c>
      <c r="F120" s="11">
        <f t="shared" si="10"/>
        <v>-2.3895288785467463</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-2.2397689830267788</v>
      </c>
      <c r="E121" s="11">
        <f>A121-'Mastercurve bestimmen'!$B$2</f>
        <v>-14</v>
      </c>
      <c r="F121" s="11">
        <f t="shared" si="10"/>
        <v>-2.2397689830267788</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-2.089654668350251</v>
      </c>
      <c r="E122" s="11">
        <f>A122-'Mastercurve bestimmen'!$B$2</f>
        <v>-13</v>
      </c>
      <c r="F122" s="11">
        <f t="shared" si="10"/>
        <v>-2.089654668350251</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-1.9389531511450566</v>
      </c>
      <c r="E123" s="11">
        <f>A123-'Mastercurve bestimmen'!$B$2</f>
        <v>-12</v>
      </c>
      <c r="F123" s="11">
        <f t="shared" si="10"/>
        <v>-1.9389531511450566</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-1.7874316480390893</v>
      </c>
      <c r="E124" s="11">
        <f>A124-'Mastercurve bestimmen'!$B$2</f>
        <v>-11</v>
      </c>
      <c r="F124" s="11">
        <f t="shared" si="10"/>
        <v>-1.7874316480390893</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-1.6348573756602425</v>
      </c>
      <c r="E125" s="11">
        <f>A125-'Mastercurve bestimmen'!$B$2</f>
        <v>-10</v>
      </c>
      <c r="F125" s="11">
        <f t="shared" si="10"/>
        <v>-1.6348573756602425</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-1.4809975506364099</v>
      </c>
      <c r="E126" s="11">
        <f>A126-'Mastercurve bestimmen'!$B$2</f>
        <v>-9</v>
      </c>
      <c r="F126" s="11">
        <f t="shared" si="10"/>
        <v>-1.4809975506364099</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-1.3256193895954853</v>
      </c>
      <c r="E127" s="11">
        <f>A127-'Mastercurve bestimmen'!$B$2</f>
        <v>-8</v>
      </c>
      <c r="F127" s="11">
        <f t="shared" si="10"/>
        <v>-1.3256193895954853</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-1.1684901091653619</v>
      </c>
      <c r="E128" s="11">
        <f>A128-'Mastercurve bestimmen'!$B$2</f>
        <v>-7</v>
      </c>
      <c r="F128" s="11">
        <f t="shared" si="10"/>
        <v>-1.1684901091653619</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-1.0093769259739336</v>
      </c>
      <c r="E129" s="11">
        <f>A129-'Mastercurve bestimmen'!$B$2</f>
        <v>-6</v>
      </c>
      <c r="F129" s="11">
        <f t="shared" si="10"/>
        <v>-1.0093769259739336</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-0.84804705664909386</v>
      </c>
      <c r="E130" s="11">
        <f>A130-'Mastercurve bestimmen'!$B$2</f>
        <v>-5</v>
      </c>
      <c r="F130" s="11">
        <f t="shared" si="10"/>
        <v>-0.84804705664909386</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-0.68426771781873619</v>
      </c>
      <c r="E131" s="11">
        <f>A131-'Mastercurve bestimmen'!$B$2</f>
        <v>-4</v>
      </c>
      <c r="F131" s="11">
        <f t="shared" si="10"/>
        <v>-0.68426771781873619</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-0.51780612611075449</v>
      </c>
      <c r="E132" s="11">
        <f>A132-'Mastercurve bestimmen'!$B$2</f>
        <v>-3</v>
      </c>
      <c r="F132" s="11">
        <f t="shared" si="10"/>
        <v>-0.51780612611075449</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-0.34842949815304219</v>
      </c>
      <c r="E133" s="11">
        <f>A133-'Mastercurve bestimmen'!$B$2</f>
        <v>-2</v>
      </c>
      <c r="F133" s="11">
        <f t="shared" si="10"/>
        <v>-0.34842949815304219</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-0.17590505057349282</v>
      </c>
      <c r="E134" s="11">
        <f>A134-'Mastercurve bestimmen'!$B$2</f>
        <v>-1</v>
      </c>
      <c r="F134" s="11">
        <f t="shared" si="10"/>
        <v>-0.17590505057349282</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0.179478941126263</v>
      </c>
      <c r="E136" s="11">
        <f>A136-'Mastercurve bestimmen'!$B$2</f>
        <v>1</v>
      </c>
      <c r="F136" s="11">
        <f t="shared" si="10"/>
        <v>0.179478941126263</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0.36256707711100178</v>
      </c>
      <c r="E137" s="11">
        <f>A137-'Mastercurve bestimmen'!$B$2</f>
        <v>2</v>
      </c>
      <c r="F137" s="11">
        <f t="shared" si="10"/>
        <v>0.36256707711100178</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0.54926021644664391</v>
      </c>
      <c r="E138" s="11">
        <f>A138-'Mastercurve bestimmen'!$B$2</f>
        <v>3</v>
      </c>
      <c r="F138" s="11">
        <f t="shared" si="10"/>
        <v>0.54926021644664391</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0.7395541676256151</v>
      </c>
      <c r="E139" s="11">
        <f>A139-'Mastercurve bestimmen'!$B$2</f>
        <v>4</v>
      </c>
      <c r="F139" s="11">
        <f t="shared" si="10"/>
        <v>0.7395541676256151</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0.93344473914034232</v>
      </c>
      <c r="E140" s="11">
        <f>A140-'Mastercurve bestimmen'!$B$2</f>
        <v>5</v>
      </c>
      <c r="F140" s="11">
        <f t="shared" si="10"/>
        <v>0.93344473914034232</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1.1309277394832522</v>
      </c>
      <c r="E141" s="11">
        <f>A141-'Mastercurve bestimmen'!$B$2</f>
        <v>6</v>
      </c>
      <c r="F141" s="11">
        <f t="shared" si="10"/>
        <v>1.1309277394832522</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1.3319989771467711</v>
      </c>
      <c r="E142" s="11">
        <f>A142-'Mastercurve bestimmen'!$B$2</f>
        <v>7</v>
      </c>
      <c r="F142" s="11">
        <f t="shared" si="10"/>
        <v>1.3319989771467711</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1.5366542606233251</v>
      </c>
      <c r="E143" s="11">
        <f>A143-'Mastercurve bestimmen'!$B$2</f>
        <v>8</v>
      </c>
      <c r="F143" s="11">
        <f t="shared" si="10"/>
        <v>1.5366542606233251</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1.7448893984053413</v>
      </c>
      <c r="E144" s="11">
        <f>A144-'Mastercurve bestimmen'!$B$2</f>
        <v>9</v>
      </c>
      <c r="F144" s="11">
        <f t="shared" ref="F144:F207" si="15">B144</f>
        <v>1.7448893984053413</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1.9567001989852462</v>
      </c>
      <c r="E145" s="11">
        <f>A145-'Mastercurve bestimmen'!$B$2</f>
        <v>10</v>
      </c>
      <c r="F145" s="11">
        <f t="shared" si="15"/>
        <v>1.9567001989852462</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2.1720824708554662</v>
      </c>
      <c r="E146" s="11">
        <f>A146-'Mastercurve bestimmen'!$B$2</f>
        <v>11</v>
      </c>
      <c r="F146" s="11">
        <f t="shared" si="15"/>
        <v>2.1720824708554662</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2.3910320225084281</v>
      </c>
      <c r="E147" s="11">
        <f>A147-'Mastercurve bestimmen'!$B$2</f>
        <v>12</v>
      </c>
      <c r="F147" s="11">
        <f t="shared" si="15"/>
        <v>2.3910320225084281</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2.6135446624365581</v>
      </c>
      <c r="E148" s="11">
        <f>A148-'Mastercurve bestimmen'!$B$2</f>
        <v>13</v>
      </c>
      <c r="F148" s="11">
        <f t="shared" si="15"/>
        <v>2.6135446624365581</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2.8396161991322826</v>
      </c>
      <c r="E149" s="11">
        <f>A149-'Mastercurve bestimmen'!$B$2</f>
        <v>14</v>
      </c>
      <c r="F149" s="11">
        <f t="shared" si="15"/>
        <v>2.8396161991322826</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3.0692424410880284</v>
      </c>
      <c r="E150" s="11">
        <f>A150-'Mastercurve bestimmen'!$B$2</f>
        <v>15</v>
      </c>
      <c r="F150" s="11">
        <f t="shared" si="15"/>
        <v>3.0692424410880284</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3.302419196796222</v>
      </c>
      <c r="E151" s="11">
        <f>A151-'Mastercurve bestimmen'!$B$2</f>
        <v>16</v>
      </c>
      <c r="F151" s="11">
        <f t="shared" si="15"/>
        <v>3.302419196796222</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3.53914227474929</v>
      </c>
      <c r="E152" s="11">
        <f>A152-'Mastercurve bestimmen'!$B$2</f>
        <v>17</v>
      </c>
      <c r="F152" s="11">
        <f t="shared" si="15"/>
        <v>3.53914227474929</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3.7794074834396589</v>
      </c>
      <c r="E153" s="11">
        <f>A153-'Mastercurve bestimmen'!$B$2</f>
        <v>18</v>
      </c>
      <c r="F153" s="11">
        <f t="shared" si="15"/>
        <v>3.7794074834396589</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4.0232106313597553</v>
      </c>
      <c r="E154" s="11">
        <f>A154-'Mastercurve bestimmen'!$B$2</f>
        <v>19</v>
      </c>
      <c r="F154" s="11">
        <f t="shared" si="15"/>
        <v>4.0232106313597553</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4.2705475270020052</v>
      </c>
      <c r="E155" s="11">
        <f>A155-'Mastercurve bestimmen'!$B$2</f>
        <v>20</v>
      </c>
      <c r="F155" s="11">
        <f t="shared" si="15"/>
        <v>4.2705475270020052</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4.5214139788588357</v>
      </c>
      <c r="E156" s="11">
        <f>A156-'Mastercurve bestimmen'!$B$2</f>
        <v>21</v>
      </c>
      <c r="F156" s="11">
        <f t="shared" si="15"/>
        <v>4.5214139788588357</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4.7758057954226727</v>
      </c>
      <c r="E157" s="11">
        <f>A157-'Mastercurve bestimmen'!$B$2</f>
        <v>22</v>
      </c>
      <c r="F157" s="11">
        <f t="shared" si="15"/>
        <v>4.7758057954226727</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5.0337187851859442</v>
      </c>
      <c r="E158" s="11">
        <f>A158-'Mastercurve bestimmen'!$B$2</f>
        <v>23</v>
      </c>
      <c r="F158" s="11">
        <f t="shared" si="15"/>
        <v>5.0337187851859442</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5.2951487566410753</v>
      </c>
      <c r="E159" s="11">
        <f>A159-'Mastercurve bestimmen'!$B$2</f>
        <v>24</v>
      </c>
      <c r="F159" s="11">
        <f t="shared" si="15"/>
        <v>5.2951487566410753</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5.5600915182804922</v>
      </c>
      <c r="E160" s="11">
        <f>A160-'Mastercurve bestimmen'!$B$2</f>
        <v>25</v>
      </c>
      <c r="F160" s="11">
        <f t="shared" si="15"/>
        <v>5.5600915182804922</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5.8285428785966236</v>
      </c>
      <c r="E161" s="11">
        <f>A161-'Mastercurve bestimmen'!$B$2</f>
        <v>26</v>
      </c>
      <c r="F161" s="11">
        <f t="shared" si="15"/>
        <v>5.8285428785966236</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6.1004986460818929</v>
      </c>
      <c r="E162" s="11">
        <f>A162-'Mastercurve bestimmen'!$B$2</f>
        <v>27</v>
      </c>
      <c r="F162" s="11">
        <f t="shared" si="15"/>
        <v>6.1004986460818929</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6.3759546292287297</v>
      </c>
      <c r="E163" s="11">
        <f>A163-'Mastercurve bestimmen'!$B$2</f>
        <v>28</v>
      </c>
      <c r="F163" s="11">
        <f t="shared" si="15"/>
        <v>6.3759546292287297</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6.6549066365295584</v>
      </c>
      <c r="E164" s="11">
        <f>A164-'Mastercurve bestimmen'!$B$2</f>
        <v>29</v>
      </c>
      <c r="F164" s="11">
        <f t="shared" si="15"/>
        <v>6.6549066365295584</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6.9373504764768068</v>
      </c>
      <c r="E165" s="11">
        <f>A165-'Mastercurve bestimmen'!$B$2</f>
        <v>30</v>
      </c>
      <c r="F165" s="11">
        <f t="shared" si="15"/>
        <v>6.9373504764768068</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7.223281957562901</v>
      </c>
      <c r="E166" s="11">
        <f>A166-'Mastercurve bestimmen'!$B$2</f>
        <v>31</v>
      </c>
      <c r="F166" s="11">
        <f t="shared" si="15"/>
        <v>7.223281957562901</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7.5126968882802672</v>
      </c>
      <c r="E167" s="11">
        <f>A167-'Mastercurve bestimmen'!$B$2</f>
        <v>32</v>
      </c>
      <c r="F167" s="11">
        <f t="shared" si="15"/>
        <v>7.5126968882802672</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7.805591077121333</v>
      </c>
      <c r="E168" s="11">
        <f>A168-'Mastercurve bestimmen'!$B$2</f>
        <v>33</v>
      </c>
      <c r="F168" s="11">
        <f t="shared" si="15"/>
        <v>7.805591077121333</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8.101960332578523</v>
      </c>
      <c r="E169" s="11">
        <f>A169-'Mastercurve bestimmen'!$B$2</f>
        <v>34</v>
      </c>
      <c r="F169" s="11">
        <f t="shared" si="15"/>
        <v>8.101960332578523</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8.4018004631442658</v>
      </c>
      <c r="E170" s="11">
        <f>A170-'Mastercurve bestimmen'!$B$2</f>
        <v>35</v>
      </c>
      <c r="F170" s="11">
        <f t="shared" si="15"/>
        <v>8.4018004631442658</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8.7051072773109865</v>
      </c>
      <c r="E171" s="11">
        <f>A171-'Mastercurve bestimmen'!$B$2</f>
        <v>36</v>
      </c>
      <c r="F171" s="11">
        <f t="shared" si="15"/>
        <v>8.7051072773109865</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9.0118765835711105</v>
      </c>
      <c r="E172" s="11">
        <f>A172-'Mastercurve bestimmen'!$B$2</f>
        <v>37</v>
      </c>
      <c r="F172" s="11">
        <f t="shared" si="15"/>
        <v>9.0118765835711105</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9.3221041904170683</v>
      </c>
      <c r="E173" s="11">
        <f>A173-'Mastercurve bestimmen'!$B$2</f>
        <v>38</v>
      </c>
      <c r="F173" s="11">
        <f t="shared" si="15"/>
        <v>9.3221041904170683</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9.6357859063412832</v>
      </c>
      <c r="E174" s="11">
        <f>A174-'Mastercurve bestimmen'!$B$2</f>
        <v>39</v>
      </c>
      <c r="F174" s="11">
        <f t="shared" si="15"/>
        <v>9.6357859063412832</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9.9529175398361822</v>
      </c>
      <c r="E175" s="11">
        <f>A175-'Mastercurve bestimmen'!$B$2</f>
        <v>40</v>
      </c>
      <c r="F175" s="11">
        <f t="shared" si="15"/>
        <v>9.9529175398361822</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10.273494899394194</v>
      </c>
      <c r="E176" s="11">
        <f>A176-'Mastercurve bestimmen'!$B$2</f>
        <v>41</v>
      </c>
      <c r="F176" s="11">
        <f t="shared" si="15"/>
        <v>10.273494899394194</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10.597513793507742</v>
      </c>
      <c r="E177" s="11">
        <f>A177-'Mastercurve bestimmen'!$B$2</f>
        <v>42</v>
      </c>
      <c r="F177" s="11">
        <f t="shared" si="15"/>
        <v>10.597513793507742</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10.924970030669254</v>
      </c>
      <c r="E178" s="11">
        <f>A178-'Mastercurve bestimmen'!$B$2</f>
        <v>43</v>
      </c>
      <c r="F178" s="11">
        <f t="shared" si="15"/>
        <v>10.924970030669254</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11.255859419371156</v>
      </c>
      <c r="E179" s="11">
        <f>A179-'Mastercurve bestimmen'!$B$2</f>
        <v>44</v>
      </c>
      <c r="F179" s="11">
        <f t="shared" si="15"/>
        <v>11.255859419371156</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11.590177768105878</v>
      </c>
      <c r="E180" s="11">
        <f>A180-'Mastercurve bestimmen'!$B$2</f>
        <v>45</v>
      </c>
      <c r="F180" s="11">
        <f t="shared" si="15"/>
        <v>11.590177768105878</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11.927905275528888</v>
      </c>
      <c r="E181" s="11">
        <f>A181-'Mastercurve bestimmen'!$B$2</f>
        <v>46</v>
      </c>
      <c r="F181" s="11">
        <f t="shared" si="15"/>
        <v>11.927905275528888</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12.268959700947848</v>
      </c>
      <c r="E182" s="11">
        <f>A182-'Mastercurve bestimmen'!$B$2</f>
        <v>47</v>
      </c>
      <c r="F182" s="11">
        <f t="shared" si="15"/>
        <v>12.268959700947848</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12.613243193833469</v>
      </c>
      <c r="E183" s="11">
        <f>A183-'Mastercurve bestimmen'!$B$2</f>
        <v>48</v>
      </c>
      <c r="F183" s="11">
        <f t="shared" si="15"/>
        <v>12.613243193833469</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12.960657903656454</v>
      </c>
      <c r="E184" s="11">
        <f>A184-'Mastercurve bestimmen'!$B$2</f>
        <v>49</v>
      </c>
      <c r="F184" s="11">
        <f t="shared" si="15"/>
        <v>12.960657903656454</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13.311105979887515</v>
      </c>
      <c r="E185" s="11">
        <f>A185-'Mastercurve bestimmen'!$B$2</f>
        <v>50</v>
      </c>
      <c r="F185" s="11">
        <f t="shared" si="15"/>
        <v>13.311105979887515</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13.664489571997352</v>
      </c>
      <c r="E186" s="11">
        <f>A186-'Mastercurve bestimmen'!$B$2</f>
        <v>51</v>
      </c>
      <c r="F186" s="11">
        <f t="shared" si="15"/>
        <v>13.664489571997352</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14.020710829456679</v>
      </c>
      <c r="E187" s="11">
        <f>A187-'Mastercurve bestimmen'!$B$2</f>
        <v>52</v>
      </c>
      <c r="F187" s="11">
        <f t="shared" si="15"/>
        <v>14.020710829456679</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14.379671901736199</v>
      </c>
      <c r="E188" s="11">
        <f>A188-'Mastercurve bestimmen'!$B$2</f>
        <v>53</v>
      </c>
      <c r="F188" s="11">
        <f t="shared" si="15"/>
        <v>14.379671901736199</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14.741274938306622</v>
      </c>
      <c r="E189" s="11">
        <f>A189-'Mastercurve bestimmen'!$B$2</f>
        <v>54</v>
      </c>
      <c r="F189" s="11">
        <f t="shared" si="15"/>
        <v>14.741274938306622</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15.105422088638658</v>
      </c>
      <c r="E190" s="11">
        <f>A190-'Mastercurve bestimmen'!$B$2</f>
        <v>55</v>
      </c>
      <c r="F190" s="11">
        <f t="shared" si="15"/>
        <v>15.105422088638658</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15.472015502203007</v>
      </c>
      <c r="E191" s="11">
        <f>A191-'Mastercurve bestimmen'!$B$2</f>
        <v>56</v>
      </c>
      <c r="F191" s="11">
        <f t="shared" si="15"/>
        <v>15.472015502203007</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15.840957328470381</v>
      </c>
      <c r="E192" s="11">
        <f>A192-'Mastercurve bestimmen'!$B$2</f>
        <v>57</v>
      </c>
      <c r="F192" s="11">
        <f t="shared" si="15"/>
        <v>15.840957328470381</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16.21214971691149</v>
      </c>
      <c r="E193" s="11">
        <f>A193-'Mastercurve bestimmen'!$B$2</f>
        <v>58</v>
      </c>
      <c r="F193" s="11">
        <f t="shared" si="15"/>
        <v>16.21214971691149</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16.585494816997034</v>
      </c>
      <c r="E194" s="11">
        <f>A194-'Mastercurve bestimmen'!$B$2</f>
        <v>59</v>
      </c>
      <c r="F194" s="11">
        <f t="shared" si="15"/>
        <v>16.585494816997034</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16.960894778197723</v>
      </c>
      <c r="E195" s="11">
        <f>A195-'Mastercurve bestimmen'!$B$2</f>
        <v>60</v>
      </c>
      <c r="F195" s="11">
        <f t="shared" si="15"/>
        <v>16.960894778197723</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17.33825174998427</v>
      </c>
      <c r="E196" s="11">
        <f>A196-'Mastercurve bestimmen'!$B$2</f>
        <v>61</v>
      </c>
      <c r="F196" s="11">
        <f t="shared" si="15"/>
        <v>17.33825174998427</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17.717467881827375</v>
      </c>
      <c r="E197" s="11">
        <f>A197-'Mastercurve bestimmen'!$B$2</f>
        <v>62</v>
      </c>
      <c r="F197" s="11">
        <f t="shared" si="15"/>
        <v>17.717467881827375</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18.098445323197748</v>
      </c>
      <c r="E198" s="11">
        <f>A198-'Mastercurve bestimmen'!$B$2</f>
        <v>63</v>
      </c>
      <c r="F198" s="11">
        <f t="shared" si="15"/>
        <v>18.098445323197748</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18.481086223566098</v>
      </c>
      <c r="E199" s="11">
        <f>A199-'Mastercurve bestimmen'!$B$2</f>
        <v>64</v>
      </c>
      <c r="F199" s="11">
        <f t="shared" si="15"/>
        <v>18.481086223566098</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18.86529273240313</v>
      </c>
      <c r="E200" s="11">
        <f>A200-'Mastercurve bestimmen'!$B$2</f>
        <v>65</v>
      </c>
      <c r="F200" s="11">
        <f t="shared" si="15"/>
        <v>18.86529273240313</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19.250966999179553</v>
      </c>
      <c r="E201" s="11">
        <f>A201-'Mastercurve bestimmen'!$B$2</f>
        <v>66</v>
      </c>
      <c r="F201" s="11">
        <f t="shared" si="15"/>
        <v>19.250966999179553</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19.638011173366074</v>
      </c>
      <c r="E202" s="11">
        <f>A202-'Mastercurve bestimmen'!$B$2</f>
        <v>67</v>
      </c>
      <c r="F202" s="11">
        <f t="shared" si="15"/>
        <v>19.638011173366074</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20.026327404433395</v>
      </c>
      <c r="E203" s="11">
        <f>A203-'Mastercurve bestimmen'!$B$2</f>
        <v>68</v>
      </c>
      <c r="F203" s="11">
        <f t="shared" si="15"/>
        <v>20.026327404433395</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20.415817841852231</v>
      </c>
      <c r="E204" s="11">
        <f>A204-'Mastercurve bestimmen'!$B$2</f>
        <v>69</v>
      </c>
      <c r="F204" s="11">
        <f t="shared" si="15"/>
        <v>20.415817841852231</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20.806384635093288</v>
      </c>
      <c r="E205" s="11">
        <f>A205-'Mastercurve bestimmen'!$B$2</f>
        <v>70</v>
      </c>
      <c r="F205" s="11">
        <f t="shared" si="15"/>
        <v>20.806384635093288</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21.197929933627272</v>
      </c>
      <c r="E206" s="11">
        <f>A206-'Mastercurve bestimmen'!$B$2</f>
        <v>71</v>
      </c>
      <c r="F206" s="11">
        <f t="shared" si="15"/>
        <v>21.197929933627272</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21.59035588692489</v>
      </c>
      <c r="E207" s="11">
        <f>A207-'Mastercurve bestimmen'!$B$2</f>
        <v>72</v>
      </c>
      <c r="F207" s="11">
        <f t="shared" si="15"/>
        <v>21.59035588692489</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21.983564644456848</v>
      </c>
      <c r="E208" s="11">
        <f>A208-'Mastercurve bestimmen'!$B$2</f>
        <v>73</v>
      </c>
      <c r="F208" s="11">
        <f t="shared" ref="F208:F215" si="21">B208</f>
        <v>21.983564644456848</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22.377458355693854</v>
      </c>
      <c r="E209" s="11">
        <f>A209-'Mastercurve bestimmen'!$B$2</f>
        <v>74</v>
      </c>
      <c r="F209" s="11">
        <f t="shared" si="21"/>
        <v>22.377458355693854</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22.771939170106617</v>
      </c>
      <c r="E210" s="11">
        <f>A210-'Mastercurve bestimmen'!$B$2</f>
        <v>75</v>
      </c>
      <c r="F210" s="11">
        <f t="shared" si="21"/>
        <v>22.771939170106617</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23.166909237165846</v>
      </c>
      <c r="E211" s="11">
        <f>A211-'Mastercurve bestimmen'!$B$2</f>
        <v>76</v>
      </c>
      <c r="F211" s="11">
        <f t="shared" si="21"/>
        <v>23.166909237165846</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23.562270706342243</v>
      </c>
      <c r="E212" s="11">
        <f>A212-'Mastercurve bestimmen'!$B$2</f>
        <v>77</v>
      </c>
      <c r="F212" s="11">
        <f t="shared" si="21"/>
        <v>23.562270706342243</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23.95792572710652</v>
      </c>
      <c r="E213" s="11">
        <f>A213-'Mastercurve bestimmen'!$B$2</f>
        <v>78</v>
      </c>
      <c r="F213" s="11">
        <f t="shared" si="21"/>
        <v>23.95792572710652</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24.353776448929381</v>
      </c>
      <c r="E214" s="11">
        <f>A214-'Mastercurve bestimmen'!$B$2</f>
        <v>79</v>
      </c>
      <c r="F214" s="11">
        <f t="shared" si="21"/>
        <v>24.353776448929381</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24.749725021281535</v>
      </c>
      <c r="E215" s="11">
        <f>A215-'Mastercurve bestimmen'!$B$2</f>
        <v>80</v>
      </c>
      <c r="F215" s="11">
        <f t="shared" si="21"/>
        <v>24.749725021281535</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0.174806652702578</v>
      </c>
      <c r="J217" s="98">
        <v>1.032307419209947E-3</v>
      </c>
      <c r="K217" s="98">
        <v>2.7959540856864365E-5</v>
      </c>
      <c r="L217" s="98">
        <v>2.9879470387768583E-8</v>
      </c>
      <c r="M217" s="98">
        <v>-5.1037058145443865E-9</v>
      </c>
      <c r="N217" s="98">
        <v>-2.2993208497839854E-11</v>
      </c>
      <c r="O217" s="98">
        <v>3.675176572019269E-13</v>
      </c>
      <c r="P217" s="98">
        <v>2.3252703794060338E-15</v>
      </c>
    </row>
    <row r="218" spans="1:16" x14ac:dyDescent="0.25">
      <c r="G218" s="11"/>
      <c r="H218" s="11">
        <v>0</v>
      </c>
      <c r="I218" s="11">
        <v>1.3040674822631473E-3</v>
      </c>
      <c r="J218" s="11">
        <v>2.4290271585492281E-5</v>
      </c>
      <c r="K218" s="3">
        <v>1.2341788324813932E-6</v>
      </c>
      <c r="L218" s="3">
        <v>1.1237565375399114E-8</v>
      </c>
      <c r="M218" s="3">
        <v>3.5286165699085627E-10</v>
      </c>
      <c r="N218" s="3">
        <v>1.9390118844583758E-12</v>
      </c>
      <c r="O218" s="11">
        <v>3.1180440336417857E-14</v>
      </c>
      <c r="P218" s="11">
        <v>1.8960783906249503E-16</v>
      </c>
    </row>
    <row r="219" spans="1:16" x14ac:dyDescent="0.25">
      <c r="G219" s="11"/>
      <c r="H219" s="11">
        <v>0.99988961391941833</v>
      </c>
      <c r="I219" s="11">
        <v>0.1349119564948357</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-21.596522422618648</v>
      </c>
      <c r="G222">
        <f>F15</f>
        <v>-21.791859757314405</v>
      </c>
    </row>
    <row r="223" spans="1:16" x14ac:dyDescent="0.25">
      <c r="E223" s="11">
        <f t="shared" ref="E223:E286" si="25">E16</f>
        <v>-119</v>
      </c>
      <c r="F223" s="11">
        <f t="shared" ref="F223:F286" si="26">$H$217*0+E223*$I$217+E223^2*$J$217+E223^3*$K$217+E223^4*$L$217+E223^5*$M$217+E223^6*$N$217+E223^7*$O$217+E223^8*$P$217</f>
        <v>-21.498380007977161</v>
      </c>
      <c r="G223" s="11">
        <f t="shared" ref="G223:G286" si="27">F16</f>
        <v>-21.593386487052296</v>
      </c>
    </row>
    <row r="224" spans="1:16" x14ac:dyDescent="0.25">
      <c r="E224" s="11">
        <f t="shared" si="25"/>
        <v>-118</v>
      </c>
      <c r="F224" s="11">
        <f t="shared" si="26"/>
        <v>-21.377928273518123</v>
      </c>
      <c r="G224" s="11">
        <f t="shared" si="27"/>
        <v>-21.394844806024423</v>
      </c>
    </row>
    <row r="225" spans="5:7" x14ac:dyDescent="0.25">
      <c r="E225" s="11">
        <f t="shared" si="25"/>
        <v>-117</v>
      </c>
      <c r="F225" s="11">
        <f t="shared" si="26"/>
        <v>-21.237832128957891</v>
      </c>
      <c r="G225" s="11">
        <f t="shared" si="27"/>
        <v>-21.196166303465006</v>
      </c>
    </row>
    <row r="226" spans="5:7" x14ac:dyDescent="0.25">
      <c r="E226" s="11">
        <f t="shared" si="25"/>
        <v>-116</v>
      </c>
      <c r="F226" s="11">
        <f t="shared" si="26"/>
        <v>-21.080548539195618</v>
      </c>
      <c r="G226" s="11">
        <f t="shared" si="27"/>
        <v>-20.997282568608284</v>
      </c>
    </row>
    <row r="227" spans="5:7" x14ac:dyDescent="0.25">
      <c r="E227" s="11">
        <f t="shared" si="25"/>
        <v>-115</v>
      </c>
      <c r="F227" s="11">
        <f t="shared" si="26"/>
        <v>-20.908337755596662</v>
      </c>
      <c r="G227" s="11">
        <f t="shared" si="27"/>
        <v>-20.798125190688484</v>
      </c>
    </row>
    <row r="228" spans="5:7" x14ac:dyDescent="0.25">
      <c r="E228" s="11">
        <f t="shared" si="25"/>
        <v>-114</v>
      </c>
      <c r="F228" s="11">
        <f t="shared" si="26"/>
        <v>-20.723274138819818</v>
      </c>
      <c r="G228" s="11">
        <f t="shared" si="27"/>
        <v>-20.598625758939832</v>
      </c>
    </row>
    <row r="229" spans="5:7" x14ac:dyDescent="0.25">
      <c r="E229" s="11">
        <f t="shared" si="25"/>
        <v>-113</v>
      </c>
      <c r="F229" s="11">
        <f t="shared" si="26"/>
        <v>-20.527256582259099</v>
      </c>
      <c r="G229" s="11">
        <f t="shared" si="27"/>
        <v>-20.398715862596568</v>
      </c>
    </row>
    <row r="230" spans="5:7" x14ac:dyDescent="0.25">
      <c r="E230" s="11">
        <f t="shared" si="25"/>
        <v>-112</v>
      </c>
      <c r="F230" s="11">
        <f t="shared" si="26"/>
        <v>-20.322018545075949</v>
      </c>
      <c r="G230" s="11">
        <f t="shared" si="27"/>
        <v>-20.19832709089291</v>
      </c>
    </row>
    <row r="231" spans="5:7" x14ac:dyDescent="0.25">
      <c r="E231" s="11">
        <f t="shared" si="25"/>
        <v>-111</v>
      </c>
      <c r="F231" s="11">
        <f t="shared" si="26"/>
        <v>-20.109137703704754</v>
      </c>
      <c r="G231" s="11">
        <f t="shared" si="27"/>
        <v>-19.997391033063099</v>
      </c>
    </row>
    <row r="232" spans="5:7" x14ac:dyDescent="0.25">
      <c r="E232" s="11">
        <f t="shared" si="25"/>
        <v>-110</v>
      </c>
      <c r="F232" s="11">
        <f t="shared" si="26"/>
        <v>-19.89004523062038</v>
      </c>
      <c r="G232" s="11">
        <f t="shared" si="27"/>
        <v>-19.795839278341361</v>
      </c>
    </row>
    <row r="233" spans="5:7" x14ac:dyDescent="0.25">
      <c r="E233" s="11">
        <f t="shared" si="25"/>
        <v>-109</v>
      </c>
      <c r="F233" s="11">
        <f t="shared" si="26"/>
        <v>-19.666034709063389</v>
      </c>
      <c r="G233" s="11">
        <f t="shared" si="27"/>
        <v>-19.59360341596193</v>
      </c>
    </row>
    <row r="234" spans="5:7" x14ac:dyDescent="0.25">
      <c r="E234" s="11">
        <f t="shared" si="25"/>
        <v>-108</v>
      </c>
      <c r="F234" s="11">
        <f t="shared" si="26"/>
        <v>-19.438270692323407</v>
      </c>
      <c r="G234" s="11">
        <f t="shared" si="27"/>
        <v>-19.39061503515903</v>
      </c>
    </row>
    <row r="235" spans="5:7" x14ac:dyDescent="0.25">
      <c r="E235" s="11">
        <f t="shared" si="25"/>
        <v>-107</v>
      </c>
      <c r="F235" s="11">
        <f t="shared" si="26"/>
        <v>-19.207796916089272</v>
      </c>
      <c r="G235" s="11">
        <f t="shared" si="27"/>
        <v>-19.186805725166899</v>
      </c>
    </row>
    <row r="236" spans="5:7" x14ac:dyDescent="0.25">
      <c r="E236" s="11">
        <f t="shared" si="25"/>
        <v>-106</v>
      </c>
      <c r="F236" s="11">
        <f t="shared" si="26"/>
        <v>-18.975544172279029</v>
      </c>
      <c r="G236" s="11">
        <f t="shared" si="27"/>
        <v>-18.982107075219762</v>
      </c>
    </row>
    <row r="237" spans="5:7" x14ac:dyDescent="0.25">
      <c r="E237" s="11">
        <f t="shared" si="25"/>
        <v>-105</v>
      </c>
      <c r="F237" s="11">
        <f t="shared" si="26"/>
        <v>-18.742337852670396</v>
      </c>
      <c r="G237" s="11">
        <f t="shared" si="27"/>
        <v>-18.77645067455185</v>
      </c>
    </row>
    <row r="238" spans="5:7" x14ac:dyDescent="0.25">
      <c r="E238" s="11">
        <f t="shared" si="25"/>
        <v>-104</v>
      </c>
      <c r="F238" s="11">
        <f t="shared" si="26"/>
        <v>-18.508905170557874</v>
      </c>
      <c r="G238" s="11">
        <f t="shared" si="27"/>
        <v>-18.569768112397394</v>
      </c>
    </row>
    <row r="239" spans="5:7" x14ac:dyDescent="0.25">
      <c r="E239" s="11">
        <f t="shared" si="25"/>
        <v>-103</v>
      </c>
      <c r="F239" s="11">
        <f t="shared" si="26"/>
        <v>-18.275882068569025</v>
      </c>
      <c r="G239" s="11">
        <f t="shared" si="27"/>
        <v>-18.361990977990626</v>
      </c>
    </row>
    <row r="240" spans="5:7" x14ac:dyDescent="0.25">
      <c r="E240" s="11">
        <f t="shared" si="25"/>
        <v>-102</v>
      </c>
      <c r="F240" s="11">
        <f t="shared" si="26"/>
        <v>-18.043819820678969</v>
      </c>
      <c r="G240" s="11">
        <f t="shared" si="27"/>
        <v>-18.15305086056577</v>
      </c>
    </row>
    <row r="241" spans="5:7" x14ac:dyDescent="0.25">
      <c r="E241" s="11">
        <f t="shared" si="25"/>
        <v>-101</v>
      </c>
      <c r="F241" s="11">
        <f t="shared" si="26"/>
        <v>-17.813191336368085</v>
      </c>
      <c r="G241" s="11">
        <f t="shared" si="27"/>
        <v>-17.942879349357067</v>
      </c>
    </row>
    <row r="242" spans="5:7" x14ac:dyDescent="0.25">
      <c r="E242" s="11">
        <f t="shared" si="25"/>
        <v>-100</v>
      </c>
      <c r="F242" s="11">
        <f t="shared" si="26"/>
        <v>-17.584397174774182</v>
      </c>
      <c r="G242" s="11">
        <f t="shared" si="27"/>
        <v>-17.731408033598743</v>
      </c>
    </row>
    <row r="243" spans="5:7" x14ac:dyDescent="0.25">
      <c r="E243" s="11">
        <f t="shared" si="25"/>
        <v>-99</v>
      </c>
      <c r="F243" s="11">
        <f t="shared" si="26"/>
        <v>-17.357771276597006</v>
      </c>
      <c r="G243" s="11">
        <f t="shared" si="27"/>
        <v>-17.518568502525024</v>
      </c>
    </row>
    <row r="244" spans="5:7" x14ac:dyDescent="0.25">
      <c r="E244" s="11">
        <f t="shared" si="25"/>
        <v>-98</v>
      </c>
      <c r="F244" s="11">
        <f t="shared" si="26"/>
        <v>-17.133586421418478</v>
      </c>
      <c r="G244" s="11">
        <f t="shared" si="27"/>
        <v>-17.304292345370147</v>
      </c>
    </row>
    <row r="245" spans="5:7" x14ac:dyDescent="0.25">
      <c r="E245" s="11">
        <f t="shared" si="25"/>
        <v>-97</v>
      </c>
      <c r="F245" s="11">
        <f t="shared" si="26"/>
        <v>-16.912059418009299</v>
      </c>
      <c r="G245" s="11">
        <f t="shared" si="27"/>
        <v>-17.088511151368337</v>
      </c>
    </row>
    <row r="246" spans="5:7" x14ac:dyDescent="0.25">
      <c r="E246" s="11">
        <f t="shared" si="25"/>
        <v>-96</v>
      </c>
      <c r="F246" s="11">
        <f t="shared" si="26"/>
        <v>-16.693356035097594</v>
      </c>
      <c r="G246" s="11">
        <f t="shared" si="27"/>
        <v>-16.871156509753824</v>
      </c>
    </row>
    <row r="247" spans="5:7" x14ac:dyDescent="0.25">
      <c r="E247" s="11">
        <f t="shared" si="25"/>
        <v>-95</v>
      </c>
      <c r="F247" s="11">
        <f t="shared" si="26"/>
        <v>-16.477595679982837</v>
      </c>
      <c r="G247" s="11">
        <f t="shared" si="27"/>
        <v>-16.652160009760848</v>
      </c>
    </row>
    <row r="248" spans="5:7" x14ac:dyDescent="0.25">
      <c r="E248" s="11">
        <f t="shared" si="25"/>
        <v>-94</v>
      </c>
      <c r="F248" s="11">
        <f t="shared" si="26"/>
        <v>-16.26485583228331</v>
      </c>
      <c r="G248" s="11">
        <f t="shared" si="27"/>
        <v>-16.431453240623629</v>
      </c>
    </row>
    <row r="249" spans="5:7" x14ac:dyDescent="0.25">
      <c r="E249" s="11">
        <f t="shared" si="25"/>
        <v>-93</v>
      </c>
      <c r="F249" s="11">
        <f t="shared" si="26"/>
        <v>-16.055176240012543</v>
      </c>
      <c r="G249" s="11">
        <f t="shared" si="27"/>
        <v>-16.208967791576399</v>
      </c>
    </row>
    <row r="250" spans="5:7" x14ac:dyDescent="0.25">
      <c r="E250" s="11">
        <f t="shared" si="25"/>
        <v>-92</v>
      </c>
      <c r="F250" s="11">
        <f t="shared" si="26"/>
        <v>-15.848562885085752</v>
      </c>
      <c r="G250" s="11">
        <f t="shared" si="27"/>
        <v>-15.984635251853394</v>
      </c>
    </row>
    <row r="251" spans="5:7" x14ac:dyDescent="0.25">
      <c r="E251" s="11">
        <f t="shared" si="25"/>
        <v>-91</v>
      </c>
      <c r="F251" s="11">
        <f t="shared" si="26"/>
        <v>-15.644991725264102</v>
      </c>
      <c r="G251" s="11">
        <f t="shared" si="27"/>
        <v>-15.758387210688838</v>
      </c>
    </row>
    <row r="252" spans="5:7" x14ac:dyDescent="0.25">
      <c r="E252" s="11">
        <f t="shared" si="25"/>
        <v>-90</v>
      </c>
      <c r="F252" s="11">
        <f t="shared" si="26"/>
        <v>-15.444412219450301</v>
      </c>
      <c r="G252" s="11">
        <f t="shared" si="27"/>
        <v>-15.530155257316965</v>
      </c>
    </row>
    <row r="253" spans="5:7" x14ac:dyDescent="0.25">
      <c r="E253" s="11">
        <f t="shared" si="25"/>
        <v>-89</v>
      </c>
      <c r="F253" s="11">
        <f t="shared" si="26"/>
        <v>-15.246750643155826</v>
      </c>
      <c r="G253" s="11">
        <f t="shared" si="27"/>
        <v>-15.299870980972004</v>
      </c>
    </row>
    <row r="254" spans="5:7" x14ac:dyDescent="0.25">
      <c r="E254" s="11">
        <f t="shared" si="25"/>
        <v>-88</v>
      </c>
      <c r="F254" s="11">
        <f t="shared" si="26"/>
        <v>-15.051913200865878</v>
      </c>
      <c r="G254" s="11">
        <f t="shared" si="27"/>
        <v>-15.067465970888188</v>
      </c>
    </row>
    <row r="255" spans="5:7" x14ac:dyDescent="0.25">
      <c r="E255" s="11">
        <f t="shared" si="25"/>
        <v>-87</v>
      </c>
      <c r="F255" s="11">
        <f t="shared" si="26"/>
        <v>-14.859788941934696</v>
      </c>
      <c r="G255" s="11">
        <f t="shared" si="27"/>
        <v>-14.832871816299743</v>
      </c>
    </row>
    <row r="256" spans="5:7" x14ac:dyDescent="0.25">
      <c r="E256" s="11">
        <f t="shared" si="25"/>
        <v>-86</v>
      </c>
      <c r="F256" s="11">
        <f t="shared" si="26"/>
        <v>-14.670252486549984</v>
      </c>
      <c r="G256" s="11">
        <f t="shared" si="27"/>
        <v>-14.596020106440905</v>
      </c>
    </row>
    <row r="257" spans="5:7" x14ac:dyDescent="0.25">
      <c r="E257" s="11">
        <f t="shared" si="25"/>
        <v>-85</v>
      </c>
      <c r="F257" s="11">
        <f t="shared" si="26"/>
        <v>-14.483166568211402</v>
      </c>
      <c r="G257" s="11">
        <f t="shared" si="27"/>
        <v>-14.3568424305459</v>
      </c>
    </row>
    <row r="258" spans="5:7" x14ac:dyDescent="0.25">
      <c r="E258" s="11">
        <f t="shared" si="25"/>
        <v>-84</v>
      </c>
      <c r="F258" s="11">
        <f t="shared" si="26"/>
        <v>-14.298384399074521</v>
      </c>
      <c r="G258" s="11">
        <f t="shared" si="27"/>
        <v>-14.115270377848958</v>
      </c>
    </row>
    <row r="259" spans="5:7" x14ac:dyDescent="0.25">
      <c r="E259" s="11">
        <f t="shared" si="25"/>
        <v>-83</v>
      </c>
      <c r="F259" s="11">
        <f t="shared" si="26"/>
        <v>-14.115751864417643</v>
      </c>
      <c r="G259" s="11">
        <f t="shared" si="27"/>
        <v>-13.871235537584312</v>
      </c>
    </row>
    <row r="260" spans="5:7" x14ac:dyDescent="0.25">
      <c r="E260" s="11">
        <f t="shared" si="25"/>
        <v>-82</v>
      </c>
      <c r="F260" s="11">
        <f t="shared" si="26"/>
        <v>-13.935109552395243</v>
      </c>
      <c r="G260" s="11">
        <f t="shared" si="27"/>
        <v>-13.624669498986192</v>
      </c>
    </row>
    <row r="261" spans="5:7" x14ac:dyDescent="0.25">
      <c r="E261" s="11">
        <f t="shared" si="25"/>
        <v>-81</v>
      </c>
      <c r="F261" s="11">
        <f t="shared" si="26"/>
        <v>-13.756294625148136</v>
      </c>
      <c r="G261" s="11">
        <f t="shared" si="27"/>
        <v>-13.375503851288828</v>
      </c>
    </row>
    <row r="262" spans="5:7" x14ac:dyDescent="0.25">
      <c r="E262" s="11">
        <f t="shared" si="25"/>
        <v>-80</v>
      </c>
      <c r="F262" s="11">
        <f t="shared" si="26"/>
        <v>-13.579142537246472</v>
      </c>
      <c r="G262" s="11">
        <f t="shared" si="27"/>
        <v>-13.123670183726452</v>
      </c>
    </row>
    <row r="263" spans="5:7" x14ac:dyDescent="0.25">
      <c r="E263" s="11">
        <f t="shared" si="25"/>
        <v>-79</v>
      </c>
      <c r="F263" s="11">
        <f t="shared" si="26"/>
        <v>-13.403488607348176</v>
      </c>
      <c r="G263" s="11">
        <f t="shared" si="27"/>
        <v>-13.012333549728124</v>
      </c>
    </row>
    <row r="264" spans="5:7" x14ac:dyDescent="0.25">
      <c r="E264" s="11">
        <f t="shared" si="25"/>
        <v>-78</v>
      </c>
      <c r="F264" s="11">
        <f t="shared" si="26"/>
        <v>-13.229169448861466</v>
      </c>
      <c r="G264" s="11">
        <f t="shared" si="27"/>
        <v>-12.898254778392232</v>
      </c>
    </row>
    <row r="265" spans="5:7" x14ac:dyDescent="0.25">
      <c r="E265" s="11">
        <f t="shared" si="25"/>
        <v>-77</v>
      </c>
      <c r="F265" s="11">
        <f t="shared" si="26"/>
        <v>-13.056024265306501</v>
      </c>
      <c r="G265" s="11">
        <f t="shared" si="27"/>
        <v>-12.781428163011991</v>
      </c>
    </row>
    <row r="266" spans="5:7" x14ac:dyDescent="0.25">
      <c r="E266" s="11">
        <f t="shared" si="25"/>
        <v>-76</v>
      </c>
      <c r="F266" s="11">
        <f t="shared" si="26"/>
        <v>-12.883896015977363</v>
      </c>
      <c r="G266" s="11">
        <f t="shared" si="27"/>
        <v>-12.661847996880624</v>
      </c>
    </row>
    <row r="267" spans="5:7" x14ac:dyDescent="0.25">
      <c r="E267" s="11">
        <f t="shared" si="25"/>
        <v>-75</v>
      </c>
      <c r="F267" s="11">
        <f t="shared" si="26"/>
        <v>-12.712632457411839</v>
      </c>
      <c r="G267" s="11">
        <f t="shared" si="27"/>
        <v>-12.539508573291341</v>
      </c>
    </row>
    <row r="268" spans="5:7" x14ac:dyDescent="0.25">
      <c r="E268" s="11">
        <f t="shared" si="25"/>
        <v>-74</v>
      </c>
      <c r="F268" s="11">
        <f t="shared" si="26"/>
        <v>-12.542087066082713</v>
      </c>
      <c r="G268" s="11">
        <f t="shared" si="27"/>
        <v>-12.414404185537364</v>
      </c>
    </row>
    <row r="269" spans="5:7" x14ac:dyDescent="0.25">
      <c r="E269" s="11">
        <f t="shared" si="25"/>
        <v>-73</v>
      </c>
      <c r="F269" s="11">
        <f t="shared" si="26"/>
        <v>-12.372119847630529</v>
      </c>
      <c r="G269" s="11">
        <f t="shared" si="27"/>
        <v>-12.286529126911908</v>
      </c>
    </row>
    <row r="270" spans="5:7" x14ac:dyDescent="0.25">
      <c r="E270" s="11">
        <f t="shared" si="25"/>
        <v>-72</v>
      </c>
      <c r="F270" s="11">
        <f t="shared" si="26"/>
        <v>-12.202598037864057</v>
      </c>
      <c r="G270" s="11">
        <f t="shared" si="27"/>
        <v>-12.155877690708195</v>
      </c>
    </row>
    <row r="271" spans="5:7" x14ac:dyDescent="0.25">
      <c r="E271" s="11">
        <f t="shared" si="25"/>
        <v>-71</v>
      </c>
      <c r="F271" s="11">
        <f t="shared" si="26"/>
        <v>-12.033396700660909</v>
      </c>
      <c r="G271" s="11">
        <f t="shared" si="27"/>
        <v>-12.022444170219437</v>
      </c>
    </row>
    <row r="272" spans="5:7" x14ac:dyDescent="0.25">
      <c r="E272" s="11">
        <f t="shared" si="25"/>
        <v>-70</v>
      </c>
      <c r="F272" s="11">
        <f t="shared" si="26"/>
        <v>-11.864399227806917</v>
      </c>
      <c r="G272" s="11">
        <f t="shared" si="27"/>
        <v>-11.886222858738854</v>
      </c>
    </row>
    <row r="273" spans="5:7" x14ac:dyDescent="0.25">
      <c r="E273" s="11">
        <f t="shared" si="25"/>
        <v>-69</v>
      </c>
      <c r="F273" s="11">
        <f t="shared" si="26"/>
        <v>-11.695497745719395</v>
      </c>
      <c r="G273" s="11">
        <f t="shared" si="27"/>
        <v>-11.747208049559665</v>
      </c>
    </row>
    <row r="274" spans="5:7" x14ac:dyDescent="0.25">
      <c r="E274" s="11">
        <f t="shared" si="25"/>
        <v>-68</v>
      </c>
      <c r="F274" s="11">
        <f t="shared" si="26"/>
        <v>-11.526593433905246</v>
      </c>
      <c r="G274" s="11">
        <f t="shared" si="27"/>
        <v>-11.605394035975088</v>
      </c>
    </row>
    <row r="275" spans="5:7" x14ac:dyDescent="0.25">
      <c r="E275" s="11">
        <f t="shared" si="25"/>
        <v>-67</v>
      </c>
      <c r="F275" s="11">
        <f t="shared" si="26"/>
        <v>-11.357596759911543</v>
      </c>
      <c r="G275" s="11">
        <f t="shared" si="27"/>
        <v>-11.460775111278338</v>
      </c>
    </row>
    <row r="276" spans="5:7" x14ac:dyDescent="0.25">
      <c r="E276" s="11">
        <f t="shared" si="25"/>
        <v>-66</v>
      </c>
      <c r="F276" s="11">
        <f t="shared" si="26"/>
        <v>-11.188427635432152</v>
      </c>
      <c r="G276" s="11">
        <f t="shared" si="27"/>
        <v>-11.313345568762633</v>
      </c>
    </row>
    <row r="277" spans="5:7" x14ac:dyDescent="0.25">
      <c r="E277" s="11">
        <f t="shared" si="25"/>
        <v>-65</v>
      </c>
      <c r="F277" s="11">
        <f t="shared" si="26"/>
        <v>-11.01901549814032</v>
      </c>
      <c r="G277" s="11">
        <f t="shared" si="27"/>
        <v>-11.163099701721192</v>
      </c>
    </row>
    <row r="278" spans="5:7" x14ac:dyDescent="0.25">
      <c r="E278" s="11">
        <f t="shared" si="25"/>
        <v>-64</v>
      </c>
      <c r="F278" s="11">
        <f t="shared" si="26"/>
        <v>-10.84929932372347</v>
      </c>
      <c r="G278" s="11">
        <f t="shared" si="27"/>
        <v>-11.010031803447234</v>
      </c>
    </row>
    <row r="279" spans="5:7" x14ac:dyDescent="0.25">
      <c r="E279" s="11">
        <f t="shared" si="25"/>
        <v>-63</v>
      </c>
      <c r="F279" s="11">
        <f t="shared" si="26"/>
        <v>-10.679227572502526</v>
      </c>
      <c r="G279" s="11">
        <f t="shared" si="27"/>
        <v>-10.854136167233971</v>
      </c>
    </row>
    <row r="280" spans="5:7" x14ac:dyDescent="0.25">
      <c r="E280" s="11">
        <f t="shared" si="25"/>
        <v>-62</v>
      </c>
      <c r="F280" s="11">
        <f t="shared" si="26"/>
        <v>-10.508758074924476</v>
      </c>
      <c r="G280" s="11">
        <f t="shared" si="27"/>
        <v>-10.695407086374626</v>
      </c>
    </row>
    <row r="281" spans="5:7" x14ac:dyDescent="0.25">
      <c r="E281" s="11">
        <f t="shared" si="25"/>
        <v>-61</v>
      </c>
      <c r="F281" s="11">
        <f t="shared" si="26"/>
        <v>-10.337857860123059</v>
      </c>
      <c r="G281" s="11">
        <f t="shared" si="27"/>
        <v>-10.533838854162415</v>
      </c>
    </row>
    <row r="282" spans="5:7" x14ac:dyDescent="0.25">
      <c r="E282" s="11">
        <f t="shared" si="25"/>
        <v>-60</v>
      </c>
      <c r="F282" s="11">
        <f t="shared" si="26"/>
        <v>-10.166502931648736</v>
      </c>
      <c r="G282" s="11">
        <f t="shared" si="27"/>
        <v>-10.369425763890556</v>
      </c>
    </row>
    <row r="283" spans="5:7" x14ac:dyDescent="0.25">
      <c r="E283" s="11">
        <f t="shared" si="25"/>
        <v>-59</v>
      </c>
      <c r="F283" s="11">
        <f t="shared" si="26"/>
        <v>-9.9946779943753388</v>
      </c>
      <c r="G283" s="11">
        <f t="shared" si="27"/>
        <v>-10.202162108852267</v>
      </c>
    </row>
    <row r="284" spans="5:7" x14ac:dyDescent="0.25">
      <c r="E284" s="11">
        <f t="shared" si="25"/>
        <v>-58</v>
      </c>
      <c r="F284" s="11">
        <f t="shared" si="26"/>
        <v>-9.8223761364969739</v>
      </c>
      <c r="G284" s="11">
        <f t="shared" si="27"/>
        <v>-10.032042182340762</v>
      </c>
    </row>
    <row r="285" spans="5:7" x14ac:dyDescent="0.25">
      <c r="E285" s="11">
        <f t="shared" si="25"/>
        <v>-57</v>
      </c>
      <c r="F285" s="11">
        <f t="shared" si="26"/>
        <v>-9.6495984704352011</v>
      </c>
      <c r="G285" s="11">
        <f t="shared" si="27"/>
        <v>-9.8590602776492613</v>
      </c>
    </row>
    <row r="286" spans="5:7" x14ac:dyDescent="0.25">
      <c r="E286" s="11">
        <f t="shared" si="25"/>
        <v>-56</v>
      </c>
      <c r="F286" s="11">
        <f t="shared" si="26"/>
        <v>-9.4763537363824266</v>
      </c>
      <c r="G286" s="11">
        <f t="shared" si="27"/>
        <v>-9.6832106880709858</v>
      </c>
    </row>
    <row r="287" spans="5:7" x14ac:dyDescent="0.25">
      <c r="E287" s="11">
        <f t="shared" ref="E287:E350" si="28">E80</f>
        <v>-55</v>
      </c>
      <c r="F287" s="11">
        <f t="shared" ref="F287:F350" si="29">$H$217*0+E287*$I$217+E287^2*$J$217+E287^3*$K$217+E287^4*$L$217+E287^5*$M$217+E287^6*$N$217+E287^7*$O$217+E287^8*$P$217</f>
        <v>-9.302657872114068</v>
      </c>
      <c r="G287" s="11">
        <f t="shared" ref="G287:G350" si="30">F80</f>
        <v>-9.5044877068991482</v>
      </c>
    </row>
    <row r="288" spans="5:7" x14ac:dyDescent="0.25">
      <c r="E288" s="11">
        <f t="shared" si="28"/>
        <v>-54</v>
      </c>
      <c r="F288" s="11">
        <f t="shared" si="29"/>
        <v>-9.1285335526079816</v>
      </c>
      <c r="G288" s="11">
        <f t="shared" si="30"/>
        <v>-9.3229282399654139</v>
      </c>
    </row>
    <row r="289" spans="5:7" x14ac:dyDescent="0.25">
      <c r="E289" s="11">
        <f t="shared" si="28"/>
        <v>-53</v>
      </c>
      <c r="F289" s="11">
        <f t="shared" si="29"/>
        <v>-8.9540097029160677</v>
      </c>
      <c r="G289" s="11">
        <f t="shared" si="30"/>
        <v>-9.138739643255235</v>
      </c>
    </row>
    <row r="290" spans="5:7" x14ac:dyDescent="0.25">
      <c r="E290" s="11">
        <f t="shared" si="28"/>
        <v>-52</v>
      </c>
      <c r="F290" s="11">
        <f t="shared" si="29"/>
        <v>-8.7791209876391534</v>
      </c>
      <c r="G290" s="11">
        <f t="shared" si="30"/>
        <v>-8.952171885292513</v>
      </c>
    </row>
    <row r="291" spans="5:7" x14ac:dyDescent="0.25">
      <c r="E291" s="11">
        <f t="shared" si="28"/>
        <v>-51</v>
      </c>
      <c r="F291" s="11">
        <f t="shared" si="29"/>
        <v>-8.6039072802625149</v>
      </c>
      <c r="G291" s="11">
        <f t="shared" si="30"/>
        <v>-8.7634749346011489</v>
      </c>
    </row>
    <row r="292" spans="5:7" x14ac:dyDescent="0.25">
      <c r="E292" s="11">
        <f t="shared" si="28"/>
        <v>-50</v>
      </c>
      <c r="F292" s="11">
        <f t="shared" si="29"/>
        <v>-8.4284131155156086</v>
      </c>
      <c r="G292" s="11">
        <f t="shared" si="30"/>
        <v>-8.572898759705037</v>
      </c>
    </row>
    <row r="293" spans="5:7" x14ac:dyDescent="0.25">
      <c r="E293" s="11">
        <f t="shared" si="28"/>
        <v>-49</v>
      </c>
      <c r="F293" s="11">
        <f t="shared" si="29"/>
        <v>-8.2526871278259044</v>
      </c>
      <c r="G293" s="11">
        <f t="shared" si="30"/>
        <v>-8.3806933291280785</v>
      </c>
    </row>
    <row r="294" spans="5:7" x14ac:dyDescent="0.25">
      <c r="E294" s="11">
        <f t="shared" si="28"/>
        <v>-48</v>
      </c>
      <c r="F294" s="11">
        <f t="shared" si="29"/>
        <v>-8.0767814788428396</v>
      </c>
      <c r="G294" s="11">
        <f t="shared" si="30"/>
        <v>-8.1871086113941764</v>
      </c>
    </row>
    <row r="295" spans="5:7" x14ac:dyDescent="0.25">
      <c r="E295" s="11">
        <f t="shared" si="28"/>
        <v>-47</v>
      </c>
      <c r="F295" s="11">
        <f t="shared" si="29"/>
        <v>-7.9007512769143009</v>
      </c>
      <c r="G295" s="11">
        <f t="shared" si="30"/>
        <v>-7.9923945750272249</v>
      </c>
    </row>
    <row r="296" spans="5:7" x14ac:dyDescent="0.25">
      <c r="E296" s="11">
        <f t="shared" si="28"/>
        <v>-46</v>
      </c>
      <c r="F296" s="11">
        <f t="shared" si="29"/>
        <v>-7.7246539913041685</v>
      </c>
      <c r="G296" s="11">
        <f t="shared" si="30"/>
        <v>-7.7968011885511261</v>
      </c>
    </row>
    <row r="297" spans="5:7" x14ac:dyDescent="0.25">
      <c r="E297" s="11">
        <f t="shared" si="28"/>
        <v>-45</v>
      </c>
      <c r="F297" s="11">
        <f t="shared" si="29"/>
        <v>-7.5485488638457436</v>
      </c>
      <c r="G297" s="11">
        <f t="shared" si="30"/>
        <v>-7.6005784204897795</v>
      </c>
    </row>
    <row r="298" spans="5:7" x14ac:dyDescent="0.25">
      <c r="E298" s="11">
        <f t="shared" si="28"/>
        <v>-44</v>
      </c>
      <c r="F298" s="11">
        <f t="shared" si="29"/>
        <v>-7.3724963206321519</v>
      </c>
      <c r="G298" s="11">
        <f t="shared" si="30"/>
        <v>-7.4039762393670845</v>
      </c>
    </row>
    <row r="299" spans="5:7" x14ac:dyDescent="0.25">
      <c r="E299" s="11">
        <f t="shared" si="28"/>
        <v>-43</v>
      </c>
      <c r="F299" s="11">
        <f t="shared" si="29"/>
        <v>-7.1965573862510395</v>
      </c>
      <c r="G299" s="11">
        <f t="shared" si="30"/>
        <v>-7.2072446137069406</v>
      </c>
    </row>
    <row r="300" spans="5:7" x14ac:dyDescent="0.25">
      <c r="E300" s="11">
        <f t="shared" si="28"/>
        <v>-42</v>
      </c>
      <c r="F300" s="11">
        <f t="shared" si="29"/>
        <v>-7.0207931029770796</v>
      </c>
      <c r="G300" s="11">
        <f t="shared" si="30"/>
        <v>-7.0106335120332455</v>
      </c>
    </row>
    <row r="301" spans="5:7" x14ac:dyDescent="0.25">
      <c r="E301" s="11">
        <f t="shared" si="28"/>
        <v>-41</v>
      </c>
      <c r="F301" s="11">
        <f t="shared" si="29"/>
        <v>-6.8452639572421381</v>
      </c>
      <c r="G301" s="11">
        <f t="shared" si="30"/>
        <v>-6.8143929028698995</v>
      </c>
    </row>
    <row r="302" spans="5:7" x14ac:dyDescent="0.25">
      <c r="E302" s="11">
        <f t="shared" si="28"/>
        <v>-40</v>
      </c>
      <c r="F302" s="11">
        <f t="shared" si="29"/>
        <v>-6.6700293156091321</v>
      </c>
      <c r="G302" s="11">
        <f t="shared" si="30"/>
        <v>-6.6187727547408031</v>
      </c>
    </row>
    <row r="303" spans="5:7" x14ac:dyDescent="0.25">
      <c r="E303" s="11">
        <f t="shared" si="28"/>
        <v>-39</v>
      </c>
      <c r="F303" s="11">
        <f t="shared" si="29"/>
        <v>-6.4951468723818611</v>
      </c>
      <c r="G303" s="11">
        <f t="shared" si="30"/>
        <v>-6.4240230361698547</v>
      </c>
    </row>
    <row r="304" spans="5:7" x14ac:dyDescent="0.25">
      <c r="E304" s="11">
        <f t="shared" si="28"/>
        <v>-38</v>
      </c>
      <c r="F304" s="11">
        <f t="shared" si="29"/>
        <v>-6.3206721108893813</v>
      </c>
      <c r="G304" s="11">
        <f t="shared" si="30"/>
        <v>-6.2303937156809548</v>
      </c>
    </row>
    <row r="305" spans="5:7" x14ac:dyDescent="0.25">
      <c r="E305" s="11">
        <f t="shared" si="28"/>
        <v>-37</v>
      </c>
      <c r="F305" s="11">
        <f t="shared" si="29"/>
        <v>-6.1466577803896714</v>
      </c>
      <c r="G305" s="11">
        <f t="shared" si="30"/>
        <v>-6.038134761798001</v>
      </c>
    </row>
    <row r="306" spans="5:7" x14ac:dyDescent="0.25">
      <c r="E306" s="11">
        <f t="shared" si="28"/>
        <v>-36</v>
      </c>
      <c r="F306" s="11">
        <f t="shared" si="29"/>
        <v>-5.9731533904436507</v>
      </c>
      <c r="G306" s="11">
        <f t="shared" si="30"/>
        <v>-5.8474961430448937</v>
      </c>
    </row>
    <row r="307" spans="5:7" x14ac:dyDescent="0.25">
      <c r="E307" s="11">
        <f t="shared" si="28"/>
        <v>-35</v>
      </c>
      <c r="F307" s="11">
        <f t="shared" si="29"/>
        <v>-5.8002047245168082</v>
      </c>
      <c r="G307" s="11">
        <f t="shared" si="30"/>
        <v>-5.6587278279455324</v>
      </c>
    </row>
    <row r="308" spans="5:7" x14ac:dyDescent="0.25">
      <c r="E308" s="11">
        <f t="shared" si="28"/>
        <v>-34</v>
      </c>
      <c r="F308" s="11">
        <f t="shared" si="29"/>
        <v>-5.6278533744719637</v>
      </c>
      <c r="G308" s="11">
        <f t="shared" si="30"/>
        <v>-5.4720797850238156</v>
      </c>
    </row>
    <row r="309" spans="5:7" x14ac:dyDescent="0.25">
      <c r="E309" s="11">
        <f t="shared" si="28"/>
        <v>-33</v>
      </c>
      <c r="F309" s="11">
        <f t="shared" si="29"/>
        <v>-5.4561362975229271</v>
      </c>
      <c r="G309" s="11">
        <f t="shared" si="30"/>
        <v>-5.2878019828036447</v>
      </c>
    </row>
    <row r="310" spans="5:7" x14ac:dyDescent="0.25">
      <c r="E310" s="11">
        <f t="shared" si="28"/>
        <v>-32</v>
      </c>
      <c r="F310" s="11">
        <f t="shared" si="29"/>
        <v>-5.285085397125064</v>
      </c>
      <c r="G310" s="11">
        <f t="shared" si="30"/>
        <v>-5.1061443898089172</v>
      </c>
    </row>
    <row r="311" spans="5:7" x14ac:dyDescent="0.25">
      <c r="E311" s="11">
        <f t="shared" si="28"/>
        <v>-31</v>
      </c>
      <c r="F311" s="11">
        <f t="shared" si="29"/>
        <v>-5.1147271291850398</v>
      </c>
      <c r="G311" s="11">
        <f t="shared" si="30"/>
        <v>-4.9273569745635335</v>
      </c>
    </row>
    <row r="312" spans="5:7" x14ac:dyDescent="0.25">
      <c r="E312" s="11">
        <f t="shared" si="28"/>
        <v>-30</v>
      </c>
      <c r="F312" s="11">
        <f t="shared" si="29"/>
        <v>-4.9450821348782075</v>
      </c>
      <c r="G312" s="11">
        <f t="shared" si="30"/>
        <v>-4.7516897055913923</v>
      </c>
    </row>
    <row r="313" spans="5:7" x14ac:dyDescent="0.25">
      <c r="E313" s="11">
        <f t="shared" si="28"/>
        <v>-29</v>
      </c>
      <c r="F313" s="11">
        <f t="shared" si="29"/>
        <v>-4.7761649012684186</v>
      </c>
      <c r="G313" s="11">
        <f t="shared" si="30"/>
        <v>-4.5793120927670588</v>
      </c>
    </row>
    <row r="314" spans="5:7" x14ac:dyDescent="0.25">
      <c r="E314" s="11">
        <f t="shared" si="28"/>
        <v>-28</v>
      </c>
      <c r="F314" s="11">
        <f t="shared" si="29"/>
        <v>-4.6079834508312318</v>
      </c>
      <c r="G314" s="11">
        <f t="shared" si="30"/>
        <v>-4.4100718113677617</v>
      </c>
    </row>
    <row r="315" spans="5:7" x14ac:dyDescent="0.25">
      <c r="E315" s="11">
        <f t="shared" si="28"/>
        <v>-27</v>
      </c>
      <c r="F315" s="11">
        <f t="shared" si="29"/>
        <v>-4.4405390608877475</v>
      </c>
      <c r="G315" s="11">
        <f t="shared" si="30"/>
        <v>-4.2437360780213931</v>
      </c>
    </row>
    <row r="316" spans="5:7" x14ac:dyDescent="0.25">
      <c r="E316" s="11">
        <f t="shared" si="28"/>
        <v>-26</v>
      </c>
      <c r="F316" s="11">
        <f t="shared" si="29"/>
        <v>-4.273826013862581</v>
      </c>
      <c r="G316" s="11">
        <f t="shared" si="30"/>
        <v>-4.0800721093558492</v>
      </c>
    </row>
    <row r="317" spans="5:7" x14ac:dyDescent="0.25">
      <c r="E317" s="11">
        <f t="shared" si="28"/>
        <v>-25</v>
      </c>
      <c r="F317" s="11">
        <f t="shared" si="29"/>
        <v>-4.1078313791856447</v>
      </c>
      <c r="G317" s="11">
        <f t="shared" si="30"/>
        <v>-3.9188471219990206</v>
      </c>
    </row>
    <row r="318" spans="5:7" x14ac:dyDescent="0.25">
      <c r="E318" s="11">
        <f t="shared" si="28"/>
        <v>-24</v>
      </c>
      <c r="F318" s="11">
        <f t="shared" si="29"/>
        <v>-3.9425348275637733</v>
      </c>
      <c r="G318" s="11">
        <f t="shared" si="30"/>
        <v>-3.7598283325788029</v>
      </c>
    </row>
    <row r="319" spans="5:7" x14ac:dyDescent="0.25">
      <c r="E319" s="11">
        <f t="shared" si="28"/>
        <v>-23</v>
      </c>
      <c r="F319" s="11">
        <f t="shared" si="29"/>
        <v>-3.7779084782543615</v>
      </c>
      <c r="G319" s="11">
        <f t="shared" si="30"/>
        <v>-3.6027829577230883</v>
      </c>
    </row>
    <row r="320" spans="5:7" x14ac:dyDescent="0.25">
      <c r="E320" s="11">
        <f t="shared" si="28"/>
        <v>-22</v>
      </c>
      <c r="F320" s="11">
        <f t="shared" si="29"/>
        <v>-3.6139167798794949</v>
      </c>
      <c r="G320" s="11">
        <f t="shared" si="30"/>
        <v>-3.447478214059772</v>
      </c>
    </row>
    <row r="321" spans="5:7" x14ac:dyDescent="0.25">
      <c r="E321" s="11">
        <f t="shared" si="28"/>
        <v>-21</v>
      </c>
      <c r="F321" s="11">
        <f t="shared" si="29"/>
        <v>-3.4505164252252718</v>
      </c>
      <c r="G321" s="11">
        <f t="shared" si="30"/>
        <v>-3.2936813182167461</v>
      </c>
    </row>
    <row r="322" spans="5:7" x14ac:dyDescent="0.25">
      <c r="E322" s="11">
        <f t="shared" si="28"/>
        <v>-20</v>
      </c>
      <c r="F322" s="11">
        <f t="shared" si="29"/>
        <v>-3.2876563003772787</v>
      </c>
      <c r="G322" s="11">
        <f t="shared" si="30"/>
        <v>-3.1411594868219055</v>
      </c>
    </row>
    <row r="323" spans="5:7" x14ac:dyDescent="0.25">
      <c r="E323" s="11">
        <f t="shared" si="28"/>
        <v>-19</v>
      </c>
      <c r="F323" s="11">
        <f t="shared" si="29"/>
        <v>-3.12527746844941</v>
      </c>
      <c r="G323" s="11">
        <f t="shared" si="30"/>
        <v>-2.9896799365031428</v>
      </c>
    </row>
    <row r="324" spans="5:7" x14ac:dyDescent="0.25">
      <c r="E324" s="11">
        <f t="shared" si="28"/>
        <v>-18</v>
      </c>
      <c r="F324" s="11">
        <f t="shared" si="29"/>
        <v>-2.9633131880694608</v>
      </c>
      <c r="G324" s="11">
        <f t="shared" si="30"/>
        <v>-2.8390098838883517</v>
      </c>
    </row>
    <row r="325" spans="5:7" x14ac:dyDescent="0.25">
      <c r="E325" s="11">
        <f t="shared" si="28"/>
        <v>-17</v>
      </c>
      <c r="F325" s="11">
        <f t="shared" si="29"/>
        <v>-2.8016889666912039</v>
      </c>
      <c r="G325" s="11">
        <f t="shared" si="30"/>
        <v>-2.6889165456054265</v>
      </c>
    </row>
    <row r="326" spans="5:7" x14ac:dyDescent="0.25">
      <c r="E326" s="11">
        <f t="shared" si="28"/>
        <v>-16</v>
      </c>
      <c r="F326" s="11">
        <f t="shared" si="29"/>
        <v>-2.6403226487088598</v>
      </c>
      <c r="G326" s="11">
        <f t="shared" si="30"/>
        <v>-2.5391671382822603</v>
      </c>
    </row>
    <row r="327" spans="5:7" x14ac:dyDescent="0.25">
      <c r="E327" s="11">
        <f t="shared" si="28"/>
        <v>-15</v>
      </c>
      <c r="F327" s="11">
        <f t="shared" si="29"/>
        <v>-2.4791245382561495</v>
      </c>
      <c r="G327" s="11">
        <f t="shared" si="30"/>
        <v>-2.3895288785467463</v>
      </c>
    </row>
    <row r="328" spans="5:7" x14ac:dyDescent="0.25">
      <c r="E328" s="11">
        <f t="shared" si="28"/>
        <v>-14</v>
      </c>
      <c r="F328" s="11">
        <f t="shared" si="29"/>
        <v>-2.3179975564783493</v>
      </c>
      <c r="G328" s="11">
        <f t="shared" si="30"/>
        <v>-2.2397689830267788</v>
      </c>
    </row>
    <row r="329" spans="5:7" x14ac:dyDescent="0.25">
      <c r="E329" s="11">
        <f t="shared" si="28"/>
        <v>-13</v>
      </c>
      <c r="F329" s="11">
        <f t="shared" si="29"/>
        <v>-2.1568374329720128</v>
      </c>
      <c r="G329" s="11">
        <f t="shared" si="30"/>
        <v>-2.089654668350251</v>
      </c>
    </row>
    <row r="330" spans="5:7" x14ac:dyDescent="0.25">
      <c r="E330" s="11">
        <f t="shared" si="28"/>
        <v>-12</v>
      </c>
      <c r="F330" s="11">
        <f t="shared" si="29"/>
        <v>-1.995532930993271</v>
      </c>
      <c r="G330" s="11">
        <f t="shared" si="30"/>
        <v>-1.9389531511450566</v>
      </c>
    </row>
    <row r="331" spans="5:7" x14ac:dyDescent="0.25">
      <c r="E331" s="11">
        <f t="shared" si="28"/>
        <v>-11</v>
      </c>
      <c r="F331" s="11">
        <f t="shared" si="29"/>
        <v>-1.8339661059418699</v>
      </c>
      <c r="G331" s="11">
        <f t="shared" si="30"/>
        <v>-1.7874316480390893</v>
      </c>
    </row>
    <row r="332" spans="5:7" x14ac:dyDescent="0.25">
      <c r="E332" s="11">
        <f t="shared" si="28"/>
        <v>-10</v>
      </c>
      <c r="F332" s="11">
        <f t="shared" si="29"/>
        <v>-1.6720125965343495</v>
      </c>
      <c r="G332" s="11">
        <f t="shared" si="30"/>
        <v>-1.6348573756602425</v>
      </c>
    </row>
    <row r="333" spans="5:7" x14ac:dyDescent="0.25">
      <c r="E333" s="11">
        <f t="shared" si="28"/>
        <v>-9</v>
      </c>
      <c r="F333" s="11">
        <f t="shared" si="29"/>
        <v>-1.5095419479860068</v>
      </c>
      <c r="G333" s="11">
        <f t="shared" si="30"/>
        <v>-1.4809975506364099</v>
      </c>
    </row>
    <row r="334" spans="5:7" x14ac:dyDescent="0.25">
      <c r="E334" s="11">
        <f t="shared" si="28"/>
        <v>-8</v>
      </c>
      <c r="F334" s="11">
        <f t="shared" si="29"/>
        <v>-1.3464179664275375</v>
      </c>
      <c r="G334" s="11">
        <f t="shared" si="30"/>
        <v>-1.3256193895954853</v>
      </c>
    </row>
    <row r="335" spans="5:7" x14ac:dyDescent="0.25">
      <c r="E335" s="11">
        <f t="shared" si="28"/>
        <v>-7</v>
      </c>
      <c r="F335" s="11">
        <f t="shared" si="29"/>
        <v>-1.1824991036884966</v>
      </c>
      <c r="G335" s="11">
        <f t="shared" si="30"/>
        <v>-1.1684901091653619</v>
      </c>
    </row>
    <row r="336" spans="5:7" x14ac:dyDescent="0.25">
      <c r="E336" s="11">
        <f t="shared" si="28"/>
        <v>-6</v>
      </c>
      <c r="F336" s="11">
        <f t="shared" si="29"/>
        <v>-1.0176388714859534</v>
      </c>
      <c r="G336" s="11">
        <f t="shared" si="30"/>
        <v>-1.0093769259739336</v>
      </c>
    </row>
    <row r="337" spans="5:7" x14ac:dyDescent="0.25">
      <c r="E337" s="11">
        <f t="shared" si="28"/>
        <v>-5</v>
      </c>
      <c r="F337" s="11">
        <f t="shared" si="29"/>
        <v>-0.85168628396297752</v>
      </c>
      <c r="G337" s="11">
        <f t="shared" si="30"/>
        <v>-0.84804705664909386</v>
      </c>
    </row>
    <row r="338" spans="5:7" x14ac:dyDescent="0.25">
      <c r="E338" s="11">
        <f t="shared" si="28"/>
        <v>-4</v>
      </c>
      <c r="F338" s="11">
        <f t="shared" si="29"/>
        <v>-0.68448632742782112</v>
      </c>
      <c r="G338" s="11">
        <f t="shared" si="30"/>
        <v>-0.68426771781873619</v>
      </c>
    </row>
    <row r="339" spans="5:7" x14ac:dyDescent="0.25">
      <c r="E339" s="11">
        <f t="shared" si="28"/>
        <v>-3</v>
      </c>
      <c r="F339" s="11">
        <f t="shared" si="29"/>
        <v>-0.51588045605091948</v>
      </c>
      <c r="G339" s="11">
        <f t="shared" si="30"/>
        <v>-0.51780612611075449</v>
      </c>
    </row>
    <row r="340" spans="5:7" x14ac:dyDescent="0.25">
      <c r="E340" s="11">
        <f t="shared" si="28"/>
        <v>-2</v>
      </c>
      <c r="F340" s="11">
        <f t="shared" si="29"/>
        <v>-0.34570711218307132</v>
      </c>
      <c r="G340" s="11">
        <f t="shared" si="30"/>
        <v>-0.34842949815304219</v>
      </c>
    </row>
    <row r="341" spans="5:7" x14ac:dyDescent="0.25">
      <c r="E341" s="11">
        <f t="shared" si="28"/>
        <v>-1</v>
      </c>
      <c r="F341" s="11">
        <f t="shared" si="29"/>
        <v>-0.17380226986440708</v>
      </c>
      <c r="G341" s="11">
        <f t="shared" si="30"/>
        <v>-0.17590505057349282</v>
      </c>
    </row>
    <row r="342" spans="5:7" x14ac:dyDescent="0.25">
      <c r="E342" s="11">
        <f t="shared" si="28"/>
        <v>0</v>
      </c>
      <c r="F342" s="11">
        <f t="shared" si="29"/>
        <v>0</v>
      </c>
      <c r="G342" s="11">
        <f t="shared" si="30"/>
        <v>0</v>
      </c>
    </row>
    <row r="343" spans="5:7" x14ac:dyDescent="0.25">
      <c r="E343" s="11">
        <f t="shared" si="28"/>
        <v>1</v>
      </c>
      <c r="F343" s="11">
        <f t="shared" si="29"/>
        <v>0.17586694441578601</v>
      </c>
      <c r="G343" s="11">
        <f t="shared" si="30"/>
        <v>0.179478941126263</v>
      </c>
    </row>
    <row r="344" spans="5:7" x14ac:dyDescent="0.25">
      <c r="E344" s="11">
        <f t="shared" si="28"/>
        <v>2</v>
      </c>
      <c r="F344" s="11">
        <f t="shared" si="29"/>
        <v>0.353966524737863</v>
      </c>
      <c r="G344" s="11">
        <f t="shared" si="30"/>
        <v>0.36256707711100178</v>
      </c>
    </row>
    <row r="345" spans="5:7" x14ac:dyDescent="0.25">
      <c r="E345" s="11">
        <f t="shared" si="28"/>
        <v>3</v>
      </c>
      <c r="F345" s="11">
        <f t="shared" si="29"/>
        <v>0.53446679657731566</v>
      </c>
      <c r="G345" s="11">
        <f t="shared" si="30"/>
        <v>0.54926021644664391</v>
      </c>
    </row>
    <row r="346" spans="5:7" x14ac:dyDescent="0.25">
      <c r="E346" s="11">
        <f t="shared" si="28"/>
        <v>4</v>
      </c>
      <c r="F346" s="11">
        <f t="shared" si="29"/>
        <v>0.71753527507579185</v>
      </c>
      <c r="G346" s="11">
        <f t="shared" si="30"/>
        <v>0.7395541676256151</v>
      </c>
    </row>
    <row r="347" spans="5:7" x14ac:dyDescent="0.25">
      <c r="E347" s="11">
        <f t="shared" si="28"/>
        <v>5</v>
      </c>
      <c r="F347" s="11">
        <f t="shared" si="29"/>
        <v>0.90333828754031154</v>
      </c>
      <c r="G347" s="11">
        <f t="shared" si="30"/>
        <v>0.93344473914034232</v>
      </c>
    </row>
    <row r="348" spans="5:7" x14ac:dyDescent="0.25">
      <c r="E348" s="11">
        <f t="shared" si="28"/>
        <v>6</v>
      </c>
      <c r="F348" s="11">
        <f t="shared" si="29"/>
        <v>1.0920403155251663</v>
      </c>
      <c r="G348" s="11">
        <f t="shared" si="30"/>
        <v>1.1309277394832522</v>
      </c>
    </row>
    <row r="349" spans="5:7" x14ac:dyDescent="0.25">
      <c r="E349" s="11">
        <f t="shared" si="28"/>
        <v>7</v>
      </c>
      <c r="F349" s="11">
        <f t="shared" si="29"/>
        <v>1.2838033285413426</v>
      </c>
      <c r="G349" s="11">
        <f t="shared" si="30"/>
        <v>1.3319989771467711</v>
      </c>
    </row>
    <row r="350" spans="5:7" x14ac:dyDescent="0.25">
      <c r="E350" s="11">
        <f t="shared" si="28"/>
        <v>8</v>
      </c>
      <c r="F350" s="11">
        <f t="shared" si="29"/>
        <v>1.4787861116676571</v>
      </c>
      <c r="G350" s="11">
        <f t="shared" si="30"/>
        <v>1.5366542606233251</v>
      </c>
    </row>
    <row r="351" spans="5:7" x14ac:dyDescent="0.25">
      <c r="E351" s="11">
        <f t="shared" ref="E351:E414" si="31">E144</f>
        <v>9</v>
      </c>
      <c r="F351" s="11">
        <f t="shared" ref="F351:F414" si="32">$H$217*0+E351*$I$217+E351^2*$J$217+E351^3*$K$217+E351^4*$L$217+E351^5*$M$217+E351^6*$N$217+E351^7*$O$217+E351^8*$P$217</f>
        <v>1.6771435894315421</v>
      </c>
      <c r="G351" s="11">
        <f t="shared" ref="G351:G414" si="33">F144</f>
        <v>1.7448893984053413</v>
      </c>
    </row>
    <row r="352" spans="5:7" x14ac:dyDescent="0.25">
      <c r="E352" s="11">
        <f t="shared" si="31"/>
        <v>10</v>
      </c>
      <c r="F352" s="11">
        <f t="shared" si="32"/>
        <v>1.8790261484211745</v>
      </c>
      <c r="G352" s="11">
        <f t="shared" si="33"/>
        <v>1.9567001989852462</v>
      </c>
    </row>
    <row r="353" spans="5:7" x14ac:dyDescent="0.25">
      <c r="E353" s="11">
        <f t="shared" si="31"/>
        <v>11</v>
      </c>
      <c r="F353" s="11">
        <f t="shared" si="32"/>
        <v>2.0845789611844063</v>
      </c>
      <c r="G353" s="11">
        <f t="shared" si="33"/>
        <v>2.1720824708554662</v>
      </c>
    </row>
    <row r="354" spans="5:7" x14ac:dyDescent="0.25">
      <c r="E354" s="11">
        <f t="shared" si="31"/>
        <v>12</v>
      </c>
      <c r="F354" s="11">
        <f t="shared" si="32"/>
        <v>2.2939413140636944</v>
      </c>
      <c r="G354" s="11">
        <f t="shared" si="33"/>
        <v>2.3910320225084281</v>
      </c>
    </row>
    <row r="355" spans="5:7" x14ac:dyDescent="0.25">
      <c r="E355" s="11">
        <f t="shared" si="31"/>
        <v>13</v>
      </c>
      <c r="F355" s="11">
        <f t="shared" si="32"/>
        <v>2.5072459417099986</v>
      </c>
      <c r="G355" s="11">
        <f t="shared" si="33"/>
        <v>2.6135446624365581</v>
      </c>
    </row>
    <row r="356" spans="5:7" x14ac:dyDescent="0.25">
      <c r="E356" s="11">
        <f t="shared" si="31"/>
        <v>14</v>
      </c>
      <c r="F356" s="11">
        <f t="shared" si="32"/>
        <v>2.7246183711123577</v>
      </c>
      <c r="G356" s="11">
        <f t="shared" si="33"/>
        <v>2.8396161991322826</v>
      </c>
    </row>
    <row r="357" spans="5:7" x14ac:dyDescent="0.25">
      <c r="E357" s="11">
        <f t="shared" si="31"/>
        <v>15</v>
      </c>
      <c r="F357" s="11">
        <f t="shared" si="32"/>
        <v>2.9461762780736072</v>
      </c>
      <c r="G357" s="11">
        <f t="shared" si="33"/>
        <v>3.0692424410880284</v>
      </c>
    </row>
    <row r="358" spans="5:7" x14ac:dyDescent="0.25">
      <c r="E358" s="11">
        <f t="shared" si="31"/>
        <v>16</v>
      </c>
      <c r="F358" s="11">
        <f t="shared" si="32"/>
        <v>3.1720288591564834</v>
      </c>
      <c r="G358" s="11">
        <f t="shared" si="33"/>
        <v>3.302419196796222</v>
      </c>
    </row>
    <row r="359" spans="5:7" x14ac:dyDescent="0.25">
      <c r="E359" s="11">
        <f t="shared" si="31"/>
        <v>17</v>
      </c>
      <c r="F359" s="11">
        <f t="shared" si="32"/>
        <v>3.4022762222180747</v>
      </c>
      <c r="G359" s="11">
        <f t="shared" si="33"/>
        <v>3.53914227474929</v>
      </c>
    </row>
    <row r="360" spans="5:7" x14ac:dyDescent="0.25">
      <c r="E360" s="11">
        <f t="shared" si="31"/>
        <v>18</v>
      </c>
      <c r="F360" s="11">
        <f t="shared" si="32"/>
        <v>3.6370087987443647</v>
      </c>
      <c r="G360" s="11">
        <f t="shared" si="33"/>
        <v>3.7794074834396589</v>
      </c>
    </row>
    <row r="361" spans="5:7" x14ac:dyDescent="0.25">
      <c r="E361" s="11">
        <f t="shared" si="31"/>
        <v>19</v>
      </c>
      <c r="F361" s="11">
        <f t="shared" si="32"/>
        <v>3.8763067812903569</v>
      </c>
      <c r="G361" s="11">
        <f t="shared" si="33"/>
        <v>4.0232106313597553</v>
      </c>
    </row>
    <row r="362" spans="5:7" x14ac:dyDescent="0.25">
      <c r="E362" s="11">
        <f t="shared" si="31"/>
        <v>20</v>
      </c>
      <c r="F362" s="11">
        <f t="shared" si="32"/>
        <v>4.1202395894250241</v>
      </c>
      <c r="G362" s="11">
        <f t="shared" si="33"/>
        <v>4.2705475270020052</v>
      </c>
    </row>
    <row r="363" spans="5:7" x14ac:dyDescent="0.25">
      <c r="E363" s="11">
        <f t="shared" si="31"/>
        <v>21</v>
      </c>
      <c r="F363" s="11">
        <f t="shared" si="32"/>
        <v>4.3688653676740774</v>
      </c>
      <c r="G363" s="11">
        <f t="shared" si="33"/>
        <v>4.5214139788588357</v>
      </c>
    </row>
    <row r="364" spans="5:7" x14ac:dyDescent="0.25">
      <c r="E364" s="11">
        <f t="shared" si="31"/>
        <v>22</v>
      </c>
      <c r="F364" s="11">
        <f t="shared" si="32"/>
        <v>4.6222305190473181</v>
      </c>
      <c r="G364" s="11">
        <f t="shared" si="33"/>
        <v>4.7758057954226727</v>
      </c>
    </row>
    <row r="365" spans="5:7" x14ac:dyDescent="0.25">
      <c r="E365" s="11">
        <f t="shared" si="31"/>
        <v>23</v>
      </c>
      <c r="F365" s="11">
        <f t="shared" si="32"/>
        <v>4.8803692778310852</v>
      </c>
      <c r="G365" s="11">
        <f t="shared" si="33"/>
        <v>5.0337187851859442</v>
      </c>
    </row>
    <row r="366" spans="5:7" x14ac:dyDescent="0.25">
      <c r="E366" s="11">
        <f t="shared" si="31"/>
        <v>24</v>
      </c>
      <c r="F366" s="11">
        <f t="shared" si="32"/>
        <v>5.1433033254200398</v>
      </c>
      <c r="G366" s="11">
        <f t="shared" si="33"/>
        <v>5.2951487566410753</v>
      </c>
    </row>
    <row r="367" spans="5:7" x14ac:dyDescent="0.25">
      <c r="E367" s="11">
        <f t="shared" si="31"/>
        <v>25</v>
      </c>
      <c r="F367" s="11">
        <f t="shared" si="32"/>
        <v>5.4110414530563391</v>
      </c>
      <c r="G367" s="11">
        <f t="shared" si="33"/>
        <v>5.5600915182804922</v>
      </c>
    </row>
    <row r="368" spans="5:7" x14ac:dyDescent="0.25">
      <c r="E368" s="11">
        <f t="shared" si="31"/>
        <v>26</v>
      </c>
      <c r="F368" s="11">
        <f t="shared" si="32"/>
        <v>5.6835792754379435</v>
      </c>
      <c r="G368" s="11">
        <f t="shared" si="33"/>
        <v>5.8285428785966236</v>
      </c>
    </row>
    <row r="369" spans="5:7" x14ac:dyDescent="0.25">
      <c r="E369" s="11">
        <f t="shared" si="31"/>
        <v>27</v>
      </c>
      <c r="F369" s="11">
        <f t="shared" si="32"/>
        <v>5.9608989992516168</v>
      </c>
      <c r="G369" s="11">
        <f t="shared" si="33"/>
        <v>6.1004986460818929</v>
      </c>
    </row>
    <row r="370" spans="5:7" x14ac:dyDescent="0.25">
      <c r="E370" s="11">
        <f t="shared" si="31"/>
        <v>28</v>
      </c>
      <c r="F370" s="11">
        <f t="shared" si="32"/>
        <v>6.2429692507798604</v>
      </c>
      <c r="G370" s="11">
        <f t="shared" si="33"/>
        <v>6.3759546292287297</v>
      </c>
    </row>
    <row r="371" spans="5:7" x14ac:dyDescent="0.25">
      <c r="E371" s="11">
        <f t="shared" si="31"/>
        <v>29</v>
      </c>
      <c r="F371" s="11">
        <f t="shared" si="32"/>
        <v>6.5297449668248779</v>
      </c>
      <c r="G371" s="11">
        <f t="shared" si="33"/>
        <v>6.6549066365295584</v>
      </c>
    </row>
    <row r="372" spans="5:7" x14ac:dyDescent="0.25">
      <c r="E372" s="11">
        <f t="shared" si="31"/>
        <v>30</v>
      </c>
      <c r="F372" s="11">
        <f t="shared" si="32"/>
        <v>6.8211673532863024</v>
      </c>
      <c r="G372" s="11">
        <f t="shared" si="33"/>
        <v>6.9373504764768068</v>
      </c>
    </row>
    <row r="373" spans="5:7" x14ac:dyDescent="0.25">
      <c r="E373" s="11">
        <f t="shared" si="31"/>
        <v>31</v>
      </c>
      <c r="F373" s="11">
        <f t="shared" si="32"/>
        <v>7.1171639158233013</v>
      </c>
      <c r="G373" s="11">
        <f t="shared" si="33"/>
        <v>7.223281957562901</v>
      </c>
    </row>
    <row r="374" spans="5:7" x14ac:dyDescent="0.25">
      <c r="E374" s="11">
        <f t="shared" si="31"/>
        <v>32</v>
      </c>
      <c r="F374" s="11">
        <f t="shared" si="32"/>
        <v>7.4176485671252799</v>
      </c>
      <c r="G374" s="11">
        <f t="shared" si="33"/>
        <v>7.5126968882802672</v>
      </c>
    </row>
    <row r="375" spans="5:7" x14ac:dyDescent="0.25">
      <c r="E375" s="11">
        <f t="shared" si="31"/>
        <v>33</v>
      </c>
      <c r="F375" s="11">
        <f t="shared" si="32"/>
        <v>7.7225218154093342</v>
      </c>
      <c r="G375" s="11">
        <f t="shared" si="33"/>
        <v>7.805591077121333</v>
      </c>
    </row>
    <row r="376" spans="5:7" x14ac:dyDescent="0.25">
      <c r="E376" s="11">
        <f t="shared" si="31"/>
        <v>34</v>
      </c>
      <c r="F376" s="11">
        <f t="shared" si="32"/>
        <v>8.0316710388561923</v>
      </c>
      <c r="G376" s="11">
        <f t="shared" si="33"/>
        <v>8.101960332578523</v>
      </c>
    </row>
    <row r="377" spans="5:7" x14ac:dyDescent="0.25">
      <c r="E377" s="11">
        <f t="shared" si="31"/>
        <v>35</v>
      </c>
      <c r="F377" s="11">
        <f t="shared" si="32"/>
        <v>8.3449708507902596</v>
      </c>
      <c r="G377" s="11">
        <f t="shared" si="33"/>
        <v>8.4018004631442658</v>
      </c>
    </row>
    <row r="378" spans="5:7" x14ac:dyDescent="0.25">
      <c r="E378" s="11">
        <f t="shared" si="31"/>
        <v>36</v>
      </c>
      <c r="F378" s="11">
        <f t="shared" si="32"/>
        <v>8.6622835605030648</v>
      </c>
      <c r="G378" s="11">
        <f t="shared" si="33"/>
        <v>8.7051072773109865</v>
      </c>
    </row>
    <row r="379" spans="5:7" x14ac:dyDescent="0.25">
      <c r="E379" s="11">
        <f t="shared" si="31"/>
        <v>37</v>
      </c>
      <c r="F379" s="11">
        <f t="shared" si="32"/>
        <v>8.9834597347131755</v>
      </c>
      <c r="G379" s="11">
        <f t="shared" si="33"/>
        <v>9.0118765835711105</v>
      </c>
    </row>
    <row r="380" spans="5:7" x14ac:dyDescent="0.25">
      <c r="E380" s="11">
        <f t="shared" si="31"/>
        <v>38</v>
      </c>
      <c r="F380" s="11">
        <f t="shared" si="32"/>
        <v>9.30833886474948</v>
      </c>
      <c r="G380" s="11">
        <f t="shared" si="33"/>
        <v>9.3221041904170683</v>
      </c>
    </row>
    <row r="381" spans="5:7" x14ac:dyDescent="0.25">
      <c r="E381" s="11">
        <f t="shared" si="31"/>
        <v>39</v>
      </c>
      <c r="F381" s="11">
        <f t="shared" si="32"/>
        <v>9.6367501446383361</v>
      </c>
      <c r="G381" s="11">
        <f t="shared" si="33"/>
        <v>9.6357859063412832</v>
      </c>
    </row>
    <row r="382" spans="5:7" x14ac:dyDescent="0.25">
      <c r="E382" s="11">
        <f t="shared" si="31"/>
        <v>40</v>
      </c>
      <c r="F382" s="11">
        <f t="shared" si="32"/>
        <v>9.9685133653689828</v>
      </c>
      <c r="G382" s="11">
        <f t="shared" si="33"/>
        <v>9.9529175398361822</v>
      </c>
    </row>
    <row r="383" spans="5:7" x14ac:dyDescent="0.25">
      <c r="E383" s="11">
        <f t="shared" si="31"/>
        <v>41</v>
      </c>
      <c r="F383" s="11">
        <f t="shared" si="32"/>
        <v>10.303439930705323</v>
      </c>
      <c r="G383" s="11">
        <f t="shared" si="33"/>
        <v>10.273494899394194</v>
      </c>
    </row>
    <row r="384" spans="5:7" x14ac:dyDescent="0.25">
      <c r="E384" s="11">
        <f t="shared" si="31"/>
        <v>42</v>
      </c>
      <c r="F384" s="11">
        <f t="shared" si="32"/>
        <v>10.641334000005868</v>
      </c>
      <c r="G384" s="11">
        <f t="shared" si="33"/>
        <v>10.597513793507742</v>
      </c>
    </row>
    <row r="385" spans="5:7" x14ac:dyDescent="0.25">
      <c r="E385" s="11">
        <f t="shared" si="31"/>
        <v>43</v>
      </c>
      <c r="F385" s="11">
        <f t="shared" si="32"/>
        <v>10.981993763607516</v>
      </c>
      <c r="G385" s="11">
        <f t="shared" si="33"/>
        <v>10.924970030669254</v>
      </c>
    </row>
    <row r="386" spans="5:7" x14ac:dyDescent="0.25">
      <c r="E386" s="11">
        <f t="shared" si="31"/>
        <v>44</v>
      </c>
      <c r="F386" s="11">
        <f t="shared" si="32"/>
        <v>11.325212856422523</v>
      </c>
      <c r="G386" s="11">
        <f t="shared" si="33"/>
        <v>11.255859419371156</v>
      </c>
    </row>
    <row r="387" spans="5:7" x14ac:dyDescent="0.25">
      <c r="E387" s="11">
        <f t="shared" si="31"/>
        <v>45</v>
      </c>
      <c r="F387" s="11">
        <f t="shared" si="32"/>
        <v>11.670781915491711</v>
      </c>
      <c r="G387" s="11">
        <f t="shared" si="33"/>
        <v>11.590177768105878</v>
      </c>
    </row>
    <row r="388" spans="5:7" x14ac:dyDescent="0.25">
      <c r="E388" s="11">
        <f t="shared" si="31"/>
        <v>46</v>
      </c>
      <c r="F388" s="11">
        <f t="shared" si="32"/>
        <v>12.018490287330886</v>
      </c>
      <c r="G388" s="11">
        <f t="shared" si="33"/>
        <v>11.927905275528888</v>
      </c>
    </row>
    <row r="389" spans="5:7" x14ac:dyDescent="0.25">
      <c r="E389" s="11">
        <f t="shared" si="31"/>
        <v>47</v>
      </c>
      <c r="F389" s="11">
        <f t="shared" si="32"/>
        <v>12.368127891001023</v>
      </c>
      <c r="G389" s="11">
        <f t="shared" si="33"/>
        <v>12.268959700947848</v>
      </c>
    </row>
    <row r="390" spans="5:7" x14ac:dyDescent="0.25">
      <c r="E390" s="11">
        <f t="shared" si="31"/>
        <v>48</v>
      </c>
      <c r="F390" s="11">
        <f t="shared" si="32"/>
        <v>12.719487242926618</v>
      </c>
      <c r="G390" s="11">
        <f t="shared" si="33"/>
        <v>12.613243193833469</v>
      </c>
    </row>
    <row r="391" spans="5:7" x14ac:dyDescent="0.25">
      <c r="E391" s="11">
        <f t="shared" si="31"/>
        <v>49</v>
      </c>
      <c r="F391" s="11">
        <f t="shared" si="32"/>
        <v>13.072365649580378</v>
      </c>
      <c r="G391" s="11">
        <f t="shared" si="33"/>
        <v>12.960657903656454</v>
      </c>
    </row>
    <row r="392" spans="5:7" x14ac:dyDescent="0.25">
      <c r="E392" s="11">
        <f t="shared" si="31"/>
        <v>50</v>
      </c>
      <c r="F392" s="11">
        <f t="shared" si="32"/>
        <v>13.426567574246052</v>
      </c>
      <c r="G392" s="11">
        <f t="shared" si="33"/>
        <v>13.311105979887515</v>
      </c>
    </row>
    <row r="393" spans="5:7" x14ac:dyDescent="0.25">
      <c r="E393" s="11">
        <f t="shared" si="31"/>
        <v>51</v>
      </c>
      <c r="F393" s="11">
        <f t="shared" si="32"/>
        <v>13.781907184165185</v>
      </c>
      <c r="G393" s="11">
        <f t="shared" si="33"/>
        <v>13.664489571997352</v>
      </c>
    </row>
    <row r="394" spans="5:7" x14ac:dyDescent="0.25">
      <c r="E394" s="11">
        <f t="shared" si="31"/>
        <v>52</v>
      </c>
      <c r="F394" s="11">
        <f t="shared" si="32"/>
        <v>14.138211084467063</v>
      </c>
      <c r="G394" s="11">
        <f t="shared" si="33"/>
        <v>14.020710829456679</v>
      </c>
    </row>
    <row r="395" spans="5:7" x14ac:dyDescent="0.25">
      <c r="E395" s="11">
        <f t="shared" si="31"/>
        <v>53</v>
      </c>
      <c r="F395" s="11">
        <f t="shared" si="32"/>
        <v>14.495321245375079</v>
      </c>
      <c r="G395" s="11">
        <f t="shared" si="33"/>
        <v>14.379671901736199</v>
      </c>
    </row>
    <row r="396" spans="5:7" x14ac:dyDescent="0.25">
      <c r="E396" s="11">
        <f t="shared" si="31"/>
        <v>54</v>
      </c>
      <c r="F396" s="11">
        <f t="shared" si="32"/>
        <v>14.853098129276432</v>
      </c>
      <c r="G396" s="11">
        <f t="shared" si="33"/>
        <v>14.741274938306622</v>
      </c>
    </row>
    <row r="397" spans="5:7" x14ac:dyDescent="0.25">
      <c r="E397" s="11">
        <f t="shared" si="31"/>
        <v>55</v>
      </c>
      <c r="F397" s="11">
        <f t="shared" si="32"/>
        <v>15.211424024335782</v>
      </c>
      <c r="G397" s="11">
        <f t="shared" si="33"/>
        <v>15.105422088638658</v>
      </c>
    </row>
    <row r="398" spans="5:7" x14ac:dyDescent="0.25">
      <c r="E398" s="11">
        <f t="shared" si="31"/>
        <v>56</v>
      </c>
      <c r="F398" s="11">
        <f t="shared" si="32"/>
        <v>15.570206591427349</v>
      </c>
      <c r="G398" s="11">
        <f t="shared" si="33"/>
        <v>15.472015502203007</v>
      </c>
    </row>
    <row r="399" spans="5:7" x14ac:dyDescent="0.25">
      <c r="E399" s="11">
        <f t="shared" si="31"/>
        <v>57</v>
      </c>
      <c r="F399" s="11">
        <f t="shared" si="32"/>
        <v>15.929382631253535</v>
      </c>
      <c r="G399" s="11">
        <f t="shared" si="33"/>
        <v>15.840957328470381</v>
      </c>
    </row>
    <row r="400" spans="5:7" x14ac:dyDescent="0.25">
      <c r="E400" s="11">
        <f t="shared" si="31"/>
        <v>58</v>
      </c>
      <c r="F400" s="11">
        <f t="shared" si="32"/>
        <v>16.28892207861211</v>
      </c>
      <c r="G400" s="11">
        <f t="shared" si="33"/>
        <v>16.21214971691149</v>
      </c>
    </row>
    <row r="401" spans="5:7" x14ac:dyDescent="0.25">
      <c r="E401" s="11">
        <f t="shared" si="31"/>
        <v>59</v>
      </c>
      <c r="F401" s="11">
        <f t="shared" si="32"/>
        <v>16.648832230867573</v>
      </c>
      <c r="G401" s="11">
        <f t="shared" si="33"/>
        <v>16.585494816997034</v>
      </c>
    </row>
    <row r="402" spans="5:7" x14ac:dyDescent="0.25">
      <c r="E402" s="11">
        <f t="shared" si="31"/>
        <v>60</v>
      </c>
      <c r="F402" s="11">
        <f t="shared" si="32"/>
        <v>17.009162217776176</v>
      </c>
      <c r="G402" s="11">
        <f t="shared" si="33"/>
        <v>16.960894778197723</v>
      </c>
    </row>
    <row r="403" spans="5:7" x14ac:dyDescent="0.25">
      <c r="E403" s="11">
        <f t="shared" si="31"/>
        <v>61</v>
      </c>
      <c r="F403" s="11">
        <f t="shared" si="32"/>
        <v>17.370007719907715</v>
      </c>
      <c r="G403" s="11">
        <f t="shared" si="33"/>
        <v>17.33825174998427</v>
      </c>
    </row>
    <row r="404" spans="5:7" x14ac:dyDescent="0.25">
      <c r="E404" s="11">
        <f t="shared" si="31"/>
        <v>62</v>
      </c>
      <c r="F404" s="11">
        <f t="shared" si="32"/>
        <v>17.731515943001202</v>
      </c>
      <c r="G404" s="11">
        <f t="shared" si="33"/>
        <v>17.717467881827375</v>
      </c>
    </row>
    <row r="405" spans="5:7" x14ac:dyDescent="0.25">
      <c r="E405" s="11">
        <f t="shared" si="31"/>
        <v>63</v>
      </c>
      <c r="F405" s="11">
        <f t="shared" si="32"/>
        <v>18.093890855684979</v>
      </c>
      <c r="G405" s="11">
        <f t="shared" si="33"/>
        <v>18.098445323197748</v>
      </c>
    </row>
    <row r="406" spans="5:7" x14ac:dyDescent="0.25">
      <c r="E406" s="11">
        <f t="shared" si="31"/>
        <v>64</v>
      </c>
      <c r="F406" s="11">
        <f t="shared" si="32"/>
        <v>18.457398698085722</v>
      </c>
      <c r="G406" s="11">
        <f t="shared" si="33"/>
        <v>18.481086223566098</v>
      </c>
    </row>
    <row r="407" spans="5:7" x14ac:dyDescent="0.25">
      <c r="E407" s="11">
        <f t="shared" si="31"/>
        <v>65</v>
      </c>
      <c r="F407" s="11">
        <f t="shared" si="32"/>
        <v>18.822373768944779</v>
      </c>
      <c r="G407" s="11">
        <f t="shared" si="33"/>
        <v>18.86529273240313</v>
      </c>
    </row>
    <row r="408" spans="5:7" x14ac:dyDescent="0.25">
      <c r="E408" s="11">
        <f t="shared" si="31"/>
        <v>66</v>
      </c>
      <c r="F408" s="11">
        <f t="shared" si="32"/>
        <v>19.189224498953447</v>
      </c>
      <c r="G408" s="11">
        <f t="shared" si="33"/>
        <v>19.250966999179553</v>
      </c>
    </row>
    <row r="409" spans="5:7" x14ac:dyDescent="0.25">
      <c r="E409" s="11">
        <f t="shared" si="31"/>
        <v>67</v>
      </c>
      <c r="F409" s="11">
        <f t="shared" si="32"/>
        <v>19.558439818113253</v>
      </c>
      <c r="G409" s="11">
        <f t="shared" si="33"/>
        <v>19.638011173366074</v>
      </c>
    </row>
    <row r="410" spans="5:7" x14ac:dyDescent="0.25">
      <c r="E410" s="11">
        <f t="shared" si="31"/>
        <v>68</v>
      </c>
      <c r="F410" s="11">
        <f t="shared" si="32"/>
        <v>19.930595825020543</v>
      </c>
      <c r="G410" s="11">
        <f t="shared" si="33"/>
        <v>20.026327404433395</v>
      </c>
    </row>
    <row r="411" spans="5:7" x14ac:dyDescent="0.25">
      <c r="E411" s="11">
        <f t="shared" si="31"/>
        <v>69</v>
      </c>
      <c r="F411" s="11">
        <f t="shared" si="32"/>
        <v>20.306362766068592</v>
      </c>
      <c r="G411" s="11">
        <f t="shared" si="33"/>
        <v>20.415817841852231</v>
      </c>
    </row>
    <row r="412" spans="5:7" x14ac:dyDescent="0.25">
      <c r="E412" s="11">
        <f t="shared" si="31"/>
        <v>70</v>
      </c>
      <c r="F412" s="11">
        <f t="shared" si="32"/>
        <v>20.686512332654381</v>
      </c>
      <c r="G412" s="11">
        <f t="shared" si="33"/>
        <v>20.806384635093288</v>
      </c>
    </row>
    <row r="413" spans="5:7" x14ac:dyDescent="0.25">
      <c r="E413" s="11">
        <f t="shared" si="31"/>
        <v>71</v>
      </c>
      <c r="F413" s="11">
        <f t="shared" si="32"/>
        <v>21.071925284570597</v>
      </c>
      <c r="G413" s="11">
        <f t="shared" si="33"/>
        <v>21.197929933627272</v>
      </c>
    </row>
    <row r="414" spans="5:7" x14ac:dyDescent="0.25">
      <c r="E414" s="11">
        <f t="shared" si="31"/>
        <v>72</v>
      </c>
      <c r="F414" s="11">
        <f t="shared" si="32"/>
        <v>21.463599407857494</v>
      </c>
      <c r="G414" s="11">
        <f t="shared" si="33"/>
        <v>21.59035588692489</v>
      </c>
    </row>
    <row r="415" spans="5:7" x14ac:dyDescent="0.25">
      <c r="E415" s="11">
        <f t="shared" ref="E415:E422" si="34">E208</f>
        <v>73</v>
      </c>
      <c r="F415" s="11">
        <f t="shared" ref="F415:F422" si="35">$H$217*0+E415*$I$217+E415^2*$J$217+E415^3*$K$217+E415^4*$L$217+E415^5*$M$217+E415^6*$N$217+E415^7*$O$217+E415^8*$P$217</f>
        <v>21.862657815482816</v>
      </c>
      <c r="G415" s="11">
        <f t="shared" ref="G415:G422" si="36">F208</f>
        <v>21.983564644456848</v>
      </c>
    </row>
    <row r="416" spans="5:7" x14ac:dyDescent="0.25">
      <c r="E416" s="11">
        <f t="shared" si="34"/>
        <v>74</v>
      </c>
      <c r="F416" s="11">
        <f t="shared" si="35"/>
        <v>22.270357599311765</v>
      </c>
      <c r="G416" s="11">
        <f t="shared" si="36"/>
        <v>22.377458355693854</v>
      </c>
    </row>
    <row r="417" spans="5:7" x14ac:dyDescent="0.25">
      <c r="E417" s="11">
        <f t="shared" si="34"/>
        <v>75</v>
      </c>
      <c r="F417" s="11">
        <f t="shared" si="35"/>
        <v>22.68809884192288</v>
      </c>
      <c r="G417" s="11">
        <f t="shared" si="36"/>
        <v>22.771939170106617</v>
      </c>
    </row>
    <row r="418" spans="5:7" x14ac:dyDescent="0.25">
      <c r="E418" s="11">
        <f t="shared" si="34"/>
        <v>76</v>
      </c>
      <c r="F418" s="11">
        <f t="shared" si="35"/>
        <v>23.117433996919182</v>
      </c>
      <c r="G418" s="11">
        <f t="shared" si="36"/>
        <v>23.166909237165846</v>
      </c>
    </row>
    <row r="419" spans="5:7" x14ac:dyDescent="0.25">
      <c r="E419" s="11">
        <f t="shared" si="34"/>
        <v>77</v>
      </c>
      <c r="F419" s="11">
        <f t="shared" si="35"/>
        <v>23.560077646478035</v>
      </c>
      <c r="G419" s="11">
        <f t="shared" si="36"/>
        <v>23.562270706342243</v>
      </c>
    </row>
    <row r="420" spans="5:7" x14ac:dyDescent="0.25">
      <c r="E420" s="11">
        <f t="shared" si="34"/>
        <v>78</v>
      </c>
      <c r="F420" s="11">
        <f t="shared" si="35"/>
        <v>24.017916644976662</v>
      </c>
      <c r="G420" s="11">
        <f t="shared" si="36"/>
        <v>23.95792572710652</v>
      </c>
    </row>
    <row r="421" spans="5:7" x14ac:dyDescent="0.25">
      <c r="E421" s="11">
        <f t="shared" si="34"/>
        <v>79</v>
      </c>
      <c r="F421" s="11">
        <f t="shared" si="35"/>
        <v>24.493020657623997</v>
      </c>
      <c r="G421" s="11">
        <f t="shared" si="36"/>
        <v>24.353776448929381</v>
      </c>
    </row>
    <row r="422" spans="5:7" x14ac:dyDescent="0.25">
      <c r="E422" s="11">
        <f t="shared" si="34"/>
        <v>80</v>
      </c>
      <c r="F422" s="11">
        <f t="shared" si="35"/>
        <v>24.987653103123726</v>
      </c>
      <c r="G422" s="11">
        <f t="shared" si="36"/>
        <v>24.749725021281535</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-1.508E-5</v>
      </c>
      <c r="C3" s="2">
        <v>1.3990000000000001E-4</v>
      </c>
      <c r="D3" s="2">
        <v>-4.2339999999999999E-4</v>
      </c>
      <c r="E3" s="2">
        <v>0</v>
      </c>
      <c r="F3" s="2">
        <v>0</v>
      </c>
      <c r="G3" s="2">
        <v>0</v>
      </c>
      <c r="H3" s="2">
        <v>3.2312172000000002E-5</v>
      </c>
      <c r="I3" s="2">
        <v>1.2647863999999999E-5</v>
      </c>
      <c r="J3" s="2">
        <v>-9.1046880999999999E-5</v>
      </c>
      <c r="K3" s="3"/>
      <c r="L3" s="3">
        <f>-B3/D3</f>
        <v>-3.5616438356164383E-2</v>
      </c>
      <c r="M3" s="3"/>
      <c r="N3" s="2">
        <f>IF('Modell einstellen'!$B$1="Voll",H3/0.35,H3/0.35*2)</f>
        <v>1.8464098285714289E-4</v>
      </c>
      <c r="O3" s="2">
        <f>IF('Modell einstellen'!$B$1="Voll",J3/0.35,J3/0.35*2)</f>
        <v>-5.2026789142857141E-4</v>
      </c>
      <c r="P3" s="3">
        <f>-N3/O3</f>
        <v>0.35489597935815076</v>
      </c>
      <c r="Q3" s="3"/>
      <c r="R3" s="3"/>
      <c r="S3" s="3"/>
      <c r="T3" s="3"/>
      <c r="U3" s="3"/>
      <c r="V3" s="3"/>
      <c r="W3" s="3"/>
    </row>
    <row r="4" spans="1:23" x14ac:dyDescent="0.25">
      <c r="A4" s="2">
        <v>1E-14</v>
      </c>
      <c r="B4" s="2">
        <v>-1.509E-5</v>
      </c>
      <c r="C4" s="2">
        <v>1.3990000000000001E-4</v>
      </c>
      <c r="D4" s="2">
        <v>-4.2339999999999999E-4</v>
      </c>
      <c r="E4" s="2">
        <v>0</v>
      </c>
      <c r="F4" s="2">
        <v>0</v>
      </c>
      <c r="G4" s="2">
        <v>0</v>
      </c>
      <c r="H4" s="2">
        <v>3.2312252999999997E-5</v>
      </c>
      <c r="I4" s="2">
        <v>1.2648872E-5</v>
      </c>
      <c r="J4" s="2">
        <v>-9.1045558999999996E-5</v>
      </c>
      <c r="K4" s="3"/>
      <c r="L4" s="3">
        <f t="shared" ref="L4:L33" si="0">-B4/D4</f>
        <v>-3.5640056683986773E-2</v>
      </c>
      <c r="M4" s="3"/>
      <c r="N4" s="2">
        <f>IF('Modell einstellen'!$B$1="Voll",H4/0.35,H4/0.35*2)</f>
        <v>1.8464144571428572E-4</v>
      </c>
      <c r="O4" s="2">
        <f>IF('Modell einstellen'!$B$1="Voll",J4/0.35,J4/0.35*2)</f>
        <v>-5.2026033714285718E-4</v>
      </c>
      <c r="P4" s="3">
        <f t="shared" ref="P4:P33" si="1">-N4/O4</f>
        <v>0.35490202218430006</v>
      </c>
      <c r="Q4" s="3"/>
      <c r="R4" s="3"/>
      <c r="S4" s="3"/>
      <c r="T4" s="3"/>
      <c r="U4" s="3"/>
      <c r="V4" s="3"/>
      <c r="W4" s="3"/>
    </row>
    <row r="5" spans="1:23" x14ac:dyDescent="0.25">
      <c r="A5" s="2">
        <v>1E-13</v>
      </c>
      <c r="B5" s="2">
        <v>-1.508E-5</v>
      </c>
      <c r="C5" s="2">
        <v>1.3990000000000001E-4</v>
      </c>
      <c r="D5" s="2">
        <v>-4.2339999999999999E-4</v>
      </c>
      <c r="E5" s="2">
        <v>0</v>
      </c>
      <c r="F5" s="2">
        <v>0</v>
      </c>
      <c r="G5" s="2">
        <v>0</v>
      </c>
      <c r="H5" s="2">
        <v>3.2312425000000001E-5</v>
      </c>
      <c r="I5" s="2">
        <v>1.2649034999999999E-5</v>
      </c>
      <c r="J5" s="2">
        <v>-9.1046032999999999E-5</v>
      </c>
      <c r="K5" s="3"/>
      <c r="L5" s="3">
        <f t="shared" si="0"/>
        <v>-3.5616438356164383E-2</v>
      </c>
      <c r="M5" s="3"/>
      <c r="N5" s="2">
        <f>IF('Modell einstellen'!$B$1="Voll",H5/0.35,H5/0.35*2)</f>
        <v>1.8464242857142859E-4</v>
      </c>
      <c r="O5" s="2">
        <f>IF('Modell einstellen'!$B$1="Voll",J5/0.35,J5/0.35*2)</f>
        <v>-5.2026304571428574E-4</v>
      </c>
      <c r="P5" s="3">
        <f t="shared" si="1"/>
        <v>0.3549020636626749</v>
      </c>
      <c r="Q5" s="3"/>
      <c r="R5" s="3"/>
      <c r="S5" s="3"/>
      <c r="T5" s="3"/>
      <c r="U5" s="3"/>
      <c r="V5" s="3"/>
      <c r="W5" s="3"/>
    </row>
    <row r="6" spans="1:23" x14ac:dyDescent="0.25">
      <c r="A6" s="2">
        <v>9.9999999999999998E-13</v>
      </c>
      <c r="B6" s="2">
        <v>-1.508E-5</v>
      </c>
      <c r="C6" s="2">
        <v>1.3990000000000001E-4</v>
      </c>
      <c r="D6" s="2">
        <v>-4.2339999999999999E-4</v>
      </c>
      <c r="E6" s="2">
        <v>0</v>
      </c>
      <c r="F6" s="2">
        <v>0</v>
      </c>
      <c r="G6" s="2">
        <v>0</v>
      </c>
      <c r="H6" s="2">
        <v>3.2312469000000001E-5</v>
      </c>
      <c r="I6" s="2">
        <v>1.2649079999999999E-5</v>
      </c>
      <c r="J6" s="2">
        <v>-9.1046158999999997E-5</v>
      </c>
      <c r="K6" s="3"/>
      <c r="L6" s="3">
        <f t="shared" si="0"/>
        <v>-3.5616438356164383E-2</v>
      </c>
      <c r="M6" s="3"/>
      <c r="N6" s="2">
        <f>IF('Modell einstellen'!$B$1="Voll",H6/0.35,H6/0.35*2)</f>
        <v>1.8464268000000002E-4</v>
      </c>
      <c r="O6" s="2">
        <f>IF('Modell einstellen'!$B$1="Voll",J6/0.35,J6/0.35*2)</f>
        <v>-5.2026376571428568E-4</v>
      </c>
      <c r="P6" s="3">
        <f t="shared" si="1"/>
        <v>0.35490205578029937</v>
      </c>
      <c r="Q6" s="3"/>
      <c r="R6" s="3"/>
      <c r="S6" s="3"/>
      <c r="T6" s="3"/>
      <c r="U6" s="3"/>
      <c r="V6" s="3"/>
      <c r="W6" s="3"/>
    </row>
    <row r="7" spans="1:23" x14ac:dyDescent="0.25">
      <c r="A7" s="2">
        <v>9.9999999999999994E-12</v>
      </c>
      <c r="B7" s="2">
        <v>-1.508E-5</v>
      </c>
      <c r="C7" s="2">
        <v>1.3990000000000001E-4</v>
      </c>
      <c r="D7" s="2">
        <v>-4.2339999999999999E-4</v>
      </c>
      <c r="E7" s="2">
        <v>0</v>
      </c>
      <c r="F7" s="2">
        <v>0</v>
      </c>
      <c r="G7" s="2">
        <v>0</v>
      </c>
      <c r="H7" s="2">
        <v>3.2312481000000001E-5</v>
      </c>
      <c r="I7" s="2">
        <v>1.2649094000000001E-5</v>
      </c>
      <c r="J7" s="2">
        <v>-9.1046195999999998E-5</v>
      </c>
      <c r="K7" s="3"/>
      <c r="L7" s="3">
        <f t="shared" si="0"/>
        <v>-3.5616438356164383E-2</v>
      </c>
      <c r="M7" s="3"/>
      <c r="N7" s="2">
        <f>IF('Modell einstellen'!$B$1="Voll",H7/0.35,H7/0.35*2)</f>
        <v>1.8464274857142858E-4</v>
      </c>
      <c r="O7" s="2">
        <f>IF('Modell einstellen'!$B$1="Voll",J7/0.35,J7/0.35*2)</f>
        <v>-5.2026397714285716E-4</v>
      </c>
      <c r="P7" s="3">
        <f t="shared" si="1"/>
        <v>0.35490204335390357</v>
      </c>
      <c r="Q7" s="3"/>
      <c r="R7" s="3"/>
      <c r="S7" s="3"/>
      <c r="T7" s="3"/>
      <c r="U7" s="3"/>
      <c r="V7" s="3"/>
      <c r="W7" s="3"/>
    </row>
    <row r="8" spans="1:23" x14ac:dyDescent="0.25">
      <c r="A8" s="2">
        <v>1E-10</v>
      </c>
      <c r="B8" s="2">
        <v>-1.508E-5</v>
      </c>
      <c r="C8" s="2">
        <v>1.3990000000000001E-4</v>
      </c>
      <c r="D8" s="2">
        <v>-4.2339999999999999E-4</v>
      </c>
      <c r="E8" s="2">
        <v>0</v>
      </c>
      <c r="F8" s="2">
        <v>0</v>
      </c>
      <c r="G8" s="2">
        <v>0</v>
      </c>
      <c r="H8" s="2">
        <v>3.2312484999999998E-5</v>
      </c>
      <c r="I8" s="2">
        <v>1.2649098E-5</v>
      </c>
      <c r="J8" s="2">
        <v>-9.1046206999999995E-5</v>
      </c>
      <c r="K8" s="3"/>
      <c r="L8" s="3">
        <f t="shared" si="0"/>
        <v>-3.5616438356164383E-2</v>
      </c>
      <c r="M8" s="3"/>
      <c r="N8" s="2">
        <f>IF('Modell einstellen'!$B$1="Voll",H8/0.35,H8/0.35*2)</f>
        <v>1.8464277142857144E-4</v>
      </c>
      <c r="O8" s="2">
        <f>IF('Modell einstellen'!$B$1="Voll",J8/0.35,J8/0.35*2)</f>
        <v>-5.2026404000000005E-4</v>
      </c>
      <c r="P8" s="3">
        <f t="shared" si="1"/>
        <v>0.35490204440916467</v>
      </c>
      <c r="Q8" s="3"/>
      <c r="R8" s="3"/>
      <c r="S8" s="3"/>
      <c r="T8" s="3"/>
      <c r="U8" s="3"/>
      <c r="V8" s="3"/>
      <c r="W8" s="3"/>
    </row>
    <row r="9" spans="1:23" x14ac:dyDescent="0.25">
      <c r="A9" s="2">
        <v>1.0000000000000001E-9</v>
      </c>
      <c r="B9" s="2">
        <v>-1.508E-5</v>
      </c>
      <c r="C9" s="2">
        <v>1.3990000000000001E-4</v>
      </c>
      <c r="D9" s="2">
        <v>-4.2339999999999999E-4</v>
      </c>
      <c r="E9" s="2">
        <v>0</v>
      </c>
      <c r="F9" s="2">
        <v>0</v>
      </c>
      <c r="G9" s="2">
        <v>0</v>
      </c>
      <c r="H9" s="2">
        <v>3.2312486000000001E-5</v>
      </c>
      <c r="I9" s="2">
        <v>1.2649098999999999E-5</v>
      </c>
      <c r="J9" s="2">
        <v>-9.1046211000000006E-5</v>
      </c>
      <c r="K9" s="3"/>
      <c r="L9" s="3">
        <f t="shared" si="0"/>
        <v>-3.5616438356164383E-2</v>
      </c>
      <c r="M9" s="3"/>
      <c r="N9" s="2">
        <f>IF('Modell einstellen'!$B$1="Voll",H9/0.35,H9/0.35*2)</f>
        <v>1.8464277714285717E-4</v>
      </c>
      <c r="O9" s="2">
        <f>IF('Modell einstellen'!$B$1="Voll",J9/0.35,J9/0.35*2)</f>
        <v>-5.2026406285714288E-4</v>
      </c>
      <c r="P9" s="3">
        <f t="shared" si="1"/>
        <v>0.35490203980042623</v>
      </c>
      <c r="Q9" s="3"/>
      <c r="R9" s="3"/>
      <c r="S9" s="3"/>
      <c r="T9" s="3"/>
      <c r="U9" s="3"/>
      <c r="V9" s="3"/>
      <c r="W9" s="3"/>
    </row>
    <row r="10" spans="1:23" x14ac:dyDescent="0.25">
      <c r="A10" s="2">
        <v>1E-8</v>
      </c>
      <c r="B10" s="2">
        <v>-1.508E-5</v>
      </c>
      <c r="C10" s="2">
        <v>1.3990000000000001E-4</v>
      </c>
      <c r="D10" s="2">
        <v>-4.2339999999999999E-4</v>
      </c>
      <c r="E10" s="2">
        <v>0</v>
      </c>
      <c r="F10" s="2">
        <v>0</v>
      </c>
      <c r="G10" s="2">
        <v>0</v>
      </c>
      <c r="H10" s="2">
        <v>3.2312486999999997E-5</v>
      </c>
      <c r="I10" s="2">
        <v>1.2649100000000001E-5</v>
      </c>
      <c r="J10" s="2">
        <v>-9.1046212999999998E-5</v>
      </c>
      <c r="K10" s="3"/>
      <c r="L10" s="3">
        <f t="shared" si="0"/>
        <v>-3.5616438356164383E-2</v>
      </c>
      <c r="M10" s="3"/>
      <c r="N10" s="2">
        <f>IF('Modell einstellen'!$B$1="Voll",H10/0.35,H10/0.35*2)</f>
        <v>1.8464278285714285E-4</v>
      </c>
      <c r="O10" s="2">
        <f>IF('Modell einstellen'!$B$1="Voll",J10/0.35,J10/0.35*2)</f>
        <v>-5.2026407428571429E-4</v>
      </c>
      <c r="P10" s="3">
        <f t="shared" si="1"/>
        <v>0.35490204298777367</v>
      </c>
      <c r="Q10" s="3"/>
      <c r="R10" s="3"/>
      <c r="S10" s="3"/>
      <c r="T10" s="3"/>
      <c r="U10" s="3"/>
      <c r="V10" s="3"/>
      <c r="W10" s="3"/>
    </row>
    <row r="11" spans="1:23" x14ac:dyDescent="0.25">
      <c r="A11" s="2">
        <v>9.9999999999999995E-8</v>
      </c>
      <c r="B11" s="2">
        <v>-1.508E-5</v>
      </c>
      <c r="C11" s="2">
        <v>1.3990000000000001E-4</v>
      </c>
      <c r="D11" s="2">
        <v>-4.2339999999999999E-4</v>
      </c>
      <c r="E11" s="2">
        <v>0</v>
      </c>
      <c r="F11" s="2">
        <v>0</v>
      </c>
      <c r="G11" s="2">
        <v>0</v>
      </c>
      <c r="H11" s="2">
        <v>3.2312488E-5</v>
      </c>
      <c r="I11" s="2">
        <v>1.2649100000000001E-5</v>
      </c>
      <c r="J11" s="2">
        <v>-9.1046215000000004E-5</v>
      </c>
      <c r="K11" s="3"/>
      <c r="L11" s="3">
        <f t="shared" si="0"/>
        <v>-3.5616438356164383E-2</v>
      </c>
      <c r="M11" s="3"/>
      <c r="N11" s="2">
        <f>IF('Modell einstellen'!$B$1="Voll",H11/0.35,H11/0.35*2)</f>
        <v>1.8464278857142859E-4</v>
      </c>
      <c r="O11" s="2">
        <f>IF('Modell einstellen'!$B$1="Voll",J11/0.35,J11/0.35*2)</f>
        <v>-5.2026408571428581E-4</v>
      </c>
      <c r="P11" s="3">
        <f t="shared" si="1"/>
        <v>0.354902046175121</v>
      </c>
      <c r="Q11" s="3"/>
      <c r="R11" s="3"/>
      <c r="S11" s="3"/>
      <c r="T11" s="3"/>
      <c r="U11" s="3"/>
      <c r="V11" s="3"/>
      <c r="W11" s="3"/>
    </row>
    <row r="12" spans="1:23" x14ac:dyDescent="0.25">
      <c r="A12" s="2">
        <v>9.9999999999999995E-7</v>
      </c>
      <c r="B12" s="2">
        <v>-1.508E-5</v>
      </c>
      <c r="C12" s="2">
        <v>1.3990000000000001E-4</v>
      </c>
      <c r="D12" s="2">
        <v>-4.2339999999999999E-4</v>
      </c>
      <c r="E12" s="2">
        <v>0</v>
      </c>
      <c r="F12" s="2">
        <v>0</v>
      </c>
      <c r="G12" s="2">
        <v>0</v>
      </c>
      <c r="H12" s="2">
        <v>3.2312498000000001E-5</v>
      </c>
      <c r="I12" s="2">
        <v>1.2649101999999999E-5</v>
      </c>
      <c r="J12" s="2">
        <v>-9.1046229999999998E-5</v>
      </c>
      <c r="K12" s="3"/>
      <c r="L12" s="3">
        <f t="shared" si="0"/>
        <v>-3.5616438356164383E-2</v>
      </c>
      <c r="M12" s="3"/>
      <c r="N12" s="2">
        <f>IF('Modell einstellen'!$B$1="Voll",H12/0.35,H12/0.35*2)</f>
        <v>1.8464284571428574E-4</v>
      </c>
      <c r="O12" s="2">
        <f>IF('Modell einstellen'!$B$1="Voll",J12/0.35,J12/0.35*2)</f>
        <v>-5.2026417142857142E-4</v>
      </c>
      <c r="P12" s="3">
        <f t="shared" si="1"/>
        <v>0.35490209753879987</v>
      </c>
      <c r="Q12" s="3"/>
      <c r="R12" s="3"/>
      <c r="S12" s="3"/>
      <c r="T12" s="3"/>
      <c r="U12" s="3"/>
      <c r="V12" s="3"/>
      <c r="W12" s="3"/>
    </row>
    <row r="13" spans="1:23" x14ac:dyDescent="0.25">
      <c r="A13" s="2">
        <v>1.0000000000000001E-5</v>
      </c>
      <c r="B13" s="2">
        <v>-1.508E-5</v>
      </c>
      <c r="C13" s="2">
        <v>1.3990000000000001E-4</v>
      </c>
      <c r="D13" s="2">
        <v>-4.2339999999999999E-4</v>
      </c>
      <c r="E13" s="2">
        <v>0</v>
      </c>
      <c r="F13" s="2">
        <v>0</v>
      </c>
      <c r="G13" s="2">
        <v>0</v>
      </c>
      <c r="H13" s="2">
        <v>3.2312596000000002E-5</v>
      </c>
      <c r="I13" s="2">
        <v>1.2649117E-5</v>
      </c>
      <c r="J13" s="2">
        <v>-9.1046379999999995E-5</v>
      </c>
      <c r="K13" s="3"/>
      <c r="L13" s="3">
        <f t="shared" si="0"/>
        <v>-3.5616438356164383E-2</v>
      </c>
      <c r="M13" s="3"/>
      <c r="N13" s="2">
        <f>IF('Modell einstellen'!$B$1="Voll",H13/0.35,H13/0.35*2)</f>
        <v>1.8464340571428575E-4</v>
      </c>
      <c r="O13" s="2">
        <f>IF('Modell einstellen'!$B$1="Voll",J13/0.35,J13/0.35*2)</f>
        <v>-5.2026502857142854E-4</v>
      </c>
      <c r="P13" s="3">
        <f t="shared" si="1"/>
        <v>0.35490258920783019</v>
      </c>
      <c r="Q13" s="3"/>
      <c r="R13" s="3"/>
      <c r="S13" s="3"/>
      <c r="T13" s="3"/>
      <c r="U13" s="3"/>
      <c r="V13" s="3"/>
      <c r="W13" s="3"/>
    </row>
    <row r="14" spans="1:23" x14ac:dyDescent="0.25">
      <c r="A14" s="2">
        <v>1E-4</v>
      </c>
      <c r="B14" s="2">
        <v>-1.509E-5</v>
      </c>
      <c r="C14" s="2">
        <v>1.3990000000000001E-4</v>
      </c>
      <c r="D14" s="2">
        <v>-4.2339999999999999E-4</v>
      </c>
      <c r="E14" s="2">
        <v>0</v>
      </c>
      <c r="F14" s="2">
        <v>0</v>
      </c>
      <c r="G14" s="2">
        <v>0</v>
      </c>
      <c r="H14" s="2">
        <v>3.231358E-5</v>
      </c>
      <c r="I14" s="2">
        <v>1.2649271E-5</v>
      </c>
      <c r="J14" s="2">
        <v>-9.1047877999999999E-5</v>
      </c>
      <c r="K14" s="3"/>
      <c r="L14" s="3">
        <f t="shared" si="0"/>
        <v>-3.5640056683986773E-2</v>
      </c>
      <c r="M14" s="3"/>
      <c r="N14" s="2">
        <f>IF('Modell einstellen'!$B$1="Voll",H14/0.35,H14/0.35*2)</f>
        <v>1.8464902857142859E-4</v>
      </c>
      <c r="O14" s="2">
        <f>IF('Modell einstellen'!$B$1="Voll",J14/0.35,J14/0.35*2)</f>
        <v>-5.202735885714286E-4</v>
      </c>
      <c r="P14" s="3">
        <f t="shared" si="1"/>
        <v>0.35490755753802411</v>
      </c>
      <c r="Q14" s="3"/>
      <c r="R14" s="3"/>
      <c r="S14" s="3"/>
      <c r="T14" s="3"/>
      <c r="U14" s="3"/>
      <c r="V14" s="3"/>
      <c r="W14" s="3"/>
    </row>
    <row r="15" spans="1:23" x14ac:dyDescent="0.25">
      <c r="A15" s="2">
        <v>1E-3</v>
      </c>
      <c r="B15" s="2">
        <v>-1.5140000000000001E-5</v>
      </c>
      <c r="C15" s="2">
        <v>1.3990000000000001E-4</v>
      </c>
      <c r="D15" s="2">
        <v>-4.2329999999999999E-4</v>
      </c>
      <c r="E15" s="2">
        <v>0</v>
      </c>
      <c r="F15" s="2">
        <v>0</v>
      </c>
      <c r="G15" s="2">
        <v>0</v>
      </c>
      <c r="H15" s="2">
        <v>3.2323336999999997E-5</v>
      </c>
      <c r="I15" s="2">
        <v>1.2650798E-5</v>
      </c>
      <c r="J15" s="2">
        <v>-9.1062729000000004E-5</v>
      </c>
      <c r="K15" s="3"/>
      <c r="L15" s="3">
        <f t="shared" si="0"/>
        <v>-3.5766595794944483E-2</v>
      </c>
      <c r="M15" s="3"/>
      <c r="N15" s="2">
        <f>IF('Modell einstellen'!$B$1="Voll",H15/0.35,H15/0.35*2)</f>
        <v>1.8470478285714285E-4</v>
      </c>
      <c r="O15" s="2">
        <f>IF('Modell einstellen'!$B$1="Voll",J15/0.35,J15/0.35*2)</f>
        <v>-5.2035845142857145E-4</v>
      </c>
      <c r="P15" s="3">
        <f t="shared" si="1"/>
        <v>0.35495682322457078</v>
      </c>
      <c r="Q15" s="3"/>
      <c r="R15" s="3"/>
      <c r="S15" s="3"/>
      <c r="T15" s="3"/>
      <c r="U15" s="3"/>
      <c r="V15" s="3"/>
      <c r="W15" s="3"/>
    </row>
    <row r="16" spans="1:23" x14ac:dyDescent="0.25">
      <c r="A16" s="2">
        <v>0.01</v>
      </c>
      <c r="B16" s="2">
        <v>-1.5639999999999999E-5</v>
      </c>
      <c r="C16" s="2">
        <v>1.3999999999999999E-4</v>
      </c>
      <c r="D16" s="2">
        <v>-4.2319999999999999E-4</v>
      </c>
      <c r="E16" s="2">
        <v>0</v>
      </c>
      <c r="F16" s="2">
        <v>0</v>
      </c>
      <c r="G16" s="2">
        <v>0</v>
      </c>
      <c r="H16" s="2">
        <v>3.2416689999999997E-5</v>
      </c>
      <c r="I16" s="2">
        <v>1.2665400000000001E-5</v>
      </c>
      <c r="J16" s="2">
        <v>-9.1204778999999994E-5</v>
      </c>
      <c r="K16" s="3"/>
      <c r="L16" s="3">
        <f t="shared" si="0"/>
        <v>-3.6956521739130437E-2</v>
      </c>
      <c r="M16" s="3"/>
      <c r="N16" s="2">
        <f>IF('Modell einstellen'!$B$1="Voll",H16/0.35,H16/0.35*2)</f>
        <v>1.8523822857142855E-4</v>
      </c>
      <c r="O16" s="2">
        <f>IF('Modell einstellen'!$B$1="Voll",J16/0.35,J16/0.35*2)</f>
        <v>-5.2117016571428566E-4</v>
      </c>
      <c r="P16" s="3">
        <f t="shared" si="1"/>
        <v>0.35542753741007366</v>
      </c>
      <c r="Q16" s="3"/>
      <c r="R16" s="3"/>
      <c r="S16" s="3"/>
      <c r="T16" s="3"/>
      <c r="U16" s="3"/>
      <c r="V16" s="3"/>
      <c r="W16" s="3"/>
    </row>
    <row r="17" spans="1:23" x14ac:dyDescent="0.25">
      <c r="A17" s="2">
        <v>0.1</v>
      </c>
      <c r="B17" s="2">
        <v>-1.9320000000000001E-5</v>
      </c>
      <c r="C17" s="2">
        <v>1.4119999999999999E-4</v>
      </c>
      <c r="D17" s="2">
        <v>-4.2240000000000002E-4</v>
      </c>
      <c r="E17" s="2">
        <v>0</v>
      </c>
      <c r="F17" s="2">
        <v>0</v>
      </c>
      <c r="G17" s="2">
        <v>0</v>
      </c>
      <c r="H17" s="2">
        <v>3.3105370000000001E-5</v>
      </c>
      <c r="I17" s="2">
        <v>1.2772326000000001E-5</v>
      </c>
      <c r="J17" s="2">
        <v>-9.2249615E-5</v>
      </c>
      <c r="K17" s="3"/>
      <c r="L17" s="3">
        <f t="shared" si="0"/>
        <v>-4.5738636363636363E-2</v>
      </c>
      <c r="M17" s="3"/>
      <c r="N17" s="2">
        <f>IF('Modell einstellen'!$B$1="Voll",H17/0.35,H17/0.35*2)</f>
        <v>1.8917354285714286E-4</v>
      </c>
      <c r="O17" s="2">
        <f>IF('Modell einstellen'!$B$1="Voll",J17/0.35,J17/0.35*2)</f>
        <v>-5.2714065714285722E-4</v>
      </c>
      <c r="P17" s="3">
        <f t="shared" si="1"/>
        <v>0.35886729716974969</v>
      </c>
      <c r="Q17" s="3"/>
      <c r="R17" s="3"/>
      <c r="S17" s="3"/>
      <c r="T17" s="3"/>
      <c r="U17" s="3"/>
      <c r="V17" s="3"/>
      <c r="W17" s="3"/>
    </row>
    <row r="18" spans="1:23" x14ac:dyDescent="0.25">
      <c r="A18" s="2">
        <v>1</v>
      </c>
      <c r="B18" s="2">
        <v>-2.588E-5</v>
      </c>
      <c r="C18" s="2">
        <v>1.4310000000000001E-4</v>
      </c>
      <c r="D18" s="2">
        <v>-4.2059999999999998E-4</v>
      </c>
      <c r="E18" s="2">
        <v>0</v>
      </c>
      <c r="F18" s="2">
        <v>0</v>
      </c>
      <c r="G18" s="2">
        <v>0</v>
      </c>
      <c r="H18" s="2">
        <v>3.4298772000000001E-5</v>
      </c>
      <c r="I18" s="2">
        <v>1.2955475E-5</v>
      </c>
      <c r="J18" s="2">
        <v>-9.4042767999999999E-5</v>
      </c>
      <c r="K18" s="3"/>
      <c r="L18" s="3">
        <f t="shared" si="0"/>
        <v>-6.1531145981930581E-2</v>
      </c>
      <c r="M18" s="3"/>
      <c r="N18" s="2">
        <f>IF('Modell einstellen'!$B$1="Voll",H18/0.35,H18/0.35*2)</f>
        <v>1.9599298285714287E-4</v>
      </c>
      <c r="O18" s="2">
        <f>IF('Modell einstellen'!$B$1="Voll",J18/0.35,J18/0.35*2)</f>
        <v>-5.3738724571428579E-4</v>
      </c>
      <c r="P18" s="3">
        <f t="shared" si="1"/>
        <v>0.36471461580118525</v>
      </c>
      <c r="Q18" s="3"/>
      <c r="R18" s="3"/>
      <c r="S18" s="3"/>
      <c r="T18" s="3"/>
      <c r="U18" s="3"/>
      <c r="V18" s="3"/>
      <c r="W18" s="3"/>
    </row>
    <row r="19" spans="1:23" x14ac:dyDescent="0.25">
      <c r="A19" s="2">
        <v>10</v>
      </c>
      <c r="B19" s="2">
        <v>-3.0910000000000001E-5</v>
      </c>
      <c r="C19" s="2">
        <v>1.4469999999999999E-4</v>
      </c>
      <c r="D19" s="2">
        <v>-4.191E-4</v>
      </c>
      <c r="E19" s="2">
        <v>0</v>
      </c>
      <c r="F19" s="2">
        <v>0</v>
      </c>
      <c r="G19" s="2">
        <v>0</v>
      </c>
      <c r="H19" s="2">
        <v>3.5199886999999999E-5</v>
      </c>
      <c r="I19" s="2">
        <v>1.3097889E-5</v>
      </c>
      <c r="J19" s="2">
        <v>-9.5393229000000006E-5</v>
      </c>
      <c r="K19" s="3"/>
      <c r="L19" s="3">
        <f t="shared" si="0"/>
        <v>-7.3753280839895019E-2</v>
      </c>
      <c r="M19" s="3"/>
      <c r="N19" s="2">
        <f>IF('Modell einstellen'!$B$1="Voll",H19/0.35,H19/0.35*2)</f>
        <v>2.0114221142857145E-4</v>
      </c>
      <c r="O19" s="2">
        <f>IF('Modell einstellen'!$B$1="Voll",J19/0.35,J19/0.35*2)</f>
        <v>-5.4510416571428575E-4</v>
      </c>
      <c r="P19" s="3">
        <f t="shared" si="1"/>
        <v>0.368997751402251</v>
      </c>
      <c r="Q19" s="3"/>
      <c r="R19" s="3"/>
      <c r="S19" s="3"/>
      <c r="T19" s="3"/>
      <c r="U19" s="3"/>
      <c r="V19" s="3"/>
      <c r="W19" s="3"/>
    </row>
    <row r="20" spans="1:23" x14ac:dyDescent="0.25">
      <c r="A20" s="2">
        <v>100</v>
      </c>
      <c r="B20" s="2">
        <v>-3.6380000000000001E-5</v>
      </c>
      <c r="C20" s="2">
        <v>1.4630000000000001E-4</v>
      </c>
      <c r="D20" s="2">
        <v>-4.1730000000000001E-4</v>
      </c>
      <c r="E20" s="2">
        <v>0</v>
      </c>
      <c r="F20" s="2">
        <v>0</v>
      </c>
      <c r="G20" s="2">
        <v>0</v>
      </c>
      <c r="H20" s="2">
        <v>3.6148359999999998E-5</v>
      </c>
      <c r="I20" s="2">
        <v>1.3243187999999999E-5</v>
      </c>
      <c r="J20" s="2">
        <v>-9.6800307000000001E-5</v>
      </c>
      <c r="K20" s="3"/>
      <c r="L20" s="3">
        <f t="shared" si="0"/>
        <v>-8.7179487179487175E-2</v>
      </c>
      <c r="M20" s="3"/>
      <c r="N20" s="2">
        <f>IF('Modell einstellen'!$B$1="Voll",H20/0.35,H20/0.35*2)</f>
        <v>2.0656205714285716E-4</v>
      </c>
      <c r="O20" s="2">
        <f>IF('Modell einstellen'!$B$1="Voll",J20/0.35,J20/0.35*2)</f>
        <v>-5.531446114285715E-4</v>
      </c>
      <c r="P20" s="3">
        <f t="shared" si="1"/>
        <v>0.37343228673851209</v>
      </c>
      <c r="Q20" s="3"/>
      <c r="R20" s="3"/>
      <c r="S20" s="3"/>
      <c r="T20" s="3"/>
      <c r="U20" s="3"/>
      <c r="V20" s="3"/>
      <c r="W20" s="3"/>
    </row>
    <row r="21" spans="1:23" x14ac:dyDescent="0.25">
      <c r="A21" s="2">
        <v>1000</v>
      </c>
      <c r="B21" s="2">
        <v>-4.2840000000000003E-5</v>
      </c>
      <c r="C21" s="2">
        <v>1.482E-4</v>
      </c>
      <c r="D21" s="2">
        <v>-4.149E-4</v>
      </c>
      <c r="E21" s="2">
        <v>0</v>
      </c>
      <c r="F21" s="2">
        <v>0</v>
      </c>
      <c r="G21" s="2">
        <v>0</v>
      </c>
      <c r="H21" s="2">
        <v>3.7250158999999999E-5</v>
      </c>
      <c r="I21" s="2">
        <v>1.3410285E-5</v>
      </c>
      <c r="J21" s="2">
        <v>-9.8421907000000006E-5</v>
      </c>
      <c r="K21" s="3"/>
      <c r="L21" s="3">
        <f t="shared" si="0"/>
        <v>-0.10325379609544469</v>
      </c>
      <c r="M21" s="3"/>
      <c r="N21" s="2">
        <f>IF('Modell einstellen'!$B$1="Voll",H21/0.35,H21/0.35*2)</f>
        <v>2.1285805142857143E-4</v>
      </c>
      <c r="O21" s="2">
        <f>IF('Modell einstellen'!$B$1="Voll",J21/0.35,J21/0.35*2)</f>
        <v>-5.6241089714285724E-4</v>
      </c>
      <c r="P21" s="3">
        <f t="shared" si="1"/>
        <v>0.37847426589692063</v>
      </c>
      <c r="Q21" s="3"/>
      <c r="R21" s="3"/>
      <c r="S21" s="3"/>
      <c r="T21" s="3"/>
      <c r="U21" s="3"/>
      <c r="V21" s="3"/>
      <c r="W21" s="3"/>
    </row>
    <row r="22" spans="1:23" x14ac:dyDescent="0.25">
      <c r="A22" s="2">
        <v>10000</v>
      </c>
      <c r="B22" s="2">
        <v>-4.8989999999999997E-5</v>
      </c>
      <c r="C22" s="2">
        <v>1.5139999999999999E-4</v>
      </c>
      <c r="D22" s="2">
        <v>-4.1429999999999999E-4</v>
      </c>
      <c r="E22" s="2">
        <v>0</v>
      </c>
      <c r="F22" s="2">
        <v>0</v>
      </c>
      <c r="G22" s="2">
        <v>0</v>
      </c>
      <c r="H22" s="2">
        <v>3.8592371999999997E-5</v>
      </c>
      <c r="I22" s="2">
        <v>1.3708186E-5</v>
      </c>
      <c r="J22" s="2">
        <v>-1.0053147E-4</v>
      </c>
      <c r="K22" s="3"/>
      <c r="L22" s="3">
        <f t="shared" si="0"/>
        <v>-0.11824764663287472</v>
      </c>
      <c r="M22" s="3"/>
      <c r="N22" s="2">
        <f>IF('Modell einstellen'!$B$1="Voll",H22/0.35,H22/0.35*2)</f>
        <v>2.2052783999999999E-4</v>
      </c>
      <c r="O22" s="2">
        <f>IF('Modell einstellen'!$B$1="Voll",J22/0.35,J22/0.35*2)</f>
        <v>-5.7446554285714283E-4</v>
      </c>
      <c r="P22" s="3">
        <f t="shared" si="1"/>
        <v>0.38388349439235298</v>
      </c>
      <c r="Q22" s="3"/>
      <c r="R22" s="3"/>
      <c r="S22" s="3"/>
      <c r="T22" s="3"/>
      <c r="U22" s="3"/>
      <c r="V22" s="3"/>
      <c r="W22" s="3"/>
    </row>
    <row r="23" spans="1:23" x14ac:dyDescent="0.25">
      <c r="A23" s="2">
        <v>100000</v>
      </c>
      <c r="B23" s="2">
        <v>-4.6050000000000001E-5</v>
      </c>
      <c r="C23" s="2">
        <v>1.595E-4</v>
      </c>
      <c r="D23" s="2">
        <v>-4.2539999999999999E-4</v>
      </c>
      <c r="E23" s="2">
        <v>0</v>
      </c>
      <c r="F23" s="2">
        <v>0</v>
      </c>
      <c r="G23" s="2">
        <v>0</v>
      </c>
      <c r="H23" s="2">
        <v>4.0776355999999998E-5</v>
      </c>
      <c r="I23" s="2">
        <v>1.4682882E-5</v>
      </c>
      <c r="J23" s="2">
        <v>-1.0467393E-4</v>
      </c>
      <c r="K23" s="3"/>
      <c r="L23" s="3">
        <f t="shared" si="0"/>
        <v>-0.10825105782792667</v>
      </c>
      <c r="M23" s="3"/>
      <c r="N23" s="2">
        <f>IF('Modell einstellen'!$B$1="Voll",H23/0.35,H23/0.35*2)</f>
        <v>2.3300774857142859E-4</v>
      </c>
      <c r="O23" s="2">
        <f>IF('Modell einstellen'!$B$1="Voll",J23/0.35,J23/0.35*2)</f>
        <v>-5.9813674285714286E-4</v>
      </c>
      <c r="P23" s="3">
        <f t="shared" si="1"/>
        <v>0.38955598590785695</v>
      </c>
      <c r="Q23" s="3"/>
      <c r="R23" s="3"/>
      <c r="S23" s="3"/>
      <c r="T23" s="3"/>
      <c r="U23" s="3"/>
      <c r="V23" s="3"/>
      <c r="W23" s="3"/>
    </row>
    <row r="24" spans="1:23" x14ac:dyDescent="0.25">
      <c r="A24" s="2">
        <v>1000000</v>
      </c>
      <c r="B24" s="2">
        <v>-2.1939999999999999E-7</v>
      </c>
      <c r="C24" s="2">
        <v>1.8589999999999999E-4</v>
      </c>
      <c r="D24" s="2">
        <v>-4.8769999999999998E-4</v>
      </c>
      <c r="E24" s="2">
        <v>0</v>
      </c>
      <c r="F24" s="2">
        <v>0</v>
      </c>
      <c r="G24" s="2">
        <v>0</v>
      </c>
      <c r="H24" s="2">
        <v>4.5791726000000002E-5</v>
      </c>
      <c r="I24" s="2">
        <v>1.8423627000000001E-5</v>
      </c>
      <c r="J24" s="2">
        <v>-1.1644216000000001E-4</v>
      </c>
      <c r="K24" s="3"/>
      <c r="L24" s="3">
        <f t="shared" si="0"/>
        <v>-4.4986672134508918E-4</v>
      </c>
      <c r="M24" s="3"/>
      <c r="N24" s="2">
        <f>IF('Modell einstellen'!$B$1="Voll",H24/0.35,H24/0.35*2)</f>
        <v>2.6166700571428575E-4</v>
      </c>
      <c r="O24" s="2">
        <f>IF('Modell einstellen'!$B$1="Voll",J24/0.35,J24/0.35*2)</f>
        <v>-6.6538377142857149E-4</v>
      </c>
      <c r="P24" s="3">
        <f t="shared" si="1"/>
        <v>0.3932572703907245</v>
      </c>
      <c r="Q24" s="3"/>
      <c r="R24" s="3"/>
      <c r="S24" s="3"/>
      <c r="T24" s="3"/>
      <c r="U24" s="3"/>
      <c r="V24" s="3"/>
      <c r="W24" s="3"/>
    </row>
    <row r="25" spans="1:23" x14ac:dyDescent="0.25">
      <c r="A25" s="2">
        <v>10000000</v>
      </c>
      <c r="B25" s="2">
        <v>9.5439999999999994E-5</v>
      </c>
      <c r="C25" s="2">
        <v>2.351E-4</v>
      </c>
      <c r="D25" s="2">
        <v>-6.1079999999999999E-4</v>
      </c>
      <c r="E25" s="2">
        <v>0</v>
      </c>
      <c r="F25" s="2">
        <v>0</v>
      </c>
      <c r="G25" s="2">
        <v>0</v>
      </c>
      <c r="H25" s="2">
        <v>5.3864538999999999E-5</v>
      </c>
      <c r="I25" s="2">
        <v>2.5600403000000001E-5</v>
      </c>
      <c r="J25" s="2">
        <v>-1.3729097000000001E-4</v>
      </c>
      <c r="K25" s="3"/>
      <c r="L25" s="3">
        <f t="shared" si="0"/>
        <v>0.15625409299279633</v>
      </c>
      <c r="M25" s="3"/>
      <c r="N25" s="2">
        <f>IF('Modell einstellen'!$B$1="Voll",H25/0.35,H25/0.35*2)</f>
        <v>3.0779736571428574E-4</v>
      </c>
      <c r="O25" s="2">
        <f>IF('Modell einstellen'!$B$1="Voll",J25/0.35,J25/0.35*2)</f>
        <v>-7.8451982857142871E-4</v>
      </c>
      <c r="P25" s="3">
        <f t="shared" si="1"/>
        <v>0.39233854200316304</v>
      </c>
      <c r="Q25" s="3"/>
      <c r="R25" s="3"/>
      <c r="S25" s="3"/>
      <c r="T25" s="3"/>
      <c r="U25" s="3"/>
      <c r="V25" s="3"/>
      <c r="W25" s="3"/>
    </row>
    <row r="26" spans="1:23" x14ac:dyDescent="0.25">
      <c r="A26" s="2">
        <v>100000000</v>
      </c>
      <c r="B26" s="2">
        <v>2.041E-4</v>
      </c>
      <c r="C26" s="2">
        <v>2.943E-4</v>
      </c>
      <c r="D26" s="2">
        <v>-7.5489999999999997E-4</v>
      </c>
      <c r="E26" s="2">
        <v>0</v>
      </c>
      <c r="F26" s="2">
        <v>0</v>
      </c>
      <c r="G26" s="2">
        <v>0</v>
      </c>
      <c r="H26" s="2">
        <v>6.2573227E-5</v>
      </c>
      <c r="I26" s="2">
        <v>3.3945188000000002E-5</v>
      </c>
      <c r="J26" s="2">
        <v>-1.6094762000000001E-4</v>
      </c>
      <c r="K26" s="3"/>
      <c r="L26" s="3">
        <f t="shared" si="0"/>
        <v>0.27036693601801565</v>
      </c>
      <c r="M26" s="3"/>
      <c r="N26" s="2">
        <f>IF('Modell einstellen'!$B$1="Voll",H26/0.35,H26/0.35*2)</f>
        <v>3.5756129714285714E-4</v>
      </c>
      <c r="O26" s="2">
        <f>IF('Modell einstellen'!$B$1="Voll",J26/0.35,J26/0.35*2)</f>
        <v>-9.1970068571428578E-4</v>
      </c>
      <c r="P26" s="3">
        <f t="shared" si="1"/>
        <v>0.38878007018680982</v>
      </c>
      <c r="Q26" s="3"/>
      <c r="R26" s="3"/>
      <c r="S26" s="3"/>
      <c r="T26" s="3"/>
      <c r="U26" s="3"/>
      <c r="V26" s="3"/>
      <c r="W26" s="3"/>
    </row>
    <row r="27" spans="1:23" x14ac:dyDescent="0.25">
      <c r="A27" s="2">
        <v>1000000000</v>
      </c>
      <c r="B27" s="2">
        <v>3.0039999999999998E-4</v>
      </c>
      <c r="C27" s="2">
        <v>3.5359999999999998E-4</v>
      </c>
      <c r="D27" s="2">
        <v>-8.9110000000000003E-4</v>
      </c>
      <c r="E27" s="2">
        <v>0</v>
      </c>
      <c r="F27" s="2">
        <v>0</v>
      </c>
      <c r="G27" s="2">
        <v>0</v>
      </c>
      <c r="H27" s="2">
        <v>7.0746065999999997E-5</v>
      </c>
      <c r="I27" s="2">
        <v>4.1939605999999997E-5</v>
      </c>
      <c r="J27" s="2">
        <v>-1.8367239E-4</v>
      </c>
      <c r="K27" s="3"/>
      <c r="L27" s="3">
        <f t="shared" si="0"/>
        <v>0.33711143530467957</v>
      </c>
      <c r="M27" s="3"/>
      <c r="N27" s="2">
        <f>IF('Modell einstellen'!$B$1="Voll",H27/0.35,H27/0.35*2)</f>
        <v>4.0426323428571428E-4</v>
      </c>
      <c r="O27" s="2">
        <f>IF('Modell einstellen'!$B$1="Voll",J27/0.35,J27/0.35*2)</f>
        <v>-1.0495565142857144E-3</v>
      </c>
      <c r="P27" s="3">
        <f t="shared" si="1"/>
        <v>0.38517528954678487</v>
      </c>
      <c r="Q27" s="3"/>
      <c r="R27" s="3"/>
      <c r="S27" s="3"/>
      <c r="T27" s="3"/>
      <c r="U27" s="3"/>
      <c r="V27" s="3"/>
      <c r="W27" s="3"/>
    </row>
    <row r="28" spans="1:23" x14ac:dyDescent="0.25">
      <c r="A28" s="2">
        <v>10000000000</v>
      </c>
      <c r="B28" s="2">
        <v>3.8069999999999998E-4</v>
      </c>
      <c r="C28" s="2">
        <v>4.1140000000000003E-4</v>
      </c>
      <c r="D28" s="2">
        <v>-1.0150000000000001E-3</v>
      </c>
      <c r="E28" s="2">
        <v>0</v>
      </c>
      <c r="F28" s="2">
        <v>0</v>
      </c>
      <c r="G28" s="2">
        <v>0</v>
      </c>
      <c r="H28" s="2">
        <v>7.8550654999999997E-5</v>
      </c>
      <c r="I28" s="2">
        <v>4.9546007999999998E-5</v>
      </c>
      <c r="J28" s="2">
        <v>-2.0563472999999999E-4</v>
      </c>
      <c r="K28" s="3"/>
      <c r="L28" s="3">
        <f t="shared" si="0"/>
        <v>0.37507389162561572</v>
      </c>
      <c r="M28" s="3"/>
      <c r="N28" s="2">
        <f>IF('Modell einstellen'!$B$1="Voll",H28/0.35,H28/0.35*2)</f>
        <v>4.4886088571428575E-4</v>
      </c>
      <c r="O28" s="2">
        <f>IF('Modell einstellen'!$B$1="Voll",J28/0.35,J28/0.35*2)</f>
        <v>-1.1750555999999999E-3</v>
      </c>
      <c r="P28" s="3">
        <f t="shared" si="1"/>
        <v>0.38199118893972828</v>
      </c>
      <c r="Q28" s="3"/>
      <c r="R28" s="3"/>
      <c r="S28" s="3"/>
      <c r="T28" s="3"/>
      <c r="U28" s="3"/>
      <c r="V28" s="3"/>
      <c r="W28" s="3"/>
    </row>
    <row r="29" spans="1:23" x14ac:dyDescent="0.25">
      <c r="A29" s="2">
        <v>100000000000</v>
      </c>
      <c r="B29" s="2">
        <v>4.4729999999999998E-4</v>
      </c>
      <c r="C29" s="2">
        <v>4.6729999999999997E-4</v>
      </c>
      <c r="D29" s="2">
        <v>-1.1280000000000001E-3</v>
      </c>
      <c r="E29" s="2">
        <v>0</v>
      </c>
      <c r="F29" s="2">
        <v>0</v>
      </c>
      <c r="G29" s="2">
        <v>0</v>
      </c>
      <c r="H29" s="2">
        <v>8.5870352000000006E-5</v>
      </c>
      <c r="I29" s="2">
        <v>5.6855928000000002E-5</v>
      </c>
      <c r="J29" s="2">
        <v>-2.2678891999999999E-4</v>
      </c>
      <c r="K29" s="3"/>
      <c r="L29" s="3">
        <f t="shared" si="0"/>
        <v>0.39654255319148929</v>
      </c>
      <c r="M29" s="3"/>
      <c r="N29" s="2">
        <f>IF('Modell einstellen'!$B$1="Voll",H29/0.35,H29/0.35*2)</f>
        <v>4.9068772571428582E-4</v>
      </c>
      <c r="O29" s="2">
        <f>IF('Modell einstellen'!$B$1="Voll",J29/0.35,J29/0.35*2)</f>
        <v>-1.2959366857142858E-3</v>
      </c>
      <c r="P29" s="3">
        <f t="shared" si="1"/>
        <v>0.37863557002696607</v>
      </c>
      <c r="Q29" s="3"/>
      <c r="R29" s="3"/>
      <c r="S29" s="3"/>
      <c r="T29" s="3"/>
      <c r="U29" s="3"/>
      <c r="V29" s="3"/>
      <c r="W29" s="3"/>
    </row>
    <row r="30" spans="1:23" x14ac:dyDescent="0.25">
      <c r="A30" s="2">
        <v>1000000000000</v>
      </c>
      <c r="B30" s="2">
        <v>5.0120000000000004E-4</v>
      </c>
      <c r="C30" s="2">
        <v>5.1800000000000001E-4</v>
      </c>
      <c r="D30" s="2">
        <v>-1.225E-3</v>
      </c>
      <c r="E30" s="2">
        <v>0</v>
      </c>
      <c r="F30" s="2">
        <v>0</v>
      </c>
      <c r="G30" s="2">
        <v>0</v>
      </c>
      <c r="H30" s="2">
        <v>9.2135755000000003E-5</v>
      </c>
      <c r="I30" s="2">
        <v>6.3455172999999995E-5</v>
      </c>
      <c r="J30" s="2">
        <v>-2.4563800000000001E-4</v>
      </c>
      <c r="K30" s="3"/>
      <c r="L30" s="3">
        <f t="shared" si="0"/>
        <v>0.4091428571428572</v>
      </c>
      <c r="M30" s="3"/>
      <c r="N30" s="2">
        <f>IF('Modell einstellen'!$B$1="Voll",H30/0.35,H30/0.35*2)</f>
        <v>5.2649002857142865E-4</v>
      </c>
      <c r="O30" s="2">
        <f>IF('Modell einstellen'!$B$1="Voll",J30/0.35,J30/0.35*2)</f>
        <v>-1.4036457142857144E-3</v>
      </c>
      <c r="P30" s="3">
        <f t="shared" si="1"/>
        <v>0.37508754752929113</v>
      </c>
      <c r="Q30" s="3"/>
      <c r="R30" s="3"/>
      <c r="S30" s="3"/>
      <c r="T30" s="3"/>
      <c r="U30" s="3"/>
      <c r="V30" s="3"/>
      <c r="W30" s="3"/>
    </row>
    <row r="31" spans="1:23" x14ac:dyDescent="0.25">
      <c r="A31" s="2">
        <v>10000000000000</v>
      </c>
      <c r="B31" s="2">
        <v>5.4480000000000002E-4</v>
      </c>
      <c r="C31" s="2">
        <v>5.6340000000000003E-4</v>
      </c>
      <c r="D31" s="2">
        <v>-1.3079999999999999E-3</v>
      </c>
      <c r="E31" s="2">
        <v>0</v>
      </c>
      <c r="F31" s="2">
        <v>0</v>
      </c>
      <c r="G31" s="2">
        <v>0</v>
      </c>
      <c r="H31" s="2">
        <v>9.7724777999999996E-5</v>
      </c>
      <c r="I31" s="2">
        <v>6.9386441999999998E-5</v>
      </c>
      <c r="J31" s="2">
        <v>-2.6262189999999997E-4</v>
      </c>
      <c r="K31" s="3"/>
      <c r="L31" s="3">
        <f t="shared" si="0"/>
        <v>0.41651376146788993</v>
      </c>
      <c r="M31" s="3"/>
      <c r="N31" s="2">
        <f>IF('Modell einstellen'!$B$1="Voll",H31/0.35,H31/0.35*2)</f>
        <v>5.5842730285714291E-4</v>
      </c>
      <c r="O31" s="2">
        <f>IF('Modell einstellen'!$B$1="Voll",J31/0.35,J31/0.35*2)</f>
        <v>-1.5006965714285713E-3</v>
      </c>
      <c r="P31" s="3">
        <f t="shared" si="1"/>
        <v>0.37211206681544845</v>
      </c>
      <c r="Q31" s="3"/>
      <c r="R31" s="3"/>
      <c r="S31" s="3"/>
      <c r="T31" s="3"/>
      <c r="U31" s="3"/>
      <c r="V31" s="3"/>
      <c r="W31" s="3"/>
    </row>
    <row r="32" spans="1:23" x14ac:dyDescent="0.25">
      <c r="A32" s="2">
        <v>100000000000000</v>
      </c>
      <c r="B32" s="2">
        <v>5.8290000000000002E-4</v>
      </c>
      <c r="C32" s="2">
        <v>6.0650000000000005E-4</v>
      </c>
      <c r="D32" s="2">
        <v>-1.3860000000000001E-3</v>
      </c>
      <c r="E32" s="2">
        <v>0</v>
      </c>
      <c r="F32" s="2">
        <v>0</v>
      </c>
      <c r="G32" s="2">
        <v>0</v>
      </c>
      <c r="H32" s="2">
        <v>1.0342105E-4</v>
      </c>
      <c r="I32" s="2">
        <v>7.5170012000000007E-5</v>
      </c>
      <c r="J32" s="2">
        <v>-2.7952749E-4</v>
      </c>
      <c r="K32" s="3"/>
      <c r="L32" s="3">
        <f t="shared" si="0"/>
        <v>0.42056277056277053</v>
      </c>
      <c r="M32" s="3"/>
      <c r="N32" s="2">
        <f>IF('Modell einstellen'!$B$1="Voll",H32/0.35,H32/0.35*2)</f>
        <v>5.9097742857142858E-4</v>
      </c>
      <c r="O32" s="2">
        <f>IF('Modell einstellen'!$B$1="Voll",J32/0.35,J32/0.35*2)</f>
        <v>-1.597299942857143E-3</v>
      </c>
      <c r="P32" s="3">
        <f t="shared" si="1"/>
        <v>0.36998525619072381</v>
      </c>
      <c r="Q32" s="3"/>
      <c r="R32" s="3"/>
      <c r="S32" s="3"/>
      <c r="T32" s="3"/>
      <c r="U32" s="3"/>
      <c r="V32" s="3"/>
      <c r="W32" s="3"/>
    </row>
    <row r="33" spans="1:23" x14ac:dyDescent="0.25">
      <c r="A33" s="2">
        <v>1000000000000000</v>
      </c>
      <c r="B33" s="2">
        <v>6.133E-4</v>
      </c>
      <c r="C33" s="2">
        <v>6.4309999999999997E-4</v>
      </c>
      <c r="D33" s="2">
        <v>-1.4519999999999999E-3</v>
      </c>
      <c r="E33" s="2">
        <v>0</v>
      </c>
      <c r="F33" s="2">
        <v>0</v>
      </c>
      <c r="G33" s="2">
        <v>0</v>
      </c>
      <c r="H33" s="2">
        <v>1.0913917E-4</v>
      </c>
      <c r="I33" s="2">
        <v>8.0418006000000005E-5</v>
      </c>
      <c r="J33" s="2">
        <v>-2.9551284E-4</v>
      </c>
      <c r="K33" s="3"/>
      <c r="L33" s="3">
        <f t="shared" si="0"/>
        <v>0.42238292011019285</v>
      </c>
      <c r="M33" s="3"/>
      <c r="N33" s="2">
        <f>IF('Modell einstellen'!$B$1="Voll",H33/0.35,H33/0.35*2)</f>
        <v>6.2365240000000007E-4</v>
      </c>
      <c r="O33" s="2">
        <f>IF('Modell einstellen'!$B$1="Voll",J33/0.35,J33/0.35*2)</f>
        <v>-1.6886448000000001E-3</v>
      </c>
      <c r="P33" s="3">
        <f t="shared" si="1"/>
        <v>0.36932124505994396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-1.04E-5</v>
      </c>
      <c r="C3" s="3">
        <v>1.415E-4</v>
      </c>
      <c r="D3" s="3">
        <v>-4.2870000000000001E-4</v>
      </c>
      <c r="E3" s="3">
        <v>0</v>
      </c>
      <c r="F3" s="3">
        <v>0</v>
      </c>
      <c r="G3" s="3">
        <v>0</v>
      </c>
      <c r="H3" s="3">
        <v>3.2588293999999998E-5</v>
      </c>
      <c r="I3" s="3">
        <v>1.2895905E-5</v>
      </c>
      <c r="J3" s="3">
        <v>-9.1844273000000004E-5</v>
      </c>
      <c r="L3" s="3">
        <f>-B3/D3</f>
        <v>-2.4259388850011665E-2</v>
      </c>
      <c r="M3" s="3"/>
      <c r="N3" s="2">
        <f>IF('Modell einstellen'!$B$1="Voll",H3/0.35,H3/0.35*2)</f>
        <v>1.8621882285714287E-4</v>
      </c>
      <c r="O3" s="2">
        <f>IF('Modell einstellen'!$B$1="Voll",J3/0.35,J3/0.35*2)</f>
        <v>-5.2482441714285716E-4</v>
      </c>
      <c r="P3" s="3">
        <f>-N3/O3</f>
        <v>0.35482118738094864</v>
      </c>
    </row>
    <row r="4" spans="1:16" x14ac:dyDescent="0.25">
      <c r="A4" s="3">
        <v>1E-14</v>
      </c>
      <c r="B4" s="3">
        <v>-1.041E-5</v>
      </c>
      <c r="C4" s="3">
        <v>1.415E-4</v>
      </c>
      <c r="D4" s="3">
        <v>-4.2870000000000001E-4</v>
      </c>
      <c r="E4" s="3">
        <v>0</v>
      </c>
      <c r="F4" s="3">
        <v>0</v>
      </c>
      <c r="G4" s="3">
        <v>0</v>
      </c>
      <c r="H4" s="3">
        <v>3.2588422000000001E-5</v>
      </c>
      <c r="I4" s="3">
        <v>1.2896878E-5</v>
      </c>
      <c r="J4" s="3">
        <v>-9.1842913000000003E-5</v>
      </c>
      <c r="L4" s="3">
        <f t="shared" ref="L4:L33" si="0">-B4/D4</f>
        <v>-2.4282715185444368E-2</v>
      </c>
      <c r="M4" s="3"/>
      <c r="N4" s="2">
        <f>IF('Modell einstellen'!$B$1="Voll",H4/0.35,H4/0.35*2)</f>
        <v>1.8621955428571431E-4</v>
      </c>
      <c r="O4" s="2">
        <f>IF('Modell einstellen'!$B$1="Voll",J4/0.35,J4/0.35*2)</f>
        <v>-5.2481664571428575E-4</v>
      </c>
      <c r="P4" s="3">
        <f t="shared" ref="P4:P33" si="1">-N4/O4</f>
        <v>0.35482783521903322</v>
      </c>
    </row>
    <row r="5" spans="1:16" x14ac:dyDescent="0.25">
      <c r="A5" s="3">
        <v>1E-13</v>
      </c>
      <c r="B5" s="3">
        <v>-1.041E-5</v>
      </c>
      <c r="C5" s="3">
        <v>1.415E-4</v>
      </c>
      <c r="D5" s="3">
        <v>-4.2870000000000001E-4</v>
      </c>
      <c r="E5" s="3">
        <v>0</v>
      </c>
      <c r="F5" s="3">
        <v>0</v>
      </c>
      <c r="G5" s="3">
        <v>0</v>
      </c>
      <c r="H5" s="3">
        <v>3.2588597E-5</v>
      </c>
      <c r="I5" s="3">
        <v>1.289704E-5</v>
      </c>
      <c r="J5" s="3">
        <v>-9.1843389999999995E-5</v>
      </c>
      <c r="L5" s="3">
        <f t="shared" si="0"/>
        <v>-2.4282715185444368E-2</v>
      </c>
      <c r="M5" s="3"/>
      <c r="N5" s="2">
        <f>IF('Modell einstellen'!$B$1="Voll",H5/0.35,H5/0.35*2)</f>
        <v>1.8622055428571429E-4</v>
      </c>
      <c r="O5" s="2">
        <f>IF('Modell einstellen'!$B$1="Voll",J5/0.35,J5/0.35*2)</f>
        <v>-5.2481937142857143E-4</v>
      </c>
      <c r="P5" s="3">
        <f t="shared" si="1"/>
        <v>0.35482789779427787</v>
      </c>
    </row>
    <row r="6" spans="1:16" x14ac:dyDescent="0.25">
      <c r="A6" s="3">
        <v>9.9999999999999998E-13</v>
      </c>
      <c r="B6" s="3">
        <v>-1.041E-5</v>
      </c>
      <c r="C6" s="3">
        <v>1.415E-4</v>
      </c>
      <c r="D6" s="3">
        <v>-4.2870000000000001E-4</v>
      </c>
      <c r="E6" s="3">
        <v>0</v>
      </c>
      <c r="F6" s="3">
        <v>0</v>
      </c>
      <c r="G6" s="3">
        <v>0</v>
      </c>
      <c r="H6" s="3">
        <v>3.2588648E-5</v>
      </c>
      <c r="I6" s="3">
        <v>1.2897085E-5</v>
      </c>
      <c r="J6" s="3">
        <v>-9.1843525999999993E-5</v>
      </c>
      <c r="L6" s="3">
        <f t="shared" si="0"/>
        <v>-2.4282715185444368E-2</v>
      </c>
      <c r="M6" s="3"/>
      <c r="N6" s="2">
        <f>IF('Modell einstellen'!$B$1="Voll",H6/0.35,H6/0.35*2)</f>
        <v>1.8622084571428573E-4</v>
      </c>
      <c r="O6" s="2">
        <f>IF('Modell einstellen'!$B$1="Voll",J6/0.35,J6/0.35*2)</f>
        <v>-5.2482014857142855E-4</v>
      </c>
      <c r="P6" s="3">
        <f t="shared" si="1"/>
        <v>0.354827927664711</v>
      </c>
    </row>
    <row r="7" spans="1:16" x14ac:dyDescent="0.25">
      <c r="A7" s="3">
        <v>9.9999999999999994E-12</v>
      </c>
      <c r="B7" s="3">
        <v>-1.041E-5</v>
      </c>
      <c r="C7" s="3">
        <v>1.415E-4</v>
      </c>
      <c r="D7" s="3">
        <v>-4.2870000000000001E-4</v>
      </c>
      <c r="E7" s="3">
        <v>0</v>
      </c>
      <c r="F7" s="3">
        <v>0</v>
      </c>
      <c r="G7" s="3">
        <v>0</v>
      </c>
      <c r="H7" s="3">
        <v>3.2588729999999997E-5</v>
      </c>
      <c r="I7" s="3">
        <v>1.289711E-5</v>
      </c>
      <c r="J7" s="3">
        <v>-9.1843669000000005E-5</v>
      </c>
      <c r="L7" s="3">
        <f t="shared" si="0"/>
        <v>-2.4282715185444368E-2</v>
      </c>
      <c r="M7" s="3"/>
      <c r="N7" s="2">
        <f>IF('Modell einstellen'!$B$1="Voll",H7/0.35,H7/0.35*2)</f>
        <v>1.8622131428571429E-4</v>
      </c>
      <c r="O7" s="2">
        <f>IF('Modell einstellen'!$B$1="Voll",J7/0.35,J7/0.35*2)</f>
        <v>-5.2482096571428573E-4</v>
      </c>
      <c r="P7" s="3">
        <f t="shared" si="1"/>
        <v>0.35482826802139189</v>
      </c>
    </row>
    <row r="8" spans="1:16" x14ac:dyDescent="0.25">
      <c r="A8" s="3">
        <v>1E-10</v>
      </c>
      <c r="B8" s="3">
        <v>-1.041E-5</v>
      </c>
      <c r="C8" s="3">
        <v>1.415E-4</v>
      </c>
      <c r="D8" s="3">
        <v>-4.2870000000000001E-4</v>
      </c>
      <c r="E8" s="3">
        <v>0</v>
      </c>
      <c r="F8" s="3">
        <v>0</v>
      </c>
      <c r="G8" s="3">
        <v>0</v>
      </c>
      <c r="H8" s="3">
        <v>3.2589428E-5</v>
      </c>
      <c r="I8" s="3">
        <v>1.2897226E-5</v>
      </c>
      <c r="J8" s="3">
        <v>-9.1844742999999996E-5</v>
      </c>
      <c r="L8" s="3">
        <f t="shared" si="0"/>
        <v>-2.4282715185444368E-2</v>
      </c>
      <c r="M8" s="3"/>
      <c r="N8" s="2">
        <f>IF('Modell einstellen'!$B$1="Voll",H8/0.35,H8/0.35*2)</f>
        <v>1.8622530285714286E-4</v>
      </c>
      <c r="O8" s="2">
        <f>IF('Modell einstellen'!$B$1="Voll",J8/0.35,J8/0.35*2)</f>
        <v>-5.248271028571429E-4</v>
      </c>
      <c r="P8" s="3">
        <f t="shared" si="1"/>
        <v>0.35483171856662499</v>
      </c>
    </row>
    <row r="9" spans="1:16" x14ac:dyDescent="0.25">
      <c r="A9" s="3">
        <v>1.0000000000000001E-9</v>
      </c>
      <c r="B9" s="3">
        <v>-1.045E-5</v>
      </c>
      <c r="C9" s="3">
        <v>1.415E-4</v>
      </c>
      <c r="D9" s="3">
        <v>-4.2870000000000001E-4</v>
      </c>
      <c r="E9" s="3">
        <v>0</v>
      </c>
      <c r="F9" s="3">
        <v>0</v>
      </c>
      <c r="G9" s="3">
        <v>0</v>
      </c>
      <c r="H9" s="3">
        <v>3.2596331000000003E-5</v>
      </c>
      <c r="I9" s="3">
        <v>1.2898343000000001E-5</v>
      </c>
      <c r="J9" s="3">
        <v>-9.1855304999999995E-5</v>
      </c>
      <c r="L9" s="3">
        <f t="shared" si="0"/>
        <v>-2.437602052717518E-2</v>
      </c>
      <c r="M9" s="3"/>
      <c r="N9" s="2">
        <f>IF('Modell einstellen'!$B$1="Voll",H9/0.35,H9/0.35*2)</f>
        <v>1.8626474857142859E-4</v>
      </c>
      <c r="O9" s="2">
        <f>IF('Modell einstellen'!$B$1="Voll",J9/0.35,J9/0.35*2)</f>
        <v>-5.2488745714285713E-4</v>
      </c>
      <c r="P9" s="3">
        <f t="shared" si="1"/>
        <v>0.35486606897663669</v>
      </c>
    </row>
    <row r="10" spans="1:16" x14ac:dyDescent="0.25">
      <c r="A10" s="3">
        <v>1E-8</v>
      </c>
      <c r="B10" s="3">
        <v>-1.08E-5</v>
      </c>
      <c r="C10" s="3">
        <v>1.416E-4</v>
      </c>
      <c r="D10" s="3">
        <v>-4.2860000000000001E-4</v>
      </c>
      <c r="E10" s="3">
        <v>0</v>
      </c>
      <c r="F10" s="3">
        <v>0</v>
      </c>
      <c r="G10" s="3">
        <v>0</v>
      </c>
      <c r="H10" s="3">
        <v>3.2662965E-5</v>
      </c>
      <c r="I10" s="3">
        <v>1.2909107000000001E-5</v>
      </c>
      <c r="J10" s="3">
        <v>-9.1957214999999995E-5</v>
      </c>
      <c r="L10" s="3">
        <f t="shared" si="0"/>
        <v>-2.5198320111992533E-2</v>
      </c>
      <c r="M10" s="3"/>
      <c r="N10" s="2">
        <f>IF('Modell einstellen'!$B$1="Voll",H10/0.35,H10/0.35*2)</f>
        <v>1.8664551428571429E-4</v>
      </c>
      <c r="O10" s="2">
        <f>IF('Modell einstellen'!$B$1="Voll",J10/0.35,J10/0.35*2)</f>
        <v>-5.2546980000000004E-4</v>
      </c>
      <c r="P10" s="3">
        <f t="shared" si="1"/>
        <v>0.35519741436275554</v>
      </c>
    </row>
    <row r="11" spans="1:16" x14ac:dyDescent="0.25">
      <c r="A11" s="3">
        <v>9.9999999999999995E-8</v>
      </c>
      <c r="B11" s="3">
        <v>-1.359E-5</v>
      </c>
      <c r="C11" s="3">
        <v>1.4249999999999999E-4</v>
      </c>
      <c r="D11" s="3">
        <v>-4.28E-4</v>
      </c>
      <c r="E11" s="3">
        <v>0</v>
      </c>
      <c r="F11" s="3">
        <v>0</v>
      </c>
      <c r="G11" s="3">
        <v>0</v>
      </c>
      <c r="H11" s="3">
        <v>3.3197827999999999E-5</v>
      </c>
      <c r="I11" s="3">
        <v>1.2995042999999999E-5</v>
      </c>
      <c r="J11" s="3">
        <v>-9.2773458E-5</v>
      </c>
      <c r="L11" s="3">
        <f t="shared" si="0"/>
        <v>-3.175233644859813E-2</v>
      </c>
      <c r="M11" s="3"/>
      <c r="N11" s="2">
        <f>IF('Modell einstellen'!$B$1="Voll",H11/0.35,H11/0.35*2)</f>
        <v>1.8970187428571429E-4</v>
      </c>
      <c r="O11" s="2">
        <f>IF('Modell einstellen'!$B$1="Voll",J11/0.35,J11/0.35*2)</f>
        <v>-5.3013404571428579E-4</v>
      </c>
      <c r="P11" s="3">
        <f t="shared" si="1"/>
        <v>0.35783756168709369</v>
      </c>
    </row>
    <row r="12" spans="1:16" x14ac:dyDescent="0.25">
      <c r="A12" s="3">
        <v>9.9999999999999995E-7</v>
      </c>
      <c r="B12" s="3">
        <v>-2.0270000000000001E-5</v>
      </c>
      <c r="C12" s="3">
        <v>1.4459999999999999E-4</v>
      </c>
      <c r="D12" s="3">
        <v>-4.2630000000000001E-4</v>
      </c>
      <c r="E12" s="3">
        <v>0</v>
      </c>
      <c r="F12" s="3">
        <v>0</v>
      </c>
      <c r="G12" s="3">
        <v>0</v>
      </c>
      <c r="H12" s="3">
        <v>3.4442802E-5</v>
      </c>
      <c r="I12" s="3">
        <v>1.3191765000000001E-5</v>
      </c>
      <c r="J12" s="3">
        <v>-9.4655550000000006E-5</v>
      </c>
      <c r="L12" s="3">
        <f t="shared" si="0"/>
        <v>-4.7548674642270701E-2</v>
      </c>
      <c r="M12" s="3"/>
      <c r="N12" s="2">
        <f>IF('Modell einstellen'!$B$1="Voll",H12/0.35,H12/0.35*2)</f>
        <v>1.9681601142857143E-4</v>
      </c>
      <c r="O12" s="2">
        <f>IF('Modell einstellen'!$B$1="Voll",J12/0.35,J12/0.35*2)</f>
        <v>-5.4088885714285724E-4</v>
      </c>
      <c r="P12" s="3">
        <f t="shared" si="1"/>
        <v>0.36387514519750819</v>
      </c>
    </row>
    <row r="13" spans="1:16" x14ac:dyDescent="0.25">
      <c r="A13" s="3">
        <v>1.0000000000000001E-5</v>
      </c>
      <c r="B13" s="3">
        <v>-2.5259999999999999E-5</v>
      </c>
      <c r="C13" s="3">
        <v>1.462E-4</v>
      </c>
      <c r="D13" s="3">
        <v>-4.2499999999999998E-4</v>
      </c>
      <c r="E13" s="3">
        <v>0</v>
      </c>
      <c r="F13" s="3">
        <v>0</v>
      </c>
      <c r="G13" s="3">
        <v>0</v>
      </c>
      <c r="H13" s="3">
        <v>3.5357953999999997E-5</v>
      </c>
      <c r="I13" s="3">
        <v>1.334078E-5</v>
      </c>
      <c r="J13" s="3">
        <v>-9.603465E-5</v>
      </c>
      <c r="L13" s="3">
        <f t="shared" si="0"/>
        <v>-5.9435294117647058E-2</v>
      </c>
      <c r="M13" s="3"/>
      <c r="N13" s="2">
        <f>IF('Modell einstellen'!$B$1="Voll",H13/0.35,H13/0.35*2)</f>
        <v>2.0204545142857143E-4</v>
      </c>
      <c r="O13" s="2">
        <f>IF('Modell einstellen'!$B$1="Voll",J13/0.35,J13/0.35*2)</f>
        <v>-5.4876942857142862E-4</v>
      </c>
      <c r="P13" s="3">
        <f t="shared" si="1"/>
        <v>0.36817913117817369</v>
      </c>
    </row>
    <row r="14" spans="1:16" x14ac:dyDescent="0.25">
      <c r="A14" s="3">
        <v>1E-4</v>
      </c>
      <c r="B14" s="3">
        <v>-3.048E-5</v>
      </c>
      <c r="C14" s="3">
        <v>1.4779999999999999E-4</v>
      </c>
      <c r="D14" s="3">
        <v>-4.2339999999999999E-4</v>
      </c>
      <c r="E14" s="3">
        <v>0</v>
      </c>
      <c r="F14" s="3">
        <v>0</v>
      </c>
      <c r="G14" s="3">
        <v>0</v>
      </c>
      <c r="H14" s="3">
        <v>3.6282470000000002E-5</v>
      </c>
      <c r="I14" s="3">
        <v>1.3487111999999999E-5</v>
      </c>
      <c r="J14" s="3">
        <v>-9.7414611999999993E-5</v>
      </c>
      <c r="L14" s="3">
        <f t="shared" si="0"/>
        <v>-7.1988663202645256E-2</v>
      </c>
      <c r="M14" s="3"/>
      <c r="N14" s="2">
        <f>IF('Modell einstellen'!$B$1="Voll",H14/0.35,H14/0.35*2)</f>
        <v>2.0732840000000003E-4</v>
      </c>
      <c r="O14" s="2">
        <f>IF('Modell einstellen'!$B$1="Voll",J14/0.35,J14/0.35*2)</f>
        <v>-5.5665492571428568E-4</v>
      </c>
      <c r="P14" s="3">
        <f t="shared" si="1"/>
        <v>0.3724540831718347</v>
      </c>
    </row>
    <row r="15" spans="1:16" x14ac:dyDescent="0.25">
      <c r="A15" s="3">
        <v>1E-3</v>
      </c>
      <c r="B15" s="3">
        <v>-3.6850000000000001E-5</v>
      </c>
      <c r="C15" s="3">
        <v>1.496E-4</v>
      </c>
      <c r="D15" s="3">
        <v>-4.2099999999999999E-4</v>
      </c>
      <c r="E15" s="3">
        <v>0</v>
      </c>
      <c r="F15" s="3">
        <v>0</v>
      </c>
      <c r="G15" s="3">
        <v>0</v>
      </c>
      <c r="H15" s="3">
        <v>3.7368018999999997E-5</v>
      </c>
      <c r="I15" s="3">
        <v>1.3651009E-5</v>
      </c>
      <c r="J15" s="3">
        <v>-9.901326E-5</v>
      </c>
      <c r="L15" s="3">
        <f t="shared" si="0"/>
        <v>-8.7529691211401431E-2</v>
      </c>
      <c r="M15" s="3"/>
      <c r="N15" s="2">
        <f>IF('Modell einstellen'!$B$1="Voll",H15/0.35,H15/0.35*2)</f>
        <v>2.1353153714285714E-4</v>
      </c>
      <c r="O15" s="2">
        <f>IF('Modell einstellen'!$B$1="Voll",J15/0.35,J15/0.35*2)</f>
        <v>-5.6579005714285722E-4</v>
      </c>
      <c r="P15" s="3">
        <f t="shared" si="1"/>
        <v>0.37740418808551496</v>
      </c>
    </row>
    <row r="16" spans="1:16" x14ac:dyDescent="0.25">
      <c r="A16" s="3">
        <v>0.01</v>
      </c>
      <c r="B16" s="3">
        <v>-4.4209999999999999E-5</v>
      </c>
      <c r="C16" s="3">
        <v>1.515E-4</v>
      </c>
      <c r="D16" s="3">
        <v>-4.1800000000000002E-4</v>
      </c>
      <c r="E16" s="3">
        <v>0</v>
      </c>
      <c r="F16" s="3">
        <v>0</v>
      </c>
      <c r="G16" s="3">
        <v>0</v>
      </c>
      <c r="H16" s="3">
        <v>3.8577101000000003E-5</v>
      </c>
      <c r="I16" s="3">
        <v>1.3826991E-5</v>
      </c>
      <c r="J16" s="3">
        <v>-1.0077231E-4</v>
      </c>
      <c r="L16" s="3">
        <f t="shared" si="0"/>
        <v>-0.10576555023923444</v>
      </c>
      <c r="M16" s="3"/>
      <c r="N16" s="2">
        <f>IF('Modell einstellen'!$B$1="Voll",H16/0.35,H16/0.35*2)</f>
        <v>2.2044057714285718E-4</v>
      </c>
      <c r="O16" s="2">
        <f>IF('Modell einstellen'!$B$1="Voll",J16/0.35,J16/0.35*2)</f>
        <v>-5.7584177142857142E-4</v>
      </c>
      <c r="P16" s="3">
        <f t="shared" si="1"/>
        <v>0.38281449537080187</v>
      </c>
    </row>
    <row r="17" spans="1:16" x14ac:dyDescent="0.25">
      <c r="A17" s="3">
        <v>0.1</v>
      </c>
      <c r="B17" s="3">
        <v>-5.3359999999999997E-5</v>
      </c>
      <c r="C17" s="3">
        <v>1.537E-4</v>
      </c>
      <c r="D17" s="3">
        <v>-4.1379999999999998E-4</v>
      </c>
      <c r="E17" s="3">
        <v>0</v>
      </c>
      <c r="F17" s="3">
        <v>0</v>
      </c>
      <c r="G17" s="3">
        <v>0</v>
      </c>
      <c r="H17" s="3">
        <v>4.0022248999999998E-5</v>
      </c>
      <c r="I17" s="3">
        <v>1.4027217E-5</v>
      </c>
      <c r="J17" s="3">
        <v>-1.0284418000000001E-4</v>
      </c>
      <c r="L17" s="3">
        <f t="shared" si="0"/>
        <v>-0.12895118414693088</v>
      </c>
      <c r="M17" s="3"/>
      <c r="N17" s="2">
        <f>IF('Modell einstellen'!$B$1="Voll",H17/0.35,H17/0.35*2)</f>
        <v>2.2869856571428572E-4</v>
      </c>
      <c r="O17" s="2">
        <f>IF('Modell einstellen'!$B$1="Voll",J17/0.35,J17/0.35*2)</f>
        <v>-5.8768102857142859E-4</v>
      </c>
      <c r="P17" s="3">
        <f t="shared" si="1"/>
        <v>0.389154242855551</v>
      </c>
    </row>
    <row r="18" spans="1:16" x14ac:dyDescent="0.25">
      <c r="A18" s="3">
        <v>1</v>
      </c>
      <c r="B18" s="3">
        <v>-6.4350000000000006E-5</v>
      </c>
      <c r="C18" s="3">
        <v>1.561E-4</v>
      </c>
      <c r="D18" s="3">
        <v>-4.083E-4</v>
      </c>
      <c r="E18" s="3">
        <v>0</v>
      </c>
      <c r="F18" s="3">
        <v>0</v>
      </c>
      <c r="G18" s="3">
        <v>0</v>
      </c>
      <c r="H18" s="3">
        <v>4.1690188000000003E-5</v>
      </c>
      <c r="I18" s="3">
        <v>1.4247700000000001E-5</v>
      </c>
      <c r="J18" s="3">
        <v>-1.0520005E-4</v>
      </c>
      <c r="L18" s="3">
        <f t="shared" si="0"/>
        <v>-0.15760470242468774</v>
      </c>
      <c r="M18" s="3"/>
      <c r="N18" s="2">
        <f>IF('Modell einstellen'!$B$1="Voll",H18/0.35,H18/0.35*2)</f>
        <v>2.3822964571428574E-4</v>
      </c>
      <c r="O18" s="2">
        <f>IF('Modell einstellen'!$B$1="Voll",J18/0.35,J18/0.35*2)</f>
        <v>-6.0114314285714284E-4</v>
      </c>
      <c r="P18" s="3">
        <f t="shared" si="1"/>
        <v>0.39629437438480308</v>
      </c>
    </row>
    <row r="19" spans="1:16" x14ac:dyDescent="0.25">
      <c r="A19" s="3">
        <v>10</v>
      </c>
      <c r="B19" s="3">
        <v>-7.6779999999999993E-5</v>
      </c>
      <c r="C19" s="3">
        <v>1.595E-4</v>
      </c>
      <c r="D19" s="3">
        <v>-4.0250000000000003E-4</v>
      </c>
      <c r="E19" s="3">
        <v>0</v>
      </c>
      <c r="F19" s="3">
        <v>0</v>
      </c>
      <c r="G19" s="3">
        <v>0</v>
      </c>
      <c r="H19" s="3">
        <v>4.3560341000000003E-5</v>
      </c>
      <c r="I19" s="3">
        <v>1.4533074E-5</v>
      </c>
      <c r="J19" s="3">
        <v>-1.0788757E-4</v>
      </c>
      <c r="L19" s="3">
        <f t="shared" si="0"/>
        <v>-0.19075776397515526</v>
      </c>
      <c r="M19" s="3"/>
      <c r="N19" s="2">
        <f>IF('Modell einstellen'!$B$1="Voll",H19/0.35,H19/0.35*2)</f>
        <v>2.4891623428571432E-4</v>
      </c>
      <c r="O19" s="2">
        <f>IF('Modell einstellen'!$B$1="Voll",J19/0.35,J19/0.35*2)</f>
        <v>-6.1650040000000011E-4</v>
      </c>
      <c r="P19" s="3">
        <f t="shared" si="1"/>
        <v>0.40375680905594591</v>
      </c>
    </row>
    <row r="20" spans="1:16" x14ac:dyDescent="0.25">
      <c r="A20" s="3">
        <v>100</v>
      </c>
      <c r="B20" s="3">
        <v>-8.933E-5</v>
      </c>
      <c r="C20" s="3">
        <v>1.6259999999999999E-4</v>
      </c>
      <c r="D20" s="3">
        <v>-3.9589999999999997E-4</v>
      </c>
      <c r="E20" s="3">
        <v>0</v>
      </c>
      <c r="F20" s="3">
        <v>0</v>
      </c>
      <c r="G20" s="3">
        <v>0</v>
      </c>
      <c r="H20" s="3">
        <v>4.5518973999999998E-5</v>
      </c>
      <c r="I20" s="3">
        <v>1.4830310999999999E-5</v>
      </c>
      <c r="J20" s="3">
        <v>-1.1067088E-4</v>
      </c>
      <c r="L20" s="3">
        <f t="shared" si="0"/>
        <v>-0.22563778732003031</v>
      </c>
      <c r="M20" s="3"/>
      <c r="N20" s="2">
        <f>IF('Modell einstellen'!$B$1="Voll",H20/0.35,H20/0.35*2)</f>
        <v>2.6010842285714285E-4</v>
      </c>
      <c r="O20" s="2">
        <f>IF('Modell einstellen'!$B$1="Voll",J20/0.35,J20/0.35*2)</f>
        <v>-6.3240502857142859E-4</v>
      </c>
      <c r="P20" s="3">
        <f t="shared" si="1"/>
        <v>0.41130037097382799</v>
      </c>
    </row>
    <row r="21" spans="1:16" x14ac:dyDescent="0.25">
      <c r="A21" s="3">
        <v>1000</v>
      </c>
      <c r="B21" s="3">
        <v>-9.5390000000000007E-5</v>
      </c>
      <c r="C21" s="3">
        <v>1.6980000000000001E-4</v>
      </c>
      <c r="D21" s="3">
        <v>-3.9859999999999999E-4</v>
      </c>
      <c r="E21" s="3">
        <v>0</v>
      </c>
      <c r="F21" s="3">
        <v>0</v>
      </c>
      <c r="G21" s="3">
        <v>0</v>
      </c>
      <c r="H21" s="3">
        <v>4.8280681999999997E-5</v>
      </c>
      <c r="I21" s="3">
        <v>1.5713322000000001E-5</v>
      </c>
      <c r="J21" s="3">
        <v>-1.1530705E-4</v>
      </c>
      <c r="L21" s="3">
        <f t="shared" si="0"/>
        <v>-0.23931259407927749</v>
      </c>
      <c r="M21" s="3"/>
      <c r="N21" s="2">
        <f>IF('Modell einstellen'!$B$1="Voll",H21/0.35,H21/0.35*2)</f>
        <v>2.7588961142857143E-4</v>
      </c>
      <c r="O21" s="2">
        <f>IF('Modell einstellen'!$B$1="Voll",J21/0.35,J21/0.35*2)</f>
        <v>-6.5889742857142865E-4</v>
      </c>
      <c r="P21" s="3">
        <f t="shared" si="1"/>
        <v>0.41871405087546681</v>
      </c>
    </row>
    <row r="22" spans="1:16" x14ac:dyDescent="0.25">
      <c r="A22" s="3">
        <v>10000</v>
      </c>
      <c r="B22" s="3">
        <v>-6.1249999999999998E-5</v>
      </c>
      <c r="C22" s="3">
        <v>1.951E-4</v>
      </c>
      <c r="D22" s="3">
        <v>-4.5120000000000002E-4</v>
      </c>
      <c r="E22" s="3">
        <v>0</v>
      </c>
      <c r="F22" s="3">
        <v>0</v>
      </c>
      <c r="G22" s="3">
        <v>0</v>
      </c>
      <c r="H22" s="3">
        <v>5.4273661000000002E-5</v>
      </c>
      <c r="I22" s="3">
        <v>1.9456917999999999E-5</v>
      </c>
      <c r="J22" s="3">
        <v>-1.2827110000000001E-4</v>
      </c>
      <c r="L22" s="3">
        <f t="shared" si="0"/>
        <v>-0.13574911347517729</v>
      </c>
      <c r="M22" s="3"/>
      <c r="N22" s="2">
        <f>IF('Modell einstellen'!$B$1="Voll",H22/0.35,H22/0.35*2)</f>
        <v>3.1013520571428573E-4</v>
      </c>
      <c r="O22" s="2">
        <f>IF('Modell einstellen'!$B$1="Voll",J22/0.35,J22/0.35*2)</f>
        <v>-7.3297771428571445E-4</v>
      </c>
      <c r="P22" s="3">
        <f t="shared" si="1"/>
        <v>0.42311682834247144</v>
      </c>
    </row>
    <row r="23" spans="1:16" x14ac:dyDescent="0.25">
      <c r="A23" s="3">
        <v>100000</v>
      </c>
      <c r="B23" s="3">
        <v>3.8649999999999998E-5</v>
      </c>
      <c r="C23" s="3">
        <v>2.4899999999999998E-4</v>
      </c>
      <c r="D23" s="3">
        <v>-5.8489999999999996E-4</v>
      </c>
      <c r="E23" s="3">
        <v>0</v>
      </c>
      <c r="F23" s="3">
        <v>0</v>
      </c>
      <c r="G23" s="3">
        <v>0</v>
      </c>
      <c r="H23" s="3">
        <v>6.4522359000000005E-5</v>
      </c>
      <c r="I23" s="3">
        <v>2.7900635000000001E-5</v>
      </c>
      <c r="J23" s="3">
        <v>-1.5390639E-4</v>
      </c>
      <c r="L23" s="3">
        <f t="shared" si="0"/>
        <v>6.6079671738758769E-2</v>
      </c>
      <c r="M23" s="3"/>
      <c r="N23" s="2">
        <f>IF('Modell einstellen'!$B$1="Voll",H23/0.35,H23/0.35*2)</f>
        <v>3.6869919428571436E-4</v>
      </c>
      <c r="O23" s="2">
        <f>IF('Modell einstellen'!$B$1="Voll",J23/0.35,J23/0.35*2)</f>
        <v>-8.7946508571428578E-4</v>
      </c>
      <c r="P23" s="3">
        <f t="shared" si="1"/>
        <v>0.41923118981609542</v>
      </c>
    </row>
    <row r="24" spans="1:16" x14ac:dyDescent="0.25">
      <c r="A24" s="3">
        <v>1000000</v>
      </c>
      <c r="B24" s="3">
        <v>1.7129999999999999E-4</v>
      </c>
      <c r="C24" s="3">
        <v>3.21E-4</v>
      </c>
      <c r="D24" s="3">
        <v>-7.6460000000000005E-4</v>
      </c>
      <c r="E24" s="3">
        <v>0</v>
      </c>
      <c r="F24" s="3">
        <v>0</v>
      </c>
      <c r="G24" s="3">
        <v>0</v>
      </c>
      <c r="H24" s="3">
        <v>7.6028430000000001E-5</v>
      </c>
      <c r="I24" s="3">
        <v>3.8869419000000003E-5</v>
      </c>
      <c r="J24" s="3">
        <v>-1.8544052E-4</v>
      </c>
      <c r="L24" s="3">
        <f t="shared" si="0"/>
        <v>0.22403871305257647</v>
      </c>
      <c r="M24" s="3"/>
      <c r="N24" s="2">
        <f>IF('Modell einstellen'!$B$1="Voll",H24/0.35,H24/0.35*2)</f>
        <v>4.3444817142857146E-4</v>
      </c>
      <c r="O24" s="2">
        <f>IF('Modell einstellen'!$B$1="Voll",J24/0.35,J24/0.35*2)</f>
        <v>-1.0596601142857144E-3</v>
      </c>
      <c r="P24" s="3">
        <f t="shared" si="1"/>
        <v>0.40998822695277171</v>
      </c>
    </row>
    <row r="25" spans="1:16" x14ac:dyDescent="0.25">
      <c r="A25" s="3">
        <v>10000000</v>
      </c>
      <c r="B25" s="3">
        <v>2.9770000000000003E-4</v>
      </c>
      <c r="C25" s="3">
        <v>3.971E-4</v>
      </c>
      <c r="D25" s="3">
        <v>-9.4479999999999998E-4</v>
      </c>
      <c r="E25" s="3">
        <v>0</v>
      </c>
      <c r="F25" s="3">
        <v>0</v>
      </c>
      <c r="G25" s="3">
        <v>0</v>
      </c>
      <c r="H25" s="3">
        <v>8.6503969999999995E-5</v>
      </c>
      <c r="I25" s="3">
        <v>4.9802470999999997E-5</v>
      </c>
      <c r="J25" s="3">
        <v>-2.1603494E-4</v>
      </c>
      <c r="L25" s="3">
        <f t="shared" si="0"/>
        <v>0.31509314140558853</v>
      </c>
      <c r="M25" s="3"/>
      <c r="N25" s="2">
        <f>IF('Modell einstellen'!$B$1="Voll",H25/0.35,H25/0.35*2)</f>
        <v>4.9430839999999997E-4</v>
      </c>
      <c r="O25" s="2">
        <f>IF('Modell einstellen'!$B$1="Voll",J25/0.35,J25/0.35*2)</f>
        <v>-1.2344853714285715E-3</v>
      </c>
      <c r="P25" s="3">
        <f t="shared" si="1"/>
        <v>0.40041657150459081</v>
      </c>
    </row>
    <row r="26" spans="1:16" x14ac:dyDescent="0.25">
      <c r="A26" s="3">
        <v>100000000</v>
      </c>
      <c r="B26" s="3">
        <v>4.0279999999999998E-4</v>
      </c>
      <c r="C26" s="3">
        <v>4.7169999999999997E-4</v>
      </c>
      <c r="D26" s="3">
        <v>-1.1069999999999999E-3</v>
      </c>
      <c r="E26" s="3">
        <v>0</v>
      </c>
      <c r="F26" s="3">
        <v>0</v>
      </c>
      <c r="G26" s="3">
        <v>0</v>
      </c>
      <c r="H26" s="3">
        <v>9.5946405E-5</v>
      </c>
      <c r="I26" s="3">
        <v>6.0043061999999997E-5</v>
      </c>
      <c r="J26" s="3">
        <v>-2.4457055000000002E-4</v>
      </c>
      <c r="L26" s="3">
        <f t="shared" si="0"/>
        <v>0.36386630532971997</v>
      </c>
      <c r="M26" s="3"/>
      <c r="N26" s="2">
        <f>IF('Modell einstellen'!$B$1="Voll",H26/0.35,H26/0.35*2)</f>
        <v>5.4826517142857146E-4</v>
      </c>
      <c r="O26" s="2">
        <f>IF('Modell einstellen'!$B$1="Voll",J26/0.35,J26/0.35*2)</f>
        <v>-1.3975460000000002E-3</v>
      </c>
      <c r="P26" s="3">
        <f t="shared" si="1"/>
        <v>0.3923056353269026</v>
      </c>
    </row>
    <row r="27" spans="1:16" x14ac:dyDescent="0.25">
      <c r="A27" s="3">
        <v>1000000000</v>
      </c>
      <c r="B27" s="3">
        <v>4.8589999999999999E-4</v>
      </c>
      <c r="C27" s="3">
        <v>5.4129999999999998E-4</v>
      </c>
      <c r="D27" s="3">
        <v>-1.2470000000000001E-3</v>
      </c>
      <c r="E27" s="3">
        <v>0</v>
      </c>
      <c r="F27" s="3">
        <v>0</v>
      </c>
      <c r="G27" s="3">
        <v>0</v>
      </c>
      <c r="H27" s="3">
        <v>1.0412501E-4</v>
      </c>
      <c r="I27" s="3">
        <v>6.9347552000000002E-5</v>
      </c>
      <c r="J27" s="3">
        <v>-2.7027855999999997E-4</v>
      </c>
      <c r="L27" s="3">
        <f t="shared" si="0"/>
        <v>0.3896551724137931</v>
      </c>
      <c r="M27" s="3"/>
      <c r="N27" s="2">
        <f>IF('Modell einstellen'!$B$1="Voll",H27/0.35,H27/0.35*2)</f>
        <v>5.9500005714285711E-4</v>
      </c>
      <c r="O27" s="2">
        <f>IF('Modell einstellen'!$B$1="Voll",J27/0.35,J27/0.35*2)</f>
        <v>-1.5444489142857143E-3</v>
      </c>
      <c r="P27" s="3">
        <f t="shared" si="1"/>
        <v>0.38525072058989801</v>
      </c>
    </row>
    <row r="28" spans="1:16" x14ac:dyDescent="0.25">
      <c r="A28" s="3">
        <v>10000000000</v>
      </c>
      <c r="B28" s="3">
        <v>5.5219999999999998E-4</v>
      </c>
      <c r="C28" s="3">
        <v>6.0709999999999996E-4</v>
      </c>
      <c r="D28" s="3">
        <v>-1.3699999999999999E-3</v>
      </c>
      <c r="E28" s="3">
        <v>0</v>
      </c>
      <c r="F28" s="3">
        <v>0</v>
      </c>
      <c r="G28" s="3">
        <v>0</v>
      </c>
      <c r="H28" s="3">
        <v>1.1193224E-4</v>
      </c>
      <c r="I28" s="3">
        <v>7.8123596000000001E-5</v>
      </c>
      <c r="J28" s="3">
        <v>-2.9480791000000001E-4</v>
      </c>
      <c r="L28" s="3">
        <f t="shared" si="0"/>
        <v>0.40306569343065696</v>
      </c>
      <c r="M28" s="3"/>
      <c r="N28" s="2">
        <f>IF('Modell einstellen'!$B$1="Voll",H28/0.35,H28/0.35*2)</f>
        <v>6.3961280000000007E-4</v>
      </c>
      <c r="O28" s="2">
        <f>IF('Modell einstellen'!$B$1="Voll",J28/0.35,J28/0.35*2)</f>
        <v>-1.6846166285714287E-3</v>
      </c>
      <c r="P28" s="3">
        <f t="shared" si="1"/>
        <v>0.37967855068746292</v>
      </c>
    </row>
    <row r="29" spans="1:16" x14ac:dyDescent="0.25">
      <c r="A29" s="3">
        <v>100000000000</v>
      </c>
      <c r="B29" s="3">
        <v>6.0809999999999998E-4</v>
      </c>
      <c r="C29" s="3">
        <v>6.711E-4</v>
      </c>
      <c r="D29" s="3">
        <v>-1.4829999999999999E-3</v>
      </c>
      <c r="E29" s="3">
        <v>0</v>
      </c>
      <c r="F29" s="3">
        <v>0</v>
      </c>
      <c r="G29" s="3">
        <v>0</v>
      </c>
      <c r="H29" s="3">
        <v>1.2002808E-4</v>
      </c>
      <c r="I29" s="3">
        <v>8.6809512000000002E-5</v>
      </c>
      <c r="J29" s="3">
        <v>-3.1960978999999998E-4</v>
      </c>
      <c r="L29" s="3">
        <f t="shared" si="0"/>
        <v>0.41004720161834118</v>
      </c>
      <c r="M29" s="3"/>
      <c r="N29" s="2">
        <f>IF('Modell einstellen'!$B$1="Voll",H29/0.35,H29/0.35*2)</f>
        <v>6.8587474285714293E-4</v>
      </c>
      <c r="O29" s="2">
        <f>IF('Modell einstellen'!$B$1="Voll",J29/0.35,J29/0.35*2)</f>
        <v>-1.8263416571428573E-3</v>
      </c>
      <c r="P29" s="3">
        <f t="shared" si="1"/>
        <v>0.37554569276491812</v>
      </c>
    </row>
    <row r="30" spans="1:16" x14ac:dyDescent="0.25">
      <c r="A30" s="3">
        <v>1000000000000</v>
      </c>
      <c r="B30" s="3">
        <v>6.6149999999999998E-4</v>
      </c>
      <c r="C30" s="3">
        <v>7.404E-4</v>
      </c>
      <c r="D30" s="3">
        <v>-1.6019999999999999E-3</v>
      </c>
      <c r="E30" s="3">
        <v>0</v>
      </c>
      <c r="F30" s="3">
        <v>0</v>
      </c>
      <c r="G30" s="3">
        <v>0</v>
      </c>
      <c r="H30" s="3">
        <v>1.2996850999999999E-4</v>
      </c>
      <c r="I30" s="3">
        <v>9.6636105000000002E-5</v>
      </c>
      <c r="J30" s="3">
        <v>-3.4861008000000002E-4</v>
      </c>
      <c r="L30" s="3">
        <f t="shared" si="0"/>
        <v>0.41292134831460675</v>
      </c>
      <c r="M30" s="3"/>
      <c r="N30" s="2">
        <f>IF('Modell einstellen'!$B$1="Voll",H30/0.35,H30/0.35*2)</f>
        <v>7.4267720000000003E-4</v>
      </c>
      <c r="O30" s="2">
        <f>IF('Modell einstellen'!$B$1="Voll",J30/0.35,J30/0.35*2)</f>
        <v>-1.9920576000000004E-3</v>
      </c>
      <c r="P30" s="3">
        <f t="shared" si="1"/>
        <v>0.37281913936625122</v>
      </c>
    </row>
    <row r="31" spans="1:16" x14ac:dyDescent="0.25">
      <c r="A31" s="3">
        <v>10000000000000</v>
      </c>
      <c r="B31" s="3">
        <v>7.1650000000000001E-4</v>
      </c>
      <c r="C31" s="3">
        <v>8.1859999999999995E-4</v>
      </c>
      <c r="D31" s="3">
        <v>-1.732E-3</v>
      </c>
      <c r="E31" s="3">
        <v>0</v>
      </c>
      <c r="F31" s="3">
        <v>0</v>
      </c>
      <c r="G31" s="3">
        <v>0</v>
      </c>
      <c r="H31" s="3">
        <v>1.4220962000000001E-4</v>
      </c>
      <c r="I31" s="3">
        <v>1.0814982E-4</v>
      </c>
      <c r="J31" s="3">
        <v>-3.8326019999999997E-4</v>
      </c>
      <c r="L31" s="3">
        <f t="shared" si="0"/>
        <v>0.41368360277136257</v>
      </c>
      <c r="M31" s="3"/>
      <c r="N31" s="2">
        <f>IF('Modell einstellen'!$B$1="Voll",H31/0.35,H31/0.35*2)</f>
        <v>8.1262640000000013E-4</v>
      </c>
      <c r="O31" s="2">
        <f>IF('Modell einstellen'!$B$1="Voll",J31/0.35,J31/0.35*2)</f>
        <v>-2.1900582857142855E-3</v>
      </c>
      <c r="P31" s="3">
        <f t="shared" si="1"/>
        <v>0.37105240773761544</v>
      </c>
    </row>
    <row r="32" spans="1:16" x14ac:dyDescent="0.25">
      <c r="A32" s="3">
        <v>100000000000000</v>
      </c>
      <c r="B32" s="3">
        <v>7.7800000000000005E-4</v>
      </c>
      <c r="C32" s="3">
        <v>9.1569999999999998E-4</v>
      </c>
      <c r="D32" s="3">
        <v>-1.8879999999999999E-3</v>
      </c>
      <c r="E32" s="3">
        <v>0</v>
      </c>
      <c r="F32" s="3">
        <v>0</v>
      </c>
      <c r="G32" s="3">
        <v>0</v>
      </c>
      <c r="H32" s="3">
        <v>1.5868775999999999E-4</v>
      </c>
      <c r="I32" s="3">
        <v>1.2307596000000001E-4</v>
      </c>
      <c r="J32" s="3">
        <v>-4.2882416000000002E-4</v>
      </c>
      <c r="L32" s="3">
        <f t="shared" si="0"/>
        <v>0.41207627118644075</v>
      </c>
      <c r="M32" s="3"/>
      <c r="N32" s="2">
        <f>IF('Modell einstellen'!$B$1="Voll",H32/0.35,H32/0.35*2)</f>
        <v>9.067872E-4</v>
      </c>
      <c r="O32" s="2">
        <f>IF('Modell einstellen'!$B$1="Voll",J32/0.35,J32/0.35*2)</f>
        <v>-2.4504237714285718E-3</v>
      </c>
      <c r="P32" s="3">
        <f t="shared" si="1"/>
        <v>0.37005321715082468</v>
      </c>
    </row>
    <row r="33" spans="1:16" x14ac:dyDescent="0.25">
      <c r="A33" s="3">
        <v>1000000000000000</v>
      </c>
      <c r="B33" s="3">
        <v>8.5110000000000003E-4</v>
      </c>
      <c r="C33" s="3">
        <v>1.0460000000000001E-3</v>
      </c>
      <c r="D33" s="3">
        <v>-2.0890000000000001E-3</v>
      </c>
      <c r="E33" s="3">
        <v>0</v>
      </c>
      <c r="F33" s="3">
        <v>0</v>
      </c>
      <c r="G33" s="3">
        <v>0</v>
      </c>
      <c r="H33" s="3">
        <v>1.8204081E-4</v>
      </c>
      <c r="I33" s="3">
        <v>1.4381556E-4</v>
      </c>
      <c r="J33" s="3">
        <v>-4.9255475000000001E-4</v>
      </c>
      <c r="L33" s="3">
        <f t="shared" si="0"/>
        <v>0.40741981809478217</v>
      </c>
      <c r="M33" s="3"/>
      <c r="N33" s="2">
        <f>IF('Modell einstellen'!$B$1="Voll",H33/0.35,H33/0.35*2)</f>
        <v>1.0402332000000001E-3</v>
      </c>
      <c r="O33" s="2">
        <f>IF('Modell einstellen'!$B$1="Voll",J33/0.35,J33/0.35*2)</f>
        <v>-2.8145985714285717E-3</v>
      </c>
      <c r="P33" s="3">
        <f t="shared" si="1"/>
        <v>0.36958492431552026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-7.3390000000000004E-6</v>
      </c>
      <c r="C3" s="3">
        <v>1.4249999999999999E-4</v>
      </c>
      <c r="D3" s="3">
        <v>-4.3219999999999999E-4</v>
      </c>
      <c r="E3" s="3">
        <v>0</v>
      </c>
      <c r="F3" s="3">
        <v>0</v>
      </c>
      <c r="G3" s="3">
        <v>0</v>
      </c>
      <c r="H3" s="3">
        <v>3.2769050000000001E-5</v>
      </c>
      <c r="I3" s="3">
        <v>1.3058299000000001E-5</v>
      </c>
      <c r="J3" s="3">
        <v>-9.2366875000000003E-5</v>
      </c>
      <c r="K3" s="3"/>
      <c r="L3" s="3">
        <f>-B3/D3</f>
        <v>-1.6980564553447479E-2</v>
      </c>
      <c r="M3" s="3"/>
      <c r="N3" s="2">
        <f>IF('Modell einstellen'!$B$1="Voll",H3/0.35,H3/0.35*2)</f>
        <v>1.872517142857143E-4</v>
      </c>
      <c r="O3" s="2">
        <f>IF('Modell einstellen'!$B$1="Voll",J3/0.35,J3/0.35*2)</f>
        <v>-5.2781071428571432E-4</v>
      </c>
      <c r="P3" s="3">
        <f>-N3/O3</f>
        <v>0.35477058198623695</v>
      </c>
      <c r="Q3" s="3"/>
      <c r="R3" s="3"/>
      <c r="S3" s="3"/>
      <c r="T3" s="3"/>
      <c r="U3" s="3"/>
    </row>
    <row r="4" spans="1:21" x14ac:dyDescent="0.25">
      <c r="A4" s="3">
        <v>1E-14</v>
      </c>
      <c r="B4" s="3">
        <v>-7.3490000000000003E-6</v>
      </c>
      <c r="C4" s="3">
        <v>1.426E-4</v>
      </c>
      <c r="D4" s="3">
        <v>-4.3219999999999999E-4</v>
      </c>
      <c r="E4" s="3">
        <v>0</v>
      </c>
      <c r="F4" s="3">
        <v>0</v>
      </c>
      <c r="G4" s="3">
        <v>0</v>
      </c>
      <c r="H4" s="3">
        <v>3.2769250000000001E-5</v>
      </c>
      <c r="I4" s="3">
        <v>1.3059255000000001E-5</v>
      </c>
      <c r="J4" s="3">
        <v>-9.2365555000000006E-5</v>
      </c>
      <c r="K4" s="3"/>
      <c r="L4" s="3">
        <f t="shared" ref="L4:L33" si="0">-B4/D4</f>
        <v>-1.7003701989819528E-2</v>
      </c>
      <c r="M4" s="3"/>
      <c r="N4" s="2">
        <f>IF('Modell einstellen'!$B$1="Voll",H4/0.35,H4/0.35*2)</f>
        <v>1.8725285714285715E-4</v>
      </c>
      <c r="O4" s="2">
        <f>IF('Modell einstellen'!$B$1="Voll",J4/0.35,J4/0.35*2)</f>
        <v>-5.2780317142857151E-4</v>
      </c>
      <c r="P4" s="3">
        <f t="shared" ref="P4:P33" si="1">-N4/O4</f>
        <v>0.35477781733677666</v>
      </c>
      <c r="Q4" s="3"/>
      <c r="R4" s="3"/>
      <c r="S4" s="3"/>
      <c r="T4" s="3"/>
      <c r="U4" s="3"/>
    </row>
    <row r="5" spans="1:21" x14ac:dyDescent="0.25">
      <c r="A5" s="3">
        <v>1E-13</v>
      </c>
      <c r="B5" s="3">
        <v>-7.3490000000000003E-6</v>
      </c>
      <c r="C5" s="3">
        <v>1.426E-4</v>
      </c>
      <c r="D5" s="3">
        <v>-4.3219999999999999E-4</v>
      </c>
      <c r="E5" s="3">
        <v>0</v>
      </c>
      <c r="F5" s="3">
        <v>0</v>
      </c>
      <c r="G5" s="3">
        <v>0</v>
      </c>
      <c r="H5" s="3">
        <v>3.2769847000000001E-5</v>
      </c>
      <c r="I5" s="3">
        <v>1.3059485999999999E-5</v>
      </c>
      <c r="J5" s="3">
        <v>-9.2366679E-5</v>
      </c>
      <c r="K5" s="3"/>
      <c r="L5" s="3">
        <f t="shared" si="0"/>
        <v>-1.7003701989819528E-2</v>
      </c>
      <c r="M5" s="3"/>
      <c r="N5" s="2">
        <f>IF('Modell einstellen'!$B$1="Voll",H5/0.35,H5/0.35*2)</f>
        <v>1.8725626857142859E-4</v>
      </c>
      <c r="O5" s="2">
        <f>IF('Modell einstellen'!$B$1="Voll",J5/0.35,J5/0.35*2)</f>
        <v>-5.2780959428571435E-4</v>
      </c>
      <c r="P5" s="3">
        <f t="shared" si="1"/>
        <v>0.35477996345413693</v>
      </c>
      <c r="Q5" s="3"/>
      <c r="R5" s="3"/>
      <c r="S5" s="3"/>
      <c r="T5" s="3"/>
      <c r="U5" s="3"/>
    </row>
    <row r="6" spans="1:21" x14ac:dyDescent="0.25">
      <c r="A6" s="3">
        <v>9.9999999999999998E-13</v>
      </c>
      <c r="B6" s="3">
        <v>-7.3699999999999997E-6</v>
      </c>
      <c r="C6" s="3">
        <v>1.426E-4</v>
      </c>
      <c r="D6" s="3">
        <v>-4.3219999999999999E-4</v>
      </c>
      <c r="E6" s="3">
        <v>0</v>
      </c>
      <c r="F6" s="3">
        <v>0</v>
      </c>
      <c r="G6" s="3">
        <v>0</v>
      </c>
      <c r="H6" s="3">
        <v>3.2774088999999998E-5</v>
      </c>
      <c r="I6" s="3">
        <v>1.3060223E-5</v>
      </c>
      <c r="J6" s="3">
        <v>-9.2373245000000002E-5</v>
      </c>
      <c r="K6" s="3"/>
      <c r="L6" s="3">
        <f t="shared" si="0"/>
        <v>-1.7052290606200834E-2</v>
      </c>
      <c r="M6" s="3"/>
      <c r="N6" s="2">
        <f>IF('Modell einstellen'!$B$1="Voll",H6/0.35,H6/0.35*2)</f>
        <v>1.8728050857142858E-4</v>
      </c>
      <c r="O6" s="2">
        <f>IF('Modell einstellen'!$B$1="Voll",J6/0.35,J6/0.35*2)</f>
        <v>-5.2784711428571437E-4</v>
      </c>
      <c r="P6" s="3">
        <f t="shared" si="1"/>
        <v>0.35480066766085783</v>
      </c>
      <c r="Q6" s="3"/>
      <c r="R6" s="3"/>
      <c r="S6" s="3"/>
      <c r="T6" s="3"/>
      <c r="U6" s="3"/>
    </row>
    <row r="7" spans="1:21" x14ac:dyDescent="0.25">
      <c r="A7" s="3">
        <v>9.9999999999999994E-12</v>
      </c>
      <c r="B7" s="3">
        <v>-7.5789999999999998E-6</v>
      </c>
      <c r="C7" s="3">
        <v>1.426E-4</v>
      </c>
      <c r="D7" s="3">
        <v>-4.3209999999999999E-4</v>
      </c>
      <c r="E7" s="3">
        <v>0</v>
      </c>
      <c r="F7" s="3">
        <v>0</v>
      </c>
      <c r="G7" s="3">
        <v>0</v>
      </c>
      <c r="H7" s="3">
        <v>3.2815014999999998E-5</v>
      </c>
      <c r="I7" s="3">
        <v>1.3066984999999999E-5</v>
      </c>
      <c r="J7" s="3">
        <v>-9.2436068000000007E-5</v>
      </c>
      <c r="K7" s="3"/>
      <c r="L7" s="3">
        <f t="shared" si="0"/>
        <v>-1.7539921314510529E-2</v>
      </c>
      <c r="M7" s="3"/>
      <c r="N7" s="2">
        <f>IF('Modell einstellen'!$B$1="Voll",H7/0.35,H7/0.35*2)</f>
        <v>1.8751437142857142E-4</v>
      </c>
      <c r="O7" s="2">
        <f>IF('Modell einstellen'!$B$1="Voll",J7/0.35,J7/0.35*2)</f>
        <v>-5.2820610285714297E-4</v>
      </c>
      <c r="P7" s="3">
        <f t="shared" si="1"/>
        <v>0.35500228114419569</v>
      </c>
      <c r="Q7" s="3"/>
      <c r="R7" s="3"/>
      <c r="S7" s="3"/>
      <c r="T7" s="3"/>
      <c r="U7" s="3"/>
    </row>
    <row r="8" spans="1:21" x14ac:dyDescent="0.25">
      <c r="A8" s="3">
        <v>1E-10</v>
      </c>
      <c r="B8" s="3">
        <v>-9.4110000000000002E-6</v>
      </c>
      <c r="C8" s="3">
        <v>1.4320000000000001E-4</v>
      </c>
      <c r="D8" s="3">
        <v>-4.3179999999999998E-4</v>
      </c>
      <c r="E8" s="3">
        <v>0</v>
      </c>
      <c r="F8" s="3">
        <v>0</v>
      </c>
      <c r="G8" s="3">
        <v>0</v>
      </c>
      <c r="H8" s="3">
        <v>3.3171082000000002E-5</v>
      </c>
      <c r="I8" s="3">
        <v>1.3125528999999999E-5</v>
      </c>
      <c r="J8" s="3">
        <v>-9.2981745000000001E-5</v>
      </c>
      <c r="K8" s="3"/>
      <c r="L8" s="3">
        <f t="shared" si="0"/>
        <v>-2.179481241315424E-2</v>
      </c>
      <c r="M8" s="3"/>
      <c r="N8" s="2">
        <f>IF('Modell einstellen'!$B$1="Voll",H8/0.35,H8/0.35*2)</f>
        <v>1.8954904000000001E-4</v>
      </c>
      <c r="O8" s="2">
        <f>IF('Modell einstellen'!$B$1="Voll",J8/0.35,J8/0.35*2)</f>
        <v>-5.3132425714285715E-4</v>
      </c>
      <c r="P8" s="3">
        <f t="shared" si="1"/>
        <v>0.3567483273195185</v>
      </c>
      <c r="Q8" s="3"/>
      <c r="R8" s="3"/>
      <c r="S8" s="3"/>
      <c r="T8" s="3"/>
      <c r="U8" s="3"/>
    </row>
    <row r="9" spans="1:21" x14ac:dyDescent="0.25">
      <c r="A9" s="3">
        <v>1.0000000000000001E-9</v>
      </c>
      <c r="B9" s="3">
        <v>-1.5979999999999999E-5</v>
      </c>
      <c r="C9" s="3">
        <v>1.4530000000000001E-4</v>
      </c>
      <c r="D9" s="3">
        <v>-4.3019999999999999E-4</v>
      </c>
      <c r="E9" s="3">
        <v>0</v>
      </c>
      <c r="F9" s="3">
        <v>0</v>
      </c>
      <c r="G9" s="3">
        <v>0</v>
      </c>
      <c r="H9" s="3">
        <v>3.4418804000000001E-5</v>
      </c>
      <c r="I9" s="3">
        <v>1.3327081E-5</v>
      </c>
      <c r="J9" s="3">
        <v>-9.4878489000000006E-5</v>
      </c>
      <c r="K9" s="3"/>
      <c r="L9" s="3">
        <f t="shared" si="0"/>
        <v>-3.7145513714551368E-2</v>
      </c>
      <c r="M9" s="3"/>
      <c r="N9" s="2">
        <f>IF('Modell einstellen'!$B$1="Voll",H9/0.35,H9/0.35*2)</f>
        <v>1.9667888000000002E-4</v>
      </c>
      <c r="O9" s="2">
        <f>IF('Modell einstellen'!$B$1="Voll",J9/0.35,J9/0.35*2)</f>
        <v>-5.4216279428571435E-4</v>
      </c>
      <c r="P9" s="3">
        <f t="shared" si="1"/>
        <v>0.36276720216317948</v>
      </c>
      <c r="Q9" s="3"/>
      <c r="R9" s="3"/>
      <c r="S9" s="3"/>
      <c r="T9" s="3"/>
      <c r="U9" s="3"/>
    </row>
    <row r="10" spans="1:21" x14ac:dyDescent="0.25">
      <c r="A10" s="3">
        <v>1E-8</v>
      </c>
      <c r="B10" s="3">
        <v>-2.1080000000000001E-5</v>
      </c>
      <c r="C10" s="3">
        <v>1.47E-4</v>
      </c>
      <c r="D10" s="3">
        <v>-4.2890000000000002E-4</v>
      </c>
      <c r="E10" s="3">
        <v>0</v>
      </c>
      <c r="F10" s="3">
        <v>0</v>
      </c>
      <c r="G10" s="3">
        <v>0</v>
      </c>
      <c r="H10" s="3">
        <v>3.5370158999999997E-5</v>
      </c>
      <c r="I10" s="3">
        <v>1.348441E-5</v>
      </c>
      <c r="J10" s="3">
        <v>-9.6317089999999999E-5</v>
      </c>
      <c r="K10" s="3"/>
      <c r="L10" s="3">
        <f t="shared" si="0"/>
        <v>-4.9148985777570528E-2</v>
      </c>
      <c r="M10" s="3"/>
      <c r="N10" s="2">
        <f>IF('Modell einstellen'!$B$1="Voll",H10/0.35,H10/0.35*2)</f>
        <v>2.0211519428571428E-4</v>
      </c>
      <c r="O10" s="2">
        <f>IF('Modell einstellen'!$B$1="Voll",J10/0.35,J10/0.35*2)</f>
        <v>-5.5038337142857149E-4</v>
      </c>
      <c r="P10" s="3">
        <f t="shared" si="1"/>
        <v>0.3672262004593369</v>
      </c>
      <c r="Q10" s="3"/>
      <c r="R10" s="3"/>
      <c r="S10" s="3"/>
      <c r="T10" s="3"/>
      <c r="U10" s="3"/>
    </row>
    <row r="11" spans="1:21" x14ac:dyDescent="0.25">
      <c r="A11" s="3">
        <v>9.9999999999999995E-8</v>
      </c>
      <c r="B11" s="3">
        <v>-2.6060000000000001E-5</v>
      </c>
      <c r="C11" s="3">
        <v>1.4860000000000001E-4</v>
      </c>
      <c r="D11" s="3">
        <v>-4.2749999999999998E-4</v>
      </c>
      <c r="E11" s="3">
        <v>0</v>
      </c>
      <c r="F11" s="3">
        <v>0</v>
      </c>
      <c r="G11" s="3">
        <v>0</v>
      </c>
      <c r="H11" s="3">
        <v>3.627111E-5</v>
      </c>
      <c r="I11" s="3">
        <v>1.3631026E-5</v>
      </c>
      <c r="J11" s="3">
        <v>-9.7669411E-5</v>
      </c>
      <c r="K11" s="3"/>
      <c r="L11" s="3">
        <f t="shared" si="0"/>
        <v>-6.0959064327485386E-2</v>
      </c>
      <c r="M11" s="3"/>
      <c r="N11" s="2">
        <f>IF('Modell einstellen'!$B$1="Voll",H11/0.35,H11/0.35*2)</f>
        <v>2.0726348571428572E-4</v>
      </c>
      <c r="O11" s="2">
        <f>IF('Modell einstellen'!$B$1="Voll",J11/0.35,J11/0.35*2)</f>
        <v>-5.5811092000000002E-4</v>
      </c>
      <c r="P11" s="3">
        <f t="shared" si="1"/>
        <v>0.37136611789334945</v>
      </c>
      <c r="Q11" s="3"/>
      <c r="R11" s="3"/>
      <c r="S11" s="3"/>
      <c r="T11" s="3"/>
      <c r="U11" s="3"/>
    </row>
    <row r="12" spans="1:21" x14ac:dyDescent="0.25">
      <c r="A12" s="3">
        <v>9.9999999999999995E-7</v>
      </c>
      <c r="B12" s="3">
        <v>-3.2190000000000002E-5</v>
      </c>
      <c r="C12" s="3">
        <v>1.5029999999999999E-4</v>
      </c>
      <c r="D12" s="3">
        <v>-4.2539999999999999E-4</v>
      </c>
      <c r="E12" s="3">
        <v>0</v>
      </c>
      <c r="F12" s="3">
        <v>0</v>
      </c>
      <c r="G12" s="3">
        <v>0</v>
      </c>
      <c r="H12" s="3">
        <v>3.7337081E-5</v>
      </c>
      <c r="I12" s="3">
        <v>1.3796369000000001E-5</v>
      </c>
      <c r="J12" s="3">
        <v>-9.9248094E-5</v>
      </c>
      <c r="K12" s="3"/>
      <c r="L12" s="3">
        <f t="shared" si="0"/>
        <v>-7.5669957686882935E-2</v>
      </c>
      <c r="M12" s="3"/>
      <c r="N12" s="2">
        <f>IF('Modell einstellen'!$B$1="Voll",H12/0.35,H12/0.35*2)</f>
        <v>2.1335474857142858E-4</v>
      </c>
      <c r="O12" s="2">
        <f>IF('Modell einstellen'!$B$1="Voll",J12/0.35,J12/0.35*2)</f>
        <v>-5.6713196571428579E-4</v>
      </c>
      <c r="P12" s="3">
        <f t="shared" si="1"/>
        <v>0.37619947643528545</v>
      </c>
      <c r="Q12" s="3"/>
      <c r="R12" s="3"/>
      <c r="S12" s="3"/>
      <c r="T12" s="3"/>
      <c r="U12" s="3"/>
    </row>
    <row r="13" spans="1:21" x14ac:dyDescent="0.25">
      <c r="A13" s="3">
        <v>1.0000000000000001E-5</v>
      </c>
      <c r="B13" s="3">
        <v>-3.9190000000000003E-5</v>
      </c>
      <c r="C13" s="3">
        <v>1.5220000000000001E-4</v>
      </c>
      <c r="D13" s="3">
        <v>-4.2260000000000003E-4</v>
      </c>
      <c r="E13" s="3">
        <v>0</v>
      </c>
      <c r="F13" s="3">
        <v>0</v>
      </c>
      <c r="G13" s="3">
        <v>0</v>
      </c>
      <c r="H13" s="3">
        <v>3.8509366999999997E-5</v>
      </c>
      <c r="I13" s="3">
        <v>1.3971934000000001E-5</v>
      </c>
      <c r="J13" s="3">
        <v>-1.0096359E-4</v>
      </c>
      <c r="K13" s="3"/>
      <c r="L13" s="3">
        <f t="shared" si="0"/>
        <v>-9.2735447231424517E-2</v>
      </c>
      <c r="M13" s="3"/>
      <c r="N13" s="2">
        <f>IF('Modell einstellen'!$B$1="Voll",H13/0.35,H13/0.35*2)</f>
        <v>2.2005352571428572E-4</v>
      </c>
      <c r="O13" s="2">
        <f>IF('Modell einstellen'!$B$1="Voll",J13/0.35,J13/0.35*2)</f>
        <v>-5.7693480000000003E-4</v>
      </c>
      <c r="P13" s="3">
        <f t="shared" si="1"/>
        <v>0.38141836081700342</v>
      </c>
      <c r="Q13" s="3"/>
      <c r="R13" s="3"/>
      <c r="S13" s="3"/>
      <c r="T13" s="3"/>
      <c r="U13" s="3"/>
    </row>
    <row r="14" spans="1:21" x14ac:dyDescent="0.25">
      <c r="A14" s="3">
        <v>1E-4</v>
      </c>
      <c r="B14" s="3">
        <v>-4.791E-5</v>
      </c>
      <c r="C14" s="3">
        <v>1.5440000000000001E-4</v>
      </c>
      <c r="D14" s="3">
        <v>-4.1879999999999999E-4</v>
      </c>
      <c r="E14" s="3">
        <v>0</v>
      </c>
      <c r="F14" s="3">
        <v>0</v>
      </c>
      <c r="G14" s="3">
        <v>0</v>
      </c>
      <c r="H14" s="3">
        <v>3.9912240999999999E-5</v>
      </c>
      <c r="I14" s="3">
        <v>1.4172108E-5</v>
      </c>
      <c r="J14" s="3">
        <v>-1.0298714E-4</v>
      </c>
      <c r="K14" s="3"/>
      <c r="L14" s="3">
        <f t="shared" si="0"/>
        <v>-0.11439828080229227</v>
      </c>
      <c r="M14" s="3"/>
      <c r="N14" s="2">
        <f>IF('Modell einstellen'!$B$1="Voll",H14/0.35,H14/0.35*2)</f>
        <v>2.2806994857142859E-4</v>
      </c>
      <c r="O14" s="2">
        <f>IF('Modell einstellen'!$B$1="Voll",J14/0.35,J14/0.35*2)</f>
        <v>-5.8849794285714295E-4</v>
      </c>
      <c r="P14" s="3">
        <f t="shared" si="1"/>
        <v>0.38754587223220294</v>
      </c>
      <c r="Q14" s="3"/>
      <c r="R14" s="3"/>
      <c r="S14" s="3"/>
      <c r="T14" s="3"/>
      <c r="U14" s="3"/>
    </row>
    <row r="15" spans="1:21" x14ac:dyDescent="0.25">
      <c r="A15" s="3">
        <v>1E-3</v>
      </c>
      <c r="B15" s="3">
        <v>-5.8430000000000001E-5</v>
      </c>
      <c r="C15" s="3">
        <v>1.5669999999999999E-4</v>
      </c>
      <c r="D15" s="3">
        <v>-4.1360000000000002E-4</v>
      </c>
      <c r="E15" s="3">
        <v>0</v>
      </c>
      <c r="F15" s="3">
        <v>0</v>
      </c>
      <c r="G15" s="3">
        <v>0</v>
      </c>
      <c r="H15" s="3">
        <v>4.1537749999999997E-5</v>
      </c>
      <c r="I15" s="3">
        <v>1.4393183999999999E-5</v>
      </c>
      <c r="J15" s="3">
        <v>-1.0529681000000001E-4</v>
      </c>
      <c r="K15" s="3"/>
      <c r="L15" s="3">
        <f t="shared" si="0"/>
        <v>-0.14127176015473888</v>
      </c>
      <c r="M15" s="3"/>
      <c r="N15" s="2">
        <f>IF('Modell einstellen'!$B$1="Voll",H15/0.35,H15/0.35*2)</f>
        <v>2.3735857142857144E-4</v>
      </c>
      <c r="O15" s="2">
        <f>IF('Modell einstellen'!$B$1="Voll",J15/0.35,J15/0.35*2)</f>
        <v>-6.0169605714285716E-4</v>
      </c>
      <c r="P15" s="3">
        <f t="shared" si="1"/>
        <v>0.39448251091367348</v>
      </c>
      <c r="Q15" s="3"/>
      <c r="R15" s="3"/>
      <c r="S15" s="3"/>
      <c r="T15" s="3"/>
      <c r="U15" s="3"/>
    </row>
    <row r="16" spans="1:21" x14ac:dyDescent="0.25">
      <c r="A16" s="3">
        <v>0.01</v>
      </c>
      <c r="B16" s="3">
        <v>-7.0630000000000006E-5</v>
      </c>
      <c r="C16" s="3">
        <v>1.6019999999999999E-4</v>
      </c>
      <c r="D16" s="3">
        <v>-4.081E-4</v>
      </c>
      <c r="E16" s="3">
        <v>0</v>
      </c>
      <c r="F16" s="3">
        <v>0</v>
      </c>
      <c r="G16" s="3">
        <v>0</v>
      </c>
      <c r="H16" s="3">
        <v>4.3388632000000001E-5</v>
      </c>
      <c r="I16" s="3">
        <v>1.4677146E-5</v>
      </c>
      <c r="J16" s="3">
        <v>-1.0796381E-4</v>
      </c>
      <c r="K16" s="3"/>
      <c r="L16" s="3">
        <f t="shared" si="0"/>
        <v>-0.1730703259005146</v>
      </c>
      <c r="M16" s="3"/>
      <c r="N16" s="2">
        <f>IF('Modell einstellen'!$B$1="Voll",H16/0.35,H16/0.35*2)</f>
        <v>2.4793504000000002E-4</v>
      </c>
      <c r="O16" s="2">
        <f>IF('Modell einstellen'!$B$1="Voll",J16/0.35,J16/0.35*2)</f>
        <v>-6.1693605714285718E-4</v>
      </c>
      <c r="P16" s="3">
        <f t="shared" si="1"/>
        <v>0.40188126002592905</v>
      </c>
      <c r="Q16" s="3"/>
      <c r="R16" s="3"/>
      <c r="S16" s="3"/>
      <c r="T16" s="3"/>
      <c r="U16" s="3"/>
    </row>
    <row r="17" spans="1:25" x14ac:dyDescent="0.25">
      <c r="A17" s="3">
        <v>0.1</v>
      </c>
      <c r="B17" s="3">
        <v>-8.4010000000000004E-5</v>
      </c>
      <c r="C17" s="3">
        <v>1.6220000000000001E-4</v>
      </c>
      <c r="D17" s="3">
        <v>-3.9980000000000001E-4</v>
      </c>
      <c r="E17" s="3">
        <v>0</v>
      </c>
      <c r="F17" s="3">
        <v>0</v>
      </c>
      <c r="G17" s="3">
        <v>0</v>
      </c>
      <c r="H17" s="3">
        <v>4.5253846999999999E-5</v>
      </c>
      <c r="I17" s="3">
        <v>1.4880042E-5</v>
      </c>
      <c r="J17" s="3">
        <v>-1.1048596E-4</v>
      </c>
      <c r="K17" s="3"/>
      <c r="L17" s="3">
        <f t="shared" si="0"/>
        <v>-0.21013006503251627</v>
      </c>
      <c r="M17" s="3"/>
      <c r="N17" s="2">
        <f>IF('Modell einstellen'!$B$1="Voll",H17/0.35,H17/0.35*2)</f>
        <v>2.5859341142857144E-4</v>
      </c>
      <c r="O17" s="2">
        <f>IF('Modell einstellen'!$B$1="Voll",J17/0.35,J17/0.35*2)</f>
        <v>-6.3134834285714285E-4</v>
      </c>
      <c r="P17" s="3">
        <f t="shared" si="1"/>
        <v>0.40958911883464649</v>
      </c>
      <c r="Q17" s="3"/>
      <c r="R17" s="3"/>
      <c r="S17" s="3"/>
      <c r="T17" s="3"/>
      <c r="U17" s="3"/>
      <c r="V17" s="3"/>
      <c r="W17" s="3"/>
      <c r="X17" s="3"/>
      <c r="Y17" s="3"/>
    </row>
    <row r="18" spans="1:25" x14ac:dyDescent="0.25">
      <c r="A18" s="3">
        <v>1</v>
      </c>
      <c r="B18" s="3">
        <v>-9.9270000000000003E-5</v>
      </c>
      <c r="C18" s="3">
        <v>1.6550000000000001E-4</v>
      </c>
      <c r="D18" s="3">
        <v>-3.9110000000000002E-4</v>
      </c>
      <c r="E18" s="3">
        <v>0</v>
      </c>
      <c r="F18" s="3">
        <v>0</v>
      </c>
      <c r="G18" s="3">
        <v>0</v>
      </c>
      <c r="H18" s="3">
        <v>4.7381927000000002E-5</v>
      </c>
      <c r="I18" s="3">
        <v>1.5162995999999999E-5</v>
      </c>
      <c r="J18" s="3">
        <v>-1.1343432999999999E-4</v>
      </c>
      <c r="K18" s="3"/>
      <c r="L18" s="3">
        <f t="shared" si="0"/>
        <v>-0.25382255177703911</v>
      </c>
      <c r="M18" s="3"/>
      <c r="N18" s="2">
        <f>IF('Modell einstellen'!$B$1="Voll",H18/0.35,H18/0.35*2)</f>
        <v>2.7075386857142858E-4</v>
      </c>
      <c r="O18" s="2">
        <f>IF('Modell einstellen'!$B$1="Voll",J18/0.35,J18/0.35*2)</f>
        <v>-6.481961714285714E-4</v>
      </c>
      <c r="P18" s="3">
        <f t="shared" si="1"/>
        <v>0.41770359114388039</v>
      </c>
      <c r="Q18" s="3"/>
      <c r="R18" s="3"/>
      <c r="S18" s="3"/>
      <c r="T18" s="3"/>
      <c r="U18" s="3"/>
      <c r="V18" s="3"/>
      <c r="W18" s="3"/>
      <c r="X18" s="3"/>
      <c r="Y18" s="3"/>
    </row>
    <row r="19" spans="1:25" x14ac:dyDescent="0.25">
      <c r="A19" s="3">
        <v>10</v>
      </c>
      <c r="B19" s="3">
        <v>-1.199E-4</v>
      </c>
      <c r="C19" s="3">
        <v>1.693E-4</v>
      </c>
      <c r="D19" s="3">
        <v>-3.7809999999999997E-4</v>
      </c>
      <c r="E19" s="3">
        <v>0</v>
      </c>
      <c r="F19" s="3">
        <v>0</v>
      </c>
      <c r="G19" s="3">
        <v>0</v>
      </c>
      <c r="H19" s="3">
        <v>5.0243990000000001E-5</v>
      </c>
      <c r="I19" s="3">
        <v>1.5526826999999999E-5</v>
      </c>
      <c r="J19" s="3">
        <v>-1.1733277999999999E-4</v>
      </c>
      <c r="K19" s="3"/>
      <c r="L19" s="3">
        <f t="shared" si="0"/>
        <v>-0.31711187516530021</v>
      </c>
      <c r="M19" s="3"/>
      <c r="N19" s="2">
        <f>IF('Modell einstellen'!$B$1="Voll",H19/0.35,H19/0.35*2)</f>
        <v>2.8710851428571433E-4</v>
      </c>
      <c r="O19" s="2">
        <f>IF('Modell einstellen'!$B$1="Voll",J19/0.35,J19/0.35*2)</f>
        <v>-6.7047302857142863E-4</v>
      </c>
      <c r="P19" s="3">
        <f t="shared" si="1"/>
        <v>0.42821784330005652</v>
      </c>
      <c r="Q19" s="3"/>
      <c r="R19" s="3"/>
      <c r="S19" s="3"/>
      <c r="T19" s="3"/>
      <c r="U19" s="3"/>
      <c r="V19" s="3"/>
      <c r="W19" s="3"/>
      <c r="X19" s="3"/>
      <c r="Y19" s="3"/>
    </row>
    <row r="20" spans="1:25" x14ac:dyDescent="0.25">
      <c r="A20" s="3">
        <v>100</v>
      </c>
      <c r="B20" s="3">
        <v>-1.3870000000000001E-4</v>
      </c>
      <c r="C20" s="3">
        <v>1.7689999999999999E-4</v>
      </c>
      <c r="D20" s="3">
        <v>-3.6989999999999999E-4</v>
      </c>
      <c r="E20" s="3">
        <v>0</v>
      </c>
      <c r="F20" s="3">
        <v>0</v>
      </c>
      <c r="G20" s="3">
        <v>0</v>
      </c>
      <c r="H20" s="3">
        <v>5.4240144000000003E-5</v>
      </c>
      <c r="I20" s="3">
        <v>1.6437774999999999E-5</v>
      </c>
      <c r="J20" s="3">
        <v>-1.2338229000000001E-4</v>
      </c>
      <c r="K20" s="3"/>
      <c r="L20" s="3">
        <f t="shared" si="0"/>
        <v>-0.37496620708299544</v>
      </c>
      <c r="M20" s="3"/>
      <c r="N20" s="2">
        <f>IF('Modell einstellen'!$B$1="Voll",H20/0.35,H20/0.35*2)</f>
        <v>3.0994368000000002E-4</v>
      </c>
      <c r="O20" s="2">
        <f>IF('Modell einstellen'!$B$1="Voll",J20/0.35,J20/0.35*2)</f>
        <v>-7.0504165714285728E-4</v>
      </c>
      <c r="P20" s="3">
        <f t="shared" si="1"/>
        <v>0.43961044976552138</v>
      </c>
      <c r="Q20" s="3"/>
      <c r="R20" s="3"/>
      <c r="S20" s="3"/>
      <c r="T20" s="3"/>
      <c r="U20" s="3"/>
      <c r="V20" s="3"/>
      <c r="W20" s="3"/>
      <c r="X20" s="3"/>
      <c r="Y20" s="3"/>
    </row>
    <row r="21" spans="1:25" x14ac:dyDescent="0.25">
      <c r="A21" s="3">
        <v>1000</v>
      </c>
      <c r="B21" s="3">
        <v>-1.149E-4</v>
      </c>
      <c r="C21" s="3">
        <v>2.0049999999999999E-4</v>
      </c>
      <c r="D21" s="3">
        <v>-4.1229999999999999E-4</v>
      </c>
      <c r="E21" s="3">
        <v>0</v>
      </c>
      <c r="F21" s="3">
        <v>0</v>
      </c>
      <c r="G21" s="3">
        <v>0</v>
      </c>
      <c r="H21" s="3">
        <v>6.0545165999999998E-5</v>
      </c>
      <c r="I21" s="3">
        <v>2.0000756999999999E-5</v>
      </c>
      <c r="J21" s="3">
        <v>-1.3639463E-4</v>
      </c>
      <c r="K21" s="3"/>
      <c r="L21" s="3">
        <f t="shared" si="0"/>
        <v>-0.27868057239873878</v>
      </c>
      <c r="M21" s="3"/>
      <c r="N21" s="2">
        <f>IF('Modell einstellen'!$B$1="Voll",H21/0.35,H21/0.35*2)</f>
        <v>3.4597237714285715E-4</v>
      </c>
      <c r="O21" s="2">
        <f>IF('Modell einstellen'!$B$1="Voll",J21/0.35,J21/0.35*2)</f>
        <v>-7.793978857142858E-4</v>
      </c>
      <c r="P21" s="3">
        <f t="shared" si="1"/>
        <v>0.44389699213231482</v>
      </c>
      <c r="Q21" s="3"/>
      <c r="R21" s="3"/>
      <c r="S21" s="3"/>
      <c r="T21" s="3"/>
      <c r="U21" s="3"/>
      <c r="V21" s="3"/>
      <c r="W21" s="3"/>
      <c r="X21" s="3"/>
      <c r="Y21" s="3"/>
    </row>
    <row r="22" spans="1:25" x14ac:dyDescent="0.25">
      <c r="A22" s="3">
        <v>10000</v>
      </c>
      <c r="B22" s="3">
        <v>-6.2430000000000002E-6</v>
      </c>
      <c r="C22" s="3">
        <v>2.5339999999999998E-4</v>
      </c>
      <c r="D22" s="3">
        <v>-5.5349999999999996E-4</v>
      </c>
      <c r="E22" s="3">
        <v>0</v>
      </c>
      <c r="F22" s="3">
        <v>0</v>
      </c>
      <c r="G22" s="3">
        <v>0</v>
      </c>
      <c r="H22" s="3">
        <v>7.0662260999999996E-5</v>
      </c>
      <c r="I22" s="3">
        <v>2.8776218E-5</v>
      </c>
      <c r="J22" s="3">
        <v>-1.6249856999999999E-4</v>
      </c>
      <c r="K22" s="3"/>
      <c r="L22" s="3">
        <f t="shared" si="0"/>
        <v>-1.1279132791327915E-2</v>
      </c>
      <c r="M22" s="3"/>
      <c r="N22" s="2">
        <f>IF('Modell einstellen'!$B$1="Voll",H22/0.35,H22/0.35*2)</f>
        <v>4.0378434857142858E-4</v>
      </c>
      <c r="O22" s="2">
        <f>IF('Modell einstellen'!$B$1="Voll",J22/0.35,J22/0.35*2)</f>
        <v>-9.2856325714285712E-4</v>
      </c>
      <c r="P22" s="3">
        <f t="shared" si="1"/>
        <v>0.43484850974380884</v>
      </c>
      <c r="Q22" s="3"/>
      <c r="R22" s="3"/>
      <c r="S22" s="3"/>
      <c r="T22" s="3"/>
      <c r="U22" s="3"/>
      <c r="V22" s="3"/>
      <c r="W22" s="3"/>
      <c r="X22" s="3"/>
      <c r="Y22" s="3"/>
    </row>
    <row r="23" spans="1:25" x14ac:dyDescent="0.25">
      <c r="A23" s="3">
        <v>100000</v>
      </c>
      <c r="B23" s="3">
        <v>1.3960000000000001E-4</v>
      </c>
      <c r="C23" s="3">
        <v>3.2929999999999998E-4</v>
      </c>
      <c r="D23" s="3">
        <v>-7.4930000000000005E-4</v>
      </c>
      <c r="E23" s="3">
        <v>0</v>
      </c>
      <c r="F23" s="3">
        <v>0</v>
      </c>
      <c r="G23" s="3">
        <v>0</v>
      </c>
      <c r="H23" s="3">
        <v>8.2848773000000005E-5</v>
      </c>
      <c r="I23" s="3">
        <v>4.0775180999999997E-5</v>
      </c>
      <c r="J23" s="3">
        <v>-1.9664699E-4</v>
      </c>
      <c r="K23" s="3"/>
      <c r="L23" s="3">
        <f t="shared" si="0"/>
        <v>0.18630722007206726</v>
      </c>
      <c r="M23" s="3"/>
      <c r="N23" s="2">
        <f>IF('Modell einstellen'!$B$1="Voll",H23/0.35,H23/0.35*2)</f>
        <v>4.7342156000000006E-4</v>
      </c>
      <c r="O23" s="2">
        <f>IF('Modell einstellen'!$B$1="Voll",J23/0.35,J23/0.35*2)</f>
        <v>-1.1236970857142858E-3</v>
      </c>
      <c r="P23" s="3">
        <f t="shared" si="1"/>
        <v>0.42130709958998103</v>
      </c>
      <c r="Q23" s="3"/>
      <c r="R23" s="3"/>
      <c r="S23" s="3"/>
      <c r="T23" s="3"/>
      <c r="U23" s="3"/>
      <c r="V23" s="3"/>
      <c r="W23" s="3"/>
      <c r="X23" s="3"/>
      <c r="Y23" s="3"/>
    </row>
    <row r="24" spans="1:25" x14ac:dyDescent="0.25">
      <c r="A24" s="3">
        <v>1000000</v>
      </c>
      <c r="B24" s="3">
        <v>2.8219999999999997E-4</v>
      </c>
      <c r="C24" s="3">
        <v>4.1330000000000002E-4</v>
      </c>
      <c r="D24" s="3">
        <v>-9.5209999999999999E-4</v>
      </c>
      <c r="E24" s="3">
        <v>0</v>
      </c>
      <c r="F24" s="3">
        <v>0</v>
      </c>
      <c r="G24" s="3">
        <v>0</v>
      </c>
      <c r="H24" s="3">
        <v>9.4502392000000003E-5</v>
      </c>
      <c r="I24" s="3">
        <v>5.3221654E-5</v>
      </c>
      <c r="J24" s="3">
        <v>-2.3128535E-4</v>
      </c>
      <c r="K24" s="3"/>
      <c r="L24" s="3">
        <f t="shared" si="0"/>
        <v>0.29639743724398693</v>
      </c>
      <c r="M24" s="3"/>
      <c r="N24" s="2">
        <f>IF('Modell einstellen'!$B$1="Voll",H24/0.35,H24/0.35*2)</f>
        <v>5.4001366857142857E-4</v>
      </c>
      <c r="O24" s="2">
        <f>IF('Modell einstellen'!$B$1="Voll",J24/0.35,J24/0.35*2)</f>
        <v>-1.3216305714285716E-3</v>
      </c>
      <c r="P24" s="3">
        <f t="shared" si="1"/>
        <v>0.40859653237872606</v>
      </c>
      <c r="Q24" s="3"/>
      <c r="R24" s="3"/>
      <c r="S24" s="3"/>
      <c r="T24" s="3"/>
      <c r="U24" s="3"/>
      <c r="V24" s="3"/>
      <c r="W24" s="3"/>
      <c r="X24" s="3"/>
      <c r="Y24" s="3"/>
    </row>
    <row r="25" spans="1:25" x14ac:dyDescent="0.25">
      <c r="A25" s="3">
        <v>10000000</v>
      </c>
      <c r="B25" s="3">
        <v>4.0200000000000001E-4</v>
      </c>
      <c r="C25" s="3">
        <v>4.9790000000000001E-4</v>
      </c>
      <c r="D25" s="3">
        <v>-1.1379999999999999E-3</v>
      </c>
      <c r="E25" s="3">
        <v>0</v>
      </c>
      <c r="F25" s="3">
        <v>0</v>
      </c>
      <c r="G25" s="3">
        <v>0</v>
      </c>
      <c r="H25" s="3">
        <v>1.0521433E-4</v>
      </c>
      <c r="I25" s="3">
        <v>6.5123126000000004E-5</v>
      </c>
      <c r="J25" s="3">
        <v>-2.6424172000000002E-4</v>
      </c>
      <c r="K25" s="3"/>
      <c r="L25" s="3">
        <f t="shared" si="0"/>
        <v>0.35325131810193328</v>
      </c>
      <c r="M25" s="3"/>
      <c r="N25" s="2">
        <f>IF('Modell einstellen'!$B$1="Voll",H25/0.35,H25/0.35*2)</f>
        <v>6.0122474285714291E-4</v>
      </c>
      <c r="O25" s="2">
        <f>IF('Modell einstellen'!$B$1="Voll",J25/0.35,J25/0.35*2)</f>
        <v>-1.5099526857142859E-3</v>
      </c>
      <c r="P25" s="3">
        <f t="shared" si="1"/>
        <v>0.39817455774962407</v>
      </c>
      <c r="Q25" s="3"/>
      <c r="R25" s="3"/>
      <c r="S25" s="3"/>
      <c r="T25" s="3"/>
      <c r="U25" s="3"/>
      <c r="V25" s="3"/>
      <c r="W25" s="3"/>
      <c r="X25" s="3"/>
      <c r="Y25" s="3"/>
    </row>
    <row r="26" spans="1:25" x14ac:dyDescent="0.25">
      <c r="A26" s="3">
        <v>100000000</v>
      </c>
      <c r="B26" s="3">
        <v>4.9739999999999995E-4</v>
      </c>
      <c r="C26" s="3">
        <v>5.798E-4</v>
      </c>
      <c r="D26" s="3">
        <v>-1.3010000000000001E-3</v>
      </c>
      <c r="E26" s="3">
        <v>0</v>
      </c>
      <c r="F26" s="3">
        <v>0</v>
      </c>
      <c r="G26" s="3">
        <v>0</v>
      </c>
      <c r="H26" s="3">
        <v>1.1504285000000001E-4</v>
      </c>
      <c r="I26" s="3">
        <v>7.6350006000000002E-5</v>
      </c>
      <c r="J26" s="3">
        <v>-2.9528821000000002E-4</v>
      </c>
      <c r="K26" s="3"/>
      <c r="L26" s="3">
        <f t="shared" si="0"/>
        <v>0.38232129131437348</v>
      </c>
      <c r="M26" s="3"/>
      <c r="N26" s="2">
        <f>IF('Modell einstellen'!$B$1="Voll",H26/0.35,H26/0.35*2)</f>
        <v>6.573877142857144E-4</v>
      </c>
      <c r="O26" s="2">
        <f>IF('Modell einstellen'!$B$1="Voll",J26/0.35,J26/0.35*2)</f>
        <v>-1.6873612000000001E-3</v>
      </c>
      <c r="P26" s="3">
        <f t="shared" si="1"/>
        <v>0.38959513486840536</v>
      </c>
      <c r="Q26" s="3"/>
      <c r="R26" s="3"/>
      <c r="S26" s="3"/>
      <c r="T26" s="3"/>
      <c r="U26" s="3"/>
      <c r="V26" s="3"/>
      <c r="W26" s="3"/>
      <c r="X26" s="3"/>
      <c r="Y26" s="3"/>
    </row>
    <row r="27" spans="1:25" x14ac:dyDescent="0.25">
      <c r="A27" s="3">
        <v>1000000000</v>
      </c>
      <c r="B27" s="3">
        <v>5.754E-4</v>
      </c>
      <c r="C27" s="3">
        <v>6.6350000000000003E-4</v>
      </c>
      <c r="D27" s="3">
        <v>-1.4530000000000001E-3</v>
      </c>
      <c r="E27" s="3">
        <v>0</v>
      </c>
      <c r="F27" s="3">
        <v>0</v>
      </c>
      <c r="G27" s="3">
        <v>0</v>
      </c>
      <c r="H27" s="3">
        <v>1.2579250000000001E-4</v>
      </c>
      <c r="I27" s="3">
        <v>8.7948489000000003E-5</v>
      </c>
      <c r="J27" s="3">
        <v>-3.2824138E-4</v>
      </c>
      <c r="K27" s="3"/>
      <c r="L27" s="3">
        <f t="shared" si="0"/>
        <v>0.39600825877494839</v>
      </c>
      <c r="M27" s="3"/>
      <c r="N27" s="2">
        <f>IF('Modell einstellen'!$B$1="Voll",H27/0.35,H27/0.35*2)</f>
        <v>7.188142857142858E-4</v>
      </c>
      <c r="O27" s="2">
        <f>IF('Modell einstellen'!$B$1="Voll",J27/0.35,J27/0.35*2)</f>
        <v>-1.8756650285714287E-3</v>
      </c>
      <c r="P27" s="3">
        <f t="shared" si="1"/>
        <v>0.38323169370053223</v>
      </c>
      <c r="Q27" s="3"/>
      <c r="R27" s="3"/>
      <c r="S27" s="3"/>
      <c r="T27" s="3"/>
      <c r="U27" s="3"/>
      <c r="V27" s="3"/>
      <c r="W27" s="3"/>
      <c r="X27" s="3"/>
      <c r="Y27" s="3"/>
    </row>
    <row r="28" spans="1:25" x14ac:dyDescent="0.25">
      <c r="A28" s="3">
        <v>10000000000</v>
      </c>
      <c r="B28" s="3">
        <v>6.4479999999999995E-4</v>
      </c>
      <c r="C28" s="3">
        <v>7.5179999999999995E-4</v>
      </c>
      <c r="D28" s="3">
        <v>-1.603E-3</v>
      </c>
      <c r="E28" s="3">
        <v>0</v>
      </c>
      <c r="F28" s="3">
        <v>0</v>
      </c>
      <c r="G28" s="3">
        <v>0</v>
      </c>
      <c r="H28" s="3">
        <v>1.3802271E-4</v>
      </c>
      <c r="I28" s="3">
        <v>1.0049838E-4</v>
      </c>
      <c r="J28" s="3">
        <v>-3.6468332E-4</v>
      </c>
      <c r="K28" s="3"/>
      <c r="L28" s="3">
        <f t="shared" si="0"/>
        <v>0.40224578914535242</v>
      </c>
      <c r="M28" s="3"/>
      <c r="N28" s="2">
        <f>IF('Modell einstellen'!$B$1="Voll",H28/0.35,H28/0.35*2)</f>
        <v>7.8870120000000001E-4</v>
      </c>
      <c r="O28" s="2">
        <f>IF('Modell einstellen'!$B$1="Voll",J28/0.35,J28/0.35*2)</f>
        <v>-2.0839046857142858E-3</v>
      </c>
      <c r="P28" s="3">
        <f t="shared" si="1"/>
        <v>0.37847278016444513</v>
      </c>
      <c r="Q28" s="3"/>
      <c r="R28" s="3"/>
      <c r="S28" s="3"/>
      <c r="T28" s="3"/>
      <c r="U28" s="3"/>
      <c r="V28" s="3"/>
      <c r="W28" s="3"/>
      <c r="X28" s="3"/>
      <c r="Y28" s="3"/>
    </row>
    <row r="29" spans="1:25" x14ac:dyDescent="0.25">
      <c r="A29" s="3">
        <v>100000000000</v>
      </c>
      <c r="B29" s="3">
        <v>7.1409999999999996E-4</v>
      </c>
      <c r="C29" s="3">
        <v>8.5389999999999999E-4</v>
      </c>
      <c r="D29" s="3">
        <v>-1.7700000000000001E-3</v>
      </c>
      <c r="E29" s="3">
        <v>0</v>
      </c>
      <c r="F29" s="3">
        <v>0</v>
      </c>
      <c r="G29" s="3">
        <v>0</v>
      </c>
      <c r="H29" s="3">
        <v>1.5381117000000001E-4</v>
      </c>
      <c r="I29" s="3">
        <v>1.1563799000000001E-4</v>
      </c>
      <c r="J29" s="3">
        <v>-4.0983506000000003E-4</v>
      </c>
      <c r="K29" s="3"/>
      <c r="L29" s="3">
        <f t="shared" si="0"/>
        <v>0.40344632768361577</v>
      </c>
      <c r="M29" s="3"/>
      <c r="N29" s="2">
        <f>IF('Modell einstellen'!$B$1="Voll",H29/0.35,H29/0.35*2)</f>
        <v>8.7892097142857153E-4</v>
      </c>
      <c r="O29" s="2">
        <f>IF('Modell einstellen'!$B$1="Voll",J29/0.35,J29/0.35*2)</f>
        <v>-2.3419146285714289E-3</v>
      </c>
      <c r="P29" s="3">
        <f t="shared" si="1"/>
        <v>0.37530017563651091</v>
      </c>
      <c r="Q29" s="3"/>
      <c r="R29" s="3"/>
      <c r="S29" s="3"/>
      <c r="T29" s="3"/>
      <c r="U29" s="3"/>
      <c r="V29" s="3"/>
      <c r="W29" s="3"/>
      <c r="X29" s="3"/>
      <c r="Y29" s="3"/>
    </row>
    <row r="30" spans="1:25" x14ac:dyDescent="0.25">
      <c r="A30" s="3">
        <v>1000000000000</v>
      </c>
      <c r="B30" s="3">
        <v>7.9080000000000003E-4</v>
      </c>
      <c r="C30" s="3">
        <v>9.8170000000000006E-4</v>
      </c>
      <c r="D30" s="3">
        <v>-1.97E-3</v>
      </c>
      <c r="E30" s="3">
        <v>0</v>
      </c>
      <c r="F30" s="3">
        <v>0</v>
      </c>
      <c r="G30" s="3">
        <v>0</v>
      </c>
      <c r="H30" s="3">
        <v>1.7552192E-4</v>
      </c>
      <c r="I30" s="3">
        <v>1.3546154000000001E-4</v>
      </c>
      <c r="J30" s="3">
        <v>-4.7005971999999999E-4</v>
      </c>
      <c r="K30" s="3"/>
      <c r="L30" s="3">
        <f t="shared" si="0"/>
        <v>0.40142131979695433</v>
      </c>
      <c r="M30" s="3"/>
      <c r="N30" s="2">
        <f>IF('Modell einstellen'!$B$1="Voll",H30/0.35,H30/0.35*2)</f>
        <v>1.0029824000000001E-3</v>
      </c>
      <c r="O30" s="2">
        <f>IF('Modell einstellen'!$B$1="Voll",J30/0.35,J30/0.35*2)</f>
        <v>-2.686055542857143E-3</v>
      </c>
      <c r="P30" s="3">
        <f t="shared" si="1"/>
        <v>0.37340344754492044</v>
      </c>
      <c r="Q30" s="3"/>
      <c r="R30" s="3"/>
      <c r="S30" s="3"/>
      <c r="T30" s="3"/>
      <c r="U30" s="3"/>
      <c r="V30" s="3"/>
      <c r="W30" s="3"/>
      <c r="X30" s="3"/>
      <c r="Y30" s="3"/>
    </row>
    <row r="31" spans="1:25" x14ac:dyDescent="0.25">
      <c r="A31" s="3">
        <v>10000000000000</v>
      </c>
      <c r="B31" s="3">
        <v>8.8599999999999996E-4</v>
      </c>
      <c r="C31" s="3">
        <v>1.1670000000000001E-3</v>
      </c>
      <c r="D31" s="3">
        <v>-2.2460000000000002E-3</v>
      </c>
      <c r="E31" s="3">
        <v>0</v>
      </c>
      <c r="F31" s="3">
        <v>0</v>
      </c>
      <c r="G31" s="3">
        <v>0</v>
      </c>
      <c r="H31" s="3">
        <v>2.0924048E-4</v>
      </c>
      <c r="I31" s="3">
        <v>1.6531790000000001E-4</v>
      </c>
      <c r="J31" s="3">
        <v>-5.6174166999999997E-4</v>
      </c>
      <c r="K31" s="3"/>
      <c r="L31" s="3">
        <f t="shared" si="0"/>
        <v>0.39447907390917181</v>
      </c>
      <c r="M31" s="3"/>
      <c r="N31" s="2">
        <f>IF('Modell einstellen'!$B$1="Voll",H31/0.35,H31/0.35*2)</f>
        <v>1.1956598857142857E-3</v>
      </c>
      <c r="O31" s="2">
        <f>IF('Modell einstellen'!$B$1="Voll",J31/0.35,J31/0.35*2)</f>
        <v>-3.2099524E-3</v>
      </c>
      <c r="P31" s="3">
        <f t="shared" si="1"/>
        <v>0.37248523863291111</v>
      </c>
      <c r="Q31" s="3"/>
      <c r="R31" s="3"/>
      <c r="S31" s="3"/>
      <c r="T31" s="3"/>
      <c r="U31" s="3"/>
      <c r="V31" s="3"/>
      <c r="W31" s="3"/>
      <c r="X31" s="3"/>
      <c r="Y31" s="3"/>
    </row>
    <row r="32" spans="1:25" x14ac:dyDescent="0.25">
      <c r="A32" s="3">
        <v>100000000000000</v>
      </c>
      <c r="B32" s="3">
        <v>1.0150000000000001E-3</v>
      </c>
      <c r="C32" s="3">
        <v>1.4630000000000001E-3</v>
      </c>
      <c r="D32" s="3">
        <v>-2.666E-3</v>
      </c>
      <c r="E32" s="3">
        <v>0</v>
      </c>
      <c r="F32" s="3">
        <v>0</v>
      </c>
      <c r="G32" s="3">
        <v>0</v>
      </c>
      <c r="H32" s="3">
        <v>2.6606988999999998E-4</v>
      </c>
      <c r="I32" s="3">
        <v>2.1478352E-4</v>
      </c>
      <c r="J32" s="3">
        <v>-7.1432565000000003E-4</v>
      </c>
      <c r="K32" s="3"/>
      <c r="L32" s="3">
        <f t="shared" si="0"/>
        <v>0.38072018004501129</v>
      </c>
      <c r="M32" s="3"/>
      <c r="N32" s="2">
        <f>IF('Modell einstellen'!$B$1="Voll",H32/0.35,H32/0.35*2)</f>
        <v>1.5203993714285715E-3</v>
      </c>
      <c r="O32" s="2">
        <f>IF('Modell einstellen'!$B$1="Voll",J32/0.35,J32/0.35*2)</f>
        <v>-4.0818608571428572E-3</v>
      </c>
      <c r="P32" s="3">
        <f t="shared" si="1"/>
        <v>0.37247702080976652</v>
      </c>
      <c r="Q32" s="3"/>
      <c r="R32" s="3"/>
      <c r="S32" s="3"/>
      <c r="T32" s="3"/>
      <c r="U32" s="3"/>
      <c r="V32" s="3"/>
      <c r="W32" s="3"/>
      <c r="X32" s="3"/>
      <c r="Y32" s="3"/>
    </row>
    <row r="33" spans="1:25" x14ac:dyDescent="0.25">
      <c r="A33" s="2">
        <v>1000000000000000</v>
      </c>
      <c r="B33" s="3">
        <v>1.2030000000000001E-3</v>
      </c>
      <c r="C33" s="3">
        <v>1.9620000000000002E-3</v>
      </c>
      <c r="D33" s="3">
        <v>-3.3449999999999999E-3</v>
      </c>
      <c r="E33" s="3">
        <v>0</v>
      </c>
      <c r="F33" s="3">
        <v>0</v>
      </c>
      <c r="G33" s="3">
        <v>0</v>
      </c>
      <c r="H33" s="3">
        <v>3.6519463999999999E-4</v>
      </c>
      <c r="I33" s="3">
        <v>3.0033668E-4</v>
      </c>
      <c r="J33" s="3">
        <v>-9.7829253999999997E-4</v>
      </c>
      <c r="K33" s="3"/>
      <c r="L33" s="3">
        <f t="shared" si="0"/>
        <v>0.35964125560538118</v>
      </c>
      <c r="M33" s="3"/>
      <c r="N33" s="2">
        <f>IF('Modell einstellen'!$B$1="Voll",H33/0.35,H33/0.35*2)</f>
        <v>2.0868265142857142E-3</v>
      </c>
      <c r="O33" s="2">
        <f>IF('Modell einstellen'!$B$1="Voll",J33/0.35,J33/0.35*2)</f>
        <v>-5.5902430857142863E-3</v>
      </c>
      <c r="P33" s="3">
        <f t="shared" si="1"/>
        <v>0.37329799121232177</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-4.1620000000000001E-6</v>
      </c>
      <c r="C3" s="3">
        <v>1.4359999999999999E-4</v>
      </c>
      <c r="D3" s="3">
        <v>-4.3580000000000002E-4</v>
      </c>
      <c r="E3" s="3">
        <v>0</v>
      </c>
      <c r="F3" s="3">
        <v>0</v>
      </c>
      <c r="G3" s="3">
        <v>0</v>
      </c>
      <c r="H3" s="3">
        <v>3.2956966999999999E-5</v>
      </c>
      <c r="I3" s="3">
        <v>1.3226836E-5</v>
      </c>
      <c r="J3" s="3">
        <v>-9.2910133E-5</v>
      </c>
      <c r="K3" s="3"/>
      <c r="L3" s="3">
        <f>-B3/D3</f>
        <v>-9.5502524093620932E-3</v>
      </c>
      <c r="M3" s="3"/>
      <c r="N3" s="2">
        <f>IF('Modell einstellen'!$B$1="Voll",H3/0.35,H3/0.35*2)</f>
        <v>1.8832552571428573E-4</v>
      </c>
      <c r="O3" s="2">
        <f>IF('Modell einstellen'!$B$1="Voll",J3/0.35,J3/0.35*2)</f>
        <v>-5.3091504571428573E-4</v>
      </c>
      <c r="P3" s="3">
        <f>-N3/O3</f>
        <v>0.35471875817893839</v>
      </c>
      <c r="Q3" s="3"/>
      <c r="R3" s="3"/>
      <c r="S3" s="3"/>
      <c r="T3" s="3"/>
      <c r="U3" s="3"/>
    </row>
    <row r="4" spans="1:21" x14ac:dyDescent="0.25">
      <c r="A4" s="3">
        <v>1E-14</v>
      </c>
      <c r="B4" s="3">
        <v>-4.2100000000000003E-6</v>
      </c>
      <c r="C4" s="3">
        <v>1.437E-4</v>
      </c>
      <c r="D4" s="3">
        <v>-4.3580000000000002E-4</v>
      </c>
      <c r="E4" s="3">
        <v>0</v>
      </c>
      <c r="F4" s="3">
        <v>0</v>
      </c>
      <c r="G4" s="3">
        <v>0</v>
      </c>
      <c r="H4" s="3">
        <v>3.2964949999999997E-5</v>
      </c>
      <c r="I4" s="3">
        <v>1.3229067E-5</v>
      </c>
      <c r="J4" s="3">
        <v>-9.2920715999999997E-5</v>
      </c>
      <c r="K4" s="3"/>
      <c r="L4" s="3">
        <f t="shared" ref="L4:L33" si="0">-B4/D4</f>
        <v>-9.660394676457091E-3</v>
      </c>
      <c r="M4" s="3"/>
      <c r="N4" s="2">
        <f>IF('Modell einstellen'!$B$1="Voll",H4/0.35,H4/0.35*2)</f>
        <v>1.8837114285714284E-4</v>
      </c>
      <c r="O4" s="2">
        <f>IF('Modell einstellen'!$B$1="Voll",J4/0.35,J4/0.35*2)</f>
        <v>-5.3097552000000003E-4</v>
      </c>
      <c r="P4" s="3">
        <f t="shared" ref="P4:P33" si="1">-N4/O4</f>
        <v>0.35476427021935553</v>
      </c>
      <c r="Q4" s="3"/>
      <c r="R4" s="3"/>
      <c r="S4" s="3"/>
      <c r="T4" s="3"/>
      <c r="U4" s="3"/>
    </row>
    <row r="5" spans="1:21" x14ac:dyDescent="0.25">
      <c r="A5" s="3">
        <v>1E-13</v>
      </c>
      <c r="B5" s="3">
        <v>-4.5879999999999999E-6</v>
      </c>
      <c r="C5" s="3">
        <v>1.438E-4</v>
      </c>
      <c r="D5" s="3">
        <v>-4.3570000000000002E-4</v>
      </c>
      <c r="E5" s="3">
        <v>0</v>
      </c>
      <c r="F5" s="3">
        <v>0</v>
      </c>
      <c r="G5" s="3">
        <v>0</v>
      </c>
      <c r="H5" s="3">
        <v>3.3040244000000003E-5</v>
      </c>
      <c r="I5" s="3">
        <v>1.3241877E-5</v>
      </c>
      <c r="J5" s="3">
        <v>-9.3036840999999995E-5</v>
      </c>
      <c r="K5" s="3"/>
      <c r="L5" s="3">
        <f t="shared" si="0"/>
        <v>-1.0530181317420242E-2</v>
      </c>
      <c r="M5" s="3"/>
      <c r="N5" s="2">
        <f>IF('Modell einstellen'!$B$1="Voll",H5/0.35,H5/0.35*2)</f>
        <v>1.8880139428571432E-4</v>
      </c>
      <c r="O5" s="2">
        <f>IF('Modell einstellen'!$B$1="Voll",J5/0.35,J5/0.35*2)</f>
        <v>-5.316390914285714E-4</v>
      </c>
      <c r="P5" s="3">
        <f t="shared" si="1"/>
        <v>0.35513075943754374</v>
      </c>
      <c r="Q5" s="3"/>
      <c r="R5" s="3"/>
      <c r="S5" s="3"/>
      <c r="T5" s="3"/>
      <c r="U5" s="3"/>
    </row>
    <row r="6" spans="1:21" x14ac:dyDescent="0.25">
      <c r="A6" s="3">
        <v>9.9999999999999998E-13</v>
      </c>
      <c r="B6" s="3">
        <v>-7.576E-6</v>
      </c>
      <c r="C6" s="3">
        <v>1.448E-4</v>
      </c>
      <c r="D6" s="3">
        <v>-4.351E-4</v>
      </c>
      <c r="E6" s="3">
        <v>0</v>
      </c>
      <c r="F6" s="3">
        <v>0</v>
      </c>
      <c r="G6" s="3">
        <v>0</v>
      </c>
      <c r="H6" s="3">
        <v>3.3627834999999999E-5</v>
      </c>
      <c r="I6" s="3">
        <v>1.3340300999999999E-5</v>
      </c>
      <c r="J6" s="3">
        <v>-9.3939382999999997E-5</v>
      </c>
      <c r="K6" s="3"/>
      <c r="L6" s="3">
        <f t="shared" si="0"/>
        <v>-1.741208917490232E-2</v>
      </c>
      <c r="M6" s="3"/>
      <c r="N6" s="2">
        <f>IF('Modell einstellen'!$B$1="Voll",H6/0.35,H6/0.35*2)</f>
        <v>1.9215905714285714E-4</v>
      </c>
      <c r="O6" s="2">
        <f>IF('Modell einstellen'!$B$1="Voll",J6/0.35,J6/0.35*2)</f>
        <v>-5.367964742857143E-4</v>
      </c>
      <c r="P6" s="3">
        <f t="shared" si="1"/>
        <v>0.35797376910597761</v>
      </c>
      <c r="Q6" s="3"/>
      <c r="R6" s="3"/>
      <c r="S6" s="3"/>
      <c r="T6" s="3"/>
      <c r="U6" s="3"/>
    </row>
    <row r="7" spans="1:21" x14ac:dyDescent="0.25">
      <c r="A7" s="3">
        <v>9.9999999999999994E-12</v>
      </c>
      <c r="B7" s="3">
        <v>-1.403E-5</v>
      </c>
      <c r="C7" s="3">
        <v>1.4689999999999999E-4</v>
      </c>
      <c r="D7" s="3">
        <v>-4.3360000000000002E-4</v>
      </c>
      <c r="E7" s="3">
        <v>0</v>
      </c>
      <c r="F7" s="3">
        <v>0</v>
      </c>
      <c r="G7" s="3">
        <v>0</v>
      </c>
      <c r="H7" s="3">
        <v>3.4863171000000003E-5</v>
      </c>
      <c r="I7" s="3">
        <v>1.3543798E-5</v>
      </c>
      <c r="J7" s="3">
        <v>-9.5818463000000003E-5</v>
      </c>
      <c r="K7" s="3"/>
      <c r="L7" s="3">
        <f t="shared" si="0"/>
        <v>-3.23570110701107E-2</v>
      </c>
      <c r="M7" s="3"/>
      <c r="N7" s="2">
        <f>IF('Modell einstellen'!$B$1="Voll",H7/0.35,H7/0.35*2)</f>
        <v>1.9921812000000004E-4</v>
      </c>
      <c r="O7" s="2">
        <f>IF('Modell einstellen'!$B$1="Voll",J7/0.35,J7/0.35*2)</f>
        <v>-5.4753407428571432E-4</v>
      </c>
      <c r="P7" s="3">
        <f t="shared" si="1"/>
        <v>0.36384606795456531</v>
      </c>
      <c r="Q7" s="3"/>
      <c r="R7" s="3"/>
      <c r="S7" s="3"/>
      <c r="T7" s="3"/>
      <c r="U7" s="3"/>
    </row>
    <row r="8" spans="1:21" x14ac:dyDescent="0.25">
      <c r="A8" s="3">
        <v>1E-10</v>
      </c>
      <c r="B8" s="3">
        <v>-1.8879999999999999E-5</v>
      </c>
      <c r="C8" s="3">
        <v>1.485E-4</v>
      </c>
      <c r="D8" s="3">
        <v>-4.3239999999999999E-4</v>
      </c>
      <c r="E8" s="3">
        <v>0</v>
      </c>
      <c r="F8" s="3">
        <v>0</v>
      </c>
      <c r="G8" s="3">
        <v>0</v>
      </c>
      <c r="H8" s="3">
        <v>3.5776884000000003E-5</v>
      </c>
      <c r="I8" s="3">
        <v>1.3698364000000001E-5</v>
      </c>
      <c r="J8" s="3">
        <v>-9.7204037000000001E-5</v>
      </c>
      <c r="K8" s="3"/>
      <c r="L8" s="3">
        <f t="shared" si="0"/>
        <v>-4.3663274745605919E-2</v>
      </c>
      <c r="M8" s="3"/>
      <c r="N8" s="2">
        <f>IF('Modell einstellen'!$B$1="Voll",H8/0.35,H8/0.35*2)</f>
        <v>2.0443933714285717E-4</v>
      </c>
      <c r="O8" s="2">
        <f>IF('Modell einstellen'!$B$1="Voll",J8/0.35,J8/0.35*2)</f>
        <v>-5.5545164000000004E-4</v>
      </c>
      <c r="P8" s="3">
        <f t="shared" si="1"/>
        <v>0.36805965167887011</v>
      </c>
      <c r="Q8" s="3"/>
      <c r="R8" s="3"/>
      <c r="S8" s="3"/>
      <c r="T8" s="3"/>
      <c r="U8" s="3"/>
    </row>
    <row r="9" spans="1:21" x14ac:dyDescent="0.25">
      <c r="A9" s="3">
        <v>1.0000000000000001E-9</v>
      </c>
      <c r="B9" s="3">
        <v>-2.404E-5</v>
      </c>
      <c r="C9" s="3">
        <v>1.5009999999999999E-4</v>
      </c>
      <c r="D9" s="3">
        <v>-4.3090000000000001E-4</v>
      </c>
      <c r="E9" s="3">
        <v>0</v>
      </c>
      <c r="F9" s="3">
        <v>0</v>
      </c>
      <c r="G9" s="3">
        <v>0</v>
      </c>
      <c r="H9" s="3">
        <v>3.6712765999999999E-5</v>
      </c>
      <c r="I9" s="3">
        <v>1.3851983000000001E-5</v>
      </c>
      <c r="J9" s="3">
        <v>-9.860914E-5</v>
      </c>
      <c r="K9" s="3"/>
      <c r="L9" s="3">
        <f t="shared" si="0"/>
        <v>-5.5790206544441862E-2</v>
      </c>
      <c r="M9" s="3"/>
      <c r="N9" s="2">
        <f>IF('Modell einstellen'!$B$1="Voll",H9/0.35,H9/0.35*2)</f>
        <v>2.097872342857143E-4</v>
      </c>
      <c r="O9" s="2">
        <f>IF('Modell einstellen'!$B$1="Voll",J9/0.35,J9/0.35*2)</f>
        <v>-5.6348080000000005E-4</v>
      </c>
      <c r="P9" s="3">
        <f t="shared" si="1"/>
        <v>0.37230591403596053</v>
      </c>
      <c r="Q9" s="3"/>
      <c r="R9" s="3"/>
      <c r="S9" s="3"/>
      <c r="T9" s="3"/>
      <c r="U9" s="3"/>
    </row>
    <row r="10" spans="1:21" x14ac:dyDescent="0.25">
      <c r="A10" s="3">
        <v>1E-8</v>
      </c>
      <c r="B10" s="3">
        <v>-3.0309999999999999E-5</v>
      </c>
      <c r="C10" s="3">
        <v>1.5200000000000001E-4</v>
      </c>
      <c r="D10" s="3">
        <v>-4.2880000000000001E-4</v>
      </c>
      <c r="E10" s="3">
        <v>0</v>
      </c>
      <c r="F10" s="3">
        <v>0</v>
      </c>
      <c r="G10" s="3">
        <v>0</v>
      </c>
      <c r="H10" s="3">
        <v>3.7805992000000002E-5</v>
      </c>
      <c r="I10" s="3">
        <v>1.4023448E-5</v>
      </c>
      <c r="J10" s="3">
        <v>-1.0022864999999999E-4</v>
      </c>
      <c r="K10" s="3"/>
      <c r="L10" s="3">
        <f t="shared" si="0"/>
        <v>-7.0685634328358199E-2</v>
      </c>
      <c r="M10" s="3"/>
      <c r="N10" s="2">
        <f>IF('Modell einstellen'!$B$1="Voll",H10/0.35,H10/0.35*2)</f>
        <v>2.1603424000000003E-4</v>
      </c>
      <c r="O10" s="2">
        <f>IF('Modell einstellen'!$B$1="Voll",J10/0.35,J10/0.35*2)</f>
        <v>-5.7273514285714289E-4</v>
      </c>
      <c r="P10" s="3">
        <f t="shared" si="1"/>
        <v>0.37719745801225502</v>
      </c>
      <c r="Q10" s="3"/>
      <c r="R10" s="3"/>
      <c r="S10" s="3"/>
      <c r="T10" s="3"/>
      <c r="U10" s="3"/>
    </row>
    <row r="11" spans="1:21" x14ac:dyDescent="0.25">
      <c r="A11" s="3">
        <v>9.9999999999999995E-8</v>
      </c>
      <c r="B11" s="3">
        <v>-3.7589999999999998E-5</v>
      </c>
      <c r="C11" s="3">
        <v>1.539E-4</v>
      </c>
      <c r="D11" s="3">
        <v>-4.259E-4</v>
      </c>
      <c r="E11" s="3">
        <v>0</v>
      </c>
      <c r="F11" s="3">
        <v>0</v>
      </c>
      <c r="G11" s="3">
        <v>0</v>
      </c>
      <c r="H11" s="3">
        <v>3.9029590999999999E-5</v>
      </c>
      <c r="I11" s="3">
        <v>1.4208395000000001E-5</v>
      </c>
      <c r="J11" s="3">
        <v>-1.0201913E-4</v>
      </c>
      <c r="K11" s="3"/>
      <c r="L11" s="3">
        <f t="shared" si="0"/>
        <v>-8.8260154965954449E-2</v>
      </c>
      <c r="M11" s="3"/>
      <c r="N11" s="2">
        <f>IF('Modell einstellen'!$B$1="Voll",H11/0.35,H11/0.35*2)</f>
        <v>2.2302623428571428E-4</v>
      </c>
      <c r="O11" s="2">
        <f>IF('Modell einstellen'!$B$1="Voll",J11/0.35,J11/0.35*2)</f>
        <v>-5.8296645714285718E-4</v>
      </c>
      <c r="P11" s="3">
        <f t="shared" si="1"/>
        <v>0.38257129814771013</v>
      </c>
      <c r="Q11" s="3"/>
      <c r="R11" s="3"/>
      <c r="S11" s="3"/>
      <c r="T11" s="3"/>
      <c r="U11" s="3"/>
    </row>
    <row r="12" spans="1:21" x14ac:dyDescent="0.25">
      <c r="A12" s="3">
        <v>9.9999999999999995E-7</v>
      </c>
      <c r="B12" s="3">
        <v>-4.6650000000000002E-5</v>
      </c>
      <c r="C12" s="3">
        <v>1.561E-4</v>
      </c>
      <c r="D12" s="3">
        <v>-4.2180000000000001E-4</v>
      </c>
      <c r="E12" s="3">
        <v>0</v>
      </c>
      <c r="F12" s="3">
        <v>0</v>
      </c>
      <c r="G12" s="3">
        <v>0</v>
      </c>
      <c r="H12" s="3">
        <v>4.0489423999999998E-5</v>
      </c>
      <c r="I12" s="3">
        <v>1.4418542000000001E-5</v>
      </c>
      <c r="J12" s="3">
        <v>-1.0412394E-4</v>
      </c>
      <c r="K12" s="3"/>
      <c r="L12" s="3">
        <f t="shared" si="0"/>
        <v>-0.11059743954480797</v>
      </c>
      <c r="M12" s="3"/>
      <c r="N12" s="2">
        <f>IF('Modell einstellen'!$B$1="Voll",H12/0.35,H12/0.35*2)</f>
        <v>2.3136813714285715E-4</v>
      </c>
      <c r="O12" s="2">
        <f>IF('Modell einstellen'!$B$1="Voll",J12/0.35,J12/0.35*2)</f>
        <v>-5.9499394285714288E-4</v>
      </c>
      <c r="P12" s="3">
        <f t="shared" si="1"/>
        <v>0.38885797060695171</v>
      </c>
      <c r="Q12" s="3"/>
      <c r="R12" s="3"/>
      <c r="S12" s="3"/>
      <c r="T12" s="3"/>
      <c r="U12" s="3"/>
    </row>
    <row r="13" spans="1:21" x14ac:dyDescent="0.25">
      <c r="A13" s="3">
        <v>1.0000000000000001E-5</v>
      </c>
      <c r="B13" s="3">
        <v>-5.7550000000000003E-5</v>
      </c>
      <c r="C13" s="3">
        <v>1.5860000000000001E-4</v>
      </c>
      <c r="D13" s="3">
        <v>-4.1639999999999998E-4</v>
      </c>
      <c r="E13" s="3">
        <v>0</v>
      </c>
      <c r="F13" s="3">
        <v>0</v>
      </c>
      <c r="G13" s="3">
        <v>0</v>
      </c>
      <c r="H13" s="3">
        <v>4.2172275000000001E-5</v>
      </c>
      <c r="I13" s="3">
        <v>1.464929E-5</v>
      </c>
      <c r="J13" s="3">
        <v>-1.0651346999999999E-4</v>
      </c>
      <c r="K13" s="3"/>
      <c r="L13" s="3">
        <f t="shared" si="0"/>
        <v>-0.13820845341018254</v>
      </c>
      <c r="M13" s="3"/>
      <c r="N13" s="2">
        <f>IF('Modell einstellen'!$B$1="Voll",H13/0.35,H13/0.35*2)</f>
        <v>2.4098442857142859E-4</v>
      </c>
      <c r="O13" s="2">
        <f>IF('Modell einstellen'!$B$1="Voll",J13/0.35,J13/0.35*2)</f>
        <v>-6.0864839999999996E-4</v>
      </c>
      <c r="P13" s="3">
        <f t="shared" si="1"/>
        <v>0.39593372556541445</v>
      </c>
      <c r="Q13" s="3"/>
      <c r="R13" s="3"/>
      <c r="S13" s="3"/>
      <c r="T13" s="3"/>
      <c r="U13" s="3"/>
    </row>
    <row r="14" spans="1:21" x14ac:dyDescent="0.25">
      <c r="A14" s="3">
        <v>1E-4</v>
      </c>
      <c r="B14" s="3">
        <v>-6.9889999999999997E-5</v>
      </c>
      <c r="C14" s="3">
        <v>1.6200000000000001E-4</v>
      </c>
      <c r="D14" s="3">
        <v>-4.1070000000000001E-4</v>
      </c>
      <c r="E14" s="3">
        <v>0</v>
      </c>
      <c r="F14" s="3">
        <v>0</v>
      </c>
      <c r="G14" s="3">
        <v>0</v>
      </c>
      <c r="H14" s="3">
        <v>4.4045563999999999E-5</v>
      </c>
      <c r="I14" s="3">
        <v>1.4939048E-5</v>
      </c>
      <c r="J14" s="3">
        <v>-1.0921175999999999E-4</v>
      </c>
      <c r="K14" s="3"/>
      <c r="L14" s="3">
        <f t="shared" si="0"/>
        <v>-0.17017287557828098</v>
      </c>
      <c r="M14" s="3"/>
      <c r="N14" s="2">
        <f>IF('Modell einstellen'!$B$1="Voll",H14/0.35,H14/0.35*2)</f>
        <v>2.5168893714285715E-4</v>
      </c>
      <c r="O14" s="2">
        <f>IF('Modell einstellen'!$B$1="Voll",J14/0.35,J14/0.35*2)</f>
        <v>-6.2406720000000003E-4</v>
      </c>
      <c r="P14" s="3">
        <f t="shared" si="1"/>
        <v>0.40330422291518786</v>
      </c>
      <c r="Q14" s="3"/>
      <c r="R14" s="3"/>
      <c r="S14" s="3"/>
      <c r="T14" s="3"/>
      <c r="U14" s="3"/>
    </row>
    <row r="15" spans="1:21" x14ac:dyDescent="0.25">
      <c r="A15" s="3">
        <v>1E-3</v>
      </c>
      <c r="B15" s="3">
        <v>-8.352E-5</v>
      </c>
      <c r="C15" s="3">
        <v>1.641E-4</v>
      </c>
      <c r="D15" s="3">
        <v>-4.0220000000000002E-4</v>
      </c>
      <c r="E15" s="3">
        <v>0</v>
      </c>
      <c r="F15" s="3">
        <v>0</v>
      </c>
      <c r="G15" s="3">
        <v>0</v>
      </c>
      <c r="H15" s="3">
        <v>4.5942597999999997E-5</v>
      </c>
      <c r="I15" s="3">
        <v>1.5146828E-5</v>
      </c>
      <c r="J15" s="3">
        <v>-1.1177436E-4</v>
      </c>
      <c r="K15" s="3"/>
      <c r="L15" s="3">
        <f t="shared" si="0"/>
        <v>-0.20765788165091992</v>
      </c>
      <c r="M15" s="3"/>
      <c r="N15" s="2">
        <f>IF('Modell einstellen'!$B$1="Voll",H15/0.35,H15/0.35*2)</f>
        <v>2.6252913142857143E-4</v>
      </c>
      <c r="O15" s="2">
        <f>IF('Modell einstellen'!$B$1="Voll",J15/0.35,J15/0.35*2)</f>
        <v>-6.3871062857142865E-4</v>
      </c>
      <c r="P15" s="3">
        <f t="shared" si="1"/>
        <v>0.41102984620086391</v>
      </c>
      <c r="Q15" s="3"/>
      <c r="R15" s="3"/>
      <c r="S15" s="3"/>
      <c r="T15" s="3"/>
      <c r="U15" s="3"/>
    </row>
    <row r="16" spans="1:21" x14ac:dyDescent="0.25">
      <c r="A16" s="3">
        <v>0.01</v>
      </c>
      <c r="B16" s="3">
        <v>-9.9939999999999995E-5</v>
      </c>
      <c r="C16" s="3">
        <v>1.6750000000000001E-4</v>
      </c>
      <c r="D16" s="3">
        <v>-3.927E-4</v>
      </c>
      <c r="E16" s="3">
        <v>0</v>
      </c>
      <c r="F16" s="3">
        <v>0</v>
      </c>
      <c r="G16" s="3">
        <v>0</v>
      </c>
      <c r="H16" s="3">
        <v>4.8212226999999999E-5</v>
      </c>
      <c r="I16" s="3">
        <v>1.5443635000000001E-5</v>
      </c>
      <c r="J16" s="3">
        <v>-1.1490513999999999E-4</v>
      </c>
      <c r="K16" s="3"/>
      <c r="L16" s="3">
        <f t="shared" si="0"/>
        <v>-0.25449452508276038</v>
      </c>
      <c r="M16" s="3"/>
      <c r="N16" s="2">
        <f>IF('Modell einstellen'!$B$1="Voll",H16/0.35,H16/0.35*2)</f>
        <v>2.7549844000000003E-4</v>
      </c>
      <c r="O16" s="2">
        <f>IF('Modell einstellen'!$B$1="Voll",J16/0.35,J16/0.35*2)</f>
        <v>-6.5660079999999997E-4</v>
      </c>
      <c r="P16" s="3">
        <f t="shared" si="1"/>
        <v>0.41958285765110254</v>
      </c>
      <c r="Q16" s="3"/>
      <c r="R16" s="3"/>
      <c r="S16" s="3"/>
      <c r="T16" s="3"/>
      <c r="U16" s="3"/>
    </row>
    <row r="17" spans="1:21" x14ac:dyDescent="0.25">
      <c r="A17" s="3">
        <v>0.1</v>
      </c>
      <c r="B17" s="3">
        <v>-1.2300000000000001E-4</v>
      </c>
      <c r="C17" s="3">
        <v>1.7110000000000001E-4</v>
      </c>
      <c r="D17" s="3">
        <v>-3.7740000000000001E-4</v>
      </c>
      <c r="E17" s="3">
        <v>0</v>
      </c>
      <c r="F17" s="3">
        <v>0</v>
      </c>
      <c r="G17" s="3">
        <v>0</v>
      </c>
      <c r="H17" s="3">
        <v>5.1223230999999999E-5</v>
      </c>
      <c r="I17" s="3">
        <v>1.5774790999999999E-5</v>
      </c>
      <c r="J17" s="3">
        <v>-1.1891298E-4</v>
      </c>
      <c r="K17" s="3"/>
      <c r="L17" s="3">
        <f t="shared" si="0"/>
        <v>-0.32591414944356123</v>
      </c>
      <c r="M17" s="3"/>
      <c r="N17" s="2">
        <f>IF('Modell einstellen'!$B$1="Voll",H17/0.35,H17/0.35*2)</f>
        <v>2.9270417714285715E-4</v>
      </c>
      <c r="O17" s="2">
        <f>IF('Modell einstellen'!$B$1="Voll",J17/0.35,J17/0.35*2)</f>
        <v>-6.7950274285714289E-4</v>
      </c>
      <c r="P17" s="3">
        <f t="shared" si="1"/>
        <v>0.43076231879816651</v>
      </c>
      <c r="Q17" s="3"/>
      <c r="R17" s="3"/>
      <c r="S17" s="3"/>
      <c r="T17" s="3"/>
      <c r="U17" s="3"/>
    </row>
    <row r="18" spans="1:21" x14ac:dyDescent="0.25">
      <c r="A18" s="3">
        <v>1</v>
      </c>
      <c r="B18" s="3">
        <v>-1.516E-4</v>
      </c>
      <c r="C18" s="3">
        <v>1.751E-4</v>
      </c>
      <c r="D18" s="3">
        <v>-3.5740000000000001E-4</v>
      </c>
      <c r="E18" s="3">
        <v>0</v>
      </c>
      <c r="F18" s="3">
        <v>0</v>
      </c>
      <c r="G18" s="3">
        <v>0</v>
      </c>
      <c r="H18" s="3">
        <v>5.4851632000000003E-5</v>
      </c>
      <c r="I18" s="3">
        <v>1.6164018999999998E-5</v>
      </c>
      <c r="J18" s="3">
        <v>-1.2367412E-4</v>
      </c>
      <c r="K18" s="3"/>
      <c r="L18" s="3">
        <f t="shared" si="0"/>
        <v>-0.42417459429210969</v>
      </c>
      <c r="M18" s="3"/>
      <c r="N18" s="2">
        <f>IF('Modell einstellen'!$B$1="Voll",H18/0.35,H18/0.35*2)</f>
        <v>3.134378971428572E-4</v>
      </c>
      <c r="O18" s="2">
        <f>IF('Modell einstellen'!$B$1="Voll",J18/0.35,J18/0.35*2)</f>
        <v>-7.0670925714285716E-4</v>
      </c>
      <c r="P18" s="3">
        <f t="shared" si="1"/>
        <v>0.44351746347578624</v>
      </c>
      <c r="Q18" s="3"/>
      <c r="R18" s="3"/>
      <c r="S18" s="3"/>
      <c r="T18" s="3"/>
      <c r="U18" s="3"/>
    </row>
    <row r="19" spans="1:21" x14ac:dyDescent="0.25">
      <c r="A19" s="3">
        <v>10</v>
      </c>
      <c r="B19" s="3">
        <v>-1.7560000000000001E-4</v>
      </c>
      <c r="C19" s="3">
        <v>1.808E-4</v>
      </c>
      <c r="D19" s="3">
        <v>-3.4220000000000002E-4</v>
      </c>
      <c r="E19" s="3">
        <v>0</v>
      </c>
      <c r="F19" s="3">
        <v>0</v>
      </c>
      <c r="G19" s="3">
        <v>0</v>
      </c>
      <c r="H19" s="3">
        <v>5.8662034999999997E-5</v>
      </c>
      <c r="I19" s="3">
        <v>1.682846E-5</v>
      </c>
      <c r="J19" s="3">
        <v>-1.2905155000000001E-4</v>
      </c>
      <c r="K19" s="3"/>
      <c r="L19" s="3">
        <f t="shared" si="0"/>
        <v>-0.51315020455873761</v>
      </c>
      <c r="M19" s="3"/>
      <c r="N19" s="2">
        <f>IF('Modell einstellen'!$B$1="Voll",H19/0.35,H19/0.35*2)</f>
        <v>3.352116285714286E-4</v>
      </c>
      <c r="O19" s="2">
        <f>IF('Modell einstellen'!$B$1="Voll",J19/0.35,J19/0.35*2)</f>
        <v>-7.3743742857142864E-4</v>
      </c>
      <c r="P19" s="3">
        <f t="shared" si="1"/>
        <v>0.45456280842810487</v>
      </c>
      <c r="Q19" s="3"/>
      <c r="R19" s="3"/>
      <c r="S19" s="3"/>
      <c r="T19" s="3"/>
      <c r="U19" s="3"/>
    </row>
    <row r="20" spans="1:21" x14ac:dyDescent="0.25">
      <c r="A20" s="3">
        <v>100</v>
      </c>
      <c r="B20" s="3">
        <v>-1.6449999999999999E-4</v>
      </c>
      <c r="C20" s="3">
        <v>1.985E-4</v>
      </c>
      <c r="D20" s="3">
        <v>-3.68E-4</v>
      </c>
      <c r="E20" s="3">
        <v>0</v>
      </c>
      <c r="F20" s="3">
        <v>0</v>
      </c>
      <c r="G20" s="3">
        <v>0</v>
      </c>
      <c r="H20" s="3">
        <v>6.4023818000000004E-5</v>
      </c>
      <c r="I20" s="3">
        <v>1.9514535E-5</v>
      </c>
      <c r="J20" s="3">
        <v>-1.3952716000000001E-4</v>
      </c>
      <c r="K20" s="3"/>
      <c r="L20" s="3">
        <f t="shared" si="0"/>
        <v>-0.44701086956521735</v>
      </c>
      <c r="M20" s="3"/>
      <c r="N20" s="2">
        <f>IF('Modell einstellen'!$B$1="Voll",H20/0.35,H20/0.35*2)</f>
        <v>3.6585038857142864E-4</v>
      </c>
      <c r="O20" s="2">
        <f>IF('Modell einstellen'!$B$1="Voll",J20/0.35,J20/0.35*2)</f>
        <v>-7.9729805714285717E-4</v>
      </c>
      <c r="P20" s="3">
        <f t="shared" si="1"/>
        <v>0.45886276191674802</v>
      </c>
      <c r="Q20" s="3"/>
      <c r="R20" s="3"/>
      <c r="S20" s="3"/>
      <c r="T20" s="3"/>
      <c r="U20" s="3"/>
    </row>
    <row r="21" spans="1:21" x14ac:dyDescent="0.25">
      <c r="A21" s="3">
        <v>1000</v>
      </c>
      <c r="B21" s="3">
        <v>-7.0889999999999994E-5</v>
      </c>
      <c r="C21" s="3">
        <v>2.454E-4</v>
      </c>
      <c r="D21" s="3">
        <v>-4.9149999999999997E-4</v>
      </c>
      <c r="E21" s="3">
        <v>0</v>
      </c>
      <c r="F21" s="3">
        <v>0</v>
      </c>
      <c r="G21" s="3">
        <v>0</v>
      </c>
      <c r="H21" s="3">
        <v>7.3961116999999999E-5</v>
      </c>
      <c r="I21" s="3">
        <v>2.7561268999999998E-5</v>
      </c>
      <c r="J21" s="3">
        <v>-1.6421683999999999E-4</v>
      </c>
      <c r="K21" s="3"/>
      <c r="L21" s="3">
        <f t="shared" si="0"/>
        <v>-0.14423194303153611</v>
      </c>
      <c r="M21" s="3"/>
      <c r="N21" s="2">
        <f>IF('Modell einstellen'!$B$1="Voll",H21/0.35,H21/0.35*2)</f>
        <v>4.2263495428571433E-4</v>
      </c>
      <c r="O21" s="2">
        <f>IF('Modell einstellen'!$B$1="Voll",J21/0.35,J21/0.35*2)</f>
        <v>-9.3838194285714291E-4</v>
      </c>
      <c r="P21" s="3">
        <f t="shared" si="1"/>
        <v>0.45038692134131919</v>
      </c>
      <c r="Q21" s="3"/>
      <c r="R21" s="3"/>
      <c r="S21" s="3"/>
      <c r="T21" s="3"/>
      <c r="U21" s="3"/>
    </row>
    <row r="22" spans="1:21" x14ac:dyDescent="0.25">
      <c r="A22" s="3">
        <v>10000</v>
      </c>
      <c r="B22" s="3">
        <v>8.1080000000000003E-5</v>
      </c>
      <c r="C22" s="3">
        <v>3.2089999999999999E-4</v>
      </c>
      <c r="D22" s="3">
        <v>-6.9300000000000004E-4</v>
      </c>
      <c r="E22" s="3">
        <v>0</v>
      </c>
      <c r="F22" s="3">
        <v>0</v>
      </c>
      <c r="G22" s="3">
        <v>0</v>
      </c>
      <c r="H22" s="3">
        <v>8.6623203000000003E-5</v>
      </c>
      <c r="I22" s="3">
        <v>4.0012667E-5</v>
      </c>
      <c r="J22" s="3">
        <v>-1.9970270999999999E-4</v>
      </c>
      <c r="K22" s="3"/>
      <c r="L22" s="3">
        <f t="shared" si="0"/>
        <v>0.11699855699855699</v>
      </c>
      <c r="M22" s="3"/>
      <c r="N22" s="2">
        <f>IF('Modell einstellen'!$B$1="Voll",H22/0.35,H22/0.35*2)</f>
        <v>4.9498973142857151E-4</v>
      </c>
      <c r="O22" s="2">
        <f>IF('Modell einstellen'!$B$1="Voll",J22/0.35,J22/0.35*2)</f>
        <v>-1.1411583428571428E-3</v>
      </c>
      <c r="P22" s="3">
        <f t="shared" si="1"/>
        <v>0.43376077870951285</v>
      </c>
      <c r="Q22" s="3"/>
      <c r="R22" s="3"/>
      <c r="S22" s="3"/>
      <c r="T22" s="3"/>
      <c r="U22" s="3"/>
    </row>
    <row r="23" spans="1:21" x14ac:dyDescent="0.25">
      <c r="A23" s="3">
        <v>100000</v>
      </c>
      <c r="B23" s="3">
        <v>2.3910000000000001E-4</v>
      </c>
      <c r="C23" s="3">
        <v>4.1100000000000002E-4</v>
      </c>
      <c r="D23" s="3">
        <v>-9.1589999999999998E-4</v>
      </c>
      <c r="E23" s="3">
        <v>0</v>
      </c>
      <c r="F23" s="3">
        <v>0</v>
      </c>
      <c r="G23" s="3">
        <v>0</v>
      </c>
      <c r="H23" s="3">
        <v>9.9765410000000006E-5</v>
      </c>
      <c r="I23" s="3">
        <v>5.3899266999999997E-5</v>
      </c>
      <c r="J23" s="3">
        <v>-2.3854255999999999E-4</v>
      </c>
      <c r="K23" s="3"/>
      <c r="L23" s="3">
        <f t="shared" si="0"/>
        <v>0.26105470029479205</v>
      </c>
      <c r="M23" s="3"/>
      <c r="N23" s="2">
        <f>IF('Modell einstellen'!$B$1="Voll",H23/0.35,H23/0.35*2)</f>
        <v>5.7008805714285724E-4</v>
      </c>
      <c r="O23" s="2">
        <f>IF('Modell einstellen'!$B$1="Voll",J23/0.35,J23/0.35*2)</f>
        <v>-1.363100342857143E-3</v>
      </c>
      <c r="P23" s="3">
        <f t="shared" si="1"/>
        <v>0.41822897347961724</v>
      </c>
      <c r="Q23" s="3"/>
      <c r="R23" s="3"/>
      <c r="S23" s="3"/>
      <c r="T23" s="3"/>
      <c r="U23" s="3"/>
    </row>
    <row r="24" spans="1:21" x14ac:dyDescent="0.25">
      <c r="A24" s="3">
        <v>1000000</v>
      </c>
      <c r="B24" s="3">
        <v>3.7639999999999999E-4</v>
      </c>
      <c r="C24" s="3">
        <v>5.0600000000000005E-4</v>
      </c>
      <c r="D24" s="3">
        <v>-1.127E-3</v>
      </c>
      <c r="E24" s="3">
        <v>0</v>
      </c>
      <c r="F24" s="3">
        <v>0</v>
      </c>
      <c r="G24" s="3">
        <v>0</v>
      </c>
      <c r="H24" s="3">
        <v>1.1235329999999999E-4</v>
      </c>
      <c r="I24" s="3">
        <v>6.7715039000000005E-5</v>
      </c>
      <c r="J24" s="3">
        <v>-2.7699687E-4</v>
      </c>
      <c r="K24" s="3"/>
      <c r="L24" s="3">
        <f t="shared" si="0"/>
        <v>0.33398402839396629</v>
      </c>
      <c r="M24" s="3"/>
      <c r="N24" s="2">
        <f>IF('Modell einstellen'!$B$1="Voll",H24/0.35,H24/0.35*2)</f>
        <v>6.4201885714285718E-4</v>
      </c>
      <c r="O24" s="2">
        <f>IF('Modell einstellen'!$B$1="Voll",J24/0.35,J24/0.35*2)</f>
        <v>-1.5828392571428573E-3</v>
      </c>
      <c r="P24" s="3">
        <f t="shared" si="1"/>
        <v>0.40561216449846527</v>
      </c>
      <c r="Q24" s="3"/>
      <c r="R24" s="3"/>
      <c r="S24" s="3"/>
      <c r="T24" s="3"/>
      <c r="U24" s="3"/>
    </row>
    <row r="25" spans="1:21" x14ac:dyDescent="0.25">
      <c r="A25" s="3">
        <v>10000000</v>
      </c>
      <c r="B25" s="3">
        <v>4.8819999999999999E-4</v>
      </c>
      <c r="C25" s="3">
        <v>6.0479999999999996E-4</v>
      </c>
      <c r="D25" s="3">
        <v>-1.323E-3</v>
      </c>
      <c r="E25" s="3">
        <v>0</v>
      </c>
      <c r="F25" s="3">
        <v>0</v>
      </c>
      <c r="G25" s="3">
        <v>0</v>
      </c>
      <c r="H25" s="3">
        <v>1.2534328E-4</v>
      </c>
      <c r="I25" s="3">
        <v>8.1808748000000006E-5</v>
      </c>
      <c r="J25" s="3">
        <v>-3.1673060000000003E-4</v>
      </c>
      <c r="K25" s="3"/>
      <c r="L25" s="3">
        <f t="shared" si="0"/>
        <v>0.3690098261526833</v>
      </c>
      <c r="M25" s="3"/>
      <c r="N25" s="2">
        <f>IF('Modell einstellen'!$B$1="Voll",H25/0.35,H25/0.35*2)</f>
        <v>7.1624731428571436E-4</v>
      </c>
      <c r="O25" s="2">
        <f>IF('Modell einstellen'!$B$1="Voll",J25/0.35,J25/0.35*2)</f>
        <v>-1.8098891428571431E-3</v>
      </c>
      <c r="P25" s="3">
        <f t="shared" si="1"/>
        <v>0.3957409861882622</v>
      </c>
      <c r="Q25" s="3"/>
      <c r="R25" s="3"/>
      <c r="S25" s="3"/>
      <c r="T25" s="3"/>
      <c r="U25" s="3"/>
    </row>
    <row r="26" spans="1:21" x14ac:dyDescent="0.25">
      <c r="A26" s="3">
        <v>100000000</v>
      </c>
      <c r="B26" s="3">
        <v>5.8109999999999998E-4</v>
      </c>
      <c r="C26" s="3">
        <v>7.0910000000000005E-4</v>
      </c>
      <c r="D26" s="3">
        <v>-1.508E-3</v>
      </c>
      <c r="E26" s="3">
        <v>0</v>
      </c>
      <c r="F26" s="3">
        <v>0</v>
      </c>
      <c r="G26" s="3">
        <v>0</v>
      </c>
      <c r="H26" s="3">
        <v>1.3945011E-4</v>
      </c>
      <c r="I26" s="3">
        <v>9.6726439000000003E-5</v>
      </c>
      <c r="J26" s="3">
        <v>-3.5942511000000002E-4</v>
      </c>
      <c r="K26" s="3"/>
      <c r="L26" s="3">
        <f t="shared" si="0"/>
        <v>0.38534482758620686</v>
      </c>
      <c r="M26" s="3"/>
      <c r="N26" s="2">
        <f>IF('Modell einstellen'!$B$1="Voll",H26/0.35,H26/0.35*2)</f>
        <v>7.968577714285714E-4</v>
      </c>
      <c r="O26" s="2">
        <f>IF('Modell einstellen'!$B$1="Voll",J26/0.35,J26/0.35*2)</f>
        <v>-2.0538577714285717E-3</v>
      </c>
      <c r="P26" s="3">
        <f t="shared" si="1"/>
        <v>0.38798098997590896</v>
      </c>
      <c r="Q26" s="3"/>
      <c r="R26" s="3"/>
      <c r="S26" s="3"/>
      <c r="T26" s="3"/>
      <c r="U26" s="3"/>
    </row>
    <row r="27" spans="1:21" x14ac:dyDescent="0.25">
      <c r="A27" s="3">
        <v>1000000000</v>
      </c>
      <c r="B27" s="3">
        <v>6.6540000000000002E-4</v>
      </c>
      <c r="C27" s="3">
        <v>8.2720000000000005E-4</v>
      </c>
      <c r="D27" s="3">
        <v>-1.702E-3</v>
      </c>
      <c r="E27" s="3">
        <v>0</v>
      </c>
      <c r="F27" s="3">
        <v>0</v>
      </c>
      <c r="G27" s="3">
        <v>0</v>
      </c>
      <c r="H27" s="3">
        <v>1.5702814000000001E-4</v>
      </c>
      <c r="I27" s="3">
        <v>1.1417061E-4</v>
      </c>
      <c r="J27" s="3">
        <v>-4.1068061000000002E-4</v>
      </c>
      <c r="K27" s="3"/>
      <c r="L27" s="3">
        <f t="shared" si="0"/>
        <v>0.390951821386604</v>
      </c>
      <c r="M27" s="3"/>
      <c r="N27" s="2">
        <f>IF('Modell einstellen'!$B$1="Voll",H27/0.35,H27/0.35*2)</f>
        <v>8.9730365714285729E-4</v>
      </c>
      <c r="O27" s="2">
        <f>IF('Modell einstellen'!$B$1="Voll",J27/0.35,J27/0.35*2)</f>
        <v>-2.3467463428571431E-3</v>
      </c>
      <c r="P27" s="3">
        <f t="shared" si="1"/>
        <v>0.38236073526821734</v>
      </c>
      <c r="Q27" s="3"/>
      <c r="R27" s="3"/>
      <c r="S27" s="3"/>
      <c r="T27" s="3"/>
      <c r="U27" s="3"/>
    </row>
    <row r="28" spans="1:21" x14ac:dyDescent="0.25">
      <c r="A28" s="3">
        <v>10000000000</v>
      </c>
      <c r="B28" s="3">
        <v>7.5259999999999997E-4</v>
      </c>
      <c r="C28" s="3">
        <v>9.7380000000000003E-4</v>
      </c>
      <c r="D28" s="3">
        <v>-1.9300000000000001E-3</v>
      </c>
      <c r="E28" s="3">
        <v>0</v>
      </c>
      <c r="F28" s="3">
        <v>0</v>
      </c>
      <c r="G28" s="3">
        <v>0</v>
      </c>
      <c r="H28" s="3">
        <v>1.8125912E-4</v>
      </c>
      <c r="I28" s="3">
        <v>1.3680001000000001E-4</v>
      </c>
      <c r="J28" s="3">
        <v>-4.7875359999999999E-4</v>
      </c>
      <c r="K28" s="3"/>
      <c r="L28" s="3">
        <f t="shared" si="0"/>
        <v>0.38994818652849739</v>
      </c>
      <c r="M28" s="3"/>
      <c r="N28" s="2">
        <f>IF('Modell einstellen'!$B$1="Voll",H28/0.35,H28/0.35*2)</f>
        <v>1.0357664000000002E-3</v>
      </c>
      <c r="O28" s="2">
        <f>IF('Modell einstellen'!$B$1="Voll",J28/0.35,J28/0.35*2)</f>
        <v>-2.7357348571428572E-3</v>
      </c>
      <c r="P28" s="3">
        <f t="shared" si="1"/>
        <v>0.37860628097626842</v>
      </c>
      <c r="Q28" s="3"/>
      <c r="R28" s="3"/>
      <c r="S28" s="3"/>
      <c r="T28" s="3"/>
      <c r="U28" s="3"/>
    </row>
    <row r="29" spans="1:21" x14ac:dyDescent="0.25">
      <c r="A29" s="3">
        <v>100000000000</v>
      </c>
      <c r="B29" s="3">
        <v>8.5669999999999995E-4</v>
      </c>
      <c r="C29" s="3">
        <v>1.1839999999999999E-3</v>
      </c>
      <c r="D29" s="3">
        <v>-2.238E-3</v>
      </c>
      <c r="E29" s="3">
        <v>0</v>
      </c>
      <c r="F29" s="3">
        <v>0</v>
      </c>
      <c r="G29" s="3">
        <v>0</v>
      </c>
      <c r="H29" s="3">
        <v>2.1952656000000001E-4</v>
      </c>
      <c r="I29" s="3">
        <v>1.7082775999999999E-4</v>
      </c>
      <c r="J29" s="3">
        <v>-5.8296944E-4</v>
      </c>
      <c r="K29" s="3"/>
      <c r="L29" s="3">
        <f t="shared" si="0"/>
        <v>0.38279714030384271</v>
      </c>
      <c r="M29" s="3"/>
      <c r="N29" s="2">
        <f>IF('Modell einstellen'!$B$1="Voll",H29/0.35,H29/0.35*2)</f>
        <v>1.2544374857142858E-3</v>
      </c>
      <c r="O29" s="2">
        <f>IF('Modell einstellen'!$B$1="Voll",J29/0.35,J29/0.35*2)</f>
        <v>-3.3312539428571432E-3</v>
      </c>
      <c r="P29" s="3">
        <f t="shared" si="1"/>
        <v>0.37656615413665595</v>
      </c>
      <c r="Q29" s="3"/>
      <c r="R29" s="3"/>
      <c r="S29" s="3"/>
      <c r="T29" s="3"/>
      <c r="U29" s="3"/>
    </row>
    <row r="30" spans="1:21" x14ac:dyDescent="0.25">
      <c r="A30" s="3">
        <v>1000000000000</v>
      </c>
      <c r="B30" s="3">
        <v>9.9850000000000004E-4</v>
      </c>
      <c r="C30" s="3">
        <v>1.523E-3</v>
      </c>
      <c r="D30" s="3">
        <v>-2.712E-3</v>
      </c>
      <c r="E30" s="3">
        <v>0</v>
      </c>
      <c r="F30" s="3">
        <v>0</v>
      </c>
      <c r="G30" s="3">
        <v>0</v>
      </c>
      <c r="H30" s="3">
        <v>2.8503902999999999E-4</v>
      </c>
      <c r="I30" s="3">
        <v>2.2764726999999999E-4</v>
      </c>
      <c r="J30" s="3">
        <v>-7.583135E-4</v>
      </c>
      <c r="K30" s="3"/>
      <c r="L30" s="3">
        <f t="shared" si="0"/>
        <v>0.36817846607669619</v>
      </c>
      <c r="M30" s="3"/>
      <c r="N30" s="2">
        <f>IF('Modell einstellen'!$B$1="Voll",H30/0.35,H30/0.35*2)</f>
        <v>1.6287944571428572E-3</v>
      </c>
      <c r="O30" s="2">
        <f>IF('Modell einstellen'!$B$1="Voll",J30/0.35,J30/0.35*2)</f>
        <v>-4.3332200000000005E-3</v>
      </c>
      <c r="P30" s="3">
        <f t="shared" si="1"/>
        <v>0.37588547480692353</v>
      </c>
      <c r="Q30" s="3"/>
      <c r="R30" s="3"/>
      <c r="S30" s="3"/>
      <c r="T30" s="3"/>
      <c r="U30" s="3"/>
    </row>
    <row r="31" spans="1:21" x14ac:dyDescent="0.25">
      <c r="A31" s="3">
        <v>10000000000000</v>
      </c>
      <c r="B31" s="3">
        <v>1.1980000000000001E-3</v>
      </c>
      <c r="C31" s="3">
        <v>2.0839999999999999E-3</v>
      </c>
      <c r="D31" s="3">
        <v>-3.4629999999999999E-3</v>
      </c>
      <c r="E31" s="3">
        <v>0</v>
      </c>
      <c r="F31" s="3">
        <v>0</v>
      </c>
      <c r="G31" s="3">
        <v>0</v>
      </c>
      <c r="H31" s="3">
        <v>3.9836654E-4</v>
      </c>
      <c r="I31" s="3">
        <v>3.2485199999999999E-4</v>
      </c>
      <c r="J31" s="3">
        <v>-1.0586393E-3</v>
      </c>
      <c r="K31" s="3"/>
      <c r="L31" s="3">
        <f t="shared" si="0"/>
        <v>0.34594282414091831</v>
      </c>
      <c r="M31" s="3"/>
      <c r="N31" s="2">
        <f>IF('Modell einstellen'!$B$1="Voll",H31/0.35,H31/0.35*2)</f>
        <v>2.2763802285714289E-3</v>
      </c>
      <c r="O31" s="2">
        <f>IF('Modell einstellen'!$B$1="Voll",J31/0.35,J31/0.35*2)</f>
        <v>-6.0493674285714292E-3</v>
      </c>
      <c r="P31" s="3">
        <f t="shared" si="1"/>
        <v>0.37630053975891509</v>
      </c>
      <c r="Q31" s="3"/>
      <c r="R31" s="3"/>
      <c r="S31" s="3"/>
      <c r="T31" s="3"/>
      <c r="U31" s="3"/>
    </row>
    <row r="32" spans="1:21" x14ac:dyDescent="0.25">
      <c r="A32" s="3">
        <v>100000000000000</v>
      </c>
      <c r="B32" s="3">
        <v>1.482E-3</v>
      </c>
      <c r="C32" s="3">
        <v>2.9359999999999998E-3</v>
      </c>
      <c r="D32" s="3">
        <v>-4.5890000000000002E-3</v>
      </c>
      <c r="E32" s="3">
        <v>0</v>
      </c>
      <c r="F32" s="3">
        <v>0</v>
      </c>
      <c r="G32" s="3">
        <v>0</v>
      </c>
      <c r="H32" s="3">
        <v>5.7651095000000002E-4</v>
      </c>
      <c r="I32" s="3">
        <v>4.7669881000000002E-4</v>
      </c>
      <c r="J32" s="3">
        <v>-1.526973E-3</v>
      </c>
      <c r="K32" s="3"/>
      <c r="L32" s="3">
        <f t="shared" si="0"/>
        <v>0.32294617563739375</v>
      </c>
      <c r="M32" s="3"/>
      <c r="N32" s="2">
        <f>IF('Modell einstellen'!$B$1="Voll",H32/0.35,H32/0.35*2)</f>
        <v>3.2943482857142859E-3</v>
      </c>
      <c r="O32" s="2">
        <f>IF('Modell einstellen'!$B$1="Voll",J32/0.35,J32/0.35*2)</f>
        <v>-8.7255600000000003E-3</v>
      </c>
      <c r="P32" s="3">
        <f t="shared" si="1"/>
        <v>0.37755150222040601</v>
      </c>
      <c r="Q32" s="3"/>
      <c r="R32" s="3"/>
      <c r="S32" s="3"/>
      <c r="T32" s="3"/>
      <c r="U32" s="3"/>
    </row>
    <row r="33" spans="1:21" x14ac:dyDescent="0.25">
      <c r="A33" s="2">
        <v>1000000000000000</v>
      </c>
      <c r="B33" s="3">
        <v>1.8569999999999999E-3</v>
      </c>
      <c r="C33" s="3">
        <v>4.006E-3</v>
      </c>
      <c r="D33" s="3">
        <v>-6.0260000000000001E-3</v>
      </c>
      <c r="E33" s="3">
        <v>0</v>
      </c>
      <c r="F33" s="3">
        <v>0</v>
      </c>
      <c r="G33" s="3">
        <v>0</v>
      </c>
      <c r="H33" s="3">
        <v>8.0825131999999998E-4</v>
      </c>
      <c r="I33" s="3">
        <v>6.7314513000000002E-4</v>
      </c>
      <c r="J33" s="3">
        <v>-2.1310242000000001E-3</v>
      </c>
      <c r="K33" s="3"/>
      <c r="L33" s="3">
        <f t="shared" si="0"/>
        <v>0.30816461998008626</v>
      </c>
      <c r="M33" s="3"/>
      <c r="N33" s="2">
        <f>IF('Modell einstellen'!$B$1="Voll",H33/0.35,H33/0.35*2)</f>
        <v>4.6185789714285712E-3</v>
      </c>
      <c r="O33" s="2">
        <f>IF('Modell einstellen'!$B$1="Voll",J33/0.35,J33/0.35*2)</f>
        <v>-1.2177281142857144E-2</v>
      </c>
      <c r="P33" s="3">
        <f t="shared" si="1"/>
        <v>0.3792783394951591</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-2.339E-6</v>
      </c>
      <c r="C3" s="3">
        <v>1.459E-4</v>
      </c>
      <c r="D3" s="3">
        <v>-4.4010000000000002E-4</v>
      </c>
      <c r="E3" s="3">
        <v>0</v>
      </c>
      <c r="F3" s="3">
        <v>0</v>
      </c>
      <c r="G3" s="3">
        <v>0</v>
      </c>
      <c r="H3" s="3">
        <v>3.3630153E-5</v>
      </c>
      <c r="I3" s="3">
        <v>1.3522585000000001E-5</v>
      </c>
      <c r="J3" s="3">
        <v>-9.4282858999999999E-5</v>
      </c>
      <c r="K3" s="2"/>
      <c r="L3" s="3"/>
      <c r="M3" s="3"/>
      <c r="N3" s="2">
        <f>IF('Modell einstellen'!$B$1="Voll",H3/0.35,H3/0.35*2)</f>
        <v>1.9217230285714288E-4</v>
      </c>
      <c r="O3" s="2">
        <f>IF('Modell einstellen'!$B$1="Voll",J3/0.35,J3/0.35*2)</f>
        <v>-5.3875919428571434E-4</v>
      </c>
      <c r="P3" s="3">
        <f>-N3/O3</f>
        <v>0.35669424279974371</v>
      </c>
      <c r="Q3" s="3"/>
      <c r="R3" s="3"/>
      <c r="S3" s="3"/>
      <c r="T3" s="3"/>
      <c r="U3" s="3"/>
    </row>
    <row r="4" spans="1:21" x14ac:dyDescent="0.25">
      <c r="A4" s="3">
        <v>1E-14</v>
      </c>
      <c r="B4" s="3">
        <v>-1.0159999999999999E-5</v>
      </c>
      <c r="C4" s="3">
        <v>1.484E-4</v>
      </c>
      <c r="D4" s="3">
        <v>-4.3829999999999997E-4</v>
      </c>
      <c r="E4" s="3">
        <v>0</v>
      </c>
      <c r="F4" s="3">
        <v>0</v>
      </c>
      <c r="G4" s="3">
        <v>0</v>
      </c>
      <c r="H4" s="3">
        <v>3.5134037999999997E-5</v>
      </c>
      <c r="I4" s="3">
        <v>1.3771753000000001E-5</v>
      </c>
      <c r="J4" s="3">
        <v>-9.6571731999999997E-5</v>
      </c>
      <c r="K4" s="2"/>
      <c r="L4" s="3"/>
      <c r="M4" s="3"/>
      <c r="N4" s="2">
        <f>IF('Modell einstellen'!$B$1="Voll",H4/0.35,H4/0.35*2)</f>
        <v>2.0076593142857142E-4</v>
      </c>
      <c r="O4" s="2">
        <f>IF('Modell einstellen'!$B$1="Voll",J4/0.35,J4/0.35*2)</f>
        <v>-5.5183846857142854E-4</v>
      </c>
      <c r="P4" s="3">
        <f t="shared" ref="P4:P33" si="0">-N4/O4</f>
        <v>0.36381285985426876</v>
      </c>
      <c r="Q4" s="3"/>
      <c r="R4" s="3"/>
      <c r="S4" s="3"/>
      <c r="T4" s="3"/>
      <c r="U4" s="3"/>
    </row>
    <row r="5" spans="1:21" x14ac:dyDescent="0.25">
      <c r="A5" s="3">
        <v>1E-13</v>
      </c>
      <c r="B5" s="3">
        <v>-1.5E-5</v>
      </c>
      <c r="C5" s="3">
        <v>1.5009999999999999E-4</v>
      </c>
      <c r="D5" s="3">
        <v>-4.371E-4</v>
      </c>
      <c r="E5" s="3">
        <v>0</v>
      </c>
      <c r="F5" s="3">
        <v>0</v>
      </c>
      <c r="G5" s="3">
        <v>0</v>
      </c>
      <c r="H5" s="3">
        <v>3.6065746999999998E-5</v>
      </c>
      <c r="I5" s="3">
        <v>1.3932944E-5</v>
      </c>
      <c r="J5" s="3">
        <v>-9.7989539000000001E-5</v>
      </c>
      <c r="K5" s="2"/>
      <c r="L5" s="3"/>
      <c r="M5" s="3"/>
      <c r="N5" s="2">
        <f>IF('Modell einstellen'!$B$1="Voll",H5/0.35,H5/0.35*2)</f>
        <v>2.0608998285714285E-4</v>
      </c>
      <c r="O5" s="2">
        <f>IF('Modell einstellen'!$B$1="Voll",J5/0.35,J5/0.35*2)</f>
        <v>-5.5994022285714288E-4</v>
      </c>
      <c r="P5" s="3">
        <f t="shared" si="0"/>
        <v>0.36805711474976932</v>
      </c>
      <c r="Q5" s="3"/>
      <c r="R5" s="3"/>
      <c r="S5" s="3"/>
      <c r="T5" s="3"/>
      <c r="U5" s="3"/>
    </row>
    <row r="6" spans="1:21" x14ac:dyDescent="0.25">
      <c r="A6" s="3">
        <v>9.9999999999999998E-13</v>
      </c>
      <c r="B6" s="3">
        <v>-2.0149999999999999E-5</v>
      </c>
      <c r="C6" s="3">
        <v>1.517E-4</v>
      </c>
      <c r="D6" s="3">
        <v>-4.3570000000000002E-4</v>
      </c>
      <c r="E6" s="3">
        <v>0</v>
      </c>
      <c r="F6" s="3">
        <v>0</v>
      </c>
      <c r="G6" s="3">
        <v>0</v>
      </c>
      <c r="H6" s="3">
        <v>3.7017956000000003E-5</v>
      </c>
      <c r="I6" s="3">
        <v>1.4092569E-5</v>
      </c>
      <c r="J6" s="3">
        <v>-9.9423657000000004E-5</v>
      </c>
      <c r="K6" s="2"/>
      <c r="L6" s="3"/>
      <c r="M6" s="3"/>
      <c r="N6" s="2">
        <f>IF('Modell einstellen'!$B$1="Voll",H6/0.35,H6/0.35*2)</f>
        <v>2.1153117714285718E-4</v>
      </c>
      <c r="O6" s="2">
        <f>IF('Modell einstellen'!$B$1="Voll",J6/0.35,J6/0.35*2)</f>
        <v>-5.6813518285714294E-4</v>
      </c>
      <c r="P6" s="3">
        <f t="shared" si="0"/>
        <v>0.37232543156202752</v>
      </c>
      <c r="Q6" s="3"/>
      <c r="R6" s="3"/>
      <c r="S6" s="3"/>
      <c r="T6" s="3"/>
      <c r="U6" s="3"/>
    </row>
    <row r="7" spans="1:21" x14ac:dyDescent="0.25">
      <c r="A7" s="3">
        <v>9.9999999999999994E-12</v>
      </c>
      <c r="B7" s="3">
        <v>-2.637E-5</v>
      </c>
      <c r="C7" s="3">
        <v>1.5359999999999999E-4</v>
      </c>
      <c r="D7" s="3">
        <v>-4.3360000000000002E-4</v>
      </c>
      <c r="E7" s="3">
        <v>0</v>
      </c>
      <c r="F7" s="3">
        <v>0</v>
      </c>
      <c r="G7" s="3">
        <v>0</v>
      </c>
      <c r="H7" s="3">
        <v>3.8119620999999997E-5</v>
      </c>
      <c r="I7" s="3">
        <v>1.4269164E-5</v>
      </c>
      <c r="J7" s="3">
        <v>-1.0106082E-4</v>
      </c>
      <c r="K7" s="2"/>
      <c r="L7" s="3"/>
      <c r="M7" s="3"/>
      <c r="N7" s="2">
        <f>IF('Modell einstellen'!$B$1="Voll",H7/0.35,H7/0.35*2)</f>
        <v>2.1782640571428572E-4</v>
      </c>
      <c r="O7" s="2">
        <f>IF('Modell einstellen'!$B$1="Voll",J7/0.35,J7/0.35*2)</f>
        <v>-5.7749040000000008E-4</v>
      </c>
      <c r="P7" s="3">
        <f t="shared" si="0"/>
        <v>0.37719485157551658</v>
      </c>
      <c r="Q7" s="3"/>
      <c r="R7" s="3"/>
      <c r="S7" s="3"/>
      <c r="T7" s="3"/>
      <c r="U7" s="3"/>
    </row>
    <row r="8" spans="1:21" x14ac:dyDescent="0.25">
      <c r="A8" s="3">
        <v>1E-10</v>
      </c>
      <c r="B8" s="3">
        <v>-3.3670000000000001E-5</v>
      </c>
      <c r="C8" s="3">
        <v>1.5559999999999999E-4</v>
      </c>
      <c r="D8" s="3">
        <v>-4.3080000000000001E-4</v>
      </c>
      <c r="E8" s="3">
        <v>0</v>
      </c>
      <c r="F8" s="3">
        <v>0</v>
      </c>
      <c r="G8" s="3">
        <v>0</v>
      </c>
      <c r="H8" s="3">
        <v>3.9360999000000002E-5</v>
      </c>
      <c r="I8" s="3">
        <v>1.4460734999999999E-5</v>
      </c>
      <c r="J8" s="3">
        <v>-1.0288266E-4</v>
      </c>
      <c r="K8" s="2"/>
      <c r="L8" s="3"/>
      <c r="M8" s="3"/>
      <c r="N8" s="2">
        <f>IF('Modell einstellen'!$B$1="Voll",H8/0.35,H8/0.35*2)</f>
        <v>2.249199942857143E-4</v>
      </c>
      <c r="O8" s="2">
        <f>IF('Modell einstellen'!$B$1="Voll",J8/0.35,J8/0.35*2)</f>
        <v>-5.8790091428571434E-4</v>
      </c>
      <c r="P8" s="3">
        <f t="shared" si="0"/>
        <v>0.38258146708104163</v>
      </c>
      <c r="Q8" s="3"/>
      <c r="R8" s="3"/>
      <c r="S8" s="3"/>
      <c r="T8" s="3"/>
      <c r="U8" s="3"/>
    </row>
    <row r="9" spans="1:21" x14ac:dyDescent="0.25">
      <c r="A9" s="3">
        <v>1.0000000000000001E-9</v>
      </c>
      <c r="B9" s="3">
        <v>-4.2719999999999998E-5</v>
      </c>
      <c r="C9" s="3">
        <v>1.5779999999999999E-4</v>
      </c>
      <c r="D9" s="3">
        <v>-4.2680000000000002E-4</v>
      </c>
      <c r="E9" s="3">
        <v>0</v>
      </c>
      <c r="F9" s="3">
        <v>0</v>
      </c>
      <c r="G9" s="3">
        <v>0</v>
      </c>
      <c r="H9" s="3">
        <v>4.0837921000000002E-5</v>
      </c>
      <c r="I9" s="3">
        <v>1.4677939000000001E-5</v>
      </c>
      <c r="J9" s="3">
        <v>-1.0501833E-4</v>
      </c>
      <c r="K9" s="2"/>
      <c r="L9" s="3"/>
      <c r="M9" s="3"/>
      <c r="N9" s="2">
        <f>IF('Modell einstellen'!$B$1="Voll",H9/0.35,H9/0.35*2)</f>
        <v>2.3335954857142858E-4</v>
      </c>
      <c r="O9" s="2">
        <f>IF('Modell einstellen'!$B$1="Voll",J9/0.35,J9/0.35*2)</f>
        <v>-6.0010474285714284E-4</v>
      </c>
      <c r="P9" s="3">
        <f t="shared" si="0"/>
        <v>0.38886469628682918</v>
      </c>
      <c r="Q9" s="3"/>
      <c r="R9" s="3"/>
      <c r="S9" s="3"/>
      <c r="T9" s="3"/>
      <c r="U9" s="3"/>
    </row>
    <row r="10" spans="1:21" x14ac:dyDescent="0.25">
      <c r="A10" s="3">
        <v>1E-8</v>
      </c>
      <c r="B10" s="3">
        <v>-5.3609999999999997E-5</v>
      </c>
      <c r="C10" s="3">
        <v>1.6029999999999999E-4</v>
      </c>
      <c r="D10" s="3">
        <v>-4.214E-4</v>
      </c>
      <c r="E10" s="3">
        <v>0</v>
      </c>
      <c r="F10" s="3">
        <v>0</v>
      </c>
      <c r="G10" s="3">
        <v>0</v>
      </c>
      <c r="H10" s="3">
        <v>4.2538306999999998E-5</v>
      </c>
      <c r="I10" s="3">
        <v>1.4916149999999999E-5</v>
      </c>
      <c r="J10" s="3">
        <v>-1.0743962E-4</v>
      </c>
      <c r="K10" s="2"/>
      <c r="L10" s="3"/>
      <c r="M10" s="3"/>
      <c r="N10" s="2">
        <f>IF('Modell einstellen'!$B$1="Voll",H10/0.35,H10/0.35*2)</f>
        <v>2.4307604E-4</v>
      </c>
      <c r="O10" s="2">
        <f>IF('Modell einstellen'!$B$1="Voll",J10/0.35,J10/0.35*2)</f>
        <v>-6.139406857142858E-4</v>
      </c>
      <c r="P10" s="3">
        <f t="shared" si="0"/>
        <v>0.39592756377954424</v>
      </c>
      <c r="Q10" s="3"/>
      <c r="R10" s="3"/>
      <c r="S10" s="3"/>
      <c r="T10" s="3"/>
      <c r="U10" s="3"/>
    </row>
    <row r="11" spans="1:21" x14ac:dyDescent="0.25">
      <c r="A11" s="3">
        <v>9.9999999999999995E-8</v>
      </c>
      <c r="B11" s="3">
        <v>-6.5840000000000007E-5</v>
      </c>
      <c r="C11" s="3">
        <v>1.638E-4</v>
      </c>
      <c r="D11" s="3">
        <v>-4.1590000000000003E-4</v>
      </c>
      <c r="E11" s="3">
        <v>0</v>
      </c>
      <c r="F11" s="3">
        <v>0</v>
      </c>
      <c r="G11" s="3">
        <v>0</v>
      </c>
      <c r="H11" s="3">
        <v>4.4419258000000002E-5</v>
      </c>
      <c r="I11" s="3">
        <v>1.521228E-5</v>
      </c>
      <c r="J11" s="3">
        <v>-1.1015614E-4</v>
      </c>
      <c r="K11" s="2"/>
      <c r="L11" s="3"/>
      <c r="M11" s="3"/>
      <c r="N11" s="2">
        <f>IF('Modell einstellen'!$B$1="Voll",H11/0.35,H11/0.35*2)</f>
        <v>2.5382433142857148E-4</v>
      </c>
      <c r="O11" s="2">
        <f>IF('Modell einstellen'!$B$1="Voll",J11/0.35,J11/0.35*2)</f>
        <v>-6.2946365714285719E-4</v>
      </c>
      <c r="P11" s="3">
        <f t="shared" si="0"/>
        <v>0.40323905685148376</v>
      </c>
      <c r="Q11" s="3"/>
      <c r="R11" s="3"/>
      <c r="S11" s="3"/>
      <c r="T11" s="3"/>
      <c r="U11" s="3"/>
    </row>
    <row r="12" spans="1:21" x14ac:dyDescent="0.25">
      <c r="A12" s="3">
        <v>9.9999999999999995E-7</v>
      </c>
      <c r="B12" s="3">
        <v>-7.9450000000000007E-5</v>
      </c>
      <c r="C12" s="3">
        <v>1.6579999999999999E-4</v>
      </c>
      <c r="D12" s="3">
        <v>-4.0739999999999998E-4</v>
      </c>
      <c r="E12" s="3">
        <v>0</v>
      </c>
      <c r="F12" s="3">
        <v>0</v>
      </c>
      <c r="G12" s="3">
        <v>0</v>
      </c>
      <c r="H12" s="3">
        <v>4.6329068000000002E-5</v>
      </c>
      <c r="I12" s="3">
        <v>1.5426820000000001E-5</v>
      </c>
      <c r="J12" s="3">
        <v>-1.1274351E-4</v>
      </c>
      <c r="K12" s="2"/>
      <c r="L12" s="3"/>
      <c r="M12" s="3"/>
      <c r="N12" s="2">
        <f>IF('Modell einstellen'!$B$1="Voll",H12/0.35,H12/0.35*2)</f>
        <v>2.6473753142857147E-4</v>
      </c>
      <c r="O12" s="2">
        <f>IF('Modell einstellen'!$B$1="Voll",J12/0.35,J12/0.35*2)</f>
        <v>-6.4424862857142857E-4</v>
      </c>
      <c r="P12" s="3">
        <f t="shared" si="0"/>
        <v>0.41092447804756133</v>
      </c>
      <c r="Q12" s="3"/>
      <c r="R12" s="3"/>
      <c r="S12" s="3"/>
      <c r="T12" s="3"/>
      <c r="U12" s="3"/>
    </row>
    <row r="13" spans="1:21" x14ac:dyDescent="0.25">
      <c r="A13" s="3">
        <v>1.0000000000000001E-5</v>
      </c>
      <c r="B13" s="3">
        <v>-9.6069999999999993E-5</v>
      </c>
      <c r="C13" s="3">
        <v>1.693E-4</v>
      </c>
      <c r="D13" s="3">
        <v>-3.9780000000000002E-4</v>
      </c>
      <c r="E13" s="3">
        <v>0</v>
      </c>
      <c r="F13" s="3">
        <v>0</v>
      </c>
      <c r="G13" s="3">
        <v>0</v>
      </c>
      <c r="H13" s="3">
        <v>4.8647309999999998E-5</v>
      </c>
      <c r="I13" s="3">
        <v>1.5735118E-5</v>
      </c>
      <c r="J13" s="3">
        <v>-1.1594845E-4</v>
      </c>
      <c r="K13" s="2"/>
      <c r="L13" s="3"/>
      <c r="M13" s="3"/>
      <c r="N13" s="2">
        <f>IF('Modell einstellen'!$B$1="Voll",H13/0.35,H13/0.35*2)</f>
        <v>2.7798462857142858E-4</v>
      </c>
      <c r="O13" s="2">
        <f>IF('Modell einstellen'!$B$1="Voll",J13/0.35,J13/0.35*2)</f>
        <v>-6.6256257142857146E-4</v>
      </c>
      <c r="P13" s="3">
        <f t="shared" si="0"/>
        <v>0.41955981300310613</v>
      </c>
      <c r="Q13" s="3"/>
      <c r="R13" s="3"/>
      <c r="S13" s="3"/>
      <c r="T13" s="3"/>
      <c r="U13" s="3"/>
    </row>
    <row r="14" spans="1:21" x14ac:dyDescent="0.25">
      <c r="A14" s="3">
        <v>1E-4</v>
      </c>
      <c r="B14" s="3">
        <v>-1.194E-4</v>
      </c>
      <c r="C14" s="3">
        <v>1.729E-4</v>
      </c>
      <c r="D14" s="3">
        <v>-3.8230000000000002E-4</v>
      </c>
      <c r="E14" s="3">
        <v>0</v>
      </c>
      <c r="F14" s="3">
        <v>0</v>
      </c>
      <c r="G14" s="3">
        <v>0</v>
      </c>
      <c r="H14" s="3">
        <v>5.1709384E-5</v>
      </c>
      <c r="I14" s="3">
        <v>1.6076037000000001E-5</v>
      </c>
      <c r="J14" s="3">
        <v>-1.2002890000000001E-4</v>
      </c>
      <c r="K14" s="2"/>
      <c r="L14" s="3"/>
      <c r="M14" s="3"/>
      <c r="N14" s="2">
        <f>IF('Modell einstellen'!$B$1="Voll",H14/0.35,H14/0.35*2)</f>
        <v>2.9548219428571432E-4</v>
      </c>
      <c r="O14" s="2">
        <f>IF('Modell einstellen'!$B$1="Voll",J14/0.35,J14/0.35*2)</f>
        <v>-6.858794285714287E-4</v>
      </c>
      <c r="P14" s="3">
        <f t="shared" si="0"/>
        <v>0.43080778045953932</v>
      </c>
      <c r="Q14" s="3"/>
      <c r="R14" s="3"/>
      <c r="S14" s="3"/>
      <c r="T14" s="3"/>
      <c r="U14" s="3"/>
    </row>
    <row r="15" spans="1:21" x14ac:dyDescent="0.25">
      <c r="A15" s="3">
        <v>1E-3</v>
      </c>
      <c r="B15" s="3">
        <v>-1.485E-4</v>
      </c>
      <c r="C15" s="3">
        <v>1.7670000000000001E-4</v>
      </c>
      <c r="D15" s="3">
        <v>-3.6160000000000001E-4</v>
      </c>
      <c r="E15" s="3">
        <v>0</v>
      </c>
      <c r="F15" s="3">
        <v>0</v>
      </c>
      <c r="G15" s="3">
        <v>0</v>
      </c>
      <c r="H15" s="3">
        <v>5.5323639E-5</v>
      </c>
      <c r="I15" s="3">
        <v>1.6440010999999999E-5</v>
      </c>
      <c r="J15" s="3">
        <v>-1.2472954E-4</v>
      </c>
      <c r="K15" s="2"/>
      <c r="L15" s="3"/>
      <c r="M15" s="3"/>
      <c r="N15" s="2">
        <f>IF('Modell einstellen'!$B$1="Voll",H15/0.35,H15/0.35*2)</f>
        <v>3.1613508E-4</v>
      </c>
      <c r="O15" s="2">
        <f>IF('Modell einstellen'!$B$1="Voll",J15/0.35,J15/0.35*2)</f>
        <v>-7.1274022857142861E-4</v>
      </c>
      <c r="P15" s="3">
        <f t="shared" si="0"/>
        <v>0.44354880968854687</v>
      </c>
      <c r="Q15" s="3"/>
      <c r="R15" s="3"/>
      <c r="S15" s="3"/>
      <c r="T15" s="3"/>
      <c r="U15" s="3"/>
    </row>
    <row r="16" spans="1:21" x14ac:dyDescent="0.25">
      <c r="A16" s="3">
        <v>0.01</v>
      </c>
      <c r="B16" s="3">
        <v>-1.7809999999999999E-4</v>
      </c>
      <c r="C16" s="3">
        <v>1.8009999999999999E-4</v>
      </c>
      <c r="D16" s="3">
        <v>-3.3940000000000001E-4</v>
      </c>
      <c r="E16" s="3">
        <v>0</v>
      </c>
      <c r="F16" s="3">
        <v>0</v>
      </c>
      <c r="G16" s="3">
        <v>0</v>
      </c>
      <c r="H16" s="3">
        <v>5.8829692999999998E-5</v>
      </c>
      <c r="I16" s="3">
        <v>1.6760305999999999E-5</v>
      </c>
      <c r="J16" s="3">
        <v>-1.2918799000000001E-4</v>
      </c>
      <c r="K16" s="2"/>
      <c r="L16" s="3"/>
      <c r="M16" s="3"/>
      <c r="N16" s="2">
        <f>IF('Modell einstellen'!$B$1="Voll",H16/0.35,H16/0.35*2)</f>
        <v>3.3616967428571427E-4</v>
      </c>
      <c r="O16" s="2">
        <f>IF('Modell einstellen'!$B$1="Voll",J16/0.35,J16/0.35*2)</f>
        <v>-7.3821708571428582E-4</v>
      </c>
      <c r="P16" s="3">
        <f t="shared" si="0"/>
        <v>0.45538051176429006</v>
      </c>
      <c r="Q16" s="3"/>
      <c r="R16" s="3"/>
      <c r="S16" s="3"/>
      <c r="T16" s="3"/>
      <c r="U16" s="3"/>
    </row>
    <row r="17" spans="1:21" x14ac:dyDescent="0.25">
      <c r="A17" s="3">
        <v>0.1</v>
      </c>
      <c r="B17" s="3">
        <v>-2.0790000000000001E-4</v>
      </c>
      <c r="C17" s="3">
        <v>1.8330000000000001E-4</v>
      </c>
      <c r="D17" s="3">
        <v>-3.1629999999999999E-4</v>
      </c>
      <c r="E17" s="3">
        <v>0</v>
      </c>
      <c r="F17" s="3">
        <v>0</v>
      </c>
      <c r="G17" s="3">
        <v>0</v>
      </c>
      <c r="H17" s="3">
        <v>6.2270471E-5</v>
      </c>
      <c r="I17" s="3">
        <v>1.7066645E-5</v>
      </c>
      <c r="J17" s="3">
        <v>-1.3351509E-4</v>
      </c>
      <c r="K17" s="2"/>
      <c r="L17" s="3"/>
      <c r="M17" s="3"/>
      <c r="N17" s="2">
        <f>IF('Modell einstellen'!$B$1="Voll",H17/0.35,H17/0.35*2)</f>
        <v>3.5583126285714287E-4</v>
      </c>
      <c r="O17" s="2">
        <f>IF('Modell einstellen'!$B$1="Voll",J17/0.35,J17/0.35*2)</f>
        <v>-7.6294337142857147E-4</v>
      </c>
      <c r="P17" s="3">
        <f t="shared" si="0"/>
        <v>0.46639275755272308</v>
      </c>
      <c r="Q17" s="3"/>
      <c r="R17" s="3"/>
      <c r="S17" s="3"/>
      <c r="T17" s="3"/>
      <c r="U17" s="3"/>
    </row>
    <row r="18" spans="1:21" x14ac:dyDescent="0.25">
      <c r="A18" s="3">
        <v>1</v>
      </c>
      <c r="B18" s="3">
        <v>-2.385E-4</v>
      </c>
      <c r="C18" s="3">
        <v>1.8770000000000001E-4</v>
      </c>
      <c r="D18" s="3">
        <v>-2.9329999999999997E-4</v>
      </c>
      <c r="E18" s="3">
        <v>0</v>
      </c>
      <c r="F18" s="3">
        <v>0</v>
      </c>
      <c r="G18" s="3">
        <v>0</v>
      </c>
      <c r="H18" s="3">
        <v>6.6252336999999997E-5</v>
      </c>
      <c r="I18" s="3">
        <v>1.758357E-5</v>
      </c>
      <c r="J18" s="3">
        <v>-1.3876339000000001E-4</v>
      </c>
      <c r="K18" s="2"/>
      <c r="L18" s="3"/>
      <c r="M18" s="3"/>
      <c r="N18" s="2">
        <f>IF('Modell einstellen'!$B$1="Voll",H18/0.35,H18/0.35*2)</f>
        <v>3.7858478285714289E-4</v>
      </c>
      <c r="O18" s="2">
        <f>IF('Modell einstellen'!$B$1="Voll",J18/0.35,J18/0.35*2)</f>
        <v>-7.9293365714285728E-4</v>
      </c>
      <c r="P18" s="3">
        <f t="shared" si="0"/>
        <v>0.47744824481442832</v>
      </c>
      <c r="Q18" s="3"/>
      <c r="R18" s="3"/>
      <c r="S18" s="3"/>
      <c r="T18" s="3"/>
      <c r="U18" s="3"/>
    </row>
    <row r="19" spans="1:21" x14ac:dyDescent="0.25">
      <c r="A19" s="3">
        <v>10</v>
      </c>
      <c r="B19" s="3">
        <v>-2.4489999999999999E-4</v>
      </c>
      <c r="C19" s="3">
        <v>2.0120000000000001E-4</v>
      </c>
      <c r="D19" s="3">
        <v>-2.9950000000000002E-4</v>
      </c>
      <c r="E19" s="3">
        <v>0</v>
      </c>
      <c r="F19" s="3">
        <v>0</v>
      </c>
      <c r="G19" s="3">
        <v>0</v>
      </c>
      <c r="H19" s="3">
        <v>7.1722228999999995E-5</v>
      </c>
      <c r="I19" s="3">
        <v>1.9672084E-5</v>
      </c>
      <c r="J19" s="3">
        <v>-1.4830510999999999E-4</v>
      </c>
      <c r="K19" s="2"/>
      <c r="L19" s="3"/>
      <c r="M19" s="3"/>
      <c r="N19" s="2">
        <f>IF('Modell einstellen'!$B$1="Voll",H19/0.35,H19/0.35*2)</f>
        <v>4.0984130857142859E-4</v>
      </c>
      <c r="O19" s="2">
        <f>IF('Modell einstellen'!$B$1="Voll",J19/0.35,J19/0.35*2)</f>
        <v>-8.4745777142857144E-4</v>
      </c>
      <c r="P19" s="3">
        <f t="shared" si="0"/>
        <v>0.48361266176195816</v>
      </c>
      <c r="Q19" s="3"/>
      <c r="R19" s="3"/>
      <c r="S19" s="3"/>
      <c r="T19" s="3"/>
      <c r="U19" s="3"/>
    </row>
    <row r="20" spans="1:21" x14ac:dyDescent="0.25">
      <c r="A20" s="3">
        <v>100</v>
      </c>
      <c r="B20" s="3">
        <v>-1.6860000000000001E-4</v>
      </c>
      <c r="C20" s="3">
        <v>2.4220000000000001E-4</v>
      </c>
      <c r="D20" s="3">
        <v>-4.0319999999999999E-4</v>
      </c>
      <c r="E20" s="3">
        <v>0</v>
      </c>
      <c r="F20" s="3">
        <v>0</v>
      </c>
      <c r="G20" s="3">
        <v>0</v>
      </c>
      <c r="H20" s="3">
        <v>8.1818194000000006E-5</v>
      </c>
      <c r="I20" s="3">
        <v>2.7095451000000001E-5</v>
      </c>
      <c r="J20" s="3">
        <v>-1.7212451E-4</v>
      </c>
      <c r="K20" s="2"/>
      <c r="L20" s="3"/>
      <c r="M20" s="3"/>
      <c r="N20" s="2">
        <f>IF('Modell einstellen'!$B$1="Voll",H20/0.35,H20/0.35*2)</f>
        <v>4.6753253714285721E-4</v>
      </c>
      <c r="O20" s="2">
        <f>IF('Modell einstellen'!$B$1="Voll",J20/0.35,J20/0.35*2)</f>
        <v>-9.8356862857142862E-4</v>
      </c>
      <c r="P20" s="3">
        <f t="shared" si="0"/>
        <v>0.47534307577694779</v>
      </c>
      <c r="Q20" s="3"/>
      <c r="R20" s="3"/>
      <c r="S20" s="3"/>
      <c r="T20" s="3"/>
      <c r="U20" s="3"/>
    </row>
    <row r="21" spans="1:21" x14ac:dyDescent="0.25">
      <c r="A21" s="3">
        <v>1000</v>
      </c>
      <c r="B21" s="3">
        <v>-1.327E-5</v>
      </c>
      <c r="C21" s="3">
        <v>3.19E-4</v>
      </c>
      <c r="D21" s="3">
        <v>-6.1039999999999998E-4</v>
      </c>
      <c r="E21" s="3">
        <v>0</v>
      </c>
      <c r="F21" s="3">
        <v>0</v>
      </c>
      <c r="G21" s="3">
        <v>0</v>
      </c>
      <c r="H21" s="3">
        <v>9.6433594999999997E-5</v>
      </c>
      <c r="I21" s="3">
        <v>4.0630665999999997E-5</v>
      </c>
      <c r="J21" s="3">
        <v>-2.1173382E-4</v>
      </c>
      <c r="K21" s="2"/>
      <c r="L21" s="3"/>
      <c r="M21" s="3"/>
      <c r="N21" s="2">
        <f>IF('Modell einstellen'!$B$1="Voll",H21/0.35,H21/0.35*2)</f>
        <v>5.5104911428571432E-4</v>
      </c>
      <c r="O21" s="2">
        <f>IF('Modell einstellen'!$B$1="Voll",J21/0.35,J21/0.35*2)</f>
        <v>-1.209907542857143E-3</v>
      </c>
      <c r="P21" s="3">
        <f t="shared" si="0"/>
        <v>0.45544729226535463</v>
      </c>
      <c r="Q21" s="3"/>
      <c r="R21" s="3"/>
      <c r="S21" s="3"/>
      <c r="T21" s="3"/>
      <c r="U21" s="3"/>
    </row>
    <row r="22" spans="1:21" x14ac:dyDescent="0.25">
      <c r="A22" s="3">
        <v>10000</v>
      </c>
      <c r="B22" s="3">
        <v>1.6320000000000001E-4</v>
      </c>
      <c r="C22" s="3">
        <v>4.2180000000000001E-4</v>
      </c>
      <c r="D22" s="3">
        <v>-8.6350000000000001E-4</v>
      </c>
      <c r="E22" s="3">
        <v>0</v>
      </c>
      <c r="F22" s="3">
        <v>0</v>
      </c>
      <c r="G22" s="3">
        <v>0</v>
      </c>
      <c r="H22" s="3">
        <v>1.1363693000000001E-4</v>
      </c>
      <c r="I22" s="3">
        <v>5.7565536999999998E-5</v>
      </c>
      <c r="J22" s="3">
        <v>-2.6052300999999999E-4</v>
      </c>
      <c r="K22" s="2"/>
      <c r="L22" s="3"/>
      <c r="M22" s="3"/>
      <c r="N22" s="2">
        <f>IF('Modell einstellen'!$B$1="Voll",H22/0.35,H22/0.35*2)</f>
        <v>6.4935388571428574E-4</v>
      </c>
      <c r="O22" s="2">
        <f>IF('Modell einstellen'!$B$1="Voll",J22/0.35,J22/0.35*2)</f>
        <v>-1.4887029142857144E-3</v>
      </c>
      <c r="P22" s="3">
        <f t="shared" si="0"/>
        <v>0.43618769029269239</v>
      </c>
      <c r="Q22" s="3"/>
      <c r="R22" s="3"/>
      <c r="S22" s="3"/>
      <c r="T22" s="3"/>
      <c r="U22" s="3"/>
    </row>
    <row r="23" spans="1:21" x14ac:dyDescent="0.25">
      <c r="A23" s="3">
        <v>100000</v>
      </c>
      <c r="B23" s="3">
        <v>3.2739999999999999E-4</v>
      </c>
      <c r="C23" s="3">
        <v>5.4160000000000005E-4</v>
      </c>
      <c r="D23" s="3">
        <v>-1.1249999999999999E-3</v>
      </c>
      <c r="E23" s="3">
        <v>0</v>
      </c>
      <c r="F23" s="3">
        <v>0</v>
      </c>
      <c r="G23" s="3">
        <v>0</v>
      </c>
      <c r="H23" s="3">
        <v>1.3208501000000001E-4</v>
      </c>
      <c r="I23" s="3">
        <v>7.6267184999999999E-5</v>
      </c>
      <c r="J23" s="3">
        <v>-3.1426904E-4</v>
      </c>
      <c r="K23" s="2"/>
      <c r="L23" s="3"/>
      <c r="M23" s="3"/>
      <c r="N23" s="2">
        <f>IF('Modell einstellen'!$B$1="Voll",H23/0.35,H23/0.35*2)</f>
        <v>7.5477148571428585E-4</v>
      </c>
      <c r="O23" s="2">
        <f>IF('Modell einstellen'!$B$1="Voll",J23/0.35,J23/0.35*2)</f>
        <v>-1.7958230857142859E-3</v>
      </c>
      <c r="P23" s="3">
        <f t="shared" si="0"/>
        <v>0.42029278480629212</v>
      </c>
      <c r="Q23" s="3"/>
      <c r="R23" s="3"/>
      <c r="S23" s="3"/>
      <c r="T23" s="3"/>
      <c r="U23" s="3"/>
    </row>
    <row r="24" spans="1:21" x14ac:dyDescent="0.25">
      <c r="A24" s="3">
        <v>1000000</v>
      </c>
      <c r="B24" s="3">
        <v>4.6640000000000001E-4</v>
      </c>
      <c r="C24" s="3">
        <v>6.7909999999999997E-4</v>
      </c>
      <c r="D24" s="3">
        <v>-1.384E-3</v>
      </c>
      <c r="E24" s="3">
        <v>0</v>
      </c>
      <c r="F24" s="3">
        <v>0</v>
      </c>
      <c r="G24" s="3">
        <v>0</v>
      </c>
      <c r="H24" s="3">
        <v>1.5297606000000001E-4</v>
      </c>
      <c r="I24" s="3">
        <v>9.7299723999999998E-5</v>
      </c>
      <c r="J24" s="3">
        <v>-3.7530395000000001E-4</v>
      </c>
      <c r="K24" s="2"/>
      <c r="L24" s="3"/>
      <c r="M24" s="3"/>
      <c r="N24" s="2">
        <f>IF('Modell einstellen'!$B$1="Voll",H24/0.35,H24/0.35*2)</f>
        <v>8.7414891428571446E-4</v>
      </c>
      <c r="O24" s="2">
        <f>IF('Modell einstellen'!$B$1="Voll",J24/0.35,J24/0.35*2)</f>
        <v>-2.1445940000000001E-3</v>
      </c>
      <c r="P24" s="3">
        <f t="shared" si="0"/>
        <v>0.4076057819268889</v>
      </c>
      <c r="Q24" s="3"/>
      <c r="R24" s="3"/>
      <c r="S24" s="3"/>
      <c r="T24" s="3"/>
      <c r="U24" s="3"/>
    </row>
    <row r="25" spans="1:21" x14ac:dyDescent="0.25">
      <c r="A25" s="3">
        <v>10000000</v>
      </c>
      <c r="B25" s="3">
        <v>5.8500000000000002E-4</v>
      </c>
      <c r="C25" s="3">
        <v>8.4460000000000004E-4</v>
      </c>
      <c r="D25" s="3">
        <v>-1.6540000000000001E-3</v>
      </c>
      <c r="E25" s="3">
        <v>0</v>
      </c>
      <c r="F25" s="3">
        <v>0</v>
      </c>
      <c r="G25" s="3">
        <v>0</v>
      </c>
      <c r="H25" s="3">
        <v>1.7953859E-4</v>
      </c>
      <c r="I25" s="3">
        <v>1.2295540999999999E-4</v>
      </c>
      <c r="J25" s="3">
        <v>-4.5122348999999999E-4</v>
      </c>
      <c r="K25" s="2"/>
      <c r="L25" s="3"/>
      <c r="M25" s="3"/>
      <c r="N25" s="2">
        <f>IF('Modell einstellen'!$B$1="Voll",H25/0.35,H25/0.35*2)</f>
        <v>1.0259348000000001E-3</v>
      </c>
      <c r="O25" s="2">
        <f>IF('Modell einstellen'!$B$1="Voll",J25/0.35,J25/0.35*2)</f>
        <v>-2.5784199428571428E-3</v>
      </c>
      <c r="P25" s="3">
        <f t="shared" si="0"/>
        <v>0.397892826900479</v>
      </c>
      <c r="Q25" s="3"/>
      <c r="R25" s="3"/>
      <c r="S25" s="3"/>
      <c r="T25" s="3"/>
      <c r="U25" s="3"/>
    </row>
    <row r="26" spans="1:21" x14ac:dyDescent="0.25">
      <c r="A26" s="3">
        <v>100000000</v>
      </c>
      <c r="B26" s="3">
        <v>6.9819999999999995E-4</v>
      </c>
      <c r="C26" s="3">
        <v>1.0690000000000001E-3</v>
      </c>
      <c r="D26" s="3">
        <v>-1.9810000000000001E-3</v>
      </c>
      <c r="E26" s="3">
        <v>0</v>
      </c>
      <c r="F26" s="3">
        <v>0</v>
      </c>
      <c r="G26" s="3">
        <v>0</v>
      </c>
      <c r="H26" s="3">
        <v>2.1964441E-4</v>
      </c>
      <c r="I26" s="3">
        <v>1.5930299E-4</v>
      </c>
      <c r="J26" s="3">
        <v>-5.6153240999999999E-4</v>
      </c>
      <c r="K26" s="2"/>
      <c r="L26" s="3"/>
      <c r="M26" s="3"/>
      <c r="N26" s="2">
        <f>IF('Modell einstellen'!$B$1="Voll",H26/0.35,H26/0.35*2)</f>
        <v>1.2551109142857144E-3</v>
      </c>
      <c r="O26" s="2">
        <f>IF('Modell einstellen'!$B$1="Voll",J26/0.35,J26/0.35*2)</f>
        <v>-3.2087566285714285E-3</v>
      </c>
      <c r="P26" s="3">
        <f t="shared" si="0"/>
        <v>0.39115179478242412</v>
      </c>
      <c r="Q26" s="3"/>
      <c r="R26" s="3"/>
      <c r="S26" s="3"/>
      <c r="T26" s="3"/>
      <c r="U26" s="3"/>
    </row>
    <row r="27" spans="1:21" x14ac:dyDescent="0.25">
      <c r="A27" s="3">
        <v>1000000000</v>
      </c>
      <c r="B27" s="3">
        <v>8.3290000000000002E-4</v>
      </c>
      <c r="C27" s="3">
        <v>1.4220000000000001E-3</v>
      </c>
      <c r="D27" s="3">
        <v>-2.457E-3</v>
      </c>
      <c r="E27" s="3">
        <v>0</v>
      </c>
      <c r="F27" s="3">
        <v>0</v>
      </c>
      <c r="G27" s="3">
        <v>0</v>
      </c>
      <c r="H27" s="3">
        <v>2.8732140999999998E-4</v>
      </c>
      <c r="I27" s="3">
        <v>2.1822770999999999E-4</v>
      </c>
      <c r="J27" s="3">
        <v>-7.4294148000000003E-4</v>
      </c>
      <c r="K27" s="2"/>
      <c r="L27" s="3"/>
      <c r="M27" s="3"/>
      <c r="N27" s="2">
        <f>IF('Modell einstellen'!$B$1="Voll",H27/0.35,H27/0.35*2)</f>
        <v>1.6418366285714287E-3</v>
      </c>
      <c r="O27" s="2">
        <f>IF('Modell einstellen'!$B$1="Voll",J27/0.35,J27/0.35*2)</f>
        <v>-4.2453798857142863E-3</v>
      </c>
      <c r="P27" s="3">
        <f t="shared" si="0"/>
        <v>0.38673491484147576</v>
      </c>
      <c r="Q27" s="3"/>
      <c r="R27" s="3"/>
      <c r="S27" s="3"/>
      <c r="T27" s="3"/>
      <c r="U27" s="3"/>
    </row>
    <row r="28" spans="1:21" x14ac:dyDescent="0.25">
      <c r="A28" s="3">
        <v>10000000000</v>
      </c>
      <c r="B28" s="3">
        <v>1.0120000000000001E-3</v>
      </c>
      <c r="C28" s="3">
        <v>1.9889999999999999E-3</v>
      </c>
      <c r="D28" s="3">
        <v>-3.192E-3</v>
      </c>
      <c r="E28" s="3">
        <v>0</v>
      </c>
      <c r="F28" s="3">
        <v>0</v>
      </c>
      <c r="G28" s="3">
        <v>0</v>
      </c>
      <c r="H28" s="3">
        <v>4.0381200999999999E-4</v>
      </c>
      <c r="I28" s="3">
        <v>3.1715372999999999E-4</v>
      </c>
      <c r="J28" s="3">
        <v>-1.0496266999999999E-3</v>
      </c>
      <c r="K28" s="2"/>
      <c r="L28" s="3"/>
      <c r="M28" s="3"/>
      <c r="N28" s="2">
        <f>IF('Modell einstellen'!$B$1="Voll",H28/0.35,H28/0.35*2)</f>
        <v>2.3074972E-3</v>
      </c>
      <c r="O28" s="2">
        <f>IF('Modell einstellen'!$B$1="Voll",J28/0.35,J28/0.35*2)</f>
        <v>-5.9978668571428568E-3</v>
      </c>
      <c r="P28" s="3">
        <f t="shared" si="0"/>
        <v>0.38471964365997935</v>
      </c>
      <c r="Q28" s="3"/>
      <c r="R28" s="3"/>
      <c r="S28" s="3"/>
      <c r="T28" s="3"/>
      <c r="U28" s="3"/>
    </row>
    <row r="29" spans="1:21" x14ac:dyDescent="0.25">
      <c r="A29" s="3">
        <v>100000000000</v>
      </c>
      <c r="B29" s="3">
        <v>1.273E-3</v>
      </c>
      <c r="C29" s="3">
        <v>2.8440000000000002E-3</v>
      </c>
      <c r="D29" s="3">
        <v>-4.2960000000000003E-3</v>
      </c>
      <c r="E29" s="3">
        <v>0</v>
      </c>
      <c r="F29" s="3">
        <v>0</v>
      </c>
      <c r="G29" s="3">
        <v>0</v>
      </c>
      <c r="H29" s="3">
        <v>5.8575778000000004E-4</v>
      </c>
      <c r="I29" s="3">
        <v>4.7072450000000001E-4</v>
      </c>
      <c r="J29" s="3">
        <v>-1.5249568999999999E-3</v>
      </c>
      <c r="K29" s="2"/>
      <c r="L29" s="3"/>
      <c r="M29" s="3"/>
      <c r="N29" s="2">
        <f>IF('Modell einstellen'!$B$1="Voll",H29/0.35,H29/0.35*2)</f>
        <v>3.3471873142857148E-3</v>
      </c>
      <c r="O29" s="2">
        <f>IF('Modell einstellen'!$B$1="Voll",J29/0.35,J29/0.35*2)</f>
        <v>-8.7140394285714282E-3</v>
      </c>
      <c r="P29" s="3">
        <f t="shared" si="0"/>
        <v>0.38411431824728953</v>
      </c>
      <c r="Q29" s="3"/>
      <c r="R29" s="3"/>
      <c r="S29" s="3"/>
      <c r="T29" s="3"/>
      <c r="U29" s="3"/>
    </row>
    <row r="30" spans="1:21" x14ac:dyDescent="0.25">
      <c r="A30" s="3">
        <v>1000000000000</v>
      </c>
      <c r="B30" s="3">
        <v>1.64E-3</v>
      </c>
      <c r="C30" s="3">
        <v>3.9129999999999998E-3</v>
      </c>
      <c r="D30" s="3">
        <v>-5.7219999999999997E-3</v>
      </c>
      <c r="E30" s="3">
        <v>0</v>
      </c>
      <c r="F30" s="3">
        <v>0</v>
      </c>
      <c r="G30" s="3">
        <v>0</v>
      </c>
      <c r="H30" s="3">
        <v>8.1835497000000001E-4</v>
      </c>
      <c r="I30" s="3">
        <v>6.6734442E-4</v>
      </c>
      <c r="J30" s="3">
        <v>-2.1301134E-3</v>
      </c>
      <c r="K30" s="2"/>
      <c r="L30" s="3"/>
      <c r="M30" s="3"/>
      <c r="N30" s="2">
        <f>IF('Modell einstellen'!$B$1="Voll",H30/0.35,H30/0.35*2)</f>
        <v>4.6763141142857146E-3</v>
      </c>
      <c r="O30" s="2">
        <f>IF('Modell einstellen'!$B$1="Voll",J30/0.35,J30/0.35*2)</f>
        <v>-1.2172076571428572E-2</v>
      </c>
      <c r="P30" s="3">
        <f t="shared" si="0"/>
        <v>0.38418375754079576</v>
      </c>
      <c r="Q30" s="3"/>
      <c r="R30" s="3"/>
      <c r="S30" s="3"/>
      <c r="T30" s="3"/>
      <c r="U30" s="3"/>
    </row>
    <row r="31" spans="1:21" x14ac:dyDescent="0.25">
      <c r="A31" s="3">
        <v>10000000000000</v>
      </c>
      <c r="B31" s="3">
        <v>2.042E-3</v>
      </c>
      <c r="C31" s="3">
        <v>4.8690000000000001E-3</v>
      </c>
      <c r="D31" s="3">
        <v>-7.0740000000000004E-3</v>
      </c>
      <c r="E31" s="3">
        <v>0</v>
      </c>
      <c r="F31" s="3">
        <v>0</v>
      </c>
      <c r="G31" s="3">
        <v>0</v>
      </c>
      <c r="H31" s="3">
        <v>1.0265922000000001E-3</v>
      </c>
      <c r="I31" s="3">
        <v>8.4551804999999998E-4</v>
      </c>
      <c r="J31" s="3">
        <v>-2.6731347E-3</v>
      </c>
      <c r="K31" s="2"/>
      <c r="L31" s="3"/>
      <c r="M31" s="3"/>
      <c r="N31" s="2">
        <f>IF('Modell einstellen'!$B$1="Voll",H31/0.35,H31/0.35*2)</f>
        <v>5.866241142857144E-3</v>
      </c>
      <c r="O31" s="2">
        <f>IF('Modell einstellen'!$B$1="Voll",J31/0.35,J31/0.35*2)</f>
        <v>-1.5275055428571429E-2</v>
      </c>
      <c r="P31" s="3">
        <f t="shared" si="0"/>
        <v>0.38404057977325279</v>
      </c>
      <c r="Q31" s="3"/>
      <c r="R31" s="3"/>
      <c r="S31" s="3"/>
      <c r="T31" s="3"/>
      <c r="U31" s="3"/>
    </row>
    <row r="32" spans="1:21" x14ac:dyDescent="0.25">
      <c r="A32" s="3">
        <v>100000000000000</v>
      </c>
      <c r="B32" s="3">
        <v>2.385E-3</v>
      </c>
      <c r="C32" s="3">
        <v>5.555E-3</v>
      </c>
      <c r="D32" s="3">
        <v>-8.0990000000000003E-3</v>
      </c>
      <c r="E32" s="3">
        <v>0</v>
      </c>
      <c r="F32" s="3">
        <v>0</v>
      </c>
      <c r="G32" s="3">
        <v>0</v>
      </c>
      <c r="H32" s="3">
        <v>1.1741570999999999E-3</v>
      </c>
      <c r="I32" s="3">
        <v>9.7377570999999995E-4</v>
      </c>
      <c r="J32" s="3">
        <v>-3.0600998E-3</v>
      </c>
      <c r="K32" s="2"/>
      <c r="L32" s="3"/>
      <c r="M32" s="3"/>
      <c r="N32" s="2">
        <f>IF('Modell einstellen'!$B$1="Voll",H32/0.35,H32/0.35*2)</f>
        <v>6.7094691428571428E-3</v>
      </c>
      <c r="O32" s="2">
        <f>IF('Modell einstellen'!$B$1="Voll",J32/0.35,J32/0.35*2)</f>
        <v>-1.7486284571428572E-2</v>
      </c>
      <c r="P32" s="3">
        <f t="shared" si="0"/>
        <v>0.38369895648501395</v>
      </c>
      <c r="Q32" s="3"/>
      <c r="R32" s="3"/>
      <c r="S32" s="3"/>
      <c r="T32" s="3"/>
      <c r="U32" s="3"/>
    </row>
    <row r="33" spans="1:21" x14ac:dyDescent="0.25">
      <c r="A33" s="2">
        <v>1000000000000000</v>
      </c>
      <c r="B33" s="3">
        <v>2.6289999999999998E-3</v>
      </c>
      <c r="C33" s="3">
        <v>5.9829999999999996E-3</v>
      </c>
      <c r="D33" s="3">
        <v>-8.7679999999999998E-3</v>
      </c>
      <c r="E33" s="3">
        <v>0</v>
      </c>
      <c r="F33" s="3">
        <v>0</v>
      </c>
      <c r="G33" s="3">
        <v>0</v>
      </c>
      <c r="H33" s="3">
        <v>1.2640703000000001E-3</v>
      </c>
      <c r="I33" s="3">
        <v>1.0533038000000001E-3</v>
      </c>
      <c r="J33" s="3">
        <v>-3.297814E-3</v>
      </c>
      <c r="K33" s="2"/>
      <c r="L33" s="3"/>
      <c r="M33" s="3"/>
      <c r="N33" s="2">
        <f>IF('Modell einstellen'!$B$1="Voll",H33/0.35,H33/0.35*2)</f>
        <v>7.2232588571428582E-3</v>
      </c>
      <c r="O33" s="2">
        <f>IF('Modell einstellen'!$B$1="Voll",J33/0.35,J33/0.35*2)</f>
        <v>-1.8844651428571429E-2</v>
      </c>
      <c r="P33" s="3">
        <f t="shared" si="0"/>
        <v>0.38330551692727372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-4.5890000000000003E-5</v>
      </c>
      <c r="C3" s="3">
        <v>1.639E-4</v>
      </c>
      <c r="D3" s="3">
        <v>-4.3120000000000002E-4</v>
      </c>
      <c r="E3" s="3">
        <v>0</v>
      </c>
      <c r="F3" s="3">
        <v>0</v>
      </c>
      <c r="G3" s="3">
        <v>0</v>
      </c>
      <c r="H3" s="3">
        <v>4.2833917000000003E-5</v>
      </c>
      <c r="I3" s="3">
        <v>1.5370814E-5</v>
      </c>
      <c r="J3" s="3">
        <v>-1.0863953E-4</v>
      </c>
      <c r="L3" s="3">
        <f>-B3/D3</f>
        <v>-0.10642393320964749</v>
      </c>
      <c r="M3" s="3"/>
      <c r="N3" s="2">
        <f>IF('Modell einstellen'!$B$1="Voll",H3/0.35,H3/0.35*2)</f>
        <v>2.4476524000000005E-4</v>
      </c>
      <c r="O3" s="2">
        <f>IF('Modell einstellen'!$B$1="Voll",J3/0.35,J3/0.35*2)</f>
        <v>-6.2079731428571429E-4</v>
      </c>
      <c r="P3" s="3">
        <f>-N3/O3</f>
        <v>0.39427561036024372</v>
      </c>
    </row>
    <row r="4" spans="1:16" x14ac:dyDescent="0.25">
      <c r="A4" s="3">
        <v>1E-14</v>
      </c>
      <c r="B4" s="3">
        <v>-6.1500000000000004E-5</v>
      </c>
      <c r="C4" s="3">
        <v>1.6660000000000001E-4</v>
      </c>
      <c r="D4" s="3">
        <v>-4.2230000000000002E-4</v>
      </c>
      <c r="E4" s="3">
        <v>0</v>
      </c>
      <c r="F4" s="3">
        <v>0</v>
      </c>
      <c r="G4" s="3">
        <v>0</v>
      </c>
      <c r="H4" s="3">
        <v>4.5168784000000003E-5</v>
      </c>
      <c r="I4" s="3">
        <v>1.5662824000000001E-5</v>
      </c>
      <c r="J4" s="3">
        <v>-1.1187507E-4</v>
      </c>
      <c r="L4" s="3">
        <f t="shared" ref="L4:L33" si="0">-B4/D4</f>
        <v>-0.14563106796116504</v>
      </c>
      <c r="M4" s="3"/>
      <c r="N4" s="2">
        <f>IF('Modell einstellen'!$B$1="Voll",H4/0.35,H4/0.35*2)</f>
        <v>2.5810733714285718E-4</v>
      </c>
      <c r="O4" s="2">
        <f>IF('Modell einstellen'!$B$1="Voll",J4/0.35,J4/0.35*2)</f>
        <v>-6.3928611428571433E-4</v>
      </c>
      <c r="P4" s="3">
        <f t="shared" ref="P4:P33" si="1">-N4/O4</f>
        <v>0.4037430680490301</v>
      </c>
    </row>
    <row r="5" spans="1:16" x14ac:dyDescent="0.25">
      <c r="A5" s="3">
        <v>1E-13</v>
      </c>
      <c r="B5" s="3">
        <v>-7.5149999999999997E-5</v>
      </c>
      <c r="C5" s="3">
        <v>1.6980000000000001E-4</v>
      </c>
      <c r="D5" s="3">
        <v>-4.1520000000000001E-4</v>
      </c>
      <c r="E5" s="3">
        <v>0</v>
      </c>
      <c r="F5" s="3">
        <v>0</v>
      </c>
      <c r="G5" s="3">
        <v>0</v>
      </c>
      <c r="H5" s="3">
        <v>4.7234387000000001E-5</v>
      </c>
      <c r="I5" s="3">
        <v>1.5959162000000001E-5</v>
      </c>
      <c r="J5" s="3">
        <v>-1.1477971E-4</v>
      </c>
      <c r="L5" s="3">
        <f t="shared" si="0"/>
        <v>-0.18099710982658959</v>
      </c>
      <c r="M5" s="3"/>
      <c r="N5" s="2">
        <f>IF('Modell einstellen'!$B$1="Voll",H5/0.35,H5/0.35*2)</f>
        <v>2.6991078285714288E-4</v>
      </c>
      <c r="O5" s="2">
        <f>IF('Modell einstellen'!$B$1="Voll",J5/0.35,J5/0.35*2)</f>
        <v>-6.558840571428572E-4</v>
      </c>
      <c r="P5" s="3">
        <f t="shared" si="1"/>
        <v>0.41152209741599799</v>
      </c>
    </row>
    <row r="6" spans="1:16" x14ac:dyDescent="0.25">
      <c r="A6" s="3">
        <v>9.9999999999999998E-13</v>
      </c>
      <c r="B6" s="3">
        <v>-9.3309999999999999E-5</v>
      </c>
      <c r="C6" s="3">
        <v>1.7220000000000001E-4</v>
      </c>
      <c r="D6" s="3">
        <v>-4.0309999999999999E-4</v>
      </c>
      <c r="E6" s="3">
        <v>0</v>
      </c>
      <c r="F6" s="3">
        <v>0</v>
      </c>
      <c r="G6" s="3">
        <v>0</v>
      </c>
      <c r="H6" s="3">
        <v>4.9705391000000002E-5</v>
      </c>
      <c r="I6" s="3">
        <v>1.6226525E-5</v>
      </c>
      <c r="J6" s="3">
        <v>-1.1807765999999999E-4</v>
      </c>
      <c r="L6" s="3">
        <f t="shared" si="0"/>
        <v>-0.23148102207888863</v>
      </c>
      <c r="M6" s="3"/>
      <c r="N6" s="2">
        <f>IF('Modell einstellen'!$B$1="Voll",H6/0.35,H6/0.35*2)</f>
        <v>2.8403080571428577E-4</v>
      </c>
      <c r="O6" s="2">
        <f>IF('Modell einstellen'!$B$1="Voll",J6/0.35,J6/0.35*2)</f>
        <v>-6.7472948571428574E-4</v>
      </c>
      <c r="P6" s="3">
        <f t="shared" si="1"/>
        <v>0.42095508159629863</v>
      </c>
    </row>
    <row r="7" spans="1:16" x14ac:dyDescent="0.25">
      <c r="A7" s="3">
        <v>9.9999999999999994E-12</v>
      </c>
      <c r="B7" s="3">
        <v>-1.178E-4</v>
      </c>
      <c r="C7" s="3">
        <v>1.7660000000000001E-4</v>
      </c>
      <c r="D7" s="3">
        <v>-3.8749999999999999E-4</v>
      </c>
      <c r="E7" s="3">
        <v>0</v>
      </c>
      <c r="F7" s="3">
        <v>0</v>
      </c>
      <c r="G7" s="3">
        <v>0</v>
      </c>
      <c r="H7" s="3">
        <v>5.2997103000000003E-5</v>
      </c>
      <c r="I7" s="3">
        <v>1.6627928E-5</v>
      </c>
      <c r="J7" s="3">
        <v>-1.2251450999999999E-4</v>
      </c>
      <c r="L7" s="3">
        <f t="shared" si="0"/>
        <v>-0.30400000000000005</v>
      </c>
      <c r="M7" s="3"/>
      <c r="N7" s="2">
        <f>IF('Modell einstellen'!$B$1="Voll",H7/0.35,H7/0.35*2)</f>
        <v>3.0284058857142859E-4</v>
      </c>
      <c r="O7" s="2">
        <f>IF('Modell einstellen'!$B$1="Voll",J7/0.35,J7/0.35*2)</f>
        <v>-7.0008291428571429E-4</v>
      </c>
      <c r="P7" s="3">
        <f t="shared" si="1"/>
        <v>0.4325781738016175</v>
      </c>
    </row>
    <row r="8" spans="1:16" x14ac:dyDescent="0.25">
      <c r="A8" s="3">
        <v>1E-10</v>
      </c>
      <c r="B8" s="3">
        <v>-1.47E-4</v>
      </c>
      <c r="C8" s="3">
        <v>1.8029999999999999E-4</v>
      </c>
      <c r="D8" s="3">
        <v>-3.6650000000000002E-4</v>
      </c>
      <c r="E8" s="3">
        <v>0</v>
      </c>
      <c r="F8" s="3">
        <v>0</v>
      </c>
      <c r="G8" s="3">
        <v>0</v>
      </c>
      <c r="H8" s="3">
        <v>5.6640937999999999E-5</v>
      </c>
      <c r="I8" s="3">
        <v>1.6998509000000001E-5</v>
      </c>
      <c r="J8" s="3">
        <v>-1.2724690999999999E-4</v>
      </c>
      <c r="L8" s="3">
        <f t="shared" si="0"/>
        <v>-0.40109140518417458</v>
      </c>
      <c r="M8" s="3"/>
      <c r="N8" s="2">
        <f>IF('Modell einstellen'!$B$1="Voll",H8/0.35,H8/0.35*2)</f>
        <v>3.2366250285714287E-4</v>
      </c>
      <c r="O8" s="2">
        <f>IF('Modell einstellen'!$B$1="Voll",J8/0.35,J8/0.35*2)</f>
        <v>-7.2712519999999998E-4</v>
      </c>
      <c r="P8" s="3">
        <f t="shared" si="1"/>
        <v>0.44512623528539907</v>
      </c>
    </row>
    <row r="9" spans="1:16" x14ac:dyDescent="0.25">
      <c r="A9" s="3">
        <v>1.0000000000000001E-9</v>
      </c>
      <c r="B9" s="3">
        <v>-1.7579999999999999E-4</v>
      </c>
      <c r="C9" s="3">
        <v>1.8349999999999999E-4</v>
      </c>
      <c r="D9" s="3">
        <v>-3.4469999999999998E-4</v>
      </c>
      <c r="E9" s="3">
        <v>0</v>
      </c>
      <c r="F9" s="3">
        <v>0</v>
      </c>
      <c r="G9" s="3">
        <v>0</v>
      </c>
      <c r="H9" s="3">
        <v>6.0062192E-5</v>
      </c>
      <c r="I9" s="3">
        <v>1.7313502000000002E-5</v>
      </c>
      <c r="J9" s="3">
        <v>-1.3159213000000001E-4</v>
      </c>
      <c r="L9" s="3">
        <f t="shared" si="0"/>
        <v>-0.51000870322019143</v>
      </c>
      <c r="M9" s="3"/>
      <c r="N9" s="2">
        <f>IF('Modell einstellen'!$B$1="Voll",H9/0.35,H9/0.35*2)</f>
        <v>3.4321252571428576E-4</v>
      </c>
      <c r="O9" s="2">
        <f>IF('Modell einstellen'!$B$1="Voll",J9/0.35,J9/0.35*2)</f>
        <v>-7.5195502857142865E-4</v>
      </c>
      <c r="P9" s="3">
        <f t="shared" si="1"/>
        <v>0.45642693069866719</v>
      </c>
    </row>
    <row r="10" spans="1:16" x14ac:dyDescent="0.25">
      <c r="A10" s="3">
        <v>1E-8</v>
      </c>
      <c r="B10" s="3">
        <v>-2.0709999999999999E-4</v>
      </c>
      <c r="C10" s="3">
        <v>1.8579999999999999E-4</v>
      </c>
      <c r="D10" s="3">
        <v>-3.1930000000000001E-4</v>
      </c>
      <c r="E10" s="3">
        <v>0</v>
      </c>
      <c r="F10" s="3">
        <v>0</v>
      </c>
      <c r="G10" s="3">
        <v>0</v>
      </c>
      <c r="H10" s="3">
        <v>6.3606271999999998E-5</v>
      </c>
      <c r="I10" s="3">
        <v>1.7575066000000001E-5</v>
      </c>
      <c r="J10" s="3">
        <v>-1.3594333999999999E-4</v>
      </c>
      <c r="L10" s="3">
        <f t="shared" si="0"/>
        <v>-0.64860632633886628</v>
      </c>
      <c r="M10" s="3"/>
      <c r="N10" s="2">
        <f>IF('Modell einstellen'!$B$1="Voll",H10/0.35,H10/0.35*2)</f>
        <v>3.6346441142857142E-4</v>
      </c>
      <c r="O10" s="2">
        <f>IF('Modell einstellen'!$B$1="Voll",J10/0.35,J10/0.35*2)</f>
        <v>-7.768190857142857E-4</v>
      </c>
      <c r="P10" s="3">
        <f t="shared" si="1"/>
        <v>0.46788810691277705</v>
      </c>
    </row>
    <row r="11" spans="1:16" x14ac:dyDescent="0.25">
      <c r="A11" s="3">
        <v>9.9999999999999995E-8</v>
      </c>
      <c r="B11" s="3">
        <v>-2.4159999999999999E-4</v>
      </c>
      <c r="C11" s="3">
        <v>1.895E-4</v>
      </c>
      <c r="D11" s="3">
        <v>-2.921E-4</v>
      </c>
      <c r="E11" s="3">
        <v>0</v>
      </c>
      <c r="F11" s="3">
        <v>0</v>
      </c>
      <c r="G11" s="3">
        <v>0</v>
      </c>
      <c r="H11" s="3">
        <v>6.7450925999999999E-5</v>
      </c>
      <c r="I11" s="3">
        <v>1.7908910000000001E-5</v>
      </c>
      <c r="J11" s="3">
        <v>-1.4072550999999999E-4</v>
      </c>
      <c r="L11" s="3">
        <f t="shared" si="0"/>
        <v>-0.82711400205409102</v>
      </c>
      <c r="M11" s="3"/>
      <c r="N11" s="2">
        <f>IF('Modell einstellen'!$B$1="Voll",H11/0.35,H11/0.35*2)</f>
        <v>3.8543386285714285E-4</v>
      </c>
      <c r="O11" s="2">
        <f>IF('Modell einstellen'!$B$1="Voll",J11/0.35,J11/0.35*2)</f>
        <v>-8.0414577142857145E-4</v>
      </c>
      <c r="P11" s="3">
        <f t="shared" si="1"/>
        <v>0.47930844947728379</v>
      </c>
    </row>
    <row r="12" spans="1:16" x14ac:dyDescent="0.25">
      <c r="A12" s="3">
        <v>9.9999999999999995E-7</v>
      </c>
      <c r="B12" s="3">
        <v>-2.811E-4</v>
      </c>
      <c r="C12" s="3">
        <v>1.916E-4</v>
      </c>
      <c r="D12" s="3">
        <v>-2.5839999999999999E-4</v>
      </c>
      <c r="E12" s="3">
        <v>0</v>
      </c>
      <c r="F12" s="3">
        <v>0</v>
      </c>
      <c r="G12" s="3">
        <v>0</v>
      </c>
      <c r="H12" s="3">
        <v>7.1618204000000002E-5</v>
      </c>
      <c r="I12" s="3">
        <v>1.8163082E-5</v>
      </c>
      <c r="J12" s="3">
        <v>-1.45675E-4</v>
      </c>
      <c r="L12" s="3">
        <f t="shared" si="0"/>
        <v>-1.0878482972136223</v>
      </c>
      <c r="M12" s="3"/>
      <c r="N12" s="2">
        <f>IF('Modell einstellen'!$B$1="Voll",H12/0.35,H12/0.35*2)</f>
        <v>4.0924688000000005E-4</v>
      </c>
      <c r="O12" s="2">
        <f>IF('Modell einstellen'!$B$1="Voll",J12/0.35,J12/0.35*2)</f>
        <v>-8.3242857142857153E-4</v>
      </c>
      <c r="P12" s="3">
        <f t="shared" si="1"/>
        <v>0.49163002574223441</v>
      </c>
    </row>
    <row r="13" spans="1:16" x14ac:dyDescent="0.25">
      <c r="A13" s="3">
        <v>1.0000000000000001E-5</v>
      </c>
      <c r="B13" s="3">
        <v>-3.2650000000000002E-4</v>
      </c>
      <c r="C13" s="3">
        <v>1.9540000000000001E-4</v>
      </c>
      <c r="D13" s="3">
        <v>-2.2029999999999999E-4</v>
      </c>
      <c r="E13" s="3">
        <v>0</v>
      </c>
      <c r="F13" s="3">
        <v>0</v>
      </c>
      <c r="G13" s="3">
        <v>0</v>
      </c>
      <c r="H13" s="3">
        <v>7.6346906999999998E-5</v>
      </c>
      <c r="I13" s="3">
        <v>1.8500663999999999E-5</v>
      </c>
      <c r="J13" s="3">
        <v>-1.5135018000000001E-4</v>
      </c>
      <c r="L13" s="3">
        <f t="shared" si="0"/>
        <v>-1.4820699046754429</v>
      </c>
      <c r="M13" s="3"/>
      <c r="N13" s="2">
        <f>IF('Modell einstellen'!$B$1="Voll",H13/0.35,H13/0.35*2)</f>
        <v>4.3626804000000002E-4</v>
      </c>
      <c r="O13" s="2">
        <f>IF('Modell einstellen'!$B$1="Voll",J13/0.35,J13/0.35*2)</f>
        <v>-8.6485817142857157E-4</v>
      </c>
      <c r="P13" s="3">
        <f t="shared" si="1"/>
        <v>0.50443882524619388</v>
      </c>
    </row>
    <row r="14" spans="1:16" x14ac:dyDescent="0.25">
      <c r="A14" s="3">
        <v>1E-4</v>
      </c>
      <c r="B14" s="3">
        <v>-3.859E-4</v>
      </c>
      <c r="C14" s="3">
        <v>1.9870000000000001E-4</v>
      </c>
      <c r="D14" s="3">
        <v>-1.684E-4</v>
      </c>
      <c r="E14" s="3">
        <v>0</v>
      </c>
      <c r="F14" s="3">
        <v>0</v>
      </c>
      <c r="G14" s="3">
        <v>0</v>
      </c>
      <c r="H14" s="3">
        <v>8.2269932999999993E-5</v>
      </c>
      <c r="I14" s="3">
        <v>1.8837128999999999E-5</v>
      </c>
      <c r="J14" s="3">
        <v>-1.5825284999999999E-4</v>
      </c>
      <c r="L14" s="3">
        <f t="shared" si="0"/>
        <v>-2.2915676959619953</v>
      </c>
      <c r="M14" s="3"/>
      <c r="N14" s="2">
        <f>IF('Modell einstellen'!$B$1="Voll",H14/0.35,H14/0.35*2)</f>
        <v>4.7011390285714287E-4</v>
      </c>
      <c r="O14" s="2">
        <f>IF('Modell einstellen'!$B$1="Voll",J14/0.35,J14/0.35*2)</f>
        <v>-9.0430200000000006E-4</v>
      </c>
      <c r="P14" s="3">
        <f t="shared" si="1"/>
        <v>0.51986383183620388</v>
      </c>
    </row>
    <row r="15" spans="1:16" x14ac:dyDescent="0.25">
      <c r="A15" s="3">
        <v>1E-3</v>
      </c>
      <c r="B15" s="3">
        <v>-4.6470000000000002E-4</v>
      </c>
      <c r="C15" s="3">
        <v>2.0239999999999999E-4</v>
      </c>
      <c r="D15" s="3">
        <v>-9.7800000000000006E-5</v>
      </c>
      <c r="E15" s="3">
        <v>0</v>
      </c>
      <c r="F15" s="3">
        <v>0</v>
      </c>
      <c r="G15" s="3">
        <v>0</v>
      </c>
      <c r="H15" s="3">
        <v>8.9873304000000003E-5</v>
      </c>
      <c r="I15" s="3">
        <v>1.9213389000000001E-5</v>
      </c>
      <c r="J15" s="3">
        <v>-1.6694729999999999E-4</v>
      </c>
      <c r="L15" s="3">
        <f t="shared" si="0"/>
        <v>-4.7515337423312882</v>
      </c>
      <c r="M15" s="3"/>
      <c r="N15" s="2">
        <f>IF('Modell einstellen'!$B$1="Voll",H15/0.35,H15/0.35*2)</f>
        <v>5.1356173714285722E-4</v>
      </c>
      <c r="O15" s="2">
        <f>IF('Modell einstellen'!$B$1="Voll",J15/0.35,J15/0.35*2)</f>
        <v>-9.539845714285714E-4</v>
      </c>
      <c r="P15" s="3">
        <f t="shared" si="1"/>
        <v>0.53833337825768979</v>
      </c>
    </row>
    <row r="16" spans="1:16" x14ac:dyDescent="0.25">
      <c r="A16" s="3">
        <v>0.01</v>
      </c>
      <c r="B16" s="3">
        <v>-5.7189999999999997E-4</v>
      </c>
      <c r="C16" s="3">
        <v>2.0660000000000001E-4</v>
      </c>
      <c r="D16" s="3">
        <v>1.5909999999999999E-7</v>
      </c>
      <c r="E16" s="3">
        <v>0</v>
      </c>
      <c r="F16" s="3">
        <v>0</v>
      </c>
      <c r="G16" s="3">
        <v>0</v>
      </c>
      <c r="H16" s="3">
        <v>9.9910210999999994E-5</v>
      </c>
      <c r="I16" s="3">
        <v>1.9659774E-5</v>
      </c>
      <c r="J16" s="3">
        <v>-1.7824557E-4</v>
      </c>
      <c r="L16" s="3">
        <f t="shared" si="0"/>
        <v>3594.5945945945946</v>
      </c>
      <c r="M16" s="3"/>
      <c r="N16" s="2">
        <f>IF('Modell einstellen'!$B$1="Voll",H16/0.35,H16/0.35*2)</f>
        <v>5.7091549142857141E-4</v>
      </c>
      <c r="O16" s="2">
        <f>IF('Modell einstellen'!$B$1="Voll",J16/0.35,J16/0.35*2)</f>
        <v>-1.0185461142857143E-3</v>
      </c>
      <c r="P16" s="3">
        <f t="shared" si="1"/>
        <v>0.56052002302217097</v>
      </c>
    </row>
    <row r="17" spans="1:16" x14ac:dyDescent="0.25">
      <c r="A17" s="3">
        <v>0.1</v>
      </c>
      <c r="B17" s="3">
        <v>-7.205E-4</v>
      </c>
      <c r="C17" s="3">
        <v>2.128E-4</v>
      </c>
      <c r="D17" s="3">
        <v>1.3740000000000001E-4</v>
      </c>
      <c r="E17" s="3">
        <v>0</v>
      </c>
      <c r="F17" s="3">
        <v>0</v>
      </c>
      <c r="G17" s="3">
        <v>0</v>
      </c>
      <c r="H17" s="3">
        <v>1.1401495E-4</v>
      </c>
      <c r="I17" s="3">
        <v>2.0457041E-5</v>
      </c>
      <c r="J17" s="3">
        <v>-1.9430339000000001E-4</v>
      </c>
      <c r="L17" s="3">
        <f t="shared" si="0"/>
        <v>5.2438136826783115</v>
      </c>
      <c r="M17" s="3"/>
      <c r="N17" s="2">
        <f>IF('Modell einstellen'!$B$1="Voll",H17/0.35,H17/0.35*2)</f>
        <v>6.5151400000000006E-4</v>
      </c>
      <c r="O17" s="2">
        <f>IF('Modell einstellen'!$B$1="Voll",J17/0.35,J17/0.35*2)</f>
        <v>-1.1103050857142859E-3</v>
      </c>
      <c r="P17" s="3">
        <f t="shared" si="1"/>
        <v>0.58678826962308783</v>
      </c>
    </row>
    <row r="18" spans="1:16" x14ac:dyDescent="0.25">
      <c r="A18" s="3">
        <v>1</v>
      </c>
      <c r="B18" s="3">
        <v>-9.0959999999999999E-4</v>
      </c>
      <c r="C18" s="3">
        <v>2.296E-4</v>
      </c>
      <c r="D18" s="3">
        <v>3.0709999999999998E-4</v>
      </c>
      <c r="E18" s="3">
        <v>0</v>
      </c>
      <c r="F18" s="3">
        <v>0</v>
      </c>
      <c r="G18" s="3">
        <v>0</v>
      </c>
      <c r="H18" s="3">
        <v>1.3686218E-4</v>
      </c>
      <c r="I18" s="3">
        <v>2.3754163999999999E-5</v>
      </c>
      <c r="J18" s="3">
        <v>-2.2378911E-4</v>
      </c>
      <c r="L18" s="3">
        <f t="shared" si="0"/>
        <v>2.9619016606968414</v>
      </c>
      <c r="M18" s="3"/>
      <c r="N18" s="2">
        <f>IF('Modell einstellen'!$B$1="Voll",H18/0.35,H18/0.35*2)</f>
        <v>7.8206960000000002E-4</v>
      </c>
      <c r="O18" s="2">
        <f>IF('Modell einstellen'!$B$1="Voll",J18/0.35,J18/0.35*2)</f>
        <v>-1.2787949142857144E-3</v>
      </c>
      <c r="P18" s="3">
        <f t="shared" si="1"/>
        <v>0.61156764956078513</v>
      </c>
    </row>
    <row r="19" spans="1:16" x14ac:dyDescent="0.25">
      <c r="A19" s="3">
        <v>10</v>
      </c>
      <c r="B19" s="3">
        <v>-1.093E-3</v>
      </c>
      <c r="C19" s="3">
        <v>2.809E-4</v>
      </c>
      <c r="D19" s="3">
        <v>4.4700000000000002E-4</v>
      </c>
      <c r="E19" s="3">
        <v>0</v>
      </c>
      <c r="F19" s="3">
        <v>0</v>
      </c>
      <c r="G19" s="3">
        <v>0</v>
      </c>
      <c r="H19" s="3">
        <v>1.7965989999999999E-4</v>
      </c>
      <c r="I19" s="3">
        <v>3.7091405000000002E-5</v>
      </c>
      <c r="J19" s="3">
        <v>-2.9208697000000002E-4</v>
      </c>
      <c r="L19" s="3">
        <f t="shared" si="0"/>
        <v>2.4451901565995526</v>
      </c>
      <c r="M19" s="3"/>
      <c r="N19" s="2">
        <f>IF('Modell einstellen'!$B$1="Voll",H19/0.35,H19/0.35*2)</f>
        <v>1.0266279999999999E-3</v>
      </c>
      <c r="O19" s="2">
        <f>IF('Modell einstellen'!$B$1="Voll",J19/0.35,J19/0.35*2)</f>
        <v>-1.6690684000000003E-3</v>
      </c>
      <c r="P19" s="3">
        <f t="shared" si="1"/>
        <v>0.61509043008662778</v>
      </c>
    </row>
    <row r="20" spans="1:16" x14ac:dyDescent="0.25">
      <c r="A20" s="3">
        <v>100</v>
      </c>
      <c r="B20" s="3">
        <v>-1.292E-3</v>
      </c>
      <c r="C20" s="3">
        <v>4.0690000000000002E-4</v>
      </c>
      <c r="D20" s="3">
        <v>5.3859999999999997E-4</v>
      </c>
      <c r="E20" s="3">
        <v>0</v>
      </c>
      <c r="F20" s="3">
        <v>0</v>
      </c>
      <c r="G20" s="3">
        <v>0</v>
      </c>
      <c r="H20" s="3">
        <v>2.5707049000000002E-4</v>
      </c>
      <c r="I20" s="3">
        <v>7.0043755999999995E-5</v>
      </c>
      <c r="J20" s="3">
        <v>-4.3235437000000001E-4</v>
      </c>
      <c r="L20" s="3">
        <f t="shared" si="0"/>
        <v>2.3988117341255109</v>
      </c>
      <c r="M20" s="3"/>
      <c r="N20" s="2">
        <f>IF('Modell einstellen'!$B$1="Voll",H20/0.35,H20/0.35*2)</f>
        <v>1.4689742285714288E-3</v>
      </c>
      <c r="O20" s="2">
        <f>IF('Modell einstellen'!$B$1="Voll",J20/0.35,J20/0.35*2)</f>
        <v>-2.4705964000000004E-3</v>
      </c>
      <c r="P20" s="3">
        <f t="shared" si="1"/>
        <v>0.59458284184799615</v>
      </c>
    </row>
    <row r="21" spans="1:16" x14ac:dyDescent="0.25">
      <c r="A21" s="3">
        <v>1000</v>
      </c>
      <c r="B21" s="3">
        <v>-1.5269999999999999E-3</v>
      </c>
      <c r="C21" s="3">
        <v>6.8670000000000005E-4</v>
      </c>
      <c r="D21" s="3">
        <v>5.2159999999999999E-4</v>
      </c>
      <c r="E21" s="3">
        <v>0</v>
      </c>
      <c r="F21" s="3">
        <v>0</v>
      </c>
      <c r="G21" s="3">
        <v>0</v>
      </c>
      <c r="H21" s="3">
        <v>3.8844321000000001E-4</v>
      </c>
      <c r="I21" s="3">
        <v>1.3825803000000001E-4</v>
      </c>
      <c r="J21" s="3">
        <v>-6.9419884000000004E-4</v>
      </c>
      <c r="L21" s="3">
        <f t="shared" si="0"/>
        <v>2.9275306748466257</v>
      </c>
      <c r="M21" s="3"/>
      <c r="N21" s="2">
        <f>IF('Modell einstellen'!$B$1="Voll",H21/0.35,H21/0.35*2)</f>
        <v>2.219675485714286E-3</v>
      </c>
      <c r="O21" s="2">
        <f>IF('Modell einstellen'!$B$1="Voll",J21/0.35,J21/0.35*2)</f>
        <v>-3.9668505142857148E-3</v>
      </c>
      <c r="P21" s="3">
        <f t="shared" si="1"/>
        <v>0.55955612083707895</v>
      </c>
    </row>
    <row r="22" spans="1:16" x14ac:dyDescent="0.25">
      <c r="A22" s="3">
        <v>10000</v>
      </c>
      <c r="B22" s="3">
        <v>-1.7099999999999999E-3</v>
      </c>
      <c r="C22" s="3">
        <v>1.2509999999999999E-3</v>
      </c>
      <c r="D22" s="3">
        <v>1.75E-4</v>
      </c>
      <c r="E22" s="3">
        <v>0</v>
      </c>
      <c r="F22" s="3">
        <v>0</v>
      </c>
      <c r="G22" s="3">
        <v>0</v>
      </c>
      <c r="H22" s="3">
        <v>5.856921E-4</v>
      </c>
      <c r="I22" s="3">
        <v>2.6486323E-4</v>
      </c>
      <c r="J22" s="3">
        <v>-1.1332676000000001E-3</v>
      </c>
      <c r="L22" s="3">
        <f t="shared" si="0"/>
        <v>9.7714285714285705</v>
      </c>
      <c r="M22" s="3"/>
      <c r="N22" s="2">
        <f>IF('Modell einstellen'!$B$1="Voll",H22/0.35,H22/0.35*2)</f>
        <v>3.3468120000000002E-3</v>
      </c>
      <c r="O22" s="2">
        <f>IF('Modell einstellen'!$B$1="Voll",J22/0.35,J22/0.35*2)</f>
        <v>-6.4758148571428583E-3</v>
      </c>
      <c r="P22" s="3">
        <f t="shared" si="1"/>
        <v>0.51681712245192568</v>
      </c>
    </row>
    <row r="23" spans="1:16" x14ac:dyDescent="0.25">
      <c r="A23" s="3">
        <v>100000</v>
      </c>
      <c r="B23" s="3">
        <v>-1.547E-3</v>
      </c>
      <c r="C23" s="3">
        <v>2.1459999999999999E-3</v>
      </c>
      <c r="D23" s="3">
        <v>-8.497E-4</v>
      </c>
      <c r="E23" s="3">
        <v>0</v>
      </c>
      <c r="F23" s="3">
        <v>0</v>
      </c>
      <c r="G23" s="3">
        <v>0</v>
      </c>
      <c r="H23" s="3">
        <v>8.2062254000000003E-4</v>
      </c>
      <c r="I23" s="3">
        <v>4.5134781000000002E-4</v>
      </c>
      <c r="J23" s="3">
        <v>-1.7225838E-3</v>
      </c>
      <c r="L23" s="3">
        <f t="shared" si="0"/>
        <v>-1.8206425797340238</v>
      </c>
      <c r="M23" s="3"/>
      <c r="N23" s="2">
        <f>IF('Modell einstellen'!$B$1="Voll",H23/0.35,H23/0.35*2)</f>
        <v>4.6892716571428576E-3</v>
      </c>
      <c r="O23" s="2">
        <f>IF('Modell einstellen'!$B$1="Voll",J23/0.35,J23/0.35*2)</f>
        <v>-9.8433360000000011E-3</v>
      </c>
      <c r="P23" s="3">
        <f t="shared" si="1"/>
        <v>0.47639048968183723</v>
      </c>
    </row>
    <row r="24" spans="1:16" x14ac:dyDescent="0.25">
      <c r="A24" s="3">
        <v>1000000</v>
      </c>
      <c r="B24" s="3">
        <v>-8.8000000000000003E-4</v>
      </c>
      <c r="C24" s="3">
        <v>3.199E-3</v>
      </c>
      <c r="D24" s="3">
        <v>-2.5409999999999999E-3</v>
      </c>
      <c r="E24" s="3">
        <v>0</v>
      </c>
      <c r="F24" s="3">
        <v>0</v>
      </c>
      <c r="G24" s="3">
        <v>0</v>
      </c>
      <c r="H24" s="3">
        <v>1.0243811E-3</v>
      </c>
      <c r="I24" s="3">
        <v>6.5236745999999995E-4</v>
      </c>
      <c r="J24" s="3">
        <v>-2.3060034000000002E-3</v>
      </c>
      <c r="L24" s="3">
        <f t="shared" si="0"/>
        <v>-0.34632034632034636</v>
      </c>
      <c r="M24" s="3"/>
      <c r="N24" s="2">
        <f>IF('Modell einstellen'!$B$1="Voll",H24/0.35,H24/0.35*2)</f>
        <v>5.8536062857142863E-3</v>
      </c>
      <c r="O24" s="2">
        <f>IF('Modell einstellen'!$B$1="Voll",J24/0.35,J24/0.35*2)</f>
        <v>-1.3177162285714288E-2</v>
      </c>
      <c r="P24" s="3">
        <f t="shared" si="1"/>
        <v>0.44422358614041935</v>
      </c>
    </row>
    <row r="25" spans="1:16" x14ac:dyDescent="0.25">
      <c r="A25" s="3">
        <v>10000000</v>
      </c>
      <c r="B25" s="3">
        <v>2.9200000000000002E-5</v>
      </c>
      <c r="C25" s="3">
        <v>4.1660000000000004E-3</v>
      </c>
      <c r="D25" s="3">
        <v>-4.3949999999999996E-3</v>
      </c>
      <c r="E25" s="3">
        <v>0</v>
      </c>
      <c r="F25" s="3">
        <v>0</v>
      </c>
      <c r="G25" s="3">
        <v>0</v>
      </c>
      <c r="H25" s="3">
        <v>1.1634709999999999E-3</v>
      </c>
      <c r="I25" s="3">
        <v>8.2068449999999997E-4</v>
      </c>
      <c r="J25" s="3">
        <v>-2.7613538000000001E-3</v>
      </c>
      <c r="L25" s="3">
        <f t="shared" si="0"/>
        <v>6.6439135381114916E-3</v>
      </c>
      <c r="M25" s="3"/>
      <c r="N25" s="2">
        <f>IF('Modell einstellen'!$B$1="Voll",H25/0.35,H25/0.35*2)</f>
        <v>6.6484057142857144E-3</v>
      </c>
      <c r="O25" s="2">
        <f>IF('Modell einstellen'!$B$1="Voll",J25/0.35,J25/0.35*2)</f>
        <v>-1.5779164571428573E-2</v>
      </c>
      <c r="P25" s="3">
        <f t="shared" si="1"/>
        <v>0.42134079305592781</v>
      </c>
    </row>
    <row r="26" spans="1:16" x14ac:dyDescent="0.25">
      <c r="A26" s="3">
        <v>100000000</v>
      </c>
      <c r="B26" s="3">
        <v>8.5249999999999996E-4</v>
      </c>
      <c r="C26" s="3">
        <v>4.9430000000000003E-3</v>
      </c>
      <c r="D26" s="3">
        <v>-5.9789999999999999E-3</v>
      </c>
      <c r="E26" s="3">
        <v>0</v>
      </c>
      <c r="F26" s="3">
        <v>0</v>
      </c>
      <c r="G26" s="3">
        <v>0</v>
      </c>
      <c r="H26" s="3">
        <v>1.2568989999999999E-3</v>
      </c>
      <c r="I26" s="3">
        <v>9.4605508999999997E-4</v>
      </c>
      <c r="J26" s="3">
        <v>-3.0893690999999998E-3</v>
      </c>
      <c r="L26" s="3">
        <f t="shared" si="0"/>
        <v>0.14258237163405252</v>
      </c>
      <c r="M26" s="3"/>
      <c r="N26" s="2">
        <f>IF('Modell einstellen'!$B$1="Voll",H26/0.35,H26/0.35*2)</f>
        <v>7.1822800000000001E-3</v>
      </c>
      <c r="O26" s="2">
        <f>IF('Modell einstellen'!$B$1="Voll",J26/0.35,J26/0.35*2)</f>
        <v>-1.7653537714285714E-2</v>
      </c>
      <c r="P26" s="3">
        <f t="shared" si="1"/>
        <v>0.40684649820573399</v>
      </c>
    </row>
    <row r="27" spans="1:16" x14ac:dyDescent="0.25">
      <c r="A27" s="3">
        <v>1000000000</v>
      </c>
      <c r="B27" s="3">
        <v>1.5169999999999999E-3</v>
      </c>
      <c r="C27" s="3">
        <v>5.5449999999999996E-3</v>
      </c>
      <c r="D27" s="3">
        <v>-7.234E-3</v>
      </c>
      <c r="E27" s="3">
        <v>0</v>
      </c>
      <c r="F27" s="3">
        <v>0</v>
      </c>
      <c r="G27" s="3">
        <v>0</v>
      </c>
      <c r="H27" s="3">
        <v>1.324673E-3</v>
      </c>
      <c r="I27" s="3">
        <v>1.0381870000000001E-3</v>
      </c>
      <c r="J27" s="3">
        <v>-3.3289462999999998E-3</v>
      </c>
      <c r="L27" s="3">
        <f t="shared" si="0"/>
        <v>0.20970417473043959</v>
      </c>
      <c r="M27" s="3"/>
      <c r="N27" s="2">
        <f>IF('Modell einstellen'!$B$1="Voll",H27/0.35,H27/0.35*2)</f>
        <v>7.5695600000000004E-3</v>
      </c>
      <c r="O27" s="2">
        <f>IF('Modell einstellen'!$B$1="Voll",J27/0.35,J27/0.35*2)</f>
        <v>-1.9022550285714285E-2</v>
      </c>
      <c r="P27" s="3">
        <f t="shared" si="1"/>
        <v>0.39792561387968323</v>
      </c>
    </row>
    <row r="28" spans="1:16" x14ac:dyDescent="0.25">
      <c r="A28" s="3">
        <v>10000000000</v>
      </c>
      <c r="B28" s="3">
        <v>2.0330000000000001E-3</v>
      </c>
      <c r="C28" s="3">
        <v>5.9449999999999998E-3</v>
      </c>
      <c r="D28" s="3">
        <v>-8.1429999999999992E-3</v>
      </c>
      <c r="E28" s="3">
        <v>0</v>
      </c>
      <c r="F28" s="3">
        <v>0</v>
      </c>
      <c r="G28" s="3">
        <v>0</v>
      </c>
      <c r="H28" s="3">
        <v>1.3604512E-3</v>
      </c>
      <c r="I28" s="3">
        <v>1.0946673E-3</v>
      </c>
      <c r="J28" s="3">
        <v>-3.4699018999999999E-3</v>
      </c>
      <c r="L28" s="3">
        <f t="shared" si="0"/>
        <v>0.24966228662655043</v>
      </c>
      <c r="M28" s="3"/>
      <c r="N28" s="2">
        <f>IF('Modell einstellen'!$B$1="Voll",H28/0.35,H28/0.35*2)</f>
        <v>7.7740068571428575E-3</v>
      </c>
      <c r="O28" s="2">
        <f>IF('Modell einstellen'!$B$1="Voll",J28/0.35,J28/0.35*2)</f>
        <v>-1.9828010857142857E-2</v>
      </c>
      <c r="P28" s="3">
        <f t="shared" si="1"/>
        <v>0.39207194877757212</v>
      </c>
    </row>
    <row r="29" spans="1:16" x14ac:dyDescent="0.25">
      <c r="A29" s="3">
        <v>100000000000</v>
      </c>
      <c r="B29" s="3">
        <v>2.3969999999999998E-3</v>
      </c>
      <c r="C29" s="3">
        <v>6.3790000000000001E-3</v>
      </c>
      <c r="D29" s="3">
        <v>-8.9370000000000005E-3</v>
      </c>
      <c r="E29" s="3">
        <v>0</v>
      </c>
      <c r="F29" s="3">
        <v>0</v>
      </c>
      <c r="G29" s="3">
        <v>0</v>
      </c>
      <c r="H29" s="3">
        <v>1.4291937000000001E-3</v>
      </c>
      <c r="I29" s="3">
        <v>1.1634442000000001E-3</v>
      </c>
      <c r="J29" s="3">
        <v>-3.6659287E-3</v>
      </c>
      <c r="L29" s="3">
        <f t="shared" si="0"/>
        <v>0.26821080899630745</v>
      </c>
      <c r="M29" s="3"/>
      <c r="N29" s="2">
        <f>IF('Modell einstellen'!$B$1="Voll",H29/0.35,H29/0.35*2)</f>
        <v>8.166821142857144E-3</v>
      </c>
      <c r="O29" s="2">
        <f>IF('Modell einstellen'!$B$1="Voll",J29/0.35,J29/0.35*2)</f>
        <v>-2.0948164000000002E-2</v>
      </c>
      <c r="P29" s="3">
        <f t="shared" si="1"/>
        <v>0.38985856435232907</v>
      </c>
    </row>
    <row r="30" spans="1:16" x14ac:dyDescent="0.25">
      <c r="A30" s="3">
        <v>1000000000000</v>
      </c>
      <c r="B30" s="3">
        <v>2.728E-3</v>
      </c>
      <c r="C30" s="3">
        <v>6.7270000000000003E-3</v>
      </c>
      <c r="D30" s="3">
        <v>-9.613E-3</v>
      </c>
      <c r="E30" s="3">
        <v>0</v>
      </c>
      <c r="F30" s="3">
        <v>0</v>
      </c>
      <c r="G30" s="3">
        <v>0</v>
      </c>
      <c r="H30" s="3">
        <v>1.4834322999999999E-3</v>
      </c>
      <c r="I30" s="3">
        <v>1.2193433E-3</v>
      </c>
      <c r="J30" s="3">
        <v>-3.8234045E-3</v>
      </c>
      <c r="L30" s="3">
        <f t="shared" si="0"/>
        <v>0.28378237802975137</v>
      </c>
      <c r="M30" s="3"/>
      <c r="N30" s="2">
        <f>IF('Modell einstellen'!$B$1="Voll",H30/0.35,H30/0.35*2)</f>
        <v>8.4767560000000002E-3</v>
      </c>
      <c r="O30" s="2">
        <f>IF('Modell einstellen'!$B$1="Voll",J30/0.35,J30/0.35*2)</f>
        <v>-2.1848025714285717E-2</v>
      </c>
      <c r="P30" s="3">
        <f t="shared" si="1"/>
        <v>0.38798727678434231</v>
      </c>
    </row>
    <row r="31" spans="1:16" x14ac:dyDescent="0.25">
      <c r="A31" s="3">
        <v>10000000000000</v>
      </c>
      <c r="B31" s="3">
        <v>2.6770000000000001E-3</v>
      </c>
      <c r="C31" s="3">
        <v>6.7299999999999999E-3</v>
      </c>
      <c r="D31" s="3">
        <v>-9.5659999999999999E-3</v>
      </c>
      <c r="E31" s="3">
        <v>0</v>
      </c>
      <c r="F31" s="3">
        <v>0</v>
      </c>
      <c r="G31" s="3">
        <v>0</v>
      </c>
      <c r="H31" s="3">
        <v>1.4887771E-3</v>
      </c>
      <c r="I31" s="3">
        <v>1.2202576E-3</v>
      </c>
      <c r="J31" s="3">
        <v>-3.8303245000000001E-3</v>
      </c>
      <c r="L31" s="3">
        <f t="shared" si="0"/>
        <v>0.27984528538574116</v>
      </c>
      <c r="M31" s="3"/>
      <c r="N31" s="2">
        <f>IF('Modell einstellen'!$B$1="Voll",H31/0.35,H31/0.35*2)</f>
        <v>8.5072977142857144E-3</v>
      </c>
      <c r="O31" s="2">
        <f>IF('Modell einstellen'!$B$1="Voll",J31/0.35,J31/0.35*2)</f>
        <v>-2.1887568571428574E-2</v>
      </c>
      <c r="P31" s="3">
        <f t="shared" si="1"/>
        <v>0.38868171613136165</v>
      </c>
    </row>
    <row r="32" spans="1:16" x14ac:dyDescent="0.25">
      <c r="A32" s="3">
        <v>100000000000000</v>
      </c>
      <c r="B32" s="3">
        <v>2.9740000000000001E-3</v>
      </c>
      <c r="C32" s="3">
        <v>6.8719999999999996E-3</v>
      </c>
      <c r="D32" s="3">
        <v>-0.01</v>
      </c>
      <c r="E32" s="3">
        <v>0</v>
      </c>
      <c r="F32" s="3">
        <v>0</v>
      </c>
      <c r="G32" s="3">
        <v>0</v>
      </c>
      <c r="H32" s="3">
        <v>1.4946005E-3</v>
      </c>
      <c r="I32" s="3">
        <v>1.2402101999999999E-3</v>
      </c>
      <c r="J32" s="3">
        <v>-3.8732580000000001E-3</v>
      </c>
      <c r="L32" s="3">
        <f t="shared" si="0"/>
        <v>0.2974</v>
      </c>
      <c r="M32" s="3"/>
      <c r="N32" s="2">
        <f>IF('Modell einstellen'!$B$1="Voll",H32/0.35,H32/0.35*2)</f>
        <v>8.540574285714286E-3</v>
      </c>
      <c r="O32" s="2">
        <f>IF('Modell einstellen'!$B$1="Voll",J32/0.35,J32/0.35*2)</f>
        <v>-2.213290285714286E-2</v>
      </c>
      <c r="P32" s="3">
        <f t="shared" si="1"/>
        <v>0.38587682514307076</v>
      </c>
    </row>
    <row r="33" spans="1:16" x14ac:dyDescent="0.25">
      <c r="A33" s="3">
        <v>1000000000000000</v>
      </c>
      <c r="B33" s="3">
        <v>2.9780000000000002E-3</v>
      </c>
      <c r="C33" s="3">
        <v>6.8780000000000004E-3</v>
      </c>
      <c r="D33" s="3">
        <v>-1.001E-2</v>
      </c>
      <c r="E33" s="3">
        <v>0</v>
      </c>
      <c r="F33" s="3">
        <v>0</v>
      </c>
      <c r="G33" s="3">
        <v>0</v>
      </c>
      <c r="H33" s="3">
        <v>1.4953294E-3</v>
      </c>
      <c r="I33" s="3">
        <v>1.2409329E-3</v>
      </c>
      <c r="J33" s="3">
        <v>-3.8753148000000002E-3</v>
      </c>
      <c r="L33" s="3">
        <f t="shared" si="0"/>
        <v>0.29750249750249752</v>
      </c>
      <c r="M33" s="3"/>
      <c r="N33" s="2">
        <f>IF('Modell einstellen'!$B$1="Voll",H33/0.35,H33/0.35*2)</f>
        <v>8.5447394285714292E-3</v>
      </c>
      <c r="O33" s="2">
        <f>IF('Modell einstellen'!$B$1="Voll",J33/0.35,J33/0.35*2)</f>
        <v>-2.2144656000000002E-2</v>
      </c>
      <c r="P33" s="3">
        <f t="shared" si="1"/>
        <v>0.38586011128695918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-1.6780000000000001E-4</v>
      </c>
      <c r="C3" s="3">
        <v>1.861E-4</v>
      </c>
      <c r="D3" s="3">
        <v>-3.5409999999999999E-4</v>
      </c>
      <c r="E3" s="3">
        <v>0</v>
      </c>
      <c r="F3" s="3">
        <v>0</v>
      </c>
      <c r="G3" s="3">
        <v>0</v>
      </c>
      <c r="H3" s="3">
        <v>6.0274876999999998E-5</v>
      </c>
      <c r="I3" s="3">
        <v>1.7727301000000002E-5</v>
      </c>
      <c r="J3" s="3">
        <v>-1.3261655999999999E-4</v>
      </c>
      <c r="L3" s="3">
        <f>-B3/D3</f>
        <v>-0.47387743575261232</v>
      </c>
      <c r="M3" s="3"/>
      <c r="N3" s="2">
        <f>IF('Modell einstellen'!$B$1="Voll",H3/0.35,H3/0.35*2)</f>
        <v>3.4442786857142861E-4</v>
      </c>
      <c r="O3" s="2">
        <f>IF('Modell einstellen'!$B$1="Voll",J3/0.35,J3/0.35*2)</f>
        <v>-7.5780891428571431E-4</v>
      </c>
      <c r="P3" s="3">
        <f>-N3/O3</f>
        <v>0.45450490496812768</v>
      </c>
    </row>
    <row r="4" spans="1:16" x14ac:dyDescent="0.25">
      <c r="A4" s="3">
        <v>1E-14</v>
      </c>
      <c r="B4" s="3">
        <v>-2.076E-4</v>
      </c>
      <c r="C4" s="3">
        <v>1.8990000000000001E-4</v>
      </c>
      <c r="D4" s="3">
        <v>-3.2279999999999999E-4</v>
      </c>
      <c r="E4" s="3">
        <v>0</v>
      </c>
      <c r="F4" s="3">
        <v>0</v>
      </c>
      <c r="G4" s="3">
        <v>0</v>
      </c>
      <c r="H4" s="3">
        <v>6.4918317999999994E-5</v>
      </c>
      <c r="I4" s="3">
        <v>1.8128159000000002E-5</v>
      </c>
      <c r="J4" s="3">
        <v>-1.3842248999999999E-4</v>
      </c>
      <c r="L4" s="3">
        <f t="shared" ref="L4:L33" si="0">-B4/D4</f>
        <v>-0.64312267657992572</v>
      </c>
      <c r="M4" s="3"/>
      <c r="N4" s="2">
        <f>IF('Modell einstellen'!$B$1="Voll",H4/0.35,H4/0.35*2)</f>
        <v>3.7096181714285712E-4</v>
      </c>
      <c r="O4" s="2">
        <f>IF('Modell einstellen'!$B$1="Voll",J4/0.35,J4/0.35*2)</f>
        <v>-7.9098565714285718E-4</v>
      </c>
      <c r="P4" s="3">
        <f t="shared" ref="P4:P33" si="1">-N4/O4</f>
        <v>0.46898678097757085</v>
      </c>
    </row>
    <row r="5" spans="1:16" x14ac:dyDescent="0.25">
      <c r="A5" s="3">
        <v>1E-13</v>
      </c>
      <c r="B5" s="3">
        <v>-2.4360000000000001E-4</v>
      </c>
      <c r="C5" s="3">
        <v>1.9210000000000001E-4</v>
      </c>
      <c r="D5" s="3">
        <v>-2.9270000000000001E-4</v>
      </c>
      <c r="E5" s="3">
        <v>0</v>
      </c>
      <c r="F5" s="3">
        <v>0</v>
      </c>
      <c r="G5" s="3">
        <v>0</v>
      </c>
      <c r="H5" s="3">
        <v>6.8838053999999995E-5</v>
      </c>
      <c r="I5" s="3">
        <v>1.8394623000000001E-5</v>
      </c>
      <c r="J5" s="3">
        <v>-1.4314921E-4</v>
      </c>
      <c r="L5" s="3">
        <f t="shared" si="0"/>
        <v>-0.83225145199863337</v>
      </c>
      <c r="M5" s="3"/>
      <c r="N5" s="2">
        <f>IF('Modell einstellen'!$B$1="Voll",H5/0.35,H5/0.35*2)</f>
        <v>3.9336030857142854E-4</v>
      </c>
      <c r="O5" s="2">
        <f>IF('Modell einstellen'!$B$1="Voll",J5/0.35,J5/0.35*2)</f>
        <v>-8.179954857142857E-4</v>
      </c>
      <c r="P5" s="3">
        <f t="shared" si="1"/>
        <v>0.48088322666957084</v>
      </c>
    </row>
    <row r="6" spans="1:16" x14ac:dyDescent="0.25">
      <c r="A6" s="3">
        <v>9.9999999999999998E-13</v>
      </c>
      <c r="B6" s="3">
        <v>-2.8430000000000003E-4</v>
      </c>
      <c r="C6" s="3">
        <v>1.9570000000000001E-4</v>
      </c>
      <c r="D6" s="3">
        <v>-2.5920000000000001E-4</v>
      </c>
      <c r="E6" s="3">
        <v>0</v>
      </c>
      <c r="F6" s="3">
        <v>0</v>
      </c>
      <c r="G6" s="3">
        <v>0</v>
      </c>
      <c r="H6" s="3">
        <v>7.3248542999999999E-5</v>
      </c>
      <c r="I6" s="3">
        <v>1.8737453999999999E-5</v>
      </c>
      <c r="J6" s="3">
        <v>-1.4851723E-4</v>
      </c>
      <c r="L6" s="3">
        <f t="shared" si="0"/>
        <v>-1.0968364197530864</v>
      </c>
      <c r="M6" s="3"/>
      <c r="N6" s="2">
        <f>IF('Modell einstellen'!$B$1="Voll",H6/0.35,H6/0.35*2)</f>
        <v>4.1856310285714288E-4</v>
      </c>
      <c r="O6" s="2">
        <f>IF('Modell einstellen'!$B$1="Voll",J6/0.35,J6/0.35*2)</f>
        <v>-8.486698857142858E-4</v>
      </c>
      <c r="P6" s="3">
        <f t="shared" si="1"/>
        <v>0.4931989574542967</v>
      </c>
    </row>
    <row r="7" spans="1:16" x14ac:dyDescent="0.25">
      <c r="A7" s="3">
        <v>9.9999999999999994E-12</v>
      </c>
      <c r="B7" s="3">
        <v>-3.3189999999999999E-4</v>
      </c>
      <c r="C7" s="3">
        <v>1.9790000000000001E-4</v>
      </c>
      <c r="D7" s="3">
        <v>-2.174E-4</v>
      </c>
      <c r="E7" s="3">
        <v>0</v>
      </c>
      <c r="F7" s="3">
        <v>0</v>
      </c>
      <c r="G7" s="3">
        <v>0</v>
      </c>
      <c r="H7" s="3">
        <v>7.8109506000000005E-5</v>
      </c>
      <c r="I7" s="3">
        <v>1.9007636999999999E-5</v>
      </c>
      <c r="J7" s="3">
        <v>-1.5419401000000001E-4</v>
      </c>
      <c r="L7" s="3">
        <f t="shared" si="0"/>
        <v>-1.5266789328426862</v>
      </c>
      <c r="M7" s="3"/>
      <c r="N7" s="2">
        <f>IF('Modell einstellen'!$B$1="Voll",H7/0.35,H7/0.35*2)</f>
        <v>4.4634003428571434E-4</v>
      </c>
      <c r="O7" s="2">
        <f>IF('Modell einstellen'!$B$1="Voll",J7/0.35,J7/0.35*2)</f>
        <v>-8.8110862857142865E-4</v>
      </c>
      <c r="P7" s="3">
        <f t="shared" si="1"/>
        <v>0.50656640942148146</v>
      </c>
    </row>
    <row r="8" spans="1:16" x14ac:dyDescent="0.25">
      <c r="A8" s="3">
        <v>1E-10</v>
      </c>
      <c r="B8" s="3">
        <v>-3.9609999999999998E-4</v>
      </c>
      <c r="C8" s="3">
        <v>2.02E-4</v>
      </c>
      <c r="D8" s="3">
        <v>-1.618E-4</v>
      </c>
      <c r="E8" s="3">
        <v>0</v>
      </c>
      <c r="F8" s="3">
        <v>0</v>
      </c>
      <c r="G8" s="3">
        <v>0</v>
      </c>
      <c r="H8" s="3">
        <v>8.4568752999999994E-5</v>
      </c>
      <c r="I8" s="3">
        <v>1.9409931999999999E-5</v>
      </c>
      <c r="J8" s="3">
        <v>-1.6177535999999999E-4</v>
      </c>
      <c r="L8" s="3">
        <f t="shared" si="0"/>
        <v>-2.4480840543881333</v>
      </c>
      <c r="M8" s="3"/>
      <c r="N8" s="2">
        <f>IF('Modell einstellen'!$B$1="Voll",H8/0.35,H8/0.35*2)</f>
        <v>4.8325001714285713E-4</v>
      </c>
      <c r="O8" s="2">
        <f>IF('Modell einstellen'!$B$1="Voll",J8/0.35,J8/0.35*2)</f>
        <v>-9.2443062857142859E-4</v>
      </c>
      <c r="P8" s="3">
        <f t="shared" si="1"/>
        <v>0.5227542253653461</v>
      </c>
    </row>
    <row r="9" spans="1:16" x14ac:dyDescent="0.25">
      <c r="A9" s="3">
        <v>1.0000000000000001E-9</v>
      </c>
      <c r="B9" s="3">
        <v>-4.8040000000000002E-4</v>
      </c>
      <c r="C9" s="3">
        <v>2.0570000000000001E-4</v>
      </c>
      <c r="D9" s="3">
        <v>-8.5829999999999996E-5</v>
      </c>
      <c r="E9" s="3">
        <v>0</v>
      </c>
      <c r="F9" s="3">
        <v>0</v>
      </c>
      <c r="G9" s="3">
        <v>0</v>
      </c>
      <c r="H9" s="3">
        <v>9.2668203999999999E-5</v>
      </c>
      <c r="I9" s="3">
        <v>1.9805566999999999E-5</v>
      </c>
      <c r="J9" s="3">
        <v>-1.7100911000000001E-4</v>
      </c>
      <c r="L9" s="3">
        <f t="shared" si="0"/>
        <v>-5.5971105674006765</v>
      </c>
      <c r="M9" s="3"/>
      <c r="N9" s="2">
        <f>IF('Modell einstellen'!$B$1="Voll",H9/0.35,H9/0.35*2)</f>
        <v>5.2953259428571427E-4</v>
      </c>
      <c r="O9" s="2">
        <f>IF('Modell einstellen'!$B$1="Voll",J9/0.35,J9/0.35*2)</f>
        <v>-9.7719491428571443E-4</v>
      </c>
      <c r="P9" s="3">
        <f t="shared" si="1"/>
        <v>0.54189045250279344</v>
      </c>
    </row>
    <row r="10" spans="1:16" x14ac:dyDescent="0.25">
      <c r="A10" s="3">
        <v>1E-8</v>
      </c>
      <c r="B10" s="3">
        <v>-5.9849999999999997E-4</v>
      </c>
      <c r="C10" s="3">
        <v>2.0990000000000001E-4</v>
      </c>
      <c r="D10" s="3">
        <v>2.285E-5</v>
      </c>
      <c r="E10" s="3">
        <v>0</v>
      </c>
      <c r="F10" s="3">
        <v>0</v>
      </c>
      <c r="G10" s="3">
        <v>0</v>
      </c>
      <c r="H10" s="3">
        <v>1.0360039E-4</v>
      </c>
      <c r="I10" s="3">
        <v>2.0253624000000001E-5</v>
      </c>
      <c r="J10" s="3">
        <v>-1.8322133E-4</v>
      </c>
      <c r="L10" s="3">
        <f t="shared" si="0"/>
        <v>26.192560175054702</v>
      </c>
      <c r="M10" s="3"/>
      <c r="N10" s="2">
        <f>IF('Modell einstellen'!$B$1="Voll",H10/0.35,H10/0.35*2)</f>
        <v>5.920022285714286E-4</v>
      </c>
      <c r="O10" s="2">
        <f>IF('Modell einstellen'!$B$1="Voll",J10/0.35,J10/0.35*2)</f>
        <v>-1.0469790285714286E-3</v>
      </c>
      <c r="P10" s="3">
        <f t="shared" si="1"/>
        <v>0.56543847815098824</v>
      </c>
    </row>
    <row r="11" spans="1:16" x14ac:dyDescent="0.25">
      <c r="A11" s="3">
        <v>9.9999999999999995E-8</v>
      </c>
      <c r="B11" s="3">
        <v>-7.6999999999999996E-4</v>
      </c>
      <c r="C11" s="3">
        <v>2.1440000000000001E-4</v>
      </c>
      <c r="D11" s="3">
        <v>1.838E-4</v>
      </c>
      <c r="E11" s="3">
        <v>0</v>
      </c>
      <c r="F11" s="3">
        <v>0</v>
      </c>
      <c r="G11" s="3">
        <v>0</v>
      </c>
      <c r="H11" s="3">
        <v>1.1885212E-4</v>
      </c>
      <c r="I11" s="3">
        <v>2.0754103E-5</v>
      </c>
      <c r="J11" s="3">
        <v>-1.9989363000000001E-4</v>
      </c>
      <c r="L11" s="3">
        <f t="shared" si="0"/>
        <v>4.1893362350380849</v>
      </c>
      <c r="M11" s="3"/>
      <c r="N11" s="2">
        <f>IF('Modell einstellen'!$B$1="Voll",H11/0.35,H11/0.35*2)</f>
        <v>6.7915497142857144E-4</v>
      </c>
      <c r="O11" s="2">
        <f>IF('Modell einstellen'!$B$1="Voll",J11/0.35,J11/0.35*2)</f>
        <v>-1.1422493142857143E-3</v>
      </c>
      <c r="P11" s="3">
        <f t="shared" si="1"/>
        <v>0.59457682568474046</v>
      </c>
    </row>
    <row r="12" spans="1:16" x14ac:dyDescent="0.25">
      <c r="A12" s="3">
        <v>9.9999999999999995E-7</v>
      </c>
      <c r="B12" s="3">
        <v>-1.0460000000000001E-3</v>
      </c>
      <c r="C12" s="3">
        <v>2.196E-4</v>
      </c>
      <c r="D12" s="3">
        <v>4.482E-4</v>
      </c>
      <c r="E12" s="3">
        <v>0</v>
      </c>
      <c r="F12" s="3">
        <v>0</v>
      </c>
      <c r="G12" s="3">
        <v>0</v>
      </c>
      <c r="H12" s="3">
        <v>1.4248821E-4</v>
      </c>
      <c r="I12" s="3">
        <v>2.1336318E-5</v>
      </c>
      <c r="J12" s="3">
        <v>-2.2516360999999999E-4</v>
      </c>
      <c r="L12" s="3">
        <f t="shared" si="0"/>
        <v>2.3337795626952254</v>
      </c>
      <c r="M12" s="3"/>
      <c r="N12" s="2">
        <f>IF('Modell einstellen'!$B$1="Voll",H12/0.35,H12/0.35*2)</f>
        <v>8.1421834285714287E-4</v>
      </c>
      <c r="O12" s="2">
        <f>IF('Modell einstellen'!$B$1="Voll",J12/0.35,J12/0.35*2)</f>
        <v>-1.2866492E-3</v>
      </c>
      <c r="P12" s="3">
        <f t="shared" si="1"/>
        <v>0.6328207741917089</v>
      </c>
    </row>
    <row r="13" spans="1:16" x14ac:dyDescent="0.25">
      <c r="A13" s="3">
        <v>1.0000000000000001E-5</v>
      </c>
      <c r="B13" s="3">
        <v>-1.531E-3</v>
      </c>
      <c r="C13" s="3">
        <v>2.252E-4</v>
      </c>
      <c r="D13" s="3">
        <v>9.1929999999999996E-4</v>
      </c>
      <c r="E13" s="3">
        <v>0</v>
      </c>
      <c r="F13" s="3">
        <v>0</v>
      </c>
      <c r="G13" s="3">
        <v>0</v>
      </c>
      <c r="H13" s="3">
        <v>1.8227251E-4</v>
      </c>
      <c r="I13" s="3">
        <v>2.1992198E-5</v>
      </c>
      <c r="J13" s="3">
        <v>-2.6674148000000001E-4</v>
      </c>
      <c r="L13" s="3">
        <f t="shared" si="0"/>
        <v>1.6653975851191125</v>
      </c>
      <c r="M13" s="3"/>
      <c r="N13" s="2">
        <f>IF('Modell einstellen'!$B$1="Voll",H13/0.35,H13/0.35*2)</f>
        <v>1.0415572000000001E-3</v>
      </c>
      <c r="O13" s="2">
        <f>IF('Modell einstellen'!$B$1="Voll",J13/0.35,J13/0.35*2)</f>
        <v>-1.5242370285714288E-3</v>
      </c>
      <c r="P13" s="3">
        <f t="shared" si="1"/>
        <v>0.68333020421120849</v>
      </c>
    </row>
    <row r="14" spans="1:16" x14ac:dyDescent="0.25">
      <c r="A14" s="3">
        <v>1E-4</v>
      </c>
      <c r="B14" s="3">
        <v>-2.4109999999999999E-3</v>
      </c>
      <c r="C14" s="3">
        <v>2.3059999999999999E-4</v>
      </c>
      <c r="D14" s="3">
        <v>1.787E-3</v>
      </c>
      <c r="E14" s="3">
        <v>0</v>
      </c>
      <c r="F14" s="3">
        <v>0</v>
      </c>
      <c r="G14" s="3">
        <v>0</v>
      </c>
      <c r="H14" s="3">
        <v>2.5196988000000001E-4</v>
      </c>
      <c r="I14" s="3">
        <v>2.2649053000000001E-5</v>
      </c>
      <c r="J14" s="3">
        <v>-3.3810558999999998E-4</v>
      </c>
      <c r="L14" s="3">
        <f t="shared" si="0"/>
        <v>1.3491885842193621</v>
      </c>
      <c r="M14" s="3"/>
      <c r="N14" s="2">
        <f>IF('Modell einstellen'!$B$1="Voll",H14/0.35,H14/0.35*2)</f>
        <v>1.4398278857142858E-3</v>
      </c>
      <c r="O14" s="2">
        <f>IF('Modell einstellen'!$B$1="Voll",J14/0.35,J14/0.35*2)</f>
        <v>-1.9320319428571429E-3</v>
      </c>
      <c r="P14" s="3">
        <f t="shared" si="1"/>
        <v>0.74524020735652441</v>
      </c>
    </row>
    <row r="15" spans="1:16" x14ac:dyDescent="0.25">
      <c r="A15" s="3">
        <v>1E-3</v>
      </c>
      <c r="B15" s="3">
        <v>-3.9090000000000001E-3</v>
      </c>
      <c r="C15" s="3">
        <v>2.3450000000000001E-4</v>
      </c>
      <c r="D15" s="3">
        <v>3.2750000000000001E-3</v>
      </c>
      <c r="E15" s="3">
        <v>0</v>
      </c>
      <c r="F15" s="3">
        <v>0</v>
      </c>
      <c r="G15" s="3">
        <v>0</v>
      </c>
      <c r="H15" s="3">
        <v>3.6729499E-4</v>
      </c>
      <c r="I15" s="3">
        <v>2.3196563999999999E-5</v>
      </c>
      <c r="J15" s="3">
        <v>-4.5447880999999998E-4</v>
      </c>
      <c r="L15" s="3">
        <f t="shared" si="0"/>
        <v>1.1935877862595419</v>
      </c>
      <c r="M15" s="3"/>
      <c r="N15" s="2">
        <f>IF('Modell einstellen'!$B$1="Voll",H15/0.35,H15/0.35*2)</f>
        <v>2.0988285142857143E-3</v>
      </c>
      <c r="O15" s="2">
        <f>IF('Modell einstellen'!$B$1="Voll",J15/0.35,J15/0.35*2)</f>
        <v>-2.5970217714285713E-3</v>
      </c>
      <c r="P15" s="3">
        <f t="shared" si="1"/>
        <v>0.80816746989810162</v>
      </c>
    </row>
    <row r="16" spans="1:16" x14ac:dyDescent="0.25">
      <c r="A16" s="3">
        <v>0.01</v>
      </c>
      <c r="B16" s="3">
        <v>-6.117E-3</v>
      </c>
      <c r="C16" s="3">
        <v>2.374E-4</v>
      </c>
      <c r="D16" s="3">
        <v>5.4770000000000001E-3</v>
      </c>
      <c r="E16" s="3">
        <v>0</v>
      </c>
      <c r="F16" s="3">
        <v>0</v>
      </c>
      <c r="G16" s="3">
        <v>0</v>
      </c>
      <c r="H16" s="3">
        <v>5.3482764000000003E-4</v>
      </c>
      <c r="I16" s="3">
        <v>2.3813631E-5</v>
      </c>
      <c r="J16" s="3">
        <v>-6.2250825999999996E-4</v>
      </c>
      <c r="L16" s="3">
        <f t="shared" si="0"/>
        <v>1.1168522914004018</v>
      </c>
      <c r="M16" s="3"/>
      <c r="N16" s="2">
        <f>IF('Modell einstellen'!$B$1="Voll",H16/0.35,H16/0.35*2)</f>
        <v>3.0561579428571434E-3</v>
      </c>
      <c r="O16" s="2">
        <f>IF('Modell einstellen'!$B$1="Voll",J16/0.35,J16/0.35*2)</f>
        <v>-3.5571900571428573E-3</v>
      </c>
      <c r="P16" s="3">
        <f t="shared" si="1"/>
        <v>0.85914946735003972</v>
      </c>
    </row>
    <row r="17" spans="1:16" x14ac:dyDescent="0.25">
      <c r="A17" s="3">
        <v>0.1</v>
      </c>
      <c r="B17" s="3">
        <v>-8.4670000000000006E-3</v>
      </c>
      <c r="C17" s="3">
        <v>2.4379999999999999E-4</v>
      </c>
      <c r="D17" s="3">
        <v>7.8209999999999998E-3</v>
      </c>
      <c r="E17" s="3">
        <v>0</v>
      </c>
      <c r="F17" s="3">
        <v>0</v>
      </c>
      <c r="G17" s="3">
        <v>0</v>
      </c>
      <c r="H17" s="3">
        <v>7.1617109999999996E-4</v>
      </c>
      <c r="I17" s="3">
        <v>2.6397638E-5</v>
      </c>
      <c r="J17" s="3">
        <v>-8.0748215000000004E-4</v>
      </c>
      <c r="L17" s="3">
        <f t="shared" si="0"/>
        <v>1.0825981332310448</v>
      </c>
      <c r="M17" s="3"/>
      <c r="N17" s="2">
        <f>IF('Modell einstellen'!$B$1="Voll",H17/0.35,H17/0.35*2)</f>
        <v>4.0924062857142854E-3</v>
      </c>
      <c r="O17" s="2">
        <f>IF('Modell einstellen'!$B$1="Voll",J17/0.35,J17/0.35*2)</f>
        <v>-4.6141837142857148E-3</v>
      </c>
      <c r="P17" s="3">
        <f t="shared" si="1"/>
        <v>0.88691880061992689</v>
      </c>
    </row>
    <row r="18" spans="1:16" x14ac:dyDescent="0.25">
      <c r="A18" s="3">
        <v>1</v>
      </c>
      <c r="B18" s="3">
        <v>-1.0120000000000001E-2</v>
      </c>
      <c r="C18" s="3">
        <v>2.6600000000000001E-4</v>
      </c>
      <c r="D18" s="3">
        <v>9.4590000000000004E-3</v>
      </c>
      <c r="E18" s="3">
        <v>0</v>
      </c>
      <c r="F18" s="3">
        <v>0</v>
      </c>
      <c r="G18" s="3">
        <v>0</v>
      </c>
      <c r="H18" s="3">
        <v>8.6830193999999996E-4</v>
      </c>
      <c r="I18" s="3">
        <v>3.999986E-5</v>
      </c>
      <c r="J18" s="3">
        <v>-9.840974499999999E-4</v>
      </c>
      <c r="L18" s="3">
        <f t="shared" si="0"/>
        <v>1.0698805370546569</v>
      </c>
      <c r="M18" s="3"/>
      <c r="N18" s="2">
        <f>IF('Modell einstellen'!$B$1="Voll",H18/0.35,H18/0.35*2)</f>
        <v>4.9617253714285712E-3</v>
      </c>
      <c r="O18" s="2">
        <f>IF('Modell einstellen'!$B$1="Voll",J18/0.35,J18/0.35*2)</f>
        <v>-5.6234140000000002E-3</v>
      </c>
      <c r="P18" s="3">
        <f t="shared" si="1"/>
        <v>0.88233328924894572</v>
      </c>
    </row>
    <row r="19" spans="1:16" x14ac:dyDescent="0.25">
      <c r="A19" s="3">
        <v>10</v>
      </c>
      <c r="B19" s="3">
        <v>-1.0449999999999999E-2</v>
      </c>
      <c r="C19" s="3">
        <v>3.634E-4</v>
      </c>
      <c r="D19" s="3">
        <v>9.6959999999999998E-3</v>
      </c>
      <c r="E19" s="3">
        <v>0</v>
      </c>
      <c r="F19" s="3">
        <v>0</v>
      </c>
      <c r="G19" s="3">
        <v>0</v>
      </c>
      <c r="H19" s="3">
        <v>9.7939724000000003E-4</v>
      </c>
      <c r="I19" s="3">
        <v>8.6248950000000004E-5</v>
      </c>
      <c r="J19" s="3">
        <v>-1.1823451E-3</v>
      </c>
      <c r="L19" s="3">
        <f t="shared" si="0"/>
        <v>1.0777640264026402</v>
      </c>
      <c r="M19" s="3"/>
      <c r="N19" s="2">
        <f>IF('Modell einstellen'!$B$1="Voll",H19/0.35,H19/0.35*2)</f>
        <v>5.5965556571428579E-3</v>
      </c>
      <c r="O19" s="2">
        <f>IF('Modell einstellen'!$B$1="Voll",J19/0.35,J19/0.35*2)</f>
        <v>-6.7562577142857147E-3</v>
      </c>
      <c r="P19" s="3">
        <f t="shared" si="1"/>
        <v>0.82835141787283606</v>
      </c>
    </row>
    <row r="20" spans="1:16" x14ac:dyDescent="0.25">
      <c r="A20" s="3">
        <v>100</v>
      </c>
      <c r="B20" s="3">
        <v>-9.2110000000000004E-3</v>
      </c>
      <c r="C20" s="3">
        <v>7.1869999999999996E-4</v>
      </c>
      <c r="D20" s="3">
        <v>8.1370000000000001E-3</v>
      </c>
      <c r="E20" s="3">
        <v>0</v>
      </c>
      <c r="F20" s="3">
        <v>0</v>
      </c>
      <c r="G20" s="3">
        <v>0</v>
      </c>
      <c r="H20" s="3">
        <v>1.0963253000000001E-3</v>
      </c>
      <c r="I20" s="3">
        <v>2.0975084000000001E-4</v>
      </c>
      <c r="J20" s="3">
        <v>-1.534274E-3</v>
      </c>
      <c r="L20" s="3">
        <f t="shared" si="0"/>
        <v>1.1319896767850559</v>
      </c>
      <c r="M20" s="3"/>
      <c r="N20" s="2">
        <f>IF('Modell einstellen'!$B$1="Voll",H20/0.35,H20/0.35*2)</f>
        <v>6.2647160000000009E-3</v>
      </c>
      <c r="O20" s="2">
        <f>IF('Modell einstellen'!$B$1="Voll",J20/0.35,J20/0.35*2)</f>
        <v>-8.7672800000000006E-3</v>
      </c>
      <c r="P20" s="3">
        <f t="shared" si="1"/>
        <v>0.71455639605442056</v>
      </c>
    </row>
    <row r="21" spans="1:16" x14ac:dyDescent="0.25">
      <c r="A21" s="3">
        <v>1000</v>
      </c>
      <c r="B21" s="3">
        <v>-6.6889999999999996E-3</v>
      </c>
      <c r="C21" s="3">
        <v>1.4920000000000001E-3</v>
      </c>
      <c r="D21" s="3">
        <v>4.8869999999999999E-3</v>
      </c>
      <c r="E21" s="3">
        <v>0</v>
      </c>
      <c r="F21" s="3">
        <v>0</v>
      </c>
      <c r="G21" s="3">
        <v>0</v>
      </c>
      <c r="H21" s="3">
        <v>1.2083096000000001E-3</v>
      </c>
      <c r="I21" s="3">
        <v>4.1216990999999999E-4</v>
      </c>
      <c r="J21" s="3">
        <v>-2.0310861000000001E-3</v>
      </c>
      <c r="L21" s="3">
        <f t="shared" si="0"/>
        <v>1.3687333742582362</v>
      </c>
      <c r="M21" s="3"/>
      <c r="N21" s="2">
        <f>IF('Modell einstellen'!$B$1="Voll",H21/0.35,H21/0.35*2)</f>
        <v>6.9046262857142869E-3</v>
      </c>
      <c r="O21" s="2">
        <f>IF('Modell einstellen'!$B$1="Voll",J21/0.35,J21/0.35*2)</f>
        <v>-1.1606206285714286E-2</v>
      </c>
      <c r="P21" s="3">
        <f t="shared" si="1"/>
        <v>0.59490811344728323</v>
      </c>
    </row>
    <row r="22" spans="1:16" x14ac:dyDescent="0.25">
      <c r="A22" s="3">
        <v>10000</v>
      </c>
      <c r="B22" s="3">
        <v>-4.0289999999999996E-3</v>
      </c>
      <c r="C22" s="3">
        <v>2.5230000000000001E-3</v>
      </c>
      <c r="D22" s="3">
        <v>1.242E-3</v>
      </c>
      <c r="E22" s="3">
        <v>0</v>
      </c>
      <c r="F22" s="3">
        <v>0</v>
      </c>
      <c r="G22" s="3">
        <v>0</v>
      </c>
      <c r="H22" s="3">
        <v>1.287765E-3</v>
      </c>
      <c r="I22" s="3">
        <v>6.2456394E-4</v>
      </c>
      <c r="J22" s="3">
        <v>-2.5127003000000002E-3</v>
      </c>
      <c r="L22" s="3">
        <f t="shared" si="0"/>
        <v>3.2439613526570046</v>
      </c>
      <c r="M22" s="3"/>
      <c r="N22" s="2">
        <f>IF('Modell einstellen'!$B$1="Voll",H22/0.35,H22/0.35*2)</f>
        <v>7.358657142857143E-3</v>
      </c>
      <c r="O22" s="2">
        <f>IF('Modell einstellen'!$B$1="Voll",J22/0.35,J22/0.35*2)</f>
        <v>-1.4358287428571431E-2</v>
      </c>
      <c r="P22" s="3">
        <f t="shared" si="1"/>
        <v>0.51250242617474107</v>
      </c>
    </row>
    <row r="23" spans="1:16" x14ac:dyDescent="0.25">
      <c r="A23" s="3">
        <v>100000</v>
      </c>
      <c r="B23" s="3">
        <v>-2.225E-3</v>
      </c>
      <c r="C23" s="3">
        <v>3.6440000000000001E-3</v>
      </c>
      <c r="D23" s="3">
        <v>-1.6479999999999999E-3</v>
      </c>
      <c r="E23" s="3">
        <v>0</v>
      </c>
      <c r="F23" s="3">
        <v>0</v>
      </c>
      <c r="G23" s="3">
        <v>0</v>
      </c>
      <c r="H23" s="3">
        <v>1.3966364000000001E-3</v>
      </c>
      <c r="I23" s="3">
        <v>8.2631632000000003E-4</v>
      </c>
      <c r="J23" s="3">
        <v>-3.0008460000000002E-3</v>
      </c>
      <c r="L23" s="3">
        <f t="shared" si="0"/>
        <v>-1.350121359223301</v>
      </c>
      <c r="M23" s="3"/>
      <c r="N23" s="2">
        <f>IF('Modell einstellen'!$B$1="Voll",H23/0.35,H23/0.35*2)</f>
        <v>7.9807794285714287E-3</v>
      </c>
      <c r="O23" s="2">
        <f>IF('Modell einstellen'!$B$1="Voll",J23/0.35,J23/0.35*2)</f>
        <v>-1.7147691428571431E-2</v>
      </c>
      <c r="P23" s="3">
        <f t="shared" si="1"/>
        <v>0.46541421985666703</v>
      </c>
    </row>
    <row r="24" spans="1:16" x14ac:dyDescent="0.25">
      <c r="A24" s="3">
        <v>1000000</v>
      </c>
      <c r="B24" s="3">
        <v>-5.9429999999999997E-4</v>
      </c>
      <c r="C24" s="3">
        <v>4.6220000000000002E-3</v>
      </c>
      <c r="D24" s="3">
        <v>-4.2319999999999997E-3</v>
      </c>
      <c r="E24" s="3">
        <v>0</v>
      </c>
      <c r="F24" s="3">
        <v>0</v>
      </c>
      <c r="G24" s="3">
        <v>0</v>
      </c>
      <c r="H24" s="3">
        <v>1.4488960000000001E-3</v>
      </c>
      <c r="I24" s="3">
        <v>9.7982032999999994E-4</v>
      </c>
      <c r="J24" s="3">
        <v>-3.3409365999999999E-3</v>
      </c>
      <c r="L24" s="3">
        <f t="shared" si="0"/>
        <v>-0.14043005671077505</v>
      </c>
      <c r="M24" s="3"/>
      <c r="N24" s="2">
        <f>IF('Modell einstellen'!$B$1="Voll",H24/0.35,H24/0.35*2)</f>
        <v>8.2794057142857157E-3</v>
      </c>
      <c r="O24" s="2">
        <f>IF('Modell einstellen'!$B$1="Voll",J24/0.35,J24/0.35*2)</f>
        <v>-1.9091066285714286E-2</v>
      </c>
      <c r="P24" s="3">
        <f t="shared" si="1"/>
        <v>0.4336795855389774</v>
      </c>
    </row>
    <row r="25" spans="1:16" x14ac:dyDescent="0.25">
      <c r="A25" s="3">
        <v>10000000</v>
      </c>
      <c r="B25" s="3">
        <v>6.0590000000000004E-4</v>
      </c>
      <c r="C25" s="3">
        <v>5.3489999999999996E-3</v>
      </c>
      <c r="D25" s="3">
        <v>-6.1409999999999998E-3</v>
      </c>
      <c r="E25" s="3">
        <v>0</v>
      </c>
      <c r="F25" s="3">
        <v>0</v>
      </c>
      <c r="G25" s="3">
        <v>0</v>
      </c>
      <c r="H25" s="3">
        <v>1.4670028999999999E-3</v>
      </c>
      <c r="I25" s="3">
        <v>1.0784218E-3</v>
      </c>
      <c r="J25" s="3">
        <v>-3.5436636000000001E-3</v>
      </c>
      <c r="L25" s="3">
        <f t="shared" si="0"/>
        <v>9.8664712587526474E-2</v>
      </c>
      <c r="M25" s="3"/>
      <c r="N25" s="2">
        <f>IF('Modell einstellen'!$B$1="Voll",H25/0.35,H25/0.35*2)</f>
        <v>8.3828737142857147E-3</v>
      </c>
      <c r="O25" s="2">
        <f>IF('Modell einstellen'!$B$1="Voll",J25/0.35,J25/0.35*2)</f>
        <v>-2.0249506285714286E-2</v>
      </c>
      <c r="P25" s="3">
        <f t="shared" si="1"/>
        <v>0.41397916551672681</v>
      </c>
    </row>
    <row r="26" spans="1:16" x14ac:dyDescent="0.25">
      <c r="A26" s="3">
        <v>100000000</v>
      </c>
      <c r="B26" s="3">
        <v>1.418E-3</v>
      </c>
      <c r="C26" s="3">
        <v>5.8809999999999999E-3</v>
      </c>
      <c r="D26" s="3">
        <v>-7.4720000000000003E-3</v>
      </c>
      <c r="E26" s="3">
        <v>0</v>
      </c>
      <c r="F26" s="3">
        <v>0</v>
      </c>
      <c r="G26" s="3">
        <v>0</v>
      </c>
      <c r="H26" s="3">
        <v>1.4774314000000001E-3</v>
      </c>
      <c r="I26" s="3">
        <v>1.1423606E-3</v>
      </c>
      <c r="J26" s="3">
        <v>-3.6735983999999998E-3</v>
      </c>
      <c r="L26" s="3">
        <f t="shared" si="0"/>
        <v>0.18977516059957172</v>
      </c>
      <c r="M26" s="3"/>
      <c r="N26" s="2">
        <f>IF('Modell einstellen'!$B$1="Voll",H26/0.35,H26/0.35*2)</f>
        <v>8.4424651428571442E-3</v>
      </c>
      <c r="O26" s="2">
        <f>IF('Modell einstellen'!$B$1="Voll",J26/0.35,J26/0.35*2)</f>
        <v>-2.0991990857142859E-2</v>
      </c>
      <c r="P26" s="3">
        <f t="shared" si="1"/>
        <v>0.40217553448411786</v>
      </c>
    </row>
    <row r="27" spans="1:16" x14ac:dyDescent="0.25">
      <c r="A27" s="3">
        <v>1000000000</v>
      </c>
      <c r="B27" s="3">
        <v>1.9859999999999999E-3</v>
      </c>
      <c r="C27" s="3">
        <v>6.2639999999999996E-3</v>
      </c>
      <c r="D27" s="3">
        <v>-8.4159999999999999E-3</v>
      </c>
      <c r="E27" s="3">
        <v>0</v>
      </c>
      <c r="F27" s="3">
        <v>0</v>
      </c>
      <c r="G27" s="3">
        <v>0</v>
      </c>
      <c r="H27" s="3">
        <v>1.4850436999999999E-3</v>
      </c>
      <c r="I27" s="3">
        <v>1.184287E-3</v>
      </c>
      <c r="J27" s="3">
        <v>-3.7594483E-3</v>
      </c>
      <c r="L27" s="3">
        <f t="shared" si="0"/>
        <v>0.23597908745247148</v>
      </c>
      <c r="M27" s="3"/>
      <c r="N27" s="2">
        <f>IF('Modell einstellen'!$B$1="Voll",H27/0.35,H27/0.35*2)</f>
        <v>8.4859640000000004E-3</v>
      </c>
      <c r="O27" s="2">
        <f>IF('Modell einstellen'!$B$1="Voll",J27/0.35,J27/0.35*2)</f>
        <v>-2.1482561714285715E-2</v>
      </c>
      <c r="P27" s="3">
        <f t="shared" si="1"/>
        <v>0.39501639110185399</v>
      </c>
    </row>
    <row r="28" spans="1:16" x14ac:dyDescent="0.25">
      <c r="A28" s="3">
        <v>10000000000</v>
      </c>
      <c r="B28" s="3">
        <v>2.1159999999999998E-3</v>
      </c>
      <c r="C28" s="3">
        <v>6.3540000000000003E-3</v>
      </c>
      <c r="D28" s="3">
        <v>-8.633E-3</v>
      </c>
      <c r="E28" s="3">
        <v>0</v>
      </c>
      <c r="F28" s="3">
        <v>0</v>
      </c>
      <c r="G28" s="3">
        <v>0</v>
      </c>
      <c r="H28" s="3">
        <v>1.4872793999999999E-3</v>
      </c>
      <c r="I28" s="3">
        <v>1.1940289000000001E-3</v>
      </c>
      <c r="J28" s="3">
        <v>-3.7798259E-3</v>
      </c>
      <c r="L28" s="3">
        <f t="shared" si="0"/>
        <v>0.24510598864821034</v>
      </c>
      <c r="M28" s="3"/>
      <c r="N28" s="2">
        <f>IF('Modell einstellen'!$B$1="Voll",H28/0.35,H28/0.35*2)</f>
        <v>8.4987394285714283E-3</v>
      </c>
      <c r="O28" s="2">
        <f>IF('Modell einstellen'!$B$1="Voll",J28/0.35,J28/0.35*2)</f>
        <v>-2.1599005142857144E-2</v>
      </c>
      <c r="P28" s="3">
        <f t="shared" si="1"/>
        <v>0.39347828163196613</v>
      </c>
    </row>
    <row r="29" spans="1:16" x14ac:dyDescent="0.25">
      <c r="A29" s="3">
        <v>100000000000</v>
      </c>
      <c r="B29" s="3">
        <v>2.2790000000000002E-3</v>
      </c>
      <c r="C29" s="3">
        <v>6.4679999999999998E-3</v>
      </c>
      <c r="D29" s="3">
        <v>-8.9090000000000003E-3</v>
      </c>
      <c r="E29" s="3">
        <v>0</v>
      </c>
      <c r="F29" s="3">
        <v>0</v>
      </c>
      <c r="G29" s="3">
        <v>0</v>
      </c>
      <c r="H29" s="3">
        <v>1.4899183999999999E-3</v>
      </c>
      <c r="I29" s="3">
        <v>1.2060299E-3</v>
      </c>
      <c r="J29" s="3">
        <v>-3.8048327E-3</v>
      </c>
      <c r="L29" s="3">
        <f t="shared" si="0"/>
        <v>0.25580873274217086</v>
      </c>
      <c r="M29" s="3"/>
      <c r="N29" s="2">
        <f>IF('Modell einstellen'!$B$1="Voll",H29/0.35,H29/0.35*2)</f>
        <v>8.5138194285714289E-3</v>
      </c>
      <c r="O29" s="2">
        <f>IF('Modell einstellen'!$B$1="Voll",J29/0.35,J29/0.35*2)</f>
        <v>-2.1741901142857144E-2</v>
      </c>
      <c r="P29" s="3">
        <f t="shared" si="1"/>
        <v>0.39158578509903996</v>
      </c>
    </row>
    <row r="30" spans="1:16" x14ac:dyDescent="0.25">
      <c r="A30" s="3">
        <v>1000000000000</v>
      </c>
      <c r="B30" s="3">
        <v>2.826E-3</v>
      </c>
      <c r="C30" s="3">
        <v>6.8079999999999998E-3</v>
      </c>
      <c r="D30" s="3">
        <v>-9.7890000000000008E-3</v>
      </c>
      <c r="E30" s="3">
        <v>0</v>
      </c>
      <c r="F30" s="3">
        <v>0</v>
      </c>
      <c r="G30" s="3">
        <v>0</v>
      </c>
      <c r="H30" s="3">
        <v>1.4978439000000001E-3</v>
      </c>
      <c r="I30" s="3">
        <v>1.237358E-3</v>
      </c>
      <c r="J30" s="3">
        <v>-3.8710681000000001E-3</v>
      </c>
      <c r="L30" s="3">
        <f t="shared" si="0"/>
        <v>0.28869138829298191</v>
      </c>
      <c r="M30" s="3"/>
      <c r="N30" s="2">
        <f>IF('Modell einstellen'!$B$1="Voll",H30/0.35,H30/0.35*2)</f>
        <v>8.559108000000001E-3</v>
      </c>
      <c r="O30" s="2">
        <f>IF('Modell einstellen'!$B$1="Voll",J30/0.35,J30/0.35*2)</f>
        <v>-2.2120389142857143E-2</v>
      </c>
      <c r="P30" s="3">
        <f t="shared" si="1"/>
        <v>0.38693297594015463</v>
      </c>
    </row>
    <row r="31" spans="1:16" x14ac:dyDescent="0.25">
      <c r="A31" s="3">
        <v>10000000000000</v>
      </c>
      <c r="B31" s="3">
        <v>2.8300000000000001E-3</v>
      </c>
      <c r="C31" s="3">
        <v>6.8129999999999996E-3</v>
      </c>
      <c r="D31" s="3">
        <v>-9.7990000000000004E-3</v>
      </c>
      <c r="E31" s="3">
        <v>0</v>
      </c>
      <c r="F31" s="3">
        <v>0</v>
      </c>
      <c r="G31" s="3">
        <v>0</v>
      </c>
      <c r="H31" s="3">
        <v>1.4983258000000001E-3</v>
      </c>
      <c r="I31" s="3">
        <v>1.2379768000000001E-3</v>
      </c>
      <c r="J31" s="3">
        <v>-3.8726876999999999E-3</v>
      </c>
      <c r="L31" s="3">
        <f t="shared" si="0"/>
        <v>0.28880498010001021</v>
      </c>
      <c r="M31" s="3"/>
      <c r="N31" s="2">
        <f>IF('Modell einstellen'!$B$1="Voll",H31/0.35,H31/0.35*2)</f>
        <v>8.5618617142857144E-3</v>
      </c>
      <c r="O31" s="2">
        <f>IF('Modell einstellen'!$B$1="Voll",J31/0.35,J31/0.35*2)</f>
        <v>-2.2129644E-2</v>
      </c>
      <c r="P31" s="3">
        <f t="shared" si="1"/>
        <v>0.38689559191669393</v>
      </c>
    </row>
    <row r="32" spans="1:16" x14ac:dyDescent="0.25">
      <c r="A32" s="3">
        <v>100000000000000</v>
      </c>
      <c r="B32" s="3">
        <v>3.1059999999999998E-3</v>
      </c>
      <c r="C32" s="3">
        <v>6.973E-3</v>
      </c>
      <c r="D32" s="3">
        <v>-1.023E-2</v>
      </c>
      <c r="E32" s="3">
        <v>0</v>
      </c>
      <c r="F32" s="3">
        <v>0</v>
      </c>
      <c r="G32" s="3">
        <v>0</v>
      </c>
      <c r="H32" s="3">
        <v>1.5017183000000001E-3</v>
      </c>
      <c r="I32" s="3">
        <v>1.2518473E-3</v>
      </c>
      <c r="J32" s="3">
        <v>-3.9018899999999999E-3</v>
      </c>
      <c r="L32" s="3">
        <f t="shared" si="0"/>
        <v>0.30361681329423262</v>
      </c>
      <c r="M32" s="3"/>
      <c r="N32" s="2">
        <f>IF('Modell einstellen'!$B$1="Voll",H32/0.35,H32/0.35*2)</f>
        <v>8.5812474285714303E-3</v>
      </c>
      <c r="O32" s="2">
        <f>IF('Modell einstellen'!$B$1="Voll",J32/0.35,J32/0.35*2)</f>
        <v>-2.2296514285714285E-2</v>
      </c>
      <c r="P32" s="3">
        <f t="shared" si="1"/>
        <v>0.38486946069725192</v>
      </c>
    </row>
    <row r="33" spans="1:16" x14ac:dyDescent="0.25">
      <c r="A33" s="3">
        <v>1000000000000000</v>
      </c>
      <c r="B33" s="3">
        <v>3.2130000000000001E-3</v>
      </c>
      <c r="C33" s="3">
        <v>7.0590000000000002E-3</v>
      </c>
      <c r="D33" s="3">
        <v>-1.042E-2</v>
      </c>
      <c r="E33" s="3">
        <v>0</v>
      </c>
      <c r="F33" s="3">
        <v>0</v>
      </c>
      <c r="G33" s="3">
        <v>0</v>
      </c>
      <c r="H33" s="3">
        <v>1.5019628E-3</v>
      </c>
      <c r="I33" s="3">
        <v>1.258129E-3</v>
      </c>
      <c r="J33" s="3">
        <v>-3.9138471999999999E-3</v>
      </c>
      <c r="L33" s="3">
        <f t="shared" si="0"/>
        <v>0.30834932821497119</v>
      </c>
      <c r="M33" s="3"/>
      <c r="N33" s="2">
        <f>IF('Modell einstellen'!$B$1="Voll",H33/0.35,H33/0.35*2)</f>
        <v>8.5826445714285715E-3</v>
      </c>
      <c r="O33" s="2">
        <f>IF('Modell einstellen'!$B$1="Voll",J33/0.35,J33/0.35*2)</f>
        <v>-2.2364841142857143E-2</v>
      </c>
      <c r="P33" s="3">
        <f t="shared" si="1"/>
        <v>0.38375611597713882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2022-01-12T10:26:06Z</dcterms:modified>
</cp:coreProperties>
</file>