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1"/>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bestimmen'!$E$126:$H$126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M3" i="8" l="1"/>
  <c r="L1" i="37" l="1"/>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N122" i="43" l="1"/>
  <c r="O33" i="11"/>
  <c r="N33" i="11"/>
  <c r="P33" i="11" s="1"/>
  <c r="O32" i="11"/>
  <c r="N32" i="11"/>
  <c r="O31" i="11"/>
  <c r="N31" i="11"/>
  <c r="O30" i="11"/>
  <c r="N30" i="11"/>
  <c r="P30" i="11" s="1"/>
  <c r="O29" i="11"/>
  <c r="N29" i="11"/>
  <c r="P29" i="11" s="1"/>
  <c r="O28" i="11"/>
  <c r="N28" i="11"/>
  <c r="O27" i="11"/>
  <c r="N27" i="11"/>
  <c r="P27" i="11" s="1"/>
  <c r="O26" i="11"/>
  <c r="N26" i="11"/>
  <c r="O25" i="11"/>
  <c r="N25" i="11"/>
  <c r="O24" i="11"/>
  <c r="N24" i="11"/>
  <c r="O23" i="11"/>
  <c r="N23" i="11"/>
  <c r="O22" i="11"/>
  <c r="N22" i="11"/>
  <c r="P22" i="11" s="1"/>
  <c r="O21" i="11"/>
  <c r="N21" i="11"/>
  <c r="O20" i="11"/>
  <c r="N20" i="11"/>
  <c r="O19" i="11"/>
  <c r="N19" i="11"/>
  <c r="P19" i="11" s="1"/>
  <c r="O18" i="11"/>
  <c r="N18" i="11"/>
  <c r="O17" i="11"/>
  <c r="N17" i="11"/>
  <c r="O16" i="11"/>
  <c r="N16" i="11"/>
  <c r="O15" i="11"/>
  <c r="N15" i="11"/>
  <c r="P15" i="11" s="1"/>
  <c r="O14" i="11"/>
  <c r="N14" i="11"/>
  <c r="O13" i="11"/>
  <c r="N13" i="11"/>
  <c r="O12" i="11"/>
  <c r="N12" i="11"/>
  <c r="O11" i="11"/>
  <c r="N11" i="11"/>
  <c r="O10" i="11"/>
  <c r="N10" i="11"/>
  <c r="P10" i="11" s="1"/>
  <c r="O9" i="11"/>
  <c r="N9" i="11"/>
  <c r="P9" i="11" s="1"/>
  <c r="O8" i="11"/>
  <c r="N8" i="11"/>
  <c r="O7" i="11"/>
  <c r="N7" i="11"/>
  <c r="P7" i="11" s="1"/>
  <c r="O6" i="11"/>
  <c r="N6" i="11"/>
  <c r="P6" i="11" s="1"/>
  <c r="O5" i="11"/>
  <c r="N5" i="11"/>
  <c r="O4" i="11"/>
  <c r="N4" i="11"/>
  <c r="O3" i="11"/>
  <c r="N3" i="11"/>
  <c r="P3" i="11" s="1"/>
  <c r="P18" i="11" l="1"/>
  <c r="P21" i="11"/>
  <c r="P13" i="11"/>
  <c r="P5" i="11"/>
  <c r="P11" i="11"/>
  <c r="P14" i="11"/>
  <c r="P25" i="11"/>
  <c r="P31" i="11"/>
  <c r="P17" i="11"/>
  <c r="P23" i="11"/>
  <c r="P26" i="11"/>
  <c r="P4" i="11"/>
  <c r="P16" i="11"/>
  <c r="P28" i="11"/>
  <c r="P12" i="11"/>
  <c r="P24"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R6" i="37"/>
  <c r="R7" i="37"/>
  <c r="R8" i="37"/>
  <c r="R9" i="37"/>
  <c r="R10" i="37"/>
  <c r="R11" i="37"/>
  <c r="P8" i="37" s="1"/>
  <c r="B32" i="39" s="1"/>
  <c r="R12" i="37"/>
  <c r="R13" i="37"/>
  <c r="R14" i="37"/>
  <c r="R3" i="37"/>
  <c r="L4" i="37"/>
  <c r="L5" i="37"/>
  <c r="L6" i="37"/>
  <c r="L7" i="37"/>
  <c r="L8" i="37"/>
  <c r="L9" i="37"/>
  <c r="L10" i="37"/>
  <c r="L11" i="37"/>
  <c r="L12" i="37"/>
  <c r="L13" i="37"/>
  <c r="L14" i="37"/>
  <c r="L3" i="37"/>
  <c r="P5" i="37" l="1"/>
  <c r="B30" i="39" s="1"/>
  <c r="P7" i="37"/>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G403" i="43"/>
  <c r="H403" i="43"/>
  <c r="C403" i="43"/>
  <c r="B403" i="43"/>
  <c r="D403" i="43"/>
  <c r="E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D406" i="43" l="1"/>
  <c r="D417" i="43"/>
  <c r="D419" i="43"/>
  <c r="D426" i="43"/>
  <c r="D430" i="43"/>
  <c r="D404" i="43"/>
  <c r="D411" i="43"/>
  <c r="D416" i="43"/>
  <c r="D423" i="43"/>
  <c r="D428" i="43"/>
  <c r="D434" i="43"/>
  <c r="D409" i="43"/>
  <c r="D421" i="43"/>
  <c r="D407" i="43"/>
  <c r="D414" i="43"/>
  <c r="D418" i="43"/>
  <c r="D425" i="43"/>
  <c r="D427" i="43"/>
  <c r="D429" i="43"/>
  <c r="D432" i="43"/>
  <c r="D433" i="43"/>
  <c r="D410" i="43"/>
  <c r="D412" i="43"/>
  <c r="D420" i="43"/>
  <c r="D422" i="43"/>
  <c r="D431" i="43"/>
  <c r="D405" i="43"/>
  <c r="D408" i="43"/>
  <c r="D413" i="43"/>
  <c r="D415" i="43"/>
  <c r="D424" i="43"/>
  <c r="B405" i="43"/>
  <c r="B424" i="43"/>
  <c r="B425" i="43"/>
  <c r="B413" i="43"/>
  <c r="B414" i="43"/>
  <c r="B408" i="43"/>
  <c r="B428" i="43"/>
  <c r="B430" i="43"/>
  <c r="B419" i="43"/>
  <c r="B415" i="43"/>
  <c r="B417" i="43"/>
  <c r="B409" i="43"/>
  <c r="B406" i="43"/>
  <c r="B429" i="43"/>
  <c r="B411" i="43"/>
  <c r="B416" i="43"/>
  <c r="B432" i="43"/>
  <c r="B404" i="43"/>
  <c r="B410" i="43"/>
  <c r="B407" i="43"/>
  <c r="B431" i="43"/>
  <c r="B427" i="43"/>
  <c r="B420" i="43"/>
  <c r="B434" i="43"/>
  <c r="B423" i="43"/>
  <c r="B418" i="43"/>
  <c r="B433" i="43"/>
  <c r="B426" i="43"/>
  <c r="B421" i="43"/>
  <c r="B422" i="43"/>
  <c r="B412" i="43"/>
  <c r="C406" i="43"/>
  <c r="C423" i="43"/>
  <c r="C428" i="43"/>
  <c r="C404" i="43"/>
  <c r="C425" i="43"/>
  <c r="C427" i="43"/>
  <c r="C432" i="43"/>
  <c r="C409" i="43"/>
  <c r="C421" i="43"/>
  <c r="C434" i="43"/>
  <c r="C407" i="43"/>
  <c r="C414" i="43"/>
  <c r="C418" i="43"/>
  <c r="C429" i="43"/>
  <c r="C410" i="43"/>
  <c r="C412" i="43"/>
  <c r="C420" i="43"/>
  <c r="C422" i="43"/>
  <c r="C431" i="43"/>
  <c r="C405" i="43"/>
  <c r="C408" i="43"/>
  <c r="C415" i="43"/>
  <c r="C424" i="43"/>
  <c r="C433" i="43"/>
  <c r="C426" i="43"/>
  <c r="C417" i="43"/>
  <c r="C419" i="43"/>
  <c r="C430" i="43"/>
  <c r="C413" i="43"/>
  <c r="C411" i="43"/>
  <c r="C416" i="43"/>
  <c r="H434" i="43"/>
  <c r="H418" i="43"/>
  <c r="H415" i="43"/>
  <c r="H410" i="43"/>
  <c r="H424" i="43"/>
  <c r="H405" i="43"/>
  <c r="H413" i="43"/>
  <c r="H427" i="43"/>
  <c r="H422" i="43"/>
  <c r="H421" i="43"/>
  <c r="H412" i="43"/>
  <c r="H407" i="43"/>
  <c r="H417" i="43"/>
  <c r="H414" i="43"/>
  <c r="H430" i="43"/>
  <c r="H423" i="43"/>
  <c r="H416" i="43"/>
  <c r="H404" i="43"/>
  <c r="H409" i="43"/>
  <c r="H433" i="43"/>
  <c r="H428" i="43"/>
  <c r="H426" i="43"/>
  <c r="H408" i="43"/>
  <c r="H420" i="43"/>
  <c r="H432" i="43"/>
  <c r="H425" i="43"/>
  <c r="H419" i="43"/>
  <c r="H431" i="43"/>
  <c r="H411" i="43"/>
  <c r="H429" i="43"/>
  <c r="H406" i="43"/>
  <c r="G410" i="43"/>
  <c r="G413" i="43"/>
  <c r="G431" i="43"/>
  <c r="G416" i="43"/>
  <c r="G434" i="43"/>
  <c r="G428" i="43"/>
  <c r="G429" i="43"/>
  <c r="G411" i="43"/>
  <c r="G427" i="43"/>
  <c r="G409" i="43"/>
  <c r="G405" i="43"/>
  <c r="G433" i="43"/>
  <c r="G422" i="43"/>
  <c r="G426" i="43"/>
  <c r="G408" i="43"/>
  <c r="G424" i="43"/>
  <c r="G406" i="43"/>
  <c r="G419" i="43"/>
  <c r="G423" i="43"/>
  <c r="G421" i="43"/>
  <c r="G415" i="43"/>
  <c r="G407" i="43"/>
  <c r="G420" i="43"/>
  <c r="G404" i="43"/>
  <c r="G418" i="43"/>
  <c r="G417" i="43"/>
  <c r="G425" i="43"/>
  <c r="G432" i="43"/>
  <c r="G414" i="43"/>
  <c r="G430" i="43"/>
  <c r="G412" i="43"/>
  <c r="E405" i="43"/>
  <c r="E408" i="43"/>
  <c r="E413" i="43"/>
  <c r="E415" i="43"/>
  <c r="E424" i="43"/>
  <c r="E433" i="43"/>
  <c r="E423" i="43"/>
  <c r="E404" i="43"/>
  <c r="E406" i="43"/>
  <c r="E417" i="43"/>
  <c r="E419" i="43"/>
  <c r="E426" i="43"/>
  <c r="E430" i="43"/>
  <c r="E411" i="43"/>
  <c r="E416" i="43"/>
  <c r="E434" i="43"/>
  <c r="E422" i="43"/>
  <c r="E418" i="43"/>
  <c r="E425" i="43"/>
  <c r="E427" i="43"/>
  <c r="E429" i="43"/>
  <c r="E431" i="43"/>
  <c r="E410" i="43"/>
  <c r="E420" i="43"/>
  <c r="E421" i="43"/>
  <c r="E409" i="43"/>
  <c r="E432" i="43"/>
  <c r="E412" i="43"/>
  <c r="E407" i="43"/>
  <c r="E428" i="43"/>
  <c r="E414" i="43"/>
  <c r="F415" i="43"/>
  <c r="F410" i="43"/>
  <c r="F420" i="43"/>
  <c r="F431" i="43"/>
  <c r="F424" i="43"/>
  <c r="F430" i="43"/>
  <c r="F419" i="43"/>
  <c r="F416" i="43"/>
  <c r="F423" i="43"/>
  <c r="F404" i="43"/>
  <c r="F434" i="43"/>
  <c r="F427" i="43"/>
  <c r="F421" i="43"/>
  <c r="F425" i="43"/>
  <c r="F426" i="43"/>
  <c r="F412" i="43"/>
  <c r="F407" i="43"/>
  <c r="F417" i="43"/>
  <c r="F414" i="43"/>
  <c r="F422" i="43"/>
  <c r="F411" i="43"/>
  <c r="F405" i="43"/>
  <c r="F432" i="43"/>
  <c r="F418" i="43"/>
  <c r="F409" i="43"/>
  <c r="F428" i="43"/>
  <c r="F429" i="43"/>
  <c r="F406" i="43"/>
  <c r="F408" i="43"/>
  <c r="F433" i="43"/>
  <c r="F413"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N32" i="8"/>
  <c r="A100" i="39" l="1"/>
  <c r="D99" i="39"/>
  <c r="A101" i="39" l="1"/>
  <c r="D100" i="39"/>
  <c r="P17" i="2"/>
  <c r="AA17" i="8" s="1"/>
  <c r="P30" i="2"/>
  <c r="AA30" i="8" s="1"/>
  <c r="P24" i="2"/>
  <c r="AA24" i="8" s="1"/>
  <c r="P18" i="2"/>
  <c r="AA18" i="8" s="1"/>
  <c r="P12" i="2"/>
  <c r="AA12" i="8" s="1"/>
  <c r="P6" i="2"/>
  <c r="AA6" i="8" s="1"/>
  <c r="P23" i="2"/>
  <c r="AA23" i="8" s="1"/>
  <c r="P5" i="2"/>
  <c r="AA5" i="8" s="1"/>
  <c r="P28" i="2"/>
  <c r="AA28" i="8" s="1"/>
  <c r="P22" i="2"/>
  <c r="AA22" i="8" s="1"/>
  <c r="P16" i="2"/>
  <c r="AA16" i="8" s="1"/>
  <c r="P10" i="2"/>
  <c r="AA10" i="8" s="1"/>
  <c r="P4" i="2"/>
  <c r="AA4" i="8" s="1"/>
  <c r="P29" i="2"/>
  <c r="AA29" i="8" s="1"/>
  <c r="P3" i="2"/>
  <c r="AA3" i="8" s="1"/>
  <c r="P27" i="2"/>
  <c r="AA27" i="8" s="1"/>
  <c r="P21" i="2"/>
  <c r="AA21" i="8" s="1"/>
  <c r="P15" i="2"/>
  <c r="AA15" i="8" s="1"/>
  <c r="P9" i="2"/>
  <c r="AA9" i="8" s="1"/>
  <c r="P33" i="2"/>
  <c r="AA33" i="8" s="1"/>
  <c r="P11" i="2"/>
  <c r="AA11" i="8" s="1"/>
  <c r="P32" i="2"/>
  <c r="AA32" i="8" s="1"/>
  <c r="P20" i="2"/>
  <c r="AA20" i="8" s="1"/>
  <c r="P14" i="2"/>
  <c r="AA14" i="8" s="1"/>
  <c r="P8" i="2"/>
  <c r="AA8" i="8" s="1"/>
  <c r="P26" i="2"/>
  <c r="AA26" i="8" s="1"/>
  <c r="P31" i="2"/>
  <c r="AA31" i="8" s="1"/>
  <c r="P25" i="2"/>
  <c r="AA25" i="8" s="1"/>
  <c r="P19" i="2"/>
  <c r="AA19" i="8" s="1"/>
  <c r="P13" i="2"/>
  <c r="AA13" i="8" s="1"/>
  <c r="P7" i="2"/>
  <c r="AA7" i="8" s="1"/>
  <c r="A102" i="39" l="1"/>
  <c r="D101" i="39"/>
  <c r="A103" i="39" l="1"/>
  <c r="D102" i="39"/>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E287" i="43"/>
  <c r="X209" i="43"/>
  <c r="AB365" i="43"/>
  <c r="U248" i="43"/>
  <c r="C287" i="43"/>
  <c r="D287" i="43"/>
  <c r="AA287" i="43"/>
  <c r="L131" i="43"/>
  <c r="X170" i="43"/>
  <c r="S131" i="43"/>
  <c r="L248" i="43"/>
  <c r="Q287" i="43"/>
  <c r="F326" i="43"/>
  <c r="AF365" i="43"/>
  <c r="B131" i="43"/>
  <c r="R131" i="43"/>
  <c r="AA131" i="43"/>
  <c r="O365" i="43"/>
  <c r="F287" i="43"/>
  <c r="L287" i="43"/>
  <c r="Y131" i="43"/>
  <c r="AF131" i="43"/>
  <c r="T326" i="43"/>
  <c r="AC287" i="43"/>
  <c r="K17" i="43"/>
  <c r="T248" i="43"/>
  <c r="W209" i="43"/>
  <c r="I131" i="43"/>
  <c r="R17" i="43"/>
  <c r="C248" i="43"/>
  <c r="AC17" i="43"/>
  <c r="K365" i="43"/>
  <c r="B287" i="43"/>
  <c r="Z131" i="43"/>
  <c r="X17" i="43"/>
  <c r="M365" i="43"/>
  <c r="D248" i="43"/>
  <c r="H131" i="43"/>
  <c r="V365" i="43"/>
  <c r="N131" i="43"/>
  <c r="AD170" i="43"/>
  <c r="T131" i="43"/>
  <c r="P209" i="43"/>
  <c r="AD209" i="43"/>
  <c r="I326" i="43"/>
  <c r="F209" i="43"/>
  <c r="E209" i="43"/>
  <c r="V170" i="43"/>
  <c r="AF17" i="43"/>
  <c r="L170" i="43"/>
  <c r="AB209" i="43"/>
  <c r="Z209" i="43"/>
  <c r="G209" i="43"/>
  <c r="E131" i="43"/>
  <c r="AF209" i="43"/>
  <c r="P326" i="43"/>
  <c r="G131" i="43"/>
  <c r="I287" i="43"/>
  <c r="S209" i="43"/>
  <c r="S326" i="43"/>
  <c r="M17" i="43"/>
  <c r="R365" i="43"/>
  <c r="G365" i="43"/>
  <c r="B365" i="43"/>
  <c r="I365" i="43"/>
  <c r="Q209" i="43"/>
  <c r="X287" i="43"/>
  <c r="C326" i="43"/>
  <c r="N170" i="43"/>
  <c r="T170" i="43"/>
  <c r="Y365" i="43"/>
  <c r="H209" i="43"/>
  <c r="AF326" i="43"/>
  <c r="AE17" i="43"/>
  <c r="Z365" i="43"/>
  <c r="L17" i="43"/>
  <c r="AD248" i="43"/>
  <c r="AD365" i="43"/>
  <c r="R326" i="43"/>
  <c r="B248" i="43"/>
  <c r="AA248" i="43"/>
  <c r="I170" i="43"/>
  <c r="Q17" i="43"/>
  <c r="H17" i="43"/>
  <c r="M209" i="43"/>
  <c r="H287" i="43"/>
  <c r="K326" i="43"/>
  <c r="AF170" i="43"/>
  <c r="AH17" i="43"/>
  <c r="C131" i="43"/>
  <c r="C209" i="43"/>
  <c r="AB170" i="43"/>
  <c r="U287" i="43"/>
  <c r="O209" i="43"/>
  <c r="F17" i="43"/>
  <c r="AD17" i="43"/>
  <c r="L326" i="43"/>
  <c r="O326" i="43"/>
  <c r="P248" i="43"/>
  <c r="H326" i="43"/>
  <c r="J17" i="43"/>
  <c r="M248" i="43"/>
  <c r="W17" i="43"/>
  <c r="T287" i="43"/>
  <c r="V326" i="43"/>
  <c r="Q248" i="43"/>
  <c r="AG17" i="43"/>
  <c r="L209" i="43"/>
  <c r="AA326" i="43"/>
  <c r="K131" i="43"/>
  <c r="Y248" i="43"/>
  <c r="V17" i="43"/>
  <c r="P287" i="43"/>
  <c r="X131" i="43"/>
  <c r="W365" i="43"/>
  <c r="AB326" i="43"/>
  <c r="C170" i="43"/>
  <c r="E248" i="43"/>
  <c r="F248" i="43"/>
  <c r="T17" i="43"/>
  <c r="U170" i="43"/>
  <c r="AA17" i="43"/>
  <c r="I209" i="43"/>
  <c r="P170" i="43"/>
  <c r="M131" i="43"/>
  <c r="W326" i="43"/>
  <c r="R170" i="43"/>
  <c r="AC209" i="43"/>
  <c r="AC131" i="43"/>
  <c r="R209" i="43"/>
  <c r="X365" i="43"/>
  <c r="F365" i="43"/>
  <c r="AI17" i="43"/>
  <c r="O17" i="43"/>
  <c r="Z248" i="43"/>
  <c r="Y326" i="43"/>
  <c r="Q365" i="43"/>
  <c r="J365" i="43"/>
  <c r="D209" i="43"/>
  <c r="W248" i="43"/>
  <c r="U365" i="43"/>
  <c r="P365" i="43"/>
  <c r="P17" i="43"/>
  <c r="T365" i="43"/>
  <c r="R248" i="43"/>
  <c r="Y17" i="43"/>
  <c r="L365" i="43"/>
  <c r="H248" i="43"/>
  <c r="S365" i="43"/>
  <c r="E287" i="43"/>
  <c r="D326" i="43"/>
  <c r="J170" i="43"/>
  <c r="D365" i="43"/>
  <c r="U131" i="43"/>
  <c r="AD326" i="43"/>
  <c r="AA209" i="43"/>
  <c r="I248" i="43"/>
  <c r="Y170" i="43"/>
  <c r="AE365" i="43"/>
  <c r="E365" i="43"/>
  <c r="AA365" i="43"/>
  <c r="G287" i="43"/>
  <c r="Z287" i="43"/>
  <c r="Q170" i="43"/>
  <c r="M170" i="43"/>
  <c r="U17" i="43"/>
  <c r="V248" i="43"/>
  <c r="V209" i="43"/>
  <c r="X326" i="43"/>
  <c r="AB131" i="43"/>
  <c r="AC170" i="43"/>
  <c r="H365" i="43"/>
  <c r="AE326" i="43"/>
  <c r="Y209" i="43"/>
  <c r="AC365" i="43"/>
  <c r="O287" i="43"/>
  <c r="N326" i="43"/>
  <c r="H170" i="43"/>
  <c r="AE131" i="43"/>
  <c r="Y287" i="43"/>
  <c r="AB287" i="43"/>
  <c r="AJ17" i="43"/>
  <c r="E326" i="43"/>
  <c r="O248" i="43"/>
  <c r="K287" i="43"/>
  <c r="J131" i="43"/>
  <c r="K209" i="43"/>
  <c r="N287" i="43"/>
  <c r="J326" i="43"/>
  <c r="P131" i="43"/>
  <c r="C365" i="43"/>
  <c r="D170" i="43"/>
  <c r="G17" i="43"/>
  <c r="AC326" i="43"/>
  <c r="J248" i="43"/>
  <c r="K170" i="43"/>
  <c r="Z17" i="43"/>
  <c r="G326" i="43"/>
  <c r="U326" i="43"/>
  <c r="AF287" i="43"/>
  <c r="AE248" i="43"/>
  <c r="AE209" i="43"/>
  <c r="G170" i="43"/>
  <c r="B209" i="43"/>
  <c r="K248" i="43"/>
  <c r="Q131" i="43"/>
  <c r="V131" i="43"/>
  <c r="B326" i="43"/>
  <c r="AC248" i="43"/>
  <c r="V287" i="43"/>
  <c r="F170" i="43"/>
  <c r="Z170" i="43"/>
  <c r="T209" i="43"/>
  <c r="AF248" i="43"/>
  <c r="N209" i="43"/>
  <c r="B170" i="43"/>
  <c r="J209" i="43"/>
  <c r="M326" i="43"/>
  <c r="Z326" i="43"/>
  <c r="X248" i="43"/>
  <c r="O131" i="43"/>
  <c r="N17" i="43"/>
  <c r="S170" i="43"/>
  <c r="R287" i="43"/>
  <c r="AE170" i="43"/>
  <c r="O170" i="43"/>
  <c r="AA170" i="43"/>
  <c r="W287" i="43"/>
  <c r="N365" i="43"/>
  <c r="AD287" i="43"/>
  <c r="D131" i="43"/>
  <c r="S17" i="43"/>
  <c r="AB17" i="43"/>
  <c r="F131" i="43"/>
  <c r="AB248" i="43"/>
  <c r="N248" i="43"/>
  <c r="W131" i="43"/>
  <c r="S248" i="43"/>
  <c r="J287" i="43"/>
  <c r="M287" i="43"/>
  <c r="E170" i="43"/>
  <c r="S287" i="43"/>
  <c r="Q326" i="43"/>
  <c r="I17" i="43"/>
  <c r="G248" i="43"/>
  <c r="W170" i="43"/>
  <c r="U209" i="43"/>
  <c r="S11" i="8" l="1"/>
  <c r="AQ11" i="8" s="1"/>
  <c r="P10" i="8"/>
  <c r="AZ10" i="8" s="1"/>
  <c r="O20" i="8"/>
  <c r="AY20" i="8" s="1"/>
  <c r="U23" i="8"/>
  <c r="AS23" i="8" s="1"/>
  <c r="P424" i="43" s="1"/>
  <c r="Q20" i="8"/>
  <c r="BA20" i="8" s="1"/>
  <c r="O18" i="8"/>
  <c r="T28" i="8"/>
  <c r="AR28" i="8" s="1"/>
  <c r="O429" i="43" s="1"/>
  <c r="U27" i="8"/>
  <c r="BE27" i="8" s="1"/>
  <c r="AS27" i="8"/>
  <c r="Q7" i="8"/>
  <c r="BA7" i="8" s="1"/>
  <c r="T27" i="8"/>
  <c r="AR27" i="8" s="1"/>
  <c r="O428" i="43" s="1"/>
  <c r="T33" i="8"/>
  <c r="AR33" i="8" s="1"/>
  <c r="O434" i="43" s="1"/>
  <c r="T6" i="8"/>
  <c r="AR6" i="8" s="1"/>
  <c r="U13" i="8"/>
  <c r="Q8" i="8"/>
  <c r="BA8" i="8" s="1"/>
  <c r="T26" i="8"/>
  <c r="BD26" i="8" s="1"/>
  <c r="P6" i="8"/>
  <c r="O11" i="8"/>
  <c r="AY11" i="8" s="1"/>
  <c r="S6" i="8"/>
  <c r="AQ6" i="8" s="1"/>
  <c r="O25" i="8"/>
  <c r="O6" i="8"/>
  <c r="AY6" i="8" s="1"/>
  <c r="Q13" i="8"/>
  <c r="BA13" i="8" s="1"/>
  <c r="R26" i="8"/>
  <c r="BB26" i="8" s="1"/>
  <c r="P12" i="8"/>
  <c r="AN12" i="8" s="1"/>
  <c r="U29" i="8"/>
  <c r="BE29" i="8" s="1"/>
  <c r="T16" i="8"/>
  <c r="Q15" i="8"/>
  <c r="U25" i="8"/>
  <c r="AS25" i="8" s="1"/>
  <c r="Q11" i="8"/>
  <c r="BA11" i="8" s="1"/>
  <c r="T25" i="8"/>
  <c r="U31" i="8"/>
  <c r="BE31" i="8" s="1"/>
  <c r="O21" i="8"/>
  <c r="AY21" i="8" s="1"/>
  <c r="S5" i="8"/>
  <c r="BC5" i="8" s="1"/>
  <c r="P25" i="8"/>
  <c r="AN25" i="8" s="1"/>
  <c r="P4" i="8"/>
  <c r="AZ4" i="8" s="1"/>
  <c r="S13" i="8"/>
  <c r="Q25" i="8"/>
  <c r="BA25" i="8" s="1"/>
  <c r="T19" i="8"/>
  <c r="S28" i="8"/>
  <c r="BC28" i="8" s="1"/>
  <c r="P7" i="8"/>
  <c r="U11" i="8"/>
  <c r="BE11" i="8" s="1"/>
  <c r="AS11" i="8"/>
  <c r="Q18" i="8"/>
  <c r="BA18" i="8" s="1"/>
  <c r="O7" i="8"/>
  <c r="AY7" i="8" s="1"/>
  <c r="T8" i="8"/>
  <c r="U24" i="8"/>
  <c r="BE24" i="8" s="1"/>
  <c r="R11" i="8"/>
  <c r="BB11" i="8" s="1"/>
  <c r="O23" i="8"/>
  <c r="O33" i="8"/>
  <c r="AY33" i="8" s="1"/>
  <c r="T14" i="8"/>
  <c r="AR14" i="8" s="1"/>
  <c r="R25" i="8"/>
  <c r="BB25" i="8" s="1"/>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O28" i="8"/>
  <c r="AY28" i="8" s="1"/>
  <c r="O10" i="8"/>
  <c r="R21" i="8"/>
  <c r="R7" i="8"/>
  <c r="BB7" i="8" s="1"/>
  <c r="T13" i="8"/>
  <c r="BD13" i="8" s="1"/>
  <c r="U19" i="8"/>
  <c r="BE19" i="8" s="1"/>
  <c r="U30" i="8"/>
  <c r="BE30" i="8" s="1"/>
  <c r="Q6" i="8"/>
  <c r="P15" i="8"/>
  <c r="AZ15" i="8" s="1"/>
  <c r="U4" i="8"/>
  <c r="BE4" i="8" s="1"/>
  <c r="S20" i="8"/>
  <c r="BC20" i="8" s="1"/>
  <c r="R20" i="8"/>
  <c r="BB20" i="8" s="1"/>
  <c r="S15" i="8"/>
  <c r="BC15" i="8" s="1"/>
  <c r="S17" i="8"/>
  <c r="BC17" i="8" s="1"/>
  <c r="Q21" i="8"/>
  <c r="BA21" i="8" s="1"/>
  <c r="T15" i="8"/>
  <c r="BD15" i="8" s="1"/>
  <c r="U22" i="8"/>
  <c r="BE22" i="8" s="1"/>
  <c r="T23" i="8"/>
  <c r="P29" i="8"/>
  <c r="AZ29" i="8" s="1"/>
  <c r="T17" i="8"/>
  <c r="P20" i="8"/>
  <c r="AZ20" i="8" s="1"/>
  <c r="Q5" i="8"/>
  <c r="BA5" i="8" s="1"/>
  <c r="S25" i="8"/>
  <c r="BC25" i="8" s="1"/>
  <c r="P13" i="8"/>
  <c r="AZ13" i="8" s="1"/>
  <c r="Q30" i="8"/>
  <c r="BA30" i="8" s="1"/>
  <c r="P28" i="8"/>
  <c r="R30" i="8"/>
  <c r="BB30" i="8" s="1"/>
  <c r="O22" i="8"/>
  <c r="AY22" i="8" s="1"/>
  <c r="AM22" i="8"/>
  <c r="S26" i="8"/>
  <c r="BC26" i="8" s="1"/>
  <c r="U21" i="8"/>
  <c r="P8" i="8"/>
  <c r="AZ8" i="8" s="1"/>
  <c r="O27" i="8"/>
  <c r="AY27" i="8" s="1"/>
  <c r="T32" i="8"/>
  <c r="BD32" i="8" s="1"/>
  <c r="AR32" i="8"/>
  <c r="P26" i="8"/>
  <c r="AZ26" i="8" s="1"/>
  <c r="U33" i="8"/>
  <c r="O15" i="8"/>
  <c r="R18" i="8"/>
  <c r="BB18" i="8" s="1"/>
  <c r="T18" i="8"/>
  <c r="BD18" i="8" s="1"/>
  <c r="U8" i="8"/>
  <c r="BE8" i="8" s="1"/>
  <c r="Q29" i="8"/>
  <c r="BA29" i="8" s="1"/>
  <c r="S16" i="8"/>
  <c r="O16" i="8"/>
  <c r="U28" i="8"/>
  <c r="Q16" i="8"/>
  <c r="BA16" i="8" s="1"/>
  <c r="U32" i="8"/>
  <c r="BE32" i="8" s="1"/>
  <c r="T30" i="8"/>
  <c r="Q14" i="8"/>
  <c r="BA14" i="8" s="1"/>
  <c r="T7" i="8"/>
  <c r="O32" i="8"/>
  <c r="AY32" i="8" s="1"/>
  <c r="AM32" i="8"/>
  <c r="S19" i="8"/>
  <c r="BC19" i="8" s="1"/>
  <c r="R33" i="8"/>
  <c r="R10" i="8"/>
  <c r="P21" i="8"/>
  <c r="AZ21" i="8" s="1"/>
  <c r="P30" i="8"/>
  <c r="AZ30" i="8" s="1"/>
  <c r="AN30" i="8"/>
  <c r="K431" i="43" s="1"/>
  <c r="Q24" i="8"/>
  <c r="Q19" i="8"/>
  <c r="BA19" i="8" s="1"/>
  <c r="T12" i="8"/>
  <c r="U17" i="8"/>
  <c r="BE17" i="8" s="1"/>
  <c r="R22" i="8"/>
  <c r="BB22" i="8" s="1"/>
  <c r="O9" i="8"/>
  <c r="AY9" i="8" s="1"/>
  <c r="O17" i="8"/>
  <c r="S27" i="8"/>
  <c r="BC27" i="8" s="1"/>
  <c r="P22" i="8"/>
  <c r="S4" i="8"/>
  <c r="BC4" i="8" s="1"/>
  <c r="R31" i="8"/>
  <c r="R9" i="8"/>
  <c r="BB9" i="8" s="1"/>
  <c r="O5" i="8"/>
  <c r="AY5" i="8" s="1"/>
  <c r="O12" i="8"/>
  <c r="AY12" i="8" s="1"/>
  <c r="R29" i="8"/>
  <c r="BB29" i="8" s="1"/>
  <c r="Q28" i="8"/>
  <c r="BA28" i="8" s="1"/>
  <c r="R17" i="8"/>
  <c r="BB17" i="8" s="1"/>
  <c r="U26" i="8"/>
  <c r="BE26" i="8" s="1"/>
  <c r="U10" i="8"/>
  <c r="BE10" i="8" s="1"/>
  <c r="Q26" i="8"/>
  <c r="P27" i="8"/>
  <c r="AZ27" i="8" s="1"/>
  <c r="U20" i="8"/>
  <c r="BE20" i="8" s="1"/>
  <c r="O13" i="8"/>
  <c r="AY13" i="8" s="1"/>
  <c r="AM13" i="8"/>
  <c r="J414" i="43" s="1"/>
  <c r="S32" i="8"/>
  <c r="BC32" i="8" s="1"/>
  <c r="R6" i="8"/>
  <c r="BB6" i="8" s="1"/>
  <c r="R12" i="8"/>
  <c r="P31" i="8"/>
  <c r="AZ31" i="8" s="1"/>
  <c r="O14" i="8"/>
  <c r="AY14" i="8" s="1"/>
  <c r="R4" i="8"/>
  <c r="BB4" i="8" s="1"/>
  <c r="S12" i="8"/>
  <c r="BC12" i="8" s="1"/>
  <c r="T9" i="8"/>
  <c r="BD9" i="8" s="1"/>
  <c r="O30" i="8"/>
  <c r="P11" i="8"/>
  <c r="AZ11" i="8" s="1"/>
  <c r="Q31" i="8"/>
  <c r="AO31" i="8" s="1"/>
  <c r="L432" i="43" s="1"/>
  <c r="R5" i="8"/>
  <c r="BB5" i="8" s="1"/>
  <c r="Q12" i="8"/>
  <c r="BA12" i="8" s="1"/>
  <c r="S33" i="8"/>
  <c r="BC33" i="8" s="1"/>
  <c r="O19" i="8"/>
  <c r="AY19" i="8" s="1"/>
  <c r="P17" i="8"/>
  <c r="AZ17" i="8" s="1"/>
  <c r="S9" i="8"/>
  <c r="BC9" i="8" s="1"/>
  <c r="AQ9" i="8"/>
  <c r="N410" i="43" s="1"/>
  <c r="O4" i="8"/>
  <c r="O24" i="8"/>
  <c r="AY24" i="8" s="1"/>
  <c r="P19" i="8"/>
  <c r="AZ19" i="8" s="1"/>
  <c r="R27" i="8"/>
  <c r="BB27" i="8" s="1"/>
  <c r="AP27" i="8"/>
  <c r="S22" i="8"/>
  <c r="BC22" i="8" s="1"/>
  <c r="O8" i="8"/>
  <c r="AY8" i="8" s="1"/>
  <c r="U6" i="8"/>
  <c r="BE6" i="8" s="1"/>
  <c r="R16" i="8"/>
  <c r="BB16" i="8" s="1"/>
  <c r="T5" i="8"/>
  <c r="BD5" i="8" s="1"/>
  <c r="S23" i="8"/>
  <c r="T4" i="8"/>
  <c r="BD4" i="8" s="1"/>
  <c r="U16" i="8"/>
  <c r="BE16" i="8" s="1"/>
  <c r="S24" i="8"/>
  <c r="T21" i="8"/>
  <c r="BD21" i="8" s="1"/>
  <c r="AR21" i="8"/>
  <c r="T10" i="8"/>
  <c r="BD10" i="8" s="1"/>
  <c r="Q27" i="8"/>
  <c r="BA27" i="8" s="1"/>
  <c r="P33" i="8"/>
  <c r="AN33" i="8" s="1"/>
  <c r="P32" i="8"/>
  <c r="AZ32" i="8" s="1"/>
  <c r="R24" i="8"/>
  <c r="BB24" i="8" s="1"/>
  <c r="U12" i="8"/>
  <c r="T22" i="8"/>
  <c r="BD22" i="8" s="1"/>
  <c r="Q22" i="8"/>
  <c r="BA22" i="8" s="1"/>
  <c r="P18" i="8"/>
  <c r="AZ18" i="8" s="1"/>
  <c r="P14" i="8"/>
  <c r="AZ14" i="8" s="1"/>
  <c r="AN14" i="8"/>
  <c r="K415" i="43" s="1"/>
  <c r="Q17" i="8"/>
  <c r="BA17" i="8" s="1"/>
  <c r="S18" i="8"/>
  <c r="BC18" i="8" s="1"/>
  <c r="R8" i="8"/>
  <c r="BB8" i="8" s="1"/>
  <c r="R23" i="8"/>
  <c r="S3" i="8"/>
  <c r="BC3" i="8" s="1"/>
  <c r="U3" i="8"/>
  <c r="BE3" i="8" s="1"/>
  <c r="T31" i="8"/>
  <c r="BD31" i="8" s="1"/>
  <c r="S14" i="8"/>
  <c r="Q32" i="8"/>
  <c r="S10" i="8"/>
  <c r="BC10" i="8" s="1"/>
  <c r="O26" i="8"/>
  <c r="S7" i="8"/>
  <c r="BC7" i="8" s="1"/>
  <c r="U14" i="8"/>
  <c r="BE14" i="8" s="1"/>
  <c r="P24" i="8"/>
  <c r="AZ24" i="8" s="1"/>
  <c r="U5" i="8"/>
  <c r="BE5" i="8" s="1"/>
  <c r="R19" i="8"/>
  <c r="S29" i="8"/>
  <c r="BC29" i="8" s="1"/>
  <c r="P9" i="8"/>
  <c r="AZ9" i="8" s="1"/>
  <c r="O29" i="8"/>
  <c r="AY29" i="8" s="1"/>
  <c r="Q23" i="8"/>
  <c r="R32" i="8"/>
  <c r="BB32" i="8" s="1"/>
  <c r="Q4" i="8"/>
  <c r="BA4" i="8" s="1"/>
  <c r="AO4" i="8"/>
  <c r="U7" i="8"/>
  <c r="S21" i="8"/>
  <c r="BC21" i="8" s="1"/>
  <c r="P5" i="8"/>
  <c r="S31" i="8"/>
  <c r="BC31" i="8" s="1"/>
  <c r="U18" i="8"/>
  <c r="BE18" i="8" s="1"/>
  <c r="U9" i="8"/>
  <c r="BE9" i="8" s="1"/>
  <c r="Q3" i="8"/>
  <c r="BA3" i="8" s="1"/>
  <c r="T24" i="8"/>
  <c r="T29" i="8"/>
  <c r="BD29" i="8" s="1"/>
  <c r="Q10" i="8"/>
  <c r="R28" i="8"/>
  <c r="BB28" i="8" s="1"/>
  <c r="S8" i="8"/>
  <c r="BC8" i="8" s="1"/>
  <c r="P16" i="8"/>
  <c r="AZ16" i="8" s="1"/>
  <c r="P23" i="8"/>
  <c r="AZ23" i="8" s="1"/>
  <c r="R13" i="8"/>
  <c r="BB13" i="8" s="1"/>
  <c r="T20" i="8"/>
  <c r="Q9" i="8"/>
  <c r="BA9" i="8" s="1"/>
  <c r="S30" i="8"/>
  <c r="BC30" i="8" s="1"/>
  <c r="T11" i="8"/>
  <c r="BD11" i="8" s="1"/>
  <c r="AR11" i="8"/>
  <c r="O412" i="43" s="1"/>
  <c r="R14" i="8"/>
  <c r="O31" i="8"/>
  <c r="AY31" i="8" s="1"/>
  <c r="P3" i="8"/>
  <c r="T3" i="8"/>
  <c r="R3" i="8"/>
  <c r="BB3" i="8" s="1"/>
  <c r="AP3" i="8"/>
  <c r="F16" i="43" s="1"/>
  <c r="U15" i="8"/>
  <c r="R15" i="8"/>
  <c r="BB15" i="8" s="1"/>
  <c r="O3" i="8"/>
  <c r="AY3" i="8" s="1"/>
  <c r="Q33" i="8"/>
  <c r="BA33" i="8" s="1"/>
  <c r="AQ7" i="8" l="1"/>
  <c r="AQ4" i="8"/>
  <c r="N405" i="43" s="1"/>
  <c r="AP15" i="8"/>
  <c r="AP5" i="8"/>
  <c r="AO11" i="8"/>
  <c r="AO16" i="8"/>
  <c r="AN16" i="8"/>
  <c r="K417" i="43" s="1"/>
  <c r="AN13" i="8"/>
  <c r="K414" i="43" s="1"/>
  <c r="AM29" i="8"/>
  <c r="J430" i="43" s="1"/>
  <c r="AQ3" i="8"/>
  <c r="AR10" i="8"/>
  <c r="AR9" i="8"/>
  <c r="O410" i="43" s="1"/>
  <c r="AN20" i="8"/>
  <c r="AS22" i="8"/>
  <c r="P423" i="43" s="1"/>
  <c r="AP13" i="8"/>
  <c r="M414" i="43" s="1"/>
  <c r="AS10" i="8"/>
  <c r="P411" i="43" s="1"/>
  <c r="AM12" i="8"/>
  <c r="J413" i="43" s="1"/>
  <c r="AP30" i="8"/>
  <c r="AQ25" i="8"/>
  <c r="N426" i="43" s="1"/>
  <c r="AN29" i="8"/>
  <c r="K430" i="43" s="1"/>
  <c r="AO21" i="8"/>
  <c r="L422" i="43" s="1"/>
  <c r="AS4" i="8"/>
  <c r="P405" i="43" s="1"/>
  <c r="AP26" i="8"/>
  <c r="AO20" i="8"/>
  <c r="AM3" i="8"/>
  <c r="AN23" i="8"/>
  <c r="K424" i="43" s="1"/>
  <c r="AQ31" i="8"/>
  <c r="N432" i="43" s="1"/>
  <c r="AO17" i="8"/>
  <c r="L418" i="43" s="1"/>
  <c r="AR22" i="8"/>
  <c r="AS16" i="8"/>
  <c r="P417" i="43" s="1"/>
  <c r="AN31" i="8"/>
  <c r="AS31" i="8"/>
  <c r="AD364" i="43" s="1"/>
  <c r="AM31" i="8"/>
  <c r="AD130" i="43" s="1"/>
  <c r="AO9" i="8"/>
  <c r="AR29" i="8"/>
  <c r="AN24" i="8"/>
  <c r="K425" i="43" s="1"/>
  <c r="AQ10" i="8"/>
  <c r="N411" i="43" s="1"/>
  <c r="AS3" i="8"/>
  <c r="P404" i="43" s="1"/>
  <c r="AO22" i="8"/>
  <c r="L423" i="43" s="1"/>
  <c r="AR5" i="8"/>
  <c r="O406" i="43" s="1"/>
  <c r="AR13" i="8"/>
  <c r="O414" i="43" s="1"/>
  <c r="AP11" i="8"/>
  <c r="J247" i="43" s="1"/>
  <c r="J280" i="43" s="1"/>
  <c r="AM21" i="8"/>
  <c r="AO8" i="8"/>
  <c r="AO7" i="8"/>
  <c r="L408" i="43" s="1"/>
  <c r="AN10" i="8"/>
  <c r="K411" i="43" s="1"/>
  <c r="AS9" i="8"/>
  <c r="P410" i="43" s="1"/>
  <c r="AQ21" i="8"/>
  <c r="T286" i="43" s="1"/>
  <c r="AS5" i="8"/>
  <c r="P406" i="43" s="1"/>
  <c r="AR31" i="8"/>
  <c r="O432" i="43" s="1"/>
  <c r="AM8" i="8"/>
  <c r="J409" i="43" s="1"/>
  <c r="AM24" i="8"/>
  <c r="AN11" i="8"/>
  <c r="AP4" i="8"/>
  <c r="C247" i="43" s="1"/>
  <c r="C281" i="43" s="1"/>
  <c r="C282" i="43" s="1"/>
  <c r="AP6" i="8"/>
  <c r="I16" i="43" s="1"/>
  <c r="I55" i="43" s="1"/>
  <c r="AN27" i="8"/>
  <c r="K428" i="43" s="1"/>
  <c r="AP9" i="8"/>
  <c r="L16" i="43" s="1"/>
  <c r="AQ27" i="8"/>
  <c r="AO14" i="8"/>
  <c r="AM27" i="8"/>
  <c r="J428" i="43" s="1"/>
  <c r="AS19" i="8"/>
  <c r="P420" i="43" s="1"/>
  <c r="AM7" i="8"/>
  <c r="J408" i="43" s="1"/>
  <c r="AS29" i="8"/>
  <c r="AB364" i="43" s="1"/>
  <c r="AB398" i="43" s="1"/>
  <c r="AB399" i="43" s="1"/>
  <c r="AM6" i="8"/>
  <c r="AA325" i="43"/>
  <c r="AA359" i="43" s="1"/>
  <c r="AA360" i="43" s="1"/>
  <c r="AM20" i="8"/>
  <c r="J421" i="43" s="1"/>
  <c r="O415" i="43"/>
  <c r="M325" i="43"/>
  <c r="M358" i="43" s="1"/>
  <c r="AS17" i="8"/>
  <c r="P418" i="43" s="1"/>
  <c r="AC169" i="43"/>
  <c r="AC202" i="43" s="1"/>
  <c r="AP18" i="8"/>
  <c r="M419" i="43" s="1"/>
  <c r="AQ26" i="8"/>
  <c r="N427" i="43" s="1"/>
  <c r="AQ17" i="8"/>
  <c r="N418" i="43" s="1"/>
  <c r="AM28" i="8"/>
  <c r="J429" i="43" s="1"/>
  <c r="AP25" i="8"/>
  <c r="X247" i="43" s="1"/>
  <c r="X281" i="43" s="1"/>
  <c r="X282" i="43" s="1"/>
  <c r="AO25" i="8"/>
  <c r="X208" i="43" s="1"/>
  <c r="AM11" i="8"/>
  <c r="Z325" i="43"/>
  <c r="Z358" i="43" s="1"/>
  <c r="V364" i="43"/>
  <c r="V397" i="43" s="1"/>
  <c r="I169" i="43"/>
  <c r="I203" i="43" s="1"/>
  <c r="I204" i="43" s="1"/>
  <c r="BD27" i="8"/>
  <c r="BD14" i="8"/>
  <c r="BA31" i="8"/>
  <c r="BC6" i="8"/>
  <c r="AP28" i="8"/>
  <c r="AA247" i="43" s="1"/>
  <c r="AA281" i="43" s="1"/>
  <c r="AP32" i="8"/>
  <c r="AI16" i="43" s="1"/>
  <c r="AQ29" i="8"/>
  <c r="N430" i="43" s="1"/>
  <c r="AQ18" i="8"/>
  <c r="AP24" i="8"/>
  <c r="W247" i="43" s="1"/>
  <c r="W280" i="43" s="1"/>
  <c r="AR4" i="8"/>
  <c r="C325" i="43" s="1"/>
  <c r="AS6" i="8"/>
  <c r="P407" i="43" s="1"/>
  <c r="AM9" i="8"/>
  <c r="AO19" i="8"/>
  <c r="L420" i="43" s="1"/>
  <c r="AS8" i="8"/>
  <c r="P409" i="43" s="1"/>
  <c r="AN8" i="8"/>
  <c r="K409" i="43" s="1"/>
  <c r="AS30" i="8"/>
  <c r="P431" i="43" s="1"/>
  <c r="AS24" i="8"/>
  <c r="P425" i="43" s="1"/>
  <c r="AO18" i="8"/>
  <c r="L419" i="43" s="1"/>
  <c r="AQ28" i="8"/>
  <c r="AN4" i="8"/>
  <c r="C169" i="43" s="1"/>
  <c r="AF325" i="43"/>
  <c r="AF358" i="43" s="1"/>
  <c r="S130" i="43"/>
  <c r="S163" i="43" s="1"/>
  <c r="F49" i="43"/>
  <c r="F50" i="43" s="1"/>
  <c r="F51" i="43"/>
  <c r="F55" i="43"/>
  <c r="J404" i="43"/>
  <c r="B130" i="43"/>
  <c r="N404" i="43"/>
  <c r="B286" i="43"/>
  <c r="AY30" i="8"/>
  <c r="AM30" i="8"/>
  <c r="BB12" i="8"/>
  <c r="AP12" i="8"/>
  <c r="BE15" i="8"/>
  <c r="AS15" i="8"/>
  <c r="J432" i="43"/>
  <c r="O422" i="43"/>
  <c r="T325" i="43"/>
  <c r="O405" i="43"/>
  <c r="M428" i="43"/>
  <c r="Z247" i="43"/>
  <c r="Z281" i="43" s="1"/>
  <c r="AD16" i="43"/>
  <c r="AY4" i="8"/>
  <c r="AM4" i="8"/>
  <c r="BA26" i="8"/>
  <c r="AO26" i="8"/>
  <c r="AR16" i="8"/>
  <c r="BD16" i="8"/>
  <c r="AZ3" i="8"/>
  <c r="AN3" i="8"/>
  <c r="BD24" i="8"/>
  <c r="AR24" i="8"/>
  <c r="Q247" i="43"/>
  <c r="BD17" i="8"/>
  <c r="AR17" i="8"/>
  <c r="M427" i="43"/>
  <c r="Y247" i="43"/>
  <c r="AC16" i="43"/>
  <c r="BA10" i="8"/>
  <c r="AO10" i="8"/>
  <c r="BC14" i="8"/>
  <c r="AQ14" i="8"/>
  <c r="BE12" i="8"/>
  <c r="AS12" i="8"/>
  <c r="K434" i="43"/>
  <c r="AF169" i="43"/>
  <c r="AD208" i="43"/>
  <c r="M410" i="43"/>
  <c r="AZ22" i="8"/>
  <c r="AN22" i="8"/>
  <c r="M32" i="8"/>
  <c r="M33" i="8"/>
  <c r="L410" i="43"/>
  <c r="H208" i="43"/>
  <c r="M406" i="43"/>
  <c r="D247" i="43"/>
  <c r="H16" i="43"/>
  <c r="BD20" i="8"/>
  <c r="AR20" i="8"/>
  <c r="BC24" i="8"/>
  <c r="AQ24" i="8"/>
  <c r="BC23" i="8"/>
  <c r="AQ23" i="8"/>
  <c r="BE28" i="8"/>
  <c r="AS28" i="8"/>
  <c r="O430" i="43"/>
  <c r="AB325" i="43"/>
  <c r="AO33" i="8"/>
  <c r="M404" i="43"/>
  <c r="B247" i="43"/>
  <c r="BD3" i="8"/>
  <c r="AR3" i="8"/>
  <c r="BB14" i="8"/>
  <c r="AP14" i="8"/>
  <c r="AZ5" i="8"/>
  <c r="AN5" i="8"/>
  <c r="L405" i="43"/>
  <c r="C208" i="43"/>
  <c r="BA23" i="8"/>
  <c r="AO23" i="8"/>
  <c r="BA32" i="8"/>
  <c r="AO32" i="8"/>
  <c r="BB23" i="8"/>
  <c r="AP23" i="8"/>
  <c r="N419" i="43"/>
  <c r="Q286" i="43"/>
  <c r="K412" i="43"/>
  <c r="J169" i="43"/>
  <c r="K432" i="43"/>
  <c r="AD169" i="43"/>
  <c r="BB31" i="8"/>
  <c r="AP31" i="8"/>
  <c r="BE33" i="8"/>
  <c r="AS33" i="8"/>
  <c r="AY26" i="8"/>
  <c r="AM26" i="8"/>
  <c r="O423" i="43"/>
  <c r="U325" i="43"/>
  <c r="M416" i="43"/>
  <c r="R16" i="43"/>
  <c r="N247" i="43"/>
  <c r="BE7" i="8"/>
  <c r="AS7" i="8"/>
  <c r="BB19" i="8"/>
  <c r="AP19" i="8"/>
  <c r="N408" i="43"/>
  <c r="F286" i="43"/>
  <c r="O411" i="43"/>
  <c r="I325" i="43"/>
  <c r="J425" i="43"/>
  <c r="W130" i="43"/>
  <c r="BA24" i="8"/>
  <c r="AO24" i="8"/>
  <c r="U208" i="43"/>
  <c r="AO27" i="8"/>
  <c r="AQ22" i="8"/>
  <c r="AN19" i="8"/>
  <c r="AO12" i="8"/>
  <c r="AM14" i="8"/>
  <c r="L130" i="43"/>
  <c r="AS20" i="8"/>
  <c r="AP17" i="8"/>
  <c r="AO28" i="8"/>
  <c r="K130" i="43"/>
  <c r="AM5" i="8"/>
  <c r="AC203" i="43"/>
  <c r="AC204" i="43" s="1"/>
  <c r="AN21" i="8"/>
  <c r="L415" i="43"/>
  <c r="M208" i="43"/>
  <c r="AY16" i="8"/>
  <c r="AM16" i="8"/>
  <c r="BB21" i="8"/>
  <c r="AP21" i="8"/>
  <c r="AZ33" i="8"/>
  <c r="M405" i="43"/>
  <c r="G16" i="43"/>
  <c r="AY17" i="8"/>
  <c r="AM17" i="8"/>
  <c r="J433" i="43"/>
  <c r="AE130" i="43"/>
  <c r="J423" i="43"/>
  <c r="U130" i="43"/>
  <c r="AZ28" i="8"/>
  <c r="AN28" i="8"/>
  <c r="BA6" i="8"/>
  <c r="AO6" i="8"/>
  <c r="BC13" i="8"/>
  <c r="AQ13" i="8"/>
  <c r="J325" i="43"/>
  <c r="AQ30" i="8"/>
  <c r="O169" i="43"/>
  <c r="AQ8" i="8"/>
  <c r="AO3" i="8"/>
  <c r="H364" i="43"/>
  <c r="AS18" i="8"/>
  <c r="AB130" i="43"/>
  <c r="AN9" i="8"/>
  <c r="W169" i="43"/>
  <c r="AS14" i="8"/>
  <c r="AP8" i="8"/>
  <c r="P208" i="43"/>
  <c r="M169" i="43"/>
  <c r="AN18" i="8"/>
  <c r="AN32" i="8"/>
  <c r="D325" i="43"/>
  <c r="AP16" i="8"/>
  <c r="H286" i="43"/>
  <c r="AN17" i="8"/>
  <c r="AM19" i="8"/>
  <c r="AQ33" i="8"/>
  <c r="H325" i="43"/>
  <c r="AQ12" i="8"/>
  <c r="AQ32" i="8"/>
  <c r="I364" i="43"/>
  <c r="AS26" i="8"/>
  <c r="AP29" i="8"/>
  <c r="C286" i="43"/>
  <c r="N428" i="43"/>
  <c r="Z286" i="43"/>
  <c r="AP22" i="8"/>
  <c r="L417" i="43"/>
  <c r="O208" i="43"/>
  <c r="BC16" i="8"/>
  <c r="AQ16" i="8"/>
  <c r="AY15" i="8"/>
  <c r="AM15" i="8"/>
  <c r="BE21" i="8"/>
  <c r="AS21" i="8"/>
  <c r="E130" i="43"/>
  <c r="J407" i="43"/>
  <c r="M425" i="43"/>
  <c r="BD12" i="8"/>
  <c r="AR12" i="8"/>
  <c r="BB10" i="8"/>
  <c r="AP10" i="8"/>
  <c r="BB33" i="8"/>
  <c r="AP33" i="8"/>
  <c r="BD30" i="8"/>
  <c r="AR30" i="8"/>
  <c r="O433" i="43"/>
  <c r="AE325" i="43"/>
  <c r="K421" i="43"/>
  <c r="S169" i="43"/>
  <c r="BD23" i="8"/>
  <c r="AR23" i="8"/>
  <c r="BD7" i="8"/>
  <c r="AR7" i="8"/>
  <c r="M431" i="43"/>
  <c r="AC247" i="43"/>
  <c r="AC281" i="43" s="1"/>
  <c r="AG16" i="43"/>
  <c r="BD19" i="8"/>
  <c r="AR19" i="8"/>
  <c r="K413" i="43"/>
  <c r="K169" i="43"/>
  <c r="L169" i="43"/>
  <c r="X286" i="43"/>
  <c r="AO5" i="8"/>
  <c r="P286" i="43"/>
  <c r="AQ15" i="8"/>
  <c r="AP20" i="8"/>
  <c r="C364" i="43"/>
  <c r="AN15" i="8"/>
  <c r="AC364" i="43"/>
  <c r="L325" i="43"/>
  <c r="AP7" i="8"/>
  <c r="AM33" i="8"/>
  <c r="K405" i="43"/>
  <c r="P426" i="43"/>
  <c r="X364" i="43"/>
  <c r="M412" i="43"/>
  <c r="N16" i="43"/>
  <c r="AZ7" i="8"/>
  <c r="AN7" i="8"/>
  <c r="AM25" i="8"/>
  <c r="AY25" i="8"/>
  <c r="AQ19" i="8"/>
  <c r="AS32" i="8"/>
  <c r="AO29" i="8"/>
  <c r="AR18" i="8"/>
  <c r="AN26" i="8"/>
  <c r="Z130" i="43"/>
  <c r="AO30" i="8"/>
  <c r="AR15" i="8"/>
  <c r="AQ20" i="8"/>
  <c r="AM10" i="8"/>
  <c r="AY10" i="8"/>
  <c r="BD25" i="8"/>
  <c r="AR25" i="8"/>
  <c r="E286" i="43"/>
  <c r="N407" i="43"/>
  <c r="AZ6" i="8"/>
  <c r="AN6" i="8"/>
  <c r="AR8" i="8"/>
  <c r="BD8" i="8"/>
  <c r="P412" i="43"/>
  <c r="J364" i="43"/>
  <c r="K426" i="43"/>
  <c r="X169" i="43"/>
  <c r="L412" i="43"/>
  <c r="J208" i="43"/>
  <c r="BE13" i="8"/>
  <c r="AS13" i="8"/>
  <c r="J286" i="43"/>
  <c r="N412" i="43"/>
  <c r="AZ25" i="8"/>
  <c r="AY23" i="8"/>
  <c r="AM23" i="8"/>
  <c r="BA15" i="8"/>
  <c r="AO15" i="8"/>
  <c r="E325" i="43"/>
  <c r="O407" i="43"/>
  <c r="AO13" i="8"/>
  <c r="AF359" i="43"/>
  <c r="AF360" i="43" s="1"/>
  <c r="AY18" i="8"/>
  <c r="AM18" i="8"/>
  <c r="AA358" i="43"/>
  <c r="BC11" i="8"/>
  <c r="BE25" i="8"/>
  <c r="BD28" i="8"/>
  <c r="BD6" i="8"/>
  <c r="AZ12" i="8"/>
  <c r="BD33" i="8"/>
  <c r="AQ5" i="8"/>
  <c r="AR26" i="8"/>
  <c r="S208" i="43"/>
  <c r="L421" i="43"/>
  <c r="Z364" i="43"/>
  <c r="P428" i="43"/>
  <c r="BE23" i="8"/>
  <c r="O364" i="43" l="1"/>
  <c r="S164" i="43"/>
  <c r="S165" i="43" s="1"/>
  <c r="N422" i="43"/>
  <c r="J281" i="43"/>
  <c r="J282" i="43" s="1"/>
  <c r="C280" i="43"/>
  <c r="T208" i="43"/>
  <c r="T241" i="43" s="1"/>
  <c r="Q208" i="43"/>
  <c r="Q241" i="43" s="1"/>
  <c r="I202" i="43"/>
  <c r="F208" i="43"/>
  <c r="AB16" i="43"/>
  <c r="AB49" i="43" s="1"/>
  <c r="AB50" i="43" s="1"/>
  <c r="P432" i="43"/>
  <c r="V169" i="43"/>
  <c r="V203" i="43" s="1"/>
  <c r="V204" i="43" s="1"/>
  <c r="P364" i="43"/>
  <c r="P397" i="43" s="1"/>
  <c r="P16" i="43"/>
  <c r="AD286" i="43"/>
  <c r="V398" i="43"/>
  <c r="V399" i="43" s="1"/>
  <c r="M426" i="43"/>
  <c r="U364" i="43"/>
  <c r="U397" i="43" s="1"/>
  <c r="X280" i="43"/>
  <c r="G130" i="43"/>
  <c r="L247" i="43"/>
  <c r="H247" i="43"/>
  <c r="P430" i="43"/>
  <c r="AB397" i="43"/>
  <c r="AB169" i="43"/>
  <c r="AB202" i="43" s="1"/>
  <c r="B364" i="43"/>
  <c r="Z359" i="43"/>
  <c r="Z360" i="43" s="1"/>
  <c r="J422" i="43"/>
  <c r="T130" i="43"/>
  <c r="M359" i="43"/>
  <c r="M360" i="43" s="1"/>
  <c r="G364" i="43"/>
  <c r="G397" i="43" s="1"/>
  <c r="L409" i="43"/>
  <c r="G208" i="43"/>
  <c r="M407" i="43"/>
  <c r="G169" i="43"/>
  <c r="G202" i="43" s="1"/>
  <c r="Z169" i="43"/>
  <c r="Z202" i="43" s="1"/>
  <c r="W281" i="43"/>
  <c r="W282" i="43" s="1"/>
  <c r="I49" i="43"/>
  <c r="I50" i="43" s="1"/>
  <c r="I286" i="43"/>
  <c r="AA130" i="43"/>
  <c r="AA163" i="43" s="1"/>
  <c r="D364" i="43"/>
  <c r="D398" i="43" s="1"/>
  <c r="D399" i="43" s="1"/>
  <c r="I51" i="43"/>
  <c r="F130" i="43"/>
  <c r="F163" i="43" s="1"/>
  <c r="AD325" i="43"/>
  <c r="AD359" i="43" s="1"/>
  <c r="AD360" i="43" s="1"/>
  <c r="E247" i="43"/>
  <c r="R364" i="43"/>
  <c r="AA16" i="43"/>
  <c r="AA55" i="43" s="1"/>
  <c r="AE247" i="43"/>
  <c r="AE281" i="43" s="1"/>
  <c r="J410" i="43"/>
  <c r="H130" i="43"/>
  <c r="R208" i="43"/>
  <c r="W364" i="43"/>
  <c r="W398" i="43" s="1"/>
  <c r="W399" i="43" s="1"/>
  <c r="M433" i="43"/>
  <c r="Y286" i="43"/>
  <c r="Y320" i="43" s="1"/>
  <c r="Y321" i="43" s="1"/>
  <c r="L426" i="43"/>
  <c r="E364" i="43"/>
  <c r="AE16" i="43"/>
  <c r="AE55" i="43" s="1"/>
  <c r="AB286" i="43"/>
  <c r="AB320" i="43" s="1"/>
  <c r="AB321" i="43" s="1"/>
  <c r="N429" i="43"/>
  <c r="AA286" i="43"/>
  <c r="U16" i="43"/>
  <c r="U49" i="43" s="1"/>
  <c r="U50" i="43" s="1"/>
  <c r="M429" i="43"/>
  <c r="J412" i="43"/>
  <c r="J130" i="43"/>
  <c r="J419" i="43"/>
  <c r="Q130" i="43"/>
  <c r="O409" i="43"/>
  <c r="G325" i="43"/>
  <c r="N55" i="43"/>
  <c r="N51" i="43"/>
  <c r="N49" i="43"/>
  <c r="N50" i="43" s="1"/>
  <c r="S203" i="43"/>
  <c r="S204" i="43" s="1"/>
  <c r="S202" i="43"/>
  <c r="Z319" i="43"/>
  <c r="Z320" i="43"/>
  <c r="Z321" i="43" s="1"/>
  <c r="K419" i="43"/>
  <c r="Q169" i="43"/>
  <c r="N414" i="43"/>
  <c r="L286" i="43"/>
  <c r="J203" i="43"/>
  <c r="J204" i="43" s="1"/>
  <c r="J202" i="43"/>
  <c r="K406" i="43"/>
  <c r="D169" i="43"/>
  <c r="N425" i="43"/>
  <c r="W286" i="43"/>
  <c r="L55" i="43"/>
  <c r="L49" i="43"/>
  <c r="L50" i="43" s="1"/>
  <c r="L51" i="43"/>
  <c r="O425" i="43"/>
  <c r="W325" i="43"/>
  <c r="L427" i="43"/>
  <c r="Y208" i="43"/>
  <c r="O427" i="43"/>
  <c r="Y325" i="43"/>
  <c r="L416" i="43"/>
  <c r="N208" i="43"/>
  <c r="X203" i="43"/>
  <c r="X204" i="43" s="1"/>
  <c r="X202" i="43"/>
  <c r="O419" i="43"/>
  <c r="Q325" i="43"/>
  <c r="X130" i="43"/>
  <c r="J426" i="43"/>
  <c r="C397" i="43"/>
  <c r="C398" i="43"/>
  <c r="C399" i="43" s="1"/>
  <c r="X319" i="43"/>
  <c r="X320" i="43"/>
  <c r="X321" i="43" s="1"/>
  <c r="E280" i="43"/>
  <c r="E281" i="43"/>
  <c r="E282" i="43" s="1"/>
  <c r="AA164" i="43"/>
  <c r="AA165" i="43" s="1"/>
  <c r="N417" i="43"/>
  <c r="O286" i="43"/>
  <c r="N413" i="43"/>
  <c r="K286" i="43"/>
  <c r="E397" i="43"/>
  <c r="E398" i="43"/>
  <c r="E399" i="43" s="1"/>
  <c r="M202" i="43"/>
  <c r="M203" i="43"/>
  <c r="M204" i="43" s="1"/>
  <c r="W202" i="43"/>
  <c r="W203" i="43"/>
  <c r="W204" i="43" s="1"/>
  <c r="N409" i="43"/>
  <c r="G286" i="43"/>
  <c r="M241" i="43"/>
  <c r="M242" i="43"/>
  <c r="M243" i="43" s="1"/>
  <c r="J406" i="43"/>
  <c r="D130" i="43"/>
  <c r="J415" i="43"/>
  <c r="M130" i="43"/>
  <c r="U241" i="43"/>
  <c r="U242" i="43"/>
  <c r="U243" i="43" s="1"/>
  <c r="P408" i="43"/>
  <c r="F364" i="43"/>
  <c r="U358" i="43"/>
  <c r="U359" i="43"/>
  <c r="U360" i="43" s="1"/>
  <c r="O404" i="43"/>
  <c r="B325" i="43"/>
  <c r="AB319" i="43"/>
  <c r="N415" i="43"/>
  <c r="M286" i="43"/>
  <c r="AD55" i="43"/>
  <c r="AD49" i="43"/>
  <c r="AD50" i="43" s="1"/>
  <c r="AD51" i="43"/>
  <c r="AD319" i="43"/>
  <c r="AD320" i="43"/>
  <c r="AD321" i="43" s="1"/>
  <c r="O16" i="43"/>
  <c r="M413" i="43"/>
  <c r="K247" i="43"/>
  <c r="B164" i="43"/>
  <c r="B165" i="43" s="1"/>
  <c r="B163" i="43"/>
  <c r="X241" i="43"/>
  <c r="X242" i="43"/>
  <c r="X243" i="43" s="1"/>
  <c r="L406" i="43"/>
  <c r="D208" i="43"/>
  <c r="M434" i="43"/>
  <c r="AJ16" i="43"/>
  <c r="AF247" i="43"/>
  <c r="AF281" i="43" s="1"/>
  <c r="P415" i="43"/>
  <c r="M364" i="43"/>
  <c r="G51" i="43"/>
  <c r="G55" i="43"/>
  <c r="G49" i="43"/>
  <c r="G50" i="43" s="1"/>
  <c r="L428" i="43"/>
  <c r="Z208" i="43"/>
  <c r="Z398" i="43"/>
  <c r="Z399" i="43" s="1"/>
  <c r="Z397" i="43"/>
  <c r="N406" i="43"/>
  <c r="D286" i="43"/>
  <c r="J319" i="43"/>
  <c r="J320" i="43"/>
  <c r="J321" i="43" s="1"/>
  <c r="G398" i="43"/>
  <c r="G399" i="43" s="1"/>
  <c r="J434" i="43"/>
  <c r="AF130" i="43"/>
  <c r="M421" i="43"/>
  <c r="S247" i="43"/>
  <c r="W16" i="43"/>
  <c r="L202" i="43"/>
  <c r="L203" i="43"/>
  <c r="L204" i="43" s="1"/>
  <c r="AE359" i="43"/>
  <c r="AE360" i="43" s="1"/>
  <c r="AE358" i="43"/>
  <c r="M411" i="43"/>
  <c r="M16" i="43"/>
  <c r="I247" i="43"/>
  <c r="AA49" i="43"/>
  <c r="AA50" i="43" s="1"/>
  <c r="C319" i="43"/>
  <c r="C320" i="43"/>
  <c r="C321" i="43" s="1"/>
  <c r="H358" i="43"/>
  <c r="H359" i="43"/>
  <c r="H360" i="43" s="1"/>
  <c r="M417" i="43"/>
  <c r="O247" i="43"/>
  <c r="S16" i="43"/>
  <c r="P241" i="43"/>
  <c r="P242" i="43"/>
  <c r="P243" i="43" s="1"/>
  <c r="K410" i="43"/>
  <c r="H169" i="43"/>
  <c r="O202" i="43"/>
  <c r="O203" i="43"/>
  <c r="O204" i="43" s="1"/>
  <c r="L407" i="43"/>
  <c r="E208" i="43"/>
  <c r="AE164" i="43"/>
  <c r="AE165" i="43" s="1"/>
  <c r="AE163" i="43"/>
  <c r="K163" i="43"/>
  <c r="K164" i="43"/>
  <c r="K165" i="43" s="1"/>
  <c r="L413" i="43"/>
  <c r="K208" i="43"/>
  <c r="G203" i="43"/>
  <c r="G204" i="43" s="1"/>
  <c r="M432" i="43"/>
  <c r="AD247" i="43"/>
  <c r="AD281" i="43" s="1"/>
  <c r="AH16" i="43"/>
  <c r="Q320" i="43"/>
  <c r="Q321" i="43" s="1"/>
  <c r="Q319" i="43"/>
  <c r="L424" i="43"/>
  <c r="V208" i="43"/>
  <c r="P55" i="43"/>
  <c r="P49" i="43"/>
  <c r="P50" i="43" s="1"/>
  <c r="P51" i="43"/>
  <c r="P429" i="43"/>
  <c r="AA364" i="43"/>
  <c r="O421" i="43"/>
  <c r="S325" i="43"/>
  <c r="AD242" i="43"/>
  <c r="AD243" i="43" s="1"/>
  <c r="AD241" i="43"/>
  <c r="O418" i="43"/>
  <c r="P325" i="43"/>
  <c r="K404" i="43"/>
  <c r="B169" i="43"/>
  <c r="I319" i="43"/>
  <c r="I320" i="43"/>
  <c r="I321" i="43" s="1"/>
  <c r="E358" i="43"/>
  <c r="E359" i="43"/>
  <c r="E360" i="43" s="1"/>
  <c r="K427" i="43"/>
  <c r="Y169" i="43"/>
  <c r="O408" i="43"/>
  <c r="F325" i="43"/>
  <c r="L404" i="43"/>
  <c r="B208" i="43"/>
  <c r="Y280" i="43"/>
  <c r="Y281" i="43"/>
  <c r="Y282" i="43" s="1"/>
  <c r="P414" i="43"/>
  <c r="L364" i="43"/>
  <c r="K202" i="43"/>
  <c r="K203" i="43"/>
  <c r="K204" i="43" s="1"/>
  <c r="AD397" i="43"/>
  <c r="AD398" i="43"/>
  <c r="AD399" i="43" s="1"/>
  <c r="P422" i="43"/>
  <c r="T364" i="43"/>
  <c r="O241" i="43"/>
  <c r="O242" i="43"/>
  <c r="O243" i="43" s="1"/>
  <c r="M430" i="43"/>
  <c r="AF16" i="43"/>
  <c r="AB247" i="43"/>
  <c r="AB281" i="43" s="1"/>
  <c r="N434" i="43"/>
  <c r="AF286" i="43"/>
  <c r="D359" i="43"/>
  <c r="D360" i="43" s="1"/>
  <c r="D358" i="43"/>
  <c r="M409" i="43"/>
  <c r="K16" i="43"/>
  <c r="G247" i="43"/>
  <c r="AB163" i="43"/>
  <c r="AB164" i="43"/>
  <c r="AB165" i="43" s="1"/>
  <c r="M422" i="43"/>
  <c r="X16" i="43"/>
  <c r="T247" i="43"/>
  <c r="K422" i="43"/>
  <c r="T169" i="43"/>
  <c r="L429" i="43"/>
  <c r="AA208" i="43"/>
  <c r="K420" i="43"/>
  <c r="R169" i="43"/>
  <c r="D397" i="43"/>
  <c r="F319" i="43"/>
  <c r="F320" i="43"/>
  <c r="F321" i="43" s="1"/>
  <c r="N280" i="43"/>
  <c r="N281" i="43"/>
  <c r="N282" i="43" s="1"/>
  <c r="J427" i="43"/>
  <c r="Y130" i="43"/>
  <c r="L281" i="43"/>
  <c r="L282" i="43" s="1"/>
  <c r="L280" i="43"/>
  <c r="B280" i="43"/>
  <c r="B281" i="43"/>
  <c r="B282" i="43" s="1"/>
  <c r="H241" i="43"/>
  <c r="H242" i="43"/>
  <c r="H243" i="43" s="1"/>
  <c r="K423" i="43"/>
  <c r="U169" i="43"/>
  <c r="AF203" i="43"/>
  <c r="AF204" i="43" s="1"/>
  <c r="AF202" i="43"/>
  <c r="L411" i="43"/>
  <c r="I208" i="43"/>
  <c r="AD164" i="43"/>
  <c r="AD165" i="43" s="1"/>
  <c r="AD163" i="43"/>
  <c r="J431" i="43"/>
  <c r="AC130" i="43"/>
  <c r="E169" i="43"/>
  <c r="K407" i="43"/>
  <c r="C203" i="43"/>
  <c r="C204" i="43" s="1"/>
  <c r="C202" i="43"/>
  <c r="N433" i="43"/>
  <c r="AE286" i="43"/>
  <c r="W397" i="43"/>
  <c r="L164" i="43"/>
  <c r="L165" i="43" s="1"/>
  <c r="L163" i="43"/>
  <c r="I359" i="43"/>
  <c r="I360" i="43" s="1"/>
  <c r="I358" i="43"/>
  <c r="P434" i="43"/>
  <c r="AF364" i="43"/>
  <c r="L433" i="43"/>
  <c r="AE208" i="43"/>
  <c r="AB359" i="43"/>
  <c r="AB360" i="43" s="1"/>
  <c r="AB358" i="43"/>
  <c r="T358" i="43"/>
  <c r="T359" i="43"/>
  <c r="T360" i="43" s="1"/>
  <c r="J397" i="43"/>
  <c r="J398" i="43"/>
  <c r="J399" i="43" s="1"/>
  <c r="E320" i="43"/>
  <c r="E321" i="43" s="1"/>
  <c r="E319" i="43"/>
  <c r="L431" i="43"/>
  <c r="AC208" i="43"/>
  <c r="AG51" i="43"/>
  <c r="AG55" i="43"/>
  <c r="AG49" i="43"/>
  <c r="AG50" i="43" s="1"/>
  <c r="S241" i="43"/>
  <c r="S242" i="43"/>
  <c r="S243" i="43" s="1"/>
  <c r="O426" i="43"/>
  <c r="X325" i="43"/>
  <c r="P433" i="43"/>
  <c r="AE364" i="43"/>
  <c r="K408" i="43"/>
  <c r="F169" i="43"/>
  <c r="X398" i="43"/>
  <c r="X399" i="43" s="1"/>
  <c r="X397" i="43"/>
  <c r="L358" i="43"/>
  <c r="L359" i="43"/>
  <c r="L360" i="43" s="1"/>
  <c r="P319" i="43"/>
  <c r="P320" i="43"/>
  <c r="P321" i="43" s="1"/>
  <c r="O424" i="43"/>
  <c r="V325" i="43"/>
  <c r="O431" i="43"/>
  <c r="AC325" i="43"/>
  <c r="O413" i="43"/>
  <c r="K325" i="43"/>
  <c r="P427" i="43"/>
  <c r="Y364" i="43"/>
  <c r="J420" i="43"/>
  <c r="R130" i="43"/>
  <c r="O397" i="43"/>
  <c r="O398" i="43"/>
  <c r="O399" i="43" s="1"/>
  <c r="B398" i="43"/>
  <c r="B399" i="43" s="1"/>
  <c r="B397" i="43"/>
  <c r="P419" i="43"/>
  <c r="Q364" i="43"/>
  <c r="N431" i="43"/>
  <c r="AC286" i="43"/>
  <c r="K429" i="43"/>
  <c r="AA169" i="43"/>
  <c r="J418" i="43"/>
  <c r="P130" i="43"/>
  <c r="M418" i="43"/>
  <c r="P247" i="43"/>
  <c r="T16" i="43"/>
  <c r="N423" i="43"/>
  <c r="U286" i="43"/>
  <c r="L425" i="43"/>
  <c r="W208" i="43"/>
  <c r="W164" i="43"/>
  <c r="W165" i="43" s="1"/>
  <c r="W163" i="43"/>
  <c r="R51" i="43"/>
  <c r="R49" i="43"/>
  <c r="R50" i="43" s="1"/>
  <c r="R55" i="43"/>
  <c r="AD202" i="43"/>
  <c r="AD203" i="43"/>
  <c r="AD204" i="43" s="1"/>
  <c r="M424" i="43"/>
  <c r="V247" i="43"/>
  <c r="Z16" i="43"/>
  <c r="C241" i="43"/>
  <c r="C242" i="43"/>
  <c r="C243" i="43" s="1"/>
  <c r="N424" i="43"/>
  <c r="V286" i="43"/>
  <c r="H51" i="43"/>
  <c r="H55" i="43"/>
  <c r="H49" i="43"/>
  <c r="H50" i="43" s="1"/>
  <c r="Q280" i="43"/>
  <c r="Q281" i="43"/>
  <c r="Q282" i="43" s="1"/>
  <c r="C359" i="43"/>
  <c r="C360" i="43" s="1"/>
  <c r="C358" i="43"/>
  <c r="O416" i="43"/>
  <c r="N325" i="43"/>
  <c r="K416" i="43"/>
  <c r="N169" i="43"/>
  <c r="H319" i="43"/>
  <c r="H320" i="43"/>
  <c r="H321" i="43" s="1"/>
  <c r="U164" i="43"/>
  <c r="U165" i="43" s="1"/>
  <c r="U163" i="43"/>
  <c r="T320" i="43"/>
  <c r="T321" i="43" s="1"/>
  <c r="T319" i="43"/>
  <c r="J424" i="43"/>
  <c r="V130" i="43"/>
  <c r="J411" i="43"/>
  <c r="I130" i="43"/>
  <c r="L430" i="43"/>
  <c r="AB208" i="43"/>
  <c r="F247" i="43"/>
  <c r="M408" i="43"/>
  <c r="J16" i="43"/>
  <c r="N416" i="43"/>
  <c r="N286" i="43"/>
  <c r="L414" i="43"/>
  <c r="L208" i="43"/>
  <c r="R397" i="43"/>
  <c r="R398" i="43"/>
  <c r="R399" i="43" s="1"/>
  <c r="F242" i="43"/>
  <c r="F243" i="43" s="1"/>
  <c r="F241" i="43"/>
  <c r="J242" i="43"/>
  <c r="J243" i="43" s="1"/>
  <c r="J241" i="43"/>
  <c r="N421" i="43"/>
  <c r="S286" i="43"/>
  <c r="Z164" i="43"/>
  <c r="Z165" i="43" s="1"/>
  <c r="Z163" i="43"/>
  <c r="N420" i="43"/>
  <c r="R286" i="43"/>
  <c r="AC397" i="43"/>
  <c r="AC398" i="43"/>
  <c r="AC399" i="43" s="1"/>
  <c r="O420" i="43"/>
  <c r="R325" i="43"/>
  <c r="E164" i="43"/>
  <c r="E165" i="43" s="1"/>
  <c r="E163" i="43"/>
  <c r="J416" i="43"/>
  <c r="N130" i="43"/>
  <c r="M423" i="43"/>
  <c r="U247" i="43"/>
  <c r="Y16" i="43"/>
  <c r="I397" i="43"/>
  <c r="I398" i="43"/>
  <c r="I399" i="43" s="1"/>
  <c r="K418" i="43"/>
  <c r="P169" i="43"/>
  <c r="K433" i="43"/>
  <c r="AE169" i="43"/>
  <c r="AD358" i="43"/>
  <c r="H397" i="43"/>
  <c r="H398" i="43"/>
  <c r="H399" i="43" s="1"/>
  <c r="J358" i="43"/>
  <c r="J359" i="43"/>
  <c r="J360" i="43" s="1"/>
  <c r="O130" i="43"/>
  <c r="J417" i="43"/>
  <c r="R241" i="43"/>
  <c r="R242" i="43"/>
  <c r="R243" i="43" s="1"/>
  <c r="P421" i="43"/>
  <c r="S364" i="43"/>
  <c r="G164" i="43"/>
  <c r="G165" i="43" s="1"/>
  <c r="G163" i="43"/>
  <c r="M420" i="43"/>
  <c r="R247" i="43"/>
  <c r="V16" i="43"/>
  <c r="U55" i="43"/>
  <c r="Q16" i="43"/>
  <c r="M415" i="43"/>
  <c r="M247" i="43"/>
  <c r="L434" i="43"/>
  <c r="AF208" i="43"/>
  <c r="D281" i="43"/>
  <c r="D282" i="43" s="1"/>
  <c r="D280" i="43"/>
  <c r="H281" i="43"/>
  <c r="H282" i="43" s="1"/>
  <c r="H280" i="43"/>
  <c r="P413" i="43"/>
  <c r="K364" i="43"/>
  <c r="AC51" i="43"/>
  <c r="AC49" i="43"/>
  <c r="AC50" i="43" s="1"/>
  <c r="AC55" i="43"/>
  <c r="O417" i="43"/>
  <c r="O325" i="43"/>
  <c r="J405" i="43"/>
  <c r="C130" i="43"/>
  <c r="AI51" i="43"/>
  <c r="AI55" i="43"/>
  <c r="AI49" i="43"/>
  <c r="AI50" i="43" s="1"/>
  <c r="P416" i="43"/>
  <c r="N364" i="43"/>
  <c r="B320" i="43"/>
  <c r="B321" i="43" s="1"/>
  <c r="B319" i="43"/>
  <c r="T242" i="43" l="1"/>
  <c r="T243" i="43" s="1"/>
  <c r="V202" i="43"/>
  <c r="U398" i="43"/>
  <c r="U399" i="43" s="1"/>
  <c r="Q242" i="43"/>
  <c r="Q243" i="43" s="1"/>
  <c r="AB203" i="43"/>
  <c r="AB204" i="43" s="1"/>
  <c r="P398" i="43"/>
  <c r="P399" i="43" s="1"/>
  <c r="AE49" i="43"/>
  <c r="AE50" i="43" s="1"/>
  <c r="AE51" i="43"/>
  <c r="AB55" i="43"/>
  <c r="F164" i="43"/>
  <c r="F165" i="43" s="1"/>
  <c r="AA51" i="43"/>
  <c r="AB51" i="43"/>
  <c r="Z203" i="43"/>
  <c r="Z204" i="43" s="1"/>
  <c r="U51" i="43"/>
  <c r="Y319" i="43"/>
  <c r="T163" i="43"/>
  <c r="T164" i="43"/>
  <c r="T165" i="43" s="1"/>
  <c r="G242" i="43"/>
  <c r="G243" i="43" s="1"/>
  <c r="G241" i="43"/>
  <c r="J163" i="43"/>
  <c r="J164" i="43"/>
  <c r="J165" i="43" s="1"/>
  <c r="H164" i="43"/>
  <c r="H165" i="43" s="1"/>
  <c r="H163" i="43"/>
  <c r="AA320" i="43"/>
  <c r="AA321" i="43" s="1"/>
  <c r="AA319" i="43"/>
  <c r="O358" i="43"/>
  <c r="O359" i="43"/>
  <c r="O360" i="43" s="1"/>
  <c r="AE203" i="43"/>
  <c r="AE204" i="43" s="1"/>
  <c r="AE202" i="43"/>
  <c r="AC241" i="43"/>
  <c r="AC242" i="43"/>
  <c r="AC243" i="43" s="1"/>
  <c r="S359" i="43"/>
  <c r="S360" i="43" s="1"/>
  <c r="S358" i="43"/>
  <c r="E242" i="43"/>
  <c r="E243" i="43" s="1"/>
  <c r="E241" i="43"/>
  <c r="F397" i="43"/>
  <c r="F398" i="43"/>
  <c r="F399" i="43" s="1"/>
  <c r="Y241" i="43"/>
  <c r="Y242" i="43"/>
  <c r="Y243" i="43" s="1"/>
  <c r="M280" i="43"/>
  <c r="M281" i="43"/>
  <c r="M282" i="43" s="1"/>
  <c r="U281" i="43"/>
  <c r="U282" i="43" s="1"/>
  <c r="U280" i="43"/>
  <c r="R359" i="43"/>
  <c r="R360" i="43" s="1"/>
  <c r="R358" i="43"/>
  <c r="R320" i="43"/>
  <c r="R321" i="43" s="1"/>
  <c r="R319" i="43"/>
  <c r="L241" i="43"/>
  <c r="L242" i="43"/>
  <c r="L243" i="43" s="1"/>
  <c r="F280" i="43"/>
  <c r="F281" i="43"/>
  <c r="F282" i="43" s="1"/>
  <c r="V281" i="43"/>
  <c r="V282" i="43" s="1"/>
  <c r="V280" i="43"/>
  <c r="AA202" i="43"/>
  <c r="AA203" i="43"/>
  <c r="AA204" i="43" s="1"/>
  <c r="Q397" i="43"/>
  <c r="Q398" i="43"/>
  <c r="Q399" i="43" s="1"/>
  <c r="R163" i="43"/>
  <c r="R164" i="43"/>
  <c r="R165" i="43" s="1"/>
  <c r="AC359" i="43"/>
  <c r="AC360" i="43" s="1"/>
  <c r="AC358" i="43"/>
  <c r="AE398" i="43"/>
  <c r="AE399" i="43" s="1"/>
  <c r="AE397" i="43"/>
  <c r="E202" i="43"/>
  <c r="E203" i="43"/>
  <c r="E204" i="43" s="1"/>
  <c r="I241" i="43"/>
  <c r="I242" i="43"/>
  <c r="I243" i="43" s="1"/>
  <c r="Y164" i="43"/>
  <c r="Y165" i="43" s="1"/>
  <c r="Y163" i="43"/>
  <c r="T202" i="43"/>
  <c r="T203" i="43"/>
  <c r="T204" i="43" s="1"/>
  <c r="V241" i="43"/>
  <c r="V242" i="43"/>
  <c r="V243" i="43" s="1"/>
  <c r="M55" i="43"/>
  <c r="M51" i="43"/>
  <c r="M49" i="43"/>
  <c r="M50" i="43" s="1"/>
  <c r="W55" i="43"/>
  <c r="W51" i="43"/>
  <c r="W49" i="43"/>
  <c r="W50" i="43" s="1"/>
  <c r="M163" i="43"/>
  <c r="M164" i="43"/>
  <c r="M165" i="43" s="1"/>
  <c r="G319" i="43"/>
  <c r="G320" i="43"/>
  <c r="G321" i="43" s="1"/>
  <c r="W320" i="43"/>
  <c r="W321" i="43" s="1"/>
  <c r="W319" i="43"/>
  <c r="U319" i="43"/>
  <c r="U320" i="43"/>
  <c r="U321" i="43" s="1"/>
  <c r="AF49" i="43"/>
  <c r="AF50" i="43" s="1"/>
  <c r="AF51" i="43"/>
  <c r="AF55" i="43"/>
  <c r="B203" i="43"/>
  <c r="B204" i="43" s="1"/>
  <c r="B202" i="43"/>
  <c r="V55" i="43"/>
  <c r="V51" i="43"/>
  <c r="V49" i="43"/>
  <c r="V50" i="43" s="1"/>
  <c r="R280" i="43"/>
  <c r="R281" i="43"/>
  <c r="R282" i="43" s="1"/>
  <c r="P202" i="43"/>
  <c r="P203" i="43"/>
  <c r="P204" i="43" s="1"/>
  <c r="AB241" i="43"/>
  <c r="AB242" i="43"/>
  <c r="AB243" i="43" s="1"/>
  <c r="N203" i="43"/>
  <c r="N204" i="43" s="1"/>
  <c r="N202" i="43"/>
  <c r="V320" i="43"/>
  <c r="V321" i="43" s="1"/>
  <c r="V319" i="43"/>
  <c r="T49" i="43"/>
  <c r="T50" i="43" s="1"/>
  <c r="T51" i="43"/>
  <c r="T55" i="43"/>
  <c r="AE319" i="43"/>
  <c r="AE320" i="43"/>
  <c r="AE321" i="43" s="1"/>
  <c r="B242" i="43"/>
  <c r="B243" i="43" s="1"/>
  <c r="B241" i="43"/>
  <c r="P358" i="43"/>
  <c r="P359" i="43"/>
  <c r="P360" i="43" s="1"/>
  <c r="AA398" i="43"/>
  <c r="AA399" i="43" s="1"/>
  <c r="AA397" i="43"/>
  <c r="S51" i="43"/>
  <c r="S49" i="43"/>
  <c r="S50" i="43" s="1"/>
  <c r="S55" i="43"/>
  <c r="S280" i="43"/>
  <c r="S281" i="43"/>
  <c r="S282" i="43" s="1"/>
  <c r="D242" i="43"/>
  <c r="D243" i="43" s="1"/>
  <c r="D241" i="43"/>
  <c r="K280" i="43"/>
  <c r="K281" i="43"/>
  <c r="K282" i="43" s="1"/>
  <c r="B359" i="43"/>
  <c r="B360" i="43" s="1"/>
  <c r="B358" i="43"/>
  <c r="N242" i="43"/>
  <c r="N243" i="43" s="1"/>
  <c r="N241" i="43"/>
  <c r="W358" i="43"/>
  <c r="W359" i="43"/>
  <c r="W360" i="43" s="1"/>
  <c r="G359" i="43"/>
  <c r="G360" i="43" s="1"/>
  <c r="G358" i="43"/>
  <c r="AF397" i="43"/>
  <c r="AF398" i="43"/>
  <c r="AF399" i="43" s="1"/>
  <c r="P281" i="43"/>
  <c r="P282" i="43" s="1"/>
  <c r="P280" i="43"/>
  <c r="Y397" i="43"/>
  <c r="Y398" i="43"/>
  <c r="Y399" i="43" s="1"/>
  <c r="V359" i="43"/>
  <c r="V360" i="43" s="1"/>
  <c r="V358" i="43"/>
  <c r="AC164" i="43"/>
  <c r="AC165" i="43" s="1"/>
  <c r="AC163" i="43"/>
  <c r="R203" i="43"/>
  <c r="R204" i="43" s="1"/>
  <c r="R202" i="43"/>
  <c r="T280" i="43"/>
  <c r="T281" i="43"/>
  <c r="T282" i="43" s="1"/>
  <c r="AF319" i="43"/>
  <c r="AF320" i="43"/>
  <c r="AF321" i="43" s="1"/>
  <c r="O280" i="43"/>
  <c r="O281" i="43"/>
  <c r="O282" i="43" s="1"/>
  <c r="M397" i="43"/>
  <c r="M398" i="43"/>
  <c r="M399" i="43" s="1"/>
  <c r="D163" i="43"/>
  <c r="D164" i="43"/>
  <c r="D165" i="43" s="1"/>
  <c r="K319" i="43"/>
  <c r="K320" i="43"/>
  <c r="K321" i="43" s="1"/>
  <c r="D202" i="43"/>
  <c r="D203" i="43"/>
  <c r="D204" i="43" s="1"/>
  <c r="L320" i="43"/>
  <c r="L321" i="43" s="1"/>
  <c r="L319" i="43"/>
  <c r="Y51" i="43"/>
  <c r="Y49" i="43"/>
  <c r="Y50" i="43" s="1"/>
  <c r="Y55" i="43"/>
  <c r="V163" i="43"/>
  <c r="V164" i="43"/>
  <c r="V165" i="43" s="1"/>
  <c r="Z55" i="43"/>
  <c r="Z51" i="43"/>
  <c r="Z49" i="43"/>
  <c r="Z50" i="43" s="1"/>
  <c r="Y203" i="43"/>
  <c r="Y204" i="43" s="1"/>
  <c r="Y202" i="43"/>
  <c r="D319" i="43"/>
  <c r="D320" i="43"/>
  <c r="D321" i="43" s="1"/>
  <c r="N319" i="43"/>
  <c r="N320" i="43"/>
  <c r="N321" i="43" s="1"/>
  <c r="I163" i="43"/>
  <c r="I164" i="43"/>
  <c r="I165" i="43" s="1"/>
  <c r="N358" i="43"/>
  <c r="N359" i="43"/>
  <c r="N360" i="43" s="1"/>
  <c r="W241" i="43"/>
  <c r="W242" i="43"/>
  <c r="W243" i="43" s="1"/>
  <c r="AE241" i="43"/>
  <c r="AE242" i="43"/>
  <c r="AE243" i="43" s="1"/>
  <c r="X51" i="43"/>
  <c r="X49" i="43"/>
  <c r="X50" i="43" s="1"/>
  <c r="X55" i="43"/>
  <c r="G280" i="43"/>
  <c r="G281" i="43"/>
  <c r="G282" i="43" s="1"/>
  <c r="T398" i="43"/>
  <c r="T399" i="43" s="1"/>
  <c r="T397" i="43"/>
  <c r="L397" i="43"/>
  <c r="L398" i="43"/>
  <c r="L399" i="43" s="1"/>
  <c r="F358" i="43"/>
  <c r="F359" i="43"/>
  <c r="F360" i="43" s="1"/>
  <c r="H202" i="43"/>
  <c r="H203" i="43"/>
  <c r="H204" i="43" s="1"/>
  <c r="AF164" i="43"/>
  <c r="AF165" i="43" s="1"/>
  <c r="AF163" i="43"/>
  <c r="Z242" i="43"/>
  <c r="Z243" i="43" s="1"/>
  <c r="Z241" i="43"/>
  <c r="O55" i="43"/>
  <c r="O49" i="43"/>
  <c r="O50" i="43" s="1"/>
  <c r="O51" i="43"/>
  <c r="M319" i="43"/>
  <c r="M320" i="43"/>
  <c r="M321" i="43" s="1"/>
  <c r="X164" i="43"/>
  <c r="X165" i="43" s="1"/>
  <c r="X163" i="43"/>
  <c r="Y358" i="43"/>
  <c r="Y359" i="43"/>
  <c r="Y360" i="43" s="1"/>
  <c r="Q163" i="43"/>
  <c r="Q164" i="43"/>
  <c r="Q165" i="43" s="1"/>
  <c r="S398" i="43"/>
  <c r="S399" i="43" s="1"/>
  <c r="S397" i="43"/>
  <c r="K242" i="43"/>
  <c r="K243" i="43" s="1"/>
  <c r="K241" i="43"/>
  <c r="I281" i="43"/>
  <c r="I282" i="43" s="1"/>
  <c r="I280" i="43"/>
  <c r="AJ55" i="43"/>
  <c r="AJ51" i="43"/>
  <c r="AJ49" i="43"/>
  <c r="AJ50" i="43" s="1"/>
  <c r="Q51" i="43"/>
  <c r="Q55" i="43"/>
  <c r="Q49" i="43"/>
  <c r="Q50" i="43" s="1"/>
  <c r="N164" i="43"/>
  <c r="N165" i="43" s="1"/>
  <c r="N163" i="43"/>
  <c r="C163" i="43"/>
  <c r="C164" i="43"/>
  <c r="C165" i="43" s="1"/>
  <c r="N398" i="43"/>
  <c r="N399" i="43" s="1"/>
  <c r="N397" i="43"/>
  <c r="K397" i="43"/>
  <c r="K398" i="43"/>
  <c r="K399" i="43" s="1"/>
  <c r="AF242" i="43"/>
  <c r="AF243" i="43" s="1"/>
  <c r="AF241" i="43"/>
  <c r="O164" i="43"/>
  <c r="O165" i="43" s="1"/>
  <c r="O163" i="43"/>
  <c r="S319" i="43"/>
  <c r="S320" i="43"/>
  <c r="S321" i="43" s="1"/>
  <c r="J55" i="43"/>
  <c r="J51" i="43"/>
  <c r="J49" i="43"/>
  <c r="J50" i="43" s="1"/>
  <c r="P163" i="43"/>
  <c r="P164" i="43"/>
  <c r="P165" i="43" s="1"/>
  <c r="AC319" i="43"/>
  <c r="AC320" i="43"/>
  <c r="AC321" i="43" s="1"/>
  <c r="K359" i="43"/>
  <c r="K360" i="43" s="1"/>
  <c r="K358" i="43"/>
  <c r="F202" i="43"/>
  <c r="F203" i="43"/>
  <c r="F204" i="43" s="1"/>
  <c r="X358" i="43"/>
  <c r="X359" i="43"/>
  <c r="X360" i="43" s="1"/>
  <c r="U202" i="43"/>
  <c r="U203" i="43"/>
  <c r="U204" i="43" s="1"/>
  <c r="AA242" i="43"/>
  <c r="AA243" i="43" s="1"/>
  <c r="AA241" i="43"/>
  <c r="K55" i="43"/>
  <c r="K51" i="43"/>
  <c r="K49" i="43"/>
  <c r="K50" i="43" s="1"/>
  <c r="AH55" i="43"/>
  <c r="AH51" i="43"/>
  <c r="AH49" i="43"/>
  <c r="AH50" i="43" s="1"/>
  <c r="O319" i="43"/>
  <c r="O320" i="43"/>
  <c r="O321" i="43" s="1"/>
  <c r="Q358" i="43"/>
  <c r="Q359" i="43"/>
  <c r="Q360" i="43" s="1"/>
  <c r="Q202" i="43"/>
  <c r="Q203" i="43"/>
  <c r="Q204" i="43" s="1"/>
  <c r="G53" i="43" l="1"/>
  <c r="I53" i="43" s="1"/>
  <c r="A165" i="43"/>
  <c r="A321" i="43"/>
  <c r="A163" i="43"/>
  <c r="F56" i="43"/>
  <c r="F57" i="43"/>
  <c r="A399" i="43"/>
  <c r="A319" i="43"/>
  <c r="A282" i="43"/>
  <c r="A280" i="43"/>
  <c r="A397" i="43"/>
  <c r="A241" i="43"/>
  <c r="A243" i="43"/>
  <c r="K53" i="43"/>
  <c r="A202" i="43"/>
  <c r="A358" i="43"/>
  <c r="A204" i="43"/>
  <c r="A360"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<sst xmlns="http://schemas.openxmlformats.org/spreadsheetml/2006/main" count="311" uniqueCount="164">
  <si>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</si>
  <si>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</si>
  <si>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</si>
  <si>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</si>
  <si>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</si>
  <si>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</si>
  <si>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</si>
  <si>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</si>
  <si>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</si>
  <si>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</si>
  <si>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</si>
  <si>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</si>
  <si>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</si>
  <si>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</si>
  <si>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</si>
  <si>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</si>
  <si>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</si>
  <si>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</si>
  <si>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</si>
  <si>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</si>
  <si>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</si>
  <si>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</si>
  <si>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</si>
  <si>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</si>
  <si>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</si>
  <si>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</si>
  <si>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</si>
  <si>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</si>
  <si>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</si>
  <si>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</si>
  <si>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</si>
  <si>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</si>
  <si>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</si>
  <si>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</si>
  <si>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</si>
  <si>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</si>
  <si>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</si>
  <si>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</si>
  <si>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</si>
  <si>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</si>
  <si>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</si>
  <si>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</si>
  <si>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</si>
  <si>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</si>
  <si>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</si>
  <si>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</si>
  <si>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</si>
  <si>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</si>
  <si>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</si>
  <si>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</si>
  <si>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</si>
  <si>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</si>
  <si>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</si>
  <si>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</si>
  <si>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</si>
  <si>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</si>
  <si>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</si>
  <si>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</si>
  <si>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</si>
  <si>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</si>
  <si>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</si>
  <si>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</si>
  <si>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</si>
  <si>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</si>
  <si>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</si>
  <si>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</si>
  <si>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</si>
  <si>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</si>
  <si>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</si>
  <si>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</si>
  <si>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</si>
  <si>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</si>
  <si>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</si>
  <si>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</si>
  <si>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</si>
  <si>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</si>
  <si>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</si>
  <si>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</si>
  <si>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</si>
  <si>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</si>
  <si>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</si>
  <si>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</si>
  <si>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</si>
  <si>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</si>
  <si>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</si>
  <si>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</si>
  <si>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</si>
  <si>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</si>
  <si>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</si>
  <si>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</si>
  <si>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</si>
  <si>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</si>
  <si>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</si>
  <si>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</si>
  <si>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</si>
  <si>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</si>
  <si>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</si>
  <si>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</si>
  <si>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</si>
  <si>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</si>
  <si>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</si>
  <si>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</si>
  <si>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</si>
  <si>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</si>
  <si>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</si>
  <si>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</si>
  <si>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</si>
  <si>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</si>
  <si>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</si>
  <si>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</si>
  <si>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</si>
  <si>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</si>
  <si>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</si>
  <si>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</si>
  <si>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</si>
  <si>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</si>
  <si>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</si>
  <si>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</si>
  <si>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</si>
  <si>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</si>
  <si>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</si>
  <si>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</si>
  <si>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</si>
  <si>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</si>
  <si>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</si>
  <si>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</si>
  <si>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</si>
  <si>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</si>
  <si>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</si>
  <si>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</si>
  <si>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</si>
  <si>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</si>
  <si>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</si>
  <si>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</si>
  <si>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</si>
  <si>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</si>
  <si>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</si>
  <si>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</si>
  <si>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</si>
  <si>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</si>
  <si>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</si>
  <si>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</si>
  <si>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</si>
  <si>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</si>
  <si>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</si>
  <si>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</si>
  <si>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</si>
  <si>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</si>
  <si>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</si>
  <si>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</si>
  <si>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</si>
  <si>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</si>
  <si>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</si>
  <si>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</si>
  <si>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</si>
  <si>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</si>
  <si>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</si>
  <si>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</si>
  <si>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</si>
  <si>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</si>
  <si>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</si>
  <si>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</si>
  <si>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</si>
  <si>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Viertel</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</si>
</sst>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-5.2026789142857141E-4</c:v>
                </c:pt>
                <c:pt idx="1">
                  <c:v>-5.2026033714285718E-4</c:v>
                </c:pt>
                <c:pt idx="2">
                  <c:v>-5.2026304571428574E-4</c:v>
                </c:pt>
                <c:pt idx="3">
                  <c:v>-5.2026376571428568E-4</c:v>
                </c:pt>
                <c:pt idx="4">
                  <c:v>-5.2026397714285716E-4</c:v>
                </c:pt>
                <c:pt idx="5">
                  <c:v>-5.2026404000000005E-4</c:v>
                </c:pt>
                <c:pt idx="6">
                  <c:v>-5.2026406285714288E-4</c:v>
                </c:pt>
                <c:pt idx="7">
                  <c:v>-5.2026407428571429E-4</c:v>
                </c:pt>
                <c:pt idx="8">
                  <c:v>-5.2026408571428581E-4</c:v>
                </c:pt>
                <c:pt idx="9">
                  <c:v>-5.2026417142857142E-4</c:v>
                </c:pt>
                <c:pt idx="10">
                  <c:v>-5.2026502857142854E-4</c:v>
                </c:pt>
                <c:pt idx="11">
                  <c:v>-5.202735885714286E-4</c:v>
                </c:pt>
                <c:pt idx="12">
                  <c:v>-5.2035845142857145E-4</c:v>
                </c:pt>
                <c:pt idx="13">
                  <c:v>-5.2117016571428566E-4</c:v>
                </c:pt>
                <c:pt idx="14">
                  <c:v>-5.2714065714285722E-4</c:v>
                </c:pt>
                <c:pt idx="15">
                  <c:v>-5.3738724571428579E-4</c:v>
                </c:pt>
                <c:pt idx="16">
                  <c:v>-5.4510416571428575E-4</c:v>
                </c:pt>
                <c:pt idx="17">
                  <c:v>-5.531446114285715E-4</c:v>
                </c:pt>
                <c:pt idx="18">
                  <c:v>-5.6241089714285724E-4</c:v>
                </c:pt>
                <c:pt idx="19">
                  <c:v>-5.7446554285714283E-4</c:v>
                </c:pt>
                <c:pt idx="20">
                  <c:v>-5.9813674285714286E-4</c:v>
                </c:pt>
                <c:pt idx="21">
                  <c:v>-6.6538377142857149E-4</c:v>
                </c:pt>
                <c:pt idx="22">
                  <c:v>-7.8451982857142871E-4</c:v>
                </c:pt>
                <c:pt idx="23">
                  <c:v>-9.1970068571428578E-4</c:v>
                </c:pt>
                <c:pt idx="24">
                  <c:v>-1.0495565142857144E-3</c:v>
                </c:pt>
                <c:pt idx="25">
                  <c:v>-1.1750555999999999E-3</c:v>
                </c:pt>
                <c:pt idx="26">
                  <c:v>-1.2959366857142858E-3</c:v>
                </c:pt>
                <c:pt idx="27">
                  <c:v>-1.4036457142857144E-3</c:v>
                </c:pt>
                <c:pt idx="28">
                  <c:v>-1.5006965714285713E-3</c:v>
                </c:pt>
                <c:pt idx="29">
                  <c:v>-1.597299942857143E-3</c:v>
                </c:pt>
                <c:pt idx="30">
                  <c:v>-1.6886448000000001E-3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-5.2482441714285716E-4</c:v>
                </c:pt>
                <c:pt idx="1">
                  <c:v>-5.2481664571428575E-4</c:v>
                </c:pt>
                <c:pt idx="2">
                  <c:v>-5.2481937142857143E-4</c:v>
                </c:pt>
                <c:pt idx="3">
                  <c:v>-5.2482014857142855E-4</c:v>
                </c:pt>
                <c:pt idx="4">
                  <c:v>-5.2482096571428573E-4</c:v>
                </c:pt>
                <c:pt idx="5">
                  <c:v>-5.248271028571429E-4</c:v>
                </c:pt>
                <c:pt idx="6">
                  <c:v>-5.2488745714285713E-4</c:v>
                </c:pt>
                <c:pt idx="7">
                  <c:v>-5.2546980000000004E-4</c:v>
                </c:pt>
                <c:pt idx="8">
                  <c:v>-5.3013404571428579E-4</c:v>
                </c:pt>
                <c:pt idx="9">
                  <c:v>-5.4088885714285724E-4</c:v>
                </c:pt>
                <c:pt idx="10">
                  <c:v>-5.4876942857142862E-4</c:v>
                </c:pt>
                <c:pt idx="11">
                  <c:v>-5.5665492571428568E-4</c:v>
                </c:pt>
                <c:pt idx="12">
                  <c:v>-5.6579005714285722E-4</c:v>
                </c:pt>
                <c:pt idx="13">
                  <c:v>-5.7584177142857142E-4</c:v>
                </c:pt>
                <c:pt idx="14">
                  <c:v>-5.8768102857142859E-4</c:v>
                </c:pt>
                <c:pt idx="15">
                  <c:v>-6.0114314285714284E-4</c:v>
                </c:pt>
                <c:pt idx="16">
                  <c:v>-6.1650040000000011E-4</c:v>
                </c:pt>
                <c:pt idx="17">
                  <c:v>-6.3240502857142859E-4</c:v>
                </c:pt>
                <c:pt idx="18">
                  <c:v>-6.5889742857142865E-4</c:v>
                </c:pt>
                <c:pt idx="19">
                  <c:v>-7.3297771428571445E-4</c:v>
                </c:pt>
                <c:pt idx="20">
                  <c:v>-8.7946508571428578E-4</c:v>
                </c:pt>
                <c:pt idx="21">
                  <c:v>-1.0596601142857144E-3</c:v>
                </c:pt>
                <c:pt idx="22">
                  <c:v>-1.2344853714285715E-3</c:v>
                </c:pt>
                <c:pt idx="23">
                  <c:v>-1.3975460000000002E-3</c:v>
                </c:pt>
                <c:pt idx="24">
                  <c:v>-1.5444489142857143E-3</c:v>
                </c:pt>
                <c:pt idx="25">
                  <c:v>-1.6846166285714287E-3</c:v>
                </c:pt>
                <c:pt idx="26">
                  <c:v>-1.8263416571428573E-3</c:v>
                </c:pt>
                <c:pt idx="27">
                  <c:v>-1.9920576000000004E-3</c:v>
                </c:pt>
                <c:pt idx="28">
                  <c:v>-2.1900582857142855E-3</c:v>
                </c:pt>
                <c:pt idx="29">
                  <c:v>-2.4504237714285718E-3</c:v>
                </c:pt>
                <c:pt idx="30">
                  <c:v>-2.8145985714285717E-3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-5.2781071428571432E-4</c:v>
                </c:pt>
                <c:pt idx="1">
                  <c:v>-5.2780317142857151E-4</c:v>
                </c:pt>
                <c:pt idx="2">
                  <c:v>-5.2780959428571435E-4</c:v>
                </c:pt>
                <c:pt idx="3">
                  <c:v>-5.2784711428571437E-4</c:v>
                </c:pt>
                <c:pt idx="4">
                  <c:v>-5.2820610285714297E-4</c:v>
                </c:pt>
                <c:pt idx="5">
                  <c:v>-5.3132425714285715E-4</c:v>
                </c:pt>
                <c:pt idx="6">
                  <c:v>-5.4216279428571435E-4</c:v>
                </c:pt>
                <c:pt idx="7">
                  <c:v>-5.5038337142857149E-4</c:v>
                </c:pt>
                <c:pt idx="8">
                  <c:v>-5.5811092000000002E-4</c:v>
                </c:pt>
                <c:pt idx="9">
                  <c:v>-5.6713196571428579E-4</c:v>
                </c:pt>
                <c:pt idx="10">
                  <c:v>-5.7693480000000003E-4</c:v>
                </c:pt>
                <c:pt idx="11">
                  <c:v>-5.8849794285714295E-4</c:v>
                </c:pt>
                <c:pt idx="12">
                  <c:v>-6.0169605714285716E-4</c:v>
                </c:pt>
                <c:pt idx="13">
                  <c:v>-6.1693605714285718E-4</c:v>
                </c:pt>
                <c:pt idx="14">
                  <c:v>-6.3134834285714285E-4</c:v>
                </c:pt>
                <c:pt idx="15">
                  <c:v>-6.481961714285714E-4</c:v>
                </c:pt>
                <c:pt idx="16">
                  <c:v>-6.7047302857142863E-4</c:v>
                </c:pt>
                <c:pt idx="17">
                  <c:v>-7.0504165714285728E-4</c:v>
                </c:pt>
                <c:pt idx="18">
                  <c:v>-7.793978857142858E-4</c:v>
                </c:pt>
                <c:pt idx="19">
                  <c:v>-9.2856325714285712E-4</c:v>
                </c:pt>
                <c:pt idx="20">
                  <c:v>-1.1236970857142858E-3</c:v>
                </c:pt>
                <c:pt idx="21">
                  <c:v>-1.3216305714285716E-3</c:v>
                </c:pt>
                <c:pt idx="22">
                  <c:v>-1.5099526857142859E-3</c:v>
                </c:pt>
                <c:pt idx="23">
                  <c:v>-1.6873612000000001E-3</c:v>
                </c:pt>
                <c:pt idx="24">
                  <c:v>-1.8756650285714287E-3</c:v>
                </c:pt>
                <c:pt idx="25">
                  <c:v>-2.0839046857142858E-3</c:v>
                </c:pt>
                <c:pt idx="26">
                  <c:v>-2.3419146285714289E-3</c:v>
                </c:pt>
                <c:pt idx="27">
                  <c:v>-2.686055542857143E-3</c:v>
                </c:pt>
                <c:pt idx="28">
                  <c:v>-3.2099524E-3</c:v>
                </c:pt>
                <c:pt idx="29">
                  <c:v>-4.0818608571428572E-3</c:v>
                </c:pt>
                <c:pt idx="30">
                  <c:v>-5.5902430857142863E-3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-5.3091504571428573E-4</c:v>
                </c:pt>
                <c:pt idx="1">
                  <c:v>-5.3097552000000003E-4</c:v>
                </c:pt>
                <c:pt idx="2">
                  <c:v>-5.316390914285714E-4</c:v>
                </c:pt>
                <c:pt idx="3">
                  <c:v>-5.367964742857143E-4</c:v>
                </c:pt>
                <c:pt idx="4">
                  <c:v>-5.4753407428571432E-4</c:v>
                </c:pt>
                <c:pt idx="5">
                  <c:v>-5.5545164000000004E-4</c:v>
                </c:pt>
                <c:pt idx="6">
                  <c:v>-5.6348080000000005E-4</c:v>
                </c:pt>
                <c:pt idx="7">
                  <c:v>-5.7273514285714289E-4</c:v>
                </c:pt>
                <c:pt idx="8">
                  <c:v>-5.8296645714285718E-4</c:v>
                </c:pt>
                <c:pt idx="9">
                  <c:v>-5.9499394285714288E-4</c:v>
                </c:pt>
                <c:pt idx="10">
                  <c:v>-6.0864839999999996E-4</c:v>
                </c:pt>
                <c:pt idx="11">
                  <c:v>-6.2406720000000003E-4</c:v>
                </c:pt>
                <c:pt idx="12">
                  <c:v>-6.3871062857142865E-4</c:v>
                </c:pt>
                <c:pt idx="13">
                  <c:v>-6.5660079999999997E-4</c:v>
                </c:pt>
                <c:pt idx="14">
                  <c:v>-6.7950274285714289E-4</c:v>
                </c:pt>
                <c:pt idx="15">
                  <c:v>-7.0670925714285716E-4</c:v>
                </c:pt>
                <c:pt idx="16">
                  <c:v>-7.3743742857142864E-4</c:v>
                </c:pt>
                <c:pt idx="17">
                  <c:v>-7.9729805714285717E-4</c:v>
                </c:pt>
                <c:pt idx="18">
                  <c:v>-9.3838194285714291E-4</c:v>
                </c:pt>
                <c:pt idx="19">
                  <c:v>-1.1411583428571428E-3</c:v>
                </c:pt>
                <c:pt idx="20">
                  <c:v>-1.363100342857143E-3</c:v>
                </c:pt>
                <c:pt idx="21">
                  <c:v>-1.5828392571428573E-3</c:v>
                </c:pt>
                <c:pt idx="22">
                  <c:v>-1.8098891428571431E-3</c:v>
                </c:pt>
                <c:pt idx="23">
                  <c:v>-2.0538577714285717E-3</c:v>
                </c:pt>
                <c:pt idx="24">
                  <c:v>-2.3467463428571431E-3</c:v>
                </c:pt>
                <c:pt idx="25">
                  <c:v>-2.7357348571428572E-3</c:v>
                </c:pt>
                <c:pt idx="26">
                  <c:v>-3.3312539428571432E-3</c:v>
                </c:pt>
                <c:pt idx="27">
                  <c:v>-4.3332200000000005E-3</c:v>
                </c:pt>
                <c:pt idx="28">
                  <c:v>-6.0493674285714292E-3</c:v>
                </c:pt>
                <c:pt idx="29">
                  <c:v>-8.7255600000000003E-3</c:v>
                </c:pt>
                <c:pt idx="30">
                  <c:v>-1.2177281142857144E-2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-5.3875919428571434E-4</c:v>
                </c:pt>
                <c:pt idx="1">
                  <c:v>-5.5183846857142854E-4</c:v>
                </c:pt>
                <c:pt idx="2">
                  <c:v>-5.5994022285714288E-4</c:v>
                </c:pt>
                <c:pt idx="3">
                  <c:v>-5.6813518285714294E-4</c:v>
                </c:pt>
                <c:pt idx="4">
                  <c:v>-5.7749040000000008E-4</c:v>
                </c:pt>
                <c:pt idx="5">
                  <c:v>-5.8790091428571434E-4</c:v>
                </c:pt>
                <c:pt idx="6">
                  <c:v>-6.0010474285714284E-4</c:v>
                </c:pt>
                <c:pt idx="7">
                  <c:v>-6.139406857142858E-4</c:v>
                </c:pt>
                <c:pt idx="8">
                  <c:v>-6.2946365714285719E-4</c:v>
                </c:pt>
                <c:pt idx="9">
                  <c:v>-6.4424862857142857E-4</c:v>
                </c:pt>
                <c:pt idx="10">
                  <c:v>-6.6256257142857146E-4</c:v>
                </c:pt>
                <c:pt idx="11">
                  <c:v>-6.858794285714287E-4</c:v>
                </c:pt>
                <c:pt idx="12">
                  <c:v>-7.1274022857142861E-4</c:v>
                </c:pt>
                <c:pt idx="13">
                  <c:v>-7.3821708571428582E-4</c:v>
                </c:pt>
                <c:pt idx="14">
                  <c:v>-7.6294337142857147E-4</c:v>
                </c:pt>
                <c:pt idx="15">
                  <c:v>-7.9293365714285728E-4</c:v>
                </c:pt>
                <c:pt idx="16">
                  <c:v>-8.4745777142857144E-4</c:v>
                </c:pt>
                <c:pt idx="17">
                  <c:v>-9.8356862857142862E-4</c:v>
                </c:pt>
                <c:pt idx="18">
                  <c:v>-1.209907542857143E-3</c:v>
                </c:pt>
                <c:pt idx="19">
                  <c:v>-1.4887029142857144E-3</c:v>
                </c:pt>
                <c:pt idx="20">
                  <c:v>-1.7958230857142859E-3</c:v>
                </c:pt>
                <c:pt idx="21">
                  <c:v>-2.1445940000000001E-3</c:v>
                </c:pt>
                <c:pt idx="22">
                  <c:v>-2.5784199428571428E-3</c:v>
                </c:pt>
                <c:pt idx="23">
                  <c:v>-3.2087566285714285E-3</c:v>
                </c:pt>
                <c:pt idx="24">
                  <c:v>-4.2453798857142863E-3</c:v>
                </c:pt>
                <c:pt idx="25">
                  <c:v>-5.9978668571428568E-3</c:v>
                </c:pt>
                <c:pt idx="26">
                  <c:v>-8.7140394285714282E-3</c:v>
                </c:pt>
                <c:pt idx="27">
                  <c:v>-1.2172076571428572E-2</c:v>
                </c:pt>
                <c:pt idx="28">
                  <c:v>-1.5275055428571429E-2</c:v>
                </c:pt>
                <c:pt idx="29">
                  <c:v>-1.7486284571428572E-2</c:v>
                </c:pt>
                <c:pt idx="30">
                  <c:v>-1.8844651428571429E-2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-6.2079731428571429E-4</c:v>
                </c:pt>
                <c:pt idx="1">
                  <c:v>-6.3928611428571433E-4</c:v>
                </c:pt>
                <c:pt idx="2">
                  <c:v>-6.558840571428572E-4</c:v>
                </c:pt>
                <c:pt idx="3">
                  <c:v>-6.7472948571428574E-4</c:v>
                </c:pt>
                <c:pt idx="4">
                  <c:v>-7.0008291428571429E-4</c:v>
                </c:pt>
                <c:pt idx="5">
                  <c:v>-7.2712519999999998E-4</c:v>
                </c:pt>
                <c:pt idx="6">
                  <c:v>-7.5195502857142865E-4</c:v>
                </c:pt>
                <c:pt idx="7">
                  <c:v>-7.768190857142857E-4</c:v>
                </c:pt>
                <c:pt idx="8">
                  <c:v>-8.0414577142857145E-4</c:v>
                </c:pt>
                <c:pt idx="9">
                  <c:v>-8.3242857142857153E-4</c:v>
                </c:pt>
                <c:pt idx="10">
                  <c:v>-8.6485817142857157E-4</c:v>
                </c:pt>
                <c:pt idx="11">
                  <c:v>-9.0430200000000006E-4</c:v>
                </c:pt>
                <c:pt idx="12">
                  <c:v>-9.539845714285714E-4</c:v>
                </c:pt>
                <c:pt idx="13">
                  <c:v>-1.0185461142857143E-3</c:v>
                </c:pt>
                <c:pt idx="14">
                  <c:v>-1.1103050857142859E-3</c:v>
                </c:pt>
                <c:pt idx="15">
                  <c:v>-1.2787949142857144E-3</c:v>
                </c:pt>
                <c:pt idx="16">
                  <c:v>-1.6690684000000003E-3</c:v>
                </c:pt>
                <c:pt idx="17">
                  <c:v>-2.4705964000000004E-3</c:v>
                </c:pt>
                <c:pt idx="18">
                  <c:v>-3.9668505142857148E-3</c:v>
                </c:pt>
                <c:pt idx="19">
                  <c:v>-6.4758148571428583E-3</c:v>
                </c:pt>
                <c:pt idx="20">
                  <c:v>-9.8433360000000011E-3</c:v>
                </c:pt>
                <c:pt idx="21">
                  <c:v>-1.3177162285714288E-2</c:v>
                </c:pt>
                <c:pt idx="22">
                  <c:v>-1.5779164571428573E-2</c:v>
                </c:pt>
                <c:pt idx="23">
                  <c:v>-1.7653537714285714E-2</c:v>
                </c:pt>
                <c:pt idx="24">
                  <c:v>-1.9022550285714285E-2</c:v>
                </c:pt>
                <c:pt idx="25">
                  <c:v>-1.9828010857142857E-2</c:v>
                </c:pt>
                <c:pt idx="26">
                  <c:v>-2.0948164000000002E-2</c:v>
                </c:pt>
                <c:pt idx="27">
                  <c:v>-2.1848025714285717E-2</c:v>
                </c:pt>
                <c:pt idx="28">
                  <c:v>-2.1887568571428574E-2</c:v>
                </c:pt>
                <c:pt idx="29">
                  <c:v>-2.213290285714286E-2</c:v>
                </c:pt>
                <c:pt idx="30">
                  <c:v>-2.2144656000000002E-2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-7.5780891428571431E-4</c:v>
                </c:pt>
                <c:pt idx="1">
                  <c:v>-7.9098565714285718E-4</c:v>
                </c:pt>
                <c:pt idx="2">
                  <c:v>-8.179954857142857E-4</c:v>
                </c:pt>
                <c:pt idx="3">
                  <c:v>-8.486698857142858E-4</c:v>
                </c:pt>
                <c:pt idx="4">
                  <c:v>-8.8110862857142865E-4</c:v>
                </c:pt>
                <c:pt idx="5">
                  <c:v>-9.2443062857142859E-4</c:v>
                </c:pt>
                <c:pt idx="6">
                  <c:v>-9.7719491428571443E-4</c:v>
                </c:pt>
                <c:pt idx="7">
                  <c:v>-1.0469790285714286E-3</c:v>
                </c:pt>
                <c:pt idx="8">
                  <c:v>-1.1422493142857143E-3</c:v>
                </c:pt>
                <c:pt idx="9">
                  <c:v>-1.2866492E-3</c:v>
                </c:pt>
                <c:pt idx="10">
                  <c:v>-1.5242370285714288E-3</c:v>
                </c:pt>
                <c:pt idx="11">
                  <c:v>-1.9320319428571429E-3</c:v>
                </c:pt>
                <c:pt idx="12">
                  <c:v>-2.5970217714285713E-3</c:v>
                </c:pt>
                <c:pt idx="13">
                  <c:v>-3.5571900571428573E-3</c:v>
                </c:pt>
                <c:pt idx="14">
                  <c:v>-4.6141837142857148E-3</c:v>
                </c:pt>
                <c:pt idx="15">
                  <c:v>-5.6234140000000002E-3</c:v>
                </c:pt>
                <c:pt idx="16">
                  <c:v>-6.7562577142857147E-3</c:v>
                </c:pt>
                <c:pt idx="17">
                  <c:v>-8.7672800000000006E-3</c:v>
                </c:pt>
                <c:pt idx="18">
                  <c:v>-1.1606206285714286E-2</c:v>
                </c:pt>
                <c:pt idx="19">
                  <c:v>-1.4358287428571431E-2</c:v>
                </c:pt>
                <c:pt idx="20">
                  <c:v>-1.7147691428571431E-2</c:v>
                </c:pt>
                <c:pt idx="21">
                  <c:v>-1.9091066285714286E-2</c:v>
                </c:pt>
                <c:pt idx="22">
                  <c:v>-2.0249506285714286E-2</c:v>
                </c:pt>
                <c:pt idx="23">
                  <c:v>-2.0991990857142859E-2</c:v>
                </c:pt>
                <c:pt idx="24">
                  <c:v>-2.1482561714285715E-2</c:v>
                </c:pt>
                <c:pt idx="25">
                  <c:v>-2.1599005142857144E-2</c:v>
                </c:pt>
                <c:pt idx="26">
                  <c:v>-2.1741901142857144E-2</c:v>
                </c:pt>
                <c:pt idx="27">
                  <c:v>-2.2120389142857143E-2</c:v>
                </c:pt>
                <c:pt idx="28">
                  <c:v>-2.2129644E-2</c:v>
                </c:pt>
                <c:pt idx="29">
                  <c:v>-2.2296514285714285E-2</c:v>
                </c:pt>
                <c:pt idx="30">
                  <c:v>-2.2364841142857143E-2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36796480"/>
        <c:axId val="43679883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3679648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6798832"/>
        <c:crossesAt val="-8.0000000000000019E-3"/>
        <c:crossBetween val="midCat"/>
      </c:valAx>
      <c:valAx>
        <c:axId val="4367988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67964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19220.867104717185</c:v>
                </c:pt>
                <c:pt idx="1">
                  <c:v>19221.146195609606</c:v>
                </c:pt>
                <c:pt idx="2">
                  <c:v>19221.046127292553</c:v>
                </c:pt>
                <c:pt idx="3">
                  <c:v>19221.019527029144</c:v>
                </c:pt>
                <c:pt idx="4">
                  <c:v>19221.011715854664</c:v>
                </c:pt>
                <c:pt idx="5">
                  <c:v>19221.009393614826</c:v>
                </c:pt>
                <c:pt idx="6">
                  <c:v>19221.008549164115</c:v>
                </c:pt>
                <c:pt idx="7">
                  <c:v>19221.008126938788</c:v>
                </c:pt>
                <c:pt idx="8">
                  <c:v>19221.007704713476</c:v>
                </c:pt>
                <c:pt idx="9">
                  <c:v>19221.004538024255</c:v>
                </c:pt>
                <c:pt idx="10">
                  <c:v>19220.972871189388</c:v>
                </c:pt>
                <c:pt idx="11">
                  <c:v>19220.656630789352</c:v>
                </c:pt>
                <c:pt idx="12">
                  <c:v>19217.522022648805</c:v>
                </c:pt>
                <c:pt idx="13">
                  <c:v>19187.591036210943</c:v>
                </c:pt>
                <c:pt idx="14">
                  <c:v>18970.268873208846</c:v>
                </c:pt>
                <c:pt idx="15">
                  <c:v>18608.554780097496</c:v>
                </c:pt>
                <c:pt idx="16">
                  <c:v>18345.117555460878</c:v>
                </c:pt>
                <c:pt idx="17">
                  <c:v>18078.455061098099</c:v>
                </c:pt>
                <c:pt idx="18">
                  <c:v>17780.594314231279</c:v>
                </c:pt>
                <c:pt idx="19">
                  <c:v>17407.484442433797</c:v>
                </c:pt>
                <c:pt idx="20">
                  <c:v>16718.585038318521</c:v>
                </c:pt>
                <c:pt idx="21">
                  <c:v>15028.920796385088</c:v>
                </c:pt>
                <c:pt idx="22">
                  <c:v>12746.65041699392</c:v>
                </c:pt>
                <c:pt idx="23">
                  <c:v>10873.102690179574</c:v>
                </c:pt>
                <c:pt idx="24">
                  <c:v>9527.8337696808976</c:v>
                </c:pt>
                <c:pt idx="25">
                  <c:v>8510.2356007664657</c:v>
                </c:pt>
                <c:pt idx="26">
                  <c:v>7716.426358042535</c:v>
                </c:pt>
                <c:pt idx="27">
                  <c:v>7124.3048713961189</c:v>
                </c:pt>
                <c:pt idx="28">
                  <c:v>6663.5722306479402</c:v>
                </c:pt>
                <c:pt idx="29">
                  <c:v>6260.5649269057576</c:v>
                </c:pt>
                <c:pt idx="30">
                  <c:v>5921.9085031973564</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19053.991531948868</c:v>
                </c:pt>
                <c:pt idx="1">
                  <c:v>19054.273681410777</c:v>
                </c:pt>
                <c:pt idx="2">
                  <c:v>19054.174720684852</c:v>
                </c:pt>
                <c:pt idx="3">
                  <c:v>19054.146505655717</c:v>
                </c:pt>
                <c:pt idx="4">
                  <c:v>19054.116838472557</c:v>
                </c:pt>
                <c:pt idx="5">
                  <c:v>19053.894026357066</c:v>
                </c:pt>
                <c:pt idx="6">
                  <c:v>19051.703110669547</c:v>
                </c:pt>
                <c:pt idx="7">
                  <c:v>19030.589388771721</c:v>
                </c:pt>
                <c:pt idx="8">
                  <c:v>18863.153726575543</c:v>
                </c:pt>
                <c:pt idx="9">
                  <c:v>18488.086541148401</c:v>
                </c:pt>
                <c:pt idx="10">
                  <c:v>18222.589450786771</c:v>
                </c:pt>
                <c:pt idx="11">
                  <c:v>17964.450754061414</c:v>
                </c:pt>
                <c:pt idx="12">
                  <c:v>17674.400378292765</c:v>
                </c:pt>
                <c:pt idx="13">
                  <c:v>17365.881560123013</c:v>
                </c:pt>
                <c:pt idx="14">
                  <c:v>17016.033381762583</c:v>
                </c:pt>
                <c:pt idx="15">
                  <c:v>16634.973082237128</c:v>
                </c:pt>
                <c:pt idx="16">
                  <c:v>16220.589637898043</c:v>
                </c:pt>
                <c:pt idx="17">
                  <c:v>15812.650988227435</c:v>
                </c:pt>
                <c:pt idx="18">
                  <c:v>15176.869063947086</c:v>
                </c:pt>
                <c:pt idx="19">
                  <c:v>13642.979595559715</c:v>
                </c:pt>
                <c:pt idx="20">
                  <c:v>11370.548032476103</c:v>
                </c:pt>
                <c:pt idx="21">
                  <c:v>9436.9882051668101</c:v>
                </c:pt>
                <c:pt idx="22">
                  <c:v>8100.5415142569063</c:v>
                </c:pt>
                <c:pt idx="23">
                  <c:v>7155.399536043893</c:v>
                </c:pt>
                <c:pt idx="24">
                  <c:v>6474.8014048913092</c:v>
                </c:pt>
                <c:pt idx="25">
                  <c:v>5936.0686760406115</c:v>
                </c:pt>
                <c:pt idx="26">
                  <c:v>5475.4267696242969</c:v>
                </c:pt>
                <c:pt idx="27">
                  <c:v>5019.9351665333361</c:v>
                </c:pt>
                <c:pt idx="28">
                  <c:v>4566.0885215840317</c:v>
                </c:pt>
                <c:pt idx="29">
                  <c:v>4080.9267836028635</c:v>
                </c:pt>
                <c:pt idx="30">
                  <c:v>3552.9045248269349</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18946.186065080146</c:v>
                </c:pt>
                <c:pt idx="1">
                  <c:v>18946.45682581564</c:v>
                </c:pt>
                <c:pt idx="2">
                  <c:v>18946.226268457696</c:v>
                </c:pt>
                <c:pt idx="3">
                  <c:v>18944.879548185188</c:v>
                </c:pt>
                <c:pt idx="4">
                  <c:v>18932.003901334268</c:v>
                </c:pt>
                <c:pt idx="5">
                  <c:v>18820.898661344763</c:v>
                </c:pt>
                <c:pt idx="6">
                  <c:v>18444.644496815286</c:v>
                </c:pt>
                <c:pt idx="7">
                  <c:v>18169.153573888081</c:v>
                </c:pt>
                <c:pt idx="8">
                  <c:v>17917.585271400887</c:v>
                </c:pt>
                <c:pt idx="9">
                  <c:v>17632.580430209568</c:v>
                </c:pt>
                <c:pt idx="10">
                  <c:v>17332.981127156829</c:v>
                </c:pt>
                <c:pt idx="11">
                  <c:v>16992.41283911758</c:v>
                </c:pt>
                <c:pt idx="12">
                  <c:v>16619.686769238309</c:v>
                </c:pt>
                <c:pt idx="13">
                  <c:v>16209.135264863289</c:v>
                </c:pt>
                <c:pt idx="14">
                  <c:v>15839.116571915563</c:v>
                </c:pt>
                <c:pt idx="15">
                  <c:v>15427.42836317718</c:v>
                </c:pt>
                <c:pt idx="16">
                  <c:v>14914.843064316723</c:v>
                </c:pt>
                <c:pt idx="17">
                  <c:v>14183.559082912139</c:v>
                </c:pt>
                <c:pt idx="18">
                  <c:v>12830.417150587233</c:v>
                </c:pt>
                <c:pt idx="19">
                  <c:v>10769.325539295516</c:v>
                </c:pt>
                <c:pt idx="20">
                  <c:v>8899.1954567929042</c:v>
                </c:pt>
                <c:pt idx="21">
                  <c:v>7566.4109291833647</c:v>
                </c:pt>
                <c:pt idx="22">
                  <c:v>6622.7240724893854</c:v>
                </c:pt>
                <c:pt idx="23">
                  <c:v>5926.4133844016324</c:v>
                </c:pt>
                <c:pt idx="24">
                  <c:v>5331.4423671994064</c:v>
                </c:pt>
                <c:pt idx="25">
                  <c:v>4798.683965035746</c:v>
                </c:pt>
                <c:pt idx="26">
                  <c:v>4270.0104768977053</c:v>
                </c:pt>
                <c:pt idx="27">
                  <c:v>3722.9312054221532</c:v>
                </c:pt>
                <c:pt idx="28">
                  <c:v>3115.3109933966621</c:v>
                </c:pt>
                <c:pt idx="29">
                  <c:v>2449.8630281580959</c:v>
                </c:pt>
                <c:pt idx="30">
                  <c:v>1788.8309768773254</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18835.405175881086</c:v>
                </c:pt>
                <c:pt idx="1">
                  <c:v>18833.259958952531</c:v>
                </c:pt>
                <c:pt idx="2">
                  <c:v>18809.75300956317</c:v>
                </c:pt>
                <c:pt idx="3">
                  <c:v>18629.034427445622</c:v>
                </c:pt>
                <c:pt idx="4">
                  <c:v>18263.70352027041</c:v>
                </c:pt>
                <c:pt idx="5">
                  <c:v>18003.367493882994</c:v>
                </c:pt>
                <c:pt idx="6">
                  <c:v>17746.833609947313</c:v>
                </c:pt>
                <c:pt idx="7">
                  <c:v>17460.077532721432</c:v>
                </c:pt>
                <c:pt idx="8">
                  <c:v>17153.645595683865</c:v>
                </c:pt>
                <c:pt idx="9">
                  <c:v>16806.893784464937</c:v>
                </c:pt>
                <c:pt idx="10">
                  <c:v>16429.846854111503</c:v>
                </c:pt>
                <c:pt idx="11">
                  <c:v>16023.915373216218</c:v>
                </c:pt>
                <c:pt idx="12">
                  <c:v>15656.542341195242</c:v>
                </c:pt>
                <c:pt idx="13">
                  <c:v>15229.954029906758</c:v>
                </c:pt>
                <c:pt idx="14">
                  <c:v>14716.644053491889</c:v>
                </c:pt>
                <c:pt idx="15">
                  <c:v>14150.090576751223</c:v>
                </c:pt>
                <c:pt idx="16">
                  <c:v>13560.472539849385</c:v>
                </c:pt>
                <c:pt idx="17">
                  <c:v>12542.360928151909</c:v>
                </c:pt>
                <c:pt idx="18">
                  <c:v>10656.641547846128</c:v>
                </c:pt>
                <c:pt idx="19">
                  <c:v>8763.0257996999644</c:v>
                </c:pt>
                <c:pt idx="20">
                  <c:v>7336.2170675119769</c:v>
                </c:pt>
                <c:pt idx="21">
                  <c:v>6317.7609191035253</c:v>
                </c:pt>
                <c:pt idx="22">
                  <c:v>5525.2002806170285</c:v>
                </c:pt>
                <c:pt idx="23">
                  <c:v>4868.8863168185435</c:v>
                </c:pt>
                <c:pt idx="24">
                  <c:v>4261.2189555284822</c:v>
                </c:pt>
                <c:pt idx="25">
                  <c:v>3655.3249939008292</c:v>
                </c:pt>
                <c:pt idx="26">
                  <c:v>3001.8726196007801</c:v>
                </c:pt>
                <c:pt idx="27">
                  <c:v>2307.7526643004508</c:v>
                </c:pt>
                <c:pt idx="28">
                  <c:v>1653.0654019740243</c:v>
                </c:pt>
                <c:pt idx="29">
                  <c:v>1146.0582472643589</c:v>
                </c:pt>
                <c:pt idx="30">
                  <c:v>821.201373499184</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18561.168154648341</c:v>
                </c:pt>
                <c:pt idx="1">
                  <c:v>18121.244837982198</c:v>
                </c:pt>
                <c:pt idx="2">
                  <c:v>17859.049219529443</c:v>
                </c:pt>
                <c:pt idx="3">
                  <c:v>17601.444694395013</c:v>
                </c:pt>
                <c:pt idx="4">
                  <c:v>17316.305171479904</c:v>
                </c:pt>
                <c:pt idx="5">
                  <c:v>17009.669073486239</c:v>
                </c:pt>
                <c:pt idx="6">
                  <c:v>16663.757650688218</c:v>
                </c:pt>
                <c:pt idx="7">
                  <c:v>16288.218443065973</c:v>
                </c:pt>
                <c:pt idx="8">
                  <c:v>15886.540686701621</c:v>
                </c:pt>
                <c:pt idx="9">
                  <c:v>15521.957760584179</c:v>
                </c:pt>
                <c:pt idx="10">
                  <c:v>15092.91413554903</c:v>
                </c:pt>
                <c:pt idx="11">
                  <c:v>14579.822026195356</c:v>
                </c:pt>
                <c:pt idx="12">
                  <c:v>14030.357203273577</c:v>
                </c:pt>
                <c:pt idx="13">
                  <c:v>13546.150845755861</c:v>
                </c:pt>
                <c:pt idx="14">
                  <c:v>13107.132684402939</c:v>
                </c:pt>
                <c:pt idx="15">
                  <c:v>12611.395556133355</c:v>
                </c:pt>
                <c:pt idx="16">
                  <c:v>11799.997990628914</c:v>
                </c:pt>
                <c:pt idx="17">
                  <c:v>10167.058718133751</c:v>
                </c:pt>
                <c:pt idx="18">
                  <c:v>8265.0943529002579</c:v>
                </c:pt>
                <c:pt idx="19">
                  <c:v>6717.2569516988151</c:v>
                </c:pt>
                <c:pt idx="20">
                  <c:v>5568.477251211255</c:v>
                </c:pt>
                <c:pt idx="21">
                  <c:v>4662.8872411281573</c:v>
                </c:pt>
                <c:pt idx="22">
                  <c:v>3878.344188153857</c:v>
                </c:pt>
                <c:pt idx="23">
                  <c:v>3116.4719414859778</c:v>
                </c:pt>
                <c:pt idx="24">
                  <c:v>2355.5018088369488</c:v>
                </c:pt>
                <c:pt idx="25">
                  <c:v>1667.2594170860937</c:v>
                </c:pt>
                <c:pt idx="26">
                  <c:v>1147.5734166650875</c:v>
                </c:pt>
                <c:pt idx="27">
                  <c:v>821.55250513892827</c:v>
                </c:pt>
                <c:pt idx="28">
                  <c:v>654.66210887165539</c:v>
                </c:pt>
                <c:pt idx="29">
                  <c:v>571.87677343072266</c:v>
                </c:pt>
                <c:pt idx="30">
                  <c:v>530.65454874046873</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16108.317110723878</c:v>
                </c:pt>
                <c:pt idx="1">
                  <c:v>15642.448313104966</c:v>
                </c:pt>
                <c:pt idx="2">
                  <c:v>15246.597155542559</c:v>
                </c:pt>
                <c:pt idx="3">
                  <c:v>14820.754408581606</c:v>
                </c:pt>
                <c:pt idx="4">
                  <c:v>14284.022357841532</c:v>
                </c:pt>
                <c:pt idx="5">
                  <c:v>13752.789753401477</c:v>
                </c:pt>
                <c:pt idx="6">
                  <c:v>13298.667633087174</c:v>
                </c:pt>
                <c:pt idx="7">
                  <c:v>12873.010182036134</c:v>
                </c:pt>
                <c:pt idx="8">
                  <c:v>12435.556282581601</c:v>
                </c:pt>
                <c:pt idx="9">
                  <c:v>12013.042732109147</c:v>
                </c:pt>
                <c:pt idx="10">
                  <c:v>11562.58948618363</c:v>
                </c:pt>
                <c:pt idx="11">
                  <c:v>11058.252663380154</c:v>
                </c:pt>
                <c:pt idx="12">
                  <c:v>10482.349819374138</c:v>
                </c:pt>
                <c:pt idx="13">
                  <c:v>9817.9158113158155</c:v>
                </c:pt>
                <c:pt idx="14">
                  <c:v>9006.5335452973814</c:v>
                </c:pt>
                <c:pt idx="15">
                  <c:v>7819.862190792036</c:v>
                </c:pt>
                <c:pt idx="16">
                  <c:v>5991.3662016487751</c:v>
                </c:pt>
                <c:pt idx="17">
                  <c:v>4047.605671246019</c:v>
                </c:pt>
                <c:pt idx="18">
                  <c:v>2520.8915647280537</c:v>
                </c:pt>
                <c:pt idx="19">
                  <c:v>1544.2072110770657</c:v>
                </c:pt>
                <c:pt idx="20">
                  <c:v>1015.9157423865241</c:v>
                </c:pt>
                <c:pt idx="21">
                  <c:v>758.88873364193637</c:v>
                </c:pt>
                <c:pt idx="22">
                  <c:v>633.74711346296874</c:v>
                </c:pt>
                <c:pt idx="23">
                  <c:v>566.45869863850191</c:v>
                </c:pt>
                <c:pt idx="24">
                  <c:v>525.69186832482103</c:v>
                </c:pt>
                <c:pt idx="25">
                  <c:v>504.33702462885191</c:v>
                </c:pt>
                <c:pt idx="26">
                  <c:v>477.36880425415796</c:v>
                </c:pt>
                <c:pt idx="27">
                  <c:v>457.70726063643014</c:v>
                </c:pt>
                <c:pt idx="28">
                  <c:v>456.88035047683292</c:v>
                </c:pt>
                <c:pt idx="29">
                  <c:v>451.81601638723777</c:v>
                </c:pt>
                <c:pt idx="30">
                  <c:v>451.57621775655485</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13195.938727410814</c:v>
                </c:pt>
                <c:pt idx="1">
                  <c:v>12642.454271701079</c:v>
                </c:pt>
                <c:pt idx="2">
                  <c:v>12225.006341285432</c:v>
                </c:pt>
                <c:pt idx="3">
                  <c:v>11783.144622344491</c:v>
                </c:pt>
                <c:pt idx="4">
                  <c:v>11349.338408152171</c:v>
                </c:pt>
                <c:pt idx="5">
                  <c:v>10817.469359981644</c:v>
                </c:pt>
                <c:pt idx="6">
                  <c:v>10233.372947207314</c:v>
                </c:pt>
                <c:pt idx="7">
                  <c:v>9551.2896888151608</c:v>
                </c:pt>
                <c:pt idx="8">
                  <c:v>8754.6561638807598</c:v>
                </c:pt>
                <c:pt idx="9">
                  <c:v>7772.1262330089658</c:v>
                </c:pt>
                <c:pt idx="10">
                  <c:v>6560.6594070033643</c:v>
                </c:pt>
                <c:pt idx="11">
                  <c:v>5175.897860783668</c:v>
                </c:pt>
                <c:pt idx="12">
                  <c:v>3850.5645620749624</c:v>
                </c:pt>
                <c:pt idx="13">
                  <c:v>2811.2076777904922</c:v>
                </c:pt>
                <c:pt idx="14">
                  <c:v>2167.2305697407674</c:v>
                </c:pt>
                <c:pt idx="15">
                  <c:v>1778.2791734700663</c:v>
                </c:pt>
                <c:pt idx="16">
                  <c:v>1480.1093183369221</c:v>
                </c:pt>
                <c:pt idx="17">
                  <c:v>1140.6046116925659</c:v>
                </c:pt>
                <c:pt idx="18">
                  <c:v>861.60798402391697</c:v>
                </c:pt>
                <c:pt idx="19">
                  <c:v>696.46189002325491</c:v>
                </c:pt>
                <c:pt idx="20">
                  <c:v>583.16887970925518</c:v>
                </c:pt>
                <c:pt idx="21">
                  <c:v>523.80521079029154</c:v>
                </c:pt>
                <c:pt idx="22">
                  <c:v>493.83920076386482</c:v>
                </c:pt>
                <c:pt idx="23">
                  <c:v>476.37215869867538</c:v>
                </c:pt>
                <c:pt idx="24">
                  <c:v>465.4938332307961</c:v>
                </c:pt>
                <c:pt idx="25">
                  <c:v>462.98428718634898</c:v>
                </c:pt>
                <c:pt idx="26">
                  <c:v>459.94137928850324</c:v>
                </c:pt>
                <c:pt idx="27">
                  <c:v>452.07161300003997</c:v>
                </c:pt>
                <c:pt idx="28">
                  <c:v>451.88255174823416</c:v>
                </c:pt>
                <c:pt idx="29">
                  <c:v>448.50059842794133</c:v>
                </c:pt>
                <c:pt idx="30">
                  <c:v>447.13038362867104</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116398696"/>
        <c:axId val="44181281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11639869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812816"/>
        <c:crosses val="autoZero"/>
        <c:crossBetween val="midCat"/>
      </c:valAx>
      <c:valAx>
        <c:axId val="441812816"/>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16398696"/>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22077.11293330136</c:v>
                </c:pt>
                <c:pt idx="1">
                  <c:v>22078.352945786577</c:v>
                </c:pt>
                <c:pt idx="2">
                  <c:v>22078.244313789179</c:v>
                </c:pt>
                <c:pt idx="3">
                  <c:v>22078.212560022632</c:v>
                </c:pt>
                <c:pt idx="4">
                  <c:v>22078.201696912922</c:v>
                </c:pt>
                <c:pt idx="5">
                  <c:v>22078.199190042968</c:v>
                </c:pt>
                <c:pt idx="6">
                  <c:v>22078.197518796656</c:v>
                </c:pt>
                <c:pt idx="7">
                  <c:v>22078.197518796649</c:v>
                </c:pt>
                <c:pt idx="8">
                  <c:v>22078.197518796638</c:v>
                </c:pt>
                <c:pt idx="9">
                  <c:v>22078.201696912933</c:v>
                </c:pt>
                <c:pt idx="10">
                  <c:v>22078.240135656793</c:v>
                </c:pt>
                <c:pt idx="11">
                  <c:v>22078.632887014399</c:v>
                </c:pt>
                <c:pt idx="12">
                  <c:v>22082.530239028241</c:v>
                </c:pt>
                <c:pt idx="13">
                  <c:v>22119.923684493697</c:v>
                </c:pt>
                <c:pt idx="14">
                  <c:v>22402.40153744481</c:v>
                </c:pt>
                <c:pt idx="15">
                  <c:v>22925.061824306722</c:v>
                </c:pt>
                <c:pt idx="16">
                  <c:v>23339.443599667724</c:v>
                </c:pt>
                <c:pt idx="17">
                  <c:v>23806.038411165402</c:v>
                </c:pt>
                <c:pt idx="18">
                  <c:v>24385.225134222183</c:v>
                </c:pt>
                <c:pt idx="19">
                  <c:v>24985.658945641175</c:v>
                </c:pt>
                <c:pt idx="20">
                  <c:v>25229.351383362831</c:v>
                </c:pt>
                <c:pt idx="21">
                  <c:v>23465.955404171989</c:v>
                </c:pt>
                <c:pt idx="22">
                  <c:v>19732.611611372275</c:v>
                </c:pt>
                <c:pt idx="23">
                  <c:v>16293.696505117547</c:v>
                </c:pt>
                <c:pt idx="24">
                  <c:v>13829.534502452147</c:v>
                </c:pt>
                <c:pt idx="25">
                  <c:v>12019.209306357014</c:v>
                </c:pt>
                <c:pt idx="26">
                  <c:v>10596.770898685134</c:v>
                </c:pt>
                <c:pt idx="27">
                  <c:v>9505.7307878181327</c:v>
                </c:pt>
                <c:pt idx="28">
                  <c:v>8684.1294883700029</c:v>
                </c:pt>
                <c:pt idx="29">
                  <c:v>8025.4550926029715</c:v>
                </c:pt>
                <c:pt idx="30">
                  <c:v>7552.7560006646436</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21874.164680336275</c:v>
                </c:pt>
                <c:pt idx="1">
                  <c:v>21875.490284426003</c:v>
                </c:pt>
                <c:pt idx="2">
                  <c:v>21875.38610056468</c:v>
                </c:pt>
                <c:pt idx="3">
                  <c:v>21875.358208990678</c:v>
                </c:pt>
                <c:pt idx="4">
                  <c:v>21875.375436130926</c:v>
                </c:pt>
                <c:pt idx="5">
                  <c:v>21875.639589012484</c:v>
                </c:pt>
                <c:pt idx="6">
                  <c:v>21878.301162166608</c:v>
                </c:pt>
                <c:pt idx="7">
                  <c:v>21904.062584037278</c:v>
                </c:pt>
                <c:pt idx="8">
                  <c:v>22114.554250325065</c:v>
                </c:pt>
                <c:pt idx="9">
                  <c:v>22636.187647942024</c:v>
                </c:pt>
                <c:pt idx="10">
                  <c:v>23039.585984695968</c:v>
                </c:pt>
                <c:pt idx="11">
                  <c:v>23474.488248107809</c:v>
                </c:pt>
                <c:pt idx="12">
                  <c:v>24028.010014215506</c:v>
                </c:pt>
                <c:pt idx="13">
                  <c:v>24698.563209776745</c:v>
                </c:pt>
                <c:pt idx="14">
                  <c:v>25585.152167180811</c:v>
                </c:pt>
                <c:pt idx="15">
                  <c:v>26734.282708959516</c:v>
                </c:pt>
                <c:pt idx="16">
                  <c:v>28089.588258641987</c:v>
                </c:pt>
                <c:pt idx="17">
                  <c:v>29711.982567521412</c:v>
                </c:pt>
                <c:pt idx="18">
                  <c:v>31118.270802857416</c:v>
                </c:pt>
                <c:pt idx="19">
                  <c:v>29575.131769042044</c:v>
                </c:pt>
                <c:pt idx="20">
                  <c:v>23463.157801025358</c:v>
                </c:pt>
                <c:pt idx="21">
                  <c:v>17473.618331043792</c:v>
                </c:pt>
                <c:pt idx="22">
                  <c:v>13557.378700195992</c:v>
                </c:pt>
                <c:pt idx="23">
                  <c:v>11073.621103208552</c:v>
                </c:pt>
                <c:pt idx="24">
                  <c:v>9404.2731512515529</c:v>
                </c:pt>
                <c:pt idx="25">
                  <c:v>8222.5138160550359</c:v>
                </c:pt>
                <c:pt idx="26">
                  <c:v>7332.5797117407874</c:v>
                </c:pt>
                <c:pt idx="27">
                  <c:v>6578.47302589234</c:v>
                </c:pt>
                <c:pt idx="28">
                  <c:v>5901.7368238160971</c:v>
                </c:pt>
                <c:pt idx="29">
                  <c:v>5234.1000602011209</c:v>
                </c:pt>
                <c:pt idx="30">
                  <c:v>4540.5084575532119</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21742.824013893041</c:v>
                </c:pt>
                <c:pt idx="1">
                  <c:v>21744.218041575314</c:v>
                </c:pt>
                <c:pt idx="2">
                  <c:v>21744.274779045543</c:v>
                </c:pt>
                <c:pt idx="3">
                  <c:v>21745.829500941531</c:v>
                </c:pt>
                <c:pt idx="4">
                  <c:v>21761.266373394414</c:v>
                </c:pt>
                <c:pt idx="5">
                  <c:v>21897.241301705664</c:v>
                </c:pt>
                <c:pt idx="6">
                  <c:v>22400.675819429198</c:v>
                </c:pt>
                <c:pt idx="7">
                  <c:v>22807.152260392086</c:v>
                </c:pt>
                <c:pt idx="8">
                  <c:v>23215.22263803118</c:v>
                </c:pt>
                <c:pt idx="9">
                  <c:v>23737.89157279889</c:v>
                </c:pt>
                <c:pt idx="10">
                  <c:v>24361.530231517503</c:v>
                </c:pt>
                <c:pt idx="11">
                  <c:v>25184.213890017851</c:v>
                </c:pt>
                <c:pt idx="12">
                  <c:v>26251.077606735766</c:v>
                </c:pt>
                <c:pt idx="13">
                  <c:v>27533.196460307085</c:v>
                </c:pt>
                <c:pt idx="14">
                  <c:v>29198.396564212995</c:v>
                </c:pt>
                <c:pt idx="15">
                  <c:v>31243.624069002512</c:v>
                </c:pt>
                <c:pt idx="16">
                  <c:v>34629.875886524846</c:v>
                </c:pt>
                <c:pt idx="17">
                  <c:v>39144.628576303541</c:v>
                </c:pt>
                <c:pt idx="18">
                  <c:v>38115.654395473255</c:v>
                </c:pt>
                <c:pt idx="19">
                  <c:v>27549.447953142146</c:v>
                </c:pt>
                <c:pt idx="20">
                  <c:v>18847.942254902329</c:v>
                </c:pt>
                <c:pt idx="21">
                  <c:v>13796.724796288985</c:v>
                </c:pt>
                <c:pt idx="22">
                  <c:v>10839.995594625787</c:v>
                </c:pt>
                <c:pt idx="23">
                  <c:v>8946.4858535865169</c:v>
                </c:pt>
                <c:pt idx="24">
                  <c:v>7609.7166776377044</c:v>
                </c:pt>
                <c:pt idx="25">
                  <c:v>6581.082509099756</c:v>
                </c:pt>
                <c:pt idx="26">
                  <c:v>5707.0522468566833</c:v>
                </c:pt>
                <c:pt idx="27">
                  <c:v>4901.3067275840267</c:v>
                </c:pt>
                <c:pt idx="28">
                  <c:v>4071.8305342290523</c:v>
                </c:pt>
                <c:pt idx="29">
                  <c:v>3201.8582633951432</c:v>
                </c:pt>
                <c:pt idx="30">
                  <c:v>2353.0684240833825</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21607.980195039068</c:v>
                </c:pt>
                <c:pt idx="1">
                  <c:v>21612.28965190726</c:v>
                </c:pt>
                <c:pt idx="2">
                  <c:v>21639.920405157689</c:v>
                </c:pt>
                <c:pt idx="3">
                  <c:v>21861.025612639936</c:v>
                </c:pt>
                <c:pt idx="4">
                  <c:v>22356.685120896589</c:v>
                </c:pt>
                <c:pt idx="5">
                  <c:v>22741.801785132677</c:v>
                </c:pt>
                <c:pt idx="6">
                  <c:v>23163.215268174965</c:v>
                </c:pt>
                <c:pt idx="7">
                  <c:v>23696.683106206725</c:v>
                </c:pt>
                <c:pt idx="8">
                  <c:v>24346.185281092145</c:v>
                </c:pt>
                <c:pt idx="9">
                  <c:v>25203.327484433135</c:v>
                </c:pt>
                <c:pt idx="10">
                  <c:v>26313.114636767765</c:v>
                </c:pt>
                <c:pt idx="11">
                  <c:v>27619.123013616882</c:v>
                </c:pt>
                <c:pt idx="12">
                  <c:v>29329.20324521096</c:v>
                </c:pt>
                <c:pt idx="13">
                  <c:v>31564.484853718845</c:v>
                </c:pt>
                <c:pt idx="14">
                  <c:v>35425.421047323616</c:v>
                </c:pt>
                <c:pt idx="15">
                  <c:v>41753.585702503391</c:v>
                </c:pt>
                <c:pt idx="16">
                  <c:v>49740.722928824689</c:v>
                </c:pt>
                <c:pt idx="17">
                  <c:v>50815.115098268368</c:v>
                </c:pt>
                <c:pt idx="18">
                  <c:v>35799.167732765876</c:v>
                </c:pt>
                <c:pt idx="19">
                  <c:v>22048.935230459032</c:v>
                </c:pt>
                <c:pt idx="20">
                  <c:v>14952.76379195938</c:v>
                </c:pt>
                <c:pt idx="21">
                  <c:v>11155.676444840181</c:v>
                </c:pt>
                <c:pt idx="22">
                  <c:v>8832.4901585871066</c:v>
                </c:pt>
                <c:pt idx="23">
                  <c:v>7244.1369784340341</c:v>
                </c:pt>
                <c:pt idx="24">
                  <c:v>6037.1268119875549</c:v>
                </c:pt>
                <c:pt idx="25">
                  <c:v>5018.5531608740539</c:v>
                </c:pt>
                <c:pt idx="26">
                  <c:v>4053.281332744843</c:v>
                </c:pt>
                <c:pt idx="27">
                  <c:v>3098.9559316424861</c:v>
                </c:pt>
                <c:pt idx="28">
                  <c:v>2227.2603275070496</c:v>
                </c:pt>
                <c:pt idx="29">
                  <c:v>1559.9187523003231</c:v>
                </c:pt>
                <c:pt idx="30">
                  <c:v>1133.7393389954989</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21586.906808299471</c:v>
                </c:pt>
                <c:pt idx="1">
                  <c:v>22176.891810527537</c:v>
                </c:pt>
                <c:pt idx="2">
                  <c:v>22559.065595768479</c:v>
                </c:pt>
                <c:pt idx="3">
                  <c:v>22976.965198497666</c:v>
                </c:pt>
                <c:pt idx="4">
                  <c:v>23501.057561019414</c:v>
                </c:pt>
                <c:pt idx="5">
                  <c:v>24143.930051806245</c:v>
                </c:pt>
                <c:pt idx="6">
                  <c:v>24990.1952753851</c:v>
                </c:pt>
                <c:pt idx="7">
                  <c:v>26084.746090634377</c:v>
                </c:pt>
                <c:pt idx="8">
                  <c:v>27363.900091930205</c:v>
                </c:pt>
                <c:pt idx="9">
                  <c:v>29042.692126785088</c:v>
                </c:pt>
                <c:pt idx="10">
                  <c:v>31271.504743708578</c:v>
                </c:pt>
                <c:pt idx="11">
                  <c:v>35119.126887934013</c:v>
                </c:pt>
                <c:pt idx="12">
                  <c:v>41423.269452970897</c:v>
                </c:pt>
                <c:pt idx="13">
                  <c:v>50598.783107940209</c:v>
                </c:pt>
                <c:pt idx="14">
                  <c:v>65001.528093066168</c:v>
                </c:pt>
                <c:pt idx="15">
                  <c:v>93203.355661661641</c:v>
                </c:pt>
                <c:pt idx="16">
                  <c:v>120011.3345562145</c:v>
                </c:pt>
                <c:pt idx="17">
                  <c:v>68723.485988223809</c:v>
                </c:pt>
                <c:pt idx="18">
                  <c:v>30918.78800471163</c:v>
                </c:pt>
                <c:pt idx="19">
                  <c:v>17544.308150233417</c:v>
                </c:pt>
                <c:pt idx="20">
                  <c:v>11643.607666044836</c:v>
                </c:pt>
                <c:pt idx="21">
                  <c:v>8411.2176035345219</c:v>
                </c:pt>
                <c:pt idx="22">
                  <c:v>6330.5121315583183</c:v>
                </c:pt>
                <c:pt idx="23">
                  <c:v>4771.8930156855977</c:v>
                </c:pt>
                <c:pt idx="24">
                  <c:v>3466.060474476345</c:v>
                </c:pt>
                <c:pt idx="25">
                  <c:v>2410.4416254123034</c:v>
                </c:pt>
                <c:pt idx="26">
                  <c:v>1650.4388913117341</c:v>
                </c:pt>
                <c:pt idx="27">
                  <c:v>1182.2643751491598</c:v>
                </c:pt>
                <c:pt idx="28">
                  <c:v>940.93564166891053</c:v>
                </c:pt>
                <c:pt idx="29">
                  <c:v>819.53517089041009</c:v>
                </c:pt>
                <c:pt idx="30">
                  <c:v>757.89722411263494</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25393.568386649978</c:v>
                </c:pt>
                <c:pt idx="1">
                  <c:v>27084.539949588099</c:v>
                </c:pt>
                <c:pt idx="2">
                  <c:v>28720.160081905295</c:v>
                </c:pt>
                <c:pt idx="3">
                  <c:v>31249.646209362581</c:v>
                </c:pt>
                <c:pt idx="4">
                  <c:v>35310.084689321317</c:v>
                </c:pt>
                <c:pt idx="5">
                  <c:v>41770.992704588716</c:v>
                </c:pt>
                <c:pt idx="6">
                  <c:v>50867.30499030355</c:v>
                </c:pt>
                <c:pt idx="7">
                  <c:v>66813.304689896933</c:v>
                </c:pt>
                <c:pt idx="8">
                  <c:v>100166.13841907137</c:v>
                </c:pt>
                <c:pt idx="9">
                  <c:v>239209.07365124312</c:v>
                </c:pt>
                <c:pt idx="10">
                  <c:v>-434146.00503808621</c:v>
                </c:pt>
                <c:pt idx="11">
                  <c:v>-92783.81561830506</c:v>
                </c:pt>
                <c:pt idx="12">
                  <c:v>-45575.380585679479</c:v>
                </c:pt>
                <c:pt idx="13">
                  <c:v>-27037.651675818404</c:v>
                </c:pt>
                <c:pt idx="14">
                  <c:v>-17295.988625367216</c:v>
                </c:pt>
                <c:pt idx="15">
                  <c:v>-11681.794590661575</c:v>
                </c:pt>
                <c:pt idx="16">
                  <c:v>-8676.3168132790815</c:v>
                </c:pt>
                <c:pt idx="17">
                  <c:v>-7132.3818572909804</c:v>
                </c:pt>
                <c:pt idx="18">
                  <c:v>-7054.6668959634899</c:v>
                </c:pt>
                <c:pt idx="19">
                  <c:v>-15303.918327797739</c:v>
                </c:pt>
                <c:pt idx="20">
                  <c:v>7171.6561722797296</c:v>
                </c:pt>
                <c:pt idx="21">
                  <c:v>2267.6512678891745</c:v>
                </c:pt>
                <c:pt idx="22">
                  <c:v>1342.8118972213299</c:v>
                </c:pt>
                <c:pt idx="23">
                  <c:v>1013.4861415615435</c:v>
                </c:pt>
                <c:pt idx="24">
                  <c:v>858.34766896561644</c:v>
                </c:pt>
                <c:pt idx="25">
                  <c:v>778.81671928129947</c:v>
                </c:pt>
                <c:pt idx="26">
                  <c:v>722.35727551437105</c:v>
                </c:pt>
                <c:pt idx="27">
                  <c:v>681.03462936558253</c:v>
                </c:pt>
                <c:pt idx="28">
                  <c:v>684.04508615430552</c:v>
                </c:pt>
                <c:pt idx="29">
                  <c:v>659.83679031254007</c:v>
                </c:pt>
                <c:pt idx="30">
                  <c:v>659.39001525263291</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48341.983233453284</c:v>
                </c:pt>
                <c:pt idx="1">
                  <c:v>67941.212759188784</c:v>
                </c:pt>
                <c:pt idx="2">
                  <c:v>106581.8494399214</c:v>
                </c:pt>
                <c:pt idx="3">
                  <c:v>288758.29313817841</c:v>
                </c:pt>
                <c:pt idx="4">
                  <c:v>-288065.55911220331</c:v>
                </c:pt>
                <c:pt idx="5">
                  <c:v>-79234.14359526879</c:v>
                </c:pt>
                <c:pt idx="6">
                  <c:v>-40714.818197634682</c:v>
                </c:pt>
                <c:pt idx="7">
                  <c:v>-24326.385022731254</c:v>
                </c:pt>
                <c:pt idx="8">
                  <c:v>-15427.768378593551</c:v>
                </c:pt>
                <c:pt idx="9">
                  <c:v>-9752.6488612277735</c:v>
                </c:pt>
                <c:pt idx="10">
                  <c:v>-5964.337623498428</c:v>
                </c:pt>
                <c:pt idx="11">
                  <c:v>-3517.5701927614382</c:v>
                </c:pt>
                <c:pt idx="12">
                  <c:v>-2082.5065038760617</c:v>
                </c:pt>
                <c:pt idx="13">
                  <c:v>-1304.5671943275686</c:v>
                </c:pt>
                <c:pt idx="14">
                  <c:v>-933.54237214130342</c:v>
                </c:pt>
                <c:pt idx="15">
                  <c:v>-775.18717459109746</c:v>
                </c:pt>
                <c:pt idx="16">
                  <c:v>-751.2831465372966</c:v>
                </c:pt>
                <c:pt idx="17">
                  <c:v>-886.01771893675016</c:v>
                </c:pt>
                <c:pt idx="18">
                  <c:v>-1513.0564232573886</c:v>
                </c:pt>
                <c:pt idx="19">
                  <c:v>-9284.3564959459982</c:v>
                </c:pt>
                <c:pt idx="20">
                  <c:v>2810.2536037086306</c:v>
                </c:pt>
                <c:pt idx="21">
                  <c:v>1316.3498626257301</c:v>
                </c:pt>
                <c:pt idx="22">
                  <c:v>956.82091385254694</c:v>
                </c:pt>
                <c:pt idx="23">
                  <c:v>811.61046333774709</c:v>
                </c:pt>
                <c:pt idx="24">
                  <c:v>738.99446163767857</c:v>
                </c:pt>
                <c:pt idx="25">
                  <c:v>724.39732522703719</c:v>
                </c:pt>
                <c:pt idx="26">
                  <c:v>707.07422101532052</c:v>
                </c:pt>
                <c:pt idx="27">
                  <c:v>666.37704016566681</c:v>
                </c:pt>
                <c:pt idx="28">
                  <c:v>665.87819078840846</c:v>
                </c:pt>
                <c:pt idx="29">
                  <c:v>649.26387204203775</c:v>
                </c:pt>
                <c:pt idx="30">
                  <c:v>641.08087260851198</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41813600"/>
        <c:axId val="44181634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4181360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816344"/>
        <c:crosses val="autoZero"/>
        <c:crossBetween val="midCat"/>
        <c:majorUnit val="10000"/>
      </c:valAx>
      <c:valAx>
        <c:axId val="441816344"/>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813600"/>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0.35489597935815076</c:v>
                </c:pt>
                <c:pt idx="1">
                  <c:v>0.35490202218430006</c:v>
                </c:pt>
                <c:pt idx="2">
                  <c:v>0.3549020636626749</c:v>
                </c:pt>
                <c:pt idx="3">
                  <c:v>0.35490205578029937</c:v>
                </c:pt>
                <c:pt idx="4">
                  <c:v>0.35490204335390357</c:v>
                </c:pt>
                <c:pt idx="5">
                  <c:v>0.35490204440916467</c:v>
                </c:pt>
                <c:pt idx="6">
                  <c:v>0.35490203980042623</c:v>
                </c:pt>
                <c:pt idx="7">
                  <c:v>0.35490204298777367</c:v>
                </c:pt>
                <c:pt idx="8">
                  <c:v>0.354902046175121</c:v>
                </c:pt>
                <c:pt idx="9">
                  <c:v>0.35490209753879987</c:v>
                </c:pt>
                <c:pt idx="10">
                  <c:v>0.35490258920783019</c:v>
                </c:pt>
                <c:pt idx="11">
                  <c:v>0.35490755753802411</c:v>
                </c:pt>
                <c:pt idx="12">
                  <c:v>0.35495682322457078</c:v>
                </c:pt>
                <c:pt idx="13">
                  <c:v>0.35542753741007366</c:v>
                </c:pt>
                <c:pt idx="14">
                  <c:v>0.35886729716974969</c:v>
                </c:pt>
                <c:pt idx="15">
                  <c:v>0.36471461580118525</c:v>
                </c:pt>
                <c:pt idx="16">
                  <c:v>0.368997751402251</c:v>
                </c:pt>
                <c:pt idx="17">
                  <c:v>0.37343228673851209</c:v>
                </c:pt>
                <c:pt idx="18">
                  <c:v>0.37847426589692063</c:v>
                </c:pt>
                <c:pt idx="19">
                  <c:v>0.38388349439235298</c:v>
                </c:pt>
                <c:pt idx="20">
                  <c:v>0.38955598590785695</c:v>
                </c:pt>
                <c:pt idx="21">
                  <c:v>0.3932572703907245</c:v>
                </c:pt>
                <c:pt idx="22">
                  <c:v>0.39233854200316304</c:v>
                </c:pt>
                <c:pt idx="23">
                  <c:v>0.38878007018680982</c:v>
                </c:pt>
                <c:pt idx="24">
                  <c:v>0.38517528954678487</c:v>
                </c:pt>
                <c:pt idx="25">
                  <c:v>0.38199118893972828</c:v>
                </c:pt>
                <c:pt idx="26">
                  <c:v>0.37863557002696607</c:v>
                </c:pt>
                <c:pt idx="27">
                  <c:v>0.37508754752929113</c:v>
                </c:pt>
                <c:pt idx="28">
                  <c:v>0.37211206681544845</c:v>
                </c:pt>
                <c:pt idx="29">
                  <c:v>0.36998525619072381</c:v>
                </c:pt>
                <c:pt idx="30">
                  <c:v>0.36932124505994396</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0.35482118738094864</c:v>
                </c:pt>
                <c:pt idx="1">
                  <c:v>0.35482783521903322</c:v>
                </c:pt>
                <c:pt idx="2">
                  <c:v>0.35482789779427787</c:v>
                </c:pt>
                <c:pt idx="3">
                  <c:v>0.354827927664711</c:v>
                </c:pt>
                <c:pt idx="4">
                  <c:v>0.35482826802139189</c:v>
                </c:pt>
                <c:pt idx="5">
                  <c:v>0.35483171856662499</c:v>
                </c:pt>
                <c:pt idx="6">
                  <c:v>0.35486606897663669</c:v>
                </c:pt>
                <c:pt idx="7">
                  <c:v>0.35519741436275554</c:v>
                </c:pt>
                <c:pt idx="8">
                  <c:v>0.35783756168709369</c:v>
                </c:pt>
                <c:pt idx="9">
                  <c:v>0.36387514519750819</c:v>
                </c:pt>
                <c:pt idx="10">
                  <c:v>0.36817913117817369</c:v>
                </c:pt>
                <c:pt idx="11">
                  <c:v>0.3724540831718347</c:v>
                </c:pt>
                <c:pt idx="12">
                  <c:v>0.37740418808551496</c:v>
                </c:pt>
                <c:pt idx="13">
                  <c:v>0.38281449537080187</c:v>
                </c:pt>
                <c:pt idx="14">
                  <c:v>0.389154242855551</c:v>
                </c:pt>
                <c:pt idx="15">
                  <c:v>0.39629437438480308</c:v>
                </c:pt>
                <c:pt idx="16">
                  <c:v>0.40375680905594591</c:v>
                </c:pt>
                <c:pt idx="17">
                  <c:v>0.41130037097382799</c:v>
                </c:pt>
                <c:pt idx="18">
                  <c:v>0.41871405087546681</c:v>
                </c:pt>
                <c:pt idx="19">
                  <c:v>0.42311682834247144</c:v>
                </c:pt>
                <c:pt idx="20">
                  <c:v>0.41923118981609542</c:v>
                </c:pt>
                <c:pt idx="21">
                  <c:v>0.40998822695277171</c:v>
                </c:pt>
                <c:pt idx="22">
                  <c:v>0.40041657150459081</c:v>
                </c:pt>
                <c:pt idx="23">
                  <c:v>0.3923056353269026</c:v>
                </c:pt>
                <c:pt idx="24">
                  <c:v>0.38525072058989801</c:v>
                </c:pt>
                <c:pt idx="25">
                  <c:v>0.37967855068746292</c:v>
                </c:pt>
                <c:pt idx="26">
                  <c:v>0.37554569276491812</c:v>
                </c:pt>
                <c:pt idx="27">
                  <c:v>0.37281913936625122</c:v>
                </c:pt>
                <c:pt idx="28">
                  <c:v>0.37105240773761544</c:v>
                </c:pt>
                <c:pt idx="29">
                  <c:v>0.37005321715082468</c:v>
                </c:pt>
                <c:pt idx="30">
                  <c:v>0.36958492431552026</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0.35477058198623695</c:v>
                </c:pt>
                <c:pt idx="1">
                  <c:v>0.35477781733677666</c:v>
                </c:pt>
                <c:pt idx="2">
                  <c:v>0.35477996345413693</c:v>
                </c:pt>
                <c:pt idx="3">
                  <c:v>0.35480066766085783</c:v>
                </c:pt>
                <c:pt idx="4">
                  <c:v>0.35500228114419569</c:v>
                </c:pt>
                <c:pt idx="5">
                  <c:v>0.3567483273195185</c:v>
                </c:pt>
                <c:pt idx="6">
                  <c:v>0.36276720216317948</c:v>
                </c:pt>
                <c:pt idx="7">
                  <c:v>0.3672262004593369</c:v>
                </c:pt>
                <c:pt idx="8">
                  <c:v>0.37136611789334945</c:v>
                </c:pt>
                <c:pt idx="9">
                  <c:v>0.37619947643528545</c:v>
                </c:pt>
                <c:pt idx="10">
                  <c:v>0.38141836081700342</c:v>
                </c:pt>
                <c:pt idx="11">
                  <c:v>0.38754587223220294</c:v>
                </c:pt>
                <c:pt idx="12">
                  <c:v>0.39448251091367348</c:v>
                </c:pt>
                <c:pt idx="13">
                  <c:v>0.40188126002592905</c:v>
                </c:pt>
                <c:pt idx="14">
                  <c:v>0.40958911883464649</c:v>
                </c:pt>
                <c:pt idx="15">
                  <c:v>0.41770359114388039</c:v>
                </c:pt>
                <c:pt idx="16">
                  <c:v>0.42821784330005652</c:v>
                </c:pt>
                <c:pt idx="17">
                  <c:v>0.43961044976552138</c:v>
                </c:pt>
                <c:pt idx="18">
                  <c:v>0.44389699213231482</c:v>
                </c:pt>
                <c:pt idx="19">
                  <c:v>0.43484850974380884</c:v>
                </c:pt>
                <c:pt idx="20">
                  <c:v>0.42130709958998103</c:v>
                </c:pt>
                <c:pt idx="21">
                  <c:v>0.40859653237872606</c:v>
                </c:pt>
                <c:pt idx="22">
                  <c:v>0.39817455774962407</c:v>
                </c:pt>
                <c:pt idx="23">
                  <c:v>0.38959513486840536</c:v>
                </c:pt>
                <c:pt idx="24">
                  <c:v>0.38323169370053223</c:v>
                </c:pt>
                <c:pt idx="25">
                  <c:v>0.37847278016444513</c:v>
                </c:pt>
                <c:pt idx="26">
                  <c:v>0.37530017563651091</c:v>
                </c:pt>
                <c:pt idx="27">
                  <c:v>0.37340344754492044</c:v>
                </c:pt>
                <c:pt idx="28">
                  <c:v>0.37248523863291111</c:v>
                </c:pt>
                <c:pt idx="29">
                  <c:v>0.37247702080976652</c:v>
                </c:pt>
                <c:pt idx="30">
                  <c:v>0.37329799121232177</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0.35471875817893839</c:v>
                </c:pt>
                <c:pt idx="1">
                  <c:v>0.35476427021935553</c:v>
                </c:pt>
                <c:pt idx="2">
                  <c:v>0.35513075943754374</c:v>
                </c:pt>
                <c:pt idx="3">
                  <c:v>0.35797376910597761</c:v>
                </c:pt>
                <c:pt idx="4">
                  <c:v>0.36384606795456531</c:v>
                </c:pt>
                <c:pt idx="5">
                  <c:v>0.36805965167887011</c:v>
                </c:pt>
                <c:pt idx="6">
                  <c:v>0.37230591403596053</c:v>
                </c:pt>
                <c:pt idx="7">
                  <c:v>0.37719745801225502</c:v>
                </c:pt>
                <c:pt idx="8">
                  <c:v>0.38257129814771013</c:v>
                </c:pt>
                <c:pt idx="9">
                  <c:v>0.38885797060695171</c:v>
                </c:pt>
                <c:pt idx="10">
                  <c:v>0.39593372556541445</c:v>
                </c:pt>
                <c:pt idx="11">
                  <c:v>0.40330422291518786</c:v>
                </c:pt>
                <c:pt idx="12">
                  <c:v>0.41102984620086391</c:v>
                </c:pt>
                <c:pt idx="13">
                  <c:v>0.41958285765110254</c:v>
                </c:pt>
                <c:pt idx="14">
                  <c:v>0.43076231879816651</c:v>
                </c:pt>
                <c:pt idx="15">
                  <c:v>0.44351746347578624</c:v>
                </c:pt>
                <c:pt idx="16">
                  <c:v>0.45456280842810487</c:v>
                </c:pt>
                <c:pt idx="17">
                  <c:v>0.45886276191674802</c:v>
                </c:pt>
                <c:pt idx="18">
                  <c:v>0.45038692134131919</c:v>
                </c:pt>
                <c:pt idx="19">
                  <c:v>0.43376077870951285</c:v>
                </c:pt>
                <c:pt idx="20">
                  <c:v>0.41822897347961724</c:v>
                </c:pt>
                <c:pt idx="21">
                  <c:v>0.40561216449846527</c:v>
                </c:pt>
                <c:pt idx="22">
                  <c:v>0.3957409861882622</c:v>
                </c:pt>
                <c:pt idx="23">
                  <c:v>0.38798098997590896</c:v>
                </c:pt>
                <c:pt idx="24">
                  <c:v>0.38236073526821734</c:v>
                </c:pt>
                <c:pt idx="25">
                  <c:v>0.37860628097626842</c:v>
                </c:pt>
                <c:pt idx="26">
                  <c:v>0.37656615413665595</c:v>
                </c:pt>
                <c:pt idx="27">
                  <c:v>0.37588547480692353</c:v>
                </c:pt>
                <c:pt idx="28">
                  <c:v>0.37630053975891509</c:v>
                </c:pt>
                <c:pt idx="29">
                  <c:v>0.37755150222040601</c:v>
                </c:pt>
                <c:pt idx="30">
                  <c:v>0.3792783394951591</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0.35669424279974371</c:v>
                </c:pt>
                <c:pt idx="1">
                  <c:v>0.36381285985426876</c:v>
                </c:pt>
                <c:pt idx="2">
                  <c:v>0.36805711474976932</c:v>
                </c:pt>
                <c:pt idx="3">
                  <c:v>0.37232543156202752</c:v>
                </c:pt>
                <c:pt idx="4">
                  <c:v>0.37719485157551658</c:v>
                </c:pt>
                <c:pt idx="5">
                  <c:v>0.38258146708104163</c:v>
                </c:pt>
                <c:pt idx="6">
                  <c:v>0.38886469628682918</c:v>
                </c:pt>
                <c:pt idx="7">
                  <c:v>0.39592756377954424</c:v>
                </c:pt>
                <c:pt idx="8">
                  <c:v>0.40323905685148376</c:v>
                </c:pt>
                <c:pt idx="9">
                  <c:v>0.41092447804756133</c:v>
                </c:pt>
                <c:pt idx="10">
                  <c:v>0.41955981300310613</c:v>
                </c:pt>
                <c:pt idx="11">
                  <c:v>0.43080778045953932</c:v>
                </c:pt>
                <c:pt idx="12">
                  <c:v>0.44354880968854687</c:v>
                </c:pt>
                <c:pt idx="13">
                  <c:v>0.45538051176429006</c:v>
                </c:pt>
                <c:pt idx="14">
                  <c:v>0.46639275755272308</c:v>
                </c:pt>
                <c:pt idx="15">
                  <c:v>0.47744824481442832</c:v>
                </c:pt>
                <c:pt idx="16">
                  <c:v>0.48361266176195816</c:v>
                </c:pt>
                <c:pt idx="17">
                  <c:v>0.47534307577694779</c:v>
                </c:pt>
                <c:pt idx="18">
                  <c:v>0.45544729226535463</c:v>
                </c:pt>
                <c:pt idx="19">
                  <c:v>0.43618769029269239</c:v>
                </c:pt>
                <c:pt idx="20">
                  <c:v>0.42029278480629212</c:v>
                </c:pt>
                <c:pt idx="21">
                  <c:v>0.4076057819268889</c:v>
                </c:pt>
                <c:pt idx="22">
                  <c:v>0.397892826900479</c:v>
                </c:pt>
                <c:pt idx="23">
                  <c:v>0.39115179478242412</c:v>
                </c:pt>
                <c:pt idx="24">
                  <c:v>0.38673491484147576</c:v>
                </c:pt>
                <c:pt idx="25">
                  <c:v>0.38471964365997935</c:v>
                </c:pt>
                <c:pt idx="26">
                  <c:v>0.38411431824728953</c:v>
                </c:pt>
                <c:pt idx="27">
                  <c:v>0.38418375754079576</c:v>
                </c:pt>
                <c:pt idx="28">
                  <c:v>0.38404057977325279</c:v>
                </c:pt>
                <c:pt idx="29">
                  <c:v>0.38369895648501395</c:v>
                </c:pt>
                <c:pt idx="30">
                  <c:v>0.38330551692727372</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0.39427561036024372</c:v>
                </c:pt>
                <c:pt idx="1">
                  <c:v>0.4037430680490301</c:v>
                </c:pt>
                <c:pt idx="2">
                  <c:v>0.41152209741599799</c:v>
                </c:pt>
                <c:pt idx="3">
                  <c:v>0.42095508159629863</c:v>
                </c:pt>
                <c:pt idx="4">
                  <c:v>0.4325781738016175</c:v>
                </c:pt>
                <c:pt idx="5">
                  <c:v>0.44512623528539907</c:v>
                </c:pt>
                <c:pt idx="6">
                  <c:v>0.45642693069866719</c:v>
                </c:pt>
                <c:pt idx="7">
                  <c:v>0.46788810691277705</c:v>
                </c:pt>
                <c:pt idx="8">
                  <c:v>0.47930844947728379</c:v>
                </c:pt>
                <c:pt idx="9">
                  <c:v>0.49163002574223441</c:v>
                </c:pt>
                <c:pt idx="10">
                  <c:v>0.50443882524619388</c:v>
                </c:pt>
                <c:pt idx="11">
                  <c:v>0.51986383183620388</c:v>
                </c:pt>
                <c:pt idx="12">
                  <c:v>0.53833337825768979</c:v>
                </c:pt>
                <c:pt idx="13">
                  <c:v>0.56052002302217097</c:v>
                </c:pt>
                <c:pt idx="14">
                  <c:v>0.58678826962308783</c:v>
                </c:pt>
                <c:pt idx="15">
                  <c:v>0.61156764956078513</c:v>
                </c:pt>
                <c:pt idx="16">
                  <c:v>0.61509043008662778</c:v>
                </c:pt>
                <c:pt idx="17">
                  <c:v>0.59458284184799615</c:v>
                </c:pt>
                <c:pt idx="18">
                  <c:v>0.55955612083707895</c:v>
                </c:pt>
                <c:pt idx="19">
                  <c:v>0.51681712245192568</c:v>
                </c:pt>
                <c:pt idx="20">
                  <c:v>0.47639048968183723</c:v>
                </c:pt>
                <c:pt idx="21">
                  <c:v>0.44422358614041935</c:v>
                </c:pt>
                <c:pt idx="22">
                  <c:v>0.42134079305592781</c:v>
                </c:pt>
                <c:pt idx="23">
                  <c:v>0.40684649820573399</c:v>
                </c:pt>
                <c:pt idx="24">
                  <c:v>0.39792561387968323</c:v>
                </c:pt>
                <c:pt idx="25">
                  <c:v>0.39207194877757212</c:v>
                </c:pt>
                <c:pt idx="26">
                  <c:v>0.38985856435232907</c:v>
                </c:pt>
                <c:pt idx="27">
                  <c:v>0.38798727678434231</c:v>
                </c:pt>
                <c:pt idx="28">
                  <c:v>0.38868171613136165</c:v>
                </c:pt>
                <c:pt idx="29">
                  <c:v>0.38587682514307076</c:v>
                </c:pt>
                <c:pt idx="30">
                  <c:v>0.38586011128695918</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0.45450490496812768</c:v>
                </c:pt>
                <c:pt idx="1">
                  <c:v>0.46898678097757085</c:v>
                </c:pt>
                <c:pt idx="2">
                  <c:v>0.48088322666957084</c:v>
                </c:pt>
                <c:pt idx="3">
                  <c:v>0.4931989574542967</c:v>
                </c:pt>
                <c:pt idx="4">
                  <c:v>0.50656640942148146</c:v>
                </c:pt>
                <c:pt idx="5">
                  <c:v>0.5227542253653461</c:v>
                </c:pt>
                <c:pt idx="6">
                  <c:v>0.54189045250279344</c:v>
                </c:pt>
                <c:pt idx="7">
                  <c:v>0.56543847815098824</c:v>
                </c:pt>
                <c:pt idx="8">
                  <c:v>0.59457682568474046</c:v>
                </c:pt>
                <c:pt idx="9">
                  <c:v>0.6328207741917089</c:v>
                </c:pt>
                <c:pt idx="10">
                  <c:v>0.68333020421120849</c:v>
                </c:pt>
                <c:pt idx="11">
                  <c:v>0.74524020735652441</c:v>
                </c:pt>
                <c:pt idx="12">
                  <c:v>0.80816746989810162</c:v>
                </c:pt>
                <c:pt idx="13">
                  <c:v>0.85914946735003972</c:v>
                </c:pt>
                <c:pt idx="14">
                  <c:v>0.88691880061992689</c:v>
                </c:pt>
                <c:pt idx="15">
                  <c:v>0.88233328924894572</c:v>
                </c:pt>
                <c:pt idx="16">
                  <c:v>0.82835141787283606</c:v>
                </c:pt>
                <c:pt idx="17">
                  <c:v>0.71455639605442056</c:v>
                </c:pt>
                <c:pt idx="18">
                  <c:v>0.59490811344728323</c:v>
                </c:pt>
                <c:pt idx="19">
                  <c:v>0.51250242617474107</c:v>
                </c:pt>
                <c:pt idx="20">
                  <c:v>0.46541421985666703</c:v>
                </c:pt>
                <c:pt idx="21">
                  <c:v>0.4336795855389774</c:v>
                </c:pt>
                <c:pt idx="22">
                  <c:v>0.41397916551672681</c:v>
                </c:pt>
                <c:pt idx="23">
                  <c:v>0.40217553448411786</c:v>
                </c:pt>
                <c:pt idx="24">
                  <c:v>0.39501639110185399</c:v>
                </c:pt>
                <c:pt idx="25">
                  <c:v>0.39347828163196613</c:v>
                </c:pt>
                <c:pt idx="26">
                  <c:v>0.39158578509903996</c:v>
                </c:pt>
                <c:pt idx="27">
                  <c:v>0.38693297594015463</c:v>
                </c:pt>
                <c:pt idx="28">
                  <c:v>0.38689559191669393</c:v>
                </c:pt>
                <c:pt idx="29">
                  <c:v>0.38486946069725192</c:v>
                </c:pt>
                <c:pt idx="30">
                  <c:v>0.38375611597713882</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41815168"/>
        <c:axId val="44181712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18151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1817128"/>
        <c:crosses val="autoZero"/>
        <c:crossBetween val="midCat"/>
        <c:majorUnit val="10000"/>
      </c:valAx>
      <c:valAx>
        <c:axId val="441817128"/>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1815168"/>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7031.9211529245395</c:v>
                </c:pt>
                <c:pt idx="1">
                  <c:v>7031.9907762783369</c:v>
                </c:pt>
                <c:pt idx="2">
                  <c:v>7031.9539299810422</c:v>
                </c:pt>
                <c:pt idx="3">
                  <c:v>7031.9433621725511</c:v>
                </c:pt>
                <c:pt idx="4">
                  <c:v>7031.9306469370567</c:v>
                </c:pt>
                <c:pt idx="5">
                  <c:v>7031.8305090006179</c:v>
                </c:pt>
                <c:pt idx="6">
                  <c:v>7030.8436925650376</c:v>
                </c:pt>
                <c:pt idx="7">
                  <c:v>7021.3347469085647</c:v>
                </c:pt>
                <c:pt idx="8">
                  <c:v>6946.0273669032786</c:v>
                </c:pt>
                <c:pt idx="9">
                  <c:v>6777.7782322116691</c:v>
                </c:pt>
                <c:pt idx="10">
                  <c:v>6659.4311503256295</c:v>
                </c:pt>
                <c:pt idx="11">
                  <c:v>6544.645454565718</c:v>
                </c:pt>
                <c:pt idx="12">
                  <c:v>6415.8365900058752</c:v>
                </c:pt>
                <c:pt idx="13">
                  <c:v>6279.1797519689544</c:v>
                </c:pt>
                <c:pt idx="14">
                  <c:v>6124.6018825038309</c:v>
                </c:pt>
                <c:pt idx="15">
                  <c:v>5956.8287989294422</c:v>
                </c:pt>
                <c:pt idx="16">
                  <c:v>5777.56401011038</c:v>
                </c:pt>
                <c:pt idx="17">
                  <c:v>5602.1564627366897</c:v>
                </c:pt>
                <c:pt idx="18">
                  <c:v>5348.811853446321</c:v>
                </c:pt>
                <c:pt idx="19">
                  <c:v>4793.3449045957559</c:v>
                </c:pt>
                <c:pt idx="20">
                  <c:v>4005.8829435497059</c:v>
                </c:pt>
                <c:pt idx="21">
                  <c:v>3346.4776601581179</c:v>
                </c:pt>
                <c:pt idx="22">
                  <c:v>2892.1899665732253</c:v>
                </c:pt>
                <c:pt idx="23">
                  <c:v>2569.6224142495339</c:v>
                </c:pt>
                <c:pt idx="24">
                  <c:v>2337.0503651981739</c:v>
                </c:pt>
                <c:pt idx="25">
                  <c:v>2151.250620328482</c:v>
                </c:pt>
                <c:pt idx="26">
                  <c:v>1990.2744047049448</c:v>
                </c:pt>
                <c:pt idx="27">
                  <c:v>1828.3308494849296</c:v>
                </c:pt>
                <c:pt idx="28">
                  <c:v>1665.1765081389453</c:v>
                </c:pt>
                <c:pt idx="29">
                  <c:v>1489.3314845424752</c:v>
                </c:pt>
                <c:pt idx="30">
                  <c:v>1297.0734642842888</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6992.3964680806075</c:v>
                </c:pt>
                <c:pt idx="1">
                  <c:v>6992.459052459466</c:v>
                </c:pt>
                <c:pt idx="2">
                  <c:v>6992.3628853177524</c:v>
                </c:pt>
                <c:pt idx="3">
                  <c:v>6991.7590094248426</c:v>
                </c:pt>
                <c:pt idx="4">
                  <c:v>6985.9675385002447</c:v>
                </c:pt>
                <c:pt idx="5">
                  <c:v>6936.0316435873456</c:v>
                </c:pt>
                <c:pt idx="6">
                  <c:v>6767.3497232459458</c:v>
                </c:pt>
                <c:pt idx="7">
                  <c:v>6644.5309370841214</c:v>
                </c:pt>
                <c:pt idx="8">
                  <c:v>6532.7504586905397</c:v>
                </c:pt>
                <c:pt idx="9">
                  <c:v>6406.2589516029093</c:v>
                </c:pt>
                <c:pt idx="10">
                  <c:v>6273.617616065887</c:v>
                </c:pt>
                <c:pt idx="11">
                  <c:v>6123.1895749079549</c:v>
                </c:pt>
                <c:pt idx="12">
                  <c:v>5959.0875608576071</c:v>
                </c:pt>
                <c:pt idx="13">
                  <c:v>5781.2083401997561</c:v>
                </c:pt>
                <c:pt idx="14">
                  <c:v>5618.3452185734377</c:v>
                </c:pt>
                <c:pt idx="15">
                  <c:v>5440.9922001853329</c:v>
                </c:pt>
                <c:pt idx="16">
                  <c:v>5221.4874412485688</c:v>
                </c:pt>
                <c:pt idx="17">
                  <c:v>4926.1795387850607</c:v>
                </c:pt>
                <c:pt idx="18">
                  <c:v>4442.9821588725517</c:v>
                </c:pt>
                <c:pt idx="19">
                  <c:v>3752.7744100380223</c:v>
                </c:pt>
                <c:pt idx="20">
                  <c:v>3130.6377978974938</c:v>
                </c:pt>
                <c:pt idx="21">
                  <c:v>2685.7977977575347</c:v>
                </c:pt>
                <c:pt idx="22">
                  <c:v>2368.346654493816</c:v>
                </c:pt>
                <c:pt idx="23">
                  <c:v>2132.4244867059297</c:v>
                </c:pt>
                <c:pt idx="24">
                  <c:v>1927.1689592855932</c:v>
                </c:pt>
                <c:pt idx="25">
                  <c:v>1740.579877269425</c:v>
                </c:pt>
                <c:pt idx="26">
                  <c:v>1552.3921804639763</c:v>
                </c:pt>
                <c:pt idx="27">
                  <c:v>1355.3669215252155</c:v>
                </c:pt>
                <c:pt idx="28">
                  <c:v>1134.9160288600715</c:v>
                </c:pt>
                <c:pt idx="29">
                  <c:v>892.49692017162795</c:v>
                </c:pt>
                <c:pt idx="30">
                  <c:v>651.2901745739025</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6951.7769139036336</c:v>
                </c:pt>
                <c:pt idx="1">
                  <c:v>6950.7516447504031</c:v>
                </c:pt>
                <c:pt idx="2">
                  <c:v>6940.1985301294053</c:v>
                </c:pt>
                <c:pt idx="3">
                  <c:v>6859.1289652487367</c:v>
                </c:pt>
                <c:pt idx="4">
                  <c:v>6695.6616107202954</c:v>
                </c:pt>
                <c:pt idx="5">
                  <c:v>6579.8912612434069</c:v>
                </c:pt>
                <c:pt idx="6">
                  <c:v>6466.0632255652681</c:v>
                </c:pt>
                <c:pt idx="7">
                  <c:v>6338.9884403076148</c:v>
                </c:pt>
                <c:pt idx="8">
                  <c:v>6203.5301972004399</c:v>
                </c:pt>
                <c:pt idx="9">
                  <c:v>6050.6164561665273</c:v>
                </c:pt>
                <c:pt idx="10">
                  <c:v>5884.895018012654</c:v>
                </c:pt>
                <c:pt idx="11">
                  <c:v>5709.3519393565812</c:v>
                </c:pt>
                <c:pt idx="12">
                  <c:v>5547.9132434192643</c:v>
                </c:pt>
                <c:pt idx="13">
                  <c:v>5364.2356794540465</c:v>
                </c:pt>
                <c:pt idx="14">
                  <c:v>5142.9380897638539</c:v>
                </c:pt>
                <c:pt idx="15">
                  <c:v>4901.2536857987861</c:v>
                </c:pt>
                <c:pt idx="16">
                  <c:v>4661.3568218837227</c:v>
                </c:pt>
                <c:pt idx="17">
                  <c:v>4298.6774546472579</c:v>
                </c:pt>
                <c:pt idx="18">
                  <c:v>3673.7236771243274</c:v>
                </c:pt>
                <c:pt idx="19">
                  <c:v>3055.9581241953465</c:v>
                </c:pt>
                <c:pt idx="20">
                  <c:v>2586.4007874245467</c:v>
                </c:pt>
                <c:pt idx="21">
                  <c:v>2247.3343211844494</c:v>
                </c:pt>
                <c:pt idx="22">
                  <c:v>1979.307169199863</c:v>
                </c:pt>
                <c:pt idx="23">
                  <c:v>1753.9456058771568</c:v>
                </c:pt>
                <c:pt idx="24">
                  <c:v>1541.283272452644</c:v>
                </c:pt>
                <c:pt idx="25">
                  <c:v>1325.7320252858156</c:v>
                </c:pt>
                <c:pt idx="26">
                  <c:v>1090.3481138846798</c:v>
                </c:pt>
                <c:pt idx="27">
                  <c:v>838.64271647474698</c:v>
                </c:pt>
                <c:pt idx="28">
                  <c:v>600.54666630574377</c:v>
                </c:pt>
                <c:pt idx="29">
                  <c:v>415.97655166325364</c:v>
                </c:pt>
                <c:pt idx="30">
                  <c:v>297.69240550814368</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6840.5863197092085</c:v>
                </c:pt>
                <c:pt idx="1">
                  <c:v>6643.5965561721414</c:v>
                </c:pt>
                <c:pt idx="2">
                  <c:v>6527.1577578820725</c:v>
                </c:pt>
                <c:pt idx="3">
                  <c:v>6412.9995296962652</c:v>
                </c:pt>
                <c:pt idx="4">
                  <c:v>6286.8028992665704</c:v>
                </c:pt>
                <c:pt idx="5">
                  <c:v>6151.4165633211096</c:v>
                </c:pt>
                <c:pt idx="6">
                  <c:v>5999.0572498672</c:v>
                </c:pt>
                <c:pt idx="7">
                  <c:v>5834.1918541119712</c:v>
                </c:pt>
                <c:pt idx="8">
                  <c:v>5660.667941479277</c:v>
                </c:pt>
                <c:pt idx="9">
                  <c:v>5500.6338050295499</c:v>
                </c:pt>
                <c:pt idx="10">
                  <c:v>5316.0543139142828</c:v>
                </c:pt>
                <c:pt idx="11">
                  <c:v>5094.9618199282804</c:v>
                </c:pt>
                <c:pt idx="12">
                  <c:v>4859.6753740182503</c:v>
                </c:pt>
                <c:pt idx="13">
                  <c:v>4653.8175879978271</c:v>
                </c:pt>
                <c:pt idx="14">
                  <c:v>4469.1753341299773</c:v>
                </c:pt>
                <c:pt idx="15">
                  <c:v>4267.9652571239076</c:v>
                </c:pt>
                <c:pt idx="16">
                  <c:v>3976.7785402340392</c:v>
                </c:pt>
                <c:pt idx="17">
                  <c:v>3445.6591436468279</c:v>
                </c:pt>
                <c:pt idx="18">
                  <c:v>2839.3657389117534</c:v>
                </c:pt>
                <c:pt idx="19">
                  <c:v>2338.5721090290958</c:v>
                </c:pt>
                <c:pt idx="20">
                  <c:v>1960.3272335044344</c:v>
                </c:pt>
                <c:pt idx="21">
                  <c:v>1656.3185875611684</c:v>
                </c:pt>
                <c:pt idx="22">
                  <c:v>1387.2108481854204</c:v>
                </c:pt>
                <c:pt idx="23">
                  <c:v>1120.1049206759617</c:v>
                </c:pt>
                <c:pt idx="24">
                  <c:v>849.29779427462438</c:v>
                </c:pt>
                <c:pt idx="25">
                  <c:v>602.02056954985051</c:v>
                </c:pt>
                <c:pt idx="26">
                  <c:v>414.55153000594095</c:v>
                </c:pt>
                <c:pt idx="27">
                  <c:v>296.76424848335745</c:v>
                </c:pt>
                <c:pt idx="28">
                  <c:v>236.5039430342818</c:v>
                </c:pt>
                <c:pt idx="29">
                  <c:v>206.64782998877558</c:v>
                </c:pt>
                <c:pt idx="30">
                  <c:v>191.80670583863778</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5776.5900052436255</c:v>
                </c:pt>
                <c:pt idx="1">
                  <c:v>5571.6920956359099</c:v>
                </c:pt>
                <c:pt idx="2">
                  <c:v>5400.7646013667554</c:v>
                </c:pt>
                <c:pt idx="3">
                  <c:v>5215.0678795321228</c:v>
                </c:pt>
                <c:pt idx="4">
                  <c:v>4985.425095489265</c:v>
                </c:pt>
                <c:pt idx="5">
                  <c:v>4758.3350912889036</c:v>
                </c:pt>
                <c:pt idx="6">
                  <c:v>4565.5114420012915</c:v>
                </c:pt>
                <c:pt idx="7">
                  <c:v>4384.874474223483</c:v>
                </c:pt>
                <c:pt idx="8">
                  <c:v>4203.1654341512503</c:v>
                </c:pt>
                <c:pt idx="9">
                  <c:v>4026.8171479490911</c:v>
                </c:pt>
                <c:pt idx="10">
                  <c:v>3842.8247437350828</c:v>
                </c:pt>
                <c:pt idx="11">
                  <c:v>3637.9090125528774</c:v>
                </c:pt>
                <c:pt idx="12">
                  <c:v>3407.0475124340101</c:v>
                </c:pt>
                <c:pt idx="13">
                  <c:v>3145.7192687287707</c:v>
                </c:pt>
                <c:pt idx="14">
                  <c:v>2837.9758401657195</c:v>
                </c:pt>
                <c:pt idx="15">
                  <c:v>2426.1662837806571</c:v>
                </c:pt>
                <c:pt idx="16">
                  <c:v>1854.808278855141</c:v>
                </c:pt>
                <c:pt idx="17">
                  <c:v>1269.173844412863</c:v>
                </c:pt>
                <c:pt idx="18">
                  <c:v>808.20803145416335</c:v>
                </c:pt>
                <c:pt idx="19">
                  <c:v>509.02880387480866</c:v>
                </c:pt>
                <c:pt idx="20">
                  <c:v>344.05387649356049</c:v>
                </c:pt>
                <c:pt idx="21">
                  <c:v>262.73242624087396</c:v>
                </c:pt>
                <c:pt idx="22">
                  <c:v>222.939887660718</c:v>
                </c:pt>
                <c:pt idx="23">
                  <c:v>201.32214117210117</c:v>
                </c:pt>
                <c:pt idx="24">
                  <c:v>188.02569432355588</c:v>
                </c:pt>
                <c:pt idx="25">
                  <c:v>181.14617749166206</c:v>
                </c:pt>
                <c:pt idx="26">
                  <c:v>171.73287142228415</c:v>
                </c:pt>
                <c:pt idx="27">
                  <c:v>164.88164851800227</c:v>
                </c:pt>
                <c:pt idx="28">
                  <c:v>164.50146393142782</c:v>
                </c:pt>
                <c:pt idx="29">
                  <c:v>163.00727748318997</c:v>
                </c:pt>
                <c:pt idx="30">
                  <c:v>162.92272722143832</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4536.230397827354</c:v>
                </c:pt>
                <c:pt idx="1">
                  <c:v>4303.1205029931816</c:v>
                </c:pt>
                <c:pt idx="2">
                  <c:v>4127.6064584710148</c:v>
                </c:pt>
                <c:pt idx="3">
                  <c:v>3945.604356178083</c:v>
                </c:pt>
                <c:pt idx="4">
                  <c:v>3766.6240058114313</c:v>
                </c:pt>
                <c:pt idx="5">
                  <c:v>3551.9419942460731</c:v>
                </c:pt>
                <c:pt idx="6">
                  <c:v>3318.4500658255338</c:v>
                </c:pt>
                <c:pt idx="7">
                  <c:v>3050.6755206683788</c:v>
                </c:pt>
                <c:pt idx="8">
                  <c:v>2745.1346410108995</c:v>
                </c:pt>
                <c:pt idx="9">
                  <c:v>2379.9691784471511</c:v>
                </c:pt>
                <c:pt idx="10">
                  <c:v>1948.7143373862357</c:v>
                </c:pt>
                <c:pt idx="11">
                  <c:v>1482.8611668944652</c:v>
                </c:pt>
                <c:pt idx="12">
                  <c:v>1064.7698916660522</c:v>
                </c:pt>
                <c:pt idx="13">
                  <c:v>756.04671038027936</c:v>
                </c:pt>
                <c:pt idx="14">
                  <c:v>574.27764486440731</c:v>
                </c:pt>
                <c:pt idx="15">
                  <c:v>472.36033693576201</c:v>
                </c:pt>
                <c:pt idx="16">
                  <c:v>404.76609252146119</c:v>
                </c:pt>
                <c:pt idx="17">
                  <c:v>332.62382454066642</c:v>
                </c:pt>
                <c:pt idx="18">
                  <c:v>270.11210763785351</c:v>
                </c:pt>
                <c:pt idx="19">
                  <c:v>230.23496622900356</c:v>
                </c:pt>
                <c:pt idx="20">
                  <c:v>198.97748766430533</c:v>
                </c:pt>
                <c:pt idx="21">
                  <c:v>182.67861803771595</c:v>
                </c:pt>
                <c:pt idx="22">
                  <c:v>174.62746722417066</c:v>
                </c:pt>
                <c:pt idx="23">
                  <c:v>169.86894542912563</c:v>
                </c:pt>
                <c:pt idx="24">
                  <c:v>166.84170745231376</c:v>
                </c:pt>
                <c:pt idx="25">
                  <c:v>166.12540478353452</c:v>
                </c:pt>
                <c:pt idx="26">
                  <c:v>165.25800429032441</c:v>
                </c:pt>
                <c:pt idx="27">
                  <c:v>162.97529182821398</c:v>
                </c:pt>
                <c:pt idx="28">
                  <c:v>162.91152498499585</c:v>
                </c:pt>
                <c:pt idx="29">
                  <c:v>161.92883558935978</c:v>
                </c:pt>
                <c:pt idx="30">
                  <c:v>161.56401350859798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41817520"/>
        <c:axId val="44181673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181752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816736"/>
        <c:crosses val="autoZero"/>
        <c:crossBetween val="midCat"/>
        <c:majorUnit val="10000"/>
      </c:valAx>
      <c:valAx>
        <c:axId val="441816736"/>
        <c:scaling>
          <c:logBase val="10"/>
          <c:orientation val="minMax"/>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817520"/>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1.4951216008788067E-2</c:v>
                </c:pt>
                <c:pt idx="1">
                  <c:v>2.0386475928074743E-2</c:v>
                </c:pt>
                <c:pt idx="2">
                  <c:v>5.6230890394433986E-3</c:v>
                </c:pt>
                <c:pt idx="3">
                  <c:v>9.4993167766202046E-4</c:v>
                </c:pt>
                <c:pt idx="4">
                  <c:v>1.3474461489562602E-4</c:v>
                </c:pt>
                <c:pt idx="5">
                  <c:v>2.6617260075802016E-5</c:v>
                </c:pt>
                <c:pt idx="6">
                  <c:v>1.5532850943639835E-5</c:v>
                </c:pt>
                <c:pt idx="7">
                  <c:v>2.6099253905621187E-5</c:v>
                </c:pt>
                <c:pt idx="8">
                  <c:v>7.3382234812306843E-5</c:v>
                </c:pt>
                <c:pt idx="9">
                  <c:v>1.5223890415586489E-4</c:v>
                </c:pt>
                <c:pt idx="10">
                  <c:v>2.7197904340979458E-4</c:v>
                </c:pt>
                <c:pt idx="11">
                  <c:v>5.0891775507734289E-4</c:v>
                </c:pt>
                <c:pt idx="12">
                  <c:v>9.4095813469514239E-4</c:v>
                </c:pt>
                <c:pt idx="13">
                  <c:v>1.4703044661009777E-3</c:v>
                </c:pt>
                <c:pt idx="14">
                  <c:v>1.756301754988959E-3</c:v>
                </c:pt>
                <c:pt idx="15">
                  <c:v>1.6191424680709753E-3</c:v>
                </c:pt>
                <c:pt idx="16">
                  <c:v>1.2196252170982235E-3</c:v>
                </c:pt>
                <c:pt idx="17">
                  <c:v>7.5554551289952173E-4</c:v>
                </c:pt>
                <c:pt idx="18">
                  <c:v>2.2887914075377824E-4</c:v>
                </c:pt>
                <c:pt idx="19">
                  <c:v>3.1484569595076226E-4</c:v>
                </c:pt>
                <c:pt idx="20">
                  <c:v>6.8333596642884947E-4</c:v>
                </c:pt>
                <c:pt idx="21">
                  <c:v>5.8136028846757747E-4</c:v>
                </c:pt>
                <c:pt idx="22">
                  <c:v>1.5135493441789427E-4</c:v>
                </c:pt>
                <c:pt idx="23">
                  <c:v>9.4858055920505143E-5</c:v>
                </c:pt>
                <c:pt idx="24">
                  <c:v>2.6524536529737209E-5</c:v>
                </c:pt>
                <c:pt idx="25">
                  <c:v>4.1563337468124263E-4</c:v>
                </c:pt>
                <c:pt idx="26">
                  <c:v>1.4915555889958023E-3</c:v>
                </c:pt>
                <c:pt idx="27">
                  <c:v>2.4224247607456469E-3</c:v>
                </c:pt>
                <c:pt idx="28">
                  <c:v>1.6904570156415972E-3</c:v>
                </c:pt>
                <c:pt idx="29">
                  <c:v>3.6640209039104349E-4</c:v>
                </c:pt>
                <c:pt idx="30">
                  <c:v>1.2174705057497343E-4</c:v>
                </c:pt>
              </c:numCache>
            </c:numRef>
          </c:yVal>
          <c:smooth val="1"/>
        </c:ser>
        <c:dLbls>
          <c:showLegendKey val="0"/>
          <c:showVal val="0"/>
          <c:showCatName val="0"/>
          <c:showSerName val="0"/>
          <c:showPercent val="0"/>
          <c:showBubbleSize val="0"/>
        </c:dLbls>
        <c:axId val="441819480"/>
        <c:axId val="441819872"/>
      </c:scatterChart>
      <c:valAx>
        <c:axId val="44181948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819872"/>
        <c:crossesAt val="-1.5000000000000005E-3"/>
        <c:crossBetween val="midCat"/>
      </c:valAx>
      <c:valAx>
        <c:axId val="441819872"/>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819480"/>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4536.230397827354</c:v>
                </c:pt>
                <c:pt idx="1">
                  <c:v>4303.1205029931816</c:v>
                </c:pt>
                <c:pt idx="2">
                  <c:v>4127.6064584710148</c:v>
                </c:pt>
                <c:pt idx="3">
                  <c:v>3945.604356178083</c:v>
                </c:pt>
                <c:pt idx="4">
                  <c:v>3766.6240058114313</c:v>
                </c:pt>
                <c:pt idx="5">
                  <c:v>3551.9419942460731</c:v>
                </c:pt>
                <c:pt idx="6">
                  <c:v>3318.4500658255338</c:v>
                </c:pt>
                <c:pt idx="7">
                  <c:v>3050.6755206683788</c:v>
                </c:pt>
                <c:pt idx="8">
                  <c:v>2745.1346410108995</c:v>
                </c:pt>
                <c:pt idx="9">
                  <c:v>2379.9691784471511</c:v>
                </c:pt>
                <c:pt idx="10">
                  <c:v>1948.7143373862357</c:v>
                </c:pt>
                <c:pt idx="11">
                  <c:v>1482.8611668944652</c:v>
                </c:pt>
                <c:pt idx="12">
                  <c:v>1064.7698916660522</c:v>
                </c:pt>
                <c:pt idx="13">
                  <c:v>756.04671038027936</c:v>
                </c:pt>
                <c:pt idx="14">
                  <c:v>574.27764486440731</c:v>
                </c:pt>
                <c:pt idx="15">
                  <c:v>472.36033693576201</c:v>
                </c:pt>
                <c:pt idx="16">
                  <c:v>404.76609252146119</c:v>
                </c:pt>
                <c:pt idx="17">
                  <c:v>332.62382454066642</c:v>
                </c:pt>
                <c:pt idx="18">
                  <c:v>270.11210763785351</c:v>
                </c:pt>
                <c:pt idx="19">
                  <c:v>230.23496622900356</c:v>
                </c:pt>
                <c:pt idx="20">
                  <c:v>198.97748766430533</c:v>
                </c:pt>
                <c:pt idx="21">
                  <c:v>182.67861803771595</c:v>
                </c:pt>
                <c:pt idx="22">
                  <c:v>174.62746722417066</c:v>
                </c:pt>
                <c:pt idx="23">
                  <c:v>169.86894542912563</c:v>
                </c:pt>
                <c:pt idx="24">
                  <c:v>166.84170745231376</c:v>
                </c:pt>
                <c:pt idx="25">
                  <c:v>166.12540478353452</c:v>
                </c:pt>
                <c:pt idx="26">
                  <c:v>165.25800429032441</c:v>
                </c:pt>
                <c:pt idx="27">
                  <c:v>162.97529182821398</c:v>
                </c:pt>
                <c:pt idx="28">
                  <c:v>162.91152498499585</c:v>
                </c:pt>
                <c:pt idx="29">
                  <c:v>161.92883558935978</c:v>
                </c:pt>
                <c:pt idx="30">
                  <c:v>161.56401350859798</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4468.4082372838066</c:v>
                </c:pt>
                <c:pt idx="1">
                  <c:v>4390.845965543057</c:v>
                </c:pt>
                <c:pt idx="2">
                  <c:v>4104.3965598352506</c:v>
                </c:pt>
                <c:pt idx="3">
                  <c:v>3949.3524107435378</c:v>
                </c:pt>
                <c:pt idx="4">
                  <c:v>3766.1164735103116</c:v>
                </c:pt>
                <c:pt idx="5">
                  <c:v>3552.0365372099081</c:v>
                </c:pt>
                <c:pt idx="6">
                  <c:v>3318.3985208352974</c:v>
                </c:pt>
                <c:pt idx="7">
                  <c:v>3050.7551410233764</c:v>
                </c:pt>
                <c:pt idx="8">
                  <c:v>2744.9331968960814</c:v>
                </c:pt>
                <c:pt idx="9">
                  <c:v>2380.3315023468026</c:v>
                </c:pt>
                <c:pt idx="10">
                  <c:v>1948.1843279248744</c:v>
                </c:pt>
                <c:pt idx="11">
                  <c:v>1483.6158212706125</c:v>
                </c:pt>
                <c:pt idx="12">
                  <c:v>1063.7679877749106</c:v>
                </c:pt>
                <c:pt idx="13">
                  <c:v>757.15832923513244</c:v>
                </c:pt>
                <c:pt idx="14">
                  <c:v>573.26904002888102</c:v>
                </c:pt>
                <c:pt idx="15">
                  <c:v>473.12515561752701</c:v>
                </c:pt>
                <c:pt idx="16">
                  <c:v>404.2724295879957</c:v>
                </c:pt>
                <c:pt idx="17">
                  <c:v>332.8751369787816</c:v>
                </c:pt>
                <c:pt idx="18">
                  <c:v>270.05028461075017</c:v>
                </c:pt>
                <c:pt idx="19">
                  <c:v>230.16247774082899</c:v>
                </c:pt>
                <c:pt idx="20">
                  <c:v>199.113456138136</c:v>
                </c:pt>
                <c:pt idx="21">
                  <c:v>182.57241594363668</c:v>
                </c:pt>
                <c:pt idx="22">
                  <c:v>174.65389795301994</c:v>
                </c:pt>
                <c:pt idx="23">
                  <c:v>169.8850588670503</c:v>
                </c:pt>
                <c:pt idx="24">
                  <c:v>166.84613285127776</c:v>
                </c:pt>
                <c:pt idx="25">
                  <c:v>166.19445204614499</c:v>
                </c:pt>
                <c:pt idx="26">
                  <c:v>165.01151279039888</c:v>
                </c:pt>
                <c:pt idx="27">
                  <c:v>163.3700872105284</c:v>
                </c:pt>
                <c:pt idx="28">
                  <c:v>162.63613005465609</c:v>
                </c:pt>
                <c:pt idx="29">
                  <c:v>161.98816665321431</c:v>
                </c:pt>
                <c:pt idx="30">
                  <c:v>161.54434356647425</c:v>
                </c:pt>
              </c:numCache>
            </c:numRef>
          </c:yVal>
          <c:smooth val="1"/>
        </c:ser>
        <c:dLbls>
          <c:showLegendKey val="0"/>
          <c:showVal val="0"/>
          <c:showCatName val="0"/>
          <c:showSerName val="0"/>
          <c:showPercent val="0"/>
          <c:showBubbleSize val="0"/>
        </c:dLbls>
        <c:axId val="441813992"/>
        <c:axId val="441814384"/>
      </c:scatterChart>
      <c:valAx>
        <c:axId val="4418139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814384"/>
        <c:crosses val="autoZero"/>
        <c:crossBetween val="midCat"/>
      </c:valAx>
      <c:valAx>
        <c:axId val="44181438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813992"/>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0</c:v>
                </c:pt>
                <c:pt idx="1">
                  <c:v>0</c:v>
                </c:pt>
                <c:pt idx="2">
                  <c:v>0</c:v>
                </c:pt>
                <c:pt idx="3">
                  <c:v>0</c:v>
                </c:pt>
                <c:pt idx="4">
                  <c:v>0</c:v>
                </c:pt>
                <c:pt idx="5">
                  <c:v>0</c:v>
                </c:pt>
                <c:pt idx="6">
                  <c:v>0</c:v>
                </c:pt>
                <c:pt idx="7">
                  <c:v>0</c:v>
                </c:pt>
                <c:pt idx="8">
                  <c:v>0</c:v>
                </c:pt>
                <c:pt idx="9">
                  <c:v>0</c:v>
                </c:pt>
                <c:pt idx="10">
                  <c:v>1.4198494647022469E-2</c:v>
                </c:pt>
                <c:pt idx="11">
                  <c:v>1.4179275501701727E-2</c:v>
                </c:pt>
                <c:pt idx="12">
                  <c:v>1.3988779500532815E-2</c:v>
                </c:pt>
                <c:pt idx="13">
                  <c:v>1.2169266070071308E-2</c:v>
                </c:pt>
                <c:pt idx="14">
                  <c:v>1.0582602453494824E-3</c:v>
                </c:pt>
                <c:pt idx="15">
                  <c:v>1.8574113295471251E-2</c:v>
                </c:pt>
                <c:pt idx="16">
                  <c:v>2.2213011303280666E-2</c:v>
                </c:pt>
                <c:pt idx="17">
                  <c:v>0.26406636064495959</c:v>
                </c:pt>
                <c:pt idx="18">
                  <c:v>0.30564767822467237</c:v>
                </c:pt>
                <c:pt idx="19">
                  <c:v>0.2879846501927053</c:v>
                </c:pt>
                <c:pt idx="20">
                  <c:v>0.25563526470976849</c:v>
                </c:pt>
                <c:pt idx="21">
                  <c:v>0</c:v>
                </c:pt>
                <c:pt idx="22">
                  <c:v>0</c:v>
                </c:pt>
                <c:pt idx="23">
                  <c:v>0</c:v>
                </c:pt>
                <c:pt idx="24">
                  <c:v>0</c:v>
                </c:pt>
                <c:pt idx="25">
                  <c:v>0</c:v>
                </c:pt>
                <c:pt idx="26">
                  <c:v>0</c:v>
                </c:pt>
                <c:pt idx="27">
                  <c:v>0</c:v>
                </c:pt>
                <c:pt idx="28">
                  <c:v>0</c:v>
                </c:pt>
                <c:pt idx="29">
                  <c:v>0</c:v>
                </c:pt>
                <c:pt idx="30">
                  <c:v>0</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5.8448057563924224E-3</c:v>
                </c:pt>
                <c:pt idx="1">
                  <c:v>5.9931721992700767E-3</c:v>
                </c:pt>
                <c:pt idx="2">
                  <c:v>7.5228586562003713E-3</c:v>
                </c:pt>
                <c:pt idx="3">
                  <c:v>1.9430945620345107E-2</c:v>
                </c:pt>
                <c:pt idx="4">
                  <c:v>4.4318751198729731E-2</c:v>
                </c:pt>
                <c:pt idx="5">
                  <c:v>6.268798984595636E-2</c:v>
                </c:pt>
                <c:pt idx="6">
                  <c:v>8.1343571678795676E-2</c:v>
                </c:pt>
                <c:pt idx="7">
                  <c:v>0.10249186957247379</c:v>
                </c:pt>
                <c:pt idx="8">
                  <c:v>0.1212005222367542</c:v>
                </c:pt>
                <c:pt idx="9">
                  <c:v>9.8385415619865468E-2</c:v>
                </c:pt>
                <c:pt idx="10">
                  <c:v>0.14206423432260418</c:v>
                </c:pt>
                <c:pt idx="11">
                  <c:v>0.21564833665035602</c:v>
                </c:pt>
                <c:pt idx="12">
                  <c:v>0.19282702676734215</c:v>
                </c:pt>
                <c:pt idx="13">
                  <c:v>0.1652130093938449</c:v>
                </c:pt>
                <c:pt idx="14">
                  <c:v>0.12954778196328073</c:v>
                </c:pt>
                <c:pt idx="15">
                  <c:v>8.9254466651211117E-2</c:v>
                </c:pt>
                <c:pt idx="16">
                  <c:v>6.5551515896678847E-2</c:v>
                </c:pt>
                <c:pt idx="17">
                  <c:v>5.2944123566580126E-2</c:v>
                </c:pt>
                <c:pt idx="18">
                  <c:v>6.8010497659865637E-2</c:v>
                </c:pt>
                <c:pt idx="19">
                  <c:v>0.22141910228805206</c:v>
                </c:pt>
                <c:pt idx="20">
                  <c:v>0.358358442800149</c:v>
                </c:pt>
                <c:pt idx="21">
                  <c:v>0.45686385274738345</c:v>
                </c:pt>
                <c:pt idx="22">
                  <c:v>0.5147475584176977</c:v>
                </c:pt>
                <c:pt idx="23">
                  <c:v>0.52955675448323403</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c:v>
                </c:pt>
                <c:pt idx="1">
                  <c:v>0</c:v>
                </c:pt>
                <c:pt idx="2">
                  <c:v>0</c:v>
                </c:pt>
                <c:pt idx="3">
                  <c:v>0</c:v>
                </c:pt>
                <c:pt idx="4">
                  <c:v>0</c:v>
                </c:pt>
                <c:pt idx="5">
                  <c:v>0</c:v>
                </c:pt>
                <c:pt idx="6">
                  <c:v>0</c:v>
                </c:pt>
                <c:pt idx="7">
                  <c:v>0</c:v>
                </c:pt>
                <c:pt idx="8">
                  <c:v>0</c:v>
                </c:pt>
                <c:pt idx="9">
                  <c:v>0</c:v>
                </c:pt>
                <c:pt idx="10">
                  <c:v>0.15770405280334496</c:v>
                </c:pt>
                <c:pt idx="11">
                  <c:v>0.12194225793643543</c:v>
                </c:pt>
                <c:pt idx="12">
                  <c:v>8.72564801057579E-2</c:v>
                </c:pt>
                <c:pt idx="13">
                  <c:v>9.5945915880411126E-2</c:v>
                </c:pt>
                <c:pt idx="14">
                  <c:v>0.10433104145193407</c:v>
                </c:pt>
                <c:pt idx="15">
                  <c:v>0.10052220163001843</c:v>
                </c:pt>
                <c:pt idx="16">
                  <c:v>8.5818472657313377E-2</c:v>
                </c:pt>
                <c:pt idx="17">
                  <c:v>1.0622400045176294E-2</c:v>
                </c:pt>
                <c:pt idx="18">
                  <c:v>0.11121937802774659</c:v>
                </c:pt>
                <c:pt idx="19">
                  <c:v>0.22407983136242257</c:v>
                </c:pt>
                <c:pt idx="20">
                  <c:v>0.28567745813712397</c:v>
                </c:pt>
                <c:pt idx="21">
                  <c:v>0</c:v>
                </c:pt>
                <c:pt idx="22">
                  <c:v>0</c:v>
                </c:pt>
                <c:pt idx="23">
                  <c:v>0</c:v>
                </c:pt>
                <c:pt idx="24">
                  <c:v>0</c:v>
                </c:pt>
                <c:pt idx="25">
                  <c:v>0</c:v>
                </c:pt>
                <c:pt idx="26">
                  <c:v>0</c:v>
                </c:pt>
                <c:pt idx="27">
                  <c:v>0</c:v>
                </c:pt>
                <c:pt idx="28">
                  <c:v>0</c:v>
                </c:pt>
                <c:pt idx="29">
                  <c:v>0</c:v>
                </c:pt>
                <c:pt idx="30">
                  <c:v>0</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c:v>
                </c:pt>
                <c:pt idx="1">
                  <c:v>0</c:v>
                </c:pt>
                <c:pt idx="2">
                  <c:v>0</c:v>
                </c:pt>
                <c:pt idx="3">
                  <c:v>0</c:v>
                </c:pt>
                <c:pt idx="4">
                  <c:v>0</c:v>
                </c:pt>
                <c:pt idx="5">
                  <c:v>0</c:v>
                </c:pt>
                <c:pt idx="6">
                  <c:v>0</c:v>
                </c:pt>
                <c:pt idx="7">
                  <c:v>0</c:v>
                </c:pt>
                <c:pt idx="8">
                  <c:v>0</c:v>
                </c:pt>
                <c:pt idx="9">
                  <c:v>0</c:v>
                </c:pt>
                <c:pt idx="10">
                  <c:v>2.340128171037561E-4</c:v>
                </c:pt>
                <c:pt idx="11">
                  <c:v>5.5860322906007697E-4</c:v>
                </c:pt>
                <c:pt idx="12">
                  <c:v>8.8658273201996614E-4</c:v>
                </c:pt>
                <c:pt idx="13">
                  <c:v>1.5166102414742276E-3</c:v>
                </c:pt>
                <c:pt idx="14">
                  <c:v>1.7250092474030241E-3</c:v>
                </c:pt>
                <c:pt idx="15">
                  <c:v>1.6395447772810535E-3</c:v>
                </c:pt>
                <c:pt idx="16">
                  <c:v>1.1959506897083088E-3</c:v>
                </c:pt>
                <c:pt idx="17">
                  <c:v>7.8383688500039631E-4</c:v>
                </c:pt>
                <c:pt idx="18">
                  <c:v>2.0838005296778723E-4</c:v>
                </c:pt>
                <c:pt idx="19">
                  <c:v>2.956531434272346E-4</c:v>
                </c:pt>
                <c:pt idx="20">
                  <c:v>6.9646351542956614E-4</c:v>
                </c:pt>
                <c:pt idx="21">
                  <c:v>0</c:v>
                </c:pt>
                <c:pt idx="22">
                  <c:v>0</c:v>
                </c:pt>
                <c:pt idx="23">
                  <c:v>0</c:v>
                </c:pt>
                <c:pt idx="24">
                  <c:v>0</c:v>
                </c:pt>
                <c:pt idx="25">
                  <c:v>0</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441815560"/>
        <c:axId val="441815952"/>
      </c:scatterChart>
      <c:valAx>
        <c:axId val="44181556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815952"/>
        <c:crossesAt val="1.0000000000000005E-9"/>
        <c:crossBetween val="midCat"/>
      </c:valAx>
      <c:valAx>
        <c:axId val="4418159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815560"/>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-50</c:v>
                </c:pt>
                <c:pt idx="1">
                  <c:v>-41.485547632440884</c:v>
                </c:pt>
                <c:pt idx="2">
                  <c:v>-36.73997630133357</c:v>
                </c:pt>
                <c:pt idx="3">
                  <c:v>-34.144820425158869</c:v>
                </c:pt>
                <c:pt idx="4">
                  <c:v>-26.113282202449902</c:v>
                </c:pt>
                <c:pt idx="5">
                  <c:v>-13.439271440555542</c:v>
                </c:pt>
                <c:pt idx="6">
                  <c:v>0</c:v>
                </c:pt>
              </c:numCache>
            </c:numRef>
          </c:yVal>
          <c:smooth val="0"/>
        </c:ser>
        <c:dLbls>
          <c:showLegendKey val="0"/>
          <c:showVal val="0"/>
          <c:showCatName val="0"/>
          <c:showSerName val="0"/>
          <c:showPercent val="0"/>
          <c:showBubbleSize val="0"/>
        </c:dLbls>
        <c:axId val="442267288"/>
        <c:axId val="442272776"/>
      </c:scatterChart>
      <c:valAx>
        <c:axId val="4422672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2272776"/>
        <c:crossesAt val="-100"/>
        <c:crossBetween val="midCat"/>
      </c:valAx>
      <c:valAx>
        <c:axId val="442272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2267288"/>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0"/>
        </c:ser>
        <c:dLbls>
          <c:showLegendKey val="0"/>
          <c:showVal val="0"/>
          <c:showCatName val="0"/>
          <c:showSerName val="0"/>
          <c:showPercent val="0"/>
          <c:showBubbleSize val="0"/>
        </c:dLbls>
        <c:axId val="442268072"/>
        <c:axId val="442269640"/>
      </c:scatterChart>
      <c:valAx>
        <c:axId val="442268072"/>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2269640"/>
        <c:crosses val="autoZero"/>
        <c:crossBetween val="midCat"/>
      </c:valAx>
      <c:valAx>
        <c:axId val="442269640"/>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2268072"/>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1.9287498479639179E-37</c:v>
                </c:pt>
                <c:pt idx="1">
                  <c:v>1.9287498479639179E-36</c:v>
                </c:pt>
                <c:pt idx="2">
                  <c:v>1.9287498479639179E-35</c:v>
                </c:pt>
                <c:pt idx="3">
                  <c:v>1.928749847963918E-34</c:v>
                </c:pt>
                <c:pt idx="4">
                  <c:v>1.9287498479639178E-33</c:v>
                </c:pt>
                <c:pt idx="5">
                  <c:v>1.9287498479639181E-32</c:v>
                </c:pt>
                <c:pt idx="6">
                  <c:v>1.928749847963918E-31</c:v>
                </c:pt>
                <c:pt idx="7">
                  <c:v>1.9287498479639181E-30</c:v>
                </c:pt>
                <c:pt idx="8">
                  <c:v>1.9287498479639179E-29</c:v>
                </c:pt>
                <c:pt idx="9">
                  <c:v>1.9287498479639178E-28</c:v>
                </c:pt>
                <c:pt idx="10">
                  <c:v>1.9287498479639181E-27</c:v>
                </c:pt>
                <c:pt idx="11">
                  <c:v>1.928749847963918E-26</c:v>
                </c:pt>
                <c:pt idx="12">
                  <c:v>1.9287498479639179E-25</c:v>
                </c:pt>
                <c:pt idx="13">
                  <c:v>1.9287498479639181E-24</c:v>
                </c:pt>
                <c:pt idx="14">
                  <c:v>1.9287498479639179E-23</c:v>
                </c:pt>
                <c:pt idx="15">
                  <c:v>1.9287498479639181E-22</c:v>
                </c:pt>
                <c:pt idx="16">
                  <c:v>1.9287498479639181E-21</c:v>
                </c:pt>
                <c:pt idx="17">
                  <c:v>1.9287498479639181E-20</c:v>
                </c:pt>
                <c:pt idx="18">
                  <c:v>1.9287498479639179E-19</c:v>
                </c:pt>
                <c:pt idx="19">
                  <c:v>1.928749847963918E-18</c:v>
                </c:pt>
                <c:pt idx="20">
                  <c:v>1.928749847963918E-17</c:v>
                </c:pt>
                <c:pt idx="21">
                  <c:v>1.928749847963918E-16</c:v>
                </c:pt>
                <c:pt idx="22">
                  <c:v>1.9287498479639181E-15</c:v>
                </c:pt>
                <c:pt idx="23">
                  <c:v>1.928749847963918E-14</c:v>
                </c:pt>
                <c:pt idx="24">
                  <c:v>1.9287498479639179E-13</c:v>
                </c:pt>
                <c:pt idx="25">
                  <c:v>1.9287498479639181E-12</c:v>
                </c:pt>
                <c:pt idx="26">
                  <c:v>1.9287498479639181E-11</c:v>
                </c:pt>
                <c:pt idx="27">
                  <c:v>1.928749847963918E-10</c:v>
                </c:pt>
                <c:pt idx="28">
                  <c:v>1.928749847963918E-9</c:v>
                </c:pt>
                <c:pt idx="29">
                  <c:v>1.9287498479639179E-8</c:v>
                </c:pt>
                <c:pt idx="30">
                  <c:v>1.9287498479639179E-7</c:v>
                </c:pt>
              </c:numCache>
            </c:numRef>
          </c:xVal>
          <c:yVal>
            <c:numRef>
              <c:f>'Mastercurve bestimmen'!$J$404:$J$434</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9.6173536112391776E-34</c:v>
                </c:pt>
                <c:pt idx="1">
                  <c:v>9.6173536112391776E-33</c:v>
                </c:pt>
                <c:pt idx="2">
                  <c:v>9.6173536112391784E-32</c:v>
                </c:pt>
                <c:pt idx="3">
                  <c:v>9.6173536112391777E-31</c:v>
                </c:pt>
                <c:pt idx="4">
                  <c:v>9.6173536112391767E-30</c:v>
                </c:pt>
                <c:pt idx="5">
                  <c:v>9.6173536112391781E-29</c:v>
                </c:pt>
                <c:pt idx="6">
                  <c:v>9.6173536112391776E-28</c:v>
                </c:pt>
                <c:pt idx="7">
                  <c:v>9.617353611239178E-27</c:v>
                </c:pt>
                <c:pt idx="8">
                  <c:v>9.6173536112391774E-26</c:v>
                </c:pt>
                <c:pt idx="9">
                  <c:v>9.6173536112391779E-25</c:v>
                </c:pt>
                <c:pt idx="10">
                  <c:v>9.6173536112391779E-24</c:v>
                </c:pt>
                <c:pt idx="11">
                  <c:v>9.6173536112391776E-23</c:v>
                </c:pt>
                <c:pt idx="12">
                  <c:v>9.6173536112391776E-22</c:v>
                </c:pt>
                <c:pt idx="13">
                  <c:v>9.6173536112391783E-21</c:v>
                </c:pt>
                <c:pt idx="14">
                  <c:v>9.6173536112391777E-20</c:v>
                </c:pt>
                <c:pt idx="15">
                  <c:v>9.6173536112391773E-19</c:v>
                </c:pt>
                <c:pt idx="16">
                  <c:v>9.6173536112391773E-18</c:v>
                </c:pt>
                <c:pt idx="17">
                  <c:v>9.6173536112391779E-17</c:v>
                </c:pt>
                <c:pt idx="18">
                  <c:v>9.6173536112391771E-16</c:v>
                </c:pt>
                <c:pt idx="19">
                  <c:v>9.6173536112391783E-15</c:v>
                </c:pt>
                <c:pt idx="20">
                  <c:v>9.617353611239178E-14</c:v>
                </c:pt>
                <c:pt idx="21">
                  <c:v>9.6173536112391785E-13</c:v>
                </c:pt>
                <c:pt idx="22">
                  <c:v>9.6173536112391781E-12</c:v>
                </c:pt>
                <c:pt idx="23">
                  <c:v>9.6173536112391771E-11</c:v>
                </c:pt>
                <c:pt idx="24">
                  <c:v>9.6173536112391784E-10</c:v>
                </c:pt>
                <c:pt idx="25">
                  <c:v>9.6173536112391772E-9</c:v>
                </c:pt>
                <c:pt idx="26">
                  <c:v>9.6173536112391778E-8</c:v>
                </c:pt>
                <c:pt idx="27">
                  <c:v>9.6173536112391784E-7</c:v>
                </c:pt>
                <c:pt idx="28">
                  <c:v>9.6173536112391784E-6</c:v>
                </c:pt>
                <c:pt idx="29">
                  <c:v>9.6173536112391774E-5</c:v>
                </c:pt>
                <c:pt idx="30">
                  <c:v>9.6173536112391779E-4</c:v>
                </c:pt>
              </c:numCache>
            </c:numRef>
          </c:xVal>
          <c:yVal>
            <c:numRef>
              <c:f>'Mastercurve bestimmen'!$K$404:$K$434</c:f>
              <c:numCache>
                <c:formatCode>0.00E+00</c:formatCode>
                <c:ptCount val="31"/>
                <c:pt idx="0">
                  <c:v>7031.9211529245395</c:v>
                </c:pt>
                <c:pt idx="1">
                  <c:v>7031.9907762783369</c:v>
                </c:pt>
                <c:pt idx="2">
                  <c:v>7031.9539299810422</c:v>
                </c:pt>
                <c:pt idx="3">
                  <c:v>7031.9433621725511</c:v>
                </c:pt>
                <c:pt idx="4">
                  <c:v>7031.9306469370567</c:v>
                </c:pt>
                <c:pt idx="5">
                  <c:v>7031.8305090006179</c:v>
                </c:pt>
                <c:pt idx="6">
                  <c:v>7030.8436925650376</c:v>
                </c:pt>
                <c:pt idx="7">
                  <c:v>7021.3347469085647</c:v>
                </c:pt>
                <c:pt idx="8">
                  <c:v>6946.0273669032786</c:v>
                </c:pt>
                <c:pt idx="9">
                  <c:v>6777.7782322116691</c:v>
                </c:pt>
                <c:pt idx="10">
                  <c:v>6659.4311503256295</c:v>
                </c:pt>
                <c:pt idx="11">
                  <c:v>6544.645454565718</c:v>
                </c:pt>
                <c:pt idx="12">
                  <c:v>6415.8365900058752</c:v>
                </c:pt>
                <c:pt idx="13">
                  <c:v>6279.1797519689544</c:v>
                </c:pt>
                <c:pt idx="14">
                  <c:v>6124.6018825038309</c:v>
                </c:pt>
                <c:pt idx="15">
                  <c:v>5956.8287989294422</c:v>
                </c:pt>
                <c:pt idx="16">
                  <c:v>5777.56401011038</c:v>
                </c:pt>
                <c:pt idx="17">
                  <c:v>5602.1564627366897</c:v>
                </c:pt>
                <c:pt idx="18">
                  <c:v>5348.811853446321</c:v>
                </c:pt>
                <c:pt idx="19">
                  <c:v>4793.3449045957559</c:v>
                </c:pt>
                <c:pt idx="20">
                  <c:v>4005.8829435497059</c:v>
                </c:pt>
                <c:pt idx="21">
                  <c:v>3346.4776601581179</c:v>
                </c:pt>
                <c:pt idx="22">
                  <c:v>2892.1899665732253</c:v>
                </c:pt>
                <c:pt idx="23">
                  <c:v>2569.6224142495339</c:v>
                </c:pt>
                <c:pt idx="24">
                  <c:v>2337.0503651981739</c:v>
                </c:pt>
                <c:pt idx="25">
                  <c:v>2151.250620328482</c:v>
                </c:pt>
                <c:pt idx="26">
                  <c:v>1990.2744047049448</c:v>
                </c:pt>
                <c:pt idx="27">
                  <c:v>1828.3308494849296</c:v>
                </c:pt>
                <c:pt idx="28">
                  <c:v>1665.1765081389453</c:v>
                </c:pt>
                <c:pt idx="29">
                  <c:v>1489.3314845424752</c:v>
                </c:pt>
                <c:pt idx="30">
                  <c:v>1297.0734642842888</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1.1067028467487688E-31</c:v>
                </c:pt>
                <c:pt idx="1">
                  <c:v>1.1067028467487688E-30</c:v>
                </c:pt>
                <c:pt idx="2">
                  <c:v>1.1067028467487687E-29</c:v>
                </c:pt>
                <c:pt idx="3">
                  <c:v>1.1067028467487687E-28</c:v>
                </c:pt>
                <c:pt idx="4">
                  <c:v>1.1067028467487687E-27</c:v>
                </c:pt>
                <c:pt idx="5">
                  <c:v>1.1067028467487688E-26</c:v>
                </c:pt>
                <c:pt idx="6">
                  <c:v>1.1067028467487687E-25</c:v>
                </c:pt>
                <c:pt idx="7">
                  <c:v>1.1067028467487687E-24</c:v>
                </c:pt>
                <c:pt idx="8">
                  <c:v>1.1067028467487686E-23</c:v>
                </c:pt>
                <c:pt idx="9">
                  <c:v>1.1067028467487686E-22</c:v>
                </c:pt>
                <c:pt idx="10">
                  <c:v>1.1067028467487687E-21</c:v>
                </c:pt>
                <c:pt idx="11">
                  <c:v>1.1067028467487688E-20</c:v>
                </c:pt>
                <c:pt idx="12">
                  <c:v>1.1067028467487687E-19</c:v>
                </c:pt>
                <c:pt idx="13">
                  <c:v>1.1067028467487688E-18</c:v>
                </c:pt>
                <c:pt idx="14">
                  <c:v>1.1067028467487688E-17</c:v>
                </c:pt>
                <c:pt idx="15">
                  <c:v>1.1067028467487687E-16</c:v>
                </c:pt>
                <c:pt idx="16">
                  <c:v>1.1067028467487686E-15</c:v>
                </c:pt>
                <c:pt idx="17">
                  <c:v>1.1067028467487687E-14</c:v>
                </c:pt>
                <c:pt idx="18">
                  <c:v>1.1067028467487687E-13</c:v>
                </c:pt>
                <c:pt idx="19">
                  <c:v>1.1067028467487688E-12</c:v>
                </c:pt>
                <c:pt idx="20">
                  <c:v>1.1067028467487688E-11</c:v>
                </c:pt>
                <c:pt idx="21">
                  <c:v>1.1067028467487687E-10</c:v>
                </c:pt>
                <c:pt idx="22">
                  <c:v>1.1067028467487687E-9</c:v>
                </c:pt>
                <c:pt idx="23">
                  <c:v>1.1067028467487687E-8</c:v>
                </c:pt>
                <c:pt idx="24">
                  <c:v>1.1067028467487687E-7</c:v>
                </c:pt>
                <c:pt idx="25">
                  <c:v>1.1067028467487687E-6</c:v>
                </c:pt>
                <c:pt idx="26">
                  <c:v>1.1067028467487688E-5</c:v>
                </c:pt>
                <c:pt idx="27">
                  <c:v>1.1067028467487687E-4</c:v>
                </c:pt>
                <c:pt idx="28">
                  <c:v>1.1067028467487687E-3</c:v>
                </c:pt>
                <c:pt idx="29">
                  <c:v>1.1067028467487687E-2</c:v>
                </c:pt>
                <c:pt idx="30">
                  <c:v>0.11067028467487687</c:v>
                </c:pt>
              </c:numCache>
            </c:numRef>
          </c:xVal>
          <c:yVal>
            <c:numRef>
              <c:f>'Mastercurve bestimmen'!$L$404:$L$434</c:f>
              <c:numCache>
                <c:formatCode>0.00E+00</c:formatCode>
                <c:ptCount val="31"/>
                <c:pt idx="0">
                  <c:v>6992.3964680806075</c:v>
                </c:pt>
                <c:pt idx="1">
                  <c:v>6992.459052459466</c:v>
                </c:pt>
                <c:pt idx="2">
                  <c:v>6992.3628853177524</c:v>
                </c:pt>
                <c:pt idx="3">
                  <c:v>6991.7590094248426</c:v>
                </c:pt>
                <c:pt idx="4">
                  <c:v>6985.9675385002447</c:v>
                </c:pt>
                <c:pt idx="5">
                  <c:v>6936.0316435873456</c:v>
                </c:pt>
                <c:pt idx="6">
                  <c:v>6767.3497232459458</c:v>
                </c:pt>
                <c:pt idx="7">
                  <c:v>6644.5309370841214</c:v>
                </c:pt>
                <c:pt idx="8">
                  <c:v>6532.7504586905397</c:v>
                </c:pt>
                <c:pt idx="9">
                  <c:v>6406.2589516029093</c:v>
                </c:pt>
                <c:pt idx="10">
                  <c:v>6273.617616065887</c:v>
                </c:pt>
                <c:pt idx="11">
                  <c:v>6123.1895749079549</c:v>
                </c:pt>
                <c:pt idx="12">
                  <c:v>5959.0875608576071</c:v>
                </c:pt>
                <c:pt idx="13">
                  <c:v>5781.2083401997561</c:v>
                </c:pt>
                <c:pt idx="14">
                  <c:v>5618.3452185734377</c:v>
                </c:pt>
                <c:pt idx="15">
                  <c:v>5440.9922001853329</c:v>
                </c:pt>
                <c:pt idx="16">
                  <c:v>5221.4874412485688</c:v>
                </c:pt>
                <c:pt idx="17">
                  <c:v>4926.1795387850607</c:v>
                </c:pt>
                <c:pt idx="18">
                  <c:v>4442.9821588725517</c:v>
                </c:pt>
                <c:pt idx="19">
                  <c:v>3752.7744100380223</c:v>
                </c:pt>
                <c:pt idx="20">
                  <c:v>3130.6377978974938</c:v>
                </c:pt>
                <c:pt idx="21">
                  <c:v>2685.7977977575347</c:v>
                </c:pt>
                <c:pt idx="22">
                  <c:v>2368.346654493816</c:v>
                </c:pt>
                <c:pt idx="23">
                  <c:v>2132.4244867059297</c:v>
                </c:pt>
                <c:pt idx="24">
                  <c:v>1927.1689592855932</c:v>
                </c:pt>
                <c:pt idx="25">
                  <c:v>1740.579877269425</c:v>
                </c:pt>
                <c:pt idx="26">
                  <c:v>1552.3921804639763</c:v>
                </c:pt>
                <c:pt idx="27">
                  <c:v>1355.3669215252155</c:v>
                </c:pt>
                <c:pt idx="28">
                  <c:v>1134.9160288600715</c:v>
                </c:pt>
                <c:pt idx="29">
                  <c:v>892.49692017162795</c:v>
                </c:pt>
                <c:pt idx="30">
                  <c:v>651.2901745739025</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1.482835257632964E-30</c:v>
                </c:pt>
                <c:pt idx="1">
                  <c:v>1.4828352576329638E-29</c:v>
                </c:pt>
                <c:pt idx="2">
                  <c:v>1.4828352576329639E-28</c:v>
                </c:pt>
                <c:pt idx="3">
                  <c:v>1.4828352576329639E-27</c:v>
                </c:pt>
                <c:pt idx="4">
                  <c:v>1.4828352576329639E-26</c:v>
                </c:pt>
                <c:pt idx="5">
                  <c:v>1.4828352576329639E-25</c:v>
                </c:pt>
                <c:pt idx="6">
                  <c:v>1.482835257632964E-24</c:v>
                </c:pt>
                <c:pt idx="7">
                  <c:v>1.4828352576329641E-23</c:v>
                </c:pt>
                <c:pt idx="8">
                  <c:v>1.482835257632964E-22</c:v>
                </c:pt>
                <c:pt idx="9">
                  <c:v>1.4828352576329639E-21</c:v>
                </c:pt>
                <c:pt idx="10">
                  <c:v>1.4828352576329639E-20</c:v>
                </c:pt>
                <c:pt idx="11">
                  <c:v>1.4828352576329641E-19</c:v>
                </c:pt>
                <c:pt idx="12">
                  <c:v>1.482835257632964E-18</c:v>
                </c:pt>
                <c:pt idx="13">
                  <c:v>1.4828352576329639E-17</c:v>
                </c:pt>
                <c:pt idx="14">
                  <c:v>1.4828352576329641E-16</c:v>
                </c:pt>
                <c:pt idx="15">
                  <c:v>1.482835257632964E-15</c:v>
                </c:pt>
                <c:pt idx="16">
                  <c:v>1.482835257632964E-14</c:v>
                </c:pt>
                <c:pt idx="17">
                  <c:v>1.482835257632964E-13</c:v>
                </c:pt>
                <c:pt idx="18">
                  <c:v>1.4828352576329639E-12</c:v>
                </c:pt>
                <c:pt idx="19">
                  <c:v>1.482835257632964E-11</c:v>
                </c:pt>
                <c:pt idx="20">
                  <c:v>1.4828352576329638E-10</c:v>
                </c:pt>
                <c:pt idx="21">
                  <c:v>1.4828352576329639E-9</c:v>
                </c:pt>
                <c:pt idx="22">
                  <c:v>1.482835257632964E-8</c:v>
                </c:pt>
                <c:pt idx="23">
                  <c:v>1.4828352576329639E-7</c:v>
                </c:pt>
                <c:pt idx="24">
                  <c:v>1.4828352576329639E-6</c:v>
                </c:pt>
                <c:pt idx="25">
                  <c:v>1.4828352576329639E-5</c:v>
                </c:pt>
                <c:pt idx="26">
                  <c:v>1.482835257632964E-4</c:v>
                </c:pt>
                <c:pt idx="27">
                  <c:v>1.4828352576329638E-3</c:v>
                </c:pt>
                <c:pt idx="28">
                  <c:v>1.482835257632964E-2</c:v>
                </c:pt>
                <c:pt idx="29">
                  <c:v>0.1482835257632964</c:v>
                </c:pt>
                <c:pt idx="30">
                  <c:v>1.482835257632964</c:v>
                </c:pt>
              </c:numCache>
            </c:numRef>
          </c:xVal>
          <c:yVal>
            <c:numRef>
              <c:f>'Mastercurve bestimmen'!$M$404:$M$434</c:f>
              <c:numCache>
                <c:formatCode>0.00E+00</c:formatCode>
                <c:ptCount val="31"/>
                <c:pt idx="0">
                  <c:v>6951.7769139036336</c:v>
                </c:pt>
                <c:pt idx="1">
                  <c:v>6950.7516447504031</c:v>
                </c:pt>
                <c:pt idx="2">
                  <c:v>6940.1985301294053</c:v>
                </c:pt>
                <c:pt idx="3">
                  <c:v>6859.1289652487367</c:v>
                </c:pt>
                <c:pt idx="4">
                  <c:v>6695.6616107202954</c:v>
                </c:pt>
                <c:pt idx="5">
                  <c:v>6579.8912612434069</c:v>
                </c:pt>
                <c:pt idx="6">
                  <c:v>6466.0632255652681</c:v>
                </c:pt>
                <c:pt idx="7">
                  <c:v>6338.9884403076148</c:v>
                </c:pt>
                <c:pt idx="8">
                  <c:v>6203.5301972004399</c:v>
                </c:pt>
                <c:pt idx="9">
                  <c:v>6050.6164561665273</c:v>
                </c:pt>
                <c:pt idx="10">
                  <c:v>5884.895018012654</c:v>
                </c:pt>
                <c:pt idx="11">
                  <c:v>5709.3519393565812</c:v>
                </c:pt>
                <c:pt idx="12">
                  <c:v>5547.9132434192643</c:v>
                </c:pt>
                <c:pt idx="13">
                  <c:v>5364.2356794540465</c:v>
                </c:pt>
                <c:pt idx="14">
                  <c:v>5142.9380897638539</c:v>
                </c:pt>
                <c:pt idx="15">
                  <c:v>4901.2536857987861</c:v>
                </c:pt>
                <c:pt idx="16">
                  <c:v>4661.3568218837227</c:v>
                </c:pt>
                <c:pt idx="17">
                  <c:v>4298.6774546472579</c:v>
                </c:pt>
                <c:pt idx="18">
                  <c:v>3673.7236771243274</c:v>
                </c:pt>
                <c:pt idx="19">
                  <c:v>3055.9581241953465</c:v>
                </c:pt>
                <c:pt idx="20">
                  <c:v>2586.4007874245467</c:v>
                </c:pt>
                <c:pt idx="21">
                  <c:v>2247.3343211844494</c:v>
                </c:pt>
                <c:pt idx="22">
                  <c:v>1979.307169199863</c:v>
                </c:pt>
                <c:pt idx="23">
                  <c:v>1753.9456058771568</c:v>
                </c:pt>
                <c:pt idx="24">
                  <c:v>1541.283272452644</c:v>
                </c:pt>
                <c:pt idx="25">
                  <c:v>1325.7320252858156</c:v>
                </c:pt>
                <c:pt idx="26">
                  <c:v>1090.3481138846798</c:v>
                </c:pt>
                <c:pt idx="27">
                  <c:v>838.64271647474698</c:v>
                </c:pt>
                <c:pt idx="28">
                  <c:v>600.54666630574377</c:v>
                </c:pt>
                <c:pt idx="29">
                  <c:v>415.97655166325364</c:v>
                </c:pt>
                <c:pt idx="30">
                  <c:v>297.69240550814368</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4.5618986773554561E-27</c:v>
                </c:pt>
                <c:pt idx="1">
                  <c:v>4.5618986773554558E-26</c:v>
                </c:pt>
                <c:pt idx="2">
                  <c:v>4.5618986773554559E-25</c:v>
                </c:pt>
                <c:pt idx="3">
                  <c:v>4.5618986773554556E-24</c:v>
                </c:pt>
                <c:pt idx="4">
                  <c:v>4.5618986773554556E-23</c:v>
                </c:pt>
                <c:pt idx="5">
                  <c:v>4.5618986773554559E-22</c:v>
                </c:pt>
                <c:pt idx="6">
                  <c:v>4.5618986773554565E-21</c:v>
                </c:pt>
                <c:pt idx="7">
                  <c:v>4.5618986773554559E-20</c:v>
                </c:pt>
                <c:pt idx="8">
                  <c:v>4.5618986773554561E-19</c:v>
                </c:pt>
                <c:pt idx="9">
                  <c:v>4.5618986773554553E-18</c:v>
                </c:pt>
                <c:pt idx="10">
                  <c:v>4.5618986773554564E-17</c:v>
                </c:pt>
                <c:pt idx="11">
                  <c:v>4.5618986773554563E-16</c:v>
                </c:pt>
                <c:pt idx="12">
                  <c:v>4.5618986773554563E-15</c:v>
                </c:pt>
                <c:pt idx="13">
                  <c:v>4.561898677355456E-14</c:v>
                </c:pt>
                <c:pt idx="14">
                  <c:v>4.561898677355456E-13</c:v>
                </c:pt>
                <c:pt idx="15">
                  <c:v>4.5618986773554556E-12</c:v>
                </c:pt>
                <c:pt idx="16">
                  <c:v>4.5618986773554561E-11</c:v>
                </c:pt>
                <c:pt idx="17">
                  <c:v>4.5618986773554561E-10</c:v>
                </c:pt>
                <c:pt idx="18">
                  <c:v>4.5618986773554557E-9</c:v>
                </c:pt>
                <c:pt idx="19">
                  <c:v>4.5618986773554562E-8</c:v>
                </c:pt>
                <c:pt idx="20">
                  <c:v>4.5618986773554558E-7</c:v>
                </c:pt>
                <c:pt idx="21">
                  <c:v>4.5618986773554562E-6</c:v>
                </c:pt>
                <c:pt idx="22">
                  <c:v>4.561898677355456E-5</c:v>
                </c:pt>
                <c:pt idx="23">
                  <c:v>4.561898677355456E-4</c:v>
                </c:pt>
                <c:pt idx="24">
                  <c:v>4.5618986773554556E-3</c:v>
                </c:pt>
                <c:pt idx="25">
                  <c:v>4.5618986773554561E-2</c:v>
                </c:pt>
                <c:pt idx="26">
                  <c:v>0.4561898677355456</c:v>
                </c:pt>
                <c:pt idx="27">
                  <c:v>4.5618986773554555</c:v>
                </c:pt>
                <c:pt idx="28">
                  <c:v>45.61898677355456</c:v>
                </c:pt>
                <c:pt idx="29">
                  <c:v>456.18986773554559</c:v>
                </c:pt>
                <c:pt idx="30">
                  <c:v>4561.8986773554561</c:v>
                </c:pt>
              </c:numCache>
            </c:numRef>
          </c:xVal>
          <c:yVal>
            <c:numRef>
              <c:f>'Mastercurve bestimmen'!$N$404:$N$434</c:f>
              <c:numCache>
                <c:formatCode>0.00E+00</c:formatCode>
                <c:ptCount val="31"/>
                <c:pt idx="0">
                  <c:v>6840.5863197092085</c:v>
                </c:pt>
                <c:pt idx="1">
                  <c:v>6643.5965561721414</c:v>
                </c:pt>
                <c:pt idx="2">
                  <c:v>6527.1577578820725</c:v>
                </c:pt>
                <c:pt idx="3">
                  <c:v>6412.9995296962652</c:v>
                </c:pt>
                <c:pt idx="4">
                  <c:v>6286.8028992665704</c:v>
                </c:pt>
                <c:pt idx="5">
                  <c:v>6151.4165633211096</c:v>
                </c:pt>
                <c:pt idx="6">
                  <c:v>5999.0572498672</c:v>
                </c:pt>
                <c:pt idx="7">
                  <c:v>5834.1918541119712</c:v>
                </c:pt>
                <c:pt idx="8">
                  <c:v>5660.667941479277</c:v>
                </c:pt>
                <c:pt idx="9">
                  <c:v>5500.6338050295499</c:v>
                </c:pt>
                <c:pt idx="10">
                  <c:v>5316.0543139142828</c:v>
                </c:pt>
                <c:pt idx="11">
                  <c:v>5094.9618199282804</c:v>
                </c:pt>
                <c:pt idx="12">
                  <c:v>4859.6753740182503</c:v>
                </c:pt>
                <c:pt idx="13">
                  <c:v>4653.8175879978271</c:v>
                </c:pt>
                <c:pt idx="14">
                  <c:v>4469.1753341299773</c:v>
                </c:pt>
                <c:pt idx="15">
                  <c:v>4267.9652571239076</c:v>
                </c:pt>
                <c:pt idx="16">
                  <c:v>3976.7785402340392</c:v>
                </c:pt>
                <c:pt idx="17">
                  <c:v>3445.6591436468279</c:v>
                </c:pt>
                <c:pt idx="18">
                  <c:v>2839.3657389117534</c:v>
                </c:pt>
                <c:pt idx="19">
                  <c:v>2338.5721090290958</c:v>
                </c:pt>
                <c:pt idx="20">
                  <c:v>1960.3272335044344</c:v>
                </c:pt>
                <c:pt idx="21">
                  <c:v>1656.3185875611684</c:v>
                </c:pt>
                <c:pt idx="22">
                  <c:v>1387.2108481854204</c:v>
                </c:pt>
                <c:pt idx="23">
                  <c:v>1120.1049206759617</c:v>
                </c:pt>
                <c:pt idx="24">
                  <c:v>849.29779427462438</c:v>
                </c:pt>
                <c:pt idx="25">
                  <c:v>602.02056954985051</c:v>
                </c:pt>
                <c:pt idx="26">
                  <c:v>414.55153000594095</c:v>
                </c:pt>
                <c:pt idx="27">
                  <c:v>296.76424848335745</c:v>
                </c:pt>
                <c:pt idx="28">
                  <c:v>236.5039430342818</c:v>
                </c:pt>
                <c:pt idx="29">
                  <c:v>206.64782998877558</c:v>
                </c:pt>
                <c:pt idx="30">
                  <c:v>191.80670583863778</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1.4567954372767252E-21</c:v>
                </c:pt>
                <c:pt idx="1">
                  <c:v>1.4567954372767249E-20</c:v>
                </c:pt>
                <c:pt idx="2">
                  <c:v>1.456795437276725E-19</c:v>
                </c:pt>
                <c:pt idx="3">
                  <c:v>1.456795437276725E-18</c:v>
                </c:pt>
                <c:pt idx="4">
                  <c:v>1.456795437276725E-17</c:v>
                </c:pt>
                <c:pt idx="5">
                  <c:v>1.4567954372767252E-16</c:v>
                </c:pt>
                <c:pt idx="6">
                  <c:v>1.4567954372767251E-15</c:v>
                </c:pt>
                <c:pt idx="7">
                  <c:v>1.456795437276725E-14</c:v>
                </c:pt>
                <c:pt idx="8">
                  <c:v>1.4567954372767249E-13</c:v>
                </c:pt>
                <c:pt idx="9">
                  <c:v>1.4567954372767251E-12</c:v>
                </c:pt>
                <c:pt idx="10">
                  <c:v>1.4567954372767253E-11</c:v>
                </c:pt>
                <c:pt idx="11">
                  <c:v>1.456795437276725E-10</c:v>
                </c:pt>
                <c:pt idx="12">
                  <c:v>1.4567954372767251E-9</c:v>
                </c:pt>
                <c:pt idx="13">
                  <c:v>1.4567954372767251E-8</c:v>
                </c:pt>
                <c:pt idx="14">
                  <c:v>1.4567954372767251E-7</c:v>
                </c:pt>
                <c:pt idx="15">
                  <c:v>1.4567954372767251E-6</c:v>
                </c:pt>
                <c:pt idx="16">
                  <c:v>1.4567954372767249E-5</c:v>
                </c:pt>
                <c:pt idx="17">
                  <c:v>1.4567954372767249E-4</c:v>
                </c:pt>
                <c:pt idx="18">
                  <c:v>1.4567954372767251E-3</c:v>
                </c:pt>
                <c:pt idx="19">
                  <c:v>1.456795437276725E-2</c:v>
                </c:pt>
                <c:pt idx="20">
                  <c:v>0.1456795437276725</c:v>
                </c:pt>
                <c:pt idx="21">
                  <c:v>1.4567954372767251</c:v>
                </c:pt>
                <c:pt idx="22">
                  <c:v>14.56795437276725</c:v>
                </c:pt>
                <c:pt idx="23">
                  <c:v>145.6795437276725</c:v>
                </c:pt>
                <c:pt idx="24">
                  <c:v>1456.7954372767251</c:v>
                </c:pt>
                <c:pt idx="25">
                  <c:v>14567.95437276725</c:v>
                </c:pt>
                <c:pt idx="26">
                  <c:v>145679.54372767251</c:v>
                </c:pt>
                <c:pt idx="27">
                  <c:v>1456795.437276725</c:v>
                </c:pt>
                <c:pt idx="28">
                  <c:v>14567954.372767251</c:v>
                </c:pt>
                <c:pt idx="29">
                  <c:v>145679543.72767249</c:v>
                </c:pt>
                <c:pt idx="30">
                  <c:v>1456795437.2767251</c:v>
                </c:pt>
              </c:numCache>
            </c:numRef>
          </c:xVal>
          <c:yVal>
            <c:numRef>
              <c:f>'Mastercurve bestimmen'!$O$404:$O$434</c:f>
              <c:numCache>
                <c:formatCode>0.00E+00</c:formatCode>
                <c:ptCount val="31"/>
                <c:pt idx="0">
                  <c:v>5776.5900052436255</c:v>
                </c:pt>
                <c:pt idx="1">
                  <c:v>5571.6920956359099</c:v>
                </c:pt>
                <c:pt idx="2">
                  <c:v>5400.7646013667554</c:v>
                </c:pt>
                <c:pt idx="3">
                  <c:v>5215.0678795321228</c:v>
                </c:pt>
                <c:pt idx="4">
                  <c:v>4985.425095489265</c:v>
                </c:pt>
                <c:pt idx="5">
                  <c:v>4758.3350912889036</c:v>
                </c:pt>
                <c:pt idx="6">
                  <c:v>4565.5114420012915</c:v>
                </c:pt>
                <c:pt idx="7">
                  <c:v>4384.874474223483</c:v>
                </c:pt>
                <c:pt idx="8">
                  <c:v>4203.1654341512503</c:v>
                </c:pt>
                <c:pt idx="9">
                  <c:v>4026.8171479490911</c:v>
                </c:pt>
                <c:pt idx="10">
                  <c:v>3842.8247437350828</c:v>
                </c:pt>
                <c:pt idx="11">
                  <c:v>3637.9090125528774</c:v>
                </c:pt>
                <c:pt idx="12">
                  <c:v>3407.0475124340101</c:v>
                </c:pt>
                <c:pt idx="13">
                  <c:v>3145.7192687287707</c:v>
                </c:pt>
                <c:pt idx="14">
                  <c:v>2837.9758401657195</c:v>
                </c:pt>
                <c:pt idx="15">
                  <c:v>2426.1662837806571</c:v>
                </c:pt>
                <c:pt idx="16">
                  <c:v>1854.808278855141</c:v>
                </c:pt>
                <c:pt idx="17">
                  <c:v>1269.173844412863</c:v>
                </c:pt>
                <c:pt idx="18">
                  <c:v>808.20803145416335</c:v>
                </c:pt>
                <c:pt idx="19">
                  <c:v>509.02880387480866</c:v>
                </c:pt>
                <c:pt idx="20">
                  <c:v>344.05387649356049</c:v>
                </c:pt>
                <c:pt idx="21">
                  <c:v>262.73242624087396</c:v>
                </c:pt>
                <c:pt idx="22">
                  <c:v>222.939887660718</c:v>
                </c:pt>
                <c:pt idx="23">
                  <c:v>201.32214117210117</c:v>
                </c:pt>
                <c:pt idx="24">
                  <c:v>188.02569432355588</c:v>
                </c:pt>
                <c:pt idx="25">
                  <c:v>181.14617749166206</c:v>
                </c:pt>
                <c:pt idx="26">
                  <c:v>171.73287142228415</c:v>
                </c:pt>
                <c:pt idx="27">
                  <c:v>164.88164851800227</c:v>
                </c:pt>
                <c:pt idx="28">
                  <c:v>164.50146393142782</c:v>
                </c:pt>
                <c:pt idx="29">
                  <c:v>163.00727748318997</c:v>
                </c:pt>
                <c:pt idx="30">
                  <c:v>162.92272722143832</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bestimmen'!$P$404:$P$434</c:f>
              <c:numCache>
                <c:formatCode>0.00E+00</c:formatCode>
                <c:ptCount val="31"/>
                <c:pt idx="0">
                  <c:v>4536.230397827354</c:v>
                </c:pt>
                <c:pt idx="1">
                  <c:v>4303.1205029931816</c:v>
                </c:pt>
                <c:pt idx="2">
                  <c:v>4127.6064584710148</c:v>
                </c:pt>
                <c:pt idx="3">
                  <c:v>3945.604356178083</c:v>
                </c:pt>
                <c:pt idx="4">
                  <c:v>3766.6240058114313</c:v>
                </c:pt>
                <c:pt idx="5">
                  <c:v>3551.9419942460731</c:v>
                </c:pt>
                <c:pt idx="6">
                  <c:v>3318.4500658255338</c:v>
                </c:pt>
                <c:pt idx="7">
                  <c:v>3050.6755206683788</c:v>
                </c:pt>
                <c:pt idx="8">
                  <c:v>2745.1346410108995</c:v>
                </c:pt>
                <c:pt idx="9">
                  <c:v>2379.9691784471511</c:v>
                </c:pt>
                <c:pt idx="10">
                  <c:v>1948.7143373862357</c:v>
                </c:pt>
                <c:pt idx="11">
                  <c:v>1482.8611668944652</c:v>
                </c:pt>
                <c:pt idx="12">
                  <c:v>1064.7698916660522</c:v>
                </c:pt>
                <c:pt idx="13">
                  <c:v>756.04671038027936</c:v>
                </c:pt>
                <c:pt idx="14">
                  <c:v>574.27764486440731</c:v>
                </c:pt>
                <c:pt idx="15">
                  <c:v>472.36033693576201</c:v>
                </c:pt>
                <c:pt idx="16">
                  <c:v>404.76609252146119</c:v>
                </c:pt>
                <c:pt idx="17">
                  <c:v>332.62382454066642</c:v>
                </c:pt>
                <c:pt idx="18">
                  <c:v>270.11210763785351</c:v>
                </c:pt>
                <c:pt idx="19">
                  <c:v>230.23496622900356</c:v>
                </c:pt>
                <c:pt idx="20">
                  <c:v>198.97748766430533</c:v>
                </c:pt>
                <c:pt idx="21">
                  <c:v>182.67861803771595</c:v>
                </c:pt>
                <c:pt idx="22">
                  <c:v>174.62746722417066</c:v>
                </c:pt>
                <c:pt idx="23">
                  <c:v>169.86894542912563</c:v>
                </c:pt>
                <c:pt idx="24">
                  <c:v>166.84170745231376</c:v>
                </c:pt>
                <c:pt idx="25">
                  <c:v>166.12540478353452</c:v>
                </c:pt>
                <c:pt idx="26">
                  <c:v>165.25800429032441</c:v>
                </c:pt>
                <c:pt idx="27">
                  <c:v>162.97529182821398</c:v>
                </c:pt>
                <c:pt idx="28">
                  <c:v>162.91152498499585</c:v>
                </c:pt>
                <c:pt idx="29">
                  <c:v>161.92883558935978</c:v>
                </c:pt>
                <c:pt idx="30">
                  <c:v>161.56401350859798</c:v>
                </c:pt>
              </c:numCache>
            </c:numRef>
          </c:yVal>
          <c:smooth val="1"/>
        </c:ser>
        <c:dLbls>
          <c:showLegendKey val="0"/>
          <c:showVal val="0"/>
          <c:showCatName val="0"/>
          <c:showSerName val="0"/>
          <c:showPercent val="0"/>
          <c:showBubbleSize val="0"/>
        </c:dLbls>
        <c:axId val="442270032"/>
        <c:axId val="442271600"/>
      </c:scatterChart>
      <c:valAx>
        <c:axId val="44227003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2271600"/>
        <c:crosses val="autoZero"/>
        <c:crossBetween val="midCat"/>
      </c:valAx>
      <c:valAx>
        <c:axId val="4422716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2270032"/>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1.9287498479639179E-37</c:v>
                </c:pt>
                <c:pt idx="1">
                  <c:v>1.9287498479639179E-36</c:v>
                </c:pt>
                <c:pt idx="2">
                  <c:v>1.9287498479639179E-35</c:v>
                </c:pt>
                <c:pt idx="3">
                  <c:v>1.928749847963918E-34</c:v>
                </c:pt>
                <c:pt idx="4">
                  <c:v>1.9287498479639178E-33</c:v>
                </c:pt>
                <c:pt idx="5">
                  <c:v>1.9287498479639181E-32</c:v>
                </c:pt>
                <c:pt idx="6">
                  <c:v>1.928749847963918E-31</c:v>
                </c:pt>
                <c:pt idx="7">
                  <c:v>1.9287498479639181E-30</c:v>
                </c:pt>
                <c:pt idx="8">
                  <c:v>1.9287498479639179E-29</c:v>
                </c:pt>
                <c:pt idx="9">
                  <c:v>1.9287498479639178E-28</c:v>
                </c:pt>
                <c:pt idx="10">
                  <c:v>1.9287498479639181E-27</c:v>
                </c:pt>
                <c:pt idx="11">
                  <c:v>1.928749847963918E-26</c:v>
                </c:pt>
                <c:pt idx="12">
                  <c:v>1.9287498479639179E-25</c:v>
                </c:pt>
                <c:pt idx="13">
                  <c:v>1.9287498479639181E-24</c:v>
                </c:pt>
                <c:pt idx="14">
                  <c:v>1.9287498479639179E-23</c:v>
                </c:pt>
                <c:pt idx="15">
                  <c:v>1.9287498479639181E-22</c:v>
                </c:pt>
                <c:pt idx="16">
                  <c:v>1.9287498479639181E-21</c:v>
                </c:pt>
                <c:pt idx="17">
                  <c:v>1.9287498479639181E-20</c:v>
                </c:pt>
                <c:pt idx="18">
                  <c:v>1.9287498479639179E-19</c:v>
                </c:pt>
                <c:pt idx="19">
                  <c:v>1.928749847963918E-18</c:v>
                </c:pt>
                <c:pt idx="20">
                  <c:v>1.928749847963918E-17</c:v>
                </c:pt>
                <c:pt idx="21">
                  <c:v>1.928749847963918E-16</c:v>
                </c:pt>
                <c:pt idx="22">
                  <c:v>1.9287498479639181E-15</c:v>
                </c:pt>
                <c:pt idx="23">
                  <c:v>1.928749847963918E-14</c:v>
                </c:pt>
                <c:pt idx="24">
                  <c:v>1.9287498479639179E-13</c:v>
                </c:pt>
                <c:pt idx="25">
                  <c:v>1.9287498479639181E-12</c:v>
                </c:pt>
                <c:pt idx="26">
                  <c:v>1.9287498479639181E-11</c:v>
                </c:pt>
                <c:pt idx="27">
                  <c:v>1.928749847963918E-10</c:v>
                </c:pt>
                <c:pt idx="28">
                  <c:v>1.928749847963918E-9</c:v>
                </c:pt>
                <c:pt idx="29">
                  <c:v>1.9287498479639179E-8</c:v>
                </c:pt>
                <c:pt idx="30">
                  <c:v>1.9287498479639179E-7</c:v>
                </c:pt>
              </c:numCache>
            </c:numRef>
          </c:xVal>
          <c:yVal>
            <c:numRef>
              <c:f>'Mastercurve bestimmen'!$J$404:$J$434</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9.6173536112391776E-34</c:v>
                </c:pt>
                <c:pt idx="1">
                  <c:v>9.6173536112391776E-33</c:v>
                </c:pt>
                <c:pt idx="2">
                  <c:v>9.6173536112391784E-32</c:v>
                </c:pt>
                <c:pt idx="3">
                  <c:v>9.6173536112391777E-31</c:v>
                </c:pt>
                <c:pt idx="4">
                  <c:v>9.6173536112391767E-30</c:v>
                </c:pt>
                <c:pt idx="5">
                  <c:v>9.6173536112391781E-29</c:v>
                </c:pt>
                <c:pt idx="6">
                  <c:v>9.6173536112391776E-28</c:v>
                </c:pt>
                <c:pt idx="7">
                  <c:v>9.617353611239178E-27</c:v>
                </c:pt>
                <c:pt idx="8">
                  <c:v>9.6173536112391774E-26</c:v>
                </c:pt>
                <c:pt idx="9">
                  <c:v>9.6173536112391779E-25</c:v>
                </c:pt>
                <c:pt idx="10">
                  <c:v>9.6173536112391779E-24</c:v>
                </c:pt>
                <c:pt idx="11">
                  <c:v>9.6173536112391776E-23</c:v>
                </c:pt>
                <c:pt idx="12">
                  <c:v>9.6173536112391776E-22</c:v>
                </c:pt>
                <c:pt idx="13">
                  <c:v>9.6173536112391783E-21</c:v>
                </c:pt>
                <c:pt idx="14">
                  <c:v>9.6173536112391777E-20</c:v>
                </c:pt>
                <c:pt idx="15">
                  <c:v>9.6173536112391773E-19</c:v>
                </c:pt>
                <c:pt idx="16">
                  <c:v>9.6173536112391773E-18</c:v>
                </c:pt>
                <c:pt idx="17">
                  <c:v>9.6173536112391779E-17</c:v>
                </c:pt>
                <c:pt idx="18">
                  <c:v>9.6173536112391771E-16</c:v>
                </c:pt>
                <c:pt idx="19">
                  <c:v>9.6173536112391783E-15</c:v>
                </c:pt>
                <c:pt idx="20">
                  <c:v>9.617353611239178E-14</c:v>
                </c:pt>
                <c:pt idx="21">
                  <c:v>9.6173536112391785E-13</c:v>
                </c:pt>
                <c:pt idx="22">
                  <c:v>9.6173536112391781E-12</c:v>
                </c:pt>
                <c:pt idx="23">
                  <c:v>9.6173536112391771E-11</c:v>
                </c:pt>
                <c:pt idx="24">
                  <c:v>9.6173536112391784E-10</c:v>
                </c:pt>
                <c:pt idx="25">
                  <c:v>9.6173536112391772E-9</c:v>
                </c:pt>
                <c:pt idx="26">
                  <c:v>9.6173536112391778E-8</c:v>
                </c:pt>
                <c:pt idx="27">
                  <c:v>9.6173536112391784E-7</c:v>
                </c:pt>
                <c:pt idx="28">
                  <c:v>9.6173536112391784E-6</c:v>
                </c:pt>
                <c:pt idx="29">
                  <c:v>9.6173536112391774E-5</c:v>
                </c:pt>
                <c:pt idx="30">
                  <c:v>9.6173536112391779E-4</c:v>
                </c:pt>
              </c:numCache>
            </c:numRef>
          </c:xVal>
          <c:yVal>
            <c:numRef>
              <c:f>'Mastercurve bestimmen'!$K$404:$K$434</c:f>
              <c:numCache>
                <c:formatCode>0.00E+00</c:formatCode>
                <c:ptCount val="31"/>
                <c:pt idx="0">
                  <c:v>7031.9211529245395</c:v>
                </c:pt>
                <c:pt idx="1">
                  <c:v>7031.9907762783369</c:v>
                </c:pt>
                <c:pt idx="2">
                  <c:v>7031.9539299810422</c:v>
                </c:pt>
                <c:pt idx="3">
                  <c:v>7031.9433621725511</c:v>
                </c:pt>
                <c:pt idx="4">
                  <c:v>7031.9306469370567</c:v>
                </c:pt>
                <c:pt idx="5">
                  <c:v>7031.8305090006179</c:v>
                </c:pt>
                <c:pt idx="6">
                  <c:v>7030.8436925650376</c:v>
                </c:pt>
                <c:pt idx="7">
                  <c:v>7021.3347469085647</c:v>
                </c:pt>
                <c:pt idx="8">
                  <c:v>6946.0273669032786</c:v>
                </c:pt>
                <c:pt idx="9">
                  <c:v>6777.7782322116691</c:v>
                </c:pt>
                <c:pt idx="10">
                  <c:v>6659.4311503256295</c:v>
                </c:pt>
                <c:pt idx="11">
                  <c:v>6544.645454565718</c:v>
                </c:pt>
                <c:pt idx="12">
                  <c:v>6415.8365900058752</c:v>
                </c:pt>
                <c:pt idx="13">
                  <c:v>6279.1797519689544</c:v>
                </c:pt>
                <c:pt idx="14">
                  <c:v>6124.6018825038309</c:v>
                </c:pt>
                <c:pt idx="15">
                  <c:v>5956.8287989294422</c:v>
                </c:pt>
                <c:pt idx="16">
                  <c:v>5777.56401011038</c:v>
                </c:pt>
                <c:pt idx="17">
                  <c:v>5602.1564627366897</c:v>
                </c:pt>
                <c:pt idx="18">
                  <c:v>5348.811853446321</c:v>
                </c:pt>
                <c:pt idx="19">
                  <c:v>4793.3449045957559</c:v>
                </c:pt>
                <c:pt idx="20">
                  <c:v>4005.8829435497059</c:v>
                </c:pt>
                <c:pt idx="21">
                  <c:v>3346.4776601581179</c:v>
                </c:pt>
                <c:pt idx="22">
                  <c:v>2892.1899665732253</c:v>
                </c:pt>
                <c:pt idx="23">
                  <c:v>2569.6224142495339</c:v>
                </c:pt>
                <c:pt idx="24">
                  <c:v>2337.0503651981739</c:v>
                </c:pt>
                <c:pt idx="25">
                  <c:v>2151.250620328482</c:v>
                </c:pt>
                <c:pt idx="26">
                  <c:v>1990.2744047049448</c:v>
                </c:pt>
                <c:pt idx="27">
                  <c:v>1828.3308494849296</c:v>
                </c:pt>
                <c:pt idx="28">
                  <c:v>1665.1765081389453</c:v>
                </c:pt>
                <c:pt idx="29">
                  <c:v>1489.3314845424752</c:v>
                </c:pt>
                <c:pt idx="30">
                  <c:v>1297.0734642842888</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1.1067028467487688E-31</c:v>
                </c:pt>
                <c:pt idx="1">
                  <c:v>1.1067028467487688E-30</c:v>
                </c:pt>
                <c:pt idx="2">
                  <c:v>1.1067028467487687E-29</c:v>
                </c:pt>
                <c:pt idx="3">
                  <c:v>1.1067028467487687E-28</c:v>
                </c:pt>
                <c:pt idx="4">
                  <c:v>1.1067028467487687E-27</c:v>
                </c:pt>
                <c:pt idx="5">
                  <c:v>1.1067028467487688E-26</c:v>
                </c:pt>
                <c:pt idx="6">
                  <c:v>1.1067028467487687E-25</c:v>
                </c:pt>
                <c:pt idx="7">
                  <c:v>1.1067028467487687E-24</c:v>
                </c:pt>
                <c:pt idx="8">
                  <c:v>1.1067028467487686E-23</c:v>
                </c:pt>
                <c:pt idx="9">
                  <c:v>1.1067028467487686E-22</c:v>
                </c:pt>
                <c:pt idx="10">
                  <c:v>1.1067028467487687E-21</c:v>
                </c:pt>
                <c:pt idx="11">
                  <c:v>1.1067028467487688E-20</c:v>
                </c:pt>
                <c:pt idx="12">
                  <c:v>1.1067028467487687E-19</c:v>
                </c:pt>
                <c:pt idx="13">
                  <c:v>1.1067028467487688E-18</c:v>
                </c:pt>
                <c:pt idx="14">
                  <c:v>1.1067028467487688E-17</c:v>
                </c:pt>
                <c:pt idx="15">
                  <c:v>1.1067028467487687E-16</c:v>
                </c:pt>
                <c:pt idx="16">
                  <c:v>1.1067028467487686E-15</c:v>
                </c:pt>
                <c:pt idx="17">
                  <c:v>1.1067028467487687E-14</c:v>
                </c:pt>
                <c:pt idx="18">
                  <c:v>1.1067028467487687E-13</c:v>
                </c:pt>
                <c:pt idx="19">
                  <c:v>1.1067028467487688E-12</c:v>
                </c:pt>
                <c:pt idx="20">
                  <c:v>1.1067028467487688E-11</c:v>
                </c:pt>
                <c:pt idx="21">
                  <c:v>1.1067028467487687E-10</c:v>
                </c:pt>
                <c:pt idx="22">
                  <c:v>1.1067028467487687E-9</c:v>
                </c:pt>
                <c:pt idx="23">
                  <c:v>1.1067028467487687E-8</c:v>
                </c:pt>
                <c:pt idx="24">
                  <c:v>1.1067028467487687E-7</c:v>
                </c:pt>
                <c:pt idx="25">
                  <c:v>1.1067028467487687E-6</c:v>
                </c:pt>
                <c:pt idx="26">
                  <c:v>1.1067028467487688E-5</c:v>
                </c:pt>
                <c:pt idx="27">
                  <c:v>1.1067028467487687E-4</c:v>
                </c:pt>
                <c:pt idx="28">
                  <c:v>1.1067028467487687E-3</c:v>
                </c:pt>
                <c:pt idx="29">
                  <c:v>1.1067028467487687E-2</c:v>
                </c:pt>
                <c:pt idx="30">
                  <c:v>0.11067028467487687</c:v>
                </c:pt>
              </c:numCache>
            </c:numRef>
          </c:xVal>
          <c:yVal>
            <c:numRef>
              <c:f>'Mastercurve bestimmen'!$L$404:$L$434</c:f>
              <c:numCache>
                <c:formatCode>0.00E+00</c:formatCode>
                <c:ptCount val="31"/>
                <c:pt idx="0">
                  <c:v>6992.3964680806075</c:v>
                </c:pt>
                <c:pt idx="1">
                  <c:v>6992.459052459466</c:v>
                </c:pt>
                <c:pt idx="2">
                  <c:v>6992.3628853177524</c:v>
                </c:pt>
                <c:pt idx="3">
                  <c:v>6991.7590094248426</c:v>
                </c:pt>
                <c:pt idx="4">
                  <c:v>6985.9675385002447</c:v>
                </c:pt>
                <c:pt idx="5">
                  <c:v>6936.0316435873456</c:v>
                </c:pt>
                <c:pt idx="6">
                  <c:v>6767.3497232459458</c:v>
                </c:pt>
                <c:pt idx="7">
                  <c:v>6644.5309370841214</c:v>
                </c:pt>
                <c:pt idx="8">
                  <c:v>6532.7504586905397</c:v>
                </c:pt>
                <c:pt idx="9">
                  <c:v>6406.2589516029093</c:v>
                </c:pt>
                <c:pt idx="10">
                  <c:v>6273.617616065887</c:v>
                </c:pt>
                <c:pt idx="11">
                  <c:v>6123.1895749079549</c:v>
                </c:pt>
                <c:pt idx="12">
                  <c:v>5959.0875608576071</c:v>
                </c:pt>
                <c:pt idx="13">
                  <c:v>5781.2083401997561</c:v>
                </c:pt>
                <c:pt idx="14">
                  <c:v>5618.3452185734377</c:v>
                </c:pt>
                <c:pt idx="15">
                  <c:v>5440.9922001853329</c:v>
                </c:pt>
                <c:pt idx="16">
                  <c:v>5221.4874412485688</c:v>
                </c:pt>
                <c:pt idx="17">
                  <c:v>4926.1795387850607</c:v>
                </c:pt>
                <c:pt idx="18">
                  <c:v>4442.9821588725517</c:v>
                </c:pt>
                <c:pt idx="19">
                  <c:v>3752.7744100380223</c:v>
                </c:pt>
                <c:pt idx="20">
                  <c:v>3130.6377978974938</c:v>
                </c:pt>
                <c:pt idx="21">
                  <c:v>2685.7977977575347</c:v>
                </c:pt>
                <c:pt idx="22">
                  <c:v>2368.346654493816</c:v>
                </c:pt>
                <c:pt idx="23">
                  <c:v>2132.4244867059297</c:v>
                </c:pt>
                <c:pt idx="24">
                  <c:v>1927.1689592855932</c:v>
                </c:pt>
                <c:pt idx="25">
                  <c:v>1740.579877269425</c:v>
                </c:pt>
                <c:pt idx="26">
                  <c:v>1552.3921804639763</c:v>
                </c:pt>
                <c:pt idx="27">
                  <c:v>1355.3669215252155</c:v>
                </c:pt>
                <c:pt idx="28">
                  <c:v>1134.9160288600715</c:v>
                </c:pt>
                <c:pt idx="29">
                  <c:v>892.49692017162795</c:v>
                </c:pt>
                <c:pt idx="30">
                  <c:v>651.2901745739025</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1.482835257632964E-30</c:v>
                </c:pt>
                <c:pt idx="1">
                  <c:v>1.4828352576329638E-29</c:v>
                </c:pt>
                <c:pt idx="2">
                  <c:v>1.4828352576329639E-28</c:v>
                </c:pt>
                <c:pt idx="3">
                  <c:v>1.4828352576329639E-27</c:v>
                </c:pt>
                <c:pt idx="4">
                  <c:v>1.4828352576329639E-26</c:v>
                </c:pt>
                <c:pt idx="5">
                  <c:v>1.4828352576329639E-25</c:v>
                </c:pt>
                <c:pt idx="6">
                  <c:v>1.482835257632964E-24</c:v>
                </c:pt>
                <c:pt idx="7">
                  <c:v>1.4828352576329641E-23</c:v>
                </c:pt>
                <c:pt idx="8">
                  <c:v>1.482835257632964E-22</c:v>
                </c:pt>
                <c:pt idx="9">
                  <c:v>1.4828352576329639E-21</c:v>
                </c:pt>
                <c:pt idx="10">
                  <c:v>1.4828352576329639E-20</c:v>
                </c:pt>
                <c:pt idx="11">
                  <c:v>1.4828352576329641E-19</c:v>
                </c:pt>
                <c:pt idx="12">
                  <c:v>1.482835257632964E-18</c:v>
                </c:pt>
                <c:pt idx="13">
                  <c:v>1.4828352576329639E-17</c:v>
                </c:pt>
                <c:pt idx="14">
                  <c:v>1.4828352576329641E-16</c:v>
                </c:pt>
                <c:pt idx="15">
                  <c:v>1.482835257632964E-15</c:v>
                </c:pt>
                <c:pt idx="16">
                  <c:v>1.482835257632964E-14</c:v>
                </c:pt>
                <c:pt idx="17">
                  <c:v>1.482835257632964E-13</c:v>
                </c:pt>
                <c:pt idx="18">
                  <c:v>1.4828352576329639E-12</c:v>
                </c:pt>
                <c:pt idx="19">
                  <c:v>1.482835257632964E-11</c:v>
                </c:pt>
                <c:pt idx="20">
                  <c:v>1.4828352576329638E-10</c:v>
                </c:pt>
                <c:pt idx="21">
                  <c:v>1.4828352576329639E-9</c:v>
                </c:pt>
                <c:pt idx="22">
                  <c:v>1.482835257632964E-8</c:v>
                </c:pt>
                <c:pt idx="23">
                  <c:v>1.4828352576329639E-7</c:v>
                </c:pt>
                <c:pt idx="24">
                  <c:v>1.4828352576329639E-6</c:v>
                </c:pt>
                <c:pt idx="25">
                  <c:v>1.4828352576329639E-5</c:v>
                </c:pt>
                <c:pt idx="26">
                  <c:v>1.482835257632964E-4</c:v>
                </c:pt>
                <c:pt idx="27">
                  <c:v>1.4828352576329638E-3</c:v>
                </c:pt>
                <c:pt idx="28">
                  <c:v>1.482835257632964E-2</c:v>
                </c:pt>
                <c:pt idx="29">
                  <c:v>0.1482835257632964</c:v>
                </c:pt>
                <c:pt idx="30">
                  <c:v>1.482835257632964</c:v>
                </c:pt>
              </c:numCache>
            </c:numRef>
          </c:xVal>
          <c:yVal>
            <c:numRef>
              <c:f>'Mastercurve bestimmen'!$M$404:$M$434</c:f>
              <c:numCache>
                <c:formatCode>0.00E+00</c:formatCode>
                <c:ptCount val="31"/>
                <c:pt idx="0">
                  <c:v>6951.7769139036336</c:v>
                </c:pt>
                <c:pt idx="1">
                  <c:v>6950.7516447504031</c:v>
                </c:pt>
                <c:pt idx="2">
                  <c:v>6940.1985301294053</c:v>
                </c:pt>
                <c:pt idx="3">
                  <c:v>6859.1289652487367</c:v>
                </c:pt>
                <c:pt idx="4">
                  <c:v>6695.6616107202954</c:v>
                </c:pt>
                <c:pt idx="5">
                  <c:v>6579.8912612434069</c:v>
                </c:pt>
                <c:pt idx="6">
                  <c:v>6466.0632255652681</c:v>
                </c:pt>
                <c:pt idx="7">
                  <c:v>6338.9884403076148</c:v>
                </c:pt>
                <c:pt idx="8">
                  <c:v>6203.5301972004399</c:v>
                </c:pt>
                <c:pt idx="9">
                  <c:v>6050.6164561665273</c:v>
                </c:pt>
                <c:pt idx="10">
                  <c:v>5884.895018012654</c:v>
                </c:pt>
                <c:pt idx="11">
                  <c:v>5709.3519393565812</c:v>
                </c:pt>
                <c:pt idx="12">
                  <c:v>5547.9132434192643</c:v>
                </c:pt>
                <c:pt idx="13">
                  <c:v>5364.2356794540465</c:v>
                </c:pt>
                <c:pt idx="14">
                  <c:v>5142.9380897638539</c:v>
                </c:pt>
                <c:pt idx="15">
                  <c:v>4901.2536857987861</c:v>
                </c:pt>
                <c:pt idx="16">
                  <c:v>4661.3568218837227</c:v>
                </c:pt>
                <c:pt idx="17">
                  <c:v>4298.6774546472579</c:v>
                </c:pt>
                <c:pt idx="18">
                  <c:v>3673.7236771243274</c:v>
                </c:pt>
                <c:pt idx="19">
                  <c:v>3055.9581241953465</c:v>
                </c:pt>
                <c:pt idx="20">
                  <c:v>2586.4007874245467</c:v>
                </c:pt>
                <c:pt idx="21">
                  <c:v>2247.3343211844494</c:v>
                </c:pt>
                <c:pt idx="22">
                  <c:v>1979.307169199863</c:v>
                </c:pt>
                <c:pt idx="23">
                  <c:v>1753.9456058771568</c:v>
                </c:pt>
                <c:pt idx="24">
                  <c:v>1541.283272452644</c:v>
                </c:pt>
                <c:pt idx="25">
                  <c:v>1325.7320252858156</c:v>
                </c:pt>
                <c:pt idx="26">
                  <c:v>1090.3481138846798</c:v>
                </c:pt>
                <c:pt idx="27">
                  <c:v>838.64271647474698</c:v>
                </c:pt>
                <c:pt idx="28">
                  <c:v>600.54666630574377</c:v>
                </c:pt>
                <c:pt idx="29">
                  <c:v>415.97655166325364</c:v>
                </c:pt>
                <c:pt idx="30">
                  <c:v>297.69240550814368</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4.5618986773554561E-27</c:v>
                </c:pt>
                <c:pt idx="1">
                  <c:v>4.5618986773554558E-26</c:v>
                </c:pt>
                <c:pt idx="2">
                  <c:v>4.5618986773554559E-25</c:v>
                </c:pt>
                <c:pt idx="3">
                  <c:v>4.5618986773554556E-24</c:v>
                </c:pt>
                <c:pt idx="4">
                  <c:v>4.5618986773554556E-23</c:v>
                </c:pt>
                <c:pt idx="5">
                  <c:v>4.5618986773554559E-22</c:v>
                </c:pt>
                <c:pt idx="6">
                  <c:v>4.5618986773554565E-21</c:v>
                </c:pt>
                <c:pt idx="7">
                  <c:v>4.5618986773554559E-20</c:v>
                </c:pt>
                <c:pt idx="8">
                  <c:v>4.5618986773554561E-19</c:v>
                </c:pt>
                <c:pt idx="9">
                  <c:v>4.5618986773554553E-18</c:v>
                </c:pt>
                <c:pt idx="10">
                  <c:v>4.5618986773554564E-17</c:v>
                </c:pt>
                <c:pt idx="11">
                  <c:v>4.5618986773554563E-16</c:v>
                </c:pt>
                <c:pt idx="12">
                  <c:v>4.5618986773554563E-15</c:v>
                </c:pt>
                <c:pt idx="13">
                  <c:v>4.561898677355456E-14</c:v>
                </c:pt>
                <c:pt idx="14">
                  <c:v>4.561898677355456E-13</c:v>
                </c:pt>
                <c:pt idx="15">
                  <c:v>4.5618986773554556E-12</c:v>
                </c:pt>
                <c:pt idx="16">
                  <c:v>4.5618986773554561E-11</c:v>
                </c:pt>
                <c:pt idx="17">
                  <c:v>4.5618986773554561E-10</c:v>
                </c:pt>
                <c:pt idx="18">
                  <c:v>4.5618986773554557E-9</c:v>
                </c:pt>
                <c:pt idx="19">
                  <c:v>4.5618986773554562E-8</c:v>
                </c:pt>
                <c:pt idx="20">
                  <c:v>4.5618986773554558E-7</c:v>
                </c:pt>
                <c:pt idx="21">
                  <c:v>4.5618986773554562E-6</c:v>
                </c:pt>
                <c:pt idx="22">
                  <c:v>4.561898677355456E-5</c:v>
                </c:pt>
                <c:pt idx="23">
                  <c:v>4.561898677355456E-4</c:v>
                </c:pt>
                <c:pt idx="24">
                  <c:v>4.5618986773554556E-3</c:v>
                </c:pt>
                <c:pt idx="25">
                  <c:v>4.5618986773554561E-2</c:v>
                </c:pt>
                <c:pt idx="26">
                  <c:v>0.4561898677355456</c:v>
                </c:pt>
                <c:pt idx="27">
                  <c:v>4.5618986773554555</c:v>
                </c:pt>
                <c:pt idx="28">
                  <c:v>45.61898677355456</c:v>
                </c:pt>
                <c:pt idx="29">
                  <c:v>456.18986773554559</c:v>
                </c:pt>
                <c:pt idx="30">
                  <c:v>4561.8986773554561</c:v>
                </c:pt>
              </c:numCache>
            </c:numRef>
          </c:xVal>
          <c:yVal>
            <c:numRef>
              <c:f>'Mastercurve bestimmen'!$N$404:$N$434</c:f>
              <c:numCache>
                <c:formatCode>0.00E+00</c:formatCode>
                <c:ptCount val="31"/>
                <c:pt idx="0">
                  <c:v>6840.5863197092085</c:v>
                </c:pt>
                <c:pt idx="1">
                  <c:v>6643.5965561721414</c:v>
                </c:pt>
                <c:pt idx="2">
                  <c:v>6527.1577578820725</c:v>
                </c:pt>
                <c:pt idx="3">
                  <c:v>6412.9995296962652</c:v>
                </c:pt>
                <c:pt idx="4">
                  <c:v>6286.8028992665704</c:v>
                </c:pt>
                <c:pt idx="5">
                  <c:v>6151.4165633211096</c:v>
                </c:pt>
                <c:pt idx="6">
                  <c:v>5999.0572498672</c:v>
                </c:pt>
                <c:pt idx="7">
                  <c:v>5834.1918541119712</c:v>
                </c:pt>
                <c:pt idx="8">
                  <c:v>5660.667941479277</c:v>
                </c:pt>
                <c:pt idx="9">
                  <c:v>5500.6338050295499</c:v>
                </c:pt>
                <c:pt idx="10">
                  <c:v>5316.0543139142828</c:v>
                </c:pt>
                <c:pt idx="11">
                  <c:v>5094.9618199282804</c:v>
                </c:pt>
                <c:pt idx="12">
                  <c:v>4859.6753740182503</c:v>
                </c:pt>
                <c:pt idx="13">
                  <c:v>4653.8175879978271</c:v>
                </c:pt>
                <c:pt idx="14">
                  <c:v>4469.1753341299773</c:v>
                </c:pt>
                <c:pt idx="15">
                  <c:v>4267.9652571239076</c:v>
                </c:pt>
                <c:pt idx="16">
                  <c:v>3976.7785402340392</c:v>
                </c:pt>
                <c:pt idx="17">
                  <c:v>3445.6591436468279</c:v>
                </c:pt>
                <c:pt idx="18">
                  <c:v>2839.3657389117534</c:v>
                </c:pt>
                <c:pt idx="19">
                  <c:v>2338.5721090290958</c:v>
                </c:pt>
                <c:pt idx="20">
                  <c:v>1960.3272335044344</c:v>
                </c:pt>
                <c:pt idx="21">
                  <c:v>1656.3185875611684</c:v>
                </c:pt>
                <c:pt idx="22">
                  <c:v>1387.2108481854204</c:v>
                </c:pt>
                <c:pt idx="23">
                  <c:v>1120.1049206759617</c:v>
                </c:pt>
                <c:pt idx="24">
                  <c:v>849.29779427462438</c:v>
                </c:pt>
                <c:pt idx="25">
                  <c:v>602.02056954985051</c:v>
                </c:pt>
                <c:pt idx="26">
                  <c:v>414.55153000594095</c:v>
                </c:pt>
                <c:pt idx="27">
                  <c:v>296.76424848335745</c:v>
                </c:pt>
                <c:pt idx="28">
                  <c:v>236.5039430342818</c:v>
                </c:pt>
                <c:pt idx="29">
                  <c:v>206.64782998877558</c:v>
                </c:pt>
                <c:pt idx="30">
                  <c:v>191.80670583863778</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1.4567954372767252E-21</c:v>
                </c:pt>
                <c:pt idx="1">
                  <c:v>1.4567954372767249E-20</c:v>
                </c:pt>
                <c:pt idx="2">
                  <c:v>1.456795437276725E-19</c:v>
                </c:pt>
                <c:pt idx="3">
                  <c:v>1.456795437276725E-18</c:v>
                </c:pt>
                <c:pt idx="4">
                  <c:v>1.456795437276725E-17</c:v>
                </c:pt>
                <c:pt idx="5">
                  <c:v>1.4567954372767252E-16</c:v>
                </c:pt>
                <c:pt idx="6">
                  <c:v>1.4567954372767251E-15</c:v>
                </c:pt>
                <c:pt idx="7">
                  <c:v>1.456795437276725E-14</c:v>
                </c:pt>
                <c:pt idx="8">
                  <c:v>1.4567954372767249E-13</c:v>
                </c:pt>
                <c:pt idx="9">
                  <c:v>1.4567954372767251E-12</c:v>
                </c:pt>
                <c:pt idx="10">
                  <c:v>1.4567954372767253E-11</c:v>
                </c:pt>
                <c:pt idx="11">
                  <c:v>1.456795437276725E-10</c:v>
                </c:pt>
                <c:pt idx="12">
                  <c:v>1.4567954372767251E-9</c:v>
                </c:pt>
                <c:pt idx="13">
                  <c:v>1.4567954372767251E-8</c:v>
                </c:pt>
                <c:pt idx="14">
                  <c:v>1.4567954372767251E-7</c:v>
                </c:pt>
                <c:pt idx="15">
                  <c:v>1.4567954372767251E-6</c:v>
                </c:pt>
                <c:pt idx="16">
                  <c:v>1.4567954372767249E-5</c:v>
                </c:pt>
                <c:pt idx="17">
                  <c:v>1.4567954372767249E-4</c:v>
                </c:pt>
                <c:pt idx="18">
                  <c:v>1.4567954372767251E-3</c:v>
                </c:pt>
                <c:pt idx="19">
                  <c:v>1.456795437276725E-2</c:v>
                </c:pt>
                <c:pt idx="20">
                  <c:v>0.1456795437276725</c:v>
                </c:pt>
                <c:pt idx="21">
                  <c:v>1.4567954372767251</c:v>
                </c:pt>
                <c:pt idx="22">
                  <c:v>14.56795437276725</c:v>
                </c:pt>
                <c:pt idx="23">
                  <c:v>145.6795437276725</c:v>
                </c:pt>
                <c:pt idx="24">
                  <c:v>1456.7954372767251</c:v>
                </c:pt>
                <c:pt idx="25">
                  <c:v>14567.95437276725</c:v>
                </c:pt>
                <c:pt idx="26">
                  <c:v>145679.54372767251</c:v>
                </c:pt>
                <c:pt idx="27">
                  <c:v>1456795.437276725</c:v>
                </c:pt>
                <c:pt idx="28">
                  <c:v>14567954.372767251</c:v>
                </c:pt>
                <c:pt idx="29">
                  <c:v>145679543.72767249</c:v>
                </c:pt>
                <c:pt idx="30">
                  <c:v>1456795437.2767251</c:v>
                </c:pt>
              </c:numCache>
            </c:numRef>
          </c:xVal>
          <c:yVal>
            <c:numRef>
              <c:f>'Mastercurve bestimmen'!$O$404:$O$434</c:f>
              <c:numCache>
                <c:formatCode>0.00E+00</c:formatCode>
                <c:ptCount val="31"/>
                <c:pt idx="0">
                  <c:v>5776.5900052436255</c:v>
                </c:pt>
                <c:pt idx="1">
                  <c:v>5571.6920956359099</c:v>
                </c:pt>
                <c:pt idx="2">
                  <c:v>5400.7646013667554</c:v>
                </c:pt>
                <c:pt idx="3">
                  <c:v>5215.0678795321228</c:v>
                </c:pt>
                <c:pt idx="4">
                  <c:v>4985.425095489265</c:v>
                </c:pt>
                <c:pt idx="5">
                  <c:v>4758.3350912889036</c:v>
                </c:pt>
                <c:pt idx="6">
                  <c:v>4565.5114420012915</c:v>
                </c:pt>
                <c:pt idx="7">
                  <c:v>4384.874474223483</c:v>
                </c:pt>
                <c:pt idx="8">
                  <c:v>4203.1654341512503</c:v>
                </c:pt>
                <c:pt idx="9">
                  <c:v>4026.8171479490911</c:v>
                </c:pt>
                <c:pt idx="10">
                  <c:v>3842.8247437350828</c:v>
                </c:pt>
                <c:pt idx="11">
                  <c:v>3637.9090125528774</c:v>
                </c:pt>
                <c:pt idx="12">
                  <c:v>3407.0475124340101</c:v>
                </c:pt>
                <c:pt idx="13">
                  <c:v>3145.7192687287707</c:v>
                </c:pt>
                <c:pt idx="14">
                  <c:v>2837.9758401657195</c:v>
                </c:pt>
                <c:pt idx="15">
                  <c:v>2426.1662837806571</c:v>
                </c:pt>
                <c:pt idx="16">
                  <c:v>1854.808278855141</c:v>
                </c:pt>
                <c:pt idx="17">
                  <c:v>1269.173844412863</c:v>
                </c:pt>
                <c:pt idx="18">
                  <c:v>808.20803145416335</c:v>
                </c:pt>
                <c:pt idx="19">
                  <c:v>509.02880387480866</c:v>
                </c:pt>
                <c:pt idx="20">
                  <c:v>344.05387649356049</c:v>
                </c:pt>
                <c:pt idx="21">
                  <c:v>262.73242624087396</c:v>
                </c:pt>
                <c:pt idx="22">
                  <c:v>222.939887660718</c:v>
                </c:pt>
                <c:pt idx="23">
                  <c:v>201.32214117210117</c:v>
                </c:pt>
                <c:pt idx="24">
                  <c:v>188.02569432355588</c:v>
                </c:pt>
                <c:pt idx="25">
                  <c:v>181.14617749166206</c:v>
                </c:pt>
                <c:pt idx="26">
                  <c:v>171.73287142228415</c:v>
                </c:pt>
                <c:pt idx="27">
                  <c:v>164.88164851800227</c:v>
                </c:pt>
                <c:pt idx="28">
                  <c:v>164.50146393142782</c:v>
                </c:pt>
                <c:pt idx="29">
                  <c:v>163.00727748318997</c:v>
                </c:pt>
                <c:pt idx="30">
                  <c:v>162.92272722143832</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bestimmen'!$P$404:$P$434</c:f>
              <c:numCache>
                <c:formatCode>0.00E+00</c:formatCode>
                <c:ptCount val="31"/>
                <c:pt idx="0">
                  <c:v>4536.230397827354</c:v>
                </c:pt>
                <c:pt idx="1">
                  <c:v>4303.1205029931816</c:v>
                </c:pt>
                <c:pt idx="2">
                  <c:v>4127.6064584710148</c:v>
                </c:pt>
                <c:pt idx="3">
                  <c:v>3945.604356178083</c:v>
                </c:pt>
                <c:pt idx="4">
                  <c:v>3766.6240058114313</c:v>
                </c:pt>
                <c:pt idx="5">
                  <c:v>3551.9419942460731</c:v>
                </c:pt>
                <c:pt idx="6">
                  <c:v>3318.4500658255338</c:v>
                </c:pt>
                <c:pt idx="7">
                  <c:v>3050.6755206683788</c:v>
                </c:pt>
                <c:pt idx="8">
                  <c:v>2745.1346410108995</c:v>
                </c:pt>
                <c:pt idx="9">
                  <c:v>2379.9691784471511</c:v>
                </c:pt>
                <c:pt idx="10">
                  <c:v>1948.7143373862357</c:v>
                </c:pt>
                <c:pt idx="11">
                  <c:v>1482.8611668944652</c:v>
                </c:pt>
                <c:pt idx="12">
                  <c:v>1064.7698916660522</c:v>
                </c:pt>
                <c:pt idx="13">
                  <c:v>756.04671038027936</c:v>
                </c:pt>
                <c:pt idx="14">
                  <c:v>574.27764486440731</c:v>
                </c:pt>
                <c:pt idx="15">
                  <c:v>472.36033693576201</c:v>
                </c:pt>
                <c:pt idx="16">
                  <c:v>404.76609252146119</c:v>
                </c:pt>
                <c:pt idx="17">
                  <c:v>332.62382454066642</c:v>
                </c:pt>
                <c:pt idx="18">
                  <c:v>270.11210763785351</c:v>
                </c:pt>
                <c:pt idx="19">
                  <c:v>230.23496622900356</c:v>
                </c:pt>
                <c:pt idx="20">
                  <c:v>198.97748766430533</c:v>
                </c:pt>
                <c:pt idx="21">
                  <c:v>182.67861803771595</c:v>
                </c:pt>
                <c:pt idx="22">
                  <c:v>174.62746722417066</c:v>
                </c:pt>
                <c:pt idx="23">
                  <c:v>169.86894542912563</c:v>
                </c:pt>
                <c:pt idx="24">
                  <c:v>166.84170745231376</c:v>
                </c:pt>
                <c:pt idx="25">
                  <c:v>166.12540478353452</c:v>
                </c:pt>
                <c:pt idx="26">
                  <c:v>165.25800429032441</c:v>
                </c:pt>
                <c:pt idx="27">
                  <c:v>162.97529182821398</c:v>
                </c:pt>
                <c:pt idx="28">
                  <c:v>162.91152498499585</c:v>
                </c:pt>
                <c:pt idx="29">
                  <c:v>161.92883558935978</c:v>
                </c:pt>
                <c:pt idx="30">
                  <c:v>161.56401350859798</c:v>
                </c:pt>
              </c:numCache>
            </c:numRef>
          </c:yVal>
          <c:smooth val="1"/>
        </c:ser>
        <c:dLbls>
          <c:showLegendKey val="0"/>
          <c:showVal val="0"/>
          <c:showCatName val="0"/>
          <c:showSerName val="0"/>
          <c:showPercent val="0"/>
          <c:showBubbleSize val="0"/>
        </c:dLbls>
        <c:axId val="442266112"/>
        <c:axId val="442269248"/>
      </c:scatterChart>
      <c:valAx>
        <c:axId val="44226611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2269248"/>
        <c:crosses val="autoZero"/>
        <c:crossBetween val="midCat"/>
      </c:valAx>
      <c:valAx>
        <c:axId val="4422692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2266112"/>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-50</c:v>
                </c:pt>
                <c:pt idx="1">
                  <c:v>-49.86023661599851</c:v>
                </c:pt>
                <c:pt idx="2">
                  <c:v>-49.720198943347164</c:v>
                </c:pt>
                <c:pt idx="3">
                  <c:v>-49.579612693396101</c:v>
                </c:pt>
                <c:pt idx="4">
                  <c:v>-49.438203577495457</c:v>
                </c:pt>
                <c:pt idx="5">
                  <c:v>-49.295697306995372</c:v>
                </c:pt>
                <c:pt idx="6">
                  <c:v>-49.151819593245996</c:v>
                </c:pt>
                <c:pt idx="7">
                  <c:v>-49.00629614759746</c:v>
                </c:pt>
                <c:pt idx="8">
                  <c:v>-48.85885268139991</c:v>
                </c:pt>
                <c:pt idx="9">
                  <c:v>-48.709214906003496</c:v>
                </c:pt>
                <c:pt idx="10">
                  <c:v>-48.557108532758335</c:v>
                </c:pt>
                <c:pt idx="11">
                  <c:v>-48.402259273014593</c:v>
                </c:pt>
                <c:pt idx="12">
                  <c:v>-48.244392838122387</c:v>
                </c:pt>
                <c:pt idx="13">
                  <c:v>-48.083234939431883</c:v>
                </c:pt>
                <c:pt idx="14">
                  <c:v>-47.918511288293196</c:v>
                </c:pt>
                <c:pt idx="15">
                  <c:v>-47.749947596056487</c:v>
                </c:pt>
                <c:pt idx="16">
                  <c:v>-47.577269574071892</c:v>
                </c:pt>
                <c:pt idx="17">
                  <c:v>-47.400202933689542</c:v>
                </c:pt>
                <c:pt idx="18">
                  <c:v>-47.218473386259589</c:v>
                </c:pt>
                <c:pt idx="19">
                  <c:v>-47.031806643132171</c:v>
                </c:pt>
                <c:pt idx="20">
                  <c:v>-46.839928415657425</c:v>
                </c:pt>
                <c:pt idx="21">
                  <c:v>-46.642564415185497</c:v>
                </c:pt>
                <c:pt idx="22">
                  <c:v>-46.439440353066516</c:v>
                </c:pt>
                <c:pt idx="23">
                  <c:v>-46.230281940650642</c:v>
                </c:pt>
                <c:pt idx="24">
                  <c:v>-46.014814889288004</c:v>
                </c:pt>
                <c:pt idx="25">
                  <c:v>-45.792764910328742</c:v>
                </c:pt>
                <c:pt idx="26">
                  <c:v>-45.563857715122992</c:v>
                </c:pt>
                <c:pt idx="27">
                  <c:v>-45.327819015020907</c:v>
                </c:pt>
                <c:pt idx="28">
                  <c:v>-45.084374521372624</c:v>
                </c:pt>
                <c:pt idx="29">
                  <c:v>-44.833249945528287</c:v>
                </c:pt>
                <c:pt idx="30">
                  <c:v>-44.574170998838028</c:v>
                </c:pt>
                <c:pt idx="31">
                  <c:v>-44.306863392651984</c:v>
                </c:pt>
                <c:pt idx="32">
                  <c:v>-44.031052838320306</c:v>
                </c:pt>
                <c:pt idx="33">
                  <c:v>-43.746465047193141</c:v>
                </c:pt>
                <c:pt idx="34">
                  <c:v>-43.45282573062061</c:v>
                </c:pt>
                <c:pt idx="35">
                  <c:v>-43.149860599952873</c:v>
                </c:pt>
                <c:pt idx="36">
                  <c:v>-42.837295366540062</c:v>
                </c:pt>
                <c:pt idx="37">
                  <c:v>-42.514855741732312</c:v>
                </c:pt>
                <c:pt idx="38">
                  <c:v>-42.182267436879776</c:v>
                </c:pt>
                <c:pt idx="39">
                  <c:v>-41.839256163332585</c:v>
                </c:pt>
                <c:pt idx="40">
                  <c:v>-41.485547632440877</c:v>
                </c:pt>
                <c:pt idx="41">
                  <c:v>-41.336015921897925</c:v>
                </c:pt>
                <c:pt idx="42">
                  <c:v>-41.176391198141658</c:v>
                </c:pt>
                <c:pt idx="43">
                  <c:v>-41.007551993953165</c:v>
                </c:pt>
                <c:pt idx="44">
                  <c:v>-40.830376842113509</c:v>
                </c:pt>
                <c:pt idx="45">
                  <c:v>-40.645744275403757</c:v>
                </c:pt>
                <c:pt idx="46">
                  <c:v>-40.454532826604961</c:v>
                </c:pt>
                <c:pt idx="47">
                  <c:v>-40.257621028498221</c:v>
                </c:pt>
                <c:pt idx="48">
                  <c:v>-40.055887413864582</c:v>
                </c:pt>
                <c:pt idx="49">
                  <c:v>-39.850210515485131</c:v>
                </c:pt>
                <c:pt idx="50">
                  <c:v>-39.641468866140912</c:v>
                </c:pt>
                <c:pt idx="51">
                  <c:v>-39.430540998613012</c:v>
                </c:pt>
                <c:pt idx="52">
                  <c:v>-39.218305445682489</c:v>
                </c:pt>
                <c:pt idx="53">
                  <c:v>-39.005640740130431</c:v>
                </c:pt>
                <c:pt idx="54">
                  <c:v>-38.793425414737875</c:v>
                </c:pt>
                <c:pt idx="55">
                  <c:v>-38.582538002285915</c:v>
                </c:pt>
                <c:pt idx="56">
                  <c:v>-38.373857035555602</c:v>
                </c:pt>
                <c:pt idx="57">
                  <c:v>-38.168261047328016</c:v>
                </c:pt>
                <c:pt idx="58">
                  <c:v>-37.966628570384223</c:v>
                </c:pt>
                <c:pt idx="59">
                  <c:v>-37.769838137505289</c:v>
                </c:pt>
                <c:pt idx="60">
                  <c:v>-37.578768281472286</c:v>
                </c:pt>
                <c:pt idx="61">
                  <c:v>-37.394297535066272</c:v>
                </c:pt>
                <c:pt idx="62">
                  <c:v>-37.217304431068328</c:v>
                </c:pt>
                <c:pt idx="63">
                  <c:v>-37.048667502259519</c:v>
                </c:pt>
                <c:pt idx="64">
                  <c:v>-36.889265281420904</c:v>
                </c:pt>
                <c:pt idx="65">
                  <c:v>-36.73997630133357</c:v>
                </c:pt>
                <c:pt idx="66">
                  <c:v>-36.601377050426386</c:v>
                </c:pt>
                <c:pt idx="67">
                  <c:v>-36.472835839719551</c:v>
                </c:pt>
                <c:pt idx="68">
                  <c:v>-36.353418935881052</c:v>
                </c:pt>
                <c:pt idx="69">
                  <c:v>-36.242192605578893</c:v>
                </c:pt>
                <c:pt idx="70">
                  <c:v>-36.138223115481082</c:v>
                </c:pt>
                <c:pt idx="71">
                  <c:v>-36.040576732255616</c:v>
                </c:pt>
                <c:pt idx="72">
                  <c:v>-35.948319722570488</c:v>
                </c:pt>
                <c:pt idx="73">
                  <c:v>-35.86051835309371</c:v>
                </c:pt>
                <c:pt idx="74">
                  <c:v>-35.776238890493282</c:v>
                </c:pt>
                <c:pt idx="75">
                  <c:v>-35.694547601437208</c:v>
                </c:pt>
                <c:pt idx="76">
                  <c:v>-35.614510752593475</c:v>
                </c:pt>
                <c:pt idx="77">
                  <c:v>-35.5351946106301</c:v>
                </c:pt>
                <c:pt idx="78">
                  <c:v>-35.455665442215079</c:v>
                </c:pt>
                <c:pt idx="79">
                  <c:v>-35.37498951401642</c:v>
                </c:pt>
                <c:pt idx="80">
                  <c:v>-35.292233092702105</c:v>
                </c:pt>
                <c:pt idx="81">
                  <c:v>-35.206462444940158</c:v>
                </c:pt>
                <c:pt idx="82">
                  <c:v>-35.116743837398559</c:v>
                </c:pt>
                <c:pt idx="83">
                  <c:v>-35.022143536745325</c:v>
                </c:pt>
                <c:pt idx="84">
                  <c:v>-34.921727809648452</c:v>
                </c:pt>
                <c:pt idx="85">
                  <c:v>-34.814562922775941</c:v>
                </c:pt>
                <c:pt idx="86">
                  <c:v>-34.699715142795796</c:v>
                </c:pt>
                <c:pt idx="87">
                  <c:v>-34.576250736376011</c:v>
                </c:pt>
                <c:pt idx="88">
                  <c:v>-34.443235970184595</c:v>
                </c:pt>
                <c:pt idx="89">
                  <c:v>-34.299737110889545</c:v>
                </c:pt>
                <c:pt idx="90">
                  <c:v>-34.144820425158862</c:v>
                </c:pt>
                <c:pt idx="91">
                  <c:v>-33.977795015548281</c:v>
                </c:pt>
                <c:pt idx="92">
                  <c:v>-33.798941328164396</c:v>
                </c:pt>
                <c:pt idx="93">
                  <c:v>-33.608782645001547</c:v>
                </c:pt>
                <c:pt idx="94">
                  <c:v>-33.407842248054067</c:v>
                </c:pt>
                <c:pt idx="95">
                  <c:v>-33.196643419316295</c:v>
                </c:pt>
                <c:pt idx="96">
                  <c:v>-32.975709440782552</c:v>
                </c:pt>
                <c:pt idx="97">
                  <c:v>-32.745563594447191</c:v>
                </c:pt>
                <c:pt idx="98">
                  <c:v>-32.506729162304524</c:v>
                </c:pt>
                <c:pt idx="99">
                  <c:v>-32.259729426348891</c:v>
                </c:pt>
                <c:pt idx="100">
                  <c:v>-32.005087668574625</c:v>
                </c:pt>
                <c:pt idx="101">
                  <c:v>-31.743327170976066</c:v>
                </c:pt>
                <c:pt idx="102">
                  <c:v>-31.474971215547537</c:v>
                </c:pt>
                <c:pt idx="103">
                  <c:v>-31.200543084283382</c:v>
                </c:pt>
                <c:pt idx="104">
                  <c:v>-30.920566059177922</c:v>
                </c:pt>
                <c:pt idx="105">
                  <c:v>-30.635563422225502</c:v>
                </c:pt>
                <c:pt idx="106">
                  <c:v>-30.346058455420447</c:v>
                </c:pt>
                <c:pt idx="107">
                  <c:v>-30.052574440757095</c:v>
                </c:pt>
                <c:pt idx="108">
                  <c:v>-29.755634660229774</c:v>
                </c:pt>
                <c:pt idx="109">
                  <c:v>-29.455762395832828</c:v>
                </c:pt>
                <c:pt idx="110">
                  <c:v>-29.15348092956058</c:v>
                </c:pt>
                <c:pt idx="111">
                  <c:v>-28.849313543407359</c:v>
                </c:pt>
                <c:pt idx="112">
                  <c:v>-28.543783519367508</c:v>
                </c:pt>
                <c:pt idx="113">
                  <c:v>-28.237414139435359</c:v>
                </c:pt>
                <c:pt idx="114">
                  <c:v>-27.930728685605242</c:v>
                </c:pt>
                <c:pt idx="115">
                  <c:v>-27.624250439871496</c:v>
                </c:pt>
                <c:pt idx="116">
                  <c:v>-27.318502684228442</c:v>
                </c:pt>
                <c:pt idx="117">
                  <c:v>-27.014008700670427</c:v>
                </c:pt>
                <c:pt idx="118">
                  <c:v>-26.711291771191775</c:v>
                </c:pt>
                <c:pt idx="119">
                  <c:v>-26.410875177786821</c:v>
                </c:pt>
                <c:pt idx="120">
                  <c:v>-26.113282202449902</c:v>
                </c:pt>
                <c:pt idx="121">
                  <c:v>-25.81891881810418</c:v>
                </c:pt>
                <c:pt idx="122">
                  <c:v>-25.527721761388143</c:v>
                </c:pt>
                <c:pt idx="123">
                  <c:v>-25.239510459869109</c:v>
                </c:pt>
                <c:pt idx="124">
                  <c:v>-24.954104341114409</c:v>
                </c:pt>
                <c:pt idx="125">
                  <c:v>-24.671322832691349</c:v>
                </c:pt>
                <c:pt idx="126">
                  <c:v>-24.39098536216726</c:v>
                </c:pt>
                <c:pt idx="127">
                  <c:v>-24.11291135710945</c:v>
                </c:pt>
                <c:pt idx="128">
                  <c:v>-23.836920245085256</c:v>
                </c:pt>
                <c:pt idx="129">
                  <c:v>-23.562831453661985</c:v>
                </c:pt>
                <c:pt idx="130">
                  <c:v>-23.290464410406962</c:v>
                </c:pt>
                <c:pt idx="131">
                  <c:v>-23.019638542887506</c:v>
                </c:pt>
                <c:pt idx="132">
                  <c:v>-22.750173278670943</c:v>
                </c:pt>
                <c:pt idx="133">
                  <c:v>-22.481888045324585</c:v>
                </c:pt>
                <c:pt idx="134">
                  <c:v>-22.214602270415757</c:v>
                </c:pt>
                <c:pt idx="135">
                  <c:v>-21.948135381511779</c:v>
                </c:pt>
                <c:pt idx="136">
                  <c:v>-21.682306806179962</c:v>
                </c:pt>
                <c:pt idx="137">
                  <c:v>-21.416935971987645</c:v>
                </c:pt>
                <c:pt idx="138">
                  <c:v>-21.151842306502136</c:v>
                </c:pt>
                <c:pt idx="139">
                  <c:v>-20.88684523729075</c:v>
                </c:pt>
                <c:pt idx="140">
                  <c:v>-20.621764191920821</c:v>
                </c:pt>
                <c:pt idx="141">
                  <c:v>-20.35641859795966</c:v>
                </c:pt>
                <c:pt idx="142">
                  <c:v>-20.090627882974587</c:v>
                </c:pt>
                <c:pt idx="143">
                  <c:v>-19.82421147453293</c:v>
                </c:pt>
                <c:pt idx="144">
                  <c:v>-19.556988800201999</c:v>
                </c:pt>
                <c:pt idx="145">
                  <c:v>-19.288779287549126</c:v>
                </c:pt>
                <c:pt idx="146">
                  <c:v>-19.019402364141619</c:v>
                </c:pt>
                <c:pt idx="147">
                  <c:v>-18.748677457546805</c:v>
                </c:pt>
                <c:pt idx="148">
                  <c:v>-18.476423995332002</c:v>
                </c:pt>
                <c:pt idx="149">
                  <c:v>-18.202461405064533</c:v>
                </c:pt>
                <c:pt idx="150">
                  <c:v>-17.926609114311717</c:v>
                </c:pt>
                <c:pt idx="151">
                  <c:v>-17.648686550640875</c:v>
                </c:pt>
                <c:pt idx="152">
                  <c:v>-17.368513141619324</c:v>
                </c:pt>
                <c:pt idx="153">
                  <c:v>-17.085908314814386</c:v>
                </c:pt>
                <c:pt idx="154">
                  <c:v>-16.800691497793384</c:v>
                </c:pt>
                <c:pt idx="155">
                  <c:v>-16.512682118123635</c:v>
                </c:pt>
                <c:pt idx="156">
                  <c:v>-16.221699603372457</c:v>
                </c:pt>
                <c:pt idx="157">
                  <c:v>-15.927563381107175</c:v>
                </c:pt>
                <c:pt idx="158">
                  <c:v>-15.630092878895105</c:v>
                </c:pt>
                <c:pt idx="159">
                  <c:v>-15.329107524303573</c:v>
                </c:pt>
                <c:pt idx="160">
                  <c:v>-15.024426744899896</c:v>
                </c:pt>
                <c:pt idx="161">
                  <c:v>-14.715869968251393</c:v>
                </c:pt>
                <c:pt idx="162">
                  <c:v>-14.403256621925387</c:v>
                </c:pt>
                <c:pt idx="163">
                  <c:v>-14.086406133489197</c:v>
                </c:pt>
                <c:pt idx="164">
                  <c:v>-13.765137930510141</c:v>
                </c:pt>
                <c:pt idx="165">
                  <c:v>-13.439271440555542</c:v>
                </c:pt>
                <c:pt idx="166">
                  <c:v>-13.108678943071537</c:v>
                </c:pt>
                <c:pt idx="167">
                  <c:v>-12.773444125019545</c:v>
                </c:pt>
                <c:pt idx="168">
                  <c:v>-12.4337035252398</c:v>
                </c:pt>
                <c:pt idx="169">
                  <c:v>-12.089593682572534</c:v>
                </c:pt>
                <c:pt idx="170">
                  <c:v>-11.741251135857986</c:v>
                </c:pt>
                <c:pt idx="171">
                  <c:v>-11.388812423936388</c:v>
                </c:pt>
                <c:pt idx="172">
                  <c:v>-11.032414085647977</c:v>
                </c:pt>
                <c:pt idx="173">
                  <c:v>-10.672192659832989</c:v>
                </c:pt>
                <c:pt idx="174">
                  <c:v>-10.308284685331655</c:v>
                </c:pt>
                <c:pt idx="175">
                  <c:v>-9.9408267009842124</c:v>
                </c:pt>
                <c:pt idx="176">
                  <c:v>-9.5699552456308972</c:v>
                </c:pt>
                <c:pt idx="177">
                  <c:v>-9.1958068581119399</c:v>
                </c:pt>
                <c:pt idx="178">
                  <c:v>-8.81851807726758</c:v>
                </c:pt>
                <c:pt idx="179">
                  <c:v>-8.4382254419380516</c:v>
                </c:pt>
                <c:pt idx="180">
                  <c:v>-8.0550654909635906</c:v>
                </c:pt>
                <c:pt idx="181">
                  <c:v>-7.6691747631844276</c:v>
                </c:pt>
                <c:pt idx="182">
                  <c:v>-7.280689797440802</c:v>
                </c:pt>
                <c:pt idx="183">
                  <c:v>-6.8897471325729462</c:v>
                </c:pt>
                <c:pt idx="184">
                  <c:v>-6.4964833074210961</c:v>
                </c:pt>
                <c:pt idx="185">
                  <c:v>-6.1010348608254867</c:v>
                </c:pt>
                <c:pt idx="186">
                  <c:v>-5.703538331626353</c:v>
                </c:pt>
                <c:pt idx="187">
                  <c:v>-5.304130258663931</c:v>
                </c:pt>
                <c:pt idx="188">
                  <c:v>-4.9029471807784528</c:v>
                </c:pt>
                <c:pt idx="189">
                  <c:v>-4.5001256368101554</c:v>
                </c:pt>
                <c:pt idx="190">
                  <c:v>-4.0958021655992747</c:v>
                </c:pt>
                <c:pt idx="191">
                  <c:v>-3.6901133059860434</c:v>
                </c:pt>
                <c:pt idx="192">
                  <c:v>-3.2831955968106974</c:v>
                </c:pt>
                <c:pt idx="193">
                  <c:v>-2.8751855769134718</c:v>
                </c:pt>
                <c:pt idx="194">
                  <c:v>-2.4662197851346019</c:v>
                </c:pt>
                <c:pt idx="195">
                  <c:v>-2.0564347603143225</c:v>
                </c:pt>
                <c:pt idx="196">
                  <c:v>-1.6459670412928675</c:v>
                </c:pt>
                <c:pt idx="197">
                  <c:v>-1.234953166910473</c:v>
                </c:pt>
                <c:pt idx="198">
                  <c:v>-0.82352967600737359</c:v>
                </c:pt>
                <c:pt idx="199">
                  <c:v>-0.41183310742380425</c:v>
                </c:pt>
                <c:pt idx="200">
                  <c:v>0</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-50</c:v>
                </c:pt>
                <c:pt idx="1">
                  <c:v>-41.485547632440884</c:v>
                </c:pt>
                <c:pt idx="2">
                  <c:v>-36.73997630133357</c:v>
                </c:pt>
                <c:pt idx="3">
                  <c:v>-34.144820425158869</c:v>
                </c:pt>
                <c:pt idx="4">
                  <c:v>-26.113282202449902</c:v>
                </c:pt>
                <c:pt idx="5">
                  <c:v>-13.439271440555542</c:v>
                </c:pt>
                <c:pt idx="6">
                  <c:v>0</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-200</c:v>
                </c:pt>
                <c:pt idx="1">
                  <c:v>-199</c:v>
                </c:pt>
                <c:pt idx="2">
                  <c:v>-198</c:v>
                </c:pt>
                <c:pt idx="3">
                  <c:v>-197</c:v>
                </c:pt>
                <c:pt idx="4">
                  <c:v>-196</c:v>
                </c:pt>
                <c:pt idx="5">
                  <c:v>-195</c:v>
                </c:pt>
                <c:pt idx="6">
                  <c:v>-194</c:v>
                </c:pt>
                <c:pt idx="7">
                  <c:v>-193</c:v>
                </c:pt>
                <c:pt idx="8">
                  <c:v>-192</c:v>
                </c:pt>
                <c:pt idx="9">
                  <c:v>-191</c:v>
                </c:pt>
                <c:pt idx="10">
                  <c:v>-190</c:v>
                </c:pt>
                <c:pt idx="11">
                  <c:v>-189</c:v>
                </c:pt>
                <c:pt idx="12">
                  <c:v>-188</c:v>
                </c:pt>
                <c:pt idx="13">
                  <c:v>-187</c:v>
                </c:pt>
                <c:pt idx="14">
                  <c:v>-186</c:v>
                </c:pt>
                <c:pt idx="15">
                  <c:v>-185</c:v>
                </c:pt>
                <c:pt idx="16">
                  <c:v>-184</c:v>
                </c:pt>
                <c:pt idx="17">
                  <c:v>-183</c:v>
                </c:pt>
                <c:pt idx="18">
                  <c:v>-182</c:v>
                </c:pt>
                <c:pt idx="19">
                  <c:v>-181</c:v>
                </c:pt>
                <c:pt idx="20">
                  <c:v>-180</c:v>
                </c:pt>
                <c:pt idx="21">
                  <c:v>-179</c:v>
                </c:pt>
                <c:pt idx="22">
                  <c:v>-178</c:v>
                </c:pt>
                <c:pt idx="23">
                  <c:v>-177</c:v>
                </c:pt>
                <c:pt idx="24">
                  <c:v>-176</c:v>
                </c:pt>
                <c:pt idx="25">
                  <c:v>-175</c:v>
                </c:pt>
                <c:pt idx="26">
                  <c:v>-174</c:v>
                </c:pt>
                <c:pt idx="27">
                  <c:v>-173</c:v>
                </c:pt>
                <c:pt idx="28">
                  <c:v>-172</c:v>
                </c:pt>
                <c:pt idx="29">
                  <c:v>-171</c:v>
                </c:pt>
                <c:pt idx="30">
                  <c:v>-170</c:v>
                </c:pt>
                <c:pt idx="31">
                  <c:v>-169</c:v>
                </c:pt>
                <c:pt idx="32">
                  <c:v>-168</c:v>
                </c:pt>
                <c:pt idx="33">
                  <c:v>-167</c:v>
                </c:pt>
                <c:pt idx="34">
                  <c:v>-166</c:v>
                </c:pt>
                <c:pt idx="35">
                  <c:v>-165</c:v>
                </c:pt>
                <c:pt idx="36">
                  <c:v>-164</c:v>
                </c:pt>
                <c:pt idx="37">
                  <c:v>-163</c:v>
                </c:pt>
                <c:pt idx="38">
                  <c:v>-162</c:v>
                </c:pt>
                <c:pt idx="39">
                  <c:v>-161</c:v>
                </c:pt>
                <c:pt idx="40">
                  <c:v>-160</c:v>
                </c:pt>
                <c:pt idx="41">
                  <c:v>-159</c:v>
                </c:pt>
                <c:pt idx="42">
                  <c:v>-158</c:v>
                </c:pt>
                <c:pt idx="43">
                  <c:v>-157</c:v>
                </c:pt>
                <c:pt idx="44">
                  <c:v>-156</c:v>
                </c:pt>
                <c:pt idx="45">
                  <c:v>-155</c:v>
                </c:pt>
                <c:pt idx="46">
                  <c:v>-154</c:v>
                </c:pt>
                <c:pt idx="47">
                  <c:v>-153</c:v>
                </c:pt>
                <c:pt idx="48">
                  <c:v>-152</c:v>
                </c:pt>
                <c:pt idx="49">
                  <c:v>-151</c:v>
                </c:pt>
                <c:pt idx="50">
                  <c:v>-150</c:v>
                </c:pt>
                <c:pt idx="51">
                  <c:v>-149</c:v>
                </c:pt>
                <c:pt idx="52">
                  <c:v>-148</c:v>
                </c:pt>
                <c:pt idx="53">
                  <c:v>-147</c:v>
                </c:pt>
                <c:pt idx="54">
                  <c:v>-146</c:v>
                </c:pt>
                <c:pt idx="55">
                  <c:v>-145</c:v>
                </c:pt>
                <c:pt idx="56">
                  <c:v>-144</c:v>
                </c:pt>
                <c:pt idx="57">
                  <c:v>-143</c:v>
                </c:pt>
                <c:pt idx="58">
                  <c:v>-142</c:v>
                </c:pt>
                <c:pt idx="59">
                  <c:v>-141</c:v>
                </c:pt>
                <c:pt idx="60">
                  <c:v>-140</c:v>
                </c:pt>
                <c:pt idx="61">
                  <c:v>-139</c:v>
                </c:pt>
                <c:pt idx="62">
                  <c:v>-138</c:v>
                </c:pt>
                <c:pt idx="63">
                  <c:v>-137</c:v>
                </c:pt>
                <c:pt idx="64">
                  <c:v>-136</c:v>
                </c:pt>
                <c:pt idx="65">
                  <c:v>-135</c:v>
                </c:pt>
                <c:pt idx="66">
                  <c:v>-134</c:v>
                </c:pt>
                <c:pt idx="67">
                  <c:v>-133</c:v>
                </c:pt>
                <c:pt idx="68">
                  <c:v>-132</c:v>
                </c:pt>
                <c:pt idx="69">
                  <c:v>-131</c:v>
                </c:pt>
                <c:pt idx="70">
                  <c:v>-130</c:v>
                </c:pt>
                <c:pt idx="71">
                  <c:v>-129</c:v>
                </c:pt>
                <c:pt idx="72">
                  <c:v>-128</c:v>
                </c:pt>
                <c:pt idx="73">
                  <c:v>-127</c:v>
                </c:pt>
                <c:pt idx="74">
                  <c:v>-126</c:v>
                </c:pt>
                <c:pt idx="75">
                  <c:v>-125</c:v>
                </c:pt>
                <c:pt idx="76">
                  <c:v>-124</c:v>
                </c:pt>
                <c:pt idx="77">
                  <c:v>-123</c:v>
                </c:pt>
                <c:pt idx="78">
                  <c:v>-122</c:v>
                </c:pt>
                <c:pt idx="79">
                  <c:v>-121</c:v>
                </c:pt>
                <c:pt idx="80">
                  <c:v>-120</c:v>
                </c:pt>
                <c:pt idx="81">
                  <c:v>-119</c:v>
                </c:pt>
                <c:pt idx="82">
                  <c:v>-118</c:v>
                </c:pt>
                <c:pt idx="83">
                  <c:v>-117</c:v>
                </c:pt>
                <c:pt idx="84">
                  <c:v>-116</c:v>
                </c:pt>
                <c:pt idx="85">
                  <c:v>-115</c:v>
                </c:pt>
                <c:pt idx="86">
                  <c:v>-114</c:v>
                </c:pt>
                <c:pt idx="87">
                  <c:v>-113</c:v>
                </c:pt>
                <c:pt idx="88">
                  <c:v>-112</c:v>
                </c:pt>
                <c:pt idx="89">
                  <c:v>-111</c:v>
                </c:pt>
                <c:pt idx="90">
                  <c:v>-110</c:v>
                </c:pt>
                <c:pt idx="91">
                  <c:v>-109</c:v>
                </c:pt>
                <c:pt idx="92">
                  <c:v>-108</c:v>
                </c:pt>
                <c:pt idx="93">
                  <c:v>-107</c:v>
                </c:pt>
                <c:pt idx="94">
                  <c:v>-106</c:v>
                </c:pt>
                <c:pt idx="95">
                  <c:v>-105</c:v>
                </c:pt>
                <c:pt idx="96">
                  <c:v>-104</c:v>
                </c:pt>
                <c:pt idx="97">
                  <c:v>-103</c:v>
                </c:pt>
                <c:pt idx="98">
                  <c:v>-102</c:v>
                </c:pt>
                <c:pt idx="99">
                  <c:v>-101</c:v>
                </c:pt>
                <c:pt idx="100">
                  <c:v>-100</c:v>
                </c:pt>
                <c:pt idx="101">
                  <c:v>-99</c:v>
                </c:pt>
                <c:pt idx="102">
                  <c:v>-98</c:v>
                </c:pt>
                <c:pt idx="103">
                  <c:v>-97</c:v>
                </c:pt>
                <c:pt idx="104">
                  <c:v>-96</c:v>
                </c:pt>
                <c:pt idx="105">
                  <c:v>-95</c:v>
                </c:pt>
                <c:pt idx="106">
                  <c:v>-94</c:v>
                </c:pt>
                <c:pt idx="107">
                  <c:v>-93</c:v>
                </c:pt>
                <c:pt idx="108">
                  <c:v>-92</c:v>
                </c:pt>
                <c:pt idx="109">
                  <c:v>-91</c:v>
                </c:pt>
                <c:pt idx="110">
                  <c:v>-90</c:v>
                </c:pt>
                <c:pt idx="111">
                  <c:v>-89</c:v>
                </c:pt>
                <c:pt idx="112">
                  <c:v>-88</c:v>
                </c:pt>
                <c:pt idx="113">
                  <c:v>-87</c:v>
                </c:pt>
                <c:pt idx="114">
                  <c:v>-86</c:v>
                </c:pt>
                <c:pt idx="115">
                  <c:v>-85</c:v>
                </c:pt>
                <c:pt idx="116">
                  <c:v>-84</c:v>
                </c:pt>
                <c:pt idx="117">
                  <c:v>-83</c:v>
                </c:pt>
                <c:pt idx="118">
                  <c:v>-82</c:v>
                </c:pt>
                <c:pt idx="119">
                  <c:v>-81</c:v>
                </c:pt>
                <c:pt idx="120">
                  <c:v>-80</c:v>
                </c:pt>
                <c:pt idx="121">
                  <c:v>-79</c:v>
                </c:pt>
                <c:pt idx="122">
                  <c:v>-78</c:v>
                </c:pt>
                <c:pt idx="123">
                  <c:v>-77</c:v>
                </c:pt>
                <c:pt idx="124">
                  <c:v>-76</c:v>
                </c:pt>
                <c:pt idx="125">
                  <c:v>-75</c:v>
                </c:pt>
                <c:pt idx="126">
                  <c:v>-74</c:v>
                </c:pt>
                <c:pt idx="127">
                  <c:v>-73</c:v>
                </c:pt>
                <c:pt idx="128">
                  <c:v>-72</c:v>
                </c:pt>
                <c:pt idx="129">
                  <c:v>-71</c:v>
                </c:pt>
                <c:pt idx="130">
                  <c:v>-70</c:v>
                </c:pt>
                <c:pt idx="131">
                  <c:v>-69</c:v>
                </c:pt>
                <c:pt idx="132">
                  <c:v>-68</c:v>
                </c:pt>
                <c:pt idx="133">
                  <c:v>-67</c:v>
                </c:pt>
                <c:pt idx="134">
                  <c:v>-66</c:v>
                </c:pt>
                <c:pt idx="135">
                  <c:v>-65</c:v>
                </c:pt>
                <c:pt idx="136">
                  <c:v>-64</c:v>
                </c:pt>
                <c:pt idx="137">
                  <c:v>-63</c:v>
                </c:pt>
                <c:pt idx="138">
                  <c:v>-62</c:v>
                </c:pt>
                <c:pt idx="139">
                  <c:v>-61</c:v>
                </c:pt>
                <c:pt idx="140">
                  <c:v>-60</c:v>
                </c:pt>
                <c:pt idx="141">
                  <c:v>-59</c:v>
                </c:pt>
                <c:pt idx="142">
                  <c:v>-58</c:v>
                </c:pt>
                <c:pt idx="143">
                  <c:v>-57</c:v>
                </c:pt>
                <c:pt idx="144">
                  <c:v>-56</c:v>
                </c:pt>
                <c:pt idx="145">
                  <c:v>-55</c:v>
                </c:pt>
                <c:pt idx="146">
                  <c:v>-54</c:v>
                </c:pt>
                <c:pt idx="147">
                  <c:v>-53</c:v>
                </c:pt>
                <c:pt idx="148">
                  <c:v>-52</c:v>
                </c:pt>
                <c:pt idx="149">
                  <c:v>-51</c:v>
                </c:pt>
                <c:pt idx="150">
                  <c:v>-50</c:v>
                </c:pt>
                <c:pt idx="151">
                  <c:v>-49</c:v>
                </c:pt>
                <c:pt idx="152">
                  <c:v>-48</c:v>
                </c:pt>
                <c:pt idx="153">
                  <c:v>-47</c:v>
                </c:pt>
                <c:pt idx="154">
                  <c:v>-46</c:v>
                </c:pt>
                <c:pt idx="155">
                  <c:v>-45</c:v>
                </c:pt>
                <c:pt idx="156">
                  <c:v>-44</c:v>
                </c:pt>
                <c:pt idx="157">
                  <c:v>-43</c:v>
                </c:pt>
                <c:pt idx="158">
                  <c:v>-42</c:v>
                </c:pt>
                <c:pt idx="159">
                  <c:v>-41</c:v>
                </c:pt>
                <c:pt idx="160">
                  <c:v>-40</c:v>
                </c:pt>
                <c:pt idx="161">
                  <c:v>-39</c:v>
                </c:pt>
                <c:pt idx="162">
                  <c:v>-38</c:v>
                </c:pt>
                <c:pt idx="163">
                  <c:v>-37</c:v>
                </c:pt>
                <c:pt idx="164">
                  <c:v>-36</c:v>
                </c:pt>
                <c:pt idx="165">
                  <c:v>-35</c:v>
                </c:pt>
                <c:pt idx="166">
                  <c:v>-34</c:v>
                </c:pt>
                <c:pt idx="167">
                  <c:v>-33</c:v>
                </c:pt>
                <c:pt idx="168">
                  <c:v>-32</c:v>
                </c:pt>
                <c:pt idx="169">
                  <c:v>-31</c:v>
                </c:pt>
                <c:pt idx="170">
                  <c:v>-30</c:v>
                </c:pt>
                <c:pt idx="171">
                  <c:v>-29</c:v>
                </c:pt>
                <c:pt idx="172">
                  <c:v>-28</c:v>
                </c:pt>
                <c:pt idx="173">
                  <c:v>-27</c:v>
                </c:pt>
                <c:pt idx="174">
                  <c:v>-26</c:v>
                </c:pt>
                <c:pt idx="175">
                  <c:v>-25</c:v>
                </c:pt>
                <c:pt idx="176">
                  <c:v>-24</c:v>
                </c:pt>
                <c:pt idx="177">
                  <c:v>-23</c:v>
                </c:pt>
                <c:pt idx="178">
                  <c:v>-22</c:v>
                </c:pt>
                <c:pt idx="179">
                  <c:v>-21</c:v>
                </c:pt>
                <c:pt idx="180">
                  <c:v>-20</c:v>
                </c:pt>
                <c:pt idx="181">
                  <c:v>-19</c:v>
                </c:pt>
                <c:pt idx="182">
                  <c:v>-18</c:v>
                </c:pt>
                <c:pt idx="183">
                  <c:v>-17</c:v>
                </c:pt>
                <c:pt idx="184">
                  <c:v>-16</c:v>
                </c:pt>
                <c:pt idx="185">
                  <c:v>-15</c:v>
                </c:pt>
                <c:pt idx="186">
                  <c:v>-14</c:v>
                </c:pt>
                <c:pt idx="187">
                  <c:v>-13</c:v>
                </c:pt>
                <c:pt idx="188">
                  <c:v>-12</c:v>
                </c:pt>
                <c:pt idx="189">
                  <c:v>-11</c:v>
                </c:pt>
                <c:pt idx="190">
                  <c:v>-10</c:v>
                </c:pt>
                <c:pt idx="191">
                  <c:v>-9</c:v>
                </c:pt>
                <c:pt idx="192">
                  <c:v>-8</c:v>
                </c:pt>
                <c:pt idx="193">
                  <c:v>-7</c:v>
                </c:pt>
                <c:pt idx="194">
                  <c:v>-6</c:v>
                </c:pt>
                <c:pt idx="195">
                  <c:v>-5</c:v>
                </c:pt>
                <c:pt idx="196">
                  <c:v>-4</c:v>
                </c:pt>
                <c:pt idx="197">
                  <c:v>-3</c:v>
                </c:pt>
                <c:pt idx="198">
                  <c:v>-2</c:v>
                </c:pt>
                <c:pt idx="199">
                  <c:v>-1</c:v>
                </c:pt>
                <c:pt idx="200">
                  <c:v>0</c:v>
                </c:pt>
              </c:numCache>
            </c:numRef>
          </c:xVal>
          <c:yVal>
            <c:numRef>
              <c:f>'Shiftfunktion bestimmen'!$F$222:$F$422</c:f>
              <c:numCache>
                <c:formatCode>General</c:formatCode>
                <c:ptCount val="201"/>
                <c:pt idx="0">
                  <c:v>-49.832640256840023</c:v>
                </c:pt>
                <c:pt idx="1">
                  <c:v>-49.727598750967445</c:v>
                </c:pt>
                <c:pt idx="2">
                  <c:v>-49.624823880156328</c:v>
                </c:pt>
                <c:pt idx="3">
                  <c:v>-49.522300041035123</c:v>
                </c:pt>
                <c:pt idx="4">
                  <c:v>-49.418264630312478</c:v>
                </c:pt>
                <c:pt idx="5">
                  <c:v>-49.311190985315989</c:v>
                </c:pt>
                <c:pt idx="6">
                  <c:v>-49.199772022562684</c:v>
                </c:pt>
                <c:pt idx="7">
                  <c:v>-49.082904558092196</c:v>
                </c:pt>
                <c:pt idx="8">
                  <c:v>-48.959674292789714</c:v>
                </c:pt>
                <c:pt idx="9">
                  <c:v>-48.82934144653791</c:v>
                </c:pt>
                <c:pt idx="10">
                  <c:v>-48.691327025085229</c:v>
                </c:pt>
                <c:pt idx="11">
                  <c:v>-48.545199703830804</c:v>
                </c:pt>
                <c:pt idx="12">
                  <c:v>-48.390663312623474</c:v>
                </c:pt>
                <c:pt idx="13">
                  <c:v>-48.227544906008006</c:v>
                </c:pt>
                <c:pt idx="14">
                  <c:v>-48.055783403793612</c:v>
                </c:pt>
                <c:pt idx="15">
                  <c:v>-47.875418786447881</c:v>
                </c:pt>
                <c:pt idx="16">
                  <c:v>-47.68658183043317</c:v>
                </c:pt>
                <c:pt idx="17">
                  <c:v>-47.489484368679769</c:v>
                </c:pt>
                <c:pt idx="18">
                  <c:v>-47.284410061537528</c:v>
                </c:pt>
                <c:pt idx="19">
                  <c:v>-47.071705663583089</c:v>
                </c:pt>
                <c:pt idx="20">
                  <c:v>-46.85177277224102</c:v>
                </c:pt>
                <c:pt idx="21">
                  <c:v>-46.625060043842495</c:v>
                </c:pt>
                <c:pt idx="22">
                  <c:v>-46.392055863403584</c:v>
                </c:pt>
                <c:pt idx="23">
                  <c:v>-46.153281454182434</c:v>
                </c:pt>
                <c:pt idx="24">
                  <c:v>-45.909284413649402</c:v>
                </c:pt>
                <c:pt idx="25">
                  <c:v>-45.660632662197258</c:v>
                </c:pt>
                <c:pt idx="26">
                  <c:v>-45.407908791701175</c:v>
                </c:pt>
                <c:pt idx="27">
                  <c:v>-45.151704800604421</c:v>
                </c:pt>
                <c:pt idx="28">
                  <c:v>-44.89261720289096</c:v>
                </c:pt>
                <c:pt idx="29">
                  <c:v>-44.631242498084248</c:v>
                </c:pt>
                <c:pt idx="30">
                  <c:v>-44.368172989957202</c:v>
                </c:pt>
                <c:pt idx="31">
                  <c:v>-44.103992941537399</c:v>
                </c:pt>
                <c:pt idx="32">
                  <c:v>-43.839275054248446</c:v>
                </c:pt>
                <c:pt idx="33">
                  <c:v>-43.574577259314992</c:v>
                </c:pt>
                <c:pt idx="34">
                  <c:v>-43.310439809627042</c:v>
                </c:pt>
                <c:pt idx="35">
                  <c:v>-43.047382660430685</c:v>
                </c:pt>
                <c:pt idx="36">
                  <c:v>-42.785903127481561</c:v>
                </c:pt>
                <c:pt idx="37">
                  <c:v>-42.526473811417418</c:v>
                </c:pt>
                <c:pt idx="38">
                  <c:v>-42.269540777253496</c:v>
                </c:pt>
                <c:pt idx="39">
                  <c:v>-42.015521978234574</c:v>
                </c:pt>
                <c:pt idx="40">
                  <c:v>-41.764805913180453</c:v>
                </c:pt>
                <c:pt idx="41">
                  <c:v>-41.51775050700121</c:v>
                </c:pt>
                <c:pt idx="42">
                  <c:v>-41.274682203900966</c:v>
                </c:pt>
                <c:pt idx="43">
                  <c:v>-41.035895263197517</c:v>
                </c:pt>
                <c:pt idx="44">
                  <c:v>-40.80165124775931</c:v>
                </c:pt>
                <c:pt idx="45">
                  <c:v>-40.572178695287676</c:v>
                </c:pt>
                <c:pt idx="46">
                  <c:v>-40.347672962762999</c:v>
                </c:pt>
                <c:pt idx="47">
                  <c:v>-40.128296234754316</c:v>
                </c:pt>
                <c:pt idx="48">
                  <c:v>-39.91417768618021</c:v>
                </c:pt>
                <c:pt idx="49">
                  <c:v>-39.70541379058659</c:v>
                </c:pt>
                <c:pt idx="50">
                  <c:v>-39.502068764972819</c:v>
                </c:pt>
                <c:pt idx="51">
                  <c:v>-39.304175142470058</c:v>
                </c:pt>
                <c:pt idx="52">
                  <c:v>-39.111734464340771</c:v>
                </c:pt>
                <c:pt idx="53">
                  <c:v>-38.924718082971708</c:v>
                </c:pt>
                <c:pt idx="54">
                  <c:v>-38.743068067649006</c:v>
                </c:pt>
                <c:pt idx="55">
                  <c:v>-38.566698205157309</c:v>
                </c:pt>
                <c:pt idx="56">
                  <c:v>-38.395495087360928</c:v>
                </c:pt>
                <c:pt idx="57">
                  <c:v>-38.229319278166031</c:v>
                </c:pt>
                <c:pt idx="58">
                  <c:v>-38.068006552412726</c:v>
                </c:pt>
                <c:pt idx="59">
                  <c:v>-37.911369199382875</c:v>
                </c:pt>
                <c:pt idx="60">
                  <c:v>-37.759197383880178</c:v>
                </c:pt>
                <c:pt idx="61">
                  <c:v>-37.61126055796808</c:v>
                </c:pt>
                <c:pt idx="62">
                  <c:v>-37.467308916597517</c:v>
                </c:pt>
                <c:pt idx="63">
                  <c:v>-37.327074890616245</c:v>
                </c:pt>
                <c:pt idx="64">
                  <c:v>-37.190274670769099</c:v>
                </c:pt>
                <c:pt idx="65">
                  <c:v>-37.056609756491923</c:v>
                </c:pt>
                <c:pt idx="66">
                  <c:v>-36.925768523519594</c:v>
                </c:pt>
                <c:pt idx="67">
                  <c:v>-36.797427804438541</c:v>
                </c:pt>
                <c:pt idx="68">
                  <c:v>-36.671254476566446</c:v>
                </c:pt>
                <c:pt idx="69">
                  <c:v>-36.546907051665755</c:v>
                </c:pt>
                <c:pt idx="70">
                  <c:v>-36.424037262231707</c:v>
                </c:pt>
                <c:pt idx="71">
                  <c:v>-36.302291639196767</c:v>
                </c:pt>
                <c:pt idx="72">
                  <c:v>-36.181313076177332</c:v>
                </c:pt>
                <c:pt idx="73">
                  <c:v>-36.060742375480515</c:v>
                </c:pt>
                <c:pt idx="74">
                  <c:v>-35.940219771301486</c:v>
                </c:pt>
                <c:pt idx="75">
                  <c:v>-35.819386425734308</c:v>
                </c:pt>
                <c:pt idx="76">
                  <c:v>-35.6978858933889</c:v>
                </c:pt>
                <c:pt idx="77">
                  <c:v>-35.575365550576947</c:v>
                </c:pt>
                <c:pt idx="78">
                  <c:v>-35.451477985210744</c:v>
                </c:pt>
                <c:pt idx="79">
                  <c:v>-35.325882343769365</c:v>
                </c:pt>
                <c:pt idx="80">
                  <c:v>-35.198245631831497</c:v>
                </c:pt>
                <c:pt idx="81">
                  <c:v>-35.068243964851774</c:v>
                </c:pt>
                <c:pt idx="82">
                  <c:v>-34.935563766081714</c:v>
                </c:pt>
                <c:pt idx="83">
                  <c:v>-34.799902908668145</c:v>
                </c:pt>
                <c:pt idx="84">
                  <c:v>-34.660971799158403</c:v>
                </c:pt>
                <c:pt idx="85">
                  <c:v>-34.518494399845196</c:v>
                </c:pt>
                <c:pt idx="86">
                  <c:v>-34.372209187515594</c:v>
                </c:pt>
                <c:pt idx="87">
                  <c:v>-34.221870046400838</c:v>
                </c:pt>
                <c:pt idx="88">
                  <c:v>-34.067247093263035</c:v>
                </c:pt>
                <c:pt idx="89">
                  <c:v>-33.908127432763266</c:v>
                </c:pt>
                <c:pt idx="90">
                  <c:v>-33.744315841415158</c:v>
                </c:pt>
                <c:pt idx="91">
                  <c:v>-33.575635378617619</c:v>
                </c:pt>
                <c:pt idx="92">
                  <c:v>-33.401927923451524</c:v>
                </c:pt>
                <c:pt idx="93">
                  <c:v>-33.223054636072504</c:v>
                </c:pt>
                <c:pt idx="94">
                  <c:v>-33.038896342752707</c:v>
                </c:pt>
                <c:pt idx="95">
                  <c:v>-32.84935384377404</c:v>
                </c:pt>
                <c:pt idx="96">
                  <c:v>-32.654348143570708</c:v>
                </c:pt>
                <c:pt idx="97">
                  <c:v>-32.453820602691501</c:v>
                </c:pt>
                <c:pt idx="98">
                  <c:v>-32.24773301133812</c:v>
                </c:pt>
                <c:pt idx="99">
                  <c:v>-32.036067584413239</c:v>
                </c:pt>
                <c:pt idx="100">
                  <c:v>-31.818826878189803</c:v>
                </c:pt>
                <c:pt idx="101">
                  <c:v>-31.596033628900045</c:v>
                </c:pt>
                <c:pt idx="102">
                  <c:v>-31.367730513711493</c:v>
                </c:pt>
                <c:pt idx="103">
                  <c:v>-31.133979834753006</c:v>
                </c:pt>
                <c:pt idx="104">
                  <c:v>-30.89486312701743</c:v>
                </c:pt>
                <c:pt idx="105">
                  <c:v>-30.650480691161693</c:v>
                </c:pt>
                <c:pt idx="106">
                  <c:v>-30.400951052391473</c:v>
                </c:pt>
                <c:pt idx="107">
                  <c:v>-30.14641034681371</c:v>
                </c:pt>
                <c:pt idx="108">
                  <c:v>-29.887011636808072</c:v>
                </c:pt>
                <c:pt idx="109">
                  <c:v>-29.622924157146063</c:v>
                </c:pt>
                <c:pt idx="110">
                  <c:v>-29.354332493787872</c:v>
                </c:pt>
                <c:pt idx="111">
                  <c:v>-29.081435697435005</c:v>
                </c:pt>
                <c:pt idx="112">
                  <c:v>-28.804446334128183</c:v>
                </c:pt>
                <c:pt idx="113">
                  <c:v>-28.523589475336479</c:v>
                </c:pt>
                <c:pt idx="114">
                  <c:v>-28.239101630176947</c:v>
                </c:pt>
                <c:pt idx="115">
                  <c:v>-27.951229622583792</c:v>
                </c:pt>
                <c:pt idx="116">
                  <c:v>-27.660229416414133</c:v>
                </c:pt>
                <c:pt idx="117">
                  <c:v>-27.36636489167492</c:v>
                </c:pt>
                <c:pt idx="118">
                  <c:v>-27.069906575224067</c:v>
                </c:pt>
                <c:pt idx="119">
                  <c:v>-26.771130329478197</c:v>
                </c:pt>
                <c:pt idx="120">
                  <c:v>-26.470316002849877</c:v>
                </c:pt>
                <c:pt idx="121">
                  <c:v>-26.167746045805991</c:v>
                </c:pt>
                <c:pt idx="122">
                  <c:v>-25.86370409662419</c:v>
                </c:pt>
                <c:pt idx="123">
                  <c:v>-25.558473541107752</c:v>
                </c:pt>
                <c:pt idx="124">
                  <c:v>-25.252336050689628</c:v>
                </c:pt>
                <c:pt idx="125">
                  <c:v>-24.945570103547734</c:v>
                </c:pt>
                <c:pt idx="126">
                  <c:v>-24.638449493526583</c:v>
                </c:pt>
                <c:pt idx="127">
                  <c:v>-24.331241831840043</c:v>
                </c:pt>
                <c:pt idx="128">
                  <c:v>-24.024207046717578</c:v>
                </c:pt>
                <c:pt idx="129">
                  <c:v>-23.717595886325061</c:v>
                </c:pt>
                <c:pt idx="130">
                  <c:v>-23.411648430484014</c:v>
                </c:pt>
                <c:pt idx="131">
                  <c:v>-23.106592616880544</c:v>
                </c:pt>
                <c:pt idx="132">
                  <c:v>-22.802642787647009</c:v>
                </c:pt>
                <c:pt idx="133">
                  <c:v>-22.499998262370219</c:v>
                </c:pt>
                <c:pt idx="134">
                  <c:v>-22.198841943766823</c:v>
                </c:pt>
                <c:pt idx="135">
                  <c:v>-21.899338962441707</c:v>
                </c:pt>
                <c:pt idx="136">
                  <c:v>-21.601635367329806</c:v>
                </c:pt>
                <c:pt idx="137">
                  <c:v>-21.305856868597036</c:v>
                </c:pt>
                <c:pt idx="138">
                  <c:v>-21.012107639960703</c:v>
                </c:pt>
                <c:pt idx="139">
                  <c:v>-20.720469187567193</c:v>
                </c:pt>
                <c:pt idx="140">
                  <c:v>-20.430999292744975</c:v>
                </c:pt>
                <c:pt idx="141">
                  <c:v>-20.143731036132685</c:v>
                </c:pt>
                <c:pt idx="142">
                  <c:v>-19.858671910860075</c:v>
                </c:pt>
                <c:pt idx="143">
                  <c:v>-19.57580303264146</c:v>
                </c:pt>
                <c:pt idx="144">
                  <c:v>-19.295078454820427</c:v>
                </c:pt>
                <c:pt idx="145">
                  <c:v>-19.016424596584997</c:v>
                </c:pt>
                <c:pt idx="146">
                  <c:v>-18.739739792752655</c:v>
                </c:pt>
                <c:pt idx="147">
                  <c:v>-18.464893973704331</c:v>
                </c:pt>
                <c:pt idx="148">
                  <c:v>-18.191728484227141</c:v>
                </c:pt>
                <c:pt idx="149">
                  <c:v>-17.920056050205552</c:v>
                </c:pt>
                <c:pt idx="150">
                  <c:v>-17.649660902280448</c:v>
                </c:pt>
                <c:pt idx="151">
                  <c:v>-17.380299065776072</c:v>
                </c:pt>
                <c:pt idx="152">
                  <c:v>-17.111698826374926</c:v>
                </c:pt>
                <c:pt idx="153">
                  <c:v>-16.843561381200661</c:v>
                </c:pt>
                <c:pt idx="154">
                  <c:v>-16.57556168514915</c:v>
                </c:pt>
                <c:pt idx="155">
                  <c:v>-16.307349502487966</c:v>
                </c:pt>
                <c:pt idx="156">
                  <c:v>-16.038550673924941</c:v>
                </c:pt>
                <c:pt idx="157">
                  <c:v>-15.768768609526251</c:v>
                </c:pt>
                <c:pt idx="158">
                  <c:v>-15.497586018044519</c:v>
                </c:pt>
                <c:pt idx="159">
                  <c:v>-15.22456688339804</c:v>
                </c:pt>
                <c:pt idx="160">
                  <c:v>-14.949258699221945</c:v>
                </c:pt>
                <c:pt idx="161">
                  <c:v>-14.671194972592073</c:v>
                </c:pt>
                <c:pt idx="162">
                  <c:v>-14.389898008203058</c:v>
                </c:pt>
                <c:pt idx="163">
                  <c:v>-14.104881984461617</c:v>
                </c:pt>
                <c:pt idx="164">
                  <c:v>-13.81565633313663</c:v>
                </c:pt>
                <c:pt idx="165">
                  <c:v>-13.521729434387188</c:v>
                </c:pt>
                <c:pt idx="166">
                  <c:v>-13.222612639170611</c:v>
                </c:pt>
                <c:pt idx="167">
                  <c:v>-12.917824631211795</c:v>
                </c:pt>
                <c:pt idx="168">
                  <c:v>-12.606896140895916</c:v>
                </c:pt>
                <c:pt idx="169">
                  <c:v>-12.289375023626462</c:v>
                </c:pt>
                <c:pt idx="170">
                  <c:v>-11.964831715370508</c:v>
                </c:pt>
                <c:pt idx="171">
                  <c:v>-11.632865078293548</c:v>
                </c:pt>
                <c:pt idx="172">
                  <c:v>-11.293108649566182</c:v>
                </c:pt>
                <c:pt idx="173">
                  <c:v>-10.945237306604932</c:v>
                </c:pt>
                <c:pt idx="174">
                  <c:v>-10.588974362189953</c:v>
                </c:pt>
                <c:pt idx="175">
                  <c:v>-10.224099103082045</c:v>
                </c:pt>
                <c:pt idx="176">
                  <c:v>-9.8504547859419098</c:v>
                </c:pt>
                <c:pt idx="177">
                  <c:v>-9.4679571045344311</c:v>
                </c:pt>
                <c:pt idx="178">
                  <c:v>-9.0766031423809981</c:v>
                </c:pt>
                <c:pt idx="179">
                  <c:v>-8.6764808252030221</c:v>
                </c:pt>
                <c:pt idx="180">
                  <c:v>-8.2677788876798299</c:v>
                </c:pt>
                <c:pt idx="181">
                  <c:v>-7.8507973692242903</c:v>
                </c:pt>
                <c:pt idx="182">
                  <c:v>-7.425958653659622</c:v>
                </c:pt>
                <c:pt idx="183">
                  <c:v>-6.9938190678610139</c:v>
                </c:pt>
                <c:pt idx="184">
                  <c:v>-6.5550810546056679</c:v>
                </c:pt>
                <c:pt idx="185">
                  <c:v>-6.1106059350551476</c:v>
                </c:pt>
                <c:pt idx="186">
                  <c:v>-5.6614272764738862</c:v>
                </c:pt>
                <c:pt idx="187">
                  <c:v>-5.2087648809679816</c:v>
                </c:pt>
                <c:pt idx="188">
                  <c:v>-4.7540394112083391</c:v>
                </c:pt>
                <c:pt idx="189">
                  <c:v>-4.2988876692825233</c:v>
                </c:pt>
                <c:pt idx="190">
                  <c:v>-3.8451785449996279</c:v>
                </c:pt>
                <c:pt idx="191">
                  <c:v>-3.3950296501527419</c:v>
                </c:pt>
                <c:pt idx="192">
                  <c:v>-2.9508246554235726</c:v>
                </c:pt>
                <c:pt idx="193">
                  <c:v>-2.5152313467940033</c:v>
                </c:pt>
                <c:pt idx="194">
                  <c:v>-2.0912204185094185</c:v>
                </c:pt>
                <c:pt idx="195">
                  <c:v>-1.6820850198187747</c:v>
                </c:pt>
                <c:pt idx="196">
                  <c:v>-1.2914610728964953</c:v>
                </c:pt>
                <c:pt idx="197">
                  <c:v>-0.92334837953139692</c:v>
                </c:pt>
                <c:pt idx="198">
                  <c:v>-0.58213253434796275</c:v>
                </c:pt>
                <c:pt idx="199">
                  <c:v>-0.27260766250539514</c:v>
                </c:pt>
                <c:pt idx="200">
                  <c:v>0</c:v>
                </c:pt>
              </c:numCache>
            </c:numRef>
          </c:yVal>
          <c:smooth val="1"/>
        </c:ser>
        <c:dLbls>
          <c:showLegendKey val="0"/>
          <c:showVal val="0"/>
          <c:showCatName val="0"/>
          <c:showSerName val="0"/>
          <c:showPercent val="0"/>
          <c:showBubbleSize val="0"/>
        </c:dLbls>
        <c:axId val="442268464"/>
        <c:axId val="442272384"/>
      </c:scatterChart>
      <c:valAx>
        <c:axId val="442268464"/>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2272384"/>
        <c:crossesAt val="-1000"/>
        <c:crossBetween val="midCat"/>
      </c:valAx>
      <c:valAx>
        <c:axId val="442272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2268464"/>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K24" sqref="K24"/>
    </sheetView>
  </sheetViews>
  <sheetFormatPr baseColWidth="10" defaultRowHeight="15" x14ac:dyDescent="0.25"/>
  <cols>
    <col min="1" max="1" width="22.140625" customWidth="1"/>
  </cols>
  <sheetData>
    <row r="1" spans="1:13" x14ac:dyDescent="0.25">
      <c r="A1" s="13" t="s">
        <v>102</v>
      </c>
      <c r="B1" s="63" t="s">
        <v>163</v>
      </c>
      <c r="D1" t="s">
        <v>103</v>
      </c>
    </row>
    <row r="2" spans="1:13" x14ac:dyDescent="0.25">
      <c r="A2" s="13" t="s">
        <v>104</v>
      </c>
      <c r="B2" s="63" t="s">
        <v>105</v>
      </c>
      <c r="D2" s="111" t="s">
        <v>106</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abSelected="1"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154</v>
      </c>
      <c r="B20" s="99">
        <f>CTE!N5</f>
        <v>0.5</v>
      </c>
    </row>
    <row r="21" spans="1:2" s="11" customFormat="1" x14ac:dyDescent="0.25">
      <c r="A21" s="61" t="s">
        <v>155</v>
      </c>
      <c r="B21" s="99">
        <f>CTE!N6-0.5</f>
        <v>130</v>
      </c>
    </row>
    <row r="22" spans="1:2" s="11" customFormat="1" x14ac:dyDescent="0.25">
      <c r="A22" s="61" t="s">
        <v>156</v>
      </c>
      <c r="B22" s="99">
        <f>CTE!N8-0.5</f>
        <v>140</v>
      </c>
    </row>
    <row r="23" spans="1:2" s="11" customFormat="1" x14ac:dyDescent="0.25">
      <c r="A23" s="61" t="s">
        <v>157</v>
      </c>
      <c r="B23" s="99">
        <f>CTE!N9</f>
        <v>180.5</v>
      </c>
    </row>
    <row r="24" spans="1:2" s="11" customFormat="1" x14ac:dyDescent="0.25"/>
    <row r="25" spans="1:2" s="11" customFormat="1" x14ac:dyDescent="0.25">
      <c r="A25" s="61" t="s">
        <v>146</v>
      </c>
      <c r="B25" s="53">
        <f>CTE!O5</f>
        <v>2.4163381142857142E-5</v>
      </c>
    </row>
    <row r="26" spans="1:2" s="11" customFormat="1" x14ac:dyDescent="0.25">
      <c r="A26" s="61" t="s">
        <v>147</v>
      </c>
      <c r="B26" s="53">
        <f>CTE!O6</f>
        <v>2.6285482285714284E-5</v>
      </c>
    </row>
    <row r="27" spans="1:2" s="11" customFormat="1" x14ac:dyDescent="0.25">
      <c r="A27" s="61" t="s">
        <v>148</v>
      </c>
      <c r="B27" s="53">
        <f>CTE!O8</f>
        <v>6.8039453714285723E-5</v>
      </c>
    </row>
    <row r="28" spans="1:2" s="11" customFormat="1" x14ac:dyDescent="0.25">
      <c r="A28" s="61" t="s">
        <v>149</v>
      </c>
      <c r="B28" s="53">
        <f>CTE!O9</f>
        <v>6.7913481714285714E-5</v>
      </c>
    </row>
    <row r="29" spans="1:2" s="11" customFormat="1" x14ac:dyDescent="0.25">
      <c r="A29" s="61"/>
    </row>
    <row r="30" spans="1:2" s="11" customFormat="1" x14ac:dyDescent="0.25">
      <c r="A30" s="61" t="s">
        <v>150</v>
      </c>
      <c r="B30" s="52">
        <f>CTE!P5</f>
        <v>2.1265021444444447E-5</v>
      </c>
    </row>
    <row r="31" spans="1:2" s="11" customFormat="1" x14ac:dyDescent="0.25">
      <c r="A31" s="61" t="s">
        <v>151</v>
      </c>
      <c r="B31" s="52">
        <f>CTE!P6</f>
        <v>2.2263357333333333E-5</v>
      </c>
    </row>
    <row r="32" spans="1:2" s="11" customFormat="1" x14ac:dyDescent="0.25">
      <c r="A32" s="61" t="s">
        <v>152</v>
      </c>
      <c r="B32" s="52">
        <f>CTE!P8</f>
        <v>3.7565950000000002E-5</v>
      </c>
    </row>
    <row r="33" spans="1:2" s="11" customFormat="1" x14ac:dyDescent="0.25">
      <c r="A33" s="61" t="s">
        <v>153</v>
      </c>
      <c r="B33" s="52">
        <f>CTE!P9</f>
        <v>3.810576666666667E-5</v>
      </c>
    </row>
    <row r="34" spans="1:2" s="11" customFormat="1" x14ac:dyDescent="0.25"/>
    <row r="35" spans="1:2" s="11" customFormat="1" x14ac:dyDescent="0.25">
      <c r="A35" s="11" t="s">
        <v>56</v>
      </c>
    </row>
    <row r="36" spans="1:2" s="11" customFormat="1" x14ac:dyDescent="0.25">
      <c r="A36" s="11" t="s">
        <v>158</v>
      </c>
    </row>
    <row r="37" spans="1:2" s="11" customFormat="1" x14ac:dyDescent="0.25">
      <c r="A37" s="11" t="s">
        <v>159</v>
      </c>
    </row>
    <row r="38" spans="1:2" s="11" customFormat="1" x14ac:dyDescent="0.25">
      <c r="A38" s="11" t="s">
        <v>160</v>
      </c>
    </row>
    <row r="39" spans="1:2" s="11" customFormat="1" x14ac:dyDescent="0.25">
      <c r="A39" s="11" t="s">
        <v>161</v>
      </c>
    </row>
    <row r="40" spans="1:2" s="11" customFormat="1" x14ac:dyDescent="0.25"/>
    <row r="41" spans="1:2" s="11" customFormat="1" x14ac:dyDescent="0.25">
      <c r="A41" s="11" t="s">
        <v>57</v>
      </c>
    </row>
    <row r="42" spans="1:2" s="11" customFormat="1" x14ac:dyDescent="0.25">
      <c r="A42" s="11" t="s">
        <v>113</v>
      </c>
      <c r="B42" s="52">
        <f>273.15+'Mastercurve bestimmen'!B2</f>
        <v>433.15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0.25229409235585415</v>
      </c>
      <c r="D59" s="55">
        <v>1</v>
      </c>
    </row>
    <row r="60" spans="1:4" s="11" customFormat="1" x14ac:dyDescent="0.25">
      <c r="A60" s="54">
        <v>2</v>
      </c>
      <c r="B60" s="56">
        <f>'Shiftfunktion bestimmen'!N2</f>
        <v>-2.1279925652768761E-2</v>
      </c>
      <c r="D60" s="55">
        <v>2</v>
      </c>
    </row>
    <row r="61" spans="1:4" s="11" customFormat="1" x14ac:dyDescent="0.25">
      <c r="A61" s="54">
        <v>3</v>
      </c>
      <c r="B61" s="56">
        <f>'Shiftfunktion bestimmen'!N3</f>
        <v>-9.8621384284693124E-4</v>
      </c>
      <c r="D61" s="55">
        <v>3</v>
      </c>
    </row>
    <row r="62" spans="1:4" s="11" customFormat="1" x14ac:dyDescent="0.25">
      <c r="A62" s="54">
        <v>4</v>
      </c>
      <c r="B62" s="56">
        <f>'Shiftfunktion bestimmen'!N4</f>
        <v>-2.0071790963070958E-5</v>
      </c>
      <c r="D62" s="55">
        <v>4</v>
      </c>
    </row>
    <row r="63" spans="1:4" s="11" customFormat="1" x14ac:dyDescent="0.25">
      <c r="A63" s="54">
        <v>5</v>
      </c>
      <c r="B63" s="56">
        <f>'Shiftfunktion bestimmen'!N5</f>
        <v>-2.1469487091422046E-7</v>
      </c>
      <c r="D63" s="55">
        <v>5</v>
      </c>
    </row>
    <row r="64" spans="1:4" s="11" customFormat="1" x14ac:dyDescent="0.25">
      <c r="A64" s="54">
        <v>6</v>
      </c>
      <c r="B64" s="56">
        <f>'Shiftfunktion bestimmen'!N6</f>
        <v>-1.2472439537554644E-9</v>
      </c>
      <c r="D64" s="55">
        <v>6</v>
      </c>
    </row>
    <row r="65" spans="1:5" s="11" customFormat="1" x14ac:dyDescent="0.25">
      <c r="A65" s="54">
        <v>7</v>
      </c>
      <c r="B65" s="56">
        <f>'Shiftfunktion bestimmen'!N7</f>
        <v>-3.7214198368059006E-12</v>
      </c>
      <c r="D65" s="55">
        <v>7</v>
      </c>
    </row>
    <row r="66" spans="1:5" x14ac:dyDescent="0.25">
      <c r="A66" s="54">
        <v>8</v>
      </c>
      <c r="B66" s="56">
        <f>'Shiftfunktion bestimmen'!N8</f>
        <v>-4.4671646722082778E-15</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0.35957115347282304</v>
      </c>
      <c r="D74" s="51">
        <v>1</v>
      </c>
      <c r="E74" s="56">
        <f>'Mastercurve bestimmen'!A18</f>
        <v>1.0000000000000001E-20</v>
      </c>
    </row>
    <row r="75" spans="1:5" x14ac:dyDescent="0.25">
      <c r="A75" s="50">
        <f>A74+1</f>
        <v>2</v>
      </c>
      <c r="B75" s="56">
        <f>'Mastercurve bestimmen'!C19</f>
        <v>5.3087681466497318E-2</v>
      </c>
      <c r="D75" s="51">
        <v>2</v>
      </c>
      <c r="E75" s="56">
        <f>'Mastercurve bestimmen'!A19</f>
        <v>3.9038946506297401E-14</v>
      </c>
    </row>
    <row r="76" spans="1:5" x14ac:dyDescent="0.25">
      <c r="A76" s="50">
        <f t="shared" ref="A76:A104" si="0">A75+1</f>
        <v>3</v>
      </c>
      <c r="B76" s="56">
        <f>'Mastercurve bestimmen'!C20</f>
        <v>1.8548614905856641E-2</v>
      </c>
      <c r="D76" s="51">
        <v>3</v>
      </c>
      <c r="E76" s="56">
        <f>'Mastercurve bestimmen'!A20</f>
        <v>4.3276437088188502E-13</v>
      </c>
    </row>
    <row r="77" spans="1:5" x14ac:dyDescent="0.25">
      <c r="A77" s="50">
        <f t="shared" si="0"/>
        <v>4</v>
      </c>
      <c r="B77" s="56">
        <f>'Mastercurve bestimmen'!C21</f>
        <v>2.7428318800719304E-2</v>
      </c>
      <c r="D77" s="51">
        <v>4</v>
      </c>
      <c r="E77" s="56">
        <f>'Mastercurve bestimmen'!A21</f>
        <v>4.7973886968128502E-12</v>
      </c>
    </row>
    <row r="78" spans="1:5" x14ac:dyDescent="0.25">
      <c r="A78" s="50">
        <f t="shared" si="0"/>
        <v>5</v>
      </c>
      <c r="B78" s="56">
        <f>'Mastercurve bestimmen'!C22</f>
        <v>3.2244311763005913E-2</v>
      </c>
      <c r="D78" s="51">
        <v>5</v>
      </c>
      <c r="E78" s="56">
        <f>'Mastercurve bestimmen'!A22</f>
        <v>5.31812225239524E-11</v>
      </c>
    </row>
    <row r="79" spans="1:5" x14ac:dyDescent="0.25">
      <c r="A79" s="50">
        <f t="shared" si="0"/>
        <v>6</v>
      </c>
      <c r="B79" s="56">
        <f>'Mastercurve bestimmen'!C23</f>
        <v>3.4402319244329078E-2</v>
      </c>
      <c r="D79" s="51">
        <v>6</v>
      </c>
      <c r="E79" s="56">
        <f>'Mastercurve bestimmen'!A23</f>
        <v>5.8953789402578301E-10</v>
      </c>
    </row>
    <row r="80" spans="1:5" x14ac:dyDescent="0.25">
      <c r="A80" s="50">
        <f t="shared" si="0"/>
        <v>7</v>
      </c>
      <c r="B80" s="56">
        <f>'Mastercurve bestimmen'!C24</f>
        <v>4.0521812648841492E-2</v>
      </c>
      <c r="D80" s="51">
        <v>7</v>
      </c>
      <c r="E80" s="56">
        <f>'Mastercurve bestimmen'!A24</f>
        <v>6.5352940755699598E-9</v>
      </c>
    </row>
    <row r="81" spans="1:5" x14ac:dyDescent="0.25">
      <c r="A81" s="50">
        <f t="shared" si="0"/>
        <v>8</v>
      </c>
      <c r="B81" s="56">
        <f>'Mastercurve bestimmen'!C25</f>
        <v>4.571082615945813E-2</v>
      </c>
      <c r="D81" s="51">
        <v>8</v>
      </c>
      <c r="E81" s="56">
        <f>'Mastercurve bestimmen'!A25</f>
        <v>7.2446689325643296E-8</v>
      </c>
    </row>
    <row r="82" spans="1:5" x14ac:dyDescent="0.25">
      <c r="A82" s="50">
        <f t="shared" si="0"/>
        <v>9</v>
      </c>
      <c r="B82" s="56">
        <f>'Mastercurve bestimmen'!C26</f>
        <v>5.619956404185248E-2</v>
      </c>
      <c r="D82" s="51">
        <f>A82</f>
        <v>9</v>
      </c>
      <c r="E82" s="56">
        <f>'Mastercurve bestimmen'!A26</f>
        <v>8.03104303120212E-7</v>
      </c>
    </row>
    <row r="83" spans="1:5" x14ac:dyDescent="0.25">
      <c r="A83" s="50">
        <f t="shared" si="0"/>
        <v>10</v>
      </c>
      <c r="B83" s="56">
        <f>'Mastercurve bestimmen'!C27</f>
        <v>6.8321253158217701E-2</v>
      </c>
      <c r="C83" s="11"/>
      <c r="D83" s="51">
        <f t="shared" ref="D83:D104" si="1">A83</f>
        <v>10</v>
      </c>
      <c r="E83" s="56">
        <f>'Mastercurve bestimmen'!A27</f>
        <v>8.9027742702096099E-6</v>
      </c>
    </row>
    <row r="84" spans="1:5" x14ac:dyDescent="0.25">
      <c r="A84" s="50">
        <f t="shared" si="0"/>
        <v>11</v>
      </c>
      <c r="B84" s="56">
        <f>'Mastercurve bestimmen'!C28</f>
        <v>7.2516023247876399E-2</v>
      </c>
      <c r="C84" s="11"/>
      <c r="D84" s="51">
        <f t="shared" si="1"/>
        <v>11</v>
      </c>
      <c r="E84" s="56">
        <f>'Mastercurve bestimmen'!A28</f>
        <v>9.86912775817142E-5</v>
      </c>
    </row>
    <row r="85" spans="1:5" x14ac:dyDescent="0.25">
      <c r="A85" s="50">
        <f t="shared" si="0"/>
        <v>12</v>
      </c>
      <c r="B85" s="56">
        <f>'Mastercurve bestimmen'!C29</f>
        <v>6.0357732330784487E-2</v>
      </c>
      <c r="C85" s="11"/>
      <c r="D85" s="51">
        <f t="shared" si="1"/>
        <v>12</v>
      </c>
      <c r="E85" s="56">
        <f>'Mastercurve bestimmen'!A29</f>
        <v>1.0940374286813801E-3</v>
      </c>
    </row>
    <row r="86" spans="1:5" x14ac:dyDescent="0.25">
      <c r="A86" s="50">
        <f t="shared" si="0"/>
        <v>13</v>
      </c>
      <c r="B86" s="56">
        <f>'Mastercurve bestimmen'!C30</f>
        <v>3.7953571045142992E-2</v>
      </c>
      <c r="C86" s="11"/>
      <c r="D86" s="51">
        <f t="shared" si="1"/>
        <v>13</v>
      </c>
      <c r="E86" s="56">
        <f>'Mastercurve bestimmen'!A30</f>
        <v>1.2127899493091E-2</v>
      </c>
    </row>
    <row r="87" spans="1:5" x14ac:dyDescent="0.25">
      <c r="A87" s="50">
        <f t="shared" si="0"/>
        <v>14</v>
      </c>
      <c r="B87" s="56">
        <f>'Mastercurve bestimmen'!C31</f>
        <v>1.9899360219970862E-2</v>
      </c>
      <c r="C87" s="11"/>
      <c r="D87" s="51">
        <f t="shared" si="1"/>
        <v>14</v>
      </c>
      <c r="E87" s="56">
        <f>'Mastercurve bestimmen'!A31</f>
        <v>0.13444324870292301</v>
      </c>
    </row>
    <row r="88" spans="1:5" x14ac:dyDescent="0.25">
      <c r="A88" s="50">
        <f t="shared" si="0"/>
        <v>15</v>
      </c>
      <c r="B88" s="56">
        <f>'Mastercurve bestimmen'!C32</f>
        <v>1.0036367698219981E-2</v>
      </c>
      <c r="C88" s="11"/>
      <c r="D88" s="51">
        <f t="shared" si="1"/>
        <v>15</v>
      </c>
      <c r="E88" s="56">
        <f>'Mastercurve bestimmen'!A32</f>
        <v>1.49036419143257</v>
      </c>
    </row>
    <row r="89" spans="1:5" x14ac:dyDescent="0.25">
      <c r="A89" s="50">
        <f t="shared" si="0"/>
        <v>16</v>
      </c>
      <c r="B89" s="56">
        <f>'Mastercurve bestimmen'!C33</f>
        <v>1.0472179826501766E-2</v>
      </c>
      <c r="C89" s="11"/>
      <c r="D89" s="51">
        <f t="shared" si="1"/>
        <v>16</v>
      </c>
      <c r="E89" s="56">
        <f>'Mastercurve bestimmen'!A33</f>
        <v>16.521360830937301</v>
      </c>
    </row>
    <row r="90" spans="1:5" x14ac:dyDescent="0.25">
      <c r="A90" s="50">
        <f t="shared" si="0"/>
        <v>17</v>
      </c>
      <c r="B90" s="56">
        <f>'Mastercurve bestimmen'!C34</f>
        <v>1.1455889373470318E-2</v>
      </c>
      <c r="C90" s="11"/>
      <c r="D90" s="51">
        <f t="shared" si="1"/>
        <v>17</v>
      </c>
      <c r="E90" s="56">
        <f>'Mastercurve bestimmen'!A34</f>
        <v>183.146753843879</v>
      </c>
    </row>
    <row r="91" spans="1:5" x14ac:dyDescent="0.25">
      <c r="A91" s="50">
        <f t="shared" si="0"/>
        <v>18</v>
      </c>
      <c r="B91" s="56">
        <f>'Mastercurve bestimmen'!C35</f>
        <v>6.2948394662532018E-3</v>
      </c>
      <c r="C91" s="11"/>
      <c r="D91" s="51">
        <f t="shared" si="1"/>
        <v>18</v>
      </c>
      <c r="E91" s="56">
        <f>'Mastercurve bestimmen'!A35</f>
        <v>2030.26456396616</v>
      </c>
    </row>
    <row r="92" spans="1:5" x14ac:dyDescent="0.25">
      <c r="A92" s="50">
        <f t="shared" si="0"/>
        <v>19</v>
      </c>
      <c r="B92" s="56">
        <f>'Mastercurve bestimmen'!C36</f>
        <v>5.5356903730511449E-3</v>
      </c>
      <c r="C92" s="11"/>
      <c r="D92" s="51">
        <f t="shared" si="1"/>
        <v>19</v>
      </c>
      <c r="E92" s="56">
        <f>'Mastercurve bestimmen'!A36</f>
        <v>22506.400540467101</v>
      </c>
    </row>
    <row r="93" spans="1:5" x14ac:dyDescent="0.25">
      <c r="A93" s="50">
        <f t="shared" si="0"/>
        <v>20</v>
      </c>
      <c r="B93" s="56">
        <f>'Mastercurve bestimmen'!C37</f>
        <v>2.9841994807754844E-3</v>
      </c>
      <c r="C93" s="11"/>
      <c r="D93" s="51">
        <f t="shared" si="1"/>
        <v>20</v>
      </c>
      <c r="E93" s="56">
        <f>'Mastercurve bestimmen'!A37</f>
        <v>249493.62476110301</v>
      </c>
    </row>
    <row r="94" spans="1:5" x14ac:dyDescent="0.25">
      <c r="A94" s="50">
        <f t="shared" si="0"/>
        <v>21</v>
      </c>
      <c r="B94" s="56">
        <f>'Mastercurve bestimmen'!C38</f>
        <v>1.1698557197945001E-3</v>
      </c>
      <c r="C94" s="11"/>
      <c r="D94" s="51">
        <f t="shared" si="1"/>
        <v>21</v>
      </c>
      <c r="E94" s="56">
        <f>'Mastercurve bestimmen'!A38</f>
        <v>2765749.6224023802</v>
      </c>
    </row>
    <row r="95" spans="1:5" x14ac:dyDescent="0.25">
      <c r="A95" s="50">
        <f t="shared" si="0"/>
        <v>22</v>
      </c>
      <c r="B95" s="56">
        <f>'Mastercurve bestimmen'!C39</f>
        <v>4.0204305624187052E-4</v>
      </c>
      <c r="C95" s="11"/>
      <c r="D95" s="51">
        <f t="shared" si="1"/>
        <v>22</v>
      </c>
      <c r="E95" s="56">
        <f>'Mastercurve bestimmen'!A39</f>
        <v>10000000</v>
      </c>
    </row>
    <row r="96" spans="1:5" x14ac:dyDescent="0.25">
      <c r="A96" s="50">
        <f t="shared" si="0"/>
        <v>23</v>
      </c>
      <c r="B96" s="56">
        <f>'Mastercurve bestimmen'!C40</f>
        <v>9.0650475367586036E-4</v>
      </c>
      <c r="C96" s="11"/>
      <c r="D96" s="51">
        <f t="shared" si="1"/>
        <v>23</v>
      </c>
      <c r="E96" s="56">
        <f>'Mastercurve bestimmen'!A40</f>
        <v>100000000</v>
      </c>
    </row>
    <row r="97" spans="1:5" x14ac:dyDescent="0.25">
      <c r="A97" s="50">
        <f t="shared" si="0"/>
        <v>24</v>
      </c>
      <c r="B97" s="56">
        <f>'Mastercurve bestimmen'!C41</f>
        <v>1.833495697796037E-4</v>
      </c>
      <c r="C97" s="11"/>
      <c r="D97" s="51">
        <f t="shared" si="1"/>
        <v>24</v>
      </c>
      <c r="E97" s="56">
        <f>'Mastercurve bestimmen'!A41</f>
        <v>1000000000</v>
      </c>
    </row>
    <row r="98" spans="1:5" x14ac:dyDescent="0.25">
      <c r="A98" s="50">
        <f t="shared" si="0"/>
        <v>25</v>
      </c>
      <c r="B98" s="56">
        <f>'Mastercurve bestimmen'!C42</f>
        <v>0</v>
      </c>
      <c r="C98" s="11"/>
      <c r="D98" s="51">
        <f t="shared" si="1"/>
        <v>25</v>
      </c>
      <c r="E98" s="56">
        <f>'Mastercurve bestimmen'!A42</f>
        <v>10000000000</v>
      </c>
    </row>
    <row r="99" spans="1:5" x14ac:dyDescent="0.25">
      <c r="A99" s="50">
        <f t="shared" si="0"/>
        <v>26</v>
      </c>
      <c r="B99" s="56">
        <f>'Mastercurve bestimmen'!C43</f>
        <v>2.7582104941075727E-4</v>
      </c>
      <c r="C99" s="11"/>
      <c r="D99" s="51">
        <f t="shared" si="1"/>
        <v>26</v>
      </c>
      <c r="E99" s="56">
        <f>'Mastercurve bestimmen'!A43</f>
        <v>100000000000</v>
      </c>
    </row>
    <row r="100" spans="1:5" x14ac:dyDescent="0.25">
      <c r="A100" s="50">
        <f t="shared" si="0"/>
        <v>27</v>
      </c>
      <c r="B100" s="56">
        <f>'Mastercurve bestimmen'!C44</f>
        <v>2.4535081143819124E-4</v>
      </c>
      <c r="C100" s="11"/>
      <c r="D100" s="51">
        <f t="shared" si="1"/>
        <v>27</v>
      </c>
      <c r="E100" s="56">
        <f>'Mastercurve bestimmen'!A44</f>
        <v>1000000000000</v>
      </c>
    </row>
    <row r="101" spans="1:5" x14ac:dyDescent="0.25">
      <c r="A101" s="50">
        <f t="shared" si="0"/>
        <v>28</v>
      </c>
      <c r="B101" s="56">
        <f>'Mastercurve bestimmen'!C45</f>
        <v>0</v>
      </c>
      <c r="C101" s="11"/>
      <c r="D101" s="51">
        <f t="shared" si="1"/>
        <v>28</v>
      </c>
      <c r="E101" s="56">
        <f>'Mastercurve bestimmen'!A45</f>
        <v>10000000000000</v>
      </c>
    </row>
    <row r="102" spans="1:5" x14ac:dyDescent="0.25">
      <c r="A102" s="50">
        <f t="shared" si="0"/>
        <v>29</v>
      </c>
      <c r="B102" s="56">
        <f>'Mastercurve bestimmen'!C46</f>
        <v>1.7255643769382848E-4</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0</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18946.322</v>
      </c>
    </row>
    <row r="108" spans="1:5" s="11" customFormat="1" x14ac:dyDescent="0.25">
      <c r="A108" s="61" t="str">
        <f>STUTT!B3</f>
        <v>mp,PRXY,MatID,</v>
      </c>
      <c r="B108" s="52">
        <f>STUTT!C3</f>
        <v>0.27492274999999999</v>
      </c>
    </row>
    <row r="109" spans="1:5" s="11" customFormat="1" x14ac:dyDescent="0.25">
      <c r="A109" s="61" t="str">
        <f>STUTT!B4</f>
        <v>mp,ey,MatID,</v>
      </c>
      <c r="B109" s="52">
        <f>STUTT!C4</f>
        <v>25113.767</v>
      </c>
    </row>
    <row r="110" spans="1:5" s="11" customFormat="1" x14ac:dyDescent="0.25">
      <c r="A110" s="61" t="str">
        <f>STUTT!B5</f>
        <v>mp,PRYZ,MatID,</v>
      </c>
      <c r="B110" s="52">
        <f>STUTT!C5</f>
        <v>0.36447574999999999</v>
      </c>
    </row>
    <row r="111" spans="1:5" s="11" customFormat="1" x14ac:dyDescent="0.25">
      <c r="A111" s="61" t="str">
        <f>STUTT!B6</f>
        <v>mp,ez,MatID,</v>
      </c>
      <c r="B111" s="52">
        <f>STUTT!C6</f>
        <v>18946.322</v>
      </c>
    </row>
    <row r="112" spans="1:5" s="11" customFormat="1" x14ac:dyDescent="0.25">
      <c r="A112" s="61" t="str">
        <f>STUTT!B7</f>
        <v>mp,PRXZ,MatID,</v>
      </c>
      <c r="B112" s="52">
        <f>STUTT!C7</f>
        <v>0.35477789999999998</v>
      </c>
    </row>
    <row r="113" spans="1:4" s="11" customFormat="1" x14ac:dyDescent="0.25">
      <c r="A113" s="61" t="str">
        <f>STUTT!B8</f>
        <v>MP,GXZ,</v>
      </c>
      <c r="B113" s="52" t="str">
        <f>STUTT!C8</f>
        <v>MatID,</v>
      </c>
      <c r="C113" s="112">
        <f>STUTT!D8</f>
        <v>6992.4087</v>
      </c>
      <c r="D113" s="112"/>
    </row>
    <row r="114" spans="1:4" s="11" customFormat="1" x14ac:dyDescent="0.25">
      <c r="A114" s="61" t="str">
        <f>STUTT!B9</f>
        <v>MP,GXY,</v>
      </c>
      <c r="B114" s="52" t="str">
        <f>STUTT!C9</f>
        <v>MatID,</v>
      </c>
      <c r="C114" s="112">
        <f>STUTT!D9</f>
        <v>9035.3351999999995</v>
      </c>
      <c r="D114" s="112"/>
    </row>
    <row r="115" spans="1:4" x14ac:dyDescent="0.25">
      <c r="A115" s="61" t="str">
        <f>STUTT!B10</f>
        <v>MP,GYZ,</v>
      </c>
      <c r="B115" s="52" t="str">
        <f>STUTT!C10</f>
        <v>MatID,</v>
      </c>
      <c r="C115" s="112">
        <f>STUTT!D10</f>
        <v>9035.3351999999995</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107</v>
      </c>
    </row>
    <row r="155" spans="1:4" x14ac:dyDescent="0.25">
      <c r="A155" t="s">
        <v>108</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P21" sqref="P21"/>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128</v>
      </c>
      <c r="L1">
        <f>0.35/2</f>
        <v>0.17499999999999999</v>
      </c>
      <c r="Q1" t="s">
        <v>129</v>
      </c>
      <c r="R1">
        <v>0.09</v>
      </c>
    </row>
    <row r="2" spans="1:18" x14ac:dyDescent="0.25">
      <c r="A2" t="s">
        <v>27</v>
      </c>
      <c r="B2" t="s">
        <v>14</v>
      </c>
      <c r="C2" t="s">
        <v>15</v>
      </c>
      <c r="D2" t="s">
        <v>16</v>
      </c>
      <c r="E2" t="s">
        <v>33</v>
      </c>
      <c r="F2" t="s">
        <v>34</v>
      </c>
      <c r="G2" t="s">
        <v>35</v>
      </c>
      <c r="H2" t="s">
        <v>36</v>
      </c>
      <c r="I2" t="s">
        <v>37</v>
      </c>
      <c r="J2" t="s">
        <v>38</v>
      </c>
    </row>
    <row r="3" spans="1:18" x14ac:dyDescent="0.25">
      <c r="A3">
        <v>-40</v>
      </c>
      <c r="B3" s="3">
        <v>-1.973E-7</v>
      </c>
      <c r="C3" s="3">
        <v>2.4930000000000001E-6</v>
      </c>
      <c r="D3" s="3">
        <v>-1.973E-7</v>
      </c>
      <c r="E3" s="3">
        <v>-1.3499999999999999E-5</v>
      </c>
      <c r="F3" s="3">
        <v>-1.3499999999999999E-5</v>
      </c>
      <c r="G3" s="3">
        <v>-1.3499999999999999E-5</v>
      </c>
      <c r="H3" s="3">
        <v>-2.1161738999999999E-6</v>
      </c>
      <c r="I3" s="3">
        <v>-9.5446578000000009E-7</v>
      </c>
      <c r="J3" s="3">
        <v>-2.1161738999999999E-6</v>
      </c>
      <c r="L3" s="48">
        <f>ABS(H3/(-0.5)/$L$1)</f>
        <v>2.4184844571428572E-5</v>
      </c>
      <c r="R3">
        <f>ABS(I3/(-0.5)/$R$1)</f>
        <v>2.1210350666666669E-5</v>
      </c>
    </row>
    <row r="4" spans="1:18" x14ac:dyDescent="0.25">
      <c r="A4">
        <v>-39</v>
      </c>
      <c r="B4" s="3">
        <v>1.9719999999999999E-7</v>
      </c>
      <c r="C4" s="3">
        <v>-2.4930000000000001E-6</v>
      </c>
      <c r="D4" s="3">
        <v>1.9719999999999999E-7</v>
      </c>
      <c r="E4" s="3">
        <v>1.3499999999999999E-5</v>
      </c>
      <c r="F4" s="3">
        <v>1.3499999999999999E-5</v>
      </c>
      <c r="G4" s="3">
        <v>1.3499999999999999E-5</v>
      </c>
      <c r="H4" s="3">
        <v>2.1161285999999999E-6</v>
      </c>
      <c r="I4" s="3">
        <v>9.5452484000000003E-7</v>
      </c>
      <c r="J4" s="3">
        <v>2.1161285999999999E-6</v>
      </c>
      <c r="L4" s="48">
        <f t="shared" ref="L4:L14" si="0">ABS(H4/(-0.5)/$L$1)</f>
        <v>2.4184326857142857E-5</v>
      </c>
      <c r="N4" s="39" t="s">
        <v>27</v>
      </c>
      <c r="O4" s="39" t="s">
        <v>130</v>
      </c>
      <c r="P4" s="85" t="s">
        <v>131</v>
      </c>
      <c r="R4" s="11">
        <f t="shared" ref="R4:R14" si="1">ABS(I4/(-0.5)/$R$1)</f>
        <v>2.1211663111111113E-5</v>
      </c>
    </row>
    <row r="5" spans="1:18" x14ac:dyDescent="0.25">
      <c r="A5">
        <v>0</v>
      </c>
      <c r="B5" s="3">
        <v>-1.9219999999999999E-7</v>
      </c>
      <c r="C5" s="3">
        <v>2.4719999999999998E-6</v>
      </c>
      <c r="D5" s="3">
        <v>-1.9219999999999999E-7</v>
      </c>
      <c r="E5" s="3">
        <v>-1.3499999999999999E-5</v>
      </c>
      <c r="F5" s="3">
        <v>-1.3499999999999999E-5</v>
      </c>
      <c r="G5" s="3">
        <v>-1.3499999999999999E-5</v>
      </c>
      <c r="H5" s="3">
        <v>-2.1143196000000002E-6</v>
      </c>
      <c r="I5" s="3">
        <v>-9.5689469999999994E-7</v>
      </c>
      <c r="J5" s="3">
        <v>-2.1143196000000002E-6</v>
      </c>
      <c r="L5" s="48">
        <f t="shared" si="0"/>
        <v>2.4163652571428575E-5</v>
      </c>
      <c r="M5" s="48"/>
      <c r="N5" s="10">
        <f>(INDEX(A:A,ROW(A2)*2+1)+INDEX(A:A,ROW(A2)*2+2))/2</f>
        <v>0.5</v>
      </c>
      <c r="O5" s="89">
        <f>(INDEX(L:L,ROW(L2)*2+1)+INDEX(L:L,ROW(L2)*2+2))/2</f>
        <v>2.4163381142857142E-5</v>
      </c>
      <c r="P5" s="89">
        <f>(INDEX(R:R,ROW(M2)*2+1)+INDEX(R:R,ROW(R2)*2+2))/2</f>
        <v>2.1265021444444447E-5</v>
      </c>
      <c r="R5" s="11">
        <f t="shared" si="1"/>
        <v>2.1264326666666666E-5</v>
      </c>
    </row>
    <row r="6" spans="1:18" x14ac:dyDescent="0.25">
      <c r="A6">
        <v>1</v>
      </c>
      <c r="B6" s="3">
        <v>1.92E-7</v>
      </c>
      <c r="C6" s="3">
        <v>-2.4710000000000001E-6</v>
      </c>
      <c r="D6" s="3">
        <v>1.92E-7</v>
      </c>
      <c r="E6" s="3">
        <v>1.3499999999999999E-5</v>
      </c>
      <c r="F6" s="3">
        <v>1.3499999999999999E-5</v>
      </c>
      <c r="G6" s="3">
        <v>1.3499999999999999E-5</v>
      </c>
      <c r="H6" s="3">
        <v>2.1142720999999998E-6</v>
      </c>
      <c r="I6" s="3">
        <v>9.5695722999999997E-7</v>
      </c>
      <c r="J6" s="3">
        <v>2.1142720999999998E-6</v>
      </c>
      <c r="L6" s="48">
        <f t="shared" si="0"/>
        <v>2.4163109714285714E-5</v>
      </c>
      <c r="M6" s="49"/>
      <c r="N6" s="10">
        <f>(INDEX(A:A,ROW(A3)*2+1)+INDEX(A:A,ROW(A3)*2+2))/2</f>
        <v>130.5</v>
      </c>
      <c r="O6" s="89">
        <f t="shared" ref="O6:O7" si="2">(INDEX(L:L,ROW(L3)*2+1)+INDEX(L:L,ROW(L3)*2+2))/2</f>
        <v>2.6285482285714284E-5</v>
      </c>
      <c r="P6" s="89">
        <f t="shared" ref="P6:P9" si="3">(INDEX(R:R,ROW(M3)*2+1)+INDEX(R:R,ROW(R3)*2+2))/2</f>
        <v>2.2263357333333333E-5</v>
      </c>
      <c r="R6" s="11">
        <f t="shared" si="1"/>
        <v>2.1265716222222223E-5</v>
      </c>
    </row>
    <row r="7" spans="1:18" x14ac:dyDescent="0.25">
      <c r="A7">
        <v>130</v>
      </c>
      <c r="B7" s="3">
        <v>-2.8169999999999999E-7</v>
      </c>
      <c r="C7" s="3">
        <v>3.0639999999999998E-6</v>
      </c>
      <c r="D7" s="3">
        <v>-2.8169999999999999E-7</v>
      </c>
      <c r="E7" s="3">
        <v>-1.435E-5</v>
      </c>
      <c r="F7" s="3">
        <v>-1.435E-5</v>
      </c>
      <c r="G7" s="3">
        <v>-1.435E-5</v>
      </c>
      <c r="H7" s="3">
        <v>-2.2037995999999998E-6</v>
      </c>
      <c r="I7" s="3">
        <v>-9.8383106000000002E-7</v>
      </c>
      <c r="J7" s="3">
        <v>-2.2037995999999998E-6</v>
      </c>
      <c r="L7" s="48">
        <f t="shared" si="0"/>
        <v>2.5186281142857142E-5</v>
      </c>
      <c r="M7" s="48"/>
      <c r="N7" s="10">
        <f>(INDEX(A:A,ROW(A4)*2+1)+INDEX(A:A,ROW(A4)*2+2))/2</f>
        <v>135.5</v>
      </c>
      <c r="O7" s="89">
        <f t="shared" si="2"/>
        <v>4.8267398857142861E-5</v>
      </c>
      <c r="P7" s="89">
        <f t="shared" si="3"/>
        <v>3.0288797777777777E-5</v>
      </c>
      <c r="R7" s="11">
        <f t="shared" si="1"/>
        <v>2.1862912444444445E-5</v>
      </c>
    </row>
    <row r="8" spans="1:18" x14ac:dyDescent="0.25">
      <c r="A8">
        <v>131</v>
      </c>
      <c r="B8" s="3">
        <v>4.9790000000000003E-7</v>
      </c>
      <c r="C8" s="3">
        <v>-4.4059999999999998E-6</v>
      </c>
      <c r="D8" s="3">
        <v>4.9790000000000003E-7</v>
      </c>
      <c r="E8" s="3">
        <v>1.605E-5</v>
      </c>
      <c r="F8" s="3">
        <v>1.605E-5</v>
      </c>
      <c r="G8" s="3">
        <v>1.605E-5</v>
      </c>
      <c r="H8" s="3">
        <v>2.3961597999999999E-6</v>
      </c>
      <c r="I8" s="3">
        <v>1.0198711E-6</v>
      </c>
      <c r="J8" s="3">
        <v>2.3961597999999999E-6</v>
      </c>
      <c r="L8" s="48">
        <f t="shared" si="0"/>
        <v>2.738468342857143E-5</v>
      </c>
      <c r="M8" s="49"/>
      <c r="N8" s="10">
        <f>(INDEX(A:A,ROW(A5)*2+1)+INDEX(A:A,ROW(A5)*2+2))/2</f>
        <v>140.5</v>
      </c>
      <c r="O8" s="89">
        <f t="shared" ref="O8:O9" si="4">(INDEX(L:L,ROW(L5)*2+1)+INDEX(L:L,ROW(L5)*2+2))/2</f>
        <v>6.8039453714285723E-5</v>
      </c>
      <c r="P8" s="89">
        <f t="shared" si="3"/>
        <v>3.7565950000000002E-5</v>
      </c>
      <c r="R8" s="11">
        <f t="shared" si="1"/>
        <v>2.2663802222222221E-5</v>
      </c>
    </row>
    <row r="9" spans="1:18" x14ac:dyDescent="0.25">
      <c r="A9">
        <v>135</v>
      </c>
      <c r="B9" s="3">
        <v>-2.4430000000000002E-6</v>
      </c>
      <c r="C9" s="3">
        <v>1.6480000000000001E-5</v>
      </c>
      <c r="D9" s="3">
        <v>-2.4430000000000002E-6</v>
      </c>
      <c r="E9" s="3">
        <v>-3.1350000000000003E-5</v>
      </c>
      <c r="F9" s="3">
        <v>-3.1350000000000003E-5</v>
      </c>
      <c r="G9" s="3">
        <v>-3.1350000000000003E-5</v>
      </c>
      <c r="H9" s="3">
        <v>-4.1272953999999997E-6</v>
      </c>
      <c r="I9" s="3">
        <v>-1.3447875999999999E-6</v>
      </c>
      <c r="J9" s="3">
        <v>-4.1272953999999997E-6</v>
      </c>
      <c r="L9" s="48">
        <f t="shared" si="0"/>
        <v>4.7169090285714284E-5</v>
      </c>
      <c r="M9" s="48"/>
      <c r="N9" s="10">
        <f>(INDEX(A:A,ROW(A6)*2+1)+INDEX(A:A,ROW(A6)*2+2))/2</f>
        <v>180.5</v>
      </c>
      <c r="O9" s="89">
        <f t="shared" si="4"/>
        <v>6.7913481714285714E-5</v>
      </c>
      <c r="P9" s="89">
        <f t="shared" si="3"/>
        <v>3.810576666666667E-5</v>
      </c>
      <c r="R9" s="11">
        <f t="shared" si="1"/>
        <v>2.9884168888888887E-5</v>
      </c>
    </row>
    <row r="10" spans="1:18" x14ac:dyDescent="0.25">
      <c r="A10">
        <v>136</v>
      </c>
      <c r="B10" s="3">
        <v>2.6579999999999998E-6</v>
      </c>
      <c r="C10" s="3">
        <v>-1.7819999999999999E-5</v>
      </c>
      <c r="D10" s="3">
        <v>2.6579999999999998E-6</v>
      </c>
      <c r="E10" s="3">
        <v>3.3049999999999997E-5</v>
      </c>
      <c r="F10" s="3">
        <v>3.3049999999999997E-5</v>
      </c>
      <c r="G10" s="3">
        <v>3.3049999999999997E-5</v>
      </c>
      <c r="H10" s="3">
        <v>4.3194994000000003E-6</v>
      </c>
      <c r="I10" s="3">
        <v>1.3812042E-6</v>
      </c>
      <c r="J10" s="3">
        <v>4.3194994000000003E-6</v>
      </c>
      <c r="L10" s="48">
        <f t="shared" si="0"/>
        <v>4.9365707428571437E-5</v>
      </c>
      <c r="M10" s="49"/>
      <c r="N10" s="10"/>
      <c r="O10" s="3"/>
      <c r="R10" s="11">
        <f t="shared" si="1"/>
        <v>3.0693426666666671E-5</v>
      </c>
    </row>
    <row r="11" spans="1:18" x14ac:dyDescent="0.25">
      <c r="A11">
        <v>140</v>
      </c>
      <c r="B11" s="3">
        <v>-4.4920000000000004E-6</v>
      </c>
      <c r="C11" s="3">
        <v>2.9200000000000002E-5</v>
      </c>
      <c r="D11" s="3">
        <v>-4.4920000000000004E-6</v>
      </c>
      <c r="E11" s="3">
        <v>-4.7500000000000003E-5</v>
      </c>
      <c r="F11" s="3">
        <v>-4.7500000000000003E-5</v>
      </c>
      <c r="G11" s="3">
        <v>-4.7500000000000003E-5</v>
      </c>
      <c r="H11" s="3">
        <v>-5.9535860000000001E-6</v>
      </c>
      <c r="I11" s="3">
        <v>-1.6901754000000001E-6</v>
      </c>
      <c r="J11" s="3">
        <v>-5.9535860000000001E-6</v>
      </c>
      <c r="L11" s="48">
        <f t="shared" si="0"/>
        <v>6.804098285714286E-5</v>
      </c>
      <c r="M11" s="48"/>
      <c r="N11" s="10"/>
      <c r="O11" s="3"/>
      <c r="R11" s="11">
        <f t="shared" si="1"/>
        <v>3.7559453333333333E-5</v>
      </c>
    </row>
    <row r="12" spans="1:18" x14ac:dyDescent="0.25">
      <c r="A12">
        <v>141</v>
      </c>
      <c r="B12" s="3">
        <v>4.4909999999999999E-6</v>
      </c>
      <c r="C12" s="3">
        <v>-2.919E-5</v>
      </c>
      <c r="D12" s="3">
        <v>4.4909999999999999E-6</v>
      </c>
      <c r="E12" s="3">
        <v>4.7500000000000003E-5</v>
      </c>
      <c r="F12" s="3">
        <v>4.7500000000000003E-5</v>
      </c>
      <c r="G12" s="3">
        <v>4.7500000000000003E-5</v>
      </c>
      <c r="H12" s="3">
        <v>5.9533184000000001E-6</v>
      </c>
      <c r="I12" s="3">
        <v>1.6907601000000001E-6</v>
      </c>
      <c r="J12" s="3">
        <v>5.9533184000000001E-6</v>
      </c>
      <c r="L12" s="48">
        <f t="shared" si="0"/>
        <v>6.8037924571428572E-5</v>
      </c>
      <c r="M12" s="49"/>
      <c r="N12" s="10"/>
      <c r="O12" s="3"/>
      <c r="R12" s="11">
        <f t="shared" si="1"/>
        <v>3.7572446666666672E-5</v>
      </c>
    </row>
    <row r="13" spans="1:18" x14ac:dyDescent="0.25">
      <c r="A13">
        <v>180</v>
      </c>
      <c r="B13" s="3">
        <v>-4.4519999999999999E-6</v>
      </c>
      <c r="C13" s="3">
        <v>2.8969999999999999E-5</v>
      </c>
      <c r="D13" s="3">
        <v>-4.4519999999999999E-6</v>
      </c>
      <c r="E13" s="3">
        <v>-4.7500000000000003E-5</v>
      </c>
      <c r="F13" s="3">
        <v>-4.7500000000000003E-5</v>
      </c>
      <c r="G13" s="3">
        <v>-4.7500000000000003E-5</v>
      </c>
      <c r="H13" s="3">
        <v>-5.9425716999999999E-6</v>
      </c>
      <c r="I13" s="3">
        <v>-1.714444E-6</v>
      </c>
      <c r="J13" s="3">
        <v>-5.9425716999999999E-6</v>
      </c>
      <c r="L13" s="48">
        <f t="shared" si="0"/>
        <v>6.7915105142857151E-5</v>
      </c>
      <c r="M13" s="48"/>
      <c r="N13" s="10"/>
      <c r="O13" s="3"/>
      <c r="R13" s="11">
        <f t="shared" si="1"/>
        <v>3.809875555555556E-5</v>
      </c>
    </row>
    <row r="14" spans="1:18" x14ac:dyDescent="0.25">
      <c r="A14" s="11">
        <v>181</v>
      </c>
      <c r="B14" s="3">
        <v>4.4510000000000002E-6</v>
      </c>
      <c r="C14" s="3">
        <v>-2.8969999999999999E-5</v>
      </c>
      <c r="D14" s="3">
        <v>4.4510000000000002E-6</v>
      </c>
      <c r="E14" s="3">
        <v>4.7500000000000003E-5</v>
      </c>
      <c r="F14" s="3">
        <v>4.7500000000000003E-5</v>
      </c>
      <c r="G14" s="3">
        <v>4.7500000000000003E-5</v>
      </c>
      <c r="H14" s="3">
        <v>5.9422875999999998E-6</v>
      </c>
      <c r="I14" s="3">
        <v>1.715075E-6</v>
      </c>
      <c r="J14" s="3">
        <v>5.9422875999999998E-6</v>
      </c>
      <c r="L14" s="48">
        <f t="shared" si="0"/>
        <v>6.7911858285714291E-5</v>
      </c>
      <c r="M14" s="49"/>
      <c r="N14" s="10"/>
      <c r="O14" s="3"/>
      <c r="R14" s="11">
        <f t="shared" si="1"/>
        <v>3.8112777777777781E-5</v>
      </c>
    </row>
    <row r="15" spans="1:18" x14ac:dyDescent="0.25">
      <c r="L15" s="48"/>
      <c r="M15" s="48"/>
      <c r="N15" s="10"/>
      <c r="O15" s="3"/>
    </row>
    <row r="16" spans="1:18" x14ac:dyDescent="0.25">
      <c r="L16" s="48"/>
      <c r="M16" s="49"/>
      <c r="N16" s="10"/>
      <c r="O16" s="3"/>
    </row>
    <row r="17" spans="2:15" x14ac:dyDescent="0.25">
      <c r="B17" s="88" t="s">
        <v>127</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117</v>
      </c>
      <c r="C2" s="3">
        <v>18946.322</v>
      </c>
    </row>
    <row r="3" spans="2:4" x14ac:dyDescent="0.25">
      <c r="B3" t="s">
        <v>118</v>
      </c>
      <c r="C3" s="3">
        <v>0.27492274999999999</v>
      </c>
    </row>
    <row r="4" spans="2:4" x14ac:dyDescent="0.25">
      <c r="B4" t="s">
        <v>119</v>
      </c>
      <c r="C4" s="3">
        <v>25113.767</v>
      </c>
    </row>
    <row r="5" spans="2:4" x14ac:dyDescent="0.25">
      <c r="B5" t="s">
        <v>120</v>
      </c>
      <c r="C5" s="3">
        <v>0.36447574999999999</v>
      </c>
    </row>
    <row r="6" spans="2:4" x14ac:dyDescent="0.25">
      <c r="B6" t="s">
        <v>121</v>
      </c>
      <c r="C6" s="3">
        <v>18946.322</v>
      </c>
    </row>
    <row r="7" spans="2:4" x14ac:dyDescent="0.25">
      <c r="B7" t="s">
        <v>122</v>
      </c>
      <c r="C7" s="3">
        <v>0.35477789999999998</v>
      </c>
    </row>
    <row r="8" spans="2:4" x14ac:dyDescent="0.25">
      <c r="B8" t="s">
        <v>123</v>
      </c>
      <c r="C8" t="s">
        <v>124</v>
      </c>
      <c r="D8" s="3">
        <v>6992.4087</v>
      </c>
    </row>
    <row r="9" spans="2:4" x14ac:dyDescent="0.25">
      <c r="B9" t="s">
        <v>125</v>
      </c>
      <c r="C9" t="s">
        <v>124</v>
      </c>
      <c r="D9" s="3">
        <v>9035.3351999999995</v>
      </c>
    </row>
    <row r="10" spans="2:4" x14ac:dyDescent="0.25">
      <c r="B10" t="s">
        <v>126</v>
      </c>
      <c r="C10" t="s">
        <v>124</v>
      </c>
      <c r="D10" s="3">
        <v>9035.3351999999995</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9" zoomScaleNormal="100" workbookViewId="0">
      <selection activeCell="AM3" sqref="AM3"/>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-5.2026789142857141E-4</v>
      </c>
      <c r="C3" s="2">
        <f>IF('Modell einstellen'!$B$2="Ja",creep_res0!O3,creep_res0!C3)</f>
        <v>-5.2482441714285716E-4</v>
      </c>
      <c r="D3" s="2">
        <f>IF('Modell einstellen'!$B$2="Ja",creep_res25!O3,creep_res25!C3)</f>
        <v>-5.2781071428571432E-4</v>
      </c>
      <c r="E3" s="2">
        <f>IF('Modell einstellen'!$B$2="Ja",creep_res50!O3,creep_res50!C3)</f>
        <v>-5.3091504571428573E-4</v>
      </c>
      <c r="F3" s="2">
        <f>IF('Modell einstellen'!$B$2="Ja",creep_res80!O3,creep_res80!C3)</f>
        <v>-5.3875919428571434E-4</v>
      </c>
      <c r="G3" s="2">
        <f>IF('Modell einstellen'!$B$2="Ja",creep_res125!O3,creep_res125!C3)</f>
        <v>-6.2079731428571429E-4</v>
      </c>
      <c r="H3" s="2">
        <f>IF('Modell einstellen'!$B$2="Ja",creep_res160!O3,creep_res160!C3)</f>
        <v>-7.5780891428571431E-4</v>
      </c>
      <c r="M3" s="9">
        <f>-10</f>
        <v>-10</v>
      </c>
      <c r="N3" s="2">
        <f t="shared" ref="N3:N33" si="4">A3</f>
        <v>1.0000000000000001E-15</v>
      </c>
      <c r="O3" s="2">
        <f t="shared" ref="O3:O33" si="5">$M$3/B3</f>
        <v>19220.867104717185</v>
      </c>
      <c r="P3" s="2">
        <f t="shared" ref="P3:P33" si="6">$M$3/C3</f>
        <v>19053.991531948868</v>
      </c>
      <c r="Q3" s="2">
        <f t="shared" ref="Q3:Q33" si="7">$M$3/D3</f>
        <v>18946.186065080146</v>
      </c>
      <c r="R3" s="2">
        <f>$M$3/E3</f>
        <v>18835.405175881086</v>
      </c>
      <c r="S3" s="2">
        <f t="shared" ref="S3:S33" si="8">$M$3/F3</f>
        <v>18561.168154648341</v>
      </c>
      <c r="T3" s="2">
        <f t="shared" ref="T3:T33" si="9">$M$3/G3</f>
        <v>16108.317110723878</v>
      </c>
      <c r="U3" s="2">
        <f t="shared" ref="U3:U33" si="10">$M$3/H3</f>
        <v>13195.938727410814</v>
      </c>
      <c r="W3" s="2">
        <v>18599.275035544593</v>
      </c>
      <c r="Z3" s="2">
        <v>1.0000000000000001E-15</v>
      </c>
      <c r="AA3" s="3">
        <f>IF('Modell einstellen'!$B$2="Ja",'creep_res-40'!P3,'creep_res-40'!L3)</f>
        <v>0.35489597935815076</v>
      </c>
      <c r="AB3" s="2">
        <f>IF('Modell einstellen'!$B$2="Ja",creep_res0!P3,creep_res0!L3)</f>
        <v>0.35482118738094864</v>
      </c>
      <c r="AC3" s="2">
        <f>IF('Modell einstellen'!$B$2="Ja",creep_res25!P3,creep_res25!L3)</f>
        <v>0.35477058198623695</v>
      </c>
      <c r="AD3" s="2">
        <f>IF('Modell einstellen'!$B$2="Ja",creep_res50!P3,creep_res50!L3)</f>
        <v>0.35471875817893839</v>
      </c>
      <c r="AE3" s="2">
        <f>IF('Modell einstellen'!$B$2="Ja",creep_res80!P3,creep_res80!L3)</f>
        <v>0.35669424279974371</v>
      </c>
      <c r="AF3" s="2">
        <f>IF('Modell einstellen'!$B$2="Ja",creep_res125!P3,creep_res125!L3)</f>
        <v>0.39427561036024372</v>
      </c>
      <c r="AG3" s="2">
        <f>IF('Modell einstellen'!$B$2="Ja",creep_res160!P3,creep_res160!L3)</f>
        <v>0.45450490496812768</v>
      </c>
      <c r="AL3" s="2">
        <f t="shared" ref="AL3:AL33" si="11">Z3</f>
        <v>1.0000000000000001E-15</v>
      </c>
      <c r="AM3" s="2">
        <f t="shared" ref="AM3:AM33" si="12">O3/(2*(1+AA3))</f>
        <v>7093.1154116431162</v>
      </c>
      <c r="AN3" s="2">
        <f t="shared" ref="AN3:AN33" si="13">P3/(2*(1+AB3))</f>
        <v>7031.9211529245395</v>
      </c>
      <c r="AO3" s="2">
        <f t="shared" ref="AO3:AO33" si="14">Q3/(2*(1+AC3))</f>
        <v>6992.3964680806075</v>
      </c>
      <c r="AP3" s="2">
        <f t="shared" ref="AP3:AP33" si="15">R3/(2*(1+AD3))</f>
        <v>6951.7769139036336</v>
      </c>
      <c r="AQ3" s="2">
        <f t="shared" ref="AQ3:AQ33" si="16">S3/(2*(1+AE3))</f>
        <v>6840.5863197092085</v>
      </c>
      <c r="AR3" s="2">
        <f t="shared" ref="AR3:AR33" si="17">T3/(2*(1+AF3))</f>
        <v>5776.5900052436255</v>
      </c>
      <c r="AS3" s="2">
        <f t="shared" ref="AS3:AS33" si="18">U3/(2*(1+AG3))</f>
        <v>4536.230397827354</v>
      </c>
      <c r="AX3" s="2">
        <f>AL3</f>
        <v>1.0000000000000001E-15</v>
      </c>
      <c r="AY3" s="37">
        <f t="shared" ref="AY3:AY33" si="19">O3/(3*(1-(2*AA3)))</f>
        <v>22077.11293330136</v>
      </c>
      <c r="AZ3" s="37">
        <f t="shared" ref="AZ3:AZ33" si="20">P3/(3*(1-(2*AB3)))</f>
        <v>21874.164680336275</v>
      </c>
      <c r="BA3" s="37">
        <f t="shared" ref="BA3:BA33" si="21">Q3/(3*(1-(2*AC3)))</f>
        <v>21742.824013893041</v>
      </c>
      <c r="BB3" s="37">
        <f t="shared" ref="BB3:BB33" si="22">R3/(3*(1-(2*AD3)))</f>
        <v>21607.980195039068</v>
      </c>
      <c r="BC3" s="37">
        <f t="shared" ref="BC3:BC33" si="23">S3/(3*(1-(2*AE3)))</f>
        <v>21586.906808299471</v>
      </c>
      <c r="BD3" s="37">
        <f t="shared" ref="BD3:BD33" si="24">T3/(3*(1-(2*AF3)))</f>
        <v>25393.568386649978</v>
      </c>
      <c r="BE3" s="37">
        <f t="shared" ref="BE3:BE33" si="25">U3/(3*(1-(2*AG3)))</f>
        <v>48341.983233453284</v>
      </c>
    </row>
    <row r="4" spans="1:308" x14ac:dyDescent="0.25">
      <c r="A4" s="2">
        <f>'creep_res-40'!A4</f>
        <v>1E-14</v>
      </c>
      <c r="B4" s="3">
        <f>'creep_res-40'!O4</f>
        <v>-5.2026033714285718E-4</v>
      </c>
      <c r="C4" s="2">
        <f>IF('Modell einstellen'!$B$2="Ja",creep_res0!O4,creep_res0!C4)</f>
        <v>-5.2481664571428575E-4</v>
      </c>
      <c r="D4" s="2">
        <f>IF('Modell einstellen'!$B$2="Ja",creep_res25!O4,creep_res25!C4)</f>
        <v>-5.2780317142857151E-4</v>
      </c>
      <c r="E4" s="2">
        <f>IF('Modell einstellen'!$B$2="Ja",creep_res50!O4,creep_res50!C4)</f>
        <v>-5.3097552000000003E-4</v>
      </c>
      <c r="F4" s="2">
        <f>IF('Modell einstellen'!$B$2="Ja",creep_res80!O4,creep_res80!C4)</f>
        <v>-5.5183846857142854E-4</v>
      </c>
      <c r="G4" s="2">
        <f>IF('Modell einstellen'!$B$2="Ja",creep_res125!O4,creep_res125!C4)</f>
        <v>-6.3928611428571433E-4</v>
      </c>
      <c r="H4" s="2">
        <f>IF('Modell einstellen'!$B$2="Ja",creep_res160!O4,creep_res160!C4)</f>
        <v>-7.9098565714285718E-4</v>
      </c>
      <c r="M4" s="9">
        <f t="shared" ref="M4:M32" si="26">M3</f>
        <v>-10</v>
      </c>
      <c r="N4" s="2">
        <f t="shared" si="4"/>
        <v>1E-14</v>
      </c>
      <c r="O4" s="2">
        <f t="shared" si="5"/>
        <v>19221.146195609606</v>
      </c>
      <c r="P4" s="2">
        <f t="shared" si="6"/>
        <v>19054.273681410777</v>
      </c>
      <c r="Q4" s="2">
        <f t="shared" si="7"/>
        <v>18946.45682581564</v>
      </c>
      <c r="R4" s="2">
        <f t="shared" ref="R4:R33" si="27">$M$3/E4</f>
        <v>18833.259958952531</v>
      </c>
      <c r="S4" s="2">
        <f t="shared" si="8"/>
        <v>18121.244837982198</v>
      </c>
      <c r="T4" s="2">
        <f t="shared" si="9"/>
        <v>15642.448313104966</v>
      </c>
      <c r="U4" s="2">
        <f t="shared" si="10"/>
        <v>12642.454271701079</v>
      </c>
      <c r="Z4" s="2">
        <v>1E-14</v>
      </c>
      <c r="AA4" s="3">
        <f>IF('Modell einstellen'!$B$2="Ja",'creep_res-40'!P4,'creep_res-40'!L4)</f>
        <v>0.35490202218430006</v>
      </c>
      <c r="AB4" s="2">
        <f>IF('Modell einstellen'!$B$2="Ja",creep_res0!P4,creep_res0!L4)</f>
        <v>0.35482783521903322</v>
      </c>
      <c r="AC4" s="2">
        <f>IF('Modell einstellen'!$B$2="Ja",creep_res25!P4,creep_res25!L4)</f>
        <v>0.35477781733677666</v>
      </c>
      <c r="AD4" s="2">
        <f>IF('Modell einstellen'!$B$2="Ja",creep_res50!P4,creep_res50!L4)</f>
        <v>0.35476427021935553</v>
      </c>
      <c r="AE4" s="2">
        <f>IF('Modell einstellen'!$B$2="Ja",creep_res80!P4,creep_res80!L4)</f>
        <v>0.36381285985426876</v>
      </c>
      <c r="AF4" s="2">
        <f>IF('Modell einstellen'!$B$2="Ja",creep_res125!P4,creep_res125!L4)</f>
        <v>0.4037430680490301</v>
      </c>
      <c r="AG4" s="2">
        <f>IF('Modell einstellen'!$B$2="Ja",creep_res160!P4,creep_res160!L4)</f>
        <v>0.46898678097757085</v>
      </c>
      <c r="AL4" s="2">
        <f t="shared" si="11"/>
        <v>1E-14</v>
      </c>
      <c r="AM4" s="2">
        <f t="shared" si="12"/>
        <v>7093.186769557813</v>
      </c>
      <c r="AN4" s="2">
        <f t="shared" si="13"/>
        <v>7031.9907762783369</v>
      </c>
      <c r="AO4" s="2">
        <f t="shared" si="14"/>
        <v>6992.459052459466</v>
      </c>
      <c r="AP4" s="2">
        <f t="shared" si="15"/>
        <v>6950.7516447504031</v>
      </c>
      <c r="AQ4" s="2">
        <f t="shared" si="16"/>
        <v>6643.5965561721414</v>
      </c>
      <c r="AR4" s="2">
        <f t="shared" si="17"/>
        <v>5571.6920956359099</v>
      </c>
      <c r="AS4" s="2">
        <f t="shared" si="18"/>
        <v>4303.1205029931816</v>
      </c>
      <c r="AX4" s="2">
        <f t="shared" ref="AX4:AX32" si="28">AL4</f>
        <v>1E-14</v>
      </c>
      <c r="AY4" s="37">
        <f t="shared" si="19"/>
        <v>22078.352945786577</v>
      </c>
      <c r="AZ4" s="37">
        <f t="shared" si="20"/>
        <v>21875.490284426003</v>
      </c>
      <c r="BA4" s="37">
        <f t="shared" si="21"/>
        <v>21744.218041575314</v>
      </c>
      <c r="BB4" s="37">
        <f t="shared" si="22"/>
        <v>21612.28965190726</v>
      </c>
      <c r="BC4" s="37">
        <f t="shared" si="23"/>
        <v>22176.891810527537</v>
      </c>
      <c r="BD4" s="37">
        <f t="shared" si="24"/>
        <v>27084.539949588099</v>
      </c>
      <c r="BE4" s="37">
        <f t="shared" si="25"/>
        <v>67941.212759188784</v>
      </c>
      <c r="BF4" s="5"/>
      <c r="BG4" s="5"/>
    </row>
    <row r="5" spans="1:308" x14ac:dyDescent="0.25">
      <c r="A5" s="2">
        <f>'creep_res-40'!A5</f>
        <v>1E-13</v>
      </c>
      <c r="B5" s="3">
        <f>'creep_res-40'!O5</f>
        <v>-5.2026304571428574E-4</v>
      </c>
      <c r="C5" s="2">
        <f>IF('Modell einstellen'!$B$2="Ja",creep_res0!O5,creep_res0!C5)</f>
        <v>-5.2481937142857143E-4</v>
      </c>
      <c r="D5" s="2">
        <f>IF('Modell einstellen'!$B$2="Ja",creep_res25!O5,creep_res25!C5)</f>
        <v>-5.2780959428571435E-4</v>
      </c>
      <c r="E5" s="2">
        <f>IF('Modell einstellen'!$B$2="Ja",creep_res50!O5,creep_res50!C5)</f>
        <v>-5.316390914285714E-4</v>
      </c>
      <c r="F5" s="2">
        <f>IF('Modell einstellen'!$B$2="Ja",creep_res80!O5,creep_res80!C5)</f>
        <v>-5.5994022285714288E-4</v>
      </c>
      <c r="G5" s="2">
        <f>IF('Modell einstellen'!$B$2="Ja",creep_res125!O5,creep_res125!C5)</f>
        <v>-6.558840571428572E-4</v>
      </c>
      <c r="H5" s="2">
        <f>IF('Modell einstellen'!$B$2="Ja",creep_res160!O5,creep_res160!C5)</f>
        <v>-8.179954857142857E-4</v>
      </c>
      <c r="M5" s="9">
        <f t="shared" si="26"/>
        <v>-10</v>
      </c>
      <c r="N5" s="2">
        <f t="shared" si="4"/>
        <v>1E-13</v>
      </c>
      <c r="O5" s="2">
        <f t="shared" si="5"/>
        <v>19221.046127292553</v>
      </c>
      <c r="P5" s="2">
        <f t="shared" si="6"/>
        <v>19054.174720684852</v>
      </c>
      <c r="Q5" s="2">
        <f t="shared" si="7"/>
        <v>18946.226268457696</v>
      </c>
      <c r="R5" s="2">
        <f t="shared" si="27"/>
        <v>18809.75300956317</v>
      </c>
      <c r="S5" s="2">
        <f t="shared" si="8"/>
        <v>17859.049219529443</v>
      </c>
      <c r="T5" s="2">
        <f t="shared" si="9"/>
        <v>15246.597155542559</v>
      </c>
      <c r="U5" s="2">
        <f t="shared" si="10"/>
        <v>12225.006341285432</v>
      </c>
      <c r="Z5" s="2">
        <v>1E-13</v>
      </c>
      <c r="AA5" s="3">
        <f>IF('Modell einstellen'!$B$2="Ja",'creep_res-40'!P5,'creep_res-40'!L5)</f>
        <v>0.3549020636626749</v>
      </c>
      <c r="AB5" s="2">
        <f>IF('Modell einstellen'!$B$2="Ja",creep_res0!P5,creep_res0!L5)</f>
        <v>0.35482789779427787</v>
      </c>
      <c r="AC5" s="2">
        <f>IF('Modell einstellen'!$B$2="Ja",creep_res25!P5,creep_res25!L5)</f>
        <v>0.35477996345413693</v>
      </c>
      <c r="AD5" s="2">
        <f>IF('Modell einstellen'!$B$2="Ja",creep_res50!P5,creep_res50!L5)</f>
        <v>0.35513075943754374</v>
      </c>
      <c r="AE5" s="2">
        <f>IF('Modell einstellen'!$B$2="Ja",creep_res80!P5,creep_res80!L5)</f>
        <v>0.36805711474976932</v>
      </c>
      <c r="AF5" s="2">
        <f>IF('Modell einstellen'!$B$2="Ja",creep_res125!P5,creep_res125!L5)</f>
        <v>0.41152209741599799</v>
      </c>
      <c r="AG5" s="2">
        <f>IF('Modell einstellen'!$B$2="Ja",creep_res160!P5,creep_res160!L5)</f>
        <v>0.48088322666957084</v>
      </c>
      <c r="AL5" s="2">
        <f t="shared" si="11"/>
        <v>1E-13</v>
      </c>
      <c r="AM5" s="2">
        <f t="shared" si="12"/>
        <v>7093.1496241627792</v>
      </c>
      <c r="AN5" s="2">
        <f t="shared" si="13"/>
        <v>7031.9539299810422</v>
      </c>
      <c r="AO5" s="2">
        <f t="shared" si="14"/>
        <v>6992.3628853177524</v>
      </c>
      <c r="AP5" s="2">
        <f t="shared" si="15"/>
        <v>6940.1985301294053</v>
      </c>
      <c r="AQ5" s="2">
        <f t="shared" si="16"/>
        <v>6527.1577578820725</v>
      </c>
      <c r="AR5" s="2">
        <f t="shared" si="17"/>
        <v>5400.7646013667554</v>
      </c>
      <c r="AS5" s="2">
        <f t="shared" si="18"/>
        <v>4127.6064584710148</v>
      </c>
      <c r="AX5" s="2">
        <f t="shared" si="28"/>
        <v>1E-13</v>
      </c>
      <c r="AY5" s="37">
        <f t="shared" si="19"/>
        <v>22078.244313789179</v>
      </c>
      <c r="AZ5" s="37">
        <f t="shared" si="20"/>
        <v>21875.38610056468</v>
      </c>
      <c r="BA5" s="37">
        <f t="shared" si="21"/>
        <v>21744.274779045543</v>
      </c>
      <c r="BB5" s="37">
        <f t="shared" si="22"/>
        <v>21639.920405157689</v>
      </c>
      <c r="BC5" s="37">
        <f t="shared" si="23"/>
        <v>22559.065595768479</v>
      </c>
      <c r="BD5" s="37">
        <f t="shared" si="24"/>
        <v>28720.160081905295</v>
      </c>
      <c r="BE5" s="37">
        <f t="shared" si="25"/>
        <v>106581.8494399214</v>
      </c>
    </row>
    <row r="6" spans="1:308" x14ac:dyDescent="0.25">
      <c r="A6" s="2">
        <f>'creep_res-40'!A6</f>
        <v>9.9999999999999998E-13</v>
      </c>
      <c r="B6" s="3">
        <f>'creep_res-40'!O6</f>
        <v>-5.2026376571428568E-4</v>
      </c>
      <c r="C6" s="2">
        <f>IF('Modell einstellen'!$B$2="Ja",creep_res0!O6,creep_res0!C6)</f>
        <v>-5.2482014857142855E-4</v>
      </c>
      <c r="D6" s="2">
        <f>IF('Modell einstellen'!$B$2="Ja",creep_res25!O6,creep_res25!C6)</f>
        <v>-5.2784711428571437E-4</v>
      </c>
      <c r="E6" s="2">
        <f>IF('Modell einstellen'!$B$2="Ja",creep_res50!O6,creep_res50!C6)</f>
        <v>-5.367964742857143E-4</v>
      </c>
      <c r="F6" s="2">
        <f>IF('Modell einstellen'!$B$2="Ja",creep_res80!O6,creep_res80!C6)</f>
        <v>-5.6813518285714294E-4</v>
      </c>
      <c r="G6" s="2">
        <f>IF('Modell einstellen'!$B$2="Ja",creep_res125!O6,creep_res125!C6)</f>
        <v>-6.7472948571428574E-4</v>
      </c>
      <c r="H6" s="2">
        <f>IF('Modell einstellen'!$B$2="Ja",creep_res160!O6,creep_res160!C6)</f>
        <v>-8.486698857142858E-4</v>
      </c>
      <c r="M6" s="9">
        <f t="shared" si="26"/>
        <v>-10</v>
      </c>
      <c r="N6" s="2">
        <f t="shared" si="4"/>
        <v>9.9999999999999998E-13</v>
      </c>
      <c r="O6" s="2">
        <f t="shared" si="5"/>
        <v>19221.019527029144</v>
      </c>
      <c r="P6" s="2">
        <f t="shared" si="6"/>
        <v>19054.146505655717</v>
      </c>
      <c r="Q6" s="2">
        <f t="shared" si="7"/>
        <v>18944.879548185188</v>
      </c>
      <c r="R6" s="2">
        <f t="shared" si="27"/>
        <v>18629.034427445622</v>
      </c>
      <c r="S6" s="2">
        <f t="shared" si="8"/>
        <v>17601.444694395013</v>
      </c>
      <c r="T6" s="2">
        <f t="shared" si="9"/>
        <v>14820.754408581606</v>
      </c>
      <c r="U6" s="2">
        <f t="shared" si="10"/>
        <v>11783.144622344491</v>
      </c>
      <c r="Z6" s="2">
        <v>9.9999999999999998E-13</v>
      </c>
      <c r="AA6" s="3">
        <f>IF('Modell einstellen'!$B$2="Ja",'creep_res-40'!P6,'creep_res-40'!L6)</f>
        <v>0.35490205578029937</v>
      </c>
      <c r="AB6" s="2">
        <f>IF('Modell einstellen'!$B$2="Ja",creep_res0!P6,creep_res0!L6)</f>
        <v>0.354827927664711</v>
      </c>
      <c r="AC6" s="2">
        <f>IF('Modell einstellen'!$B$2="Ja",creep_res25!P6,creep_res25!L6)</f>
        <v>0.35480066766085783</v>
      </c>
      <c r="AD6" s="2">
        <f>IF('Modell einstellen'!$B$2="Ja",creep_res50!P6,creep_res50!L6)</f>
        <v>0.35797376910597761</v>
      </c>
      <c r="AE6" s="2">
        <f>IF('Modell einstellen'!$B$2="Ja",creep_res80!P6,creep_res80!L6)</f>
        <v>0.37232543156202752</v>
      </c>
      <c r="AF6" s="2">
        <f>IF('Modell einstellen'!$B$2="Ja",creep_res125!P6,creep_res125!L6)</f>
        <v>0.42095508159629863</v>
      </c>
      <c r="AG6" s="2">
        <f>IF('Modell einstellen'!$B$2="Ja",creep_res160!P6,creep_res160!L6)</f>
        <v>0.4931989574542967</v>
      </c>
      <c r="AL6" s="2">
        <f t="shared" si="11"/>
        <v>9.9999999999999998E-13</v>
      </c>
      <c r="AM6" s="2">
        <f t="shared" si="12"/>
        <v>7093.139849123485</v>
      </c>
      <c r="AN6" s="2">
        <f t="shared" si="13"/>
        <v>7031.9433621725511</v>
      </c>
      <c r="AO6" s="2">
        <f t="shared" si="14"/>
        <v>6991.7590094248426</v>
      </c>
      <c r="AP6" s="2">
        <f t="shared" si="15"/>
        <v>6859.1289652487367</v>
      </c>
      <c r="AQ6" s="2">
        <f t="shared" si="16"/>
        <v>6412.9995296962652</v>
      </c>
      <c r="AR6" s="2">
        <f t="shared" si="17"/>
        <v>5215.0678795321228</v>
      </c>
      <c r="AS6" s="2">
        <f t="shared" si="18"/>
        <v>3945.604356178083</v>
      </c>
      <c r="AX6" s="2">
        <f t="shared" si="28"/>
        <v>9.9999999999999998E-13</v>
      </c>
      <c r="AY6" s="37">
        <f t="shared" si="19"/>
        <v>22078.212560022632</v>
      </c>
      <c r="AZ6" s="37">
        <f t="shared" si="20"/>
        <v>21875.358208990678</v>
      </c>
      <c r="BA6" s="37">
        <f t="shared" si="21"/>
        <v>21745.829500941531</v>
      </c>
      <c r="BB6" s="37">
        <f t="shared" si="22"/>
        <v>21861.025612639936</v>
      </c>
      <c r="BC6" s="37">
        <f t="shared" si="23"/>
        <v>22976.965198497666</v>
      </c>
      <c r="BD6" s="37">
        <f t="shared" si="24"/>
        <v>31249.646209362581</v>
      </c>
      <c r="BE6" s="37">
        <f t="shared" si="25"/>
        <v>288758.29313817841</v>
      </c>
    </row>
    <row r="7" spans="1:308" x14ac:dyDescent="0.25">
      <c r="A7" s="2">
        <f>'creep_res-40'!A7</f>
        <v>9.9999999999999994E-12</v>
      </c>
      <c r="B7" s="3">
        <f>'creep_res-40'!O7</f>
        <v>-5.2026397714285716E-4</v>
      </c>
      <c r="C7" s="2">
        <f>IF('Modell einstellen'!$B$2="Ja",creep_res0!O7,creep_res0!C7)</f>
        <v>-5.2482096571428573E-4</v>
      </c>
      <c r="D7" s="2">
        <f>IF('Modell einstellen'!$B$2="Ja",creep_res25!O7,creep_res25!C7)</f>
        <v>-5.2820610285714297E-4</v>
      </c>
      <c r="E7" s="2">
        <f>IF('Modell einstellen'!$B$2="Ja",creep_res50!O7,creep_res50!C7)</f>
        <v>-5.4753407428571432E-4</v>
      </c>
      <c r="F7" s="2">
        <f>IF('Modell einstellen'!$B$2="Ja",creep_res80!O7,creep_res80!C7)</f>
        <v>-5.7749040000000008E-4</v>
      </c>
      <c r="G7" s="2">
        <f>IF('Modell einstellen'!$B$2="Ja",creep_res125!O7,creep_res125!C7)</f>
        <v>-7.0008291428571429E-4</v>
      </c>
      <c r="H7" s="2">
        <f>IF('Modell einstellen'!$B$2="Ja",creep_res160!O7,creep_res160!C7)</f>
        <v>-8.8110862857142865E-4</v>
      </c>
      <c r="M7" s="9">
        <f t="shared" si="26"/>
        <v>-10</v>
      </c>
      <c r="N7" s="2">
        <f t="shared" si="4"/>
        <v>9.9999999999999994E-12</v>
      </c>
      <c r="O7" s="2">
        <f t="shared" si="5"/>
        <v>19221.011715854664</v>
      </c>
      <c r="P7" s="2">
        <f t="shared" si="6"/>
        <v>19054.116838472557</v>
      </c>
      <c r="Q7" s="2">
        <f t="shared" si="7"/>
        <v>18932.003901334268</v>
      </c>
      <c r="R7" s="2">
        <f t="shared" si="27"/>
        <v>18263.70352027041</v>
      </c>
      <c r="S7" s="2">
        <f t="shared" si="8"/>
        <v>17316.305171479904</v>
      </c>
      <c r="T7" s="2">
        <f t="shared" si="9"/>
        <v>14284.022357841532</v>
      </c>
      <c r="U7" s="2">
        <f t="shared" si="10"/>
        <v>11349.338408152171</v>
      </c>
      <c r="Z7" s="2">
        <v>9.9999999999999994E-12</v>
      </c>
      <c r="AA7" s="3">
        <f>IF('Modell einstellen'!$B$2="Ja",'creep_res-40'!P7,'creep_res-40'!L7)</f>
        <v>0.35490204335390357</v>
      </c>
      <c r="AB7" s="2">
        <f>IF('Modell einstellen'!$B$2="Ja",creep_res0!P7,creep_res0!L7)</f>
        <v>0.35482826802139189</v>
      </c>
      <c r="AC7" s="2">
        <f>IF('Modell einstellen'!$B$2="Ja",creep_res25!P7,creep_res25!L7)</f>
        <v>0.35500228114419569</v>
      </c>
      <c r="AD7" s="2">
        <f>IF('Modell einstellen'!$B$2="Ja",creep_res50!P7,creep_res50!L7)</f>
        <v>0.36384606795456531</v>
      </c>
      <c r="AE7" s="2">
        <f>IF('Modell einstellen'!$B$2="Ja",creep_res80!P7,creep_res80!L7)</f>
        <v>0.37719485157551658</v>
      </c>
      <c r="AF7" s="2">
        <f>IF('Modell einstellen'!$B$2="Ja",creep_res125!P7,creep_res125!L7)</f>
        <v>0.4325781738016175</v>
      </c>
      <c r="AG7" s="2">
        <f>IF('Modell einstellen'!$B$2="Ja",creep_res160!P7,creep_res160!L7)</f>
        <v>0.50656640942148146</v>
      </c>
      <c r="AL7" s="2">
        <f t="shared" si="11"/>
        <v>9.9999999999999994E-12</v>
      </c>
      <c r="AM7" s="2">
        <f t="shared" si="12"/>
        <v>7093.1370316171597</v>
      </c>
      <c r="AN7" s="2">
        <f t="shared" si="13"/>
        <v>7031.9306469370567</v>
      </c>
      <c r="AO7" s="2">
        <f t="shared" si="14"/>
        <v>6985.9675385002447</v>
      </c>
      <c r="AP7" s="2">
        <f t="shared" si="15"/>
        <v>6695.6616107202954</v>
      </c>
      <c r="AQ7" s="2">
        <f t="shared" si="16"/>
        <v>6286.8028992665704</v>
      </c>
      <c r="AR7" s="2">
        <f t="shared" si="17"/>
        <v>4985.425095489265</v>
      </c>
      <c r="AS7" s="2">
        <f t="shared" si="18"/>
        <v>3766.6240058114313</v>
      </c>
      <c r="AX7" s="2">
        <f t="shared" si="28"/>
        <v>9.9999999999999994E-12</v>
      </c>
      <c r="AY7" s="37">
        <f t="shared" si="19"/>
        <v>22078.201696912922</v>
      </c>
      <c r="AZ7" s="37">
        <f t="shared" si="20"/>
        <v>21875.375436130926</v>
      </c>
      <c r="BA7" s="37">
        <f t="shared" si="21"/>
        <v>21761.266373394414</v>
      </c>
      <c r="BB7" s="37">
        <f t="shared" si="22"/>
        <v>22356.685120896589</v>
      </c>
      <c r="BC7" s="37">
        <f t="shared" si="23"/>
        <v>23501.057561019414</v>
      </c>
      <c r="BD7" s="37">
        <f t="shared" si="24"/>
        <v>35310.084689321317</v>
      </c>
      <c r="BE7" s="37">
        <f t="shared" si="25"/>
        <v>-288065.55911220331</v>
      </c>
    </row>
    <row r="8" spans="1:308" x14ac:dyDescent="0.25">
      <c r="A8" s="2">
        <f>'creep_res-40'!A8</f>
        <v>1E-10</v>
      </c>
      <c r="B8" s="3">
        <f>'creep_res-40'!O8</f>
        <v>-5.2026404000000005E-4</v>
      </c>
      <c r="C8" s="2">
        <f>IF('Modell einstellen'!$B$2="Ja",creep_res0!O8,creep_res0!C8)</f>
        <v>-5.248271028571429E-4</v>
      </c>
      <c r="D8" s="2">
        <f>IF('Modell einstellen'!$B$2="Ja",creep_res25!O8,creep_res25!C8)</f>
        <v>-5.3132425714285715E-4</v>
      </c>
      <c r="E8" s="2">
        <f>IF('Modell einstellen'!$B$2="Ja",creep_res50!O8,creep_res50!C8)</f>
        <v>-5.5545164000000004E-4</v>
      </c>
      <c r="F8" s="2">
        <f>IF('Modell einstellen'!$B$2="Ja",creep_res80!O8,creep_res80!C8)</f>
        <v>-5.8790091428571434E-4</v>
      </c>
      <c r="G8" s="2">
        <f>IF('Modell einstellen'!$B$2="Ja",creep_res125!O8,creep_res125!C8)</f>
        <v>-7.2712519999999998E-4</v>
      </c>
      <c r="H8" s="2">
        <f>IF('Modell einstellen'!$B$2="Ja",creep_res160!O8,creep_res160!C8)</f>
        <v>-9.2443062857142859E-4</v>
      </c>
      <c r="M8" s="9">
        <f t="shared" si="26"/>
        <v>-10</v>
      </c>
      <c r="N8" s="2">
        <f t="shared" si="4"/>
        <v>1E-10</v>
      </c>
      <c r="O8" s="2">
        <f t="shared" si="5"/>
        <v>19221.009393614826</v>
      </c>
      <c r="P8" s="2">
        <f t="shared" si="6"/>
        <v>19053.894026357066</v>
      </c>
      <c r="Q8" s="2">
        <f t="shared" si="7"/>
        <v>18820.898661344763</v>
      </c>
      <c r="R8" s="2">
        <f t="shared" si="27"/>
        <v>18003.367493882994</v>
      </c>
      <c r="S8" s="2">
        <f t="shared" si="8"/>
        <v>17009.669073486239</v>
      </c>
      <c r="T8" s="2">
        <f t="shared" si="9"/>
        <v>13752.789753401477</v>
      </c>
      <c r="U8" s="2">
        <f t="shared" si="10"/>
        <v>10817.469359981644</v>
      </c>
      <c r="Z8" s="2">
        <v>1E-10</v>
      </c>
      <c r="AA8" s="3">
        <f>IF('Modell einstellen'!$B$2="Ja",'creep_res-40'!P8,'creep_res-40'!L8)</f>
        <v>0.35490204440916467</v>
      </c>
      <c r="AB8" s="2">
        <f>IF('Modell einstellen'!$B$2="Ja",creep_res0!P8,creep_res0!L8)</f>
        <v>0.35483171856662499</v>
      </c>
      <c r="AC8" s="2">
        <f>IF('Modell einstellen'!$B$2="Ja",creep_res25!P8,creep_res25!L8)</f>
        <v>0.3567483273195185</v>
      </c>
      <c r="AD8" s="2">
        <f>IF('Modell einstellen'!$B$2="Ja",creep_res50!P8,creep_res50!L8)</f>
        <v>0.36805965167887011</v>
      </c>
      <c r="AE8" s="2">
        <f>IF('Modell einstellen'!$B$2="Ja",creep_res80!P8,creep_res80!L8)</f>
        <v>0.38258146708104163</v>
      </c>
      <c r="AF8" s="2">
        <f>IF('Modell einstellen'!$B$2="Ja",creep_res125!P8,creep_res125!L8)</f>
        <v>0.44512623528539907</v>
      </c>
      <c r="AG8" s="2">
        <f>IF('Modell einstellen'!$B$2="Ja",creep_res160!P8,creep_res160!L8)</f>
        <v>0.5227542253653461</v>
      </c>
      <c r="AL8" s="2">
        <f t="shared" si="11"/>
        <v>1E-10</v>
      </c>
      <c r="AM8" s="2">
        <f t="shared" si="12"/>
        <v>7093.1361691156708</v>
      </c>
      <c r="AN8" s="2">
        <f t="shared" si="13"/>
        <v>7031.8305090006179</v>
      </c>
      <c r="AO8" s="2">
        <f t="shared" si="14"/>
        <v>6936.0316435873456</v>
      </c>
      <c r="AP8" s="2">
        <f t="shared" si="15"/>
        <v>6579.8912612434069</v>
      </c>
      <c r="AQ8" s="2">
        <f t="shared" si="16"/>
        <v>6151.4165633211096</v>
      </c>
      <c r="AR8" s="2">
        <f t="shared" si="17"/>
        <v>4758.3350912889036</v>
      </c>
      <c r="AS8" s="2">
        <f t="shared" si="18"/>
        <v>3551.9419942460731</v>
      </c>
      <c r="AX8" s="2">
        <f t="shared" si="28"/>
        <v>1E-10</v>
      </c>
      <c r="AY8" s="37">
        <f t="shared" si="19"/>
        <v>22078.199190042968</v>
      </c>
      <c r="AZ8" s="37">
        <f t="shared" si="20"/>
        <v>21875.639589012484</v>
      </c>
      <c r="BA8" s="37">
        <f t="shared" si="21"/>
        <v>21897.241301705664</v>
      </c>
      <c r="BB8" s="37">
        <f t="shared" si="22"/>
        <v>22741.801785132677</v>
      </c>
      <c r="BC8" s="37">
        <f t="shared" si="23"/>
        <v>24143.930051806245</v>
      </c>
      <c r="BD8" s="37">
        <f t="shared" si="24"/>
        <v>41770.992704588716</v>
      </c>
      <c r="BE8" s="37">
        <f t="shared" si="25"/>
        <v>-79234.14359526879</v>
      </c>
    </row>
    <row r="9" spans="1:308" x14ac:dyDescent="0.25">
      <c r="A9" s="2">
        <f>'creep_res-40'!A9</f>
        <v>1.0000000000000001E-9</v>
      </c>
      <c r="B9" s="3">
        <f>'creep_res-40'!O9</f>
        <v>-5.2026406285714288E-4</v>
      </c>
      <c r="C9" s="2">
        <f>IF('Modell einstellen'!$B$2="Ja",creep_res0!O9,creep_res0!C9)</f>
        <v>-5.2488745714285713E-4</v>
      </c>
      <c r="D9" s="2">
        <f>IF('Modell einstellen'!$B$2="Ja",creep_res25!O9,creep_res25!C9)</f>
        <v>-5.4216279428571435E-4</v>
      </c>
      <c r="E9" s="2">
        <f>IF('Modell einstellen'!$B$2="Ja",creep_res50!O9,creep_res50!C9)</f>
        <v>-5.6348080000000005E-4</v>
      </c>
      <c r="F9" s="2">
        <f>IF('Modell einstellen'!$B$2="Ja",creep_res80!O9,creep_res80!C9)</f>
        <v>-6.0010474285714284E-4</v>
      </c>
      <c r="G9" s="2">
        <f>IF('Modell einstellen'!$B$2="Ja",creep_res125!O9,creep_res125!C9)</f>
        <v>-7.5195502857142865E-4</v>
      </c>
      <c r="H9" s="2">
        <f>IF('Modell einstellen'!$B$2="Ja",creep_res160!O9,creep_res160!C9)</f>
        <v>-9.7719491428571443E-4</v>
      </c>
      <c r="M9" s="9">
        <f t="shared" si="26"/>
        <v>-10</v>
      </c>
      <c r="N9" s="2">
        <f t="shared" si="4"/>
        <v>1.0000000000000001E-9</v>
      </c>
      <c r="O9" s="2">
        <f t="shared" si="5"/>
        <v>19221.008549164115</v>
      </c>
      <c r="P9" s="2">
        <f t="shared" si="6"/>
        <v>19051.703110669547</v>
      </c>
      <c r="Q9" s="2">
        <f t="shared" si="7"/>
        <v>18444.644496815286</v>
      </c>
      <c r="R9" s="2">
        <f t="shared" si="27"/>
        <v>17746.833609947313</v>
      </c>
      <c r="S9" s="2">
        <f t="shared" si="8"/>
        <v>16663.757650688218</v>
      </c>
      <c r="T9" s="2">
        <f t="shared" si="9"/>
        <v>13298.667633087174</v>
      </c>
      <c r="U9" s="2">
        <f t="shared" si="10"/>
        <v>10233.372947207314</v>
      </c>
      <c r="Z9" s="2">
        <v>1.0000000000000001E-9</v>
      </c>
      <c r="AA9" s="3">
        <f>IF('Modell einstellen'!$B$2="Ja",'creep_res-40'!P9,'creep_res-40'!L9)</f>
        <v>0.35490203980042623</v>
      </c>
      <c r="AB9" s="2">
        <f>IF('Modell einstellen'!$B$2="Ja",creep_res0!P9,creep_res0!L9)</f>
        <v>0.35486606897663669</v>
      </c>
      <c r="AC9" s="2">
        <f>IF('Modell einstellen'!$B$2="Ja",creep_res25!P9,creep_res25!L9)</f>
        <v>0.36276720216317948</v>
      </c>
      <c r="AD9" s="2">
        <f>IF('Modell einstellen'!$B$2="Ja",creep_res50!P9,creep_res50!L9)</f>
        <v>0.37230591403596053</v>
      </c>
      <c r="AE9" s="2">
        <f>IF('Modell einstellen'!$B$2="Ja",creep_res80!P9,creep_res80!L9)</f>
        <v>0.38886469628682918</v>
      </c>
      <c r="AF9" s="2">
        <f>IF('Modell einstellen'!$B$2="Ja",creep_res125!P9,creep_res125!L9)</f>
        <v>0.45642693069866719</v>
      </c>
      <c r="AG9" s="2">
        <f>IF('Modell einstellen'!$B$2="Ja",creep_res160!P9,creep_res160!L9)</f>
        <v>0.54189045250279344</v>
      </c>
      <c r="AL9" s="2">
        <f t="shared" si="11"/>
        <v>1.0000000000000001E-9</v>
      </c>
      <c r="AM9" s="2">
        <f t="shared" si="12"/>
        <v>7093.1358816152215</v>
      </c>
      <c r="AN9" s="2">
        <f t="shared" si="13"/>
        <v>7030.8436925650376</v>
      </c>
      <c r="AO9" s="2">
        <f t="shared" si="14"/>
        <v>6767.3497232459458</v>
      </c>
      <c r="AP9" s="2">
        <f t="shared" si="15"/>
        <v>6466.0632255652681</v>
      </c>
      <c r="AQ9" s="2">
        <f t="shared" si="16"/>
        <v>5999.0572498672</v>
      </c>
      <c r="AR9" s="2">
        <f t="shared" si="17"/>
        <v>4565.5114420012915</v>
      </c>
      <c r="AS9" s="2">
        <f t="shared" si="18"/>
        <v>3318.4500658255338</v>
      </c>
      <c r="AX9" s="2">
        <f t="shared" si="28"/>
        <v>1.0000000000000001E-9</v>
      </c>
      <c r="AY9" s="37">
        <f t="shared" si="19"/>
        <v>22078.197518796656</v>
      </c>
      <c r="AZ9" s="37">
        <f t="shared" si="20"/>
        <v>21878.301162166608</v>
      </c>
      <c r="BA9" s="37">
        <f t="shared" si="21"/>
        <v>22400.675819429198</v>
      </c>
      <c r="BB9" s="37">
        <f t="shared" si="22"/>
        <v>23163.215268174965</v>
      </c>
      <c r="BC9" s="37">
        <f t="shared" si="23"/>
        <v>24990.1952753851</v>
      </c>
      <c r="BD9" s="37">
        <f t="shared" si="24"/>
        <v>50867.30499030355</v>
      </c>
      <c r="BE9" s="37">
        <f t="shared" si="25"/>
        <v>-40714.818197634682</v>
      </c>
    </row>
    <row r="10" spans="1:308" x14ac:dyDescent="0.25">
      <c r="A10" s="2">
        <f>'creep_res-40'!A10</f>
        <v>1E-8</v>
      </c>
      <c r="B10" s="3">
        <f>'creep_res-40'!O10</f>
        <v>-5.2026407428571429E-4</v>
      </c>
      <c r="C10" s="2">
        <f>IF('Modell einstellen'!$B$2="Ja",creep_res0!O10,creep_res0!C10)</f>
        <v>-5.2546980000000004E-4</v>
      </c>
      <c r="D10" s="2">
        <f>IF('Modell einstellen'!$B$2="Ja",creep_res25!O10,creep_res25!C10)</f>
        <v>-5.5038337142857149E-4</v>
      </c>
      <c r="E10" s="2">
        <f>IF('Modell einstellen'!$B$2="Ja",creep_res50!O10,creep_res50!C10)</f>
        <v>-5.7273514285714289E-4</v>
      </c>
      <c r="F10" s="2">
        <f>IF('Modell einstellen'!$B$2="Ja",creep_res80!O10,creep_res80!C10)</f>
        <v>-6.139406857142858E-4</v>
      </c>
      <c r="G10" s="2">
        <f>IF('Modell einstellen'!$B$2="Ja",creep_res125!O10,creep_res125!C10)</f>
        <v>-7.768190857142857E-4</v>
      </c>
      <c r="H10" s="2">
        <f>IF('Modell einstellen'!$B$2="Ja",creep_res160!O10,creep_res160!C10)</f>
        <v>-1.0469790285714286E-3</v>
      </c>
      <c r="M10" s="9">
        <f t="shared" si="26"/>
        <v>-10</v>
      </c>
      <c r="N10" s="2">
        <f t="shared" si="4"/>
        <v>1E-8</v>
      </c>
      <c r="O10" s="2">
        <f t="shared" si="5"/>
        <v>19221.008126938788</v>
      </c>
      <c r="P10" s="2">
        <f t="shared" si="6"/>
        <v>19030.589388771721</v>
      </c>
      <c r="Q10" s="2">
        <f t="shared" si="7"/>
        <v>18169.153573888081</v>
      </c>
      <c r="R10" s="2">
        <f t="shared" si="27"/>
        <v>17460.077532721432</v>
      </c>
      <c r="S10" s="2">
        <f t="shared" si="8"/>
        <v>16288.218443065973</v>
      </c>
      <c r="T10" s="2">
        <f t="shared" si="9"/>
        <v>12873.010182036134</v>
      </c>
      <c r="U10" s="2">
        <f t="shared" si="10"/>
        <v>9551.2896888151608</v>
      </c>
      <c r="Z10" s="2">
        <v>1E-8</v>
      </c>
      <c r="AA10" s="3">
        <f>IF('Modell einstellen'!$B$2="Ja",'creep_res-40'!P10,'creep_res-40'!L10)</f>
        <v>0.35490204298777367</v>
      </c>
      <c r="AB10" s="2">
        <f>IF('Modell einstellen'!$B$2="Ja",creep_res0!P10,creep_res0!L10)</f>
        <v>0.35519741436275554</v>
      </c>
      <c r="AC10" s="2">
        <f>IF('Modell einstellen'!$B$2="Ja",creep_res25!P10,creep_res25!L10)</f>
        <v>0.3672262004593369</v>
      </c>
      <c r="AD10" s="2">
        <f>IF('Modell einstellen'!$B$2="Ja",creep_res50!P10,creep_res50!L10)</f>
        <v>0.37719745801225502</v>
      </c>
      <c r="AE10" s="2">
        <f>IF('Modell einstellen'!$B$2="Ja",creep_res80!P10,creep_res80!L10)</f>
        <v>0.39592756377954424</v>
      </c>
      <c r="AF10" s="2">
        <f>IF('Modell einstellen'!$B$2="Ja",creep_res125!P10,creep_res125!L10)</f>
        <v>0.46788810691277705</v>
      </c>
      <c r="AG10" s="2">
        <f>IF('Modell einstellen'!$B$2="Ja",creep_res160!P10,creep_res160!L10)</f>
        <v>0.56543847815098824</v>
      </c>
      <c r="AL10" s="2">
        <f t="shared" si="11"/>
        <v>1E-8</v>
      </c>
      <c r="AM10" s="2">
        <f t="shared" si="12"/>
        <v>7093.135709114963</v>
      </c>
      <c r="AN10" s="2">
        <f t="shared" si="13"/>
        <v>7021.3347469085647</v>
      </c>
      <c r="AO10" s="2">
        <f t="shared" si="14"/>
        <v>6644.5309370841214</v>
      </c>
      <c r="AP10" s="2">
        <f t="shared" si="15"/>
        <v>6338.9884403076148</v>
      </c>
      <c r="AQ10" s="2">
        <f t="shared" si="16"/>
        <v>5834.1918541119712</v>
      </c>
      <c r="AR10" s="2">
        <f t="shared" si="17"/>
        <v>4384.874474223483</v>
      </c>
      <c r="AS10" s="2">
        <f t="shared" si="18"/>
        <v>3050.6755206683788</v>
      </c>
      <c r="AX10" s="2">
        <f t="shared" si="28"/>
        <v>1E-8</v>
      </c>
      <c r="AY10" s="37">
        <f t="shared" si="19"/>
        <v>22078.197518796649</v>
      </c>
      <c r="AZ10" s="37">
        <f t="shared" si="20"/>
        <v>21904.062584037278</v>
      </c>
      <c r="BA10" s="37">
        <f t="shared" si="21"/>
        <v>22807.152260392086</v>
      </c>
      <c r="BB10" s="37">
        <f t="shared" si="22"/>
        <v>23696.683106206725</v>
      </c>
      <c r="BC10" s="37">
        <f t="shared" si="23"/>
        <v>26084.746090634377</v>
      </c>
      <c r="BD10" s="37">
        <f t="shared" si="24"/>
        <v>66813.304689896933</v>
      </c>
      <c r="BE10" s="37">
        <f t="shared" si="25"/>
        <v>-24326.385022731254</v>
      </c>
    </row>
    <row r="11" spans="1:308" x14ac:dyDescent="0.25">
      <c r="A11" s="2">
        <f>'creep_res-40'!A11</f>
        <v>9.9999999999999995E-8</v>
      </c>
      <c r="B11" s="3">
        <f>'creep_res-40'!O11</f>
        <v>-5.2026408571428581E-4</v>
      </c>
      <c r="C11" s="2">
        <f>IF('Modell einstellen'!$B$2="Ja",creep_res0!O11,creep_res0!C11)</f>
        <v>-5.3013404571428579E-4</v>
      </c>
      <c r="D11" s="2">
        <f>IF('Modell einstellen'!$B$2="Ja",creep_res25!O11,creep_res25!C11)</f>
        <v>-5.5811092000000002E-4</v>
      </c>
      <c r="E11" s="2">
        <f>IF('Modell einstellen'!$B$2="Ja",creep_res50!O11,creep_res50!C11)</f>
        <v>-5.8296645714285718E-4</v>
      </c>
      <c r="F11" s="2">
        <f>IF('Modell einstellen'!$B$2="Ja",creep_res80!O11,creep_res80!C11)</f>
        <v>-6.2946365714285719E-4</v>
      </c>
      <c r="G11" s="2">
        <f>IF('Modell einstellen'!$B$2="Ja",creep_res125!O11,creep_res125!C11)</f>
        <v>-8.0414577142857145E-4</v>
      </c>
      <c r="H11" s="2">
        <f>IF('Modell einstellen'!$B$2="Ja",creep_res160!O11,creep_res160!C11)</f>
        <v>-1.1422493142857143E-3</v>
      </c>
      <c r="M11" s="9">
        <f t="shared" si="26"/>
        <v>-10</v>
      </c>
      <c r="N11" s="2">
        <f t="shared" si="4"/>
        <v>9.9999999999999995E-8</v>
      </c>
      <c r="O11" s="2">
        <f t="shared" si="5"/>
        <v>19221.007704713476</v>
      </c>
      <c r="P11" s="2">
        <f t="shared" si="6"/>
        <v>18863.153726575543</v>
      </c>
      <c r="Q11" s="2">
        <f t="shared" si="7"/>
        <v>17917.585271400887</v>
      </c>
      <c r="R11" s="2">
        <f t="shared" si="27"/>
        <v>17153.645595683865</v>
      </c>
      <c r="S11" s="2">
        <f t="shared" si="8"/>
        <v>15886.540686701621</v>
      </c>
      <c r="T11" s="2">
        <f t="shared" si="9"/>
        <v>12435.556282581601</v>
      </c>
      <c r="U11" s="2">
        <f t="shared" si="10"/>
        <v>8754.6561638807598</v>
      </c>
      <c r="Z11" s="2">
        <v>9.9999999999999995E-8</v>
      </c>
      <c r="AA11" s="3">
        <f>IF('Modell einstellen'!$B$2="Ja",'creep_res-40'!P11,'creep_res-40'!L11)</f>
        <v>0.354902046175121</v>
      </c>
      <c r="AB11" s="2">
        <f>IF('Modell einstellen'!$B$2="Ja",creep_res0!P11,creep_res0!L11)</f>
        <v>0.35783756168709369</v>
      </c>
      <c r="AC11" s="2">
        <f>IF('Modell einstellen'!$B$2="Ja",creep_res25!P11,creep_res25!L11)</f>
        <v>0.37136611789334945</v>
      </c>
      <c r="AD11" s="2">
        <f>IF('Modell einstellen'!$B$2="Ja",creep_res50!P11,creep_res50!L11)</f>
        <v>0.38257129814771013</v>
      </c>
      <c r="AE11" s="2">
        <f>IF('Modell einstellen'!$B$2="Ja",creep_res80!P11,creep_res80!L11)</f>
        <v>0.40323905685148376</v>
      </c>
      <c r="AF11" s="2">
        <f>IF('Modell einstellen'!$B$2="Ja",creep_res125!P11,creep_res125!L11)</f>
        <v>0.47930844947728379</v>
      </c>
      <c r="AG11" s="2">
        <f>IF('Modell einstellen'!$B$2="Ja",creep_res160!P11,creep_res160!L11)</f>
        <v>0.59457682568474046</v>
      </c>
      <c r="AL11" s="2">
        <f t="shared" si="11"/>
        <v>9.9999999999999995E-8</v>
      </c>
      <c r="AM11" s="2">
        <f t="shared" si="12"/>
        <v>7093.1355366147118</v>
      </c>
      <c r="AN11" s="2">
        <f t="shared" si="13"/>
        <v>6946.0273669032786</v>
      </c>
      <c r="AO11" s="2">
        <f t="shared" si="14"/>
        <v>6532.7504586905397</v>
      </c>
      <c r="AP11" s="2">
        <f t="shared" si="15"/>
        <v>6203.5301972004399</v>
      </c>
      <c r="AQ11" s="2">
        <f t="shared" si="16"/>
        <v>5660.667941479277</v>
      </c>
      <c r="AR11" s="2">
        <f t="shared" si="17"/>
        <v>4203.1654341512503</v>
      </c>
      <c r="AS11" s="2">
        <f t="shared" si="18"/>
        <v>2745.1346410108995</v>
      </c>
      <c r="AX11" s="2">
        <f t="shared" si="28"/>
        <v>9.9999999999999995E-8</v>
      </c>
      <c r="AY11" s="37">
        <f t="shared" si="19"/>
        <v>22078.197518796638</v>
      </c>
      <c r="AZ11" s="37">
        <f t="shared" si="20"/>
        <v>22114.554250325065</v>
      </c>
      <c r="BA11" s="37">
        <f t="shared" si="21"/>
        <v>23215.22263803118</v>
      </c>
      <c r="BB11" s="37">
        <f t="shared" si="22"/>
        <v>24346.185281092145</v>
      </c>
      <c r="BC11" s="37">
        <f t="shared" si="23"/>
        <v>27363.900091930205</v>
      </c>
      <c r="BD11" s="37">
        <f t="shared" si="24"/>
        <v>100166.13841907137</v>
      </c>
      <c r="BE11" s="37">
        <f t="shared" si="25"/>
        <v>-15427.768378593551</v>
      </c>
    </row>
    <row r="12" spans="1:308" x14ac:dyDescent="0.25">
      <c r="A12" s="2">
        <f>'creep_res-40'!A12</f>
        <v>9.9999999999999995E-7</v>
      </c>
      <c r="B12" s="3">
        <f>'creep_res-40'!O12</f>
        <v>-5.2026417142857142E-4</v>
      </c>
      <c r="C12" s="2">
        <f>IF('Modell einstellen'!$B$2="Ja",creep_res0!O12,creep_res0!C12)</f>
        <v>-5.4088885714285724E-4</v>
      </c>
      <c r="D12" s="2">
        <f>IF('Modell einstellen'!$B$2="Ja",creep_res25!O12,creep_res25!C12)</f>
        <v>-5.6713196571428579E-4</v>
      </c>
      <c r="E12" s="2">
        <f>IF('Modell einstellen'!$B$2="Ja",creep_res50!O12,creep_res50!C12)</f>
        <v>-5.9499394285714288E-4</v>
      </c>
      <c r="F12" s="2">
        <f>IF('Modell einstellen'!$B$2="Ja",creep_res80!O12,creep_res80!C12)</f>
        <v>-6.4424862857142857E-4</v>
      </c>
      <c r="G12" s="2">
        <f>IF('Modell einstellen'!$B$2="Ja",creep_res125!O12,creep_res125!C12)</f>
        <v>-8.3242857142857153E-4</v>
      </c>
      <c r="H12" s="2">
        <f>IF('Modell einstellen'!$B$2="Ja",creep_res160!O12,creep_res160!C12)</f>
        <v>-1.2866492E-3</v>
      </c>
      <c r="M12" s="9">
        <f t="shared" si="26"/>
        <v>-10</v>
      </c>
      <c r="N12" s="2">
        <f t="shared" si="4"/>
        <v>9.9999999999999995E-7</v>
      </c>
      <c r="O12" s="2">
        <f t="shared" si="5"/>
        <v>19221.004538024255</v>
      </c>
      <c r="P12" s="2">
        <f t="shared" si="6"/>
        <v>18488.086541148401</v>
      </c>
      <c r="Q12" s="2">
        <f t="shared" si="7"/>
        <v>17632.580430209568</v>
      </c>
      <c r="R12" s="2">
        <f t="shared" si="27"/>
        <v>16806.893784464937</v>
      </c>
      <c r="S12" s="2">
        <f t="shared" si="8"/>
        <v>15521.957760584179</v>
      </c>
      <c r="T12" s="2">
        <f t="shared" si="9"/>
        <v>12013.042732109147</v>
      </c>
      <c r="U12" s="2">
        <f t="shared" si="10"/>
        <v>7772.1262330089658</v>
      </c>
      <c r="Z12" s="2">
        <v>9.9999999999999995E-7</v>
      </c>
      <c r="AA12" s="3">
        <f>IF('Modell einstellen'!$B$2="Ja",'creep_res-40'!P12,'creep_res-40'!L12)</f>
        <v>0.35490209753879987</v>
      </c>
      <c r="AB12" s="2">
        <f>IF('Modell einstellen'!$B$2="Ja",creep_res0!P12,creep_res0!L12)</f>
        <v>0.36387514519750819</v>
      </c>
      <c r="AC12" s="2">
        <f>IF('Modell einstellen'!$B$2="Ja",creep_res25!P12,creep_res25!L12)</f>
        <v>0.37619947643528545</v>
      </c>
      <c r="AD12" s="2">
        <f>IF('Modell einstellen'!$B$2="Ja",creep_res50!P12,creep_res50!L12)</f>
        <v>0.38885797060695171</v>
      </c>
      <c r="AE12" s="2">
        <f>IF('Modell einstellen'!$B$2="Ja",creep_res80!P12,creep_res80!L12)</f>
        <v>0.41092447804756133</v>
      </c>
      <c r="AF12" s="2">
        <f>IF('Modell einstellen'!$B$2="Ja",creep_res125!P12,creep_res125!L12)</f>
        <v>0.49163002574223441</v>
      </c>
      <c r="AG12" s="2">
        <f>IF('Modell einstellen'!$B$2="Ja",creep_res160!P12,creep_res160!L12)</f>
        <v>0.6328207741917089</v>
      </c>
      <c r="AL12" s="2">
        <f t="shared" si="11"/>
        <v>9.9999999999999995E-7</v>
      </c>
      <c r="AM12" s="2">
        <f t="shared" si="12"/>
        <v>7093.1340991129555</v>
      </c>
      <c r="AN12" s="2">
        <f t="shared" si="13"/>
        <v>6777.7782322116691</v>
      </c>
      <c r="AO12" s="2">
        <f t="shared" si="14"/>
        <v>6406.2589516029093</v>
      </c>
      <c r="AP12" s="2">
        <f t="shared" si="15"/>
        <v>6050.6164561665273</v>
      </c>
      <c r="AQ12" s="2">
        <f t="shared" si="16"/>
        <v>5500.6338050295499</v>
      </c>
      <c r="AR12" s="2">
        <f t="shared" si="17"/>
        <v>4026.8171479490911</v>
      </c>
      <c r="AS12" s="2">
        <f t="shared" si="18"/>
        <v>2379.9691784471511</v>
      </c>
      <c r="AX12" s="2">
        <f t="shared" si="28"/>
        <v>9.9999999999999995E-7</v>
      </c>
      <c r="AY12" s="37">
        <f t="shared" si="19"/>
        <v>22078.201696912933</v>
      </c>
      <c r="AZ12" s="37">
        <f t="shared" si="20"/>
        <v>22636.187647942024</v>
      </c>
      <c r="BA12" s="37">
        <f t="shared" si="21"/>
        <v>23737.89157279889</v>
      </c>
      <c r="BB12" s="37">
        <f t="shared" si="22"/>
        <v>25203.327484433135</v>
      </c>
      <c r="BC12" s="37">
        <f t="shared" si="23"/>
        <v>29042.692126785088</v>
      </c>
      <c r="BD12" s="37">
        <f t="shared" si="24"/>
        <v>239209.07365124312</v>
      </c>
      <c r="BE12" s="37">
        <f t="shared" si="25"/>
        <v>-9752.6488612277735</v>
      </c>
    </row>
    <row r="13" spans="1:308" x14ac:dyDescent="0.25">
      <c r="A13" s="2">
        <f>'creep_res-40'!A13</f>
        <v>1.0000000000000001E-5</v>
      </c>
      <c r="B13" s="3">
        <f>'creep_res-40'!O13</f>
        <v>-5.2026502857142854E-4</v>
      </c>
      <c r="C13" s="2">
        <f>IF('Modell einstellen'!$B$2="Ja",creep_res0!O13,creep_res0!C13)</f>
        <v>-5.4876942857142862E-4</v>
      </c>
      <c r="D13" s="2">
        <f>IF('Modell einstellen'!$B$2="Ja",creep_res25!O13,creep_res25!C13)</f>
        <v>-5.7693480000000003E-4</v>
      </c>
      <c r="E13" s="2">
        <f>IF('Modell einstellen'!$B$2="Ja",creep_res50!O13,creep_res50!C13)</f>
        <v>-6.0864839999999996E-4</v>
      </c>
      <c r="F13" s="2">
        <f>IF('Modell einstellen'!$B$2="Ja",creep_res80!O13,creep_res80!C13)</f>
        <v>-6.6256257142857146E-4</v>
      </c>
      <c r="G13" s="2">
        <f>IF('Modell einstellen'!$B$2="Ja",creep_res125!O13,creep_res125!C13)</f>
        <v>-8.6485817142857157E-4</v>
      </c>
      <c r="H13" s="2">
        <f>IF('Modell einstellen'!$B$2="Ja",creep_res160!O13,creep_res160!C13)</f>
        <v>-1.5242370285714288E-3</v>
      </c>
      <c r="M13" s="9">
        <f t="shared" si="26"/>
        <v>-10</v>
      </c>
      <c r="N13" s="2">
        <f t="shared" si="4"/>
        <v>1.0000000000000001E-5</v>
      </c>
      <c r="O13" s="2">
        <f t="shared" si="5"/>
        <v>19220.972871189388</v>
      </c>
      <c r="P13" s="2">
        <f t="shared" si="6"/>
        <v>18222.589450786771</v>
      </c>
      <c r="Q13" s="2">
        <f t="shared" si="7"/>
        <v>17332.981127156829</v>
      </c>
      <c r="R13" s="2">
        <f t="shared" si="27"/>
        <v>16429.846854111503</v>
      </c>
      <c r="S13" s="2">
        <f t="shared" si="8"/>
        <v>15092.91413554903</v>
      </c>
      <c r="T13" s="2">
        <f t="shared" si="9"/>
        <v>11562.58948618363</v>
      </c>
      <c r="U13" s="2">
        <f t="shared" si="10"/>
        <v>6560.6594070033643</v>
      </c>
      <c r="Z13" s="2">
        <v>1.0000000000000001E-5</v>
      </c>
      <c r="AA13" s="3">
        <f>IF('Modell einstellen'!$B$2="Ja",'creep_res-40'!P13,'creep_res-40'!L13)</f>
        <v>0.35490258920783019</v>
      </c>
      <c r="AB13" s="2">
        <f>IF('Modell einstellen'!$B$2="Ja",creep_res0!P13,creep_res0!L13)</f>
        <v>0.36817913117817369</v>
      </c>
      <c r="AC13" s="2">
        <f>IF('Modell einstellen'!$B$2="Ja",creep_res25!P13,creep_res25!L13)</f>
        <v>0.38141836081700342</v>
      </c>
      <c r="AD13" s="2">
        <f>IF('Modell einstellen'!$B$2="Ja",creep_res50!P13,creep_res50!L13)</f>
        <v>0.39593372556541445</v>
      </c>
      <c r="AE13" s="2">
        <f>IF('Modell einstellen'!$B$2="Ja",creep_res80!P13,creep_res80!L13)</f>
        <v>0.41955981300310613</v>
      </c>
      <c r="AF13" s="2">
        <f>IF('Modell einstellen'!$B$2="Ja",creep_res125!P13,creep_res125!L13)</f>
        <v>0.50443882524619388</v>
      </c>
      <c r="AG13" s="2">
        <f>IF('Modell einstellen'!$B$2="Ja",creep_res160!P13,creep_res160!L13)</f>
        <v>0.68333020421120849</v>
      </c>
      <c r="AL13" s="2">
        <f t="shared" si="11"/>
        <v>1.0000000000000001E-5</v>
      </c>
      <c r="AM13" s="2">
        <f t="shared" si="12"/>
        <v>7093.1198391270691</v>
      </c>
      <c r="AN13" s="2">
        <f t="shared" si="13"/>
        <v>6659.4311503256295</v>
      </c>
      <c r="AO13" s="2">
        <f t="shared" si="14"/>
        <v>6273.617616065887</v>
      </c>
      <c r="AP13" s="2">
        <f t="shared" si="15"/>
        <v>5884.895018012654</v>
      </c>
      <c r="AQ13" s="2">
        <f t="shared" si="16"/>
        <v>5316.0543139142828</v>
      </c>
      <c r="AR13" s="2">
        <f t="shared" si="17"/>
        <v>3842.8247437350828</v>
      </c>
      <c r="AS13" s="2">
        <f t="shared" si="18"/>
        <v>1948.7143373862357</v>
      </c>
      <c r="AX13" s="2">
        <f t="shared" si="28"/>
        <v>1.0000000000000001E-5</v>
      </c>
      <c r="AY13" s="37">
        <f t="shared" si="19"/>
        <v>22078.240135656793</v>
      </c>
      <c r="AZ13" s="37">
        <f t="shared" si="20"/>
        <v>23039.585984695968</v>
      </c>
      <c r="BA13" s="37">
        <f t="shared" si="21"/>
        <v>24361.530231517503</v>
      </c>
      <c r="BB13" s="37">
        <f t="shared" si="22"/>
        <v>26313.114636767765</v>
      </c>
      <c r="BC13" s="37">
        <f t="shared" si="23"/>
        <v>31271.504743708578</v>
      </c>
      <c r="BD13" s="37">
        <f t="shared" si="24"/>
        <v>-434146.00503808621</v>
      </c>
      <c r="BE13" s="37">
        <f t="shared" si="25"/>
        <v>-5964.337623498428</v>
      </c>
    </row>
    <row r="14" spans="1:308" x14ac:dyDescent="0.25">
      <c r="A14" s="2">
        <f>'creep_res-40'!A14</f>
        <v>1E-4</v>
      </c>
      <c r="B14" s="3">
        <f>'creep_res-40'!O14</f>
        <v>-5.202735885714286E-4</v>
      </c>
      <c r="C14" s="2">
        <f>IF('Modell einstellen'!$B$2="Ja",creep_res0!O14,creep_res0!C14)</f>
        <v>-5.5665492571428568E-4</v>
      </c>
      <c r="D14" s="2">
        <f>IF('Modell einstellen'!$B$2="Ja",creep_res25!O14,creep_res25!C14)</f>
        <v>-5.8849794285714295E-4</v>
      </c>
      <c r="E14" s="2">
        <f>IF('Modell einstellen'!$B$2="Ja",creep_res50!O14,creep_res50!C14)</f>
        <v>-6.2406720000000003E-4</v>
      </c>
      <c r="F14" s="2">
        <f>IF('Modell einstellen'!$B$2="Ja",creep_res80!O14,creep_res80!C14)</f>
        <v>-6.858794285714287E-4</v>
      </c>
      <c r="G14" s="2">
        <f>IF('Modell einstellen'!$B$2="Ja",creep_res125!O14,creep_res125!C14)</f>
        <v>-9.0430200000000006E-4</v>
      </c>
      <c r="H14" s="2">
        <f>IF('Modell einstellen'!$B$2="Ja",creep_res160!O14,creep_res160!C14)</f>
        <v>-1.9320319428571429E-3</v>
      </c>
      <c r="M14" s="9">
        <f t="shared" si="26"/>
        <v>-10</v>
      </c>
      <c r="N14" s="2">
        <f t="shared" si="4"/>
        <v>1E-4</v>
      </c>
      <c r="O14" s="2">
        <f t="shared" si="5"/>
        <v>19220.656630789352</v>
      </c>
      <c r="P14" s="2">
        <f t="shared" si="6"/>
        <v>17964.450754061414</v>
      </c>
      <c r="Q14" s="2">
        <f t="shared" si="7"/>
        <v>16992.41283911758</v>
      </c>
      <c r="R14" s="2">
        <f t="shared" si="27"/>
        <v>16023.915373216218</v>
      </c>
      <c r="S14" s="2">
        <f t="shared" si="8"/>
        <v>14579.822026195356</v>
      </c>
      <c r="T14" s="2">
        <f t="shared" si="9"/>
        <v>11058.252663380154</v>
      </c>
      <c r="U14" s="2">
        <f t="shared" si="10"/>
        <v>5175.897860783668</v>
      </c>
      <c r="Z14" s="2">
        <v>1E-4</v>
      </c>
      <c r="AA14" s="3">
        <f>IF('Modell einstellen'!$B$2="Ja",'creep_res-40'!P14,'creep_res-40'!L14)</f>
        <v>0.35490755753802411</v>
      </c>
      <c r="AB14" s="2">
        <f>IF('Modell einstellen'!$B$2="Ja",creep_res0!P14,creep_res0!L14)</f>
        <v>0.3724540831718347</v>
      </c>
      <c r="AC14" s="2">
        <f>IF('Modell einstellen'!$B$2="Ja",creep_res25!P14,creep_res25!L14)</f>
        <v>0.38754587223220294</v>
      </c>
      <c r="AD14" s="2">
        <f>IF('Modell einstellen'!$B$2="Ja",creep_res50!P14,creep_res50!L14)</f>
        <v>0.40330422291518786</v>
      </c>
      <c r="AE14" s="2">
        <f>IF('Modell einstellen'!$B$2="Ja",creep_res80!P14,creep_res80!L14)</f>
        <v>0.43080778045953932</v>
      </c>
      <c r="AF14" s="2">
        <f>IF('Modell einstellen'!$B$2="Ja",creep_res125!P14,creep_res125!L14)</f>
        <v>0.51986383183620388</v>
      </c>
      <c r="AG14" s="2">
        <f>IF('Modell einstellen'!$B$2="Ja",creep_res160!P14,creep_res160!L14)</f>
        <v>0.74524020735652441</v>
      </c>
      <c r="AL14" s="2">
        <f t="shared" si="11"/>
        <v>1E-4</v>
      </c>
      <c r="AM14" s="2">
        <f t="shared" si="12"/>
        <v>7092.9771274266232</v>
      </c>
      <c r="AN14" s="2">
        <f t="shared" si="13"/>
        <v>6544.645454565718</v>
      </c>
      <c r="AO14" s="2">
        <f t="shared" si="14"/>
        <v>6123.1895749079549</v>
      </c>
      <c r="AP14" s="2">
        <f t="shared" si="15"/>
        <v>5709.3519393565812</v>
      </c>
      <c r="AQ14" s="2">
        <f t="shared" si="16"/>
        <v>5094.9618199282804</v>
      </c>
      <c r="AR14" s="2">
        <f t="shared" si="17"/>
        <v>3637.9090125528774</v>
      </c>
      <c r="AS14" s="2">
        <f t="shared" si="18"/>
        <v>1482.8611668944652</v>
      </c>
      <c r="AX14" s="2">
        <f t="shared" si="28"/>
        <v>1E-4</v>
      </c>
      <c r="AY14" s="37">
        <f t="shared" si="19"/>
        <v>22078.632887014399</v>
      </c>
      <c r="AZ14" s="37">
        <f t="shared" si="20"/>
        <v>23474.488248107809</v>
      </c>
      <c r="BA14" s="37">
        <f t="shared" si="21"/>
        <v>25184.213890017851</v>
      </c>
      <c r="BB14" s="37">
        <f t="shared" si="22"/>
        <v>27619.123013616882</v>
      </c>
      <c r="BC14" s="37">
        <f t="shared" si="23"/>
        <v>35119.126887934013</v>
      </c>
      <c r="BD14" s="37">
        <f t="shared" si="24"/>
        <v>-92783.81561830506</v>
      </c>
      <c r="BE14" s="37">
        <f t="shared" si="25"/>
        <v>-3517.5701927614382</v>
      </c>
    </row>
    <row r="15" spans="1:308" x14ac:dyDescent="0.25">
      <c r="A15" s="2">
        <f>'creep_res-40'!A15</f>
        <v>1E-3</v>
      </c>
      <c r="B15" s="3">
        <f>'creep_res-40'!O15</f>
        <v>-5.2035845142857145E-4</v>
      </c>
      <c r="C15" s="2">
        <f>IF('Modell einstellen'!$B$2="Ja",creep_res0!O15,creep_res0!C15)</f>
        <v>-5.6579005714285722E-4</v>
      </c>
      <c r="D15" s="2">
        <f>IF('Modell einstellen'!$B$2="Ja",creep_res25!O15,creep_res25!C15)</f>
        <v>-6.0169605714285716E-4</v>
      </c>
      <c r="E15" s="2">
        <f>IF('Modell einstellen'!$B$2="Ja",creep_res50!O15,creep_res50!C15)</f>
        <v>-6.3871062857142865E-4</v>
      </c>
      <c r="F15" s="2">
        <f>IF('Modell einstellen'!$B$2="Ja",creep_res80!O15,creep_res80!C15)</f>
        <v>-7.1274022857142861E-4</v>
      </c>
      <c r="G15" s="2">
        <f>IF('Modell einstellen'!$B$2="Ja",creep_res125!O15,creep_res125!C15)</f>
        <v>-9.539845714285714E-4</v>
      </c>
      <c r="H15" s="2">
        <f>IF('Modell einstellen'!$B$2="Ja",creep_res160!O15,creep_res160!C15)</f>
        <v>-2.5970217714285713E-3</v>
      </c>
      <c r="M15" s="9">
        <f t="shared" si="26"/>
        <v>-10</v>
      </c>
      <c r="N15" s="2">
        <f t="shared" si="4"/>
        <v>1E-3</v>
      </c>
      <c r="O15" s="2">
        <f t="shared" si="5"/>
        <v>19217.522022648805</v>
      </c>
      <c r="P15" s="2">
        <f t="shared" si="6"/>
        <v>17674.400378292765</v>
      </c>
      <c r="Q15" s="2">
        <f t="shared" si="7"/>
        <v>16619.686769238309</v>
      </c>
      <c r="R15" s="2">
        <f t="shared" si="27"/>
        <v>15656.542341195242</v>
      </c>
      <c r="S15" s="2">
        <f t="shared" si="8"/>
        <v>14030.357203273577</v>
      </c>
      <c r="T15" s="2">
        <f t="shared" si="9"/>
        <v>10482.349819374138</v>
      </c>
      <c r="U15" s="2">
        <f t="shared" si="10"/>
        <v>3850.5645620749624</v>
      </c>
      <c r="Z15" s="2">
        <v>1E-3</v>
      </c>
      <c r="AA15" s="3">
        <f>IF('Modell einstellen'!$B$2="Ja",'creep_res-40'!P15,'creep_res-40'!L15)</f>
        <v>0.35495682322457078</v>
      </c>
      <c r="AB15" s="2">
        <f>IF('Modell einstellen'!$B$2="Ja",creep_res0!P15,creep_res0!L15)</f>
        <v>0.37740418808551496</v>
      </c>
      <c r="AC15" s="2">
        <f>IF('Modell einstellen'!$B$2="Ja",creep_res25!P15,creep_res25!L15)</f>
        <v>0.39448251091367348</v>
      </c>
      <c r="AD15" s="2">
        <f>IF('Modell einstellen'!$B$2="Ja",creep_res50!P15,creep_res50!L15)</f>
        <v>0.41102984620086391</v>
      </c>
      <c r="AE15" s="2">
        <f>IF('Modell einstellen'!$B$2="Ja",creep_res80!P15,creep_res80!L15)</f>
        <v>0.44354880968854687</v>
      </c>
      <c r="AF15" s="2">
        <f>IF('Modell einstellen'!$B$2="Ja",creep_res125!P15,creep_res125!L15)</f>
        <v>0.53833337825768979</v>
      </c>
      <c r="AG15" s="2">
        <f>IF('Modell einstellen'!$B$2="Ja",creep_res160!P15,creep_res160!L15)</f>
        <v>0.80816746989810162</v>
      </c>
      <c r="AL15" s="2">
        <f t="shared" si="11"/>
        <v>1E-3</v>
      </c>
      <c r="AM15" s="2">
        <f t="shared" si="12"/>
        <v>7091.5625107943715</v>
      </c>
      <c r="AN15" s="2">
        <f t="shared" si="13"/>
        <v>6415.8365900058752</v>
      </c>
      <c r="AO15" s="2">
        <f t="shared" si="14"/>
        <v>5959.0875608576071</v>
      </c>
      <c r="AP15" s="2">
        <f t="shared" si="15"/>
        <v>5547.9132434192643</v>
      </c>
      <c r="AQ15" s="2">
        <f t="shared" si="16"/>
        <v>4859.6753740182503</v>
      </c>
      <c r="AR15" s="2">
        <f t="shared" si="17"/>
        <v>3407.0475124340101</v>
      </c>
      <c r="AS15" s="2">
        <f t="shared" si="18"/>
        <v>1064.7698916660522</v>
      </c>
      <c r="AX15" s="2">
        <f t="shared" si="28"/>
        <v>1E-3</v>
      </c>
      <c r="AY15" s="37">
        <f t="shared" si="19"/>
        <v>22082.530239028241</v>
      </c>
      <c r="AZ15" s="37">
        <f t="shared" si="20"/>
        <v>24028.010014215506</v>
      </c>
      <c r="BA15" s="37">
        <f t="shared" si="21"/>
        <v>26251.077606735766</v>
      </c>
      <c r="BB15" s="37">
        <f t="shared" si="22"/>
        <v>29329.20324521096</v>
      </c>
      <c r="BC15" s="37">
        <f t="shared" si="23"/>
        <v>41423.269452970897</v>
      </c>
      <c r="BD15" s="37">
        <f t="shared" si="24"/>
        <v>-45575.380585679479</v>
      </c>
      <c r="BE15" s="37">
        <f t="shared" si="25"/>
        <v>-2082.5065038760617</v>
      </c>
    </row>
    <row r="16" spans="1:308" x14ac:dyDescent="0.25">
      <c r="A16" s="2">
        <f>'creep_res-40'!A16</f>
        <v>0.01</v>
      </c>
      <c r="B16" s="3">
        <f>'creep_res-40'!O16</f>
        <v>-5.2117016571428566E-4</v>
      </c>
      <c r="C16" s="2">
        <f>IF('Modell einstellen'!$B$2="Ja",creep_res0!O16,creep_res0!C16)</f>
        <v>-5.7584177142857142E-4</v>
      </c>
      <c r="D16" s="2">
        <f>IF('Modell einstellen'!$B$2="Ja",creep_res25!O16,creep_res25!C16)</f>
        <v>-6.1693605714285718E-4</v>
      </c>
      <c r="E16" s="2">
        <f>IF('Modell einstellen'!$B$2="Ja",creep_res50!O16,creep_res50!C16)</f>
        <v>-6.5660079999999997E-4</v>
      </c>
      <c r="F16" s="2">
        <f>IF('Modell einstellen'!$B$2="Ja",creep_res80!O16,creep_res80!C16)</f>
        <v>-7.3821708571428582E-4</v>
      </c>
      <c r="G16" s="2">
        <f>IF('Modell einstellen'!$B$2="Ja",creep_res125!O16,creep_res125!C16)</f>
        <v>-1.0185461142857143E-3</v>
      </c>
      <c r="H16" s="2">
        <f>IF('Modell einstellen'!$B$2="Ja",creep_res160!O16,creep_res160!C16)</f>
        <v>-3.5571900571428573E-3</v>
      </c>
      <c r="M16" s="9">
        <f t="shared" si="26"/>
        <v>-10</v>
      </c>
      <c r="N16" s="2">
        <f t="shared" si="4"/>
        <v>0.01</v>
      </c>
      <c r="O16" s="2">
        <f t="shared" si="5"/>
        <v>19187.591036210943</v>
      </c>
      <c r="P16" s="2">
        <f t="shared" si="6"/>
        <v>17365.881560123013</v>
      </c>
      <c r="Q16" s="2">
        <f t="shared" si="7"/>
        <v>16209.135264863289</v>
      </c>
      <c r="R16" s="2">
        <f t="shared" si="27"/>
        <v>15229.954029906758</v>
      </c>
      <c r="S16" s="2">
        <f t="shared" si="8"/>
        <v>13546.150845755861</v>
      </c>
      <c r="T16" s="2">
        <f t="shared" si="9"/>
        <v>9817.9158113158155</v>
      </c>
      <c r="U16" s="2">
        <f t="shared" si="10"/>
        <v>2811.2076777904922</v>
      </c>
      <c r="Z16" s="2">
        <v>0.01</v>
      </c>
      <c r="AA16" s="3">
        <f>IF('Modell einstellen'!$B$2="Ja",'creep_res-40'!P16,'creep_res-40'!L16)</f>
        <v>0.35542753741007366</v>
      </c>
      <c r="AB16" s="2">
        <f>IF('Modell einstellen'!$B$2="Ja",creep_res0!P16,creep_res0!L16)</f>
        <v>0.38281449537080187</v>
      </c>
      <c r="AC16" s="2">
        <f>IF('Modell einstellen'!$B$2="Ja",creep_res25!P16,creep_res25!L16)</f>
        <v>0.40188126002592905</v>
      </c>
      <c r="AD16" s="2">
        <f>IF('Modell einstellen'!$B$2="Ja",creep_res50!P16,creep_res50!L16)</f>
        <v>0.41958285765110254</v>
      </c>
      <c r="AE16" s="2">
        <f>IF('Modell einstellen'!$B$2="Ja",creep_res80!P16,creep_res80!L16)</f>
        <v>0.45538051176429006</v>
      </c>
      <c r="AF16" s="2">
        <f>IF('Modell einstellen'!$B$2="Ja",creep_res125!P16,creep_res125!L16)</f>
        <v>0.56052002302217097</v>
      </c>
      <c r="AG16" s="2">
        <f>IF('Modell einstellen'!$B$2="Ja",creep_res160!P16,creep_res160!L16)</f>
        <v>0.85914946735003972</v>
      </c>
      <c r="AL16" s="2">
        <f t="shared" si="11"/>
        <v>0.01</v>
      </c>
      <c r="AM16" s="2">
        <f t="shared" si="12"/>
        <v>7078.0585854387473</v>
      </c>
      <c r="AN16" s="2">
        <f t="shared" si="13"/>
        <v>6279.1797519689544</v>
      </c>
      <c r="AO16" s="2">
        <f t="shared" si="14"/>
        <v>5781.2083401997561</v>
      </c>
      <c r="AP16" s="2">
        <f t="shared" si="15"/>
        <v>5364.2356794540465</v>
      </c>
      <c r="AQ16" s="2">
        <f t="shared" si="16"/>
        <v>4653.8175879978271</v>
      </c>
      <c r="AR16" s="2">
        <f t="shared" si="17"/>
        <v>3145.7192687287707</v>
      </c>
      <c r="AS16" s="2">
        <f t="shared" si="18"/>
        <v>756.04671038027936</v>
      </c>
      <c r="AX16" s="2">
        <f t="shared" si="28"/>
        <v>0.01</v>
      </c>
      <c r="AY16" s="37">
        <f t="shared" si="19"/>
        <v>22119.923684493697</v>
      </c>
      <c r="AZ16" s="37">
        <f t="shared" si="20"/>
        <v>24698.563209776745</v>
      </c>
      <c r="BA16" s="37">
        <f t="shared" si="21"/>
        <v>27533.196460307085</v>
      </c>
      <c r="BB16" s="37">
        <f t="shared" si="22"/>
        <v>31564.484853718845</v>
      </c>
      <c r="BC16" s="37">
        <f t="shared" si="23"/>
        <v>50598.783107940209</v>
      </c>
      <c r="BD16" s="37">
        <f t="shared" si="24"/>
        <v>-27037.651675818404</v>
      </c>
      <c r="BE16" s="37">
        <f t="shared" si="25"/>
        <v>-1304.5671943275686</v>
      </c>
    </row>
    <row r="17" spans="1:57" x14ac:dyDescent="0.25">
      <c r="A17" s="2">
        <f>'creep_res-40'!A17</f>
        <v>0.1</v>
      </c>
      <c r="B17" s="3">
        <f>'creep_res-40'!O17</f>
        <v>-5.2714065714285722E-4</v>
      </c>
      <c r="C17" s="2">
        <f>IF('Modell einstellen'!$B$2="Ja",creep_res0!O17,creep_res0!C17)</f>
        <v>-5.8768102857142859E-4</v>
      </c>
      <c r="D17" s="2">
        <f>IF('Modell einstellen'!$B$2="Ja",creep_res25!O17,creep_res25!C17)</f>
        <v>-6.3134834285714285E-4</v>
      </c>
      <c r="E17" s="2">
        <f>IF('Modell einstellen'!$B$2="Ja",creep_res50!O17,creep_res50!C17)</f>
        <v>-6.7950274285714289E-4</v>
      </c>
      <c r="F17" s="2">
        <f>IF('Modell einstellen'!$B$2="Ja",creep_res80!O17,creep_res80!C17)</f>
        <v>-7.6294337142857147E-4</v>
      </c>
      <c r="G17" s="2">
        <f>IF('Modell einstellen'!$B$2="Ja",creep_res125!O17,creep_res125!C17)</f>
        <v>-1.1103050857142859E-3</v>
      </c>
      <c r="H17" s="2">
        <f>IF('Modell einstellen'!$B$2="Ja",creep_res160!O17,creep_res160!C17)</f>
        <v>-4.6141837142857148E-3</v>
      </c>
      <c r="M17" s="9">
        <f t="shared" si="26"/>
        <v>-10</v>
      </c>
      <c r="N17" s="2">
        <f t="shared" si="4"/>
        <v>0.1</v>
      </c>
      <c r="O17" s="2">
        <f t="shared" si="5"/>
        <v>18970.268873208846</v>
      </c>
      <c r="P17" s="2">
        <f t="shared" si="6"/>
        <v>17016.033381762583</v>
      </c>
      <c r="Q17" s="2">
        <f t="shared" si="7"/>
        <v>15839.116571915563</v>
      </c>
      <c r="R17" s="2">
        <f t="shared" si="27"/>
        <v>14716.644053491889</v>
      </c>
      <c r="S17" s="2">
        <f t="shared" si="8"/>
        <v>13107.132684402939</v>
      </c>
      <c r="T17" s="2">
        <f t="shared" si="9"/>
        <v>9006.5335452973814</v>
      </c>
      <c r="U17" s="2">
        <f t="shared" si="10"/>
        <v>2167.2305697407674</v>
      </c>
      <c r="Z17" s="2">
        <v>0.1</v>
      </c>
      <c r="AA17" s="3">
        <f>IF('Modell einstellen'!$B$2="Ja",'creep_res-40'!P17,'creep_res-40'!L17)</f>
        <v>0.35886729716974969</v>
      </c>
      <c r="AB17" s="2">
        <f>IF('Modell einstellen'!$B$2="Ja",creep_res0!P17,creep_res0!L17)</f>
        <v>0.389154242855551</v>
      </c>
      <c r="AC17" s="2">
        <f>IF('Modell einstellen'!$B$2="Ja",creep_res25!P17,creep_res25!L17)</f>
        <v>0.40958911883464649</v>
      </c>
      <c r="AD17" s="2">
        <f>IF('Modell einstellen'!$B$2="Ja",creep_res50!P17,creep_res50!L17)</f>
        <v>0.43076231879816651</v>
      </c>
      <c r="AE17" s="2">
        <f>IF('Modell einstellen'!$B$2="Ja",creep_res80!P17,creep_res80!L17)</f>
        <v>0.46639275755272308</v>
      </c>
      <c r="AF17" s="2">
        <f>IF('Modell einstellen'!$B$2="Ja",creep_res125!P17,creep_res125!L17)</f>
        <v>0.58678826962308783</v>
      </c>
      <c r="AG17" s="2">
        <f>IF('Modell einstellen'!$B$2="Ja",creep_res160!P17,creep_res160!L17)</f>
        <v>0.88691880061992689</v>
      </c>
      <c r="AL17" s="2">
        <f t="shared" si="11"/>
        <v>0.1</v>
      </c>
      <c r="AM17" s="2">
        <f t="shared" si="12"/>
        <v>6980.1771345591078</v>
      </c>
      <c r="AN17" s="2">
        <f t="shared" si="13"/>
        <v>6124.6018825038309</v>
      </c>
      <c r="AO17" s="2">
        <f t="shared" si="14"/>
        <v>5618.3452185734377</v>
      </c>
      <c r="AP17" s="2">
        <f t="shared" si="15"/>
        <v>5142.9380897638539</v>
      </c>
      <c r="AQ17" s="2">
        <f t="shared" si="16"/>
        <v>4469.1753341299773</v>
      </c>
      <c r="AR17" s="2">
        <f t="shared" si="17"/>
        <v>2837.9758401657195</v>
      </c>
      <c r="AS17" s="2">
        <f t="shared" si="18"/>
        <v>574.27764486440731</v>
      </c>
      <c r="AX17" s="2">
        <f t="shared" si="28"/>
        <v>0.1</v>
      </c>
      <c r="AY17" s="37">
        <f t="shared" si="19"/>
        <v>22402.40153744481</v>
      </c>
      <c r="AZ17" s="37">
        <f t="shared" si="20"/>
        <v>25585.152167180811</v>
      </c>
      <c r="BA17" s="37">
        <f t="shared" si="21"/>
        <v>29198.396564212995</v>
      </c>
      <c r="BB17" s="37">
        <f t="shared" si="22"/>
        <v>35425.421047323616</v>
      </c>
      <c r="BC17" s="37">
        <f t="shared" si="23"/>
        <v>65001.528093066168</v>
      </c>
      <c r="BD17" s="37">
        <f t="shared" si="24"/>
        <v>-17295.988625367216</v>
      </c>
      <c r="BE17" s="37">
        <f t="shared" si="25"/>
        <v>-933.54237214130342</v>
      </c>
    </row>
    <row r="18" spans="1:57" x14ac:dyDescent="0.25">
      <c r="A18" s="2">
        <f>'creep_res-40'!A18</f>
        <v>1</v>
      </c>
      <c r="B18" s="3">
        <f>'creep_res-40'!O18</f>
        <v>-5.3738724571428579E-4</v>
      </c>
      <c r="C18" s="2">
        <f>IF('Modell einstellen'!$B$2="Ja",creep_res0!O18,creep_res0!C18)</f>
        <v>-6.0114314285714284E-4</v>
      </c>
      <c r="D18" s="2">
        <f>IF('Modell einstellen'!$B$2="Ja",creep_res25!O18,creep_res25!C18)</f>
        <v>-6.481961714285714E-4</v>
      </c>
      <c r="E18" s="2">
        <f>IF('Modell einstellen'!$B$2="Ja",creep_res50!O18,creep_res50!C18)</f>
        <v>-7.0670925714285716E-4</v>
      </c>
      <c r="F18" s="2">
        <f>IF('Modell einstellen'!$B$2="Ja",creep_res80!O18,creep_res80!C18)</f>
        <v>-7.9293365714285728E-4</v>
      </c>
      <c r="G18" s="2">
        <f>IF('Modell einstellen'!$B$2="Ja",creep_res125!O18,creep_res125!C18)</f>
        <v>-1.2787949142857144E-3</v>
      </c>
      <c r="H18" s="2">
        <f>IF('Modell einstellen'!$B$2="Ja",creep_res160!O18,creep_res160!C18)</f>
        <v>-5.6234140000000002E-3</v>
      </c>
      <c r="M18" s="9">
        <f t="shared" si="26"/>
        <v>-10</v>
      </c>
      <c r="N18" s="2">
        <f t="shared" si="4"/>
        <v>1</v>
      </c>
      <c r="O18" s="2">
        <f t="shared" si="5"/>
        <v>18608.554780097496</v>
      </c>
      <c r="P18" s="2">
        <f t="shared" si="6"/>
        <v>16634.973082237128</v>
      </c>
      <c r="Q18" s="2">
        <f t="shared" si="7"/>
        <v>15427.42836317718</v>
      </c>
      <c r="R18" s="2">
        <f t="shared" si="27"/>
        <v>14150.090576751223</v>
      </c>
      <c r="S18" s="2">
        <f t="shared" si="8"/>
        <v>12611.395556133355</v>
      </c>
      <c r="T18" s="2">
        <f t="shared" si="9"/>
        <v>7819.862190792036</v>
      </c>
      <c r="U18" s="2">
        <f t="shared" si="10"/>
        <v>1778.2791734700663</v>
      </c>
      <c r="Z18" s="2">
        <v>1</v>
      </c>
      <c r="AA18" s="3">
        <f>IF('Modell einstellen'!$B$2="Ja",'creep_res-40'!P18,'creep_res-40'!L18)</f>
        <v>0.36471461580118525</v>
      </c>
      <c r="AB18" s="2">
        <f>IF('Modell einstellen'!$B$2="Ja",creep_res0!P18,creep_res0!L18)</f>
        <v>0.39629437438480308</v>
      </c>
      <c r="AC18" s="2">
        <f>IF('Modell einstellen'!$B$2="Ja",creep_res25!P18,creep_res25!L18)</f>
        <v>0.41770359114388039</v>
      </c>
      <c r="AD18" s="2">
        <f>IF('Modell einstellen'!$B$2="Ja",creep_res50!P18,creep_res50!L18)</f>
        <v>0.44351746347578624</v>
      </c>
      <c r="AE18" s="2">
        <f>IF('Modell einstellen'!$B$2="Ja",creep_res80!P18,creep_res80!L18)</f>
        <v>0.47744824481442832</v>
      </c>
      <c r="AF18" s="2">
        <f>IF('Modell einstellen'!$B$2="Ja",creep_res125!P18,creep_res125!L18)</f>
        <v>0.61156764956078513</v>
      </c>
      <c r="AG18" s="2">
        <f>IF('Modell einstellen'!$B$2="Ja",creep_res160!P18,creep_res160!L18)</f>
        <v>0.88233328924894572</v>
      </c>
      <c r="AL18" s="2">
        <f t="shared" si="11"/>
        <v>1</v>
      </c>
      <c r="AM18" s="2">
        <f t="shared" si="12"/>
        <v>6817.7458366168885</v>
      </c>
      <c r="AN18" s="2">
        <f t="shared" si="13"/>
        <v>5956.8287989294422</v>
      </c>
      <c r="AO18" s="2">
        <f t="shared" si="14"/>
        <v>5440.9922001853329</v>
      </c>
      <c r="AP18" s="2">
        <f t="shared" si="15"/>
        <v>4901.2536857987861</v>
      </c>
      <c r="AQ18" s="2">
        <f t="shared" si="16"/>
        <v>4267.9652571239076</v>
      </c>
      <c r="AR18" s="2">
        <f t="shared" si="17"/>
        <v>2426.1662837806571</v>
      </c>
      <c r="AS18" s="2">
        <f t="shared" si="18"/>
        <v>472.36033693576201</v>
      </c>
      <c r="AX18" s="2">
        <f t="shared" si="28"/>
        <v>1</v>
      </c>
      <c r="AY18" s="37">
        <f t="shared" si="19"/>
        <v>22925.061824306722</v>
      </c>
      <c r="AZ18" s="37">
        <f t="shared" si="20"/>
        <v>26734.282708959516</v>
      </c>
      <c r="BA18" s="37">
        <f t="shared" si="21"/>
        <v>31243.624069002512</v>
      </c>
      <c r="BB18" s="37">
        <f t="shared" si="22"/>
        <v>41753.585702503391</v>
      </c>
      <c r="BC18" s="37">
        <f t="shared" si="23"/>
        <v>93203.355661661641</v>
      </c>
      <c r="BD18" s="37">
        <f t="shared" si="24"/>
        <v>-11681.794590661575</v>
      </c>
      <c r="BE18" s="37">
        <f t="shared" si="25"/>
        <v>-775.18717459109746</v>
      </c>
    </row>
    <row r="19" spans="1:57" x14ac:dyDescent="0.25">
      <c r="A19" s="2">
        <f>'creep_res-40'!A19</f>
        <v>10</v>
      </c>
      <c r="B19" s="3">
        <f>'creep_res-40'!O19</f>
        <v>-5.4510416571428575E-4</v>
      </c>
      <c r="C19" s="2">
        <f>IF('Modell einstellen'!$B$2="Ja",creep_res0!O19,creep_res0!C19)</f>
        <v>-6.1650040000000011E-4</v>
      </c>
      <c r="D19" s="2">
        <f>IF('Modell einstellen'!$B$2="Ja",creep_res25!O19,creep_res25!C19)</f>
        <v>-6.7047302857142863E-4</v>
      </c>
      <c r="E19" s="2">
        <f>IF('Modell einstellen'!$B$2="Ja",creep_res50!O19,creep_res50!C19)</f>
        <v>-7.3743742857142864E-4</v>
      </c>
      <c r="F19" s="2">
        <f>IF('Modell einstellen'!$B$2="Ja",creep_res80!O19,creep_res80!C19)</f>
        <v>-8.4745777142857144E-4</v>
      </c>
      <c r="G19" s="2">
        <f>IF('Modell einstellen'!$B$2="Ja",creep_res125!O19,creep_res125!C19)</f>
        <v>-1.6690684000000003E-3</v>
      </c>
      <c r="H19" s="2">
        <f>IF('Modell einstellen'!$B$2="Ja",creep_res160!O19,creep_res160!C19)</f>
        <v>-6.7562577142857147E-3</v>
      </c>
      <c r="M19" s="9">
        <f t="shared" si="26"/>
        <v>-10</v>
      </c>
      <c r="N19" s="2">
        <f t="shared" si="4"/>
        <v>10</v>
      </c>
      <c r="O19" s="2">
        <f t="shared" si="5"/>
        <v>18345.117555460878</v>
      </c>
      <c r="P19" s="2">
        <f t="shared" si="6"/>
        <v>16220.589637898043</v>
      </c>
      <c r="Q19" s="2">
        <f t="shared" si="7"/>
        <v>14914.843064316723</v>
      </c>
      <c r="R19" s="2">
        <f t="shared" si="27"/>
        <v>13560.472539849385</v>
      </c>
      <c r="S19" s="2">
        <f t="shared" si="8"/>
        <v>11799.997990628914</v>
      </c>
      <c r="T19" s="2">
        <f t="shared" si="9"/>
        <v>5991.3662016487751</v>
      </c>
      <c r="U19" s="2">
        <f t="shared" si="10"/>
        <v>1480.1093183369221</v>
      </c>
      <c r="Z19" s="2">
        <v>10</v>
      </c>
      <c r="AA19" s="3">
        <f>IF('Modell einstellen'!$B$2="Ja",'creep_res-40'!P19,'creep_res-40'!L19)</f>
        <v>0.368997751402251</v>
      </c>
      <c r="AB19" s="2">
        <f>IF('Modell einstellen'!$B$2="Ja",creep_res0!P19,creep_res0!L19)</f>
        <v>0.40375680905594591</v>
      </c>
      <c r="AC19" s="2">
        <f>IF('Modell einstellen'!$B$2="Ja",creep_res25!P19,creep_res25!L19)</f>
        <v>0.42821784330005652</v>
      </c>
      <c r="AD19" s="2">
        <f>IF('Modell einstellen'!$B$2="Ja",creep_res50!P19,creep_res50!L19)</f>
        <v>0.45456280842810487</v>
      </c>
      <c r="AE19" s="2">
        <f>IF('Modell einstellen'!$B$2="Ja",creep_res80!P19,creep_res80!L19)</f>
        <v>0.48361266176195816</v>
      </c>
      <c r="AF19" s="2">
        <f>IF('Modell einstellen'!$B$2="Ja",creep_res125!P19,creep_res125!L19)</f>
        <v>0.61509043008662778</v>
      </c>
      <c r="AG19" s="2">
        <f>IF('Modell einstellen'!$B$2="Ja",creep_res160!P19,creep_res160!L19)</f>
        <v>0.82835141787283606</v>
      </c>
      <c r="AL19" s="2">
        <f t="shared" si="11"/>
        <v>10</v>
      </c>
      <c r="AM19" s="2">
        <f t="shared" si="12"/>
        <v>6700.2000319833087</v>
      </c>
      <c r="AN19" s="2">
        <f t="shared" si="13"/>
        <v>5777.56401011038</v>
      </c>
      <c r="AO19" s="2">
        <f t="shared" si="14"/>
        <v>5221.4874412485688</v>
      </c>
      <c r="AP19" s="2">
        <f t="shared" si="15"/>
        <v>4661.3568218837227</v>
      </c>
      <c r="AQ19" s="2">
        <f t="shared" si="16"/>
        <v>3976.7785402340392</v>
      </c>
      <c r="AR19" s="2">
        <f t="shared" si="17"/>
        <v>1854.808278855141</v>
      </c>
      <c r="AS19" s="2">
        <f t="shared" si="18"/>
        <v>404.76609252146119</v>
      </c>
      <c r="AX19" s="2">
        <f t="shared" si="28"/>
        <v>10</v>
      </c>
      <c r="AY19" s="37">
        <f t="shared" si="19"/>
        <v>23339.443599667724</v>
      </c>
      <c r="AZ19" s="37">
        <f t="shared" si="20"/>
        <v>28089.588258641987</v>
      </c>
      <c r="BA19" s="37">
        <f t="shared" si="21"/>
        <v>34629.875886524846</v>
      </c>
      <c r="BB19" s="37">
        <f t="shared" si="22"/>
        <v>49740.722928824689</v>
      </c>
      <c r="BC19" s="37">
        <f t="shared" si="23"/>
        <v>120011.3345562145</v>
      </c>
      <c r="BD19" s="37">
        <f t="shared" si="24"/>
        <v>-8676.3168132790815</v>
      </c>
      <c r="BE19" s="37">
        <f t="shared" si="25"/>
        <v>-751.2831465372966</v>
      </c>
    </row>
    <row r="20" spans="1:57" x14ac:dyDescent="0.25">
      <c r="A20" s="2">
        <f>'creep_res-40'!A20</f>
        <v>100</v>
      </c>
      <c r="B20" s="3">
        <f>'creep_res-40'!O20</f>
        <v>-5.531446114285715E-4</v>
      </c>
      <c r="C20" s="2">
        <f>IF('Modell einstellen'!$B$2="Ja",creep_res0!O20,creep_res0!C20)</f>
        <v>-6.3240502857142859E-4</v>
      </c>
      <c r="D20" s="2">
        <f>IF('Modell einstellen'!$B$2="Ja",creep_res25!O20,creep_res25!C20)</f>
        <v>-7.0504165714285728E-4</v>
      </c>
      <c r="E20" s="2">
        <f>IF('Modell einstellen'!$B$2="Ja",creep_res50!O20,creep_res50!C20)</f>
        <v>-7.9729805714285717E-4</v>
      </c>
      <c r="F20" s="2">
        <f>IF('Modell einstellen'!$B$2="Ja",creep_res80!O20,creep_res80!C20)</f>
        <v>-9.8356862857142862E-4</v>
      </c>
      <c r="G20" s="2">
        <f>IF('Modell einstellen'!$B$2="Ja",creep_res125!O20,creep_res125!C20)</f>
        <v>-2.4705964000000004E-3</v>
      </c>
      <c r="H20" s="2">
        <f>IF('Modell einstellen'!$B$2="Ja",creep_res160!O20,creep_res160!C20)</f>
        <v>-8.7672800000000006E-3</v>
      </c>
      <c r="M20" s="9">
        <f t="shared" si="26"/>
        <v>-10</v>
      </c>
      <c r="N20" s="2">
        <f t="shared" si="4"/>
        <v>100</v>
      </c>
      <c r="O20" s="2">
        <f t="shared" si="5"/>
        <v>18078.455061098099</v>
      </c>
      <c r="P20" s="2">
        <f t="shared" si="6"/>
        <v>15812.650988227435</v>
      </c>
      <c r="Q20" s="2">
        <f t="shared" si="7"/>
        <v>14183.559082912139</v>
      </c>
      <c r="R20" s="2">
        <f t="shared" si="27"/>
        <v>12542.360928151909</v>
      </c>
      <c r="S20" s="2">
        <f t="shared" si="8"/>
        <v>10167.058718133751</v>
      </c>
      <c r="T20" s="2">
        <f t="shared" si="9"/>
        <v>4047.605671246019</v>
      </c>
      <c r="U20" s="2">
        <f t="shared" si="10"/>
        <v>1140.6046116925659</v>
      </c>
      <c r="Z20" s="2">
        <v>100</v>
      </c>
      <c r="AA20" s="3">
        <f>IF('Modell einstellen'!$B$2="Ja",'creep_res-40'!P20,'creep_res-40'!L20)</f>
        <v>0.37343228673851209</v>
      </c>
      <c r="AB20" s="2">
        <f>IF('Modell einstellen'!$B$2="Ja",creep_res0!P20,creep_res0!L20)</f>
        <v>0.41130037097382799</v>
      </c>
      <c r="AC20" s="2">
        <f>IF('Modell einstellen'!$B$2="Ja",creep_res25!P20,creep_res25!L20)</f>
        <v>0.43961044976552138</v>
      </c>
      <c r="AD20" s="2">
        <f>IF('Modell einstellen'!$B$2="Ja",creep_res50!P20,creep_res50!L20)</f>
        <v>0.45886276191674802</v>
      </c>
      <c r="AE20" s="2">
        <f>IF('Modell einstellen'!$B$2="Ja",creep_res80!P20,creep_res80!L20)</f>
        <v>0.47534307577694779</v>
      </c>
      <c r="AF20" s="2">
        <f>IF('Modell einstellen'!$B$2="Ja",creep_res125!P20,creep_res125!L20)</f>
        <v>0.59458284184799615</v>
      </c>
      <c r="AG20" s="2">
        <f>IF('Modell einstellen'!$B$2="Ja",creep_res160!P20,creep_res160!L20)</f>
        <v>0.71455639605442056</v>
      </c>
      <c r="AL20" s="2">
        <f t="shared" si="11"/>
        <v>100</v>
      </c>
      <c r="AM20" s="2">
        <f t="shared" si="12"/>
        <v>6581.4875752007347</v>
      </c>
      <c r="AN20" s="2">
        <f t="shared" si="13"/>
        <v>5602.1564627366897</v>
      </c>
      <c r="AO20" s="2">
        <f t="shared" si="14"/>
        <v>4926.1795387850607</v>
      </c>
      <c r="AP20" s="2">
        <f t="shared" si="15"/>
        <v>4298.6774546472579</v>
      </c>
      <c r="AQ20" s="2">
        <f t="shared" si="16"/>
        <v>3445.6591436468279</v>
      </c>
      <c r="AR20" s="2">
        <f t="shared" si="17"/>
        <v>1269.173844412863</v>
      </c>
      <c r="AS20" s="2">
        <f t="shared" si="18"/>
        <v>332.62382454066642</v>
      </c>
      <c r="AX20" s="2">
        <f t="shared" si="28"/>
        <v>100</v>
      </c>
      <c r="AY20" s="37">
        <f t="shared" si="19"/>
        <v>23806.038411165402</v>
      </c>
      <c r="AZ20" s="37">
        <f t="shared" si="20"/>
        <v>29711.982567521412</v>
      </c>
      <c r="BA20" s="37">
        <f t="shared" si="21"/>
        <v>39144.628576303541</v>
      </c>
      <c r="BB20" s="37">
        <f t="shared" si="22"/>
        <v>50815.115098268368</v>
      </c>
      <c r="BC20" s="37">
        <f t="shared" si="23"/>
        <v>68723.485988223809</v>
      </c>
      <c r="BD20" s="37">
        <f t="shared" si="24"/>
        <v>-7132.3818572909804</v>
      </c>
      <c r="BE20" s="37">
        <f t="shared" si="25"/>
        <v>-886.01771893675016</v>
      </c>
    </row>
    <row r="21" spans="1:57" x14ac:dyDescent="0.25">
      <c r="A21" s="2">
        <f>'creep_res-40'!A21</f>
        <v>1000</v>
      </c>
      <c r="B21" s="3">
        <f>'creep_res-40'!O21</f>
        <v>-5.6241089714285724E-4</v>
      </c>
      <c r="C21" s="2">
        <f>IF('Modell einstellen'!$B$2="Ja",creep_res0!O21,creep_res0!C21)</f>
        <v>-6.5889742857142865E-4</v>
      </c>
      <c r="D21" s="2">
        <f>IF('Modell einstellen'!$B$2="Ja",creep_res25!O21,creep_res25!C21)</f>
        <v>-7.793978857142858E-4</v>
      </c>
      <c r="E21" s="2">
        <f>IF('Modell einstellen'!$B$2="Ja",creep_res50!O21,creep_res50!C21)</f>
        <v>-9.3838194285714291E-4</v>
      </c>
      <c r="F21" s="2">
        <f>IF('Modell einstellen'!$B$2="Ja",creep_res80!O21,creep_res80!C21)</f>
        <v>-1.209907542857143E-3</v>
      </c>
      <c r="G21" s="2">
        <f>IF('Modell einstellen'!$B$2="Ja",creep_res125!O21,creep_res125!C21)</f>
        <v>-3.9668505142857148E-3</v>
      </c>
      <c r="H21" s="2">
        <f>IF('Modell einstellen'!$B$2="Ja",creep_res160!O21,creep_res160!C21)</f>
        <v>-1.1606206285714286E-2</v>
      </c>
      <c r="M21" s="9">
        <f t="shared" si="26"/>
        <v>-10</v>
      </c>
      <c r="N21" s="2">
        <f t="shared" si="4"/>
        <v>1000</v>
      </c>
      <c r="O21" s="2">
        <f t="shared" si="5"/>
        <v>17780.594314231279</v>
      </c>
      <c r="P21" s="2">
        <f t="shared" si="6"/>
        <v>15176.869063947086</v>
      </c>
      <c r="Q21" s="2">
        <f t="shared" si="7"/>
        <v>12830.417150587233</v>
      </c>
      <c r="R21" s="2">
        <f t="shared" si="27"/>
        <v>10656.641547846128</v>
      </c>
      <c r="S21" s="2">
        <f t="shared" si="8"/>
        <v>8265.0943529002579</v>
      </c>
      <c r="T21" s="2">
        <f t="shared" si="9"/>
        <v>2520.8915647280537</v>
      </c>
      <c r="U21" s="2">
        <f t="shared" si="10"/>
        <v>861.60798402391697</v>
      </c>
      <c r="Z21" s="2">
        <v>1000</v>
      </c>
      <c r="AA21" s="3">
        <f>IF('Modell einstellen'!$B$2="Ja",'creep_res-40'!P21,'creep_res-40'!L21)</f>
        <v>0.37847426589692063</v>
      </c>
      <c r="AB21" s="2">
        <f>IF('Modell einstellen'!$B$2="Ja",creep_res0!P21,creep_res0!L21)</f>
        <v>0.41871405087546681</v>
      </c>
      <c r="AC21" s="2">
        <f>IF('Modell einstellen'!$B$2="Ja",creep_res25!P21,creep_res25!L21)</f>
        <v>0.44389699213231482</v>
      </c>
      <c r="AD21" s="2">
        <f>IF('Modell einstellen'!$B$2="Ja",creep_res50!P21,creep_res50!L21)</f>
        <v>0.45038692134131919</v>
      </c>
      <c r="AE21" s="2">
        <f>IF('Modell einstellen'!$B$2="Ja",creep_res80!P21,creep_res80!L21)</f>
        <v>0.45544729226535463</v>
      </c>
      <c r="AF21" s="2">
        <f>IF('Modell einstellen'!$B$2="Ja",creep_res125!P21,creep_res125!L21)</f>
        <v>0.55955612083707895</v>
      </c>
      <c r="AG21" s="2">
        <f>IF('Modell einstellen'!$B$2="Ja",creep_res160!P21,creep_res160!L21)</f>
        <v>0.59490811344728323</v>
      </c>
      <c r="AL21" s="2">
        <f t="shared" si="11"/>
        <v>1000</v>
      </c>
      <c r="AM21" s="2">
        <f t="shared" si="12"/>
        <v>6449.3747740231202</v>
      </c>
      <c r="AN21" s="2">
        <f t="shared" si="13"/>
        <v>5348.811853446321</v>
      </c>
      <c r="AO21" s="2">
        <f t="shared" si="14"/>
        <v>4442.9821588725517</v>
      </c>
      <c r="AP21" s="2">
        <f t="shared" si="15"/>
        <v>3673.7236771243274</v>
      </c>
      <c r="AQ21" s="2">
        <f t="shared" si="16"/>
        <v>2839.3657389117534</v>
      </c>
      <c r="AR21" s="2">
        <f t="shared" si="17"/>
        <v>808.20803145416335</v>
      </c>
      <c r="AS21" s="2">
        <f t="shared" si="18"/>
        <v>270.11210763785351</v>
      </c>
      <c r="AX21" s="2">
        <f t="shared" si="28"/>
        <v>1000</v>
      </c>
      <c r="AY21" s="37">
        <f t="shared" si="19"/>
        <v>24385.225134222183</v>
      </c>
      <c r="AZ21" s="37">
        <f t="shared" si="20"/>
        <v>31118.270802857416</v>
      </c>
      <c r="BA21" s="37">
        <f t="shared" si="21"/>
        <v>38115.654395473255</v>
      </c>
      <c r="BB21" s="37">
        <f t="shared" si="22"/>
        <v>35799.167732765876</v>
      </c>
      <c r="BC21" s="37">
        <f t="shared" si="23"/>
        <v>30918.78800471163</v>
      </c>
      <c r="BD21" s="37">
        <f t="shared" si="24"/>
        <v>-7054.6668959634899</v>
      </c>
      <c r="BE21" s="37">
        <f t="shared" si="25"/>
        <v>-1513.0564232573886</v>
      </c>
    </row>
    <row r="22" spans="1:57" x14ac:dyDescent="0.25">
      <c r="A22" s="2">
        <f>'creep_res-40'!A22</f>
        <v>10000</v>
      </c>
      <c r="B22" s="3">
        <f>'creep_res-40'!O22</f>
        <v>-5.7446554285714283E-4</v>
      </c>
      <c r="C22" s="2">
        <f>IF('Modell einstellen'!$B$2="Ja",creep_res0!O22,creep_res0!C22)</f>
        <v>-7.3297771428571445E-4</v>
      </c>
      <c r="D22" s="2">
        <f>IF('Modell einstellen'!$B$2="Ja",creep_res25!O22,creep_res25!C22)</f>
        <v>-9.2856325714285712E-4</v>
      </c>
      <c r="E22" s="2">
        <f>IF('Modell einstellen'!$B$2="Ja",creep_res50!O22,creep_res50!C22)</f>
        <v>-1.1411583428571428E-3</v>
      </c>
      <c r="F22" s="2">
        <f>IF('Modell einstellen'!$B$2="Ja",creep_res80!O22,creep_res80!C22)</f>
        <v>-1.4887029142857144E-3</v>
      </c>
      <c r="G22" s="2">
        <f>IF('Modell einstellen'!$B$2="Ja",creep_res125!O22,creep_res125!C22)</f>
        <v>-6.4758148571428583E-3</v>
      </c>
      <c r="H22" s="2">
        <f>IF('Modell einstellen'!$B$2="Ja",creep_res160!O22,creep_res160!C22)</f>
        <v>-1.4358287428571431E-2</v>
      </c>
      <c r="M22" s="9">
        <f t="shared" si="26"/>
        <v>-10</v>
      </c>
      <c r="N22" s="2">
        <f t="shared" si="4"/>
        <v>10000</v>
      </c>
      <c r="O22" s="2">
        <f t="shared" si="5"/>
        <v>17407.484442433797</v>
      </c>
      <c r="P22" s="2">
        <f t="shared" si="6"/>
        <v>13642.979595559715</v>
      </c>
      <c r="Q22" s="2">
        <f t="shared" si="7"/>
        <v>10769.325539295516</v>
      </c>
      <c r="R22" s="2">
        <f t="shared" si="27"/>
        <v>8763.0257996999644</v>
      </c>
      <c r="S22" s="2">
        <f t="shared" si="8"/>
        <v>6717.2569516988151</v>
      </c>
      <c r="T22" s="2">
        <f t="shared" si="9"/>
        <v>1544.2072110770657</v>
      </c>
      <c r="U22" s="2">
        <f t="shared" si="10"/>
        <v>696.46189002325491</v>
      </c>
      <c r="Z22" s="2">
        <v>10000</v>
      </c>
      <c r="AA22" s="3">
        <f>IF('Modell einstellen'!$B$2="Ja",'creep_res-40'!P22,'creep_res-40'!L22)</f>
        <v>0.38388349439235298</v>
      </c>
      <c r="AB22" s="2">
        <f>IF('Modell einstellen'!$B$2="Ja",creep_res0!P22,creep_res0!L22)</f>
        <v>0.42311682834247144</v>
      </c>
      <c r="AC22" s="2">
        <f>IF('Modell einstellen'!$B$2="Ja",creep_res25!P22,creep_res25!L22)</f>
        <v>0.43484850974380884</v>
      </c>
      <c r="AD22" s="2">
        <f>IF('Modell einstellen'!$B$2="Ja",creep_res50!P22,creep_res50!L22)</f>
        <v>0.43376077870951285</v>
      </c>
      <c r="AE22" s="2">
        <f>IF('Modell einstellen'!$B$2="Ja",creep_res80!P22,creep_res80!L22)</f>
        <v>0.43618769029269239</v>
      </c>
      <c r="AF22" s="2">
        <f>IF('Modell einstellen'!$B$2="Ja",creep_res125!P22,creep_res125!L22)</f>
        <v>0.51681712245192568</v>
      </c>
      <c r="AG22" s="2">
        <f>IF('Modell einstellen'!$B$2="Ja",creep_res160!P22,creep_res160!L22)</f>
        <v>0.51250242617474107</v>
      </c>
      <c r="AL22" s="2">
        <f t="shared" si="11"/>
        <v>10000</v>
      </c>
      <c r="AM22" s="2">
        <f t="shared" si="12"/>
        <v>6289.3605252793404</v>
      </c>
      <c r="AN22" s="2">
        <f t="shared" si="13"/>
        <v>4793.3449045957559</v>
      </c>
      <c r="AO22" s="2">
        <f t="shared" si="14"/>
        <v>3752.7744100380223</v>
      </c>
      <c r="AP22" s="2">
        <f t="shared" si="15"/>
        <v>3055.9581241953465</v>
      </c>
      <c r="AQ22" s="2">
        <f t="shared" si="16"/>
        <v>2338.5721090290958</v>
      </c>
      <c r="AR22" s="2">
        <f t="shared" si="17"/>
        <v>509.02880387480866</v>
      </c>
      <c r="AS22" s="2">
        <f t="shared" si="18"/>
        <v>230.23496622900356</v>
      </c>
      <c r="AX22" s="2">
        <f t="shared" si="28"/>
        <v>10000</v>
      </c>
      <c r="AY22" s="37">
        <f t="shared" si="19"/>
        <v>24985.658945641175</v>
      </c>
      <c r="AZ22" s="37">
        <f t="shared" si="20"/>
        <v>29575.131769042044</v>
      </c>
      <c r="BA22" s="37">
        <f t="shared" si="21"/>
        <v>27549.447953142146</v>
      </c>
      <c r="BB22" s="37">
        <f t="shared" si="22"/>
        <v>22048.935230459032</v>
      </c>
      <c r="BC22" s="37">
        <f t="shared" si="23"/>
        <v>17544.308150233417</v>
      </c>
      <c r="BD22" s="37">
        <f t="shared" si="24"/>
        <v>-15303.918327797739</v>
      </c>
      <c r="BE22" s="37">
        <f t="shared" si="25"/>
        <v>-9284.3564959459982</v>
      </c>
    </row>
    <row r="23" spans="1:57" x14ac:dyDescent="0.25">
      <c r="A23" s="2">
        <f>'creep_res-40'!A23</f>
        <v>100000</v>
      </c>
      <c r="B23" s="3">
        <f>'creep_res-40'!O23</f>
        <v>-5.9813674285714286E-4</v>
      </c>
      <c r="C23" s="2">
        <f>IF('Modell einstellen'!$B$2="Ja",creep_res0!O23,creep_res0!C23)</f>
        <v>-8.7946508571428578E-4</v>
      </c>
      <c r="D23" s="2">
        <f>IF('Modell einstellen'!$B$2="Ja",creep_res25!O23,creep_res25!C23)</f>
        <v>-1.1236970857142858E-3</v>
      </c>
      <c r="E23" s="2">
        <f>IF('Modell einstellen'!$B$2="Ja",creep_res50!O23,creep_res50!C23)</f>
        <v>-1.363100342857143E-3</v>
      </c>
      <c r="F23" s="2">
        <f>IF('Modell einstellen'!$B$2="Ja",creep_res80!O23,creep_res80!C23)</f>
        <v>-1.7958230857142859E-3</v>
      </c>
      <c r="G23" s="2">
        <f>IF('Modell einstellen'!$B$2="Ja",creep_res125!O23,creep_res125!C23)</f>
        <v>-9.8433360000000011E-3</v>
      </c>
      <c r="H23" s="2">
        <f>IF('Modell einstellen'!$B$2="Ja",creep_res160!O23,creep_res160!C23)</f>
        <v>-1.7147691428571431E-2</v>
      </c>
      <c r="M23" s="9">
        <f t="shared" si="26"/>
        <v>-10</v>
      </c>
      <c r="N23" s="2">
        <f t="shared" si="4"/>
        <v>100000</v>
      </c>
      <c r="O23" s="2">
        <f t="shared" si="5"/>
        <v>16718.585038318521</v>
      </c>
      <c r="P23" s="2">
        <f t="shared" si="6"/>
        <v>11370.548032476103</v>
      </c>
      <c r="Q23" s="2">
        <f t="shared" si="7"/>
        <v>8899.1954567929042</v>
      </c>
      <c r="R23" s="2">
        <f t="shared" si="27"/>
        <v>7336.2170675119769</v>
      </c>
      <c r="S23" s="2">
        <f t="shared" si="8"/>
        <v>5568.477251211255</v>
      </c>
      <c r="T23" s="2">
        <f t="shared" si="9"/>
        <v>1015.9157423865241</v>
      </c>
      <c r="U23" s="2">
        <f t="shared" si="10"/>
        <v>583.16887970925518</v>
      </c>
      <c r="Z23" s="2">
        <v>100000</v>
      </c>
      <c r="AA23" s="3">
        <f>IF('Modell einstellen'!$B$2="Ja",'creep_res-40'!P23,'creep_res-40'!L23)</f>
        <v>0.38955598590785695</v>
      </c>
      <c r="AB23" s="2">
        <f>IF('Modell einstellen'!$B$2="Ja",creep_res0!P23,creep_res0!L23)</f>
        <v>0.41923118981609542</v>
      </c>
      <c r="AC23" s="2">
        <f>IF('Modell einstellen'!$B$2="Ja",creep_res25!P23,creep_res25!L23)</f>
        <v>0.42130709958998103</v>
      </c>
      <c r="AD23" s="2">
        <f>IF('Modell einstellen'!$B$2="Ja",creep_res50!P23,creep_res50!L23)</f>
        <v>0.41822897347961724</v>
      </c>
      <c r="AE23" s="2">
        <f>IF('Modell einstellen'!$B$2="Ja",creep_res80!P23,creep_res80!L23)</f>
        <v>0.42029278480629212</v>
      </c>
      <c r="AF23" s="2">
        <f>IF('Modell einstellen'!$B$2="Ja",creep_res125!P23,creep_res125!L23)</f>
        <v>0.47639048968183723</v>
      </c>
      <c r="AG23" s="2">
        <f>IF('Modell einstellen'!$B$2="Ja",creep_res160!P23,creep_res160!L23)</f>
        <v>0.46541421985666703</v>
      </c>
      <c r="AL23" s="2">
        <f t="shared" si="11"/>
        <v>100000</v>
      </c>
      <c r="AM23" s="2">
        <f t="shared" si="12"/>
        <v>6015.8011652173718</v>
      </c>
      <c r="AN23" s="2">
        <f t="shared" si="13"/>
        <v>4005.8829435497059</v>
      </c>
      <c r="AO23" s="2">
        <f t="shared" si="14"/>
        <v>3130.6377978974938</v>
      </c>
      <c r="AP23" s="2">
        <f t="shared" si="15"/>
        <v>2586.4007874245467</v>
      </c>
      <c r="AQ23" s="2">
        <f t="shared" si="16"/>
        <v>1960.3272335044344</v>
      </c>
      <c r="AR23" s="2">
        <f t="shared" si="17"/>
        <v>344.05387649356049</v>
      </c>
      <c r="AS23" s="2">
        <f t="shared" si="18"/>
        <v>198.97748766430533</v>
      </c>
      <c r="AX23" s="2">
        <f t="shared" si="28"/>
        <v>100000</v>
      </c>
      <c r="AY23" s="37">
        <f t="shared" si="19"/>
        <v>25229.351383362831</v>
      </c>
      <c r="AZ23" s="37">
        <f t="shared" si="20"/>
        <v>23463.157801025358</v>
      </c>
      <c r="BA23" s="37">
        <f t="shared" si="21"/>
        <v>18847.942254902329</v>
      </c>
      <c r="BB23" s="37">
        <f t="shared" si="22"/>
        <v>14952.76379195938</v>
      </c>
      <c r="BC23" s="37">
        <f t="shared" si="23"/>
        <v>11643.607666044836</v>
      </c>
      <c r="BD23" s="37">
        <f t="shared" si="24"/>
        <v>7171.6561722797296</v>
      </c>
      <c r="BE23" s="37">
        <f t="shared" si="25"/>
        <v>2810.2536037086306</v>
      </c>
    </row>
    <row r="24" spans="1:57" x14ac:dyDescent="0.25">
      <c r="A24" s="2">
        <f>'creep_res-40'!A24</f>
        <v>1000000</v>
      </c>
      <c r="B24" s="3">
        <f>'creep_res-40'!O24</f>
        <v>-6.6538377142857149E-4</v>
      </c>
      <c r="C24" s="2">
        <f>IF('Modell einstellen'!$B$2="Ja",creep_res0!O24,creep_res0!C24)</f>
        <v>-1.0596601142857144E-3</v>
      </c>
      <c r="D24" s="2">
        <f>IF('Modell einstellen'!$B$2="Ja",creep_res25!O24,creep_res25!C24)</f>
        <v>-1.3216305714285716E-3</v>
      </c>
      <c r="E24" s="2">
        <f>IF('Modell einstellen'!$B$2="Ja",creep_res50!O24,creep_res50!C24)</f>
        <v>-1.5828392571428573E-3</v>
      </c>
      <c r="F24" s="2">
        <f>IF('Modell einstellen'!$B$2="Ja",creep_res80!O24,creep_res80!C24)</f>
        <v>-2.1445940000000001E-3</v>
      </c>
      <c r="G24" s="2">
        <f>IF('Modell einstellen'!$B$2="Ja",creep_res125!O24,creep_res125!C24)</f>
        <v>-1.3177162285714288E-2</v>
      </c>
      <c r="H24" s="2">
        <f>IF('Modell einstellen'!$B$2="Ja",creep_res160!O24,creep_res160!C24)</f>
        <v>-1.9091066285714286E-2</v>
      </c>
      <c r="M24" s="9">
        <f t="shared" si="26"/>
        <v>-10</v>
      </c>
      <c r="N24" s="2">
        <f t="shared" si="4"/>
        <v>1000000</v>
      </c>
      <c r="O24" s="2">
        <f t="shared" si="5"/>
        <v>15028.920796385088</v>
      </c>
      <c r="P24" s="2">
        <f t="shared" si="6"/>
        <v>9436.9882051668101</v>
      </c>
      <c r="Q24" s="2">
        <f t="shared" si="7"/>
        <v>7566.4109291833647</v>
      </c>
      <c r="R24" s="2">
        <f t="shared" si="27"/>
        <v>6317.7609191035253</v>
      </c>
      <c r="S24" s="2">
        <f t="shared" si="8"/>
        <v>4662.8872411281573</v>
      </c>
      <c r="T24" s="2">
        <f t="shared" si="9"/>
        <v>758.88873364193637</v>
      </c>
      <c r="U24" s="2">
        <f t="shared" si="10"/>
        <v>523.80521079029154</v>
      </c>
      <c r="Z24" s="2">
        <v>1000000</v>
      </c>
      <c r="AA24" s="3">
        <f>IF('Modell einstellen'!$B$2="Ja",'creep_res-40'!P24,'creep_res-40'!L24)</f>
        <v>0.3932572703907245</v>
      </c>
      <c r="AB24" s="2">
        <f>IF('Modell einstellen'!$B$2="Ja",creep_res0!P24,creep_res0!L24)</f>
        <v>0.40998822695277171</v>
      </c>
      <c r="AC24" s="2">
        <f>IF('Modell einstellen'!$B$2="Ja",creep_res25!P24,creep_res25!L24)</f>
        <v>0.40859653237872606</v>
      </c>
      <c r="AD24" s="2">
        <f>IF('Modell einstellen'!$B$2="Ja",creep_res50!P24,creep_res50!L24)</f>
        <v>0.40561216449846527</v>
      </c>
      <c r="AE24" s="2">
        <f>IF('Modell einstellen'!$B$2="Ja",creep_res80!P24,creep_res80!L24)</f>
        <v>0.4076057819268889</v>
      </c>
      <c r="AF24" s="2">
        <f>IF('Modell einstellen'!$B$2="Ja",creep_res125!P24,creep_res125!L24)</f>
        <v>0.44422358614041935</v>
      </c>
      <c r="AG24" s="2">
        <f>IF('Modell einstellen'!$B$2="Ja",creep_res160!P24,creep_res160!L24)</f>
        <v>0.4336795855389774</v>
      </c>
      <c r="AL24" s="2">
        <f t="shared" si="11"/>
        <v>1000000</v>
      </c>
      <c r="AM24" s="2">
        <f t="shared" si="12"/>
        <v>5393.4478275395559</v>
      </c>
      <c r="AN24" s="2">
        <f t="shared" si="13"/>
        <v>3346.4776601581179</v>
      </c>
      <c r="AO24" s="2">
        <f t="shared" si="14"/>
        <v>2685.7977977575347</v>
      </c>
      <c r="AP24" s="2">
        <f t="shared" si="15"/>
        <v>2247.3343211844494</v>
      </c>
      <c r="AQ24" s="2">
        <f t="shared" si="16"/>
        <v>1656.3185875611684</v>
      </c>
      <c r="AR24" s="2">
        <f t="shared" si="17"/>
        <v>262.73242624087396</v>
      </c>
      <c r="AS24" s="2">
        <f t="shared" si="18"/>
        <v>182.67861803771595</v>
      </c>
      <c r="AX24" s="2">
        <f t="shared" si="28"/>
        <v>1000000</v>
      </c>
      <c r="AY24" s="37">
        <f t="shared" si="19"/>
        <v>23465.955404171989</v>
      </c>
      <c r="AZ24" s="37">
        <f t="shared" si="20"/>
        <v>17473.618331043792</v>
      </c>
      <c r="BA24" s="37">
        <f t="shared" si="21"/>
        <v>13796.724796288985</v>
      </c>
      <c r="BB24" s="37">
        <f t="shared" si="22"/>
        <v>11155.676444840181</v>
      </c>
      <c r="BC24" s="37">
        <f t="shared" si="23"/>
        <v>8411.2176035345219</v>
      </c>
      <c r="BD24" s="37">
        <f t="shared" si="24"/>
        <v>2267.6512678891745</v>
      </c>
      <c r="BE24" s="37">
        <f t="shared" si="25"/>
        <v>1316.3498626257301</v>
      </c>
    </row>
    <row r="25" spans="1:57" x14ac:dyDescent="0.25">
      <c r="A25" s="2">
        <f>'creep_res-40'!A25</f>
        <v>10000000</v>
      </c>
      <c r="B25" s="3">
        <f>'creep_res-40'!O25</f>
        <v>-7.8451982857142871E-4</v>
      </c>
      <c r="C25" s="2">
        <f>IF('Modell einstellen'!$B$2="Ja",creep_res0!O25,creep_res0!C25)</f>
        <v>-1.2344853714285715E-3</v>
      </c>
      <c r="D25" s="2">
        <f>IF('Modell einstellen'!$B$2="Ja",creep_res25!O25,creep_res25!C25)</f>
        <v>-1.5099526857142859E-3</v>
      </c>
      <c r="E25" s="2">
        <f>IF('Modell einstellen'!$B$2="Ja",creep_res50!O25,creep_res50!C25)</f>
        <v>-1.8098891428571431E-3</v>
      </c>
      <c r="F25" s="2">
        <f>IF('Modell einstellen'!$B$2="Ja",creep_res80!O25,creep_res80!C25)</f>
        <v>-2.5784199428571428E-3</v>
      </c>
      <c r="G25" s="2">
        <f>IF('Modell einstellen'!$B$2="Ja",creep_res125!O25,creep_res125!C25)</f>
        <v>-1.5779164571428573E-2</v>
      </c>
      <c r="H25" s="2">
        <f>IF('Modell einstellen'!$B$2="Ja",creep_res160!O25,creep_res160!C25)</f>
        <v>-2.0249506285714286E-2</v>
      </c>
      <c r="M25" s="9">
        <f t="shared" si="26"/>
        <v>-10</v>
      </c>
      <c r="N25" s="2">
        <f t="shared" si="4"/>
        <v>10000000</v>
      </c>
      <c r="O25" s="2">
        <f t="shared" si="5"/>
        <v>12746.65041699392</v>
      </c>
      <c r="P25" s="2">
        <f t="shared" si="6"/>
        <v>8100.5415142569063</v>
      </c>
      <c r="Q25" s="2">
        <f t="shared" si="7"/>
        <v>6622.7240724893854</v>
      </c>
      <c r="R25" s="2">
        <f t="shared" si="27"/>
        <v>5525.2002806170285</v>
      </c>
      <c r="S25" s="2">
        <f t="shared" si="8"/>
        <v>3878.344188153857</v>
      </c>
      <c r="T25" s="2">
        <f t="shared" si="9"/>
        <v>633.74711346296874</v>
      </c>
      <c r="U25" s="2">
        <f t="shared" si="10"/>
        <v>493.83920076386482</v>
      </c>
      <c r="Z25" s="2">
        <v>10000000</v>
      </c>
      <c r="AA25" s="3">
        <f>IF('Modell einstellen'!$B$2="Ja",'creep_res-40'!P25,'creep_res-40'!L25)</f>
        <v>0.39233854200316304</v>
      </c>
      <c r="AB25" s="2">
        <f>IF('Modell einstellen'!$B$2="Ja",creep_res0!P25,creep_res0!L25)</f>
        <v>0.40041657150459081</v>
      </c>
      <c r="AC25" s="2">
        <f>IF('Modell einstellen'!$B$2="Ja",creep_res25!P25,creep_res25!L25)</f>
        <v>0.39817455774962407</v>
      </c>
      <c r="AD25" s="2">
        <f>IF('Modell einstellen'!$B$2="Ja",creep_res50!P25,creep_res50!L25)</f>
        <v>0.3957409861882622</v>
      </c>
      <c r="AE25" s="2">
        <f>IF('Modell einstellen'!$B$2="Ja",creep_res80!P25,creep_res80!L25)</f>
        <v>0.397892826900479</v>
      </c>
      <c r="AF25" s="2">
        <f>IF('Modell einstellen'!$B$2="Ja",creep_res125!P25,creep_res125!L25)</f>
        <v>0.42134079305592781</v>
      </c>
      <c r="AG25" s="2">
        <f>IF('Modell einstellen'!$B$2="Ja",creep_res160!P25,creep_res160!L25)</f>
        <v>0.41397916551672681</v>
      </c>
      <c r="AL25" s="2">
        <f t="shared" si="11"/>
        <v>10000000</v>
      </c>
      <c r="AM25" s="2">
        <f t="shared" si="12"/>
        <v>4577.424969740212</v>
      </c>
      <c r="AN25" s="2">
        <f t="shared" si="13"/>
        <v>2892.1899665732253</v>
      </c>
      <c r="AO25" s="2">
        <f t="shared" si="14"/>
        <v>2368.346654493816</v>
      </c>
      <c r="AP25" s="2">
        <f t="shared" si="15"/>
        <v>1979.307169199863</v>
      </c>
      <c r="AQ25" s="2">
        <f t="shared" si="16"/>
        <v>1387.2108481854204</v>
      </c>
      <c r="AR25" s="2">
        <f t="shared" si="17"/>
        <v>222.939887660718</v>
      </c>
      <c r="AS25" s="2">
        <f t="shared" si="18"/>
        <v>174.62746722417066</v>
      </c>
      <c r="AX25" s="2">
        <f t="shared" si="28"/>
        <v>10000000</v>
      </c>
      <c r="AY25" s="37">
        <f t="shared" si="19"/>
        <v>19732.611611372275</v>
      </c>
      <c r="AZ25" s="37">
        <f t="shared" si="20"/>
        <v>13557.378700195992</v>
      </c>
      <c r="BA25" s="37">
        <f t="shared" si="21"/>
        <v>10839.995594625787</v>
      </c>
      <c r="BB25" s="37">
        <f t="shared" si="22"/>
        <v>8832.4901585871066</v>
      </c>
      <c r="BC25" s="37">
        <f t="shared" si="23"/>
        <v>6330.5121315583183</v>
      </c>
      <c r="BD25" s="37">
        <f t="shared" si="24"/>
        <v>1342.8118972213299</v>
      </c>
      <c r="BE25" s="37">
        <f t="shared" si="25"/>
        <v>956.82091385254694</v>
      </c>
    </row>
    <row r="26" spans="1:57" x14ac:dyDescent="0.25">
      <c r="A26" s="2">
        <f>'creep_res-40'!A26</f>
        <v>100000000</v>
      </c>
      <c r="B26" s="3">
        <f>'creep_res-40'!O26</f>
        <v>-9.1970068571428578E-4</v>
      </c>
      <c r="C26" s="2">
        <f>IF('Modell einstellen'!$B$2="Ja",creep_res0!O26,creep_res0!C26)</f>
        <v>-1.3975460000000002E-3</v>
      </c>
      <c r="D26" s="2">
        <f>IF('Modell einstellen'!$B$2="Ja",creep_res25!O26,creep_res25!C26)</f>
        <v>-1.6873612000000001E-3</v>
      </c>
      <c r="E26" s="2">
        <f>IF('Modell einstellen'!$B$2="Ja",creep_res50!O26,creep_res50!C26)</f>
        <v>-2.0538577714285717E-3</v>
      </c>
      <c r="F26" s="2">
        <f>IF('Modell einstellen'!$B$2="Ja",creep_res80!O26,creep_res80!C26)</f>
        <v>-3.2087566285714285E-3</v>
      </c>
      <c r="G26" s="2">
        <f>IF('Modell einstellen'!$B$2="Ja",creep_res125!O26,creep_res125!C26)</f>
        <v>-1.7653537714285714E-2</v>
      </c>
      <c r="H26" s="2">
        <f>IF('Modell einstellen'!$B$2="Ja",creep_res160!O26,creep_res160!C26)</f>
        <v>-2.0991990857142859E-2</v>
      </c>
      <c r="M26" s="9">
        <f t="shared" si="26"/>
        <v>-10</v>
      </c>
      <c r="N26" s="2">
        <f t="shared" si="4"/>
        <v>100000000</v>
      </c>
      <c r="O26" s="2">
        <f t="shared" si="5"/>
        <v>10873.102690179574</v>
      </c>
      <c r="P26" s="2">
        <f t="shared" si="6"/>
        <v>7155.399536043893</v>
      </c>
      <c r="Q26" s="2">
        <f t="shared" si="7"/>
        <v>5926.4133844016324</v>
      </c>
      <c r="R26" s="2">
        <f t="shared" si="27"/>
        <v>4868.8863168185435</v>
      </c>
      <c r="S26" s="2">
        <f t="shared" si="8"/>
        <v>3116.4719414859778</v>
      </c>
      <c r="T26" s="2">
        <f t="shared" si="9"/>
        <v>566.45869863850191</v>
      </c>
      <c r="U26" s="2">
        <f t="shared" si="10"/>
        <v>476.37215869867538</v>
      </c>
      <c r="Z26" s="2">
        <v>100000000</v>
      </c>
      <c r="AA26" s="3">
        <f>IF('Modell einstellen'!$B$2="Ja",'creep_res-40'!P26,'creep_res-40'!L26)</f>
        <v>0.38878007018680982</v>
      </c>
      <c r="AB26" s="2">
        <f>IF('Modell einstellen'!$B$2="Ja",creep_res0!P26,creep_res0!L26)</f>
        <v>0.3923056353269026</v>
      </c>
      <c r="AC26" s="2">
        <f>IF('Modell einstellen'!$B$2="Ja",creep_res25!P26,creep_res25!L26)</f>
        <v>0.38959513486840536</v>
      </c>
      <c r="AD26" s="2">
        <f>IF('Modell einstellen'!$B$2="Ja",creep_res50!P26,creep_res50!L26)</f>
        <v>0.38798098997590896</v>
      </c>
      <c r="AE26" s="2">
        <f>IF('Modell einstellen'!$B$2="Ja",creep_res80!P26,creep_res80!L26)</f>
        <v>0.39115179478242412</v>
      </c>
      <c r="AF26" s="2">
        <f>IF('Modell einstellen'!$B$2="Ja",creep_res125!P26,creep_res125!L26)</f>
        <v>0.40684649820573399</v>
      </c>
      <c r="AG26" s="2">
        <f>IF('Modell einstellen'!$B$2="Ja",creep_res160!P26,creep_res160!L26)</f>
        <v>0.40217553448411786</v>
      </c>
      <c r="AL26" s="2">
        <f t="shared" si="11"/>
        <v>100000000</v>
      </c>
      <c r="AM26" s="2">
        <f t="shared" si="12"/>
        <v>3914.6236771373719</v>
      </c>
      <c r="AN26" s="2">
        <f t="shared" si="13"/>
        <v>2569.6224142495339</v>
      </c>
      <c r="AO26" s="2">
        <f t="shared" si="14"/>
        <v>2132.4244867059297</v>
      </c>
      <c r="AP26" s="2">
        <f t="shared" si="15"/>
        <v>1753.9456058771568</v>
      </c>
      <c r="AQ26" s="2">
        <f t="shared" si="16"/>
        <v>1120.1049206759617</v>
      </c>
      <c r="AR26" s="2">
        <f t="shared" si="17"/>
        <v>201.32214117210117</v>
      </c>
      <c r="AS26" s="2">
        <f t="shared" si="18"/>
        <v>169.86894542912563</v>
      </c>
      <c r="AX26" s="2">
        <f t="shared" si="28"/>
        <v>100000000</v>
      </c>
      <c r="AY26" s="37">
        <f t="shared" si="19"/>
        <v>16293.696505117547</v>
      </c>
      <c r="AZ26" s="37">
        <f t="shared" si="20"/>
        <v>11073.621103208552</v>
      </c>
      <c r="BA26" s="37">
        <f t="shared" si="21"/>
        <v>8946.4858535865169</v>
      </c>
      <c r="BB26" s="37">
        <f t="shared" si="22"/>
        <v>7244.1369784340341</v>
      </c>
      <c r="BC26" s="37">
        <f t="shared" si="23"/>
        <v>4771.8930156855977</v>
      </c>
      <c r="BD26" s="37">
        <f t="shared" si="24"/>
        <v>1013.4861415615435</v>
      </c>
      <c r="BE26" s="37">
        <f t="shared" si="25"/>
        <v>811.61046333774709</v>
      </c>
    </row>
    <row r="27" spans="1:57" x14ac:dyDescent="0.25">
      <c r="A27" s="2">
        <f>'creep_res-40'!A27</f>
        <v>1000000000</v>
      </c>
      <c r="B27" s="3">
        <f>'creep_res-40'!O27</f>
        <v>-1.0495565142857144E-3</v>
      </c>
      <c r="C27" s="2">
        <f>IF('Modell einstellen'!$B$2="Ja",creep_res0!O27,creep_res0!C27)</f>
        <v>-1.5444489142857143E-3</v>
      </c>
      <c r="D27" s="2">
        <f>IF('Modell einstellen'!$B$2="Ja",creep_res25!O27,creep_res25!C27)</f>
        <v>-1.8756650285714287E-3</v>
      </c>
      <c r="E27" s="2">
        <f>IF('Modell einstellen'!$B$2="Ja",creep_res50!O27,creep_res50!C27)</f>
        <v>-2.3467463428571431E-3</v>
      </c>
      <c r="F27" s="2">
        <f>IF('Modell einstellen'!$B$2="Ja",creep_res80!O27,creep_res80!C27)</f>
        <v>-4.2453798857142863E-3</v>
      </c>
      <c r="G27" s="2">
        <f>IF('Modell einstellen'!$B$2="Ja",creep_res125!O27,creep_res125!C27)</f>
        <v>-1.9022550285714285E-2</v>
      </c>
      <c r="H27" s="2">
        <f>IF('Modell einstellen'!$B$2="Ja",creep_res160!O27,creep_res160!C27)</f>
        <v>-2.1482561714285715E-2</v>
      </c>
      <c r="M27" s="9">
        <f t="shared" si="26"/>
        <v>-10</v>
      </c>
      <c r="N27" s="2">
        <f t="shared" si="4"/>
        <v>1000000000</v>
      </c>
      <c r="O27" s="2">
        <f t="shared" si="5"/>
        <v>9527.8337696808976</v>
      </c>
      <c r="P27" s="2">
        <f t="shared" si="6"/>
        <v>6474.8014048913092</v>
      </c>
      <c r="Q27" s="2">
        <f t="shared" si="7"/>
        <v>5331.4423671994064</v>
      </c>
      <c r="R27" s="2">
        <f t="shared" si="27"/>
        <v>4261.2189555284822</v>
      </c>
      <c r="S27" s="2">
        <f t="shared" si="8"/>
        <v>2355.5018088369488</v>
      </c>
      <c r="T27" s="2">
        <f t="shared" si="9"/>
        <v>525.69186832482103</v>
      </c>
      <c r="U27" s="2">
        <f t="shared" si="10"/>
        <v>465.4938332307961</v>
      </c>
      <c r="Z27" s="2">
        <v>1000000000</v>
      </c>
      <c r="AA27" s="3">
        <f>IF('Modell einstellen'!$B$2="Ja",'creep_res-40'!P27,'creep_res-40'!L27)</f>
        <v>0.38517528954678487</v>
      </c>
      <c r="AB27" s="2">
        <f>IF('Modell einstellen'!$B$2="Ja",creep_res0!P27,creep_res0!L27)</f>
        <v>0.38525072058989801</v>
      </c>
      <c r="AC27" s="2">
        <f>IF('Modell einstellen'!$B$2="Ja",creep_res25!P27,creep_res25!L27)</f>
        <v>0.38323169370053223</v>
      </c>
      <c r="AD27" s="2">
        <f>IF('Modell einstellen'!$B$2="Ja",creep_res50!P27,creep_res50!L27)</f>
        <v>0.38236073526821734</v>
      </c>
      <c r="AE27" s="2">
        <f>IF('Modell einstellen'!$B$2="Ja",creep_res80!P27,creep_res80!L27)</f>
        <v>0.38673491484147576</v>
      </c>
      <c r="AF27" s="2">
        <f>IF('Modell einstellen'!$B$2="Ja",creep_res125!P27,creep_res125!L27)</f>
        <v>0.39792561387968323</v>
      </c>
      <c r="AG27" s="2">
        <f>IF('Modell einstellen'!$B$2="Ja",creep_res160!P27,creep_res160!L27)</f>
        <v>0.39501639110185399</v>
      </c>
      <c r="AL27" s="2">
        <f t="shared" si="11"/>
        <v>1000000000</v>
      </c>
      <c r="AM27" s="2">
        <f t="shared" si="12"/>
        <v>3439.215903424868</v>
      </c>
      <c r="AN27" s="2">
        <f t="shared" si="13"/>
        <v>2337.0503651981739</v>
      </c>
      <c r="AO27" s="2">
        <f t="shared" si="14"/>
        <v>1927.1689592855932</v>
      </c>
      <c r="AP27" s="2">
        <f t="shared" si="15"/>
        <v>1541.283272452644</v>
      </c>
      <c r="AQ27" s="2">
        <f t="shared" si="16"/>
        <v>849.29779427462438</v>
      </c>
      <c r="AR27" s="2">
        <f t="shared" si="17"/>
        <v>188.02569432355588</v>
      </c>
      <c r="AS27" s="2">
        <f t="shared" si="18"/>
        <v>166.84170745231376</v>
      </c>
      <c r="AX27" s="2">
        <f t="shared" si="28"/>
        <v>1000000000</v>
      </c>
      <c r="AY27" s="37">
        <f t="shared" si="19"/>
        <v>13829.534502452147</v>
      </c>
      <c r="AZ27" s="37">
        <f t="shared" si="20"/>
        <v>9404.2731512515529</v>
      </c>
      <c r="BA27" s="37">
        <f t="shared" si="21"/>
        <v>7609.7166776377044</v>
      </c>
      <c r="BB27" s="37">
        <f t="shared" si="22"/>
        <v>6037.1268119875549</v>
      </c>
      <c r="BC27" s="37">
        <f t="shared" si="23"/>
        <v>3466.060474476345</v>
      </c>
      <c r="BD27" s="37">
        <f t="shared" si="24"/>
        <v>858.34766896561644</v>
      </c>
      <c r="BE27" s="37">
        <f t="shared" si="25"/>
        <v>738.99446163767857</v>
      </c>
    </row>
    <row r="28" spans="1:57" x14ac:dyDescent="0.25">
      <c r="A28" s="2">
        <f>'creep_res-40'!A28</f>
        <v>10000000000</v>
      </c>
      <c r="B28" s="3">
        <f>'creep_res-40'!O28</f>
        <v>-1.1750555999999999E-3</v>
      </c>
      <c r="C28" s="2">
        <f>IF('Modell einstellen'!$B$2="Ja",creep_res0!O28,creep_res0!C28)</f>
        <v>-1.6846166285714287E-3</v>
      </c>
      <c r="D28" s="2">
        <f>IF('Modell einstellen'!$B$2="Ja",creep_res25!O28,creep_res25!C28)</f>
        <v>-2.0839046857142858E-3</v>
      </c>
      <c r="E28" s="2">
        <f>IF('Modell einstellen'!$B$2="Ja",creep_res50!O28,creep_res50!C28)</f>
        <v>-2.7357348571428572E-3</v>
      </c>
      <c r="F28" s="2">
        <f>IF('Modell einstellen'!$B$2="Ja",creep_res80!O28,creep_res80!C28)</f>
        <v>-5.9978668571428568E-3</v>
      </c>
      <c r="G28" s="2">
        <f>IF('Modell einstellen'!$B$2="Ja",creep_res125!O28,creep_res125!C28)</f>
        <v>-1.9828010857142857E-2</v>
      </c>
      <c r="H28" s="2">
        <f>IF('Modell einstellen'!$B$2="Ja",creep_res160!O28,creep_res160!C28)</f>
        <v>-2.1599005142857144E-2</v>
      </c>
      <c r="M28" s="9">
        <f t="shared" si="26"/>
        <v>-10</v>
      </c>
      <c r="N28" s="2">
        <f t="shared" si="4"/>
        <v>10000000000</v>
      </c>
      <c r="O28" s="2">
        <f t="shared" si="5"/>
        <v>8510.2356007664657</v>
      </c>
      <c r="P28" s="2">
        <f t="shared" si="6"/>
        <v>5936.0686760406115</v>
      </c>
      <c r="Q28" s="2">
        <f t="shared" si="7"/>
        <v>4798.683965035746</v>
      </c>
      <c r="R28" s="2">
        <f t="shared" si="27"/>
        <v>3655.3249939008292</v>
      </c>
      <c r="S28" s="2">
        <f t="shared" si="8"/>
        <v>1667.2594170860937</v>
      </c>
      <c r="T28" s="2">
        <f t="shared" si="9"/>
        <v>504.33702462885191</v>
      </c>
      <c r="U28" s="2">
        <f t="shared" si="10"/>
        <v>462.98428718634898</v>
      </c>
      <c r="Z28" s="2">
        <v>10000000000</v>
      </c>
      <c r="AA28" s="3">
        <f>IF('Modell einstellen'!$B$2="Ja",'creep_res-40'!P28,'creep_res-40'!L28)</f>
        <v>0.38199118893972828</v>
      </c>
      <c r="AB28" s="2">
        <f>IF('Modell einstellen'!$B$2="Ja",creep_res0!P28,creep_res0!L28)</f>
        <v>0.37967855068746292</v>
      </c>
      <c r="AC28" s="2">
        <f>IF('Modell einstellen'!$B$2="Ja",creep_res25!P28,creep_res25!L28)</f>
        <v>0.37847278016444513</v>
      </c>
      <c r="AD28" s="2">
        <f>IF('Modell einstellen'!$B$2="Ja",creep_res50!P28,creep_res50!L28)</f>
        <v>0.37860628097626842</v>
      </c>
      <c r="AE28" s="2">
        <f>IF('Modell einstellen'!$B$2="Ja",creep_res80!P28,creep_res80!L28)</f>
        <v>0.38471964365997935</v>
      </c>
      <c r="AF28" s="2">
        <f>IF('Modell einstellen'!$B$2="Ja",creep_res125!P28,creep_res125!L28)</f>
        <v>0.39207194877757212</v>
      </c>
      <c r="AG28" s="2">
        <f>IF('Modell einstellen'!$B$2="Ja",creep_res160!P28,creep_res160!L28)</f>
        <v>0.39347828163196613</v>
      </c>
      <c r="AL28" s="2">
        <f t="shared" si="11"/>
        <v>10000000000</v>
      </c>
      <c r="AM28" s="2">
        <f t="shared" si="12"/>
        <v>3078.9760704970804</v>
      </c>
      <c r="AN28" s="2">
        <f t="shared" si="13"/>
        <v>2151.250620328482</v>
      </c>
      <c r="AO28" s="2">
        <f t="shared" si="14"/>
        <v>1740.579877269425</v>
      </c>
      <c r="AP28" s="2">
        <f t="shared" si="15"/>
        <v>1325.7320252858156</v>
      </c>
      <c r="AQ28" s="2">
        <f t="shared" si="16"/>
        <v>602.02056954985051</v>
      </c>
      <c r="AR28" s="2">
        <f t="shared" si="17"/>
        <v>181.14617749166206</v>
      </c>
      <c r="AS28" s="2">
        <f t="shared" si="18"/>
        <v>166.12540478353452</v>
      </c>
      <c r="AX28" s="2">
        <f t="shared" si="28"/>
        <v>10000000000</v>
      </c>
      <c r="AY28" s="37">
        <f t="shared" si="19"/>
        <v>12019.209306357014</v>
      </c>
      <c r="AZ28" s="37">
        <f t="shared" si="20"/>
        <v>8222.5138160550359</v>
      </c>
      <c r="BA28" s="37">
        <f t="shared" si="21"/>
        <v>6581.082509099756</v>
      </c>
      <c r="BB28" s="37">
        <f t="shared" si="22"/>
        <v>5018.5531608740539</v>
      </c>
      <c r="BC28" s="37">
        <f t="shared" si="23"/>
        <v>2410.4416254123034</v>
      </c>
      <c r="BD28" s="37">
        <f t="shared" si="24"/>
        <v>778.81671928129947</v>
      </c>
      <c r="BE28" s="37">
        <f t="shared" si="25"/>
        <v>724.39732522703719</v>
      </c>
    </row>
    <row r="29" spans="1:57" x14ac:dyDescent="0.25">
      <c r="A29" s="2">
        <f>'creep_res-40'!A29</f>
        <v>100000000000</v>
      </c>
      <c r="B29" s="3">
        <f>'creep_res-40'!O29</f>
        <v>-1.2959366857142858E-3</v>
      </c>
      <c r="C29" s="2">
        <f>IF('Modell einstellen'!$B$2="Ja",creep_res0!O29,creep_res0!C29)</f>
        <v>-1.8263416571428573E-3</v>
      </c>
      <c r="D29" s="2">
        <f>IF('Modell einstellen'!$B$2="Ja",creep_res25!O29,creep_res25!C29)</f>
        <v>-2.3419146285714289E-3</v>
      </c>
      <c r="E29" s="2">
        <f>IF('Modell einstellen'!$B$2="Ja",creep_res50!O29,creep_res50!C29)</f>
        <v>-3.3312539428571432E-3</v>
      </c>
      <c r="F29" s="2">
        <f>IF('Modell einstellen'!$B$2="Ja",creep_res80!O29,creep_res80!C29)</f>
        <v>-8.7140394285714282E-3</v>
      </c>
      <c r="G29" s="2">
        <f>IF('Modell einstellen'!$B$2="Ja",creep_res125!O29,creep_res125!C29)</f>
        <v>-2.0948164000000002E-2</v>
      </c>
      <c r="H29" s="2">
        <f>IF('Modell einstellen'!$B$2="Ja",creep_res160!O29,creep_res160!C29)</f>
        <v>-2.1741901142857144E-2</v>
      </c>
      <c r="M29" s="9">
        <f t="shared" si="26"/>
        <v>-10</v>
      </c>
      <c r="N29" s="2">
        <f t="shared" si="4"/>
        <v>100000000000</v>
      </c>
      <c r="O29" s="2">
        <f t="shared" si="5"/>
        <v>7716.426358042535</v>
      </c>
      <c r="P29" s="2">
        <f t="shared" si="6"/>
        <v>5475.4267696242969</v>
      </c>
      <c r="Q29" s="2">
        <f t="shared" si="7"/>
        <v>4270.0104768977053</v>
      </c>
      <c r="R29" s="2">
        <f t="shared" si="27"/>
        <v>3001.8726196007801</v>
      </c>
      <c r="S29" s="2">
        <f t="shared" si="8"/>
        <v>1147.5734166650875</v>
      </c>
      <c r="T29" s="2">
        <f t="shared" si="9"/>
        <v>477.36880425415796</v>
      </c>
      <c r="U29" s="2">
        <f t="shared" si="10"/>
        <v>459.94137928850324</v>
      </c>
      <c r="Z29" s="2">
        <v>100000000000</v>
      </c>
      <c r="AA29" s="3">
        <f>IF('Modell einstellen'!$B$2="Ja",'creep_res-40'!P29,'creep_res-40'!L29)</f>
        <v>0.37863557002696607</v>
      </c>
      <c r="AB29" s="2">
        <f>IF('Modell einstellen'!$B$2="Ja",creep_res0!P29,creep_res0!L29)</f>
        <v>0.37554569276491812</v>
      </c>
      <c r="AC29" s="2">
        <f>IF('Modell einstellen'!$B$2="Ja",creep_res25!P29,creep_res25!L29)</f>
        <v>0.37530017563651091</v>
      </c>
      <c r="AD29" s="2">
        <f>IF('Modell einstellen'!$B$2="Ja",creep_res50!P29,creep_res50!L29)</f>
        <v>0.37656615413665595</v>
      </c>
      <c r="AE29" s="2">
        <f>IF('Modell einstellen'!$B$2="Ja",creep_res80!P29,creep_res80!L29)</f>
        <v>0.38411431824728953</v>
      </c>
      <c r="AF29" s="2">
        <f>IF('Modell einstellen'!$B$2="Ja",creep_res125!P29,creep_res125!L29)</f>
        <v>0.38985856435232907</v>
      </c>
      <c r="AG29" s="2">
        <f>IF('Modell einstellen'!$B$2="Ja",creep_res160!P29,creep_res160!L29)</f>
        <v>0.39158578509903996</v>
      </c>
      <c r="AL29" s="2">
        <f t="shared" si="11"/>
        <v>100000000000</v>
      </c>
      <c r="AM29" s="2">
        <f t="shared" si="12"/>
        <v>2798.5736498484516</v>
      </c>
      <c r="AN29" s="2">
        <f t="shared" si="13"/>
        <v>1990.2744047049448</v>
      </c>
      <c r="AO29" s="2">
        <f t="shared" si="14"/>
        <v>1552.3921804639763</v>
      </c>
      <c r="AP29" s="2">
        <f t="shared" si="15"/>
        <v>1090.3481138846798</v>
      </c>
      <c r="AQ29" s="2">
        <f t="shared" si="16"/>
        <v>414.55153000594095</v>
      </c>
      <c r="AR29" s="2">
        <f t="shared" si="17"/>
        <v>171.73287142228415</v>
      </c>
      <c r="AS29" s="2">
        <f t="shared" si="18"/>
        <v>165.25800429032441</v>
      </c>
      <c r="AX29" s="2">
        <f t="shared" si="28"/>
        <v>100000000000</v>
      </c>
      <c r="AY29" s="37">
        <f t="shared" si="19"/>
        <v>10596.770898685134</v>
      </c>
      <c r="AZ29" s="37">
        <f t="shared" si="20"/>
        <v>7332.5797117407874</v>
      </c>
      <c r="BA29" s="37">
        <f t="shared" si="21"/>
        <v>5707.0522468566833</v>
      </c>
      <c r="BB29" s="37">
        <f t="shared" si="22"/>
        <v>4053.281332744843</v>
      </c>
      <c r="BC29" s="37">
        <f t="shared" si="23"/>
        <v>1650.4388913117341</v>
      </c>
      <c r="BD29" s="37">
        <f t="shared" si="24"/>
        <v>722.35727551437105</v>
      </c>
      <c r="BE29" s="37">
        <f t="shared" si="25"/>
        <v>707.07422101532052</v>
      </c>
    </row>
    <row r="30" spans="1:57" x14ac:dyDescent="0.25">
      <c r="A30" s="2">
        <f>'creep_res-40'!A30</f>
        <v>1000000000000</v>
      </c>
      <c r="B30" s="3">
        <f>'creep_res-40'!O30</f>
        <v>-1.4036457142857144E-3</v>
      </c>
      <c r="C30" s="2">
        <f>IF('Modell einstellen'!$B$2="Ja",creep_res0!O30,creep_res0!C30)</f>
        <v>-1.9920576000000004E-3</v>
      </c>
      <c r="D30" s="2">
        <f>IF('Modell einstellen'!$B$2="Ja",creep_res25!O30,creep_res25!C30)</f>
        <v>-2.686055542857143E-3</v>
      </c>
      <c r="E30" s="2">
        <f>IF('Modell einstellen'!$B$2="Ja",creep_res50!O30,creep_res50!C30)</f>
        <v>-4.3332200000000005E-3</v>
      </c>
      <c r="F30" s="2">
        <f>IF('Modell einstellen'!$B$2="Ja",creep_res80!O30,creep_res80!C30)</f>
        <v>-1.2172076571428572E-2</v>
      </c>
      <c r="G30" s="2">
        <f>IF('Modell einstellen'!$B$2="Ja",creep_res125!O30,creep_res125!C30)</f>
        <v>-2.1848025714285717E-2</v>
      </c>
      <c r="H30" s="2">
        <f>IF('Modell einstellen'!$B$2="Ja",creep_res160!O30,creep_res160!C30)</f>
        <v>-2.2120389142857143E-2</v>
      </c>
      <c r="M30" s="9">
        <f t="shared" si="26"/>
        <v>-10</v>
      </c>
      <c r="N30" s="2">
        <f t="shared" si="4"/>
        <v>1000000000000</v>
      </c>
      <c r="O30" s="2">
        <f t="shared" si="5"/>
        <v>7124.3048713961189</v>
      </c>
      <c r="P30" s="2">
        <f t="shared" si="6"/>
        <v>5019.9351665333361</v>
      </c>
      <c r="Q30" s="2">
        <f t="shared" si="7"/>
        <v>3722.9312054221532</v>
      </c>
      <c r="R30" s="2">
        <f t="shared" si="27"/>
        <v>2307.7526643004508</v>
      </c>
      <c r="S30" s="2">
        <f t="shared" si="8"/>
        <v>821.55250513892827</v>
      </c>
      <c r="T30" s="2">
        <f t="shared" si="9"/>
        <v>457.70726063643014</v>
      </c>
      <c r="U30" s="2">
        <f t="shared" si="10"/>
        <v>452.07161300003997</v>
      </c>
      <c r="Z30" s="2">
        <v>1000000000000</v>
      </c>
      <c r="AA30" s="3">
        <f>IF('Modell einstellen'!$B$2="Ja",'creep_res-40'!P30,'creep_res-40'!L30)</f>
        <v>0.37508754752929113</v>
      </c>
      <c r="AB30" s="2">
        <f>IF('Modell einstellen'!$B$2="Ja",creep_res0!P30,creep_res0!L30)</f>
        <v>0.37281913936625122</v>
      </c>
      <c r="AC30" s="2">
        <f>IF('Modell einstellen'!$B$2="Ja",creep_res25!P30,creep_res25!L30)</f>
        <v>0.37340344754492044</v>
      </c>
      <c r="AD30" s="2">
        <f>IF('Modell einstellen'!$B$2="Ja",creep_res50!P30,creep_res50!L30)</f>
        <v>0.37588547480692353</v>
      </c>
      <c r="AE30" s="2">
        <f>IF('Modell einstellen'!$B$2="Ja",creep_res80!P30,creep_res80!L30)</f>
        <v>0.38418375754079576</v>
      </c>
      <c r="AF30" s="2">
        <f>IF('Modell einstellen'!$B$2="Ja",creep_res125!P30,creep_res125!L30)</f>
        <v>0.38798727678434231</v>
      </c>
      <c r="AG30" s="2">
        <f>IF('Modell einstellen'!$B$2="Ja",creep_res160!P30,creep_res160!L30)</f>
        <v>0.38693297594015463</v>
      </c>
      <c r="AL30" s="2">
        <f t="shared" si="11"/>
        <v>1000000000000</v>
      </c>
      <c r="AM30" s="2">
        <f t="shared" si="12"/>
        <v>2590.4913778751102</v>
      </c>
      <c r="AN30" s="2">
        <f t="shared" si="13"/>
        <v>1828.3308494849296</v>
      </c>
      <c r="AO30" s="2">
        <f t="shared" si="14"/>
        <v>1355.3669215252155</v>
      </c>
      <c r="AP30" s="2">
        <f t="shared" si="15"/>
        <v>838.64271647474698</v>
      </c>
      <c r="AQ30" s="2">
        <f t="shared" si="16"/>
        <v>296.76424848335745</v>
      </c>
      <c r="AR30" s="2">
        <f t="shared" si="17"/>
        <v>164.88164851800227</v>
      </c>
      <c r="AS30" s="2">
        <f t="shared" si="18"/>
        <v>162.97529182821398</v>
      </c>
      <c r="AX30" s="2">
        <f t="shared" si="28"/>
        <v>1000000000000</v>
      </c>
      <c r="AY30" s="37">
        <f t="shared" si="19"/>
        <v>9505.7307878181327</v>
      </c>
      <c r="AZ30" s="37">
        <f t="shared" si="20"/>
        <v>6578.47302589234</v>
      </c>
      <c r="BA30" s="37">
        <f t="shared" si="21"/>
        <v>4901.3067275840267</v>
      </c>
      <c r="BB30" s="37">
        <f t="shared" si="22"/>
        <v>3098.9559316424861</v>
      </c>
      <c r="BC30" s="37">
        <f t="shared" si="23"/>
        <v>1182.2643751491598</v>
      </c>
      <c r="BD30" s="37">
        <f t="shared" si="24"/>
        <v>681.03462936558253</v>
      </c>
      <c r="BE30" s="37">
        <f t="shared" si="25"/>
        <v>666.37704016566681</v>
      </c>
    </row>
    <row r="31" spans="1:57" x14ac:dyDescent="0.25">
      <c r="A31" s="2">
        <f>'creep_res-40'!A31</f>
        <v>10000000000000</v>
      </c>
      <c r="B31" s="3">
        <f>'creep_res-40'!O31</f>
        <v>-1.5006965714285713E-3</v>
      </c>
      <c r="C31" s="2">
        <f>IF('Modell einstellen'!$B$2="Ja",creep_res0!O31,creep_res0!C31)</f>
        <v>-2.1900582857142855E-3</v>
      </c>
      <c r="D31" s="2">
        <f>IF('Modell einstellen'!$B$2="Ja",creep_res25!O31,creep_res25!C31)</f>
        <v>-3.2099524E-3</v>
      </c>
      <c r="E31" s="2">
        <f>IF('Modell einstellen'!$B$2="Ja",creep_res50!O31,creep_res50!C31)</f>
        <v>-6.0493674285714292E-3</v>
      </c>
      <c r="F31" s="2">
        <f>IF('Modell einstellen'!$B$2="Ja",creep_res80!O31,creep_res80!C31)</f>
        <v>-1.5275055428571429E-2</v>
      </c>
      <c r="G31" s="2">
        <f>IF('Modell einstellen'!$B$2="Ja",creep_res125!O31,creep_res125!C31)</f>
        <v>-2.1887568571428574E-2</v>
      </c>
      <c r="H31" s="2">
        <f>IF('Modell einstellen'!$B$2="Ja",creep_res160!O31,creep_res160!C31)</f>
        <v>-2.2129644E-2</v>
      </c>
      <c r="M31" s="9">
        <f t="shared" si="26"/>
        <v>-10</v>
      </c>
      <c r="N31" s="2">
        <f t="shared" si="4"/>
        <v>10000000000000</v>
      </c>
      <c r="O31" s="2">
        <f t="shared" si="5"/>
        <v>6663.5722306479402</v>
      </c>
      <c r="P31" s="2">
        <f t="shared" si="6"/>
        <v>4566.0885215840317</v>
      </c>
      <c r="Q31" s="2">
        <f t="shared" si="7"/>
        <v>3115.3109933966621</v>
      </c>
      <c r="R31" s="2">
        <f t="shared" si="27"/>
        <v>1653.0654019740243</v>
      </c>
      <c r="S31" s="2">
        <f t="shared" si="8"/>
        <v>654.66210887165539</v>
      </c>
      <c r="T31" s="2">
        <f t="shared" si="9"/>
        <v>456.88035047683292</v>
      </c>
      <c r="U31" s="2">
        <f t="shared" si="10"/>
        <v>451.88255174823416</v>
      </c>
      <c r="Z31" s="2">
        <v>10000000000000</v>
      </c>
      <c r="AA31" s="3">
        <f>IF('Modell einstellen'!$B$2="Ja",'creep_res-40'!P31,'creep_res-40'!L31)</f>
        <v>0.37211206681544845</v>
      </c>
      <c r="AB31" s="2">
        <f>IF('Modell einstellen'!$B$2="Ja",creep_res0!P31,creep_res0!L31)</f>
        <v>0.37105240773761544</v>
      </c>
      <c r="AC31" s="2">
        <f>IF('Modell einstellen'!$B$2="Ja",creep_res25!P31,creep_res25!L31)</f>
        <v>0.37248523863291111</v>
      </c>
      <c r="AD31" s="2">
        <f>IF('Modell einstellen'!$B$2="Ja",creep_res50!P31,creep_res50!L31)</f>
        <v>0.37630053975891509</v>
      </c>
      <c r="AE31" s="2">
        <f>IF('Modell einstellen'!$B$2="Ja",creep_res80!P31,creep_res80!L31)</f>
        <v>0.38404057977325279</v>
      </c>
      <c r="AF31" s="2">
        <f>IF('Modell einstellen'!$B$2="Ja",creep_res125!P31,creep_res125!L31)</f>
        <v>0.38868171613136165</v>
      </c>
      <c r="AG31" s="2">
        <f>IF('Modell einstellen'!$B$2="Ja",creep_res160!P31,creep_res160!L31)</f>
        <v>0.38689559191669393</v>
      </c>
      <c r="AL31" s="2">
        <f t="shared" si="11"/>
        <v>10000000000000</v>
      </c>
      <c r="AM31" s="2">
        <f t="shared" si="12"/>
        <v>2428.2171958860131</v>
      </c>
      <c r="AN31" s="2">
        <f t="shared" si="13"/>
        <v>1665.1765081389453</v>
      </c>
      <c r="AO31" s="2">
        <f t="shared" si="14"/>
        <v>1134.9160288600715</v>
      </c>
      <c r="AP31" s="2">
        <f t="shared" si="15"/>
        <v>600.54666630574377</v>
      </c>
      <c r="AQ31" s="2">
        <f t="shared" si="16"/>
        <v>236.5039430342818</v>
      </c>
      <c r="AR31" s="2">
        <f t="shared" si="17"/>
        <v>164.50146393142782</v>
      </c>
      <c r="AS31" s="2">
        <f t="shared" si="18"/>
        <v>162.91152498499585</v>
      </c>
      <c r="AX31" s="2">
        <f t="shared" si="28"/>
        <v>10000000000000</v>
      </c>
      <c r="AY31" s="37">
        <f t="shared" si="19"/>
        <v>8684.1294883700029</v>
      </c>
      <c r="AZ31" s="37">
        <f t="shared" si="20"/>
        <v>5901.7368238160971</v>
      </c>
      <c r="BA31" s="37">
        <f t="shared" si="21"/>
        <v>4071.8305342290523</v>
      </c>
      <c r="BB31" s="37">
        <f t="shared" si="22"/>
        <v>2227.2603275070496</v>
      </c>
      <c r="BC31" s="37">
        <f t="shared" si="23"/>
        <v>940.93564166891053</v>
      </c>
      <c r="BD31" s="37">
        <f t="shared" si="24"/>
        <v>684.04508615430552</v>
      </c>
      <c r="BE31" s="37">
        <f t="shared" si="25"/>
        <v>665.87819078840846</v>
      </c>
    </row>
    <row r="32" spans="1:57" x14ac:dyDescent="0.25">
      <c r="A32" s="2">
        <f>'creep_res-40'!A32</f>
        <v>100000000000000</v>
      </c>
      <c r="B32" s="3">
        <f>'creep_res-40'!O32</f>
        <v>-1.597299942857143E-3</v>
      </c>
      <c r="C32" s="2">
        <f>IF('Modell einstellen'!$B$2="Ja",creep_res0!O32,creep_res0!C32)</f>
        <v>-2.4504237714285718E-3</v>
      </c>
      <c r="D32" s="2">
        <f>IF('Modell einstellen'!$B$2="Ja",creep_res25!O32,creep_res25!C32)</f>
        <v>-4.0818608571428572E-3</v>
      </c>
      <c r="E32" s="2">
        <f>IF('Modell einstellen'!$B$2="Ja",creep_res50!O32,creep_res50!C32)</f>
        <v>-8.7255600000000003E-3</v>
      </c>
      <c r="F32" s="2">
        <f>IF('Modell einstellen'!$B$2="Ja",creep_res80!O32,creep_res80!C32)</f>
        <v>-1.7486284571428572E-2</v>
      </c>
      <c r="G32" s="2">
        <f>IF('Modell einstellen'!$B$2="Ja",creep_res125!O32,creep_res125!C32)</f>
        <v>-2.213290285714286E-2</v>
      </c>
      <c r="H32" s="2">
        <f>IF('Modell einstellen'!$B$2="Ja",creep_res160!O32,creep_res160!C32)</f>
        <v>-2.2296514285714285E-2</v>
      </c>
      <c r="M32" s="9">
        <f t="shared" si="26"/>
        <v>-10</v>
      </c>
      <c r="N32" s="2">
        <f t="shared" si="4"/>
        <v>100000000000000</v>
      </c>
      <c r="O32" s="2">
        <f t="shared" si="5"/>
        <v>6260.5649269057576</v>
      </c>
      <c r="P32" s="2">
        <f t="shared" si="6"/>
        <v>4080.9267836028635</v>
      </c>
      <c r="Q32" s="2">
        <f t="shared" si="7"/>
        <v>2449.8630281580959</v>
      </c>
      <c r="R32" s="2">
        <f t="shared" si="27"/>
        <v>1146.0582472643589</v>
      </c>
      <c r="S32" s="2">
        <f t="shared" si="8"/>
        <v>571.87677343072266</v>
      </c>
      <c r="T32" s="2">
        <f t="shared" si="9"/>
        <v>451.81601638723777</v>
      </c>
      <c r="U32" s="2">
        <f t="shared" si="10"/>
        <v>448.50059842794133</v>
      </c>
      <c r="Z32" s="2">
        <v>100000000000000</v>
      </c>
      <c r="AA32" s="3">
        <f>IF('Modell einstellen'!$B$2="Ja",'creep_res-40'!P32,'creep_res-40'!L32)</f>
        <v>0.36998525619072381</v>
      </c>
      <c r="AB32" s="2">
        <f>IF('Modell einstellen'!$B$2="Ja",creep_res0!P32,creep_res0!L32)</f>
        <v>0.37005321715082468</v>
      </c>
      <c r="AC32" s="2">
        <f>IF('Modell einstellen'!$B$2="Ja",creep_res25!P32,creep_res25!L32)</f>
        <v>0.37247702080976652</v>
      </c>
      <c r="AD32" s="2">
        <f>IF('Modell einstellen'!$B$2="Ja",creep_res50!P32,creep_res50!L32)</f>
        <v>0.37755150222040601</v>
      </c>
      <c r="AE32" s="2">
        <f>IF('Modell einstellen'!$B$2="Ja",creep_res80!P32,creep_res80!L32)</f>
        <v>0.38369895648501395</v>
      </c>
      <c r="AF32" s="2">
        <f>IF('Modell einstellen'!$B$2="Ja",creep_res125!P32,creep_res125!L32)</f>
        <v>0.38587682514307076</v>
      </c>
      <c r="AG32" s="2">
        <f>IF('Modell einstellen'!$B$2="Ja",creep_res160!P32,creep_res160!L32)</f>
        <v>0.38486946069725192</v>
      </c>
      <c r="AL32" s="2">
        <f t="shared" si="11"/>
        <v>100000000000000</v>
      </c>
      <c r="AM32" s="2">
        <f t="shared" si="12"/>
        <v>2284.9023004500814</v>
      </c>
      <c r="AN32" s="2">
        <f t="shared" si="13"/>
        <v>1489.3314845424752</v>
      </c>
      <c r="AO32" s="2">
        <f t="shared" si="14"/>
        <v>892.49692017162795</v>
      </c>
      <c r="AP32" s="2">
        <f t="shared" si="15"/>
        <v>415.97655166325364</v>
      </c>
      <c r="AQ32" s="2">
        <f t="shared" si="16"/>
        <v>206.64782998877558</v>
      </c>
      <c r="AR32" s="2">
        <f t="shared" si="17"/>
        <v>163.00727748318997</v>
      </c>
      <c r="AS32" s="2">
        <f t="shared" si="18"/>
        <v>161.92883558935978</v>
      </c>
      <c r="AX32" s="2">
        <f t="shared" si="28"/>
        <v>100000000000000</v>
      </c>
      <c r="AY32" s="37">
        <f t="shared" si="19"/>
        <v>8025.4550926029715</v>
      </c>
      <c r="AZ32" s="37">
        <f t="shared" si="20"/>
        <v>5234.1000602011209</v>
      </c>
      <c r="BA32" s="37">
        <f t="shared" si="21"/>
        <v>3201.8582633951432</v>
      </c>
      <c r="BB32" s="37">
        <f t="shared" si="22"/>
        <v>1559.9187523003231</v>
      </c>
      <c r="BC32" s="37">
        <f t="shared" si="23"/>
        <v>819.53517089041009</v>
      </c>
      <c r="BD32" s="37">
        <f t="shared" si="24"/>
        <v>659.83679031254007</v>
      </c>
      <c r="BE32" s="37">
        <f t="shared" si="25"/>
        <v>649.26387204203775</v>
      </c>
    </row>
    <row r="33" spans="1:60" x14ac:dyDescent="0.25">
      <c r="A33" s="2">
        <f>'creep_res-40'!A33</f>
        <v>1000000000000000</v>
      </c>
      <c r="B33" s="3">
        <f>'creep_res-40'!O33</f>
        <v>-1.6886448000000001E-3</v>
      </c>
      <c r="C33" s="2">
        <f>IF('Modell einstellen'!$B$2="Ja",creep_res0!O33,creep_res0!C33)</f>
        <v>-2.8145985714285717E-3</v>
      </c>
      <c r="D33" s="2">
        <f>IF('Modell einstellen'!$B$2="Ja",creep_res25!O33,creep_res25!C33)</f>
        <v>-5.5902430857142863E-3</v>
      </c>
      <c r="E33" s="2">
        <f>IF('Modell einstellen'!$B$2="Ja",creep_res50!O33,creep_res50!C33)</f>
        <v>-1.2177281142857144E-2</v>
      </c>
      <c r="F33" s="2">
        <f>IF('Modell einstellen'!$B$2="Ja",creep_res80!O33,creep_res80!C33)</f>
        <v>-1.8844651428571429E-2</v>
      </c>
      <c r="G33" s="2">
        <f>IF('Modell einstellen'!$B$2="Ja",creep_res125!O33,creep_res125!C33)</f>
        <v>-2.2144656000000002E-2</v>
      </c>
      <c r="H33" s="2">
        <f>IF('Modell einstellen'!$B$2="Ja",creep_res160!O33,creep_res160!C33)</f>
        <v>-2.2364841142857143E-2</v>
      </c>
      <c r="M33" s="9">
        <f>M31</f>
        <v>-10</v>
      </c>
      <c r="N33" s="2">
        <f t="shared" si="4"/>
        <v>1000000000000000</v>
      </c>
      <c r="O33" s="2">
        <f t="shared" si="5"/>
        <v>5921.9085031973564</v>
      </c>
      <c r="P33" s="2">
        <f t="shared" si="6"/>
        <v>3552.9045248269349</v>
      </c>
      <c r="Q33" s="2">
        <f t="shared" si="7"/>
        <v>1788.8309768773254</v>
      </c>
      <c r="R33" s="2">
        <f t="shared" si="27"/>
        <v>821.201373499184</v>
      </c>
      <c r="S33" s="2">
        <f t="shared" si="8"/>
        <v>530.65454874046873</v>
      </c>
      <c r="T33" s="2">
        <f t="shared" si="9"/>
        <v>451.57621775655485</v>
      </c>
      <c r="U33" s="2">
        <f t="shared" si="10"/>
        <v>447.13038362867104</v>
      </c>
      <c r="Z33" s="2">
        <v>1000000000000000</v>
      </c>
      <c r="AA33" s="3">
        <f>IF('Modell einstellen'!$B$2="Ja",'creep_res-40'!P33,'creep_res-40'!L33)</f>
        <v>0.36932124505994396</v>
      </c>
      <c r="AB33" s="2">
        <f>IF('Modell einstellen'!$B$2="Ja",creep_res0!P33,creep_res0!L33)</f>
        <v>0.36958492431552026</v>
      </c>
      <c r="AC33" s="2">
        <f>IF('Modell einstellen'!$B$2="Ja",creep_res25!P33,creep_res25!L33)</f>
        <v>0.37329799121232177</v>
      </c>
      <c r="AD33" s="2">
        <f>IF('Modell einstellen'!$B$2="Ja",creep_res50!P33,creep_res50!L33)</f>
        <v>0.3792783394951591</v>
      </c>
      <c r="AE33" s="2">
        <f>IF('Modell einstellen'!$B$2="Ja",creep_res80!P33,creep_res80!L33)</f>
        <v>0.38330551692727372</v>
      </c>
      <c r="AF33" s="2">
        <f>IF('Modell einstellen'!$B$2="Ja",creep_res125!P33,creep_res125!L33)</f>
        <v>0.38586011128695918</v>
      </c>
      <c r="AG33" s="2">
        <f>IF('Modell einstellen'!$B$2="Ja",creep_res160!P33,creep_res160!L33)</f>
        <v>0.38375611597713882</v>
      </c>
      <c r="AL33" s="2">
        <f t="shared" si="11"/>
        <v>1000000000000000</v>
      </c>
      <c r="AM33" s="2">
        <f t="shared" si="12"/>
        <v>2162.351794570352</v>
      </c>
      <c r="AN33" s="2">
        <f t="shared" si="13"/>
        <v>1297.0734642842888</v>
      </c>
      <c r="AO33" s="2">
        <f t="shared" si="14"/>
        <v>651.2901745739025</v>
      </c>
      <c r="AP33" s="2">
        <f t="shared" si="15"/>
        <v>297.69240550814368</v>
      </c>
      <c r="AQ33" s="2">
        <f t="shared" si="16"/>
        <v>191.80670583863778</v>
      </c>
      <c r="AR33" s="2">
        <f t="shared" si="17"/>
        <v>162.92272722143832</v>
      </c>
      <c r="AS33" s="2">
        <f t="shared" si="18"/>
        <v>161.56401350859798</v>
      </c>
      <c r="AX33" s="2">
        <f>AL33</f>
        <v>1000000000000000</v>
      </c>
      <c r="AY33" s="37">
        <f t="shared" si="19"/>
        <v>7552.7560006646436</v>
      </c>
      <c r="AZ33" s="37">
        <f t="shared" si="20"/>
        <v>4540.5084575532119</v>
      </c>
      <c r="BA33" s="37">
        <f t="shared" si="21"/>
        <v>2353.0684240833825</v>
      </c>
      <c r="BB33" s="37">
        <f t="shared" si="22"/>
        <v>1133.7393389954989</v>
      </c>
      <c r="BC33" s="37">
        <f t="shared" si="23"/>
        <v>757.89722411263494</v>
      </c>
      <c r="BD33" s="37">
        <f t="shared" si="24"/>
        <v>659.39001525263291</v>
      </c>
      <c r="BE33" s="37">
        <f t="shared" si="25"/>
        <v>641.08087260851198</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7" zoomScale="120" zoomScaleNormal="120" zoomScaleSheetLayoutView="110" workbookViewId="0">
      <selection activeCell="C70" sqref="C70"/>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109</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160</v>
      </c>
      <c r="D2" s="11">
        <f>1</f>
        <v>1</v>
      </c>
      <c r="E2" s="11">
        <f>D2+1</f>
        <v>2</v>
      </c>
      <c r="F2" s="11">
        <f t="shared" ref="F2:J2" si="0">E2+1</f>
        <v>3</v>
      </c>
      <c r="G2" s="11">
        <f t="shared" si="0"/>
        <v>4</v>
      </c>
      <c r="H2" s="11">
        <f t="shared" si="0"/>
        <v>5</v>
      </c>
      <c r="I2" s="11">
        <f t="shared" si="0"/>
        <v>6</v>
      </c>
      <c r="J2" s="11">
        <f t="shared" si="0"/>
        <v>7</v>
      </c>
    </row>
    <row r="3" spans="1:36" x14ac:dyDescent="0.25">
      <c r="A3" s="11" t="s">
        <v>110</v>
      </c>
      <c r="B3" s="35">
        <v>7</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5</v>
      </c>
    </row>
    <row r="10" spans="1:36" x14ac:dyDescent="0.25">
      <c r="A10" s="11">
        <f t="shared" si="1"/>
        <v>6</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4536.230397827354</v>
      </c>
      <c r="G16" s="26">
        <f>INDEX(Comparison!$AM$3:$AS$33,G14,$B$3)</f>
        <v>4303.1205029931816</v>
      </c>
      <c r="H16" s="26">
        <f>INDEX(Comparison!$AM$3:$AS$33,H14,$B$3)</f>
        <v>4127.6064584710148</v>
      </c>
      <c r="I16" s="26">
        <f>INDEX(Comparison!$AM$3:$AS$33,I14,$B$3)</f>
        <v>3945.604356178083</v>
      </c>
      <c r="J16" s="26">
        <f>INDEX(Comparison!$AM$3:$AS$33,J14,$B$3)</f>
        <v>3766.6240058114313</v>
      </c>
      <c r="K16" s="26">
        <f>INDEX(Comparison!$AM$3:$AS$33,K14,$B$3)</f>
        <v>3551.9419942460731</v>
      </c>
      <c r="L16" s="26">
        <f>INDEX(Comparison!$AM$3:$AS$33,L14,$B$3)</f>
        <v>3318.4500658255338</v>
      </c>
      <c r="M16" s="26">
        <f>INDEX(Comparison!$AM$3:$AS$33,M14,$B$3)</f>
        <v>3050.6755206683788</v>
      </c>
      <c r="N16" s="26">
        <f>INDEX(Comparison!$AM$3:$AS$33,N14,$B$3)</f>
        <v>2745.1346410108995</v>
      </c>
      <c r="O16" s="26">
        <f>INDEX(Comparison!$AM$3:$AS$33,O14,$B$3)</f>
        <v>2379.9691784471511</v>
      </c>
      <c r="P16" s="26">
        <f>INDEX(Comparison!$AM$3:$AS$33,P14,$B$3)</f>
        <v>1948.7143373862357</v>
      </c>
      <c r="Q16" s="26">
        <f>INDEX(Comparison!$AM$3:$AS$33,Q14,$B$3)</f>
        <v>1482.8611668944652</v>
      </c>
      <c r="R16" s="26">
        <f>INDEX(Comparison!$AM$3:$AS$33,R14,$B$3)</f>
        <v>1064.7698916660522</v>
      </c>
      <c r="S16" s="26">
        <f>INDEX(Comparison!$AM$3:$AS$33,S14,$B$3)</f>
        <v>756.04671038027936</v>
      </c>
      <c r="T16" s="26">
        <f>INDEX(Comparison!$AM$3:$AS$33,T14,$B$3)</f>
        <v>574.27764486440731</v>
      </c>
      <c r="U16" s="26">
        <f>INDEX(Comparison!$AM$3:$AS$33,U14,$B$3)</f>
        <v>472.36033693576201</v>
      </c>
      <c r="V16" s="26">
        <f>INDEX(Comparison!$AM$3:$AS$33,V14,$B$3)</f>
        <v>404.76609252146119</v>
      </c>
      <c r="W16" s="26">
        <f>INDEX(Comparison!$AM$3:$AS$33,W14,$B$3)</f>
        <v>332.62382454066642</v>
      </c>
      <c r="X16" s="26">
        <f>INDEX(Comparison!$AM$3:$AS$33,X14,$B$3)</f>
        <v>270.11210763785351</v>
      </c>
      <c r="Y16" s="26">
        <f>INDEX(Comparison!$AM$3:$AS$33,Y14,$B$3)</f>
        <v>230.23496622900356</v>
      </c>
      <c r="Z16" s="26">
        <f>INDEX(Comparison!$AM$3:$AS$33,Z14,$B$3)</f>
        <v>198.97748766430533</v>
      </c>
      <c r="AA16" s="26">
        <f>INDEX(Comparison!$AM$3:$AS$33,AA14,$B$3)</f>
        <v>182.67861803771595</v>
      </c>
      <c r="AB16" s="26">
        <f>INDEX(Comparison!$AM$3:$AS$33,AB14,$B$3)</f>
        <v>174.62746722417066</v>
      </c>
      <c r="AC16" s="26">
        <f>INDEX(Comparison!$AM$3:$AS$33,AC14,$B$3)</f>
        <v>169.86894542912563</v>
      </c>
      <c r="AD16" s="26">
        <f>INDEX(Comparison!$AM$3:$AS$33,AD14,$B$3)</f>
        <v>166.84170745231376</v>
      </c>
      <c r="AE16" s="26">
        <f>INDEX(Comparison!$AM$3:$AS$33,AE14,$B$3)</f>
        <v>166.12540478353452</v>
      </c>
      <c r="AF16" s="26">
        <f>INDEX(Comparison!$AM$3:$AS$33,AF14,$B$3)</f>
        <v>165.25800429032441</v>
      </c>
      <c r="AG16" s="26">
        <f>INDEX(Comparison!$AM$3:$AS$33,AG14,$B$3)</f>
        <v>162.97529182821398</v>
      </c>
      <c r="AH16" s="26">
        <f>INDEX(Comparison!$AM$3:$AS$33,AH14,$B$3)</f>
        <v>162.91152498499585</v>
      </c>
      <c r="AI16" s="26">
        <f>INDEX(Comparison!$AM$3:$AS$33,AI14,$B$3)</f>
        <v>161.92883558935978</v>
      </c>
      <c r="AJ16" s="26">
        <f>INDEX(Comparison!$AM$3:$AS$33,AJ14,$B$3)</f>
        <v>161.56401350859798</v>
      </c>
    </row>
    <row r="17" spans="1:36" x14ac:dyDescent="0.25">
      <c r="A17" s="14" t="s">
        <v>20</v>
      </c>
      <c r="B17" s="105">
        <v>1.1630387954501433E-2</v>
      </c>
      <c r="C17" s="18">
        <f t="shared" ref="C17:C48" si="3">ABS(B17/$B$49)</f>
        <v>2.3102809878317584E-2</v>
      </c>
      <c r="D17" s="66"/>
      <c r="E17" s="65" t="s">
        <v>22</v>
      </c>
      <c r="F17" s="27">
        <f>($C$17+SUM(F18:F48))*$B$51</f>
        <v>4468.4082372838066</v>
      </c>
      <c r="G17" s="27">
        <f t="shared" ref="G17:M17" si="4">($C$17+SUM(G18:G48))*$B$51</f>
        <v>4390.845965543057</v>
      </c>
      <c r="H17" s="27">
        <f t="shared" si="4"/>
        <v>4104.3965598352506</v>
      </c>
      <c r="I17" s="27">
        <f t="shared" si="4"/>
        <v>3949.3524107435378</v>
      </c>
      <c r="J17" s="27">
        <f t="shared" si="4"/>
        <v>3766.1164735103116</v>
      </c>
      <c r="K17" s="27">
        <f t="shared" si="4"/>
        <v>3552.0365372099081</v>
      </c>
      <c r="L17" s="27">
        <f t="shared" si="4"/>
        <v>3318.3985208352974</v>
      </c>
      <c r="M17" s="27">
        <f t="shared" si="4"/>
        <v>3050.7551410233764</v>
      </c>
      <c r="N17" s="27">
        <f t="shared" ref="N17" si="5">($C$17+SUM(N18:N48))*$B$51</f>
        <v>2744.9331968960814</v>
      </c>
      <c r="O17" s="27">
        <f t="shared" ref="O17" si="6">($C$17+SUM(O18:O48))*$B$51</f>
        <v>2380.3315023468026</v>
      </c>
      <c r="P17" s="27">
        <f t="shared" ref="P17" si="7">($C$17+SUM(P18:P48))*$B$51</f>
        <v>1948.1843279248744</v>
      </c>
      <c r="Q17" s="27">
        <f t="shared" ref="Q17" si="8">($C$17+SUM(Q18:Q48))*$B$51</f>
        <v>1483.6158212706125</v>
      </c>
      <c r="R17" s="27">
        <f t="shared" ref="R17" si="9">($C$17+SUM(R18:R48))*$B$51</f>
        <v>1063.7679877749106</v>
      </c>
      <c r="S17" s="27">
        <f t="shared" ref="S17:T17" si="10">($C$17+SUM(S18:S48))*$B$51</f>
        <v>757.15832923513244</v>
      </c>
      <c r="T17" s="27">
        <f t="shared" si="10"/>
        <v>573.26904002888102</v>
      </c>
      <c r="U17" s="27">
        <f t="shared" ref="U17" si="11">($C$17+SUM(U18:U48))*$B$51</f>
        <v>473.12515561752701</v>
      </c>
      <c r="V17" s="27">
        <f t="shared" ref="V17" si="12">($C$17+SUM(V18:V48))*$B$51</f>
        <v>404.2724295879957</v>
      </c>
      <c r="W17" s="27">
        <f t="shared" ref="W17" si="13">($C$17+SUM(W18:W48))*$B$51</f>
        <v>332.8751369787816</v>
      </c>
      <c r="X17" s="27">
        <f t="shared" ref="X17" si="14">($C$17+SUM(X18:X48))*$B$51</f>
        <v>270.05028461075017</v>
      </c>
      <c r="Y17" s="27">
        <f t="shared" ref="Y17" si="15">($C$17+SUM(Y18:Y48))*$B$51</f>
        <v>230.16247774082899</v>
      </c>
      <c r="Z17" s="27">
        <f t="shared" ref="Z17:AA17" si="16">($C$17+SUM(Z18:Z48))*$B$51</f>
        <v>199.113456138136</v>
      </c>
      <c r="AA17" s="27">
        <f t="shared" si="16"/>
        <v>182.57241594363668</v>
      </c>
      <c r="AB17" s="27">
        <f t="shared" ref="AB17" si="17">($C$17+SUM(AB18:AB48))*$B$51</f>
        <v>174.65389795301994</v>
      </c>
      <c r="AC17" s="27">
        <f t="shared" ref="AC17" si="18">($C$17+SUM(AC18:AC48))*$B$51</f>
        <v>169.8850588670503</v>
      </c>
      <c r="AD17" s="27">
        <f t="shared" ref="AD17" si="19">($C$17+SUM(AD18:AD48))*$B$51</f>
        <v>166.84613285127776</v>
      </c>
      <c r="AE17" s="27">
        <f t="shared" ref="AE17" si="20">($C$17+SUM(AE18:AE48))*$B$51</f>
        <v>166.19445204614499</v>
      </c>
      <c r="AF17" s="27">
        <f t="shared" ref="AF17" si="21">($C$17+SUM(AF18:AF48))*$B$51</f>
        <v>165.01151279039888</v>
      </c>
      <c r="AG17" s="27">
        <f t="shared" ref="AG17:AH17" si="22">($C$17+SUM(AG18:AG48))*$B$51</f>
        <v>163.3700872105284</v>
      </c>
      <c r="AH17" s="27">
        <f t="shared" si="22"/>
        <v>162.63613005465609</v>
      </c>
      <c r="AI17" s="27">
        <f t="shared" ref="AI17" si="23">($C$17+SUM(AI18:AI48))*$B$51</f>
        <v>161.98816665321431</v>
      </c>
      <c r="AJ17" s="27">
        <f t="shared" ref="AJ17" si="24">($C$17+SUM(AJ18:AJ48))*$B$51</f>
        <v>161.54434356647425</v>
      </c>
    </row>
    <row r="18" spans="1:36" x14ac:dyDescent="0.25">
      <c r="A18" s="3">
        <f>0.000000000000001/10^5</f>
        <v>1.0000000000000001E-20</v>
      </c>
      <c r="B18" s="106">
        <v>0.18101486503861797</v>
      </c>
      <c r="C18" s="18">
        <f t="shared" si="3"/>
        <v>0.35957115347282304</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2.6725334897026061E-2</v>
      </c>
      <c r="C19" s="18">
        <f t="shared" si="3"/>
        <v>5.3087681466497318E-2</v>
      </c>
      <c r="D19" s="17"/>
      <c r="F19" s="3">
        <f t="shared" si="25"/>
        <v>5.1745085867563753E-2</v>
      </c>
      <c r="G19" s="3">
        <f t="shared" si="25"/>
        <v>4.109105510958639E-2</v>
      </c>
      <c r="H19" s="3">
        <f t="shared" si="25"/>
        <v>4.0975956743861102E-3</v>
      </c>
      <c r="I19" s="3">
        <f t="shared" si="25"/>
        <v>3.9842556750658176E-13</v>
      </c>
      <c r="J19" s="3">
        <f t="shared" si="25"/>
        <v>3.0097344018463021E-113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9.3377207582106773E-3</v>
      </c>
      <c r="C20" s="18">
        <f t="shared" si="3"/>
        <v>1.8548614905856641E-2</v>
      </c>
      <c r="D20" s="17"/>
      <c r="F20" s="3">
        <f t="shared" si="25"/>
        <v>1.8505803615779089E-2</v>
      </c>
      <c r="G20" s="3">
        <f t="shared" si="25"/>
        <v>1.8124921241408378E-2</v>
      </c>
      <c r="H20" s="3">
        <f t="shared" si="25"/>
        <v>1.472169846120493E-2</v>
      </c>
      <c r="I20" s="3">
        <f t="shared" si="25"/>
        <v>1.839822039558E-3</v>
      </c>
      <c r="J20" s="3">
        <f t="shared" si="25"/>
        <v>1.7098373807330897E-12</v>
      </c>
      <c r="K20" s="3">
        <f t="shared" si="25"/>
        <v>8.2175945871183639E-103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1.3807930302517023E-2</v>
      </c>
      <c r="C21" s="18">
        <f t="shared" si="3"/>
        <v>2.7428318800719304E-2</v>
      </c>
      <c r="D21" s="17"/>
      <c r="F21" s="3">
        <f t="shared" si="25"/>
        <v>2.7422602053117459E-2</v>
      </c>
      <c r="G21" s="3">
        <f t="shared" si="25"/>
        <v>2.7371204913003551E-2</v>
      </c>
      <c r="H21" s="3">
        <f t="shared" si="25"/>
        <v>2.6862502076129561E-2</v>
      </c>
      <c r="I21" s="3">
        <f t="shared" si="25"/>
        <v>2.2267523678797332E-2</v>
      </c>
      <c r="J21" s="3">
        <f t="shared" si="25"/>
        <v>3.4113519676369562E-3</v>
      </c>
      <c r="K21" s="3">
        <f t="shared" si="25"/>
        <v>2.4292521985942475E-11</v>
      </c>
      <c r="L21" s="3">
        <f t="shared" si="25"/>
        <v>8.1457925707309092E-93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1.6232391518817384E-2</v>
      </c>
      <c r="C22" s="18">
        <f t="shared" si="3"/>
        <v>3.2244311763005913E-2</v>
      </c>
      <c r="D22" s="17"/>
      <c r="F22" s="3">
        <f t="shared" si="25"/>
        <v>3.2243705458617267E-2</v>
      </c>
      <c r="G22" s="3">
        <f t="shared" si="25"/>
        <v>3.2238249232121437E-2</v>
      </c>
      <c r="H22" s="3">
        <f t="shared" si="25"/>
        <v>3.2183737722541725E-2</v>
      </c>
      <c r="I22" s="3">
        <f t="shared" si="25"/>
        <v>3.16436665269249E-2</v>
      </c>
      <c r="J22" s="3">
        <f t="shared" si="25"/>
        <v>2.6717141258782516E-2</v>
      </c>
      <c r="K22" s="3">
        <f t="shared" si="25"/>
        <v>4.9183775363128368E-3</v>
      </c>
      <c r="L22" s="3">
        <f t="shared" si="25"/>
        <v>2.1985716236627349E-10</v>
      </c>
      <c r="M22" s="3">
        <f t="shared" si="25"/>
        <v>7.0037103879941033E-84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1.7318772974090506E-2</v>
      </c>
      <c r="C23" s="18">
        <f t="shared" si="3"/>
        <v>3.4402319244329078E-2</v>
      </c>
      <c r="D23" s="17"/>
      <c r="F23" s="3">
        <f t="shared" si="25"/>
        <v>3.4402260889657706E-2</v>
      </c>
      <c r="G23" s="3">
        <f t="shared" si="25"/>
        <v>3.4401735702069607E-2</v>
      </c>
      <c r="H23" s="3">
        <f t="shared" si="25"/>
        <v>3.4396484267133917E-2</v>
      </c>
      <c r="I23" s="3">
        <f t="shared" si="25"/>
        <v>3.434401398741084E-2</v>
      </c>
      <c r="J23" s="3">
        <f t="shared" si="25"/>
        <v>3.3823693362192229E-2</v>
      </c>
      <c r="K23" s="3">
        <f t="shared" si="25"/>
        <v>2.9034930396509697E-2</v>
      </c>
      <c r="L23" s="3">
        <f t="shared" si="25"/>
        <v>6.3083880096887705E-3</v>
      </c>
      <c r="M23" s="3">
        <f t="shared" si="25"/>
        <v>1.4787490581115279E-9</v>
      </c>
      <c r="N23" s="3">
        <f t="shared" si="25"/>
        <v>7.4072212170832164E-76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2.0399440769668414E-2</v>
      </c>
      <c r="C24" s="18">
        <f t="shared" si="3"/>
        <v>4.0521812648841492E-2</v>
      </c>
      <c r="D24" s="17"/>
      <c r="F24" s="3">
        <f t="shared" si="25"/>
        <v>4.0521806448384545E-2</v>
      </c>
      <c r="G24" s="3">
        <f t="shared" si="25"/>
        <v>4.0521750644314722E-2</v>
      </c>
      <c r="H24" s="3">
        <f t="shared" si="25"/>
        <v>4.0521192607843197E-2</v>
      </c>
      <c r="I24" s="3">
        <f t="shared" si="25"/>
        <v>4.05156126657788E-2</v>
      </c>
      <c r="J24" s="3">
        <f t="shared" si="25"/>
        <v>4.0459855488688898E-2</v>
      </c>
      <c r="K24" s="3">
        <f t="shared" si="25"/>
        <v>3.9906486627440514E-2</v>
      </c>
      <c r="L24" s="3">
        <f t="shared" si="25"/>
        <v>3.4772439705780714E-2</v>
      </c>
      <c r="M24" s="3">
        <f t="shared" si="25"/>
        <v>8.7730751388793542E-3</v>
      </c>
      <c r="N24" s="3">
        <f t="shared" si="25"/>
        <v>9.1689311448596065E-9</v>
      </c>
      <c r="O24" s="3">
        <f t="shared" si="25"/>
        <v>1.4255660206529484E-68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2.3011687528720036E-2</v>
      </c>
      <c r="C25" s="18">
        <f t="shared" si="3"/>
        <v>4.571082615945813E-2</v>
      </c>
      <c r="D25" s="17"/>
      <c r="F25" s="3">
        <f t="shared" si="25"/>
        <v>4.5710825528500025E-2</v>
      </c>
      <c r="G25" s="3">
        <f t="shared" si="25"/>
        <v>4.5710819849877467E-2</v>
      </c>
      <c r="H25" s="3">
        <f t="shared" si="25"/>
        <v>4.57107630636907E-2</v>
      </c>
      <c r="I25" s="3">
        <f t="shared" si="25"/>
        <v>4.5710195205702929E-2</v>
      </c>
      <c r="J25" s="3">
        <f t="shared" si="25"/>
        <v>4.5704517013803646E-2</v>
      </c>
      <c r="K25" s="3">
        <f t="shared" si="25"/>
        <v>4.5647773874820122E-2</v>
      </c>
      <c r="L25" s="3">
        <f t="shared" si="25"/>
        <v>4.5084202719827368E-2</v>
      </c>
      <c r="M25" s="3">
        <f t="shared" si="25"/>
        <v>3.981734548663373E-2</v>
      </c>
      <c r="N25" s="3">
        <f t="shared" si="25"/>
        <v>1.1496122917943654E-2</v>
      </c>
      <c r="O25" s="3">
        <f t="shared" si="25"/>
        <v>4.627456566687915E-8</v>
      </c>
      <c r="P25" s="3">
        <f t="shared" si="25"/>
        <v>5.1671595992656592E-62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2.8291914971521712E-2</v>
      </c>
      <c r="C26" s="18">
        <f t="shared" si="3"/>
        <v>5.619956404185248E-2</v>
      </c>
      <c r="D26" s="17"/>
      <c r="F26" s="3">
        <f t="shared" si="25"/>
        <v>5.6199563971874568E-2</v>
      </c>
      <c r="G26" s="3">
        <f t="shared" si="25"/>
        <v>5.6199563342073343E-2</v>
      </c>
      <c r="H26" s="3">
        <f t="shared" si="25"/>
        <v>5.6199557044061495E-2</v>
      </c>
      <c r="I26" s="3">
        <f t="shared" si="25"/>
        <v>5.6199494063981816E-2</v>
      </c>
      <c r="J26" s="3">
        <f t="shared" si="25"/>
        <v>5.619886426706687E-2</v>
      </c>
      <c r="K26" s="3">
        <f t="shared" si="25"/>
        <v>5.6192566686082746E-2</v>
      </c>
      <c r="L26" s="3">
        <f t="shared" si="25"/>
        <v>5.6129629676684237E-2</v>
      </c>
      <c r="M26" s="3">
        <f t="shared" si="25"/>
        <v>5.5504123586830378E-2</v>
      </c>
      <c r="N26" s="3">
        <f t="shared" si="25"/>
        <v>4.9619910377119991E-2</v>
      </c>
      <c r="O26" s="3">
        <f t="shared" si="25"/>
        <v>1.6179430679171509E-2</v>
      </c>
      <c r="P26" s="3">
        <f t="shared" si="25"/>
        <v>2.1980412406461493E-7</v>
      </c>
      <c r="Q26" s="3">
        <f t="shared" si="25"/>
        <v>4.7071912782295806E-56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3.4394200703418656E-2</v>
      </c>
      <c r="C27" s="18">
        <f t="shared" si="3"/>
        <v>6.8321253158217701E-2</v>
      </c>
      <c r="D27" s="17"/>
      <c r="F27" s="3">
        <f t="shared" si="25"/>
        <v>6.8321253150543548E-2</v>
      </c>
      <c r="G27" s="3">
        <f t="shared" si="25"/>
        <v>6.8321253081476171E-2</v>
      </c>
      <c r="H27" s="3">
        <f t="shared" si="25"/>
        <v>6.8321252390802389E-2</v>
      </c>
      <c r="I27" s="3">
        <f t="shared" si="25"/>
        <v>6.8321245484064985E-2</v>
      </c>
      <c r="J27" s="3">
        <f t="shared" si="25"/>
        <v>6.8321176416729357E-2</v>
      </c>
      <c r="K27" s="3">
        <f t="shared" si="25"/>
        <v>6.8320485747213236E-2</v>
      </c>
      <c r="L27" s="3">
        <f t="shared" si="25"/>
        <v>6.8313579436055177E-2</v>
      </c>
      <c r="M27" s="3">
        <f t="shared" si="25"/>
        <v>6.8244554710427618E-2</v>
      </c>
      <c r="N27" s="3">
        <f t="shared" si="25"/>
        <v>6.7558131730298468E-2</v>
      </c>
      <c r="O27" s="3">
        <f t="shared" si="25"/>
        <v>6.1062403811669726E-2</v>
      </c>
      <c r="P27" s="3">
        <f t="shared" si="25"/>
        <v>2.2219616380354135E-2</v>
      </c>
      <c r="Q27" s="3">
        <f t="shared" si="25"/>
        <v>9.0440541371205393E-7</v>
      </c>
      <c r="R27" s="3">
        <f t="shared" si="25"/>
        <v>1.1288315018181374E-50</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3.6505926670070736E-2</v>
      </c>
      <c r="C28" s="18">
        <f t="shared" si="3"/>
        <v>7.2516023247876399E-2</v>
      </c>
      <c r="D28" s="17"/>
      <c r="F28" s="3">
        <f t="shared" si="25"/>
        <v>7.2516023247141626E-2</v>
      </c>
      <c r="G28" s="3">
        <f t="shared" si="25"/>
        <v>7.2516023240528638E-2</v>
      </c>
      <c r="H28" s="3">
        <f t="shared" si="25"/>
        <v>7.2516023174398758E-2</v>
      </c>
      <c r="I28" s="3">
        <f t="shared" si="25"/>
        <v>7.2516022513099992E-2</v>
      </c>
      <c r="J28" s="3">
        <f t="shared" si="25"/>
        <v>7.2516015900112613E-2</v>
      </c>
      <c r="K28" s="3">
        <f t="shared" si="25"/>
        <v>7.2515949770272009E-2</v>
      </c>
      <c r="L28" s="3">
        <f t="shared" si="25"/>
        <v>7.2515288475182821E-2</v>
      </c>
      <c r="M28" s="3">
        <f t="shared" si="25"/>
        <v>7.2508675855962268E-2</v>
      </c>
      <c r="N28" s="3">
        <f t="shared" si="25"/>
        <v>7.2442582819696122E-2</v>
      </c>
      <c r="O28" s="3">
        <f t="shared" si="25"/>
        <v>7.1784956890872609E-2</v>
      </c>
      <c r="P28" s="3">
        <f t="shared" si="25"/>
        <v>6.5528258079737098E-2</v>
      </c>
      <c r="Q28" s="3">
        <f t="shared" si="25"/>
        <v>2.632572970944377E-2</v>
      </c>
      <c r="R28" s="3">
        <f t="shared" si="25"/>
        <v>2.8833566475520641E-6</v>
      </c>
      <c r="S28" s="3">
        <f t="shared" si="25"/>
        <v>7.162717586165558E-46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3.0385214904954157E-2</v>
      </c>
      <c r="C29" s="18">
        <f t="shared" si="3"/>
        <v>6.0357732330784487E-2</v>
      </c>
      <c r="D29" s="17"/>
      <c r="F29" s="3">
        <f t="shared" si="25"/>
        <v>6.0357732330729316E-2</v>
      </c>
      <c r="G29" s="3">
        <f t="shared" si="25"/>
        <v>6.035773233023279E-2</v>
      </c>
      <c r="H29" s="3">
        <f t="shared" si="25"/>
        <v>6.0357732325267519E-2</v>
      </c>
      <c r="I29" s="3">
        <f t="shared" si="25"/>
        <v>6.0357732275614771E-2</v>
      </c>
      <c r="J29" s="3">
        <f t="shared" si="25"/>
        <v>6.0357731779087348E-2</v>
      </c>
      <c r="K29" s="3">
        <f t="shared" si="25"/>
        <v>6.0357726813813316E-2</v>
      </c>
      <c r="L29" s="3">
        <f t="shared" si="25"/>
        <v>6.0357677161095441E-2</v>
      </c>
      <c r="M29" s="3">
        <f t="shared" si="25"/>
        <v>6.0357180636163257E-2</v>
      </c>
      <c r="N29" s="3">
        <f t="shared" si="25"/>
        <v>6.0352215611488888E-2</v>
      </c>
      <c r="O29" s="3">
        <f t="shared" si="25"/>
        <v>6.0302587822658245E-2</v>
      </c>
      <c r="P29" s="3">
        <f t="shared" si="25"/>
        <v>5.9808548904991189E-2</v>
      </c>
      <c r="Q29" s="3">
        <f t="shared" si="25"/>
        <v>5.5085389247401778E-2</v>
      </c>
      <c r="R29" s="3">
        <f t="shared" si="25"/>
        <v>2.4197360419181833E-2</v>
      </c>
      <c r="S29" s="3">
        <f t="shared" si="25"/>
        <v>6.4726735009716805E-6</v>
      </c>
      <c r="T29" s="3">
        <f t="shared" si="25"/>
        <v>1.2140617404276679E-41</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1.9106539760257533E-2</v>
      </c>
      <c r="C30" s="18">
        <f t="shared" si="3"/>
        <v>3.7953571045142992E-2</v>
      </c>
      <c r="D30" s="17"/>
      <c r="F30" s="3">
        <f t="shared" si="25"/>
        <v>3.7953571045139863E-2</v>
      </c>
      <c r="G30" s="3">
        <f t="shared" si="25"/>
        <v>3.7953571045111698E-2</v>
      </c>
      <c r="H30" s="3">
        <f t="shared" si="25"/>
        <v>3.7953571044830048E-2</v>
      </c>
      <c r="I30" s="3">
        <f t="shared" si="25"/>
        <v>3.7953571042013551E-2</v>
      </c>
      <c r="J30" s="3">
        <f t="shared" si="25"/>
        <v>3.795357101384856E-2</v>
      </c>
      <c r="K30" s="3">
        <f t="shared" si="25"/>
        <v>3.795357073219869E-2</v>
      </c>
      <c r="L30" s="3">
        <f t="shared" si="25"/>
        <v>3.7953567915700051E-2</v>
      </c>
      <c r="M30" s="3">
        <f t="shared" si="25"/>
        <v>3.7953539750725171E-2</v>
      </c>
      <c r="N30" s="3">
        <f t="shared" si="25"/>
        <v>3.7953258102125985E-2</v>
      </c>
      <c r="O30" s="3">
        <f t="shared" si="25"/>
        <v>3.7950441731085909E-2</v>
      </c>
      <c r="P30" s="3">
        <f t="shared" si="25"/>
        <v>3.7922289512713474E-2</v>
      </c>
      <c r="Q30" s="3">
        <f t="shared" si="25"/>
        <v>3.764191338266662E-2</v>
      </c>
      <c r="R30" s="3">
        <f t="shared" si="25"/>
        <v>3.4949672179213784E-2</v>
      </c>
      <c r="S30" s="3">
        <f t="shared" si="25"/>
        <v>1.6640150941786953E-2</v>
      </c>
      <c r="T30" s="3">
        <f t="shared" si="25"/>
        <v>9.9609052876653825E-6</v>
      </c>
      <c r="U30" s="3">
        <f t="shared" si="25"/>
        <v>5.8845641693279482E-38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1.0017711292419122E-2</v>
      </c>
      <c r="C31" s="18">
        <f t="shared" si="3"/>
        <v>1.9899360219970862E-2</v>
      </c>
      <c r="D31" s="17"/>
      <c r="F31" s="3">
        <f t="shared" si="25"/>
        <v>1.9899360219970713E-2</v>
      </c>
      <c r="G31" s="3">
        <f t="shared" si="25"/>
        <v>1.9899360219969381E-2</v>
      </c>
      <c r="H31" s="3">
        <f t="shared" si="25"/>
        <v>1.9899360219956062E-2</v>
      </c>
      <c r="I31" s="3">
        <f t="shared" si="25"/>
        <v>1.9899360219822849E-2</v>
      </c>
      <c r="J31" s="3">
        <f t="shared" si="25"/>
        <v>1.989936021849073E-2</v>
      </c>
      <c r="K31" s="3">
        <f t="shared" si="25"/>
        <v>1.9899360205169553E-2</v>
      </c>
      <c r="L31" s="3">
        <f t="shared" si="25"/>
        <v>1.9899360071957774E-2</v>
      </c>
      <c r="M31" s="3">
        <f t="shared" si="25"/>
        <v>1.9899358739840049E-2</v>
      </c>
      <c r="N31" s="3">
        <f t="shared" si="25"/>
        <v>1.9899345418667704E-2</v>
      </c>
      <c r="O31" s="3">
        <f t="shared" si="25"/>
        <v>1.9899212207434677E-2</v>
      </c>
      <c r="P31" s="3">
        <f t="shared" si="25"/>
        <v>1.9897880144149661E-2</v>
      </c>
      <c r="Q31" s="3">
        <f t="shared" si="25"/>
        <v>1.9884564414609045E-2</v>
      </c>
      <c r="R31" s="3">
        <f t="shared" si="25"/>
        <v>1.9751896237836006E-2</v>
      </c>
      <c r="S31" s="3">
        <f t="shared" si="25"/>
        <v>1.8472936232397878E-2</v>
      </c>
      <c r="T31" s="3">
        <f t="shared" si="25"/>
        <v>9.4581737352117806E-3</v>
      </c>
      <c r="U31" s="3">
        <f t="shared" si="25"/>
        <v>1.1709028110457348E-5</v>
      </c>
      <c r="V31" s="3">
        <f t="shared" si="26"/>
        <v>9.9004848334672213E-35</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5.0524958045850199E-3</v>
      </c>
      <c r="C32" s="18">
        <f t="shared" si="3"/>
        <v>1.0036367698219981E-2</v>
      </c>
      <c r="D32" s="17"/>
      <c r="F32" s="3">
        <f t="shared" si="25"/>
        <v>1.0036367698219974E-2</v>
      </c>
      <c r="G32" s="3">
        <f t="shared" si="25"/>
        <v>1.0036367698219913E-2</v>
      </c>
      <c r="H32" s="3">
        <f t="shared" si="25"/>
        <v>1.0036367698219308E-2</v>
      </c>
      <c r="I32" s="3">
        <f t="shared" si="25"/>
        <v>1.0036367698213247E-2</v>
      </c>
      <c r="J32" s="3">
        <f t="shared" si="25"/>
        <v>1.0036367698152639E-2</v>
      </c>
      <c r="K32" s="3">
        <f t="shared" si="25"/>
        <v>1.0036367697546565E-2</v>
      </c>
      <c r="L32" s="3">
        <f t="shared" si="25"/>
        <v>1.003636769148581E-2</v>
      </c>
      <c r="M32" s="3">
        <f t="shared" si="25"/>
        <v>1.0036367630878269E-2</v>
      </c>
      <c r="N32" s="3">
        <f t="shared" si="25"/>
        <v>1.0036367024802878E-2</v>
      </c>
      <c r="O32" s="3">
        <f t="shared" si="25"/>
        <v>1.0036360964050984E-2</v>
      </c>
      <c r="P32" s="3">
        <f t="shared" si="25"/>
        <v>1.0036300356733349E-2</v>
      </c>
      <c r="Q32" s="3">
        <f t="shared" si="25"/>
        <v>1.0035694303686291E-2</v>
      </c>
      <c r="R32" s="3">
        <f t="shared" si="25"/>
        <v>1.0029635785696036E-2</v>
      </c>
      <c r="S32" s="3">
        <f t="shared" si="25"/>
        <v>9.9692514048926074E-3</v>
      </c>
      <c r="T32" s="3">
        <f t="shared" si="25"/>
        <v>9.3850460056851756E-3</v>
      </c>
      <c r="U32" s="3">
        <f t="shared" si="25"/>
        <v>5.1306806406992604E-3</v>
      </c>
      <c r="V32" s="3">
        <f t="shared" si="26"/>
        <v>1.2233782421967481E-5</v>
      </c>
      <c r="W32" s="3">
        <f t="shared" si="26"/>
        <v>7.2680590473430579E-32</v>
      </c>
      <c r="X32" s="3">
        <f t="shared" si="26"/>
        <v>3.9810294796663993E-294</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5.2718918067982028E-3</v>
      </c>
      <c r="C33" s="18">
        <f t="shared" si="3"/>
        <v>1.0472179826501766E-2</v>
      </c>
      <c r="D33" s="17"/>
      <c r="F33" s="3">
        <f t="shared" si="25"/>
        <v>1.0472179826501764E-2</v>
      </c>
      <c r="G33" s="3">
        <f t="shared" si="25"/>
        <v>1.0472179826501761E-2</v>
      </c>
      <c r="H33" s="3">
        <f t="shared" si="25"/>
        <v>1.0472179826501702E-2</v>
      </c>
      <c r="I33" s="3">
        <f t="shared" si="25"/>
        <v>1.0472179826501133E-2</v>
      </c>
      <c r="J33" s="3">
        <f t="shared" si="25"/>
        <v>1.0472179826495428E-2</v>
      </c>
      <c r="K33" s="3">
        <f t="shared" si="25"/>
        <v>1.0472179826438379E-2</v>
      </c>
      <c r="L33" s="3">
        <f t="shared" si="25"/>
        <v>1.0472179825867909E-2</v>
      </c>
      <c r="M33" s="3">
        <f t="shared" si="25"/>
        <v>1.0472179820163196E-2</v>
      </c>
      <c r="N33" s="3">
        <f t="shared" si="25"/>
        <v>1.0472179763116068E-2</v>
      </c>
      <c r="O33" s="3">
        <f t="shared" si="25"/>
        <v>1.047217919264481E-2</v>
      </c>
      <c r="P33" s="3">
        <f t="shared" si="25"/>
        <v>1.0472173487933919E-2</v>
      </c>
      <c r="Q33" s="3">
        <f t="shared" si="25"/>
        <v>1.0472116440995929E-2</v>
      </c>
      <c r="R33" s="3">
        <f t="shared" si="25"/>
        <v>1.0471545988707679E-2</v>
      </c>
      <c r="S33" s="3">
        <f t="shared" si="25"/>
        <v>1.0465843174643556E-2</v>
      </c>
      <c r="T33" s="3">
        <f t="shared" si="25"/>
        <v>1.0408985571918003E-2</v>
      </c>
      <c r="U33" s="3">
        <f t="shared" ref="P33:AE48" si="27">$C33*EXP(-U$15/$A33)</f>
        <v>9.8571245558685613E-3</v>
      </c>
      <c r="V33" s="3">
        <f t="shared" si="27"/>
        <v>5.7170056674722336E-3</v>
      </c>
      <c r="W33" s="3">
        <f t="shared" si="27"/>
        <v>2.4623648686791888E-5</v>
      </c>
      <c r="X33" s="3">
        <f t="shared" si="27"/>
        <v>5.409912514423425E-29</v>
      </c>
      <c r="Y33" s="3">
        <f t="shared" si="27"/>
        <v>1.4176486192110195E-265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5.7671096493918262E-3</v>
      </c>
      <c r="C34" s="18">
        <f t="shared" si="3"/>
        <v>1.1455889373470318E-2</v>
      </c>
      <c r="D34" s="17"/>
      <c r="F34" s="3">
        <f t="shared" ref="F34:O48" si="28">$C34*EXP(-F$15/$A34)</f>
        <v>1.1455889373470318E-2</v>
      </c>
      <c r="G34" s="3">
        <f t="shared" si="28"/>
        <v>1.1455889373470318E-2</v>
      </c>
      <c r="H34" s="3">
        <f t="shared" si="28"/>
        <v>1.1455889373470311E-2</v>
      </c>
      <c r="I34" s="3">
        <f t="shared" si="28"/>
        <v>1.1455889373470255E-2</v>
      </c>
      <c r="J34" s="3">
        <f t="shared" si="28"/>
        <v>1.1455889373469691E-2</v>
      </c>
      <c r="K34" s="3">
        <f t="shared" si="28"/>
        <v>1.1455889373464062E-2</v>
      </c>
      <c r="L34" s="3">
        <f t="shared" si="28"/>
        <v>1.1455889373407767E-2</v>
      </c>
      <c r="M34" s="3">
        <f t="shared" si="28"/>
        <v>1.1455889372844814E-2</v>
      </c>
      <c r="N34" s="3">
        <f t="shared" si="28"/>
        <v>1.1455889367215285E-2</v>
      </c>
      <c r="O34" s="3">
        <f t="shared" si="28"/>
        <v>1.145588931091999E-2</v>
      </c>
      <c r="P34" s="3">
        <f t="shared" si="27"/>
        <v>1.1455888747967064E-2</v>
      </c>
      <c r="Q34" s="3">
        <f t="shared" si="27"/>
        <v>1.1455883118439307E-2</v>
      </c>
      <c r="R34" s="3">
        <f t="shared" si="27"/>
        <v>1.1455826823313911E-2</v>
      </c>
      <c r="S34" s="3">
        <f t="shared" si="27"/>
        <v>1.1455263887274842E-2</v>
      </c>
      <c r="T34" s="3">
        <f t="shared" si="27"/>
        <v>1.1449636048098242E-2</v>
      </c>
      <c r="U34" s="3">
        <f t="shared" si="27"/>
        <v>1.1393509501513256E-2</v>
      </c>
      <c r="V34" s="3">
        <f t="shared" si="27"/>
        <v>1.0847156058191174E-2</v>
      </c>
      <c r="W34" s="3">
        <f t="shared" si="27"/>
        <v>6.635896198481585E-3</v>
      </c>
      <c r="X34" s="3">
        <f t="shared" si="27"/>
        <v>4.8723282575985351E-5</v>
      </c>
      <c r="Y34" s="3">
        <f t="shared" si="27"/>
        <v>2.2187383913685345E-26</v>
      </c>
      <c r="Z34" s="3">
        <f t="shared" si="27"/>
        <v>8.5074945851094627E-240</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3.1689402929529257E-3</v>
      </c>
      <c r="C35" s="18">
        <f t="shared" si="3"/>
        <v>6.2948394662532018E-3</v>
      </c>
      <c r="D35" s="17"/>
      <c r="F35" s="3">
        <f t="shared" si="28"/>
        <v>6.2948394662532018E-3</v>
      </c>
      <c r="G35" s="3">
        <f t="shared" si="28"/>
        <v>6.2948394662532018E-3</v>
      </c>
      <c r="H35" s="3">
        <f t="shared" si="28"/>
        <v>6.2948394662532018E-3</v>
      </c>
      <c r="I35" s="3">
        <f t="shared" si="28"/>
        <v>6.2948394662531992E-3</v>
      </c>
      <c r="J35" s="3">
        <f t="shared" si="28"/>
        <v>6.2948394662531715E-3</v>
      </c>
      <c r="K35" s="3">
        <f t="shared" si="28"/>
        <v>6.2948394662528913E-3</v>
      </c>
      <c r="L35" s="3">
        <f t="shared" si="28"/>
        <v>6.2948394662501019E-3</v>
      </c>
      <c r="M35" s="3">
        <f t="shared" si="28"/>
        <v>6.2948394662221963E-3</v>
      </c>
      <c r="N35" s="3">
        <f t="shared" si="28"/>
        <v>6.2948394659431512E-3</v>
      </c>
      <c r="O35" s="3">
        <f t="shared" si="28"/>
        <v>6.2948394631526993E-3</v>
      </c>
      <c r="P35" s="3">
        <f t="shared" si="27"/>
        <v>6.2948394352481812E-3</v>
      </c>
      <c r="Q35" s="3">
        <f t="shared" si="27"/>
        <v>6.2948391562030028E-3</v>
      </c>
      <c r="R35" s="3">
        <f t="shared" si="27"/>
        <v>6.2948363657519034E-3</v>
      </c>
      <c r="S35" s="3">
        <f t="shared" si="27"/>
        <v>6.2948084613089423E-3</v>
      </c>
      <c r="T35" s="3">
        <f t="shared" si="27"/>
        <v>6.2945294236826221E-3</v>
      </c>
      <c r="U35" s="3">
        <f t="shared" si="27"/>
        <v>6.2917397276371564E-3</v>
      </c>
      <c r="V35" s="3">
        <f t="shared" si="27"/>
        <v>6.2639106775207003E-3</v>
      </c>
      <c r="W35" s="3">
        <f t="shared" si="27"/>
        <v>5.9923011333826897E-3</v>
      </c>
      <c r="X35" s="3">
        <f t="shared" si="27"/>
        <v>3.846576454539119E-3</v>
      </c>
      <c r="Y35" s="3">
        <f t="shared" si="27"/>
        <v>4.5696375847059297E-5</v>
      </c>
      <c r="Z35" s="3">
        <f t="shared" si="27"/>
        <v>2.5583245993639944E-24</v>
      </c>
      <c r="AA35" s="3">
        <f t="shared" si="27"/>
        <v>7.7391726739267327E-217</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2.7867703960550486E-3</v>
      </c>
      <c r="C36" s="18">
        <f t="shared" si="3"/>
        <v>5.5356903730511449E-3</v>
      </c>
      <c r="D36" s="17"/>
      <c r="F36" s="3">
        <f t="shared" si="28"/>
        <v>5.5356903730511449E-3</v>
      </c>
      <c r="G36" s="3">
        <f t="shared" si="28"/>
        <v>5.5356903730511449E-3</v>
      </c>
      <c r="H36" s="3">
        <f t="shared" si="28"/>
        <v>5.5356903730511449E-3</v>
      </c>
      <c r="I36" s="3">
        <f t="shared" si="28"/>
        <v>5.5356903730511449E-3</v>
      </c>
      <c r="J36" s="3">
        <f t="shared" si="28"/>
        <v>5.5356903730511423E-3</v>
      </c>
      <c r="K36" s="3">
        <f t="shared" si="28"/>
        <v>5.5356903730511206E-3</v>
      </c>
      <c r="L36" s="3">
        <f t="shared" si="28"/>
        <v>5.5356903730508994E-3</v>
      </c>
      <c r="M36" s="3">
        <f t="shared" si="28"/>
        <v>5.5356903730486851E-3</v>
      </c>
      <c r="N36" s="3">
        <f t="shared" si="28"/>
        <v>5.5356903730265482E-3</v>
      </c>
      <c r="O36" s="3">
        <f t="shared" si="28"/>
        <v>5.5356903728051845E-3</v>
      </c>
      <c r="P36" s="3">
        <f t="shared" si="27"/>
        <v>5.5356903705915377E-3</v>
      </c>
      <c r="Q36" s="3">
        <f t="shared" si="27"/>
        <v>5.5356903484550732E-3</v>
      </c>
      <c r="R36" s="3">
        <f t="shared" si="27"/>
        <v>5.5356901270904348E-3</v>
      </c>
      <c r="S36" s="3">
        <f t="shared" si="27"/>
        <v>5.5356879134445397E-3</v>
      </c>
      <c r="T36" s="3">
        <f t="shared" si="27"/>
        <v>5.5356657770342698E-3</v>
      </c>
      <c r="U36" s="3">
        <f t="shared" si="27"/>
        <v>5.535444417800124E-3</v>
      </c>
      <c r="V36" s="3">
        <f t="shared" si="27"/>
        <v>5.5332313122423557E-3</v>
      </c>
      <c r="W36" s="3">
        <f t="shared" si="27"/>
        <v>5.5111488630870007E-3</v>
      </c>
      <c r="X36" s="3">
        <f t="shared" si="27"/>
        <v>5.2951138594893943E-3</v>
      </c>
      <c r="Y36" s="3">
        <f t="shared" si="27"/>
        <v>3.5498247534984434E-3</v>
      </c>
      <c r="Z36" s="3">
        <f t="shared" si="27"/>
        <v>6.5091310842392791E-5</v>
      </c>
      <c r="AA36" s="3">
        <f t="shared" si="27"/>
        <v>2.7969458579439247E-22</v>
      </c>
      <c r="AB36" s="3">
        <f t="shared" si="27"/>
        <v>6.0019790959937489E-196</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1.50230200905623E-3</v>
      </c>
      <c r="C37" s="18">
        <f t="shared" si="3"/>
        <v>2.9841994807754844E-3</v>
      </c>
      <c r="D37" s="17"/>
      <c r="F37" s="3">
        <f t="shared" si="28"/>
        <v>2.9841994807754844E-3</v>
      </c>
      <c r="G37" s="3">
        <f t="shared" si="28"/>
        <v>2.9841994807754844E-3</v>
      </c>
      <c r="H37" s="3">
        <f t="shared" si="28"/>
        <v>2.9841994807754844E-3</v>
      </c>
      <c r="I37" s="3">
        <f t="shared" si="28"/>
        <v>2.9841994807754844E-3</v>
      </c>
      <c r="J37" s="3">
        <f t="shared" si="28"/>
        <v>2.9841994807754844E-3</v>
      </c>
      <c r="K37" s="3">
        <f t="shared" si="28"/>
        <v>2.9841994807754831E-3</v>
      </c>
      <c r="L37" s="3">
        <f t="shared" si="28"/>
        <v>2.9841994807754723E-3</v>
      </c>
      <c r="M37" s="3">
        <f t="shared" si="28"/>
        <v>2.9841994807753647E-3</v>
      </c>
      <c r="N37" s="3">
        <f t="shared" si="28"/>
        <v>2.9841994807742883E-3</v>
      </c>
      <c r="O37" s="3">
        <f t="shared" si="28"/>
        <v>2.9841994807635235E-3</v>
      </c>
      <c r="P37" s="3">
        <f t="shared" si="27"/>
        <v>2.9841994806558744E-3</v>
      </c>
      <c r="Q37" s="3">
        <f t="shared" si="27"/>
        <v>2.9841994795793822E-3</v>
      </c>
      <c r="R37" s="3">
        <f t="shared" si="27"/>
        <v>2.9841994688144598E-3</v>
      </c>
      <c r="S37" s="3">
        <f t="shared" si="27"/>
        <v>2.9841993611652369E-3</v>
      </c>
      <c r="T37" s="3">
        <f t="shared" si="27"/>
        <v>2.9841982846732251E-3</v>
      </c>
      <c r="U37" s="3">
        <f t="shared" si="27"/>
        <v>2.9841875197744645E-3</v>
      </c>
      <c r="V37" s="3">
        <f t="shared" si="27"/>
        <v>2.9840798729226063E-3</v>
      </c>
      <c r="W37" s="3">
        <f t="shared" si="27"/>
        <v>2.9830036179504214E-3</v>
      </c>
      <c r="X37" s="3">
        <f t="shared" si="27"/>
        <v>2.9722623943936872E-3</v>
      </c>
      <c r="Y37" s="3">
        <f t="shared" si="27"/>
        <v>2.8669545837949556E-3</v>
      </c>
      <c r="Z37" s="3">
        <f t="shared" si="27"/>
        <v>1.998745403464616E-3</v>
      </c>
      <c r="AA37" s="3">
        <f t="shared" si="27"/>
        <v>5.4215582193340373E-5</v>
      </c>
      <c r="AB37" s="3">
        <f t="shared" si="27"/>
        <v>1.1689356497025471E-20</v>
      </c>
      <c r="AC37" s="3">
        <f t="shared" si="27"/>
        <v>2.5377882566478069E-177</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5.8892731852379235E-4</v>
      </c>
      <c r="C38" s="18">
        <f t="shared" si="3"/>
        <v>1.1698557197945001E-3</v>
      </c>
      <c r="D38" s="17"/>
      <c r="F38" s="3">
        <f t="shared" si="28"/>
        <v>1.1698557197945001E-3</v>
      </c>
      <c r="G38" s="3">
        <f t="shared" si="28"/>
        <v>1.1698557197945001E-3</v>
      </c>
      <c r="H38" s="3">
        <f t="shared" si="28"/>
        <v>1.1698557197945001E-3</v>
      </c>
      <c r="I38" s="3">
        <f t="shared" si="28"/>
        <v>1.1698557197945001E-3</v>
      </c>
      <c r="J38" s="3">
        <f t="shared" si="28"/>
        <v>1.1698557197945001E-3</v>
      </c>
      <c r="K38" s="3">
        <f t="shared" si="28"/>
        <v>1.1698557197945001E-3</v>
      </c>
      <c r="L38" s="3">
        <f t="shared" si="28"/>
        <v>1.1698557197944996E-3</v>
      </c>
      <c r="M38" s="3">
        <f t="shared" si="28"/>
        <v>1.1698557197944957E-3</v>
      </c>
      <c r="N38" s="3">
        <f t="shared" si="28"/>
        <v>1.1698557197944578E-3</v>
      </c>
      <c r="O38" s="3">
        <f t="shared" si="28"/>
        <v>1.169855719794077E-3</v>
      </c>
      <c r="P38" s="3">
        <f t="shared" si="27"/>
        <v>1.1698557197902702E-3</v>
      </c>
      <c r="Q38" s="3">
        <f t="shared" si="27"/>
        <v>1.1698557197522021E-3</v>
      </c>
      <c r="R38" s="3">
        <f t="shared" si="27"/>
        <v>1.1698557193715205E-3</v>
      </c>
      <c r="S38" s="3">
        <f t="shared" si="27"/>
        <v>1.1698557155647039E-3</v>
      </c>
      <c r="T38" s="3">
        <f t="shared" si="27"/>
        <v>1.1698556774965389E-3</v>
      </c>
      <c r="U38" s="3">
        <f t="shared" si="27"/>
        <v>1.1698552968149583E-3</v>
      </c>
      <c r="V38" s="3">
        <f t="shared" si="27"/>
        <v>1.1698514900059631E-3</v>
      </c>
      <c r="W38" s="3">
        <f t="shared" si="27"/>
        <v>1.1698134225973282E-3</v>
      </c>
      <c r="X38" s="3">
        <f t="shared" si="27"/>
        <v>1.1694328166343593E-3</v>
      </c>
      <c r="Y38" s="3">
        <f t="shared" si="27"/>
        <v>1.1656335611476851E-3</v>
      </c>
      <c r="Z38" s="3">
        <f t="shared" si="27"/>
        <v>1.1283132991206869E-3</v>
      </c>
      <c r="AA38" s="3">
        <f t="shared" si="27"/>
        <v>8.1490380488004701E-4</v>
      </c>
      <c r="AB38" s="3">
        <f t="shared" si="27"/>
        <v>3.1468260055922513E-5</v>
      </c>
      <c r="AC38" s="3">
        <f t="shared" si="27"/>
        <v>2.3202596109405078E-19</v>
      </c>
      <c r="AD38" s="3">
        <f t="shared" si="27"/>
        <v>1.1019834635380443E-160</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2.0239601776296604E-4</v>
      </c>
      <c r="C39" s="18">
        <f t="shared" si="3"/>
        <v>4.0204305624187052E-4</v>
      </c>
      <c r="D39" s="17"/>
      <c r="F39" s="3">
        <f t="shared" si="28"/>
        <v>4.0204305624187052E-4</v>
      </c>
      <c r="G39" s="3">
        <f t="shared" si="28"/>
        <v>4.0204305624187052E-4</v>
      </c>
      <c r="H39" s="3">
        <f t="shared" si="28"/>
        <v>4.0204305624187052E-4</v>
      </c>
      <c r="I39" s="3">
        <f t="shared" si="28"/>
        <v>4.0204305624187052E-4</v>
      </c>
      <c r="J39" s="3">
        <f t="shared" si="28"/>
        <v>4.0204305624187052E-4</v>
      </c>
      <c r="K39" s="3">
        <f t="shared" si="28"/>
        <v>4.0204305624187052E-4</v>
      </c>
      <c r="L39" s="3">
        <f t="shared" si="28"/>
        <v>4.0204305624187047E-4</v>
      </c>
      <c r="M39" s="3">
        <f t="shared" si="28"/>
        <v>4.0204305624187014E-4</v>
      </c>
      <c r="N39" s="3">
        <f t="shared" si="28"/>
        <v>4.0204305624186651E-4</v>
      </c>
      <c r="O39" s="3">
        <f t="shared" si="28"/>
        <v>4.020430562418303E-4</v>
      </c>
      <c r="P39" s="3">
        <f t="shared" si="27"/>
        <v>4.020430562414685E-4</v>
      </c>
      <c r="Q39" s="3">
        <f t="shared" si="27"/>
        <v>4.0204305623785008E-4</v>
      </c>
      <c r="R39" s="3">
        <f t="shared" si="27"/>
        <v>4.0204305620166619E-4</v>
      </c>
      <c r="S39" s="3">
        <f t="shared" si="27"/>
        <v>4.0204305583982749E-4</v>
      </c>
      <c r="T39" s="3">
        <f t="shared" si="27"/>
        <v>4.0204305222143999E-4</v>
      </c>
      <c r="U39" s="3">
        <f t="shared" si="27"/>
        <v>4.0204301603756693E-4</v>
      </c>
      <c r="V39" s="3">
        <f t="shared" si="27"/>
        <v>4.020426541990153E-4</v>
      </c>
      <c r="W39" s="3">
        <f t="shared" si="27"/>
        <v>4.0203903583141019E-4</v>
      </c>
      <c r="X39" s="3">
        <f t="shared" si="27"/>
        <v>4.020028539463946E-4</v>
      </c>
      <c r="Y39" s="3">
        <f t="shared" si="27"/>
        <v>4.0164121414016637E-4</v>
      </c>
      <c r="Z39" s="3">
        <f t="shared" si="27"/>
        <v>3.9804266099227137E-4</v>
      </c>
      <c r="AA39" s="3">
        <f t="shared" si="27"/>
        <v>3.6378360094918019E-4</v>
      </c>
      <c r="AB39" s="3">
        <f t="shared" si="27"/>
        <v>1.4790337485711809E-4</v>
      </c>
      <c r="AC39" s="3">
        <f t="shared" si="27"/>
        <v>1.8252726514875671E-8</v>
      </c>
      <c r="AD39" s="3">
        <f t="shared" si="27"/>
        <v>1.4956307148513765E-47</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4.5635150111090247E-4</v>
      </c>
      <c r="C40" s="18">
        <f t="shared" si="3"/>
        <v>9.0650475367586036E-4</v>
      </c>
      <c r="D40" s="17"/>
      <c r="F40" s="3">
        <f t="shared" si="28"/>
        <v>9.0650475367586036E-4</v>
      </c>
      <c r="G40" s="3">
        <f t="shared" si="28"/>
        <v>9.0650475367586036E-4</v>
      </c>
      <c r="H40" s="3">
        <f t="shared" si="28"/>
        <v>9.0650475367586036E-4</v>
      </c>
      <c r="I40" s="3">
        <f t="shared" si="28"/>
        <v>9.0650475367586036E-4</v>
      </c>
      <c r="J40" s="3">
        <f t="shared" si="28"/>
        <v>9.0650475367586036E-4</v>
      </c>
      <c r="K40" s="3">
        <f t="shared" si="28"/>
        <v>9.0650475367586036E-4</v>
      </c>
      <c r="L40" s="3">
        <f t="shared" si="28"/>
        <v>9.0650475367586036E-4</v>
      </c>
      <c r="M40" s="3">
        <f t="shared" si="28"/>
        <v>9.0650475367586025E-4</v>
      </c>
      <c r="N40" s="3">
        <f t="shared" si="28"/>
        <v>9.0650475367585949E-4</v>
      </c>
      <c r="O40" s="3">
        <f t="shared" si="28"/>
        <v>9.0650475367585125E-4</v>
      </c>
      <c r="P40" s="3">
        <f t="shared" si="27"/>
        <v>9.0650475367576972E-4</v>
      </c>
      <c r="Q40" s="3">
        <f t="shared" si="27"/>
        <v>9.0650475367495386E-4</v>
      </c>
      <c r="R40" s="3">
        <f t="shared" si="27"/>
        <v>9.0650475366679535E-4</v>
      </c>
      <c r="S40" s="3">
        <f t="shared" si="27"/>
        <v>9.0650475358520989E-4</v>
      </c>
      <c r="T40" s="3">
        <f t="shared" si="27"/>
        <v>9.0650475276935567E-4</v>
      </c>
      <c r="U40" s="3">
        <f t="shared" si="27"/>
        <v>9.0650474461081293E-4</v>
      </c>
      <c r="V40" s="3">
        <f t="shared" si="27"/>
        <v>9.0650466302538962E-4</v>
      </c>
      <c r="W40" s="3">
        <f t="shared" si="27"/>
        <v>9.0650384717155992E-4</v>
      </c>
      <c r="X40" s="3">
        <f t="shared" si="27"/>
        <v>9.0649568867364871E-4</v>
      </c>
      <c r="Y40" s="3">
        <f t="shared" si="27"/>
        <v>9.0641410773286551E-4</v>
      </c>
      <c r="Z40" s="3">
        <f t="shared" si="27"/>
        <v>9.0559870202351503E-4</v>
      </c>
      <c r="AA40" s="3">
        <f t="shared" si="27"/>
        <v>8.9748488066961616E-4</v>
      </c>
      <c r="AB40" s="3">
        <f t="shared" si="27"/>
        <v>8.20239420753389E-4</v>
      </c>
      <c r="AC40" s="3">
        <f t="shared" si="27"/>
        <v>3.3348446220153149E-4</v>
      </c>
      <c r="AD40" s="3">
        <f t="shared" si="27"/>
        <v>4.1155252146242695E-8</v>
      </c>
      <c r="AE40" s="3">
        <f t="shared" si="27"/>
        <v>3.372266556298254E-47</v>
      </c>
      <c r="AF40" s="3">
        <f t="shared" si="29"/>
        <v>0</v>
      </c>
      <c r="AG40" s="3">
        <f t="shared" si="29"/>
        <v>0</v>
      </c>
      <c r="AH40" s="3">
        <f t="shared" si="29"/>
        <v>0</v>
      </c>
      <c r="AI40" s="3">
        <f t="shared" si="29"/>
        <v>0</v>
      </c>
      <c r="AJ40" s="3">
        <f t="shared" si="29"/>
        <v>0</v>
      </c>
    </row>
    <row r="41" spans="1:36" x14ac:dyDescent="0.25">
      <c r="A41" s="3">
        <f t="shared" si="30"/>
        <v>1000000000</v>
      </c>
      <c r="B41" s="106">
        <v>9.2301613485944184E-5</v>
      </c>
      <c r="C41" s="18">
        <f t="shared" si="3"/>
        <v>1.833495697796037E-4</v>
      </c>
      <c r="D41" s="17"/>
      <c r="F41" s="3">
        <f t="shared" si="28"/>
        <v>1.833495697796037E-4</v>
      </c>
      <c r="G41" s="3">
        <f t="shared" si="28"/>
        <v>1.833495697796037E-4</v>
      </c>
      <c r="H41" s="3">
        <f t="shared" si="28"/>
        <v>1.833495697796037E-4</v>
      </c>
      <c r="I41" s="3">
        <f t="shared" si="28"/>
        <v>1.833495697796037E-4</v>
      </c>
      <c r="J41" s="3">
        <f t="shared" si="28"/>
        <v>1.833495697796037E-4</v>
      </c>
      <c r="K41" s="3">
        <f t="shared" si="28"/>
        <v>1.833495697796037E-4</v>
      </c>
      <c r="L41" s="3">
        <f t="shared" si="28"/>
        <v>1.833495697796037E-4</v>
      </c>
      <c r="M41" s="3">
        <f t="shared" si="28"/>
        <v>1.833495697796037E-4</v>
      </c>
      <c r="N41" s="3">
        <f t="shared" si="28"/>
        <v>1.8334956977960368E-4</v>
      </c>
      <c r="O41" s="3">
        <f t="shared" si="28"/>
        <v>1.8334956977960351E-4</v>
      </c>
      <c r="P41" s="3">
        <f t="shared" si="27"/>
        <v>1.8334956977960186E-4</v>
      </c>
      <c r="Q41" s="3">
        <f t="shared" si="27"/>
        <v>1.8334956977958535E-4</v>
      </c>
      <c r="R41" s="3">
        <f t="shared" si="27"/>
        <v>1.8334956977942036E-4</v>
      </c>
      <c r="S41" s="3">
        <f t="shared" si="27"/>
        <v>1.8334956977777021E-4</v>
      </c>
      <c r="T41" s="3">
        <f t="shared" si="27"/>
        <v>1.8334956976126873E-4</v>
      </c>
      <c r="U41" s="3">
        <f t="shared" si="27"/>
        <v>1.8334956959625414E-4</v>
      </c>
      <c r="V41" s="3">
        <f t="shared" si="27"/>
        <v>1.8334956794610803E-4</v>
      </c>
      <c r="W41" s="3">
        <f t="shared" si="27"/>
        <v>1.8334955144464764E-4</v>
      </c>
      <c r="X41" s="3">
        <f t="shared" si="27"/>
        <v>1.8334938643012561E-4</v>
      </c>
      <c r="Y41" s="3">
        <f t="shared" si="27"/>
        <v>1.8334773629307335E-4</v>
      </c>
      <c r="Z41" s="3">
        <f t="shared" si="27"/>
        <v>1.8333123573934304E-4</v>
      </c>
      <c r="AA41" s="3">
        <f t="shared" si="27"/>
        <v>1.8316631185405838E-4</v>
      </c>
      <c r="AB41" s="3">
        <f t="shared" si="27"/>
        <v>1.8152521107827815E-4</v>
      </c>
      <c r="AC41" s="3">
        <f t="shared" si="27"/>
        <v>1.6590155131738059E-4</v>
      </c>
      <c r="AD41" s="3">
        <f t="shared" si="27"/>
        <v>6.7450537269544988E-5</v>
      </c>
      <c r="AE41" s="3">
        <f t="shared" si="27"/>
        <v>8.3240575899758241E-9</v>
      </c>
      <c r="AF41" s="3">
        <f t="shared" si="29"/>
        <v>6.8207432975085964E-48</v>
      </c>
      <c r="AG41" s="3">
        <f t="shared" si="29"/>
        <v>0</v>
      </c>
      <c r="AH41" s="3">
        <f t="shared" si="29"/>
        <v>0</v>
      </c>
      <c r="AI41" s="3">
        <f t="shared" si="29"/>
        <v>0</v>
      </c>
      <c r="AJ41" s="3">
        <f t="shared" si="29"/>
        <v>0</v>
      </c>
    </row>
    <row r="42" spans="1:36" x14ac:dyDescent="0.25">
      <c r="A42" s="3">
        <f t="shared" si="30"/>
        <v>10000000000</v>
      </c>
      <c r="B42" s="106">
        <v>0</v>
      </c>
      <c r="C42" s="18">
        <f t="shared" si="3"/>
        <v>0</v>
      </c>
      <c r="D42" s="17"/>
      <c r="F42" s="3">
        <f t="shared" si="28"/>
        <v>0</v>
      </c>
      <c r="G42" s="3">
        <f t="shared" si="28"/>
        <v>0</v>
      </c>
      <c r="H42" s="3">
        <f t="shared" si="28"/>
        <v>0</v>
      </c>
      <c r="I42" s="3">
        <f t="shared" si="28"/>
        <v>0</v>
      </c>
      <c r="J42" s="3">
        <f t="shared" si="28"/>
        <v>0</v>
      </c>
      <c r="K42" s="3">
        <f t="shared" si="28"/>
        <v>0</v>
      </c>
      <c r="L42" s="3">
        <f t="shared" si="28"/>
        <v>0</v>
      </c>
      <c r="M42" s="3">
        <f t="shared" si="28"/>
        <v>0</v>
      </c>
      <c r="N42" s="3">
        <f t="shared" si="28"/>
        <v>0</v>
      </c>
      <c r="O42" s="3">
        <f t="shared" si="28"/>
        <v>0</v>
      </c>
      <c r="P42" s="3">
        <f t="shared" si="27"/>
        <v>0</v>
      </c>
      <c r="Q42" s="3">
        <f t="shared" si="27"/>
        <v>0</v>
      </c>
      <c r="R42" s="3">
        <f t="shared" si="27"/>
        <v>0</v>
      </c>
      <c r="S42" s="3">
        <f t="shared" si="27"/>
        <v>0</v>
      </c>
      <c r="T42" s="3">
        <f t="shared" si="27"/>
        <v>0</v>
      </c>
      <c r="U42" s="3">
        <f t="shared" si="27"/>
        <v>0</v>
      </c>
      <c r="V42" s="3">
        <f t="shared" si="27"/>
        <v>0</v>
      </c>
      <c r="W42" s="3">
        <f t="shared" si="27"/>
        <v>0</v>
      </c>
      <c r="X42" s="3">
        <f t="shared" si="27"/>
        <v>0</v>
      </c>
      <c r="Y42" s="3">
        <f t="shared" si="27"/>
        <v>0</v>
      </c>
      <c r="Z42" s="3">
        <f t="shared" si="27"/>
        <v>0</v>
      </c>
      <c r="AA42" s="3">
        <f t="shared" si="27"/>
        <v>0</v>
      </c>
      <c r="AB42" s="3">
        <f t="shared" si="27"/>
        <v>0</v>
      </c>
      <c r="AC42" s="3">
        <f t="shared" si="27"/>
        <v>0</v>
      </c>
      <c r="AD42" s="3">
        <f t="shared" si="27"/>
        <v>0</v>
      </c>
      <c r="AE42" s="3">
        <f t="shared" si="27"/>
        <v>0</v>
      </c>
      <c r="AF42" s="3">
        <f t="shared" si="29"/>
        <v>0</v>
      </c>
      <c r="AG42" s="3">
        <f t="shared" si="29"/>
        <v>0</v>
      </c>
      <c r="AH42" s="3">
        <f t="shared" si="29"/>
        <v>0</v>
      </c>
      <c r="AI42" s="3">
        <f t="shared" si="29"/>
        <v>0</v>
      </c>
      <c r="AJ42" s="3">
        <f t="shared" si="29"/>
        <v>0</v>
      </c>
    </row>
    <row r="43" spans="1:36" x14ac:dyDescent="0.25">
      <c r="A43" s="3">
        <f t="shared" si="30"/>
        <v>100000000000</v>
      </c>
      <c r="B43" s="106">
        <v>1.3885349130953524E-4</v>
      </c>
      <c r="C43" s="18">
        <f t="shared" si="3"/>
        <v>2.7582104941075727E-4</v>
      </c>
      <c r="D43" s="17"/>
      <c r="F43" s="3">
        <f t="shared" si="28"/>
        <v>2.7582104941075727E-4</v>
      </c>
      <c r="G43" s="3">
        <f t="shared" si="28"/>
        <v>2.7582104941075727E-4</v>
      </c>
      <c r="H43" s="3">
        <f t="shared" si="28"/>
        <v>2.7582104941075727E-4</v>
      </c>
      <c r="I43" s="3">
        <f t="shared" si="28"/>
        <v>2.7582104941075727E-4</v>
      </c>
      <c r="J43" s="3">
        <f t="shared" si="28"/>
        <v>2.7582104941075727E-4</v>
      </c>
      <c r="K43" s="3">
        <f t="shared" si="28"/>
        <v>2.7582104941075727E-4</v>
      </c>
      <c r="L43" s="3">
        <f t="shared" si="28"/>
        <v>2.7582104941075727E-4</v>
      </c>
      <c r="M43" s="3">
        <f t="shared" si="28"/>
        <v>2.7582104941075727E-4</v>
      </c>
      <c r="N43" s="3">
        <f t="shared" si="28"/>
        <v>2.7582104941075727E-4</v>
      </c>
      <c r="O43" s="3">
        <f t="shared" si="28"/>
        <v>2.7582104941075727E-4</v>
      </c>
      <c r="P43" s="3">
        <f t="shared" si="27"/>
        <v>2.7582104941075721E-4</v>
      </c>
      <c r="Q43" s="3">
        <f t="shared" si="27"/>
        <v>2.7582104941075699E-4</v>
      </c>
      <c r="R43" s="3">
        <f t="shared" si="27"/>
        <v>2.758210494107545E-4</v>
      </c>
      <c r="S43" s="3">
        <f t="shared" si="27"/>
        <v>2.7582104941072967E-4</v>
      </c>
      <c r="T43" s="3">
        <f t="shared" si="27"/>
        <v>2.7582104941048144E-4</v>
      </c>
      <c r="U43" s="3">
        <f t="shared" si="27"/>
        <v>2.7582104940799906E-4</v>
      </c>
      <c r="V43" s="3">
        <f t="shared" si="27"/>
        <v>2.7582104938317516E-4</v>
      </c>
      <c r="W43" s="3">
        <f t="shared" si="27"/>
        <v>2.7582104913493623E-4</v>
      </c>
      <c r="X43" s="3">
        <f t="shared" si="27"/>
        <v>2.7582104665254678E-4</v>
      </c>
      <c r="Y43" s="3">
        <f t="shared" si="27"/>
        <v>2.7582102182865373E-4</v>
      </c>
      <c r="Z43" s="3">
        <f t="shared" si="27"/>
        <v>2.7582077358984574E-4</v>
      </c>
      <c r="AA43" s="3">
        <f t="shared" si="27"/>
        <v>2.7581829121405417E-4</v>
      </c>
      <c r="AB43" s="3">
        <f t="shared" si="27"/>
        <v>2.7579346868487545E-4</v>
      </c>
      <c r="AC43" s="3">
        <f t="shared" si="27"/>
        <v>2.7554536622591253E-4</v>
      </c>
      <c r="AD43" s="3">
        <f t="shared" si="27"/>
        <v>2.7307658411364132E-4</v>
      </c>
      <c r="AE43" s="3">
        <f t="shared" si="27"/>
        <v>2.4957320618879841E-4</v>
      </c>
      <c r="AF43" s="3">
        <f t="shared" si="29"/>
        <v>1.0146889352055016E-4</v>
      </c>
      <c r="AG43" s="3">
        <f t="shared" si="29"/>
        <v>1.2522256270263244E-8</v>
      </c>
      <c r="AH43" s="3">
        <f t="shared" si="29"/>
        <v>1.0260752595938141E-47</v>
      </c>
      <c r="AI43" s="3">
        <f t="shared" si="29"/>
        <v>0</v>
      </c>
      <c r="AJ43" s="3">
        <f t="shared" si="29"/>
        <v>0</v>
      </c>
    </row>
    <row r="44" spans="1:36" x14ac:dyDescent="0.25">
      <c r="A44" s="3">
        <f t="shared" si="30"/>
        <v>1000000000000</v>
      </c>
      <c r="B44" s="106">
        <v>1.2351420182252283E-4</v>
      </c>
      <c r="C44" s="18">
        <f t="shared" si="3"/>
        <v>2.4535081143819124E-4</v>
      </c>
      <c r="D44" s="17"/>
      <c r="F44" s="3">
        <f t="shared" si="28"/>
        <v>2.4535081143819124E-4</v>
      </c>
      <c r="G44" s="3">
        <f t="shared" si="28"/>
        <v>2.4535081143819124E-4</v>
      </c>
      <c r="H44" s="3">
        <f t="shared" si="28"/>
        <v>2.4535081143819124E-4</v>
      </c>
      <c r="I44" s="3">
        <f t="shared" si="28"/>
        <v>2.4535081143819124E-4</v>
      </c>
      <c r="J44" s="3">
        <f t="shared" si="28"/>
        <v>2.4535081143819124E-4</v>
      </c>
      <c r="K44" s="3">
        <f t="shared" si="28"/>
        <v>2.4535081143819124E-4</v>
      </c>
      <c r="L44" s="3">
        <f t="shared" si="28"/>
        <v>2.4535081143819124E-4</v>
      </c>
      <c r="M44" s="3">
        <f t="shared" si="28"/>
        <v>2.4535081143819124E-4</v>
      </c>
      <c r="N44" s="3">
        <f t="shared" si="28"/>
        <v>2.4535081143819124E-4</v>
      </c>
      <c r="O44" s="3">
        <f t="shared" si="28"/>
        <v>2.4535081143819124E-4</v>
      </c>
      <c r="P44" s="3">
        <f t="shared" si="27"/>
        <v>2.4535081143819124E-4</v>
      </c>
      <c r="Q44" s="3">
        <f t="shared" si="27"/>
        <v>2.4535081143819119E-4</v>
      </c>
      <c r="R44" s="3">
        <f t="shared" si="27"/>
        <v>2.4535081143819097E-4</v>
      </c>
      <c r="S44" s="3">
        <f t="shared" si="27"/>
        <v>2.453508114381888E-4</v>
      </c>
      <c r="T44" s="3">
        <f t="shared" si="27"/>
        <v>2.4535081143816669E-4</v>
      </c>
      <c r="U44" s="3">
        <f t="shared" si="27"/>
        <v>2.4535081143794589E-4</v>
      </c>
      <c r="V44" s="3">
        <f t="shared" si="27"/>
        <v>2.4535081143573775E-4</v>
      </c>
      <c r="W44" s="3">
        <f t="shared" si="27"/>
        <v>2.4535081141365618E-4</v>
      </c>
      <c r="X44" s="3">
        <f t="shared" si="27"/>
        <v>2.4535081119284047E-4</v>
      </c>
      <c r="Y44" s="3">
        <f t="shared" si="27"/>
        <v>2.4535080898468314E-4</v>
      </c>
      <c r="Z44" s="3">
        <f t="shared" si="27"/>
        <v>2.4535078690311133E-4</v>
      </c>
      <c r="AA44" s="3">
        <f t="shared" si="27"/>
        <v>2.4535056608750248E-4</v>
      </c>
      <c r="AB44" s="3">
        <f t="shared" si="27"/>
        <v>2.4534835794234438E-4</v>
      </c>
      <c r="AC44" s="3">
        <f t="shared" si="27"/>
        <v>2.4532627758376059E-4</v>
      </c>
      <c r="AD44" s="3">
        <f t="shared" si="27"/>
        <v>2.4510558326127719E-4</v>
      </c>
      <c r="AE44" s="3">
        <f t="shared" si="27"/>
        <v>2.4290953007460474E-4</v>
      </c>
      <c r="AF44" s="3">
        <f t="shared" si="29"/>
        <v>2.2200259473476052E-4</v>
      </c>
      <c r="AG44" s="3">
        <f t="shared" si="29"/>
        <v>9.0259519402841718E-5</v>
      </c>
      <c r="AH44" s="3">
        <f t="shared" si="29"/>
        <v>1.1138909606462548E-8</v>
      </c>
      <c r="AI44" s="3">
        <f t="shared" si="29"/>
        <v>9.1272365932843336E-48</v>
      </c>
      <c r="AJ44" s="3">
        <f t="shared" si="29"/>
        <v>0</v>
      </c>
    </row>
    <row r="45" spans="1:36" x14ac:dyDescent="0.25">
      <c r="A45" s="3">
        <f t="shared" si="30"/>
        <v>10000000000000</v>
      </c>
      <c r="B45" s="106">
        <v>0</v>
      </c>
      <c r="C45" s="18">
        <f t="shared" si="3"/>
        <v>0</v>
      </c>
      <c r="D45" s="17"/>
      <c r="F45" s="3">
        <f t="shared" si="28"/>
        <v>0</v>
      </c>
      <c r="G45" s="3">
        <f t="shared" si="28"/>
        <v>0</v>
      </c>
      <c r="H45" s="3">
        <f t="shared" si="28"/>
        <v>0</v>
      </c>
      <c r="I45" s="3">
        <f t="shared" si="28"/>
        <v>0</v>
      </c>
      <c r="J45" s="3">
        <f t="shared" si="28"/>
        <v>0</v>
      </c>
      <c r="K45" s="3">
        <f t="shared" si="28"/>
        <v>0</v>
      </c>
      <c r="L45" s="3">
        <f t="shared" si="28"/>
        <v>0</v>
      </c>
      <c r="M45" s="3">
        <f t="shared" si="28"/>
        <v>0</v>
      </c>
      <c r="N45" s="3">
        <f t="shared" si="28"/>
        <v>0</v>
      </c>
      <c r="O45" s="3">
        <f t="shared" si="28"/>
        <v>0</v>
      </c>
      <c r="P45" s="3">
        <f t="shared" si="27"/>
        <v>0</v>
      </c>
      <c r="Q45" s="3">
        <f t="shared" si="27"/>
        <v>0</v>
      </c>
      <c r="R45" s="3">
        <f t="shared" si="27"/>
        <v>0</v>
      </c>
      <c r="S45" s="3">
        <f t="shared" si="27"/>
        <v>0</v>
      </c>
      <c r="T45" s="3">
        <f t="shared" si="27"/>
        <v>0</v>
      </c>
      <c r="U45" s="3">
        <f t="shared" si="27"/>
        <v>0</v>
      </c>
      <c r="V45" s="3">
        <f t="shared" si="27"/>
        <v>0</v>
      </c>
      <c r="W45" s="3">
        <f t="shared" si="27"/>
        <v>0</v>
      </c>
      <c r="X45" s="3">
        <f t="shared" si="27"/>
        <v>0</v>
      </c>
      <c r="Y45" s="3">
        <f t="shared" si="27"/>
        <v>0</v>
      </c>
      <c r="Z45" s="3">
        <f t="shared" si="27"/>
        <v>0</v>
      </c>
      <c r="AA45" s="3">
        <f t="shared" si="27"/>
        <v>0</v>
      </c>
      <c r="AB45" s="3">
        <f t="shared" si="27"/>
        <v>0</v>
      </c>
      <c r="AC45" s="3">
        <f t="shared" si="27"/>
        <v>0</v>
      </c>
      <c r="AD45" s="3">
        <f t="shared" si="27"/>
        <v>0</v>
      </c>
      <c r="AE45" s="3">
        <f t="shared" si="27"/>
        <v>0</v>
      </c>
      <c r="AF45" s="3">
        <f t="shared" si="29"/>
        <v>0</v>
      </c>
      <c r="AG45" s="3">
        <f t="shared" si="29"/>
        <v>0</v>
      </c>
      <c r="AH45" s="3">
        <f t="shared" si="29"/>
        <v>0</v>
      </c>
      <c r="AI45" s="3">
        <f t="shared" si="29"/>
        <v>0</v>
      </c>
      <c r="AJ45" s="3">
        <f t="shared" si="29"/>
        <v>0</v>
      </c>
    </row>
    <row r="46" spans="1:36" x14ac:dyDescent="0.25">
      <c r="A46" s="3">
        <f t="shared" si="30"/>
        <v>100000000000000</v>
      </c>
      <c r="B46" s="106">
        <v>8.6868148290026453E-5</v>
      </c>
      <c r="C46" s="18">
        <f t="shared" si="3"/>
        <v>1.7255643769382848E-4</v>
      </c>
      <c r="D46" s="17"/>
      <c r="F46" s="3">
        <f t="shared" si="28"/>
        <v>1.7255643769382848E-4</v>
      </c>
      <c r="G46" s="3">
        <f t="shared" si="28"/>
        <v>1.7255643769382848E-4</v>
      </c>
      <c r="H46" s="3">
        <f t="shared" si="28"/>
        <v>1.7255643769382848E-4</v>
      </c>
      <c r="I46" s="3">
        <f t="shared" si="28"/>
        <v>1.7255643769382848E-4</v>
      </c>
      <c r="J46" s="3">
        <f t="shared" si="28"/>
        <v>1.7255643769382848E-4</v>
      </c>
      <c r="K46" s="3">
        <f t="shared" si="28"/>
        <v>1.7255643769382848E-4</v>
      </c>
      <c r="L46" s="3">
        <f t="shared" si="28"/>
        <v>1.7255643769382848E-4</v>
      </c>
      <c r="M46" s="3">
        <f t="shared" si="28"/>
        <v>1.7255643769382848E-4</v>
      </c>
      <c r="N46" s="3">
        <f t="shared" si="28"/>
        <v>1.7255643769382848E-4</v>
      </c>
      <c r="O46" s="3">
        <f t="shared" si="28"/>
        <v>1.7255643769382848E-4</v>
      </c>
      <c r="P46" s="3">
        <f t="shared" si="27"/>
        <v>1.7255643769382848E-4</v>
      </c>
      <c r="Q46" s="3">
        <f t="shared" si="27"/>
        <v>1.7255643769382848E-4</v>
      </c>
      <c r="R46" s="3">
        <f t="shared" si="27"/>
        <v>1.7255643769382848E-4</v>
      </c>
      <c r="S46" s="3">
        <f t="shared" si="27"/>
        <v>1.7255643769382845E-4</v>
      </c>
      <c r="T46" s="3">
        <f t="shared" si="27"/>
        <v>1.7255643769382832E-4</v>
      </c>
      <c r="U46" s="3">
        <f t="shared" si="27"/>
        <v>1.7255643769382675E-4</v>
      </c>
      <c r="V46" s="3">
        <f t="shared" si="27"/>
        <v>1.7255643769381121E-4</v>
      </c>
      <c r="W46" s="3">
        <f t="shared" si="27"/>
        <v>1.7255643769365593E-4</v>
      </c>
      <c r="X46" s="3">
        <f t="shared" si="27"/>
        <v>1.7255643769210292E-4</v>
      </c>
      <c r="Y46" s="3">
        <f t="shared" si="27"/>
        <v>1.7255643767657283E-4</v>
      </c>
      <c r="Z46" s="3">
        <f t="shared" si="27"/>
        <v>1.7255643752127204E-4</v>
      </c>
      <c r="AA46" s="3">
        <f t="shared" si="27"/>
        <v>1.725564359682641E-4</v>
      </c>
      <c r="AB46" s="3">
        <f t="shared" si="27"/>
        <v>1.7255642043818557E-4</v>
      </c>
      <c r="AC46" s="3">
        <f t="shared" si="27"/>
        <v>1.7255626513747706E-4</v>
      </c>
      <c r="AD46" s="3">
        <f t="shared" si="27"/>
        <v>1.7255471213807933E-4</v>
      </c>
      <c r="AE46" s="3">
        <f t="shared" si="27"/>
        <v>1.7253918291281254E-4</v>
      </c>
      <c r="AF46" s="3">
        <f t="shared" si="29"/>
        <v>1.7238396750560129E-4</v>
      </c>
      <c r="AG46" s="3">
        <f t="shared" si="29"/>
        <v>1.7083947245112357E-4</v>
      </c>
      <c r="AH46" s="3">
        <f t="shared" si="29"/>
        <v>1.5613552154836668E-4</v>
      </c>
      <c r="AI46" s="3">
        <f t="shared" si="29"/>
        <v>6.3479965869340434E-5</v>
      </c>
      <c r="AJ46" s="3">
        <f t="shared" si="29"/>
        <v>7.8340501513644074E-9</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0</v>
      </c>
      <c r="C48" s="18">
        <f t="shared" si="3"/>
        <v>0</v>
      </c>
      <c r="D48" s="17"/>
      <c r="F48" s="3">
        <f t="shared" si="28"/>
        <v>0</v>
      </c>
      <c r="G48" s="3">
        <f t="shared" si="28"/>
        <v>0</v>
      </c>
      <c r="H48" s="3">
        <f t="shared" si="28"/>
        <v>0</v>
      </c>
      <c r="I48" s="3">
        <f t="shared" si="28"/>
        <v>0</v>
      </c>
      <c r="J48" s="3">
        <f t="shared" si="28"/>
        <v>0</v>
      </c>
      <c r="K48" s="3">
        <f t="shared" si="28"/>
        <v>0</v>
      </c>
      <c r="L48" s="3">
        <f t="shared" si="28"/>
        <v>0</v>
      </c>
      <c r="M48" s="3">
        <f t="shared" si="28"/>
        <v>0</v>
      </c>
      <c r="N48" s="3">
        <f t="shared" si="28"/>
        <v>0</v>
      </c>
      <c r="O48" s="3">
        <f t="shared" si="28"/>
        <v>0</v>
      </c>
      <c r="P48" s="3">
        <f t="shared" si="27"/>
        <v>0</v>
      </c>
      <c r="Q48" s="3">
        <f t="shared" si="27"/>
        <v>0</v>
      </c>
      <c r="R48" s="3">
        <f t="shared" si="27"/>
        <v>0</v>
      </c>
      <c r="S48" s="3">
        <f t="shared" si="27"/>
        <v>0</v>
      </c>
      <c r="T48" s="3">
        <f t="shared" si="27"/>
        <v>0</v>
      </c>
      <c r="U48" s="3">
        <f t="shared" si="27"/>
        <v>0</v>
      </c>
      <c r="V48" s="3">
        <f t="shared" si="27"/>
        <v>0</v>
      </c>
      <c r="W48" s="3">
        <f t="shared" si="27"/>
        <v>0</v>
      </c>
      <c r="X48" s="3">
        <f t="shared" si="27"/>
        <v>0</v>
      </c>
      <c r="Y48" s="3">
        <f t="shared" si="27"/>
        <v>0</v>
      </c>
      <c r="Z48" s="3">
        <f t="shared" si="27"/>
        <v>0</v>
      </c>
      <c r="AA48" s="3">
        <f t="shared" si="27"/>
        <v>0</v>
      </c>
      <c r="AB48" s="3">
        <f t="shared" si="27"/>
        <v>0</v>
      </c>
      <c r="AC48" s="3">
        <f t="shared" si="27"/>
        <v>0</v>
      </c>
      <c r="AD48" s="3">
        <f t="shared" si="27"/>
        <v>0</v>
      </c>
      <c r="AE48" s="3">
        <f t="shared" si="27"/>
        <v>0</v>
      </c>
      <c r="AF48" s="3">
        <f t="shared" si="29"/>
        <v>0</v>
      </c>
      <c r="AG48" s="3">
        <f t="shared" si="29"/>
        <v>0</v>
      </c>
      <c r="AH48" s="3">
        <f t="shared" si="29"/>
        <v>0</v>
      </c>
      <c r="AI48" s="3">
        <f t="shared" si="29"/>
        <v>0</v>
      </c>
      <c r="AJ48" s="3">
        <f t="shared" si="29"/>
        <v>0</v>
      </c>
    </row>
    <row r="49" spans="1:36" x14ac:dyDescent="0.25">
      <c r="B49" s="16">
        <f>SUM(B17:B48)</f>
        <v>0.50341876229595639</v>
      </c>
      <c r="C49" s="18">
        <f>SUM(C17:C48)</f>
        <v>0.99999999999999978</v>
      </c>
      <c r="F49" s="3">
        <f t="shared" ref="F49:AJ49" si="31">F16-F17</f>
        <v>67.822160543547398</v>
      </c>
      <c r="G49" s="3">
        <f t="shared" si="31"/>
        <v>-87.725462549875374</v>
      </c>
      <c r="H49" s="3">
        <f t="shared" si="31"/>
        <v>23.209898635764148</v>
      </c>
      <c r="I49" s="3">
        <f t="shared" si="31"/>
        <v>-3.7480545654548223</v>
      </c>
      <c r="J49" s="3">
        <f t="shared" si="31"/>
        <v>0.50753230111968151</v>
      </c>
      <c r="K49" s="3">
        <f t="shared" si="31"/>
        <v>-9.4542963835010596E-2</v>
      </c>
      <c r="L49" s="3">
        <f t="shared" si="31"/>
        <v>5.1544990236379817E-2</v>
      </c>
      <c r="M49" s="3">
        <f t="shared" si="31"/>
        <v>-7.9620354997587128E-2</v>
      </c>
      <c r="N49" s="3">
        <f t="shared" si="31"/>
        <v>0.20144411481805946</v>
      </c>
      <c r="O49" s="3">
        <f t="shared" si="31"/>
        <v>-0.36232389965152834</v>
      </c>
      <c r="P49" s="3">
        <f t="shared" si="31"/>
        <v>0.53000946136126004</v>
      </c>
      <c r="Q49" s="3">
        <f t="shared" si="31"/>
        <v>-0.75465437614730035</v>
      </c>
      <c r="R49" s="3">
        <f t="shared" si="31"/>
        <v>1.0019038911416374</v>
      </c>
      <c r="S49" s="3">
        <f t="shared" si="31"/>
        <v>-1.1116188548530772</v>
      </c>
      <c r="T49" s="3">
        <f t="shared" si="31"/>
        <v>1.0086048355262847</v>
      </c>
      <c r="U49" s="3">
        <f t="shared" si="31"/>
        <v>-0.76481868176500711</v>
      </c>
      <c r="V49" s="3">
        <f t="shared" si="31"/>
        <v>0.49366293346548673</v>
      </c>
      <c r="W49" s="3">
        <f t="shared" si="31"/>
        <v>-0.25131243811517834</v>
      </c>
      <c r="X49" s="3">
        <f t="shared" si="31"/>
        <v>6.1823027103343975E-2</v>
      </c>
      <c r="Y49" s="3">
        <f t="shared" si="31"/>
        <v>7.2488488174570875E-2</v>
      </c>
      <c r="Z49" s="3">
        <f t="shared" si="31"/>
        <v>-0.13596847383067256</v>
      </c>
      <c r="AA49" s="3">
        <f t="shared" si="31"/>
        <v>0.10620209407926495</v>
      </c>
      <c r="AB49" s="3">
        <f t="shared" si="31"/>
        <v>-2.643072884927733E-2</v>
      </c>
      <c r="AC49" s="3">
        <f t="shared" si="31"/>
        <v>-1.6113437924673235E-2</v>
      </c>
      <c r="AD49" s="3">
        <f t="shared" si="31"/>
        <v>-4.4253989640026248E-3</v>
      </c>
      <c r="AE49" s="3">
        <f t="shared" si="31"/>
        <v>-6.9047262610467897E-2</v>
      </c>
      <c r="AF49" s="3">
        <f t="shared" si="31"/>
        <v>0.24649149992552566</v>
      </c>
      <c r="AG49" s="3">
        <f t="shared" si="31"/>
        <v>-0.39479538231441325</v>
      </c>
      <c r="AH49" s="3">
        <f t="shared" si="31"/>
        <v>0.27539493033975759</v>
      </c>
      <c r="AI49" s="3">
        <f t="shared" si="31"/>
        <v>-5.933106385452902E-2</v>
      </c>
      <c r="AJ49" s="3">
        <f t="shared" si="31"/>
        <v>1.9669942123726969E-2</v>
      </c>
    </row>
    <row r="50" spans="1:36" x14ac:dyDescent="0.25">
      <c r="F50" s="57">
        <f t="shared" ref="F50:AJ50" si="32">F49/F17</f>
        <v>1.5178147774782141E-2</v>
      </c>
      <c r="G50" s="57">
        <f t="shared" si="32"/>
        <v>-1.9979171038632768E-2</v>
      </c>
      <c r="H50" s="57">
        <f t="shared" si="32"/>
        <v>5.6548869723971771E-3</v>
      </c>
      <c r="I50" s="57">
        <f t="shared" si="32"/>
        <v>-9.4903016384632606E-4</v>
      </c>
      <c r="J50" s="57">
        <f t="shared" si="32"/>
        <v>1.3476277345363729E-4</v>
      </c>
      <c r="K50" s="57">
        <f t="shared" si="32"/>
        <v>-2.661655161612533E-5</v>
      </c>
      <c r="L50" s="57">
        <f t="shared" si="32"/>
        <v>1.5533092216845934E-5</v>
      </c>
      <c r="M50" s="57">
        <f t="shared" si="32"/>
        <v>-2.6098572752344348E-5</v>
      </c>
      <c r="N50" s="57">
        <f t="shared" si="32"/>
        <v>7.3387620159881721E-5</v>
      </c>
      <c r="O50" s="57">
        <f t="shared" si="32"/>
        <v>-1.522157309997822E-4</v>
      </c>
      <c r="P50" s="57">
        <f t="shared" si="32"/>
        <v>2.7205303613431908E-4</v>
      </c>
      <c r="Q50" s="57">
        <f t="shared" si="32"/>
        <v>-5.0865888953717953E-4</v>
      </c>
      <c r="R50" s="57">
        <f t="shared" si="32"/>
        <v>9.4184437081747997E-4</v>
      </c>
      <c r="S50" s="57">
        <f t="shared" si="32"/>
        <v>-1.468145844708615E-3</v>
      </c>
      <c r="T50" s="57">
        <f t="shared" si="32"/>
        <v>1.7593917778561208E-3</v>
      </c>
      <c r="U50" s="57">
        <f t="shared" si="32"/>
        <v>-1.6165250836573236E-3</v>
      </c>
      <c r="V50" s="57">
        <f t="shared" si="32"/>
        <v>1.2211145191587543E-3</v>
      </c>
      <c r="W50" s="57">
        <f t="shared" si="32"/>
        <v>-7.5497509485425375E-4</v>
      </c>
      <c r="X50" s="57">
        <f t="shared" si="32"/>
        <v>2.2893153840758041E-4</v>
      </c>
      <c r="Y50" s="57">
        <f t="shared" si="32"/>
        <v>3.1494485498281545E-4</v>
      </c>
      <c r="Z50" s="57">
        <f t="shared" si="32"/>
        <v>-6.8286933725033498E-4</v>
      </c>
      <c r="AA50" s="57">
        <f t="shared" si="32"/>
        <v>5.816984648549067E-4</v>
      </c>
      <c r="AB50" s="57">
        <f t="shared" si="32"/>
        <v>-1.513320295684836E-4</v>
      </c>
      <c r="AC50" s="57">
        <f t="shared" si="32"/>
        <v>-9.4849058723188773E-5</v>
      </c>
      <c r="AD50" s="57">
        <f t="shared" si="32"/>
        <v>-2.652383299735996E-5</v>
      </c>
      <c r="AE50" s="57">
        <f t="shared" si="32"/>
        <v>-4.1546069535038674E-4</v>
      </c>
      <c r="AF50" s="57">
        <f t="shared" si="32"/>
        <v>1.4937836503482297E-3</v>
      </c>
      <c r="AG50" s="57">
        <f t="shared" si="32"/>
        <v>-2.4165707998041065E-3</v>
      </c>
      <c r="AH50" s="57">
        <f t="shared" si="32"/>
        <v>1.6933194994691978E-3</v>
      </c>
      <c r="AI50" s="57">
        <f t="shared" si="32"/>
        <v>-3.6626788907084481E-4</v>
      </c>
      <c r="AJ50" s="57">
        <f t="shared" si="32"/>
        <v>1.2176187472409358E-4</v>
      </c>
    </row>
    <row r="51" spans="1:36" x14ac:dyDescent="0.25">
      <c r="A51" s="13" t="s">
        <v>21</v>
      </c>
      <c r="B51" s="3">
        <f>STUTT!D8</f>
        <v>6992.4087</v>
      </c>
      <c r="E51" s="11" t="s">
        <v>24</v>
      </c>
      <c r="F51" s="20">
        <f t="shared" ref="F51:AJ51" si="33">(F16-F17)^2</f>
        <v>4599.8454607947178</v>
      </c>
      <c r="G51" s="20">
        <f t="shared" si="33"/>
        <v>7695.7567795895866</v>
      </c>
      <c r="H51" s="20">
        <f t="shared" si="33"/>
        <v>538.6993946824465</v>
      </c>
      <c r="I51" s="20">
        <f t="shared" si="33"/>
        <v>14.047913025626737</v>
      </c>
      <c r="J51" s="20">
        <f t="shared" si="33"/>
        <v>0.25758903667983907</v>
      </c>
      <c r="K51" s="20">
        <f t="shared" si="33"/>
        <v>8.9383720107081219E-3</v>
      </c>
      <c r="L51" s="20">
        <f t="shared" si="33"/>
        <v>2.6568860184684909E-3</v>
      </c>
      <c r="M51" s="20">
        <f t="shared" si="33"/>
        <v>6.3394009299417974E-3</v>
      </c>
      <c r="N51" s="20">
        <f t="shared" si="33"/>
        <v>4.0579731394831522E-2</v>
      </c>
      <c r="O51" s="20">
        <f t="shared" si="33"/>
        <v>0.13127860825869078</v>
      </c>
      <c r="P51" s="20">
        <f t="shared" si="33"/>
        <v>0.280910029132453</v>
      </c>
      <c r="Q51" s="20">
        <f t="shared" si="33"/>
        <v>0.56950322743827109</v>
      </c>
      <c r="R51" s="20">
        <f t="shared" si="33"/>
        <v>1.0038114070847539</v>
      </c>
      <c r="S51" s="20">
        <f t="shared" si="33"/>
        <v>1.2356964784648667</v>
      </c>
      <c r="T51" s="20">
        <f t="shared" si="33"/>
        <v>1.0172837142470037</v>
      </c>
      <c r="U51" s="20">
        <f t="shared" si="33"/>
        <v>0.58494761597676326</v>
      </c>
      <c r="V51" s="20">
        <f t="shared" si="33"/>
        <v>0.24370309187774958</v>
      </c>
      <c r="W51" s="20">
        <f t="shared" si="33"/>
        <v>6.3157941551395341E-2</v>
      </c>
      <c r="X51" s="20">
        <f t="shared" si="33"/>
        <v>3.8220866802208039E-3</v>
      </c>
      <c r="Y51" s="20">
        <f t="shared" si="33"/>
        <v>5.2545809178349018E-3</v>
      </c>
      <c r="Z51" s="20">
        <f t="shared" si="33"/>
        <v>1.8487425875842289E-2</v>
      </c>
      <c r="AA51" s="20">
        <f t="shared" si="33"/>
        <v>1.1278884786821044E-2</v>
      </c>
      <c r="AB51" s="20">
        <f t="shared" si="33"/>
        <v>6.9858342750402092E-4</v>
      </c>
      <c r="AC51" s="20">
        <f t="shared" si="33"/>
        <v>2.5964288175229767E-4</v>
      </c>
      <c r="AD51" s="20">
        <f t="shared" si="33"/>
        <v>1.9584155990595506E-5</v>
      </c>
      <c r="AE51" s="20">
        <f t="shared" si="33"/>
        <v>4.7675244739989178E-3</v>
      </c>
      <c r="AF51" s="20">
        <f t="shared" si="33"/>
        <v>6.0758059535535418E-2</v>
      </c>
      <c r="AG51" s="20">
        <f t="shared" si="33"/>
        <v>0.15586339389678372</v>
      </c>
      <c r="AH51" s="20">
        <f t="shared" si="33"/>
        <v>7.5842367656839937E-2</v>
      </c>
      <c r="AI51" s="20">
        <f t="shared" si="33"/>
        <v>3.5201751381101999E-3</v>
      </c>
      <c r="AJ51" s="20">
        <f t="shared" si="33"/>
        <v>3.8690662315076863E-4</v>
      </c>
    </row>
    <row r="52" spans="1:36" x14ac:dyDescent="0.25">
      <c r="A52" s="13"/>
    </row>
    <row r="53" spans="1:36" x14ac:dyDescent="0.25">
      <c r="E53" s="118" t="s">
        <v>25</v>
      </c>
      <c r="F53" s="118"/>
      <c r="G53" s="104">
        <f>SUM(F51:AJ51)</f>
        <v>12854.136902849494</v>
      </c>
      <c r="I53" s="3">
        <f>G53+C123</f>
        <v>12854.136902849494</v>
      </c>
      <c r="K53" s="3">
        <f>SUM(Z51:AJ51)</f>
        <v>0.33188254845232923</v>
      </c>
    </row>
    <row r="55" spans="1:36" x14ac:dyDescent="0.25">
      <c r="E55" s="30" t="s">
        <v>30</v>
      </c>
      <c r="F55" s="31">
        <f t="shared" ref="F55:AJ55" si="34">ABS(F17-F16)/F16</f>
        <v>1.4951216008788067E-2</v>
      </c>
      <c r="G55" s="31">
        <f t="shared" si="34"/>
        <v>2.0386475928074743E-2</v>
      </c>
      <c r="H55" s="31">
        <f t="shared" si="34"/>
        <v>5.6230890394433986E-3</v>
      </c>
      <c r="I55" s="31">
        <f t="shared" si="34"/>
        <v>9.4993167766202046E-4</v>
      </c>
      <c r="J55" s="31">
        <f t="shared" si="34"/>
        <v>1.3474461489562602E-4</v>
      </c>
      <c r="K55" s="31">
        <f t="shared" si="34"/>
        <v>2.6617260075802016E-5</v>
      </c>
      <c r="L55" s="31">
        <f t="shared" si="34"/>
        <v>1.5532850943639835E-5</v>
      </c>
      <c r="M55" s="31">
        <f t="shared" si="34"/>
        <v>2.6099253905621187E-5</v>
      </c>
      <c r="N55" s="31">
        <f t="shared" si="34"/>
        <v>7.3382234812306843E-5</v>
      </c>
      <c r="O55" s="31">
        <f t="shared" si="34"/>
        <v>1.5223890415586489E-4</v>
      </c>
      <c r="P55" s="31">
        <f t="shared" si="34"/>
        <v>2.7197904340979458E-4</v>
      </c>
      <c r="Q55" s="31">
        <f t="shared" si="34"/>
        <v>5.0891775507734289E-4</v>
      </c>
      <c r="R55" s="31">
        <f t="shared" si="34"/>
        <v>9.4095813469514239E-4</v>
      </c>
      <c r="S55" s="31">
        <f t="shared" si="34"/>
        <v>1.4703044661009777E-3</v>
      </c>
      <c r="T55" s="31">
        <f t="shared" si="34"/>
        <v>1.756301754988959E-3</v>
      </c>
      <c r="U55" s="31">
        <f t="shared" si="34"/>
        <v>1.6191424680709753E-3</v>
      </c>
      <c r="V55" s="31">
        <f t="shared" si="34"/>
        <v>1.2196252170982235E-3</v>
      </c>
      <c r="W55" s="31">
        <f t="shared" si="34"/>
        <v>7.5554551289952173E-4</v>
      </c>
      <c r="X55" s="31">
        <f t="shared" si="34"/>
        <v>2.2887914075377824E-4</v>
      </c>
      <c r="Y55" s="31">
        <f t="shared" si="34"/>
        <v>3.1484569595076226E-4</v>
      </c>
      <c r="Z55" s="31">
        <f t="shared" si="34"/>
        <v>6.8333596642884947E-4</v>
      </c>
      <c r="AA55" s="31">
        <f t="shared" si="34"/>
        <v>5.8136028846757747E-4</v>
      </c>
      <c r="AB55" s="31">
        <f t="shared" si="34"/>
        <v>1.5135493441789427E-4</v>
      </c>
      <c r="AC55" s="31">
        <f t="shared" si="34"/>
        <v>9.4858055920505143E-5</v>
      </c>
      <c r="AD55" s="31">
        <f t="shared" si="34"/>
        <v>2.6524536529737209E-5</v>
      </c>
      <c r="AE55" s="31">
        <f t="shared" si="34"/>
        <v>4.1563337468124263E-4</v>
      </c>
      <c r="AF55" s="31">
        <f t="shared" si="34"/>
        <v>1.4915555889958023E-3</v>
      </c>
      <c r="AG55" s="31">
        <f t="shared" si="34"/>
        <v>2.4224247607456469E-3</v>
      </c>
      <c r="AH55" s="31">
        <f t="shared" si="34"/>
        <v>1.6904570156415972E-3</v>
      </c>
      <c r="AI55" s="31">
        <f t="shared" si="34"/>
        <v>3.6640209039104349E-4</v>
      </c>
      <c r="AJ55" s="31">
        <f t="shared" si="34"/>
        <v>1.2174705057497343E-4</v>
      </c>
    </row>
    <row r="56" spans="1:36" x14ac:dyDescent="0.25">
      <c r="E56" s="13" t="s">
        <v>31</v>
      </c>
      <c r="F56" s="32">
        <f>AVERAGE(F55:AJ55)</f>
        <v>1.9184348588579822E-3</v>
      </c>
    </row>
    <row r="57" spans="1:36" x14ac:dyDescent="0.25">
      <c r="A57" s="42"/>
      <c r="B57" s="15"/>
      <c r="C57" s="15"/>
      <c r="D57" s="15"/>
      <c r="F57" s="60">
        <f>AVERAGE(S55:X55)</f>
        <v>1.1749664266520726E-3</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111</v>
      </c>
      <c r="D60" s="11" t="s">
        <v>114</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112</v>
      </c>
      <c r="B63" s="15"/>
      <c r="C63" s="119"/>
      <c r="D63" s="119"/>
      <c r="E63" s="119"/>
      <c r="F63" s="119"/>
      <c r="G63" s="119"/>
      <c r="H63" s="119"/>
      <c r="I63" s="119"/>
    </row>
    <row r="64" spans="1:36" x14ac:dyDescent="0.25">
      <c r="A64" s="42">
        <f>10^A65</f>
        <v>1.0000000000000001E-5</v>
      </c>
      <c r="B64" s="42">
        <f>10^B65</f>
        <v>100000</v>
      </c>
      <c r="C64" s="15"/>
      <c r="D64" s="15"/>
      <c r="E64" s="15"/>
      <c r="F64" s="15"/>
      <c r="G64" s="15"/>
      <c r="H64" s="15"/>
      <c r="I64" s="15"/>
    </row>
    <row r="65" spans="1:13" x14ac:dyDescent="0.25">
      <c r="A65" s="15">
        <f>-A67</f>
        <v>-5</v>
      </c>
      <c r="B65" s="101">
        <f>A67</f>
        <v>5</v>
      </c>
      <c r="C65" s="15"/>
      <c r="D65" s="15"/>
      <c r="E65" s="15"/>
      <c r="F65" s="15"/>
      <c r="G65" s="15"/>
      <c r="H65" s="15"/>
      <c r="I65" s="15"/>
    </row>
    <row r="66" spans="1:13" x14ac:dyDescent="0.25">
      <c r="A66" s="15"/>
      <c r="B66" s="15"/>
      <c r="C66" s="15"/>
      <c r="D66" s="15"/>
      <c r="E66" s="15"/>
      <c r="F66" s="15"/>
      <c r="G66" s="15"/>
      <c r="H66" s="15"/>
      <c r="I66" s="15"/>
    </row>
    <row r="67" spans="1:13" x14ac:dyDescent="0.25">
      <c r="A67" s="102">
        <v>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-50</v>
      </c>
    </row>
    <row r="119" spans="1:14" x14ac:dyDescent="0.25">
      <c r="L119" s="11">
        <f>L118+1</f>
        <v>2</v>
      </c>
      <c r="M119" s="11">
        <f t="shared" ref="M119:M124" si="35">INDEX($B$125:$K$126,1,L119)</f>
        <v>0</v>
      </c>
      <c r="N119" s="11">
        <f t="shared" ref="N119:N124" si="36">IF(L119=$B$3,0,INDEX($B$125:$K$126,2,L119))</f>
        <v>-41.485547632440884</v>
      </c>
    </row>
    <row r="120" spans="1:14" x14ac:dyDescent="0.25">
      <c r="L120" s="11">
        <f t="shared" ref="L120:L124" si="37">L119+1</f>
        <v>3</v>
      </c>
      <c r="M120" s="11">
        <f t="shared" si="35"/>
        <v>25</v>
      </c>
      <c r="N120" s="11">
        <f t="shared" si="36"/>
        <v>-36.73997630133357</v>
      </c>
    </row>
    <row r="121" spans="1:14" x14ac:dyDescent="0.25">
      <c r="A121" s="103">
        <f>(A165+A204+A243+A282+A321+A360+A399)*10^9</f>
        <v>4.5017674720308376E+16</v>
      </c>
      <c r="L121" s="11">
        <f t="shared" si="37"/>
        <v>4</v>
      </c>
      <c r="M121" s="11">
        <f t="shared" si="35"/>
        <v>50</v>
      </c>
      <c r="N121" s="11">
        <f t="shared" si="36"/>
        <v>-34.144820425158869</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-26.113282202449902</v>
      </c>
    </row>
    <row r="123" spans="1:14" x14ac:dyDescent="0.25">
      <c r="A123" s="118"/>
      <c r="B123" s="118"/>
      <c r="C123" s="3"/>
      <c r="D123" s="3"/>
      <c r="E123" s="3"/>
      <c r="F123" s="3"/>
      <c r="G123" s="3"/>
      <c r="H123" s="3"/>
      <c r="I123" s="3"/>
      <c r="J123" s="3"/>
      <c r="K123" s="3"/>
      <c r="L123" s="11">
        <f t="shared" si="37"/>
        <v>6</v>
      </c>
      <c r="M123" s="11">
        <f t="shared" si="35"/>
        <v>125</v>
      </c>
      <c r="N123" s="11">
        <f t="shared" si="36"/>
        <v>-13.439271440555542</v>
      </c>
    </row>
    <row r="124" spans="1:14" x14ac:dyDescent="0.25">
      <c r="B124" s="3"/>
      <c r="C124" s="3"/>
      <c r="D124" s="3"/>
      <c r="E124" s="3"/>
      <c r="F124" s="3"/>
      <c r="G124" s="3"/>
      <c r="H124" s="3"/>
      <c r="I124" s="3"/>
      <c r="J124" s="3"/>
      <c r="K124" s="3"/>
      <c r="L124" s="11">
        <f t="shared" si="37"/>
        <v>7</v>
      </c>
      <c r="M124" s="11">
        <f t="shared" si="35"/>
        <v>160</v>
      </c>
      <c r="N124" s="11">
        <f t="shared" si="36"/>
        <v>0</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-50</v>
      </c>
      <c r="C126" s="107">
        <v>-41.485547632440884</v>
      </c>
      <c r="D126" s="107">
        <v>-36.73997630133357</v>
      </c>
      <c r="E126" s="107">
        <v>-34.144820425158869</v>
      </c>
      <c r="F126" s="107">
        <v>-26.113282202449902</v>
      </c>
      <c r="G126" s="107">
        <v>-13.439271440555542</v>
      </c>
      <c r="H126" s="107">
        <v>-3.2880609156456887E-4</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7093.1154116431162</v>
      </c>
      <c r="C130" s="26">
        <f>INDEX(Comparison!$AM$3:$AS$33,G14,$B$122)</f>
        <v>7093.186769557813</v>
      </c>
      <c r="D130" s="26">
        <f>INDEX(Comparison!$AM$3:$AS$33,H14,$B$122)</f>
        <v>7093.1496241627792</v>
      </c>
      <c r="E130" s="26">
        <f>INDEX(Comparison!$AM$3:$AS$33,I14,$B$122)</f>
        <v>7093.139849123485</v>
      </c>
      <c r="F130" s="26">
        <f>INDEX(Comparison!$AM$3:$AS$33,J14,$B$122)</f>
        <v>7093.1370316171597</v>
      </c>
      <c r="G130" s="26">
        <f>INDEX(Comparison!$AM$3:$AS$33,K14,$B$122)</f>
        <v>7093.1361691156708</v>
      </c>
      <c r="H130" s="26">
        <f>INDEX(Comparison!$AM$3:$AS$33,L14,$B$122)</f>
        <v>7093.1358816152215</v>
      </c>
      <c r="I130" s="26">
        <f>INDEX(Comparison!$AM$3:$AS$33,M14,$B$122)</f>
        <v>7093.135709114963</v>
      </c>
      <c r="J130" s="26">
        <f>INDEX(Comparison!$AM$3:$AS$33,N14,$B$122)</f>
        <v>7093.1355366147118</v>
      </c>
      <c r="K130" s="26">
        <f>INDEX(Comparison!$AM$3:$AS$33,O14,$B$122)</f>
        <v>7093.1340991129555</v>
      </c>
      <c r="L130" s="26">
        <f>INDEX(Comparison!$AM$3:$AS$33,P14,$B$122)</f>
        <v>7093.1198391270691</v>
      </c>
      <c r="M130" s="26">
        <f>INDEX(Comparison!$AM$3:$AS$33,Q14,$B$122)</f>
        <v>7092.9771274266232</v>
      </c>
      <c r="N130" s="26">
        <f>INDEX(Comparison!$AM$3:$AS$33,R14,$B$122)</f>
        <v>7091.5625107943715</v>
      </c>
      <c r="O130" s="26">
        <f>INDEX(Comparison!$AM$3:$AS$33,S14,$B$122)</f>
        <v>7078.0585854387473</v>
      </c>
      <c r="P130" s="26">
        <f>INDEX(Comparison!$AM$3:$AS$33,T14,$B$122)</f>
        <v>6980.1771345591078</v>
      </c>
      <c r="Q130" s="26">
        <f>INDEX(Comparison!$AM$3:$AS$33,U14,$B$122)</f>
        <v>6817.7458366168885</v>
      </c>
      <c r="R130" s="26">
        <f>INDEX(Comparison!$AM$3:$AS$33,V14,$B$122)</f>
        <v>6700.2000319833087</v>
      </c>
      <c r="S130" s="26">
        <f>INDEX(Comparison!$AM$3:$AS$33,W14,$B$122)</f>
        <v>6581.4875752007347</v>
      </c>
      <c r="T130" s="26">
        <f>INDEX(Comparison!$AM$3:$AS$33,X14,$B$122)</f>
        <v>6449.3747740231202</v>
      </c>
      <c r="U130" s="26">
        <f>INDEX(Comparison!$AM$3:$AS$33,Y14,$B$122)</f>
        <v>6289.3605252793404</v>
      </c>
      <c r="V130" s="26">
        <f>INDEX(Comparison!$AM$3:$AS$33,Z14,$B$122)</f>
        <v>6015.8011652173718</v>
      </c>
      <c r="W130" s="26">
        <f>INDEX(Comparison!$AM$3:$AS$33,AA14,$B$122)</f>
        <v>5393.4478275395559</v>
      </c>
      <c r="X130" s="26">
        <f>INDEX(Comparison!$AM$3:$AS$33,AB14,$B$122)</f>
        <v>4577.424969740212</v>
      </c>
      <c r="Y130" s="26">
        <f>INDEX(Comparison!$AM$3:$AS$33,AC14,$B$122)</f>
        <v>3914.6236771373719</v>
      </c>
      <c r="Z130" s="26">
        <f>INDEX(Comparison!$AM$3:$AS$33,AD14,$B$122)</f>
        <v>3439.215903424868</v>
      </c>
      <c r="AA130" s="26">
        <f>INDEX(Comparison!$AM$3:$AS$33,AE14,$B$122)</f>
        <v>3078.9760704970804</v>
      </c>
      <c r="AB130" s="26">
        <f>INDEX(Comparison!$AM$3:$AS$33,AF14,$B$122)</f>
        <v>2798.5736498484516</v>
      </c>
      <c r="AC130" s="26">
        <f>INDEX(Comparison!$AM$3:$AS$33,AG14,$B$122)</f>
        <v>2590.4913778751102</v>
      </c>
      <c r="AD130" s="26">
        <f>INDEX(Comparison!$AM$3:$AS$33,AH14,$B$122)</f>
        <v>2428.2171958860131</v>
      </c>
      <c r="AE130" s="26">
        <f>INDEX(Comparison!$AM$3:$AS$33,AI14,$B$122)</f>
        <v>2284.9023004500814</v>
      </c>
      <c r="AF130" s="26">
        <f>INDEX(Comparison!$AM$3:$AS$33,AJ14,$B$122)</f>
        <v>2162.351794570352</v>
      </c>
    </row>
    <row r="131" spans="1:33" x14ac:dyDescent="0.25">
      <c r="A131" s="68" t="s">
        <v>22</v>
      </c>
      <c r="B131" s="27">
        <f>($C$17+SUM(B132:B162))*$B$51</f>
        <v>6992.4086999999981</v>
      </c>
      <c r="C131" s="27">
        <f t="shared" ref="C131:AF131" si="40">($C$17+SUM(C132:C162))*$B$51</f>
        <v>6992.4086999999981</v>
      </c>
      <c r="D131" s="27">
        <f t="shared" si="40"/>
        <v>6992.4086999999936</v>
      </c>
      <c r="E131" s="27">
        <f t="shared" si="40"/>
        <v>6992.4086999999499</v>
      </c>
      <c r="F131" s="27">
        <f t="shared" si="40"/>
        <v>6992.4086999995143</v>
      </c>
      <c r="G131" s="27">
        <f t="shared" si="40"/>
        <v>6992.4086999951487</v>
      </c>
      <c r="H131" s="27">
        <f t="shared" si="40"/>
        <v>6992.4086999515048</v>
      </c>
      <c r="I131" s="27">
        <f t="shared" si="40"/>
        <v>6992.4086995150592</v>
      </c>
      <c r="J131" s="27">
        <f t="shared" si="40"/>
        <v>6992.4086951506033</v>
      </c>
      <c r="K131" s="27">
        <f t="shared" si="40"/>
        <v>6992.408651506048</v>
      </c>
      <c r="L131" s="27">
        <f t="shared" si="40"/>
        <v>6992.4082150605345</v>
      </c>
      <c r="M131" s="27">
        <f t="shared" si="40"/>
        <v>6992.4038506095721</v>
      </c>
      <c r="N131" s="27">
        <f t="shared" si="40"/>
        <v>6992.3602065166242</v>
      </c>
      <c r="O131" s="27">
        <f t="shared" si="40"/>
        <v>6991.9238072529906</v>
      </c>
      <c r="P131" s="27">
        <f t="shared" si="40"/>
        <v>6987.5639785261092</v>
      </c>
      <c r="Q131" s="27">
        <f t="shared" si="40"/>
        <v>6944.379420205938</v>
      </c>
      <c r="R131" s="27">
        <f t="shared" si="40"/>
        <v>6551.368412938622</v>
      </c>
      <c r="S131" s="27">
        <f t="shared" si="40"/>
        <v>4843.538103587457</v>
      </c>
      <c r="T131" s="27">
        <f t="shared" si="40"/>
        <v>4478.1383483421823</v>
      </c>
      <c r="U131" s="27">
        <f t="shared" si="40"/>
        <v>4478.1212344709602</v>
      </c>
      <c r="V131" s="27">
        <f t="shared" si="40"/>
        <v>4477.9502419056953</v>
      </c>
      <c r="W131" s="27">
        <f t="shared" si="40"/>
        <v>4476.2443571739414</v>
      </c>
      <c r="X131" s="27">
        <f t="shared" si="40"/>
        <v>4459.5830492839914</v>
      </c>
      <c r="Y131" s="27">
        <f t="shared" si="40"/>
        <v>4326.9084126920461</v>
      </c>
      <c r="Z131" s="27">
        <f t="shared" si="40"/>
        <v>4054.4802402389737</v>
      </c>
      <c r="AA131" s="27">
        <f t="shared" si="40"/>
        <v>3906.3334093595181</v>
      </c>
      <c r="AB131" s="27">
        <f t="shared" si="40"/>
        <v>3711.6245960561278</v>
      </c>
      <c r="AC131" s="27">
        <f t="shared" si="40"/>
        <v>3489.6537857540943</v>
      </c>
      <c r="AD131" s="27">
        <f t="shared" si="40"/>
        <v>3246.6804329883171</v>
      </c>
      <c r="AE131" s="27">
        <f t="shared" si="40"/>
        <v>2965.7103723738537</v>
      </c>
      <c r="AF131" s="27">
        <f t="shared" si="40"/>
        <v>2643.5453956716237</v>
      </c>
    </row>
    <row r="132" spans="1:33" x14ac:dyDescent="0.25">
      <c r="B132" s="3">
        <f t="shared" ref="B132:Z133" si="41">$C18*EXP(-B$129/$A18/EXP(-$B$126))</f>
        <v>0.35957115347282304</v>
      </c>
      <c r="C132" s="3">
        <f t="shared" ref="C132:AF132" si="42">$C18*EXP(-C$129/$A18/EXP(-$B$126))</f>
        <v>0.35957115347282298</v>
      </c>
      <c r="D132" s="3">
        <f t="shared" si="42"/>
        <v>0.35957115347282237</v>
      </c>
      <c r="E132" s="3">
        <f t="shared" si="42"/>
        <v>0.3595711534728161</v>
      </c>
      <c r="F132" s="3">
        <f t="shared" si="42"/>
        <v>0.3595711534727537</v>
      </c>
      <c r="G132" s="3">
        <f t="shared" si="42"/>
        <v>0.35957115347212948</v>
      </c>
      <c r="H132" s="3">
        <f t="shared" si="42"/>
        <v>0.35957115346588781</v>
      </c>
      <c r="I132" s="3">
        <f t="shared" si="42"/>
        <v>0.35957115340347079</v>
      </c>
      <c r="J132" s="3">
        <f t="shared" si="42"/>
        <v>0.35957115277930024</v>
      </c>
      <c r="K132" s="3">
        <f t="shared" si="42"/>
        <v>0.35957114653759503</v>
      </c>
      <c r="L132" s="3">
        <f t="shared" si="42"/>
        <v>0.35957108412054894</v>
      </c>
      <c r="M132" s="3">
        <f t="shared" si="42"/>
        <v>0.35957045995068426</v>
      </c>
      <c r="N132" s="3">
        <f t="shared" si="42"/>
        <v>0.35956421831162827</v>
      </c>
      <c r="O132" s="3">
        <f t="shared" si="42"/>
        <v>0.3595018078797938</v>
      </c>
      <c r="P132" s="3">
        <f t="shared" si="42"/>
        <v>0.3588782990514493</v>
      </c>
      <c r="Q132" s="3">
        <f t="shared" si="42"/>
        <v>0.35270237906985608</v>
      </c>
      <c r="R132" s="3">
        <f t="shared" si="42"/>
        <v>0.29649699877457064</v>
      </c>
      <c r="S132" s="3">
        <f t="shared" si="42"/>
        <v>5.2256392770852533E-2</v>
      </c>
      <c r="T132" s="3">
        <f t="shared" si="42"/>
        <v>1.5112304088628266E-9</v>
      </c>
      <c r="U132" s="3">
        <f t="shared" si="42"/>
        <v>6.1836264905128655E-85</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5.3087681466497318E-2</v>
      </c>
      <c r="C133" s="3">
        <f t="shared" si="41"/>
        <v>5.3087681466497318E-2</v>
      </c>
      <c r="D133" s="3">
        <f t="shared" si="41"/>
        <v>5.3087681466497318E-2</v>
      </c>
      <c r="E133" s="3">
        <f t="shared" si="41"/>
        <v>5.3087681466497318E-2</v>
      </c>
      <c r="F133" s="3">
        <f t="shared" si="41"/>
        <v>5.3087681466497318E-2</v>
      </c>
      <c r="G133" s="3">
        <f t="shared" si="41"/>
        <v>5.3087681466497318E-2</v>
      </c>
      <c r="H133" s="3">
        <f t="shared" si="41"/>
        <v>5.3087681466497318E-2</v>
      </c>
      <c r="I133" s="3">
        <f t="shared" si="41"/>
        <v>5.3087681466497318E-2</v>
      </c>
      <c r="J133" s="3">
        <f t="shared" si="41"/>
        <v>5.3087681466497297E-2</v>
      </c>
      <c r="K133" s="3">
        <f t="shared" si="41"/>
        <v>5.3087681466497054E-2</v>
      </c>
      <c r="L133" s="3">
        <f t="shared" si="41"/>
        <v>5.3087681466494695E-2</v>
      </c>
      <c r="M133" s="3">
        <f t="shared" si="41"/>
        <v>5.3087681466471089E-2</v>
      </c>
      <c r="N133" s="3">
        <f t="shared" si="41"/>
        <v>5.3087681466235034E-2</v>
      </c>
      <c r="O133" s="3">
        <f t="shared" si="41"/>
        <v>5.3087681463874478E-2</v>
      </c>
      <c r="P133" s="3">
        <f t="shared" si="41"/>
        <v>5.308768144026893E-2</v>
      </c>
      <c r="Q133" s="3">
        <f t="shared" si="41"/>
        <v>5.3087681204213456E-2</v>
      </c>
      <c r="R133" s="3">
        <f t="shared" si="41"/>
        <v>5.3087678843658739E-2</v>
      </c>
      <c r="S133" s="3">
        <f t="shared" si="41"/>
        <v>5.308765523811735E-2</v>
      </c>
      <c r="T133" s="3">
        <f t="shared" si="41"/>
        <v>5.3087419183280735E-2</v>
      </c>
      <c r="U133" s="3">
        <f t="shared" si="41"/>
        <v>5.308505869264294E-2</v>
      </c>
      <c r="V133" s="3">
        <f t="shared" si="41"/>
        <v>5.306145955815058E-2</v>
      </c>
      <c r="W133" s="3">
        <f t="shared" si="41"/>
        <v>5.2826044453312238E-2</v>
      </c>
      <c r="X133" s="3">
        <f t="shared" si="41"/>
        <v>5.0528580546106996E-2</v>
      </c>
      <c r="Y133" s="3">
        <f t="shared" si="41"/>
        <v>3.2391208747134741E-2</v>
      </c>
      <c r="Z133" s="3">
        <f t="shared" si="41"/>
        <v>3.7960132762374365E-4</v>
      </c>
      <c r="AA133" s="3">
        <f t="shared" ref="AA133:AF133" si="43">$C19*EXP(-AA$129/$A19/EXP(-$B$126))</f>
        <v>1.8549550921089232E-23</v>
      </c>
      <c r="AB133" s="3">
        <f t="shared" si="43"/>
        <v>1.440091784152798E-216</v>
      </c>
      <c r="AC133" s="3">
        <f t="shared" si="43"/>
        <v>0</v>
      </c>
      <c r="AD133" s="3">
        <f t="shared" si="43"/>
        <v>0</v>
      </c>
      <c r="AE133" s="3">
        <f t="shared" si="43"/>
        <v>0</v>
      </c>
      <c r="AF133" s="3">
        <f t="shared" si="43"/>
        <v>0</v>
      </c>
    </row>
    <row r="134" spans="1:33" x14ac:dyDescent="0.25">
      <c r="B134" s="3">
        <f t="shared" ref="B134:Z134" si="44">$C20*EXP(-B$129/$A20/EXP(-$B$126))</f>
        <v>1.8548614905856641E-2</v>
      </c>
      <c r="C134" s="3">
        <f t="shared" si="44"/>
        <v>1.8548614905856641E-2</v>
      </c>
      <c r="D134" s="3">
        <f t="shared" si="44"/>
        <v>1.8548614905856641E-2</v>
      </c>
      <c r="E134" s="3">
        <f t="shared" si="44"/>
        <v>1.8548614905856641E-2</v>
      </c>
      <c r="F134" s="3">
        <f t="shared" si="44"/>
        <v>1.8548614905856641E-2</v>
      </c>
      <c r="G134" s="3">
        <f t="shared" si="44"/>
        <v>1.8548614905856641E-2</v>
      </c>
      <c r="H134" s="3">
        <f t="shared" si="44"/>
        <v>1.8548614905856641E-2</v>
      </c>
      <c r="I134" s="3">
        <f t="shared" si="44"/>
        <v>1.8548614905856641E-2</v>
      </c>
      <c r="J134" s="3">
        <f t="shared" si="44"/>
        <v>1.8548614905856641E-2</v>
      </c>
      <c r="K134" s="3">
        <f t="shared" si="44"/>
        <v>1.8548614905856634E-2</v>
      </c>
      <c r="L134" s="3">
        <f t="shared" si="44"/>
        <v>1.8548614905856558E-2</v>
      </c>
      <c r="M134" s="3">
        <f t="shared" si="44"/>
        <v>1.8548614905855815E-2</v>
      </c>
      <c r="N134" s="3">
        <f t="shared" si="44"/>
        <v>1.8548614905848373E-2</v>
      </c>
      <c r="O134" s="3">
        <f t="shared" si="44"/>
        <v>1.8548614905773975E-2</v>
      </c>
      <c r="P134" s="3">
        <f t="shared" si="44"/>
        <v>1.8548614905029966E-2</v>
      </c>
      <c r="Q134" s="3">
        <f t="shared" si="44"/>
        <v>1.8548614897589872E-2</v>
      </c>
      <c r="R134" s="3">
        <f t="shared" si="44"/>
        <v>1.8548614823188935E-2</v>
      </c>
      <c r="S134" s="3">
        <f t="shared" si="44"/>
        <v>1.8548614079179591E-2</v>
      </c>
      <c r="T134" s="3">
        <f t="shared" si="44"/>
        <v>1.8548606639087792E-2</v>
      </c>
      <c r="U134" s="3">
        <f t="shared" si="44"/>
        <v>1.8548532238333932E-2</v>
      </c>
      <c r="V134" s="3">
        <f t="shared" si="44"/>
        <v>1.8547788247208843E-2</v>
      </c>
      <c r="W134" s="3">
        <f t="shared" si="44"/>
        <v>1.8540349977063036E-2</v>
      </c>
      <c r="X134" s="3">
        <f t="shared" si="44"/>
        <v>1.8466131142815385E-2</v>
      </c>
      <c r="Y134" s="3">
        <f t="shared" si="44"/>
        <v>1.7740088910261936E-2</v>
      </c>
      <c r="Z134" s="3">
        <f t="shared" si="44"/>
        <v>1.187830734199429E-2</v>
      </c>
      <c r="AA134" s="3">
        <f t="shared" ref="AA134" si="45">$C20*EXP(-AA$129/$A20/EXP(-$B$126))</f>
        <v>2.1515042990666306E-4</v>
      </c>
      <c r="AB134" s="3">
        <f t="shared" ref="AB134:AF143" si="46">$C20*EXP(-AB$129/$A20/EXP(-$B$126))</f>
        <v>8.177467356462193E-22</v>
      </c>
      <c r="AC134" s="3">
        <f t="shared" si="46"/>
        <v>5.1449934768396808E-196</v>
      </c>
      <c r="AD134" s="3">
        <f t="shared" si="46"/>
        <v>0</v>
      </c>
      <c r="AE134" s="3">
        <f t="shared" si="46"/>
        <v>0</v>
      </c>
      <c r="AF134" s="3">
        <f t="shared" si="46"/>
        <v>0</v>
      </c>
    </row>
    <row r="135" spans="1:33" x14ac:dyDescent="0.25">
      <c r="B135" s="3">
        <f t="shared" ref="B135:Z135" si="47">$C21*EXP(-B$129/$A21/EXP(-$B$126))</f>
        <v>2.7428318800719304E-2</v>
      </c>
      <c r="C135" s="3">
        <f t="shared" si="47"/>
        <v>2.7428318800719304E-2</v>
      </c>
      <c r="D135" s="3">
        <f t="shared" si="47"/>
        <v>2.7428318800719304E-2</v>
      </c>
      <c r="E135" s="3">
        <f t="shared" si="47"/>
        <v>2.7428318800719304E-2</v>
      </c>
      <c r="F135" s="3">
        <f t="shared" si="47"/>
        <v>2.7428318800719304E-2</v>
      </c>
      <c r="G135" s="3">
        <f t="shared" si="47"/>
        <v>2.7428318800719304E-2</v>
      </c>
      <c r="H135" s="3">
        <f t="shared" si="47"/>
        <v>2.7428318800719304E-2</v>
      </c>
      <c r="I135" s="3">
        <f t="shared" si="47"/>
        <v>2.7428318800719304E-2</v>
      </c>
      <c r="J135" s="3">
        <f t="shared" si="47"/>
        <v>2.7428318800719304E-2</v>
      </c>
      <c r="K135" s="3">
        <f t="shared" si="47"/>
        <v>2.7428318800719304E-2</v>
      </c>
      <c r="L135" s="3">
        <f t="shared" si="47"/>
        <v>2.742831880071929E-2</v>
      </c>
      <c r="M135" s="3">
        <f t="shared" si="47"/>
        <v>2.7428318800719192E-2</v>
      </c>
      <c r="N135" s="3">
        <f t="shared" si="47"/>
        <v>2.74283188007182E-2</v>
      </c>
      <c r="O135" s="3">
        <f t="shared" si="47"/>
        <v>2.7428318800708278E-2</v>
      </c>
      <c r="P135" s="3">
        <f t="shared" si="47"/>
        <v>2.7428318800609031E-2</v>
      </c>
      <c r="Q135" s="3">
        <f t="shared" si="47"/>
        <v>2.7428318799616571E-2</v>
      </c>
      <c r="R135" s="3">
        <f t="shared" si="47"/>
        <v>2.7428318789691979E-2</v>
      </c>
      <c r="S135" s="3">
        <f t="shared" si="47"/>
        <v>2.7428318690446051E-2</v>
      </c>
      <c r="T135" s="3">
        <f t="shared" si="47"/>
        <v>2.7428317697986794E-2</v>
      </c>
      <c r="U135" s="3">
        <f t="shared" si="47"/>
        <v>2.7428307773396228E-2</v>
      </c>
      <c r="V135" s="3">
        <f t="shared" si="47"/>
        <v>2.7428208527688045E-2</v>
      </c>
      <c r="W135" s="3">
        <f t="shared" si="47"/>
        <v>2.7427216090356921E-2</v>
      </c>
      <c r="X135" s="3">
        <f t="shared" si="47"/>
        <v>2.741729369185102E-2</v>
      </c>
      <c r="Y135" s="3">
        <f t="shared" si="47"/>
        <v>2.7318266923193613E-2</v>
      </c>
      <c r="Z135" s="3">
        <f t="shared" si="47"/>
        <v>2.6347459379744177E-2</v>
      </c>
      <c r="AA135" s="3">
        <f t="shared" ref="AA135" si="48">$C21*EXP(-AA$129/$A21/EXP(-$B$126))</f>
        <v>1.8348253782789769E-2</v>
      </c>
      <c r="AB135" s="3">
        <f t="shared" si="46"/>
        <v>4.922148208005144E-4</v>
      </c>
      <c r="AC135" s="3">
        <f t="shared" si="46"/>
        <v>9.5006685198021566E-20</v>
      </c>
      <c r="AD135" s="3">
        <f t="shared" si="46"/>
        <v>6.8194438763995544E-177</v>
      </c>
      <c r="AE135" s="3">
        <f t="shared" si="46"/>
        <v>0</v>
      </c>
      <c r="AF135" s="3">
        <f t="shared" si="46"/>
        <v>0</v>
      </c>
    </row>
    <row r="136" spans="1:33" x14ac:dyDescent="0.25">
      <c r="B136" s="3">
        <f t="shared" ref="B136:Z136" si="49">$C22*EXP(-B$129/$A22/EXP(-$B$126))</f>
        <v>3.2244311763005913E-2</v>
      </c>
      <c r="C136" s="3">
        <f t="shared" si="49"/>
        <v>3.2244311763005913E-2</v>
      </c>
      <c r="D136" s="3">
        <f t="shared" si="49"/>
        <v>3.2244311763005913E-2</v>
      </c>
      <c r="E136" s="3">
        <f t="shared" si="49"/>
        <v>3.2244311763005913E-2</v>
      </c>
      <c r="F136" s="3">
        <f t="shared" si="49"/>
        <v>3.2244311763005913E-2</v>
      </c>
      <c r="G136" s="3">
        <f t="shared" si="49"/>
        <v>3.2244311763005913E-2</v>
      </c>
      <c r="H136" s="3">
        <f t="shared" si="49"/>
        <v>3.2244311763005913E-2</v>
      </c>
      <c r="I136" s="3">
        <f t="shared" si="49"/>
        <v>3.2244311763005913E-2</v>
      </c>
      <c r="J136" s="3">
        <f t="shared" si="49"/>
        <v>3.2244311763005913E-2</v>
      </c>
      <c r="K136" s="3">
        <f t="shared" si="49"/>
        <v>3.2244311763005913E-2</v>
      </c>
      <c r="L136" s="3">
        <f t="shared" si="49"/>
        <v>3.2244311763005913E-2</v>
      </c>
      <c r="M136" s="3">
        <f t="shared" si="49"/>
        <v>3.2244311763005899E-2</v>
      </c>
      <c r="N136" s="3">
        <f t="shared" si="49"/>
        <v>3.2244311763005795E-2</v>
      </c>
      <c r="O136" s="3">
        <f t="shared" si="49"/>
        <v>3.224431176300474E-2</v>
      </c>
      <c r="P136" s="3">
        <f t="shared" si="49"/>
        <v>3.2244311762994221E-2</v>
      </c>
      <c r="Q136" s="3">
        <f t="shared" si="49"/>
        <v>3.2244311762888972E-2</v>
      </c>
      <c r="R136" s="3">
        <f t="shared" si="49"/>
        <v>3.2244311761836494E-2</v>
      </c>
      <c r="S136" s="3">
        <f t="shared" si="49"/>
        <v>3.2244311751311705E-2</v>
      </c>
      <c r="T136" s="3">
        <f t="shared" si="49"/>
        <v>3.2244311646063867E-2</v>
      </c>
      <c r="U136" s="3">
        <f t="shared" si="49"/>
        <v>3.2244310593585443E-2</v>
      </c>
      <c r="V136" s="3">
        <f t="shared" si="49"/>
        <v>3.2244300068803113E-2</v>
      </c>
      <c r="W136" s="3">
        <f t="shared" si="49"/>
        <v>3.2244194821168769E-2</v>
      </c>
      <c r="X136" s="3">
        <f t="shared" si="49"/>
        <v>3.2243142363719605E-2</v>
      </c>
      <c r="Y136" s="3">
        <f t="shared" si="49"/>
        <v>3.2232619678427027E-2</v>
      </c>
      <c r="Z136" s="3">
        <f t="shared" si="49"/>
        <v>3.2127581517445922E-2</v>
      </c>
      <c r="AA136" s="3">
        <f t="shared" ref="AA136" si="50">$C22*EXP(-AA$129/$A22/EXP(-$B$126))</f>
        <v>3.1095843193360173E-2</v>
      </c>
      <c r="AB136" s="3">
        <f t="shared" si="46"/>
        <v>2.243599692420482E-2</v>
      </c>
      <c r="AC136" s="3">
        <f t="shared" si="46"/>
        <v>8.5777960025724216E-4</v>
      </c>
      <c r="AD136" s="3">
        <f t="shared" si="46"/>
        <v>5.723729905294434E-18</v>
      </c>
      <c r="AE136" s="3">
        <f t="shared" si="46"/>
        <v>1.0016438156019123E-159</v>
      </c>
      <c r="AF136" s="3">
        <f t="shared" si="46"/>
        <v>0</v>
      </c>
    </row>
    <row r="137" spans="1:33" x14ac:dyDescent="0.25">
      <c r="B137" s="3">
        <f t="shared" ref="B137:Z137" si="51">$C23*EXP(-B$129/$A23/EXP(-$B$126))</f>
        <v>3.4402319244329078E-2</v>
      </c>
      <c r="C137" s="3">
        <f t="shared" si="51"/>
        <v>3.4402319244329078E-2</v>
      </c>
      <c r="D137" s="3">
        <f t="shared" si="51"/>
        <v>3.4402319244329078E-2</v>
      </c>
      <c r="E137" s="3">
        <f t="shared" si="51"/>
        <v>3.4402319244329078E-2</v>
      </c>
      <c r="F137" s="3">
        <f t="shared" si="51"/>
        <v>3.4402319244329078E-2</v>
      </c>
      <c r="G137" s="3">
        <f t="shared" si="51"/>
        <v>3.4402319244329078E-2</v>
      </c>
      <c r="H137" s="3">
        <f t="shared" si="51"/>
        <v>3.4402319244329078E-2</v>
      </c>
      <c r="I137" s="3">
        <f t="shared" si="51"/>
        <v>3.4402319244329078E-2</v>
      </c>
      <c r="J137" s="3">
        <f t="shared" si="51"/>
        <v>3.4402319244329078E-2</v>
      </c>
      <c r="K137" s="3">
        <f t="shared" si="51"/>
        <v>3.4402319244329078E-2</v>
      </c>
      <c r="L137" s="3">
        <f t="shared" si="51"/>
        <v>3.4402319244329078E-2</v>
      </c>
      <c r="M137" s="3">
        <f t="shared" si="51"/>
        <v>3.4402319244329078E-2</v>
      </c>
      <c r="N137" s="3">
        <f t="shared" si="51"/>
        <v>3.4402319244329065E-2</v>
      </c>
      <c r="O137" s="3">
        <f t="shared" si="51"/>
        <v>3.4402319244328967E-2</v>
      </c>
      <c r="P137" s="3">
        <f t="shared" si="51"/>
        <v>3.4402319244327954E-2</v>
      </c>
      <c r="Q137" s="3">
        <f t="shared" si="51"/>
        <v>3.4402319244317824E-2</v>
      </c>
      <c r="R137" s="3">
        <f t="shared" si="51"/>
        <v>3.440231924421653E-2</v>
      </c>
      <c r="S137" s="3">
        <f t="shared" si="51"/>
        <v>3.4402319243203562E-2</v>
      </c>
      <c r="T137" s="3">
        <f t="shared" si="51"/>
        <v>3.4402319233073915E-2</v>
      </c>
      <c r="U137" s="3">
        <f t="shared" si="51"/>
        <v>3.4402319131777423E-2</v>
      </c>
      <c r="V137" s="3">
        <f t="shared" si="51"/>
        <v>3.440231811881251E-2</v>
      </c>
      <c r="W137" s="3">
        <f t="shared" si="51"/>
        <v>3.4402307989165021E-2</v>
      </c>
      <c r="X137" s="3">
        <f t="shared" si="51"/>
        <v>3.4402206692854195E-2</v>
      </c>
      <c r="Y137" s="3">
        <f t="shared" si="51"/>
        <v>3.4401193746150312E-2</v>
      </c>
      <c r="Z137" s="3">
        <f t="shared" si="51"/>
        <v>3.4391065919365874E-2</v>
      </c>
      <c r="AA137" s="3">
        <f t="shared" ref="AA137" si="52">$C23*EXP(-AA$129/$A23/EXP(-$B$126))</f>
        <v>3.4289951498406676E-2</v>
      </c>
      <c r="AB137" s="3">
        <f t="shared" si="46"/>
        <v>3.3295014871066064E-2</v>
      </c>
      <c r="AC137" s="3">
        <f t="shared" si="46"/>
        <v>2.4802909977279252E-2</v>
      </c>
      <c r="AD137" s="3">
        <f t="shared" si="46"/>
        <v>1.3053797607000513E-3</v>
      </c>
      <c r="AE137" s="3">
        <f t="shared" si="46"/>
        <v>2.1285274423439397E-16</v>
      </c>
      <c r="AF137" s="3">
        <f t="shared" si="46"/>
        <v>2.828153923799692E-144</v>
      </c>
    </row>
    <row r="138" spans="1:33" x14ac:dyDescent="0.25">
      <c r="B138" s="3">
        <f t="shared" ref="B138:Z138" si="53">$C24*EXP(-B$129/$A24/EXP(-$B$126))</f>
        <v>4.0521812648841492E-2</v>
      </c>
      <c r="C138" s="3">
        <f t="shared" si="53"/>
        <v>4.0521812648841492E-2</v>
      </c>
      <c r="D138" s="3">
        <f t="shared" si="53"/>
        <v>4.0521812648841492E-2</v>
      </c>
      <c r="E138" s="3">
        <f t="shared" si="53"/>
        <v>4.0521812648841492E-2</v>
      </c>
      <c r="F138" s="3">
        <f t="shared" si="53"/>
        <v>4.0521812648841492E-2</v>
      </c>
      <c r="G138" s="3">
        <f t="shared" si="53"/>
        <v>4.0521812648841492E-2</v>
      </c>
      <c r="H138" s="3">
        <f t="shared" si="53"/>
        <v>4.0521812648841492E-2</v>
      </c>
      <c r="I138" s="3">
        <f t="shared" si="53"/>
        <v>4.0521812648841492E-2</v>
      </c>
      <c r="J138" s="3">
        <f t="shared" si="53"/>
        <v>4.0521812648841492E-2</v>
      </c>
      <c r="K138" s="3">
        <f t="shared" si="53"/>
        <v>4.0521812648841492E-2</v>
      </c>
      <c r="L138" s="3">
        <f t="shared" si="53"/>
        <v>4.0521812648841492E-2</v>
      </c>
      <c r="M138" s="3">
        <f t="shared" si="53"/>
        <v>4.0521812648841492E-2</v>
      </c>
      <c r="N138" s="3">
        <f t="shared" si="53"/>
        <v>4.0521812648841492E-2</v>
      </c>
      <c r="O138" s="3">
        <f t="shared" si="53"/>
        <v>4.0521812648841478E-2</v>
      </c>
      <c r="P138" s="3">
        <f t="shared" si="53"/>
        <v>4.0521812648841367E-2</v>
      </c>
      <c r="Q138" s="3">
        <f t="shared" si="53"/>
        <v>4.0521812648840298E-2</v>
      </c>
      <c r="R138" s="3">
        <f t="shared" si="53"/>
        <v>4.0521812648829536E-2</v>
      </c>
      <c r="S138" s="3">
        <f t="shared" si="53"/>
        <v>4.05218126487219E-2</v>
      </c>
      <c r="T138" s="3">
        <f t="shared" si="53"/>
        <v>4.052181264764558E-2</v>
      </c>
      <c r="U138" s="3">
        <f t="shared" si="53"/>
        <v>4.0521812636882357E-2</v>
      </c>
      <c r="V138" s="3">
        <f t="shared" si="53"/>
        <v>4.0521812529250176E-2</v>
      </c>
      <c r="W138" s="3">
        <f t="shared" si="53"/>
        <v>4.052181145292838E-2</v>
      </c>
      <c r="X138" s="3">
        <f t="shared" si="53"/>
        <v>4.0521800689711951E-2</v>
      </c>
      <c r="Y138" s="3">
        <f t="shared" si="53"/>
        <v>4.0521693057704887E-2</v>
      </c>
      <c r="Z138" s="3">
        <f t="shared" si="53"/>
        <v>4.0520616753357913E-2</v>
      </c>
      <c r="AA138" s="3">
        <f t="shared" ref="AA138" si="54">$C24*EXP(-AA$129/$A24/EXP(-$B$126))</f>
        <v>4.0509855282098661E-2</v>
      </c>
      <c r="AB138" s="3">
        <f t="shared" si="46"/>
        <v>4.0402397636151749E-2</v>
      </c>
      <c r="AC138" s="3">
        <f t="shared" si="46"/>
        <v>3.9343374570326668E-2</v>
      </c>
      <c r="AD138" s="3">
        <f t="shared" si="46"/>
        <v>3.016590073114479E-2</v>
      </c>
      <c r="AE138" s="3">
        <f t="shared" si="46"/>
        <v>2.1181816289242818E-3</v>
      </c>
      <c r="AF138" s="3">
        <f t="shared" si="46"/>
        <v>6.1720891750442155E-15</v>
      </c>
    </row>
    <row r="139" spans="1:33" x14ac:dyDescent="0.25">
      <c r="B139" s="3">
        <f t="shared" ref="B139:Z139" si="55">$C25*EXP(-B$129/$A25/EXP(-$B$126))</f>
        <v>4.571082615945813E-2</v>
      </c>
      <c r="C139" s="3">
        <f t="shared" si="55"/>
        <v>4.571082615945813E-2</v>
      </c>
      <c r="D139" s="3">
        <f t="shared" si="55"/>
        <v>4.571082615945813E-2</v>
      </c>
      <c r="E139" s="3">
        <f t="shared" si="55"/>
        <v>4.571082615945813E-2</v>
      </c>
      <c r="F139" s="3">
        <f t="shared" si="55"/>
        <v>4.571082615945813E-2</v>
      </c>
      <c r="G139" s="3">
        <f t="shared" si="55"/>
        <v>4.571082615945813E-2</v>
      </c>
      <c r="H139" s="3">
        <f t="shared" si="55"/>
        <v>4.571082615945813E-2</v>
      </c>
      <c r="I139" s="3">
        <f t="shared" si="55"/>
        <v>4.571082615945813E-2</v>
      </c>
      <c r="J139" s="3">
        <f t="shared" si="55"/>
        <v>4.571082615945813E-2</v>
      </c>
      <c r="K139" s="3">
        <f t="shared" si="55"/>
        <v>4.571082615945813E-2</v>
      </c>
      <c r="L139" s="3">
        <f t="shared" si="55"/>
        <v>4.571082615945813E-2</v>
      </c>
      <c r="M139" s="3">
        <f t="shared" si="55"/>
        <v>4.571082615945813E-2</v>
      </c>
      <c r="N139" s="3">
        <f t="shared" si="55"/>
        <v>4.571082615945813E-2</v>
      </c>
      <c r="O139" s="3">
        <f t="shared" si="55"/>
        <v>4.571082615945813E-2</v>
      </c>
      <c r="P139" s="3">
        <f t="shared" si="55"/>
        <v>4.5710826159458123E-2</v>
      </c>
      <c r="Q139" s="3">
        <f t="shared" si="55"/>
        <v>4.5710826159458005E-2</v>
      </c>
      <c r="R139" s="3">
        <f t="shared" si="55"/>
        <v>4.5710826159456909E-2</v>
      </c>
      <c r="S139" s="3">
        <f t="shared" si="55"/>
        <v>4.5710826159445959E-2</v>
      </c>
      <c r="T139" s="3">
        <f t="shared" si="55"/>
        <v>4.5710826159336436E-2</v>
      </c>
      <c r="U139" s="3">
        <f t="shared" si="55"/>
        <v>4.5710826158241166E-2</v>
      </c>
      <c r="V139" s="3">
        <f t="shared" si="55"/>
        <v>4.5710826147288525E-2</v>
      </c>
      <c r="W139" s="3">
        <f t="shared" si="55"/>
        <v>4.5710826037762095E-2</v>
      </c>
      <c r="X139" s="3">
        <f t="shared" si="55"/>
        <v>4.5710824942497792E-2</v>
      </c>
      <c r="Y139" s="3">
        <f t="shared" si="55"/>
        <v>4.5710813989856165E-2</v>
      </c>
      <c r="Z139" s="3">
        <f t="shared" si="55"/>
        <v>4.5710704463584287E-2</v>
      </c>
      <c r="AA139" s="3">
        <f t="shared" ref="AA139" si="56">$C25*EXP(-AA$129/$A25/EXP(-$B$126))</f>
        <v>4.5709609215299186E-2</v>
      </c>
      <c r="AB139" s="3">
        <f t="shared" si="46"/>
        <v>4.5698658175688717E-2</v>
      </c>
      <c r="AC139" s="3">
        <f t="shared" si="46"/>
        <v>4.5589291975770593E-2</v>
      </c>
      <c r="AD139" s="3">
        <f t="shared" si="46"/>
        <v>4.4509922573798655E-2</v>
      </c>
      <c r="AE139" s="3">
        <f t="shared" si="46"/>
        <v>3.50265007758572E-2</v>
      </c>
      <c r="AF139" s="3">
        <f t="shared" si="46"/>
        <v>3.190038242835896E-3</v>
      </c>
    </row>
    <row r="140" spans="1:33" x14ac:dyDescent="0.25">
      <c r="B140" s="3">
        <f t="shared" ref="B140:Z140" si="57">$C26*EXP(-B$129/$A26/EXP(-$B$126))</f>
        <v>5.619956404185248E-2</v>
      </c>
      <c r="C140" s="3">
        <f t="shared" si="57"/>
        <v>5.619956404185248E-2</v>
      </c>
      <c r="D140" s="3">
        <f t="shared" si="57"/>
        <v>5.619956404185248E-2</v>
      </c>
      <c r="E140" s="3">
        <f t="shared" si="57"/>
        <v>5.619956404185248E-2</v>
      </c>
      <c r="F140" s="3">
        <f t="shared" si="57"/>
        <v>5.619956404185248E-2</v>
      </c>
      <c r="G140" s="3">
        <f t="shared" si="57"/>
        <v>5.619956404185248E-2</v>
      </c>
      <c r="H140" s="3">
        <f t="shared" si="57"/>
        <v>5.619956404185248E-2</v>
      </c>
      <c r="I140" s="3">
        <f t="shared" si="57"/>
        <v>5.619956404185248E-2</v>
      </c>
      <c r="J140" s="3">
        <f t="shared" si="57"/>
        <v>5.619956404185248E-2</v>
      </c>
      <c r="K140" s="3">
        <f t="shared" si="57"/>
        <v>5.619956404185248E-2</v>
      </c>
      <c r="L140" s="3">
        <f t="shared" si="57"/>
        <v>5.619956404185248E-2</v>
      </c>
      <c r="M140" s="3">
        <f t="shared" si="57"/>
        <v>5.619956404185248E-2</v>
      </c>
      <c r="N140" s="3">
        <f t="shared" si="57"/>
        <v>5.619956404185248E-2</v>
      </c>
      <c r="O140" s="3">
        <f t="shared" si="57"/>
        <v>5.619956404185248E-2</v>
      </c>
      <c r="P140" s="3">
        <f t="shared" si="57"/>
        <v>5.619956404185248E-2</v>
      </c>
      <c r="Q140" s="3">
        <f t="shared" si="57"/>
        <v>5.6199564041852466E-2</v>
      </c>
      <c r="R140" s="3">
        <f t="shared" si="57"/>
        <v>5.6199564041852342E-2</v>
      </c>
      <c r="S140" s="3">
        <f t="shared" si="57"/>
        <v>5.6199564041851134E-2</v>
      </c>
      <c r="T140" s="3">
        <f t="shared" si="57"/>
        <v>5.6199564041838984E-2</v>
      </c>
      <c r="U140" s="3">
        <f t="shared" si="57"/>
        <v>5.6199564041717512E-2</v>
      </c>
      <c r="V140" s="3">
        <f t="shared" si="57"/>
        <v>5.6199564040502775E-2</v>
      </c>
      <c r="W140" s="3">
        <f t="shared" si="57"/>
        <v>5.6199564028355492E-2</v>
      </c>
      <c r="X140" s="3">
        <f t="shared" si="57"/>
        <v>5.6199563906882591E-2</v>
      </c>
      <c r="Y140" s="3">
        <f t="shared" si="57"/>
        <v>5.6199562692153579E-2</v>
      </c>
      <c r="Z140" s="3">
        <f t="shared" si="57"/>
        <v>5.619955054486496E-2</v>
      </c>
      <c r="AA140" s="3">
        <f t="shared" ref="AA140" si="58">$C26*EXP(-AA$129/$A26/EXP(-$B$126))</f>
        <v>5.6199429072123122E-2</v>
      </c>
      <c r="AB140" s="3">
        <f t="shared" si="46"/>
        <v>5.6198214359145328E-2</v>
      </c>
      <c r="AC140" s="3">
        <f t="shared" si="46"/>
        <v>5.6186068673310149E-2</v>
      </c>
      <c r="AD140" s="3">
        <f t="shared" si="46"/>
        <v>5.606475609382023E-2</v>
      </c>
      <c r="AE140" s="3">
        <f t="shared" si="46"/>
        <v>5.4865943463782034E-2</v>
      </c>
      <c r="AF140" s="3">
        <f t="shared" si="46"/>
        <v>4.4200990018448454E-2</v>
      </c>
    </row>
    <row r="141" spans="1:33" x14ac:dyDescent="0.25">
      <c r="B141" s="3">
        <f t="shared" ref="B141:Z141" si="59">$C27*EXP(-B$129/$A27/EXP(-$B$126))</f>
        <v>6.8321253158217701E-2</v>
      </c>
      <c r="C141" s="3">
        <f t="shared" si="59"/>
        <v>6.8321253158217701E-2</v>
      </c>
      <c r="D141" s="3">
        <f t="shared" si="59"/>
        <v>6.8321253158217701E-2</v>
      </c>
      <c r="E141" s="3">
        <f t="shared" si="59"/>
        <v>6.8321253158217701E-2</v>
      </c>
      <c r="F141" s="3">
        <f t="shared" si="59"/>
        <v>6.8321253158217701E-2</v>
      </c>
      <c r="G141" s="3">
        <f t="shared" si="59"/>
        <v>6.8321253158217701E-2</v>
      </c>
      <c r="H141" s="3">
        <f t="shared" si="59"/>
        <v>6.8321253158217701E-2</v>
      </c>
      <c r="I141" s="3">
        <f t="shared" si="59"/>
        <v>6.8321253158217701E-2</v>
      </c>
      <c r="J141" s="3">
        <f t="shared" si="59"/>
        <v>6.8321253158217701E-2</v>
      </c>
      <c r="K141" s="3">
        <f t="shared" si="59"/>
        <v>6.8321253158217701E-2</v>
      </c>
      <c r="L141" s="3">
        <f t="shared" si="59"/>
        <v>6.8321253158217701E-2</v>
      </c>
      <c r="M141" s="3">
        <f t="shared" si="59"/>
        <v>6.8321253158217701E-2</v>
      </c>
      <c r="N141" s="3">
        <f t="shared" si="59"/>
        <v>6.8321253158217701E-2</v>
      </c>
      <c r="O141" s="3">
        <f t="shared" si="59"/>
        <v>6.8321253158217701E-2</v>
      </c>
      <c r="P141" s="3">
        <f t="shared" si="59"/>
        <v>6.8321253158217701E-2</v>
      </c>
      <c r="Q141" s="3">
        <f t="shared" si="59"/>
        <v>6.8321253158217701E-2</v>
      </c>
      <c r="R141" s="3">
        <f t="shared" si="59"/>
        <v>6.8321253158217687E-2</v>
      </c>
      <c r="S141" s="3">
        <f t="shared" si="59"/>
        <v>6.8321253158217549E-2</v>
      </c>
      <c r="T141" s="3">
        <f t="shared" si="59"/>
        <v>6.8321253158216216E-2</v>
      </c>
      <c r="U141" s="3">
        <f t="shared" si="59"/>
        <v>6.8321253158202908E-2</v>
      </c>
      <c r="V141" s="3">
        <f t="shared" si="59"/>
        <v>6.8321253158069681E-2</v>
      </c>
      <c r="W141" s="3">
        <f t="shared" si="59"/>
        <v>6.8321253156737552E-2</v>
      </c>
      <c r="X141" s="3">
        <f t="shared" si="59"/>
        <v>6.832125314341618E-2</v>
      </c>
      <c r="Y141" s="3">
        <f t="shared" si="59"/>
        <v>6.832125301020249E-2</v>
      </c>
      <c r="Z141" s="3">
        <f t="shared" si="59"/>
        <v>6.8321251678065548E-2</v>
      </c>
      <c r="AA141" s="3">
        <f t="shared" ref="AA141" si="60">$C27*EXP(-AA$129/$A27/EXP(-$B$126))</f>
        <v>6.8321238356697594E-2</v>
      </c>
      <c r="AB141" s="3">
        <f t="shared" si="46"/>
        <v>6.8321105143160935E-2</v>
      </c>
      <c r="AC141" s="3">
        <f t="shared" si="46"/>
        <v>6.8319773022080019E-2</v>
      </c>
      <c r="AD141" s="3">
        <f t="shared" si="46"/>
        <v>6.8306453239736456E-2</v>
      </c>
      <c r="AE141" s="3">
        <f t="shared" si="46"/>
        <v>6.8173398159867088E-2</v>
      </c>
      <c r="AF141" s="3">
        <f t="shared" si="46"/>
        <v>6.685701927304924E-2</v>
      </c>
    </row>
    <row r="142" spans="1:33" x14ac:dyDescent="0.25">
      <c r="B142" s="3">
        <f t="shared" ref="B142:Z142" si="61">$C28*EXP(-B$129/$A28/EXP(-$B$126))</f>
        <v>7.2516023247876399E-2</v>
      </c>
      <c r="C142" s="3">
        <f t="shared" si="61"/>
        <v>7.2516023247876399E-2</v>
      </c>
      <c r="D142" s="3">
        <f t="shared" si="61"/>
        <v>7.2516023247876399E-2</v>
      </c>
      <c r="E142" s="3">
        <f t="shared" si="61"/>
        <v>7.2516023247876399E-2</v>
      </c>
      <c r="F142" s="3">
        <f t="shared" si="61"/>
        <v>7.2516023247876399E-2</v>
      </c>
      <c r="G142" s="3">
        <f t="shared" si="61"/>
        <v>7.2516023247876399E-2</v>
      </c>
      <c r="H142" s="3">
        <f t="shared" si="61"/>
        <v>7.2516023247876399E-2</v>
      </c>
      <c r="I142" s="3">
        <f t="shared" si="61"/>
        <v>7.2516023247876399E-2</v>
      </c>
      <c r="J142" s="3">
        <f t="shared" si="61"/>
        <v>7.2516023247876399E-2</v>
      </c>
      <c r="K142" s="3">
        <f t="shared" si="61"/>
        <v>7.2516023247876399E-2</v>
      </c>
      <c r="L142" s="3">
        <f t="shared" si="61"/>
        <v>7.2516023247876399E-2</v>
      </c>
      <c r="M142" s="3">
        <f t="shared" si="61"/>
        <v>7.2516023247876399E-2</v>
      </c>
      <c r="N142" s="3">
        <f t="shared" si="61"/>
        <v>7.2516023247876399E-2</v>
      </c>
      <c r="O142" s="3">
        <f t="shared" si="61"/>
        <v>7.2516023247876399E-2</v>
      </c>
      <c r="P142" s="3">
        <f t="shared" si="61"/>
        <v>7.2516023247876399E-2</v>
      </c>
      <c r="Q142" s="3">
        <f t="shared" si="61"/>
        <v>7.2516023247876399E-2</v>
      </c>
      <c r="R142" s="3">
        <f t="shared" si="61"/>
        <v>7.2516023247876399E-2</v>
      </c>
      <c r="S142" s="3">
        <f t="shared" si="61"/>
        <v>7.2516023247876385E-2</v>
      </c>
      <c r="T142" s="3">
        <f t="shared" si="61"/>
        <v>7.251602324787626E-2</v>
      </c>
      <c r="U142" s="3">
        <f t="shared" si="61"/>
        <v>7.2516023247874983E-2</v>
      </c>
      <c r="V142" s="3">
        <f t="shared" si="61"/>
        <v>7.251602324786223E-2</v>
      </c>
      <c r="W142" s="3">
        <f t="shared" si="61"/>
        <v>7.2516023247734679E-2</v>
      </c>
      <c r="X142" s="3">
        <f t="shared" si="61"/>
        <v>7.2516023246459199E-2</v>
      </c>
      <c r="Y142" s="3">
        <f t="shared" si="61"/>
        <v>7.2516023233704402E-2</v>
      </c>
      <c r="Z142" s="3">
        <f t="shared" si="61"/>
        <v>7.2516023106156402E-2</v>
      </c>
      <c r="AA142" s="3">
        <f t="shared" ref="AA142" si="62">$C28*EXP(-AA$129/$A28/EXP(-$B$126))</f>
        <v>7.2516021830676514E-2</v>
      </c>
      <c r="AB142" s="3">
        <f t="shared" si="46"/>
        <v>7.2516009075878782E-2</v>
      </c>
      <c r="AC142" s="3">
        <f t="shared" si="46"/>
        <v>7.2515881528024795E-2</v>
      </c>
      <c r="AD142" s="3">
        <f t="shared" si="46"/>
        <v>7.2514606061823708E-2</v>
      </c>
      <c r="AE142" s="3">
        <f t="shared" si="46"/>
        <v>7.2501852633612307E-2</v>
      </c>
      <c r="AF142" s="3">
        <f t="shared" si="46"/>
        <v>7.237444165118076E-2</v>
      </c>
    </row>
    <row r="143" spans="1:33" x14ac:dyDescent="0.25">
      <c r="B143" s="3">
        <f t="shared" ref="B143:Z143" si="63">$C29*EXP(-B$129/$A29/EXP(-$B$126))</f>
        <v>6.0357732330784487E-2</v>
      </c>
      <c r="C143" s="3">
        <f t="shared" si="63"/>
        <v>6.0357732330784487E-2</v>
      </c>
      <c r="D143" s="3">
        <f t="shared" si="63"/>
        <v>6.0357732330784487E-2</v>
      </c>
      <c r="E143" s="3">
        <f t="shared" si="63"/>
        <v>6.0357732330784487E-2</v>
      </c>
      <c r="F143" s="3">
        <f t="shared" si="63"/>
        <v>6.0357732330784487E-2</v>
      </c>
      <c r="G143" s="3">
        <f t="shared" si="63"/>
        <v>6.0357732330784487E-2</v>
      </c>
      <c r="H143" s="3">
        <f t="shared" si="63"/>
        <v>6.0357732330784487E-2</v>
      </c>
      <c r="I143" s="3">
        <f t="shared" si="63"/>
        <v>6.0357732330784487E-2</v>
      </c>
      <c r="J143" s="3">
        <f t="shared" si="63"/>
        <v>6.0357732330784487E-2</v>
      </c>
      <c r="K143" s="3">
        <f t="shared" si="63"/>
        <v>6.0357732330784487E-2</v>
      </c>
      <c r="L143" s="3">
        <f t="shared" si="63"/>
        <v>6.0357732330784487E-2</v>
      </c>
      <c r="M143" s="3">
        <f t="shared" si="63"/>
        <v>6.0357732330784487E-2</v>
      </c>
      <c r="N143" s="3">
        <f t="shared" si="63"/>
        <v>6.0357732330784487E-2</v>
      </c>
      <c r="O143" s="3">
        <f t="shared" si="63"/>
        <v>6.0357732330784487E-2</v>
      </c>
      <c r="P143" s="3">
        <f t="shared" si="63"/>
        <v>6.0357732330784487E-2</v>
      </c>
      <c r="Q143" s="3">
        <f t="shared" si="63"/>
        <v>6.0357732330784487E-2</v>
      </c>
      <c r="R143" s="3">
        <f t="shared" si="63"/>
        <v>6.0357732330784487E-2</v>
      </c>
      <c r="S143" s="3">
        <f t="shared" si="63"/>
        <v>6.0357732330784487E-2</v>
      </c>
      <c r="T143" s="3">
        <f t="shared" si="63"/>
        <v>6.0357732330784473E-2</v>
      </c>
      <c r="U143" s="3">
        <f t="shared" si="63"/>
        <v>6.0357732330784383E-2</v>
      </c>
      <c r="V143" s="3">
        <f t="shared" si="63"/>
        <v>6.0357732330783419E-2</v>
      </c>
      <c r="W143" s="3">
        <f t="shared" si="63"/>
        <v>6.0357732330773843E-2</v>
      </c>
      <c r="X143" s="3">
        <f t="shared" si="63"/>
        <v>6.0357732330678079E-2</v>
      </c>
      <c r="Y143" s="3">
        <f t="shared" si="63"/>
        <v>6.0357732329720401E-2</v>
      </c>
      <c r="Z143" s="3">
        <f t="shared" si="63"/>
        <v>6.0357732320143631E-2</v>
      </c>
      <c r="AA143" s="3">
        <f t="shared" ref="AA143" si="64">$C29*EXP(-AA$129/$A29/EXP(-$B$126))</f>
        <v>6.0357732224375911E-2</v>
      </c>
      <c r="AB143" s="3">
        <f t="shared" si="46"/>
        <v>6.0357731266698723E-2</v>
      </c>
      <c r="AC143" s="3">
        <f t="shared" si="46"/>
        <v>6.0357721689927625E-2</v>
      </c>
      <c r="AD143" s="3">
        <f t="shared" si="46"/>
        <v>6.0357625922300297E-2</v>
      </c>
      <c r="AE143" s="3">
        <f t="shared" si="46"/>
        <v>6.0356668254384238E-2</v>
      </c>
      <c r="AF143" s="3">
        <f t="shared" si="46"/>
        <v>6.0347092410903198E-2</v>
      </c>
    </row>
    <row r="144" spans="1:33" x14ac:dyDescent="0.25">
      <c r="B144" s="3">
        <f t="shared" ref="B144:Z144" si="65">$C30*EXP(-B$129/$A30/EXP(-$B$126))</f>
        <v>3.7953571045142992E-2</v>
      </c>
      <c r="C144" s="3">
        <f t="shared" si="65"/>
        <v>3.7953571045142992E-2</v>
      </c>
      <c r="D144" s="3">
        <f t="shared" si="65"/>
        <v>3.7953571045142992E-2</v>
      </c>
      <c r="E144" s="3">
        <f t="shared" si="65"/>
        <v>3.7953571045142992E-2</v>
      </c>
      <c r="F144" s="3">
        <f t="shared" si="65"/>
        <v>3.7953571045142992E-2</v>
      </c>
      <c r="G144" s="3">
        <f t="shared" si="65"/>
        <v>3.7953571045142992E-2</v>
      </c>
      <c r="H144" s="3">
        <f t="shared" si="65"/>
        <v>3.7953571045142992E-2</v>
      </c>
      <c r="I144" s="3">
        <f t="shared" si="65"/>
        <v>3.7953571045142992E-2</v>
      </c>
      <c r="J144" s="3">
        <f t="shared" si="65"/>
        <v>3.7953571045142992E-2</v>
      </c>
      <c r="K144" s="3">
        <f t="shared" si="65"/>
        <v>3.7953571045142992E-2</v>
      </c>
      <c r="L144" s="3">
        <f t="shared" si="65"/>
        <v>3.7953571045142992E-2</v>
      </c>
      <c r="M144" s="3">
        <f t="shared" si="65"/>
        <v>3.7953571045142992E-2</v>
      </c>
      <c r="N144" s="3">
        <f t="shared" si="65"/>
        <v>3.7953571045142992E-2</v>
      </c>
      <c r="O144" s="3">
        <f t="shared" si="65"/>
        <v>3.7953571045142992E-2</v>
      </c>
      <c r="P144" s="3">
        <f t="shared" si="65"/>
        <v>3.7953571045142992E-2</v>
      </c>
      <c r="Q144" s="3">
        <f t="shared" si="65"/>
        <v>3.7953571045142992E-2</v>
      </c>
      <c r="R144" s="3">
        <f t="shared" si="65"/>
        <v>3.7953571045142992E-2</v>
      </c>
      <c r="S144" s="3">
        <f t="shared" si="65"/>
        <v>3.7953571045142992E-2</v>
      </c>
      <c r="T144" s="3">
        <f t="shared" si="65"/>
        <v>3.7953571045142992E-2</v>
      </c>
      <c r="U144" s="3">
        <f t="shared" si="65"/>
        <v>3.7953571045142985E-2</v>
      </c>
      <c r="V144" s="3">
        <f t="shared" si="65"/>
        <v>3.795357104514293E-2</v>
      </c>
      <c r="W144" s="3">
        <f t="shared" si="65"/>
        <v>3.7953571045142388E-2</v>
      </c>
      <c r="X144" s="3">
        <f t="shared" si="65"/>
        <v>3.7953571045136955E-2</v>
      </c>
      <c r="Y144" s="3">
        <f t="shared" si="65"/>
        <v>3.7953571045082631E-2</v>
      </c>
      <c r="Z144" s="3">
        <f t="shared" si="65"/>
        <v>3.7953571044539398E-2</v>
      </c>
      <c r="AA144" s="3">
        <f t="shared" ref="AA144" si="66">$C30*EXP(-AA$129/$A30/EXP(-$B$126))</f>
        <v>3.7953571039107077E-2</v>
      </c>
      <c r="AB144" s="3">
        <f t="shared" ref="AB144:AF153" si="67">$C30*EXP(-AB$129/$A30/EXP(-$B$126))</f>
        <v>3.7953570984783865E-2</v>
      </c>
      <c r="AC144" s="3">
        <f t="shared" si="67"/>
        <v>3.7953570441551711E-2</v>
      </c>
      <c r="AD144" s="3">
        <f t="shared" si="67"/>
        <v>3.7953565009230618E-2</v>
      </c>
      <c r="AE144" s="3">
        <f t="shared" si="67"/>
        <v>3.7953510686062494E-2</v>
      </c>
      <c r="AF144" s="3">
        <f t="shared" si="67"/>
        <v>3.7952967458657637E-2</v>
      </c>
    </row>
    <row r="145" spans="1:32" x14ac:dyDescent="0.25">
      <c r="B145" s="3">
        <f t="shared" ref="B145:Z145" si="68">$C31*EXP(-B$129/$A31/EXP(-$B$126))</f>
        <v>1.9899360219970862E-2</v>
      </c>
      <c r="C145" s="3">
        <f t="shared" si="68"/>
        <v>1.9899360219970862E-2</v>
      </c>
      <c r="D145" s="3">
        <f t="shared" si="68"/>
        <v>1.9899360219970862E-2</v>
      </c>
      <c r="E145" s="3">
        <f t="shared" si="68"/>
        <v>1.9899360219970862E-2</v>
      </c>
      <c r="F145" s="3">
        <f t="shared" si="68"/>
        <v>1.9899360219970862E-2</v>
      </c>
      <c r="G145" s="3">
        <f t="shared" si="68"/>
        <v>1.9899360219970862E-2</v>
      </c>
      <c r="H145" s="3">
        <f t="shared" si="68"/>
        <v>1.9899360219970862E-2</v>
      </c>
      <c r="I145" s="3">
        <f t="shared" si="68"/>
        <v>1.9899360219970862E-2</v>
      </c>
      <c r="J145" s="3">
        <f t="shared" si="68"/>
        <v>1.9899360219970862E-2</v>
      </c>
      <c r="K145" s="3">
        <f t="shared" si="68"/>
        <v>1.9899360219970862E-2</v>
      </c>
      <c r="L145" s="3">
        <f t="shared" si="68"/>
        <v>1.9899360219970862E-2</v>
      </c>
      <c r="M145" s="3">
        <f t="shared" si="68"/>
        <v>1.9899360219970862E-2</v>
      </c>
      <c r="N145" s="3">
        <f t="shared" si="68"/>
        <v>1.9899360219970862E-2</v>
      </c>
      <c r="O145" s="3">
        <f t="shared" si="68"/>
        <v>1.9899360219970862E-2</v>
      </c>
      <c r="P145" s="3">
        <f t="shared" si="68"/>
        <v>1.9899360219970862E-2</v>
      </c>
      <c r="Q145" s="3">
        <f t="shared" si="68"/>
        <v>1.9899360219970862E-2</v>
      </c>
      <c r="R145" s="3">
        <f t="shared" si="68"/>
        <v>1.9899360219970862E-2</v>
      </c>
      <c r="S145" s="3">
        <f t="shared" si="68"/>
        <v>1.9899360219970862E-2</v>
      </c>
      <c r="T145" s="3">
        <f t="shared" si="68"/>
        <v>1.9899360219970862E-2</v>
      </c>
      <c r="U145" s="3">
        <f t="shared" si="68"/>
        <v>1.9899360219970862E-2</v>
      </c>
      <c r="V145" s="3">
        <f t="shared" si="68"/>
        <v>1.9899360219970859E-2</v>
      </c>
      <c r="W145" s="3">
        <f t="shared" si="68"/>
        <v>1.9899360219970835E-2</v>
      </c>
      <c r="X145" s="3">
        <f t="shared" si="68"/>
        <v>1.9899360219970578E-2</v>
      </c>
      <c r="Y145" s="3">
        <f t="shared" si="68"/>
        <v>1.9899360219968007E-2</v>
      </c>
      <c r="Z145" s="3">
        <f t="shared" si="68"/>
        <v>1.9899360219942316E-2</v>
      </c>
      <c r="AA145" s="3">
        <f t="shared" ref="AA145" si="69">$C31*EXP(-AA$129/$A31/EXP(-$B$126))</f>
        <v>1.9899360219685382E-2</v>
      </c>
      <c r="AB145" s="3">
        <f t="shared" si="67"/>
        <v>1.9899360217116059E-2</v>
      </c>
      <c r="AC145" s="3">
        <f t="shared" si="67"/>
        <v>1.9899360191422841E-2</v>
      </c>
      <c r="AD145" s="3">
        <f t="shared" si="67"/>
        <v>1.9899359934490646E-2</v>
      </c>
      <c r="AE145" s="3">
        <f t="shared" si="67"/>
        <v>1.9899357365168884E-2</v>
      </c>
      <c r="AF145" s="3">
        <f t="shared" si="67"/>
        <v>1.9899331671969504E-2</v>
      </c>
    </row>
    <row r="146" spans="1:32" x14ac:dyDescent="0.25">
      <c r="B146" s="3">
        <f t="shared" ref="B146:Z146" si="70">$C32*EXP(-B$129/$A32/EXP(-$B$126))</f>
        <v>1.0036367698219981E-2</v>
      </c>
      <c r="C146" s="3">
        <f t="shared" si="70"/>
        <v>1.0036367698219981E-2</v>
      </c>
      <c r="D146" s="3">
        <f t="shared" si="70"/>
        <v>1.0036367698219981E-2</v>
      </c>
      <c r="E146" s="3">
        <f t="shared" si="70"/>
        <v>1.0036367698219981E-2</v>
      </c>
      <c r="F146" s="3">
        <f t="shared" si="70"/>
        <v>1.0036367698219981E-2</v>
      </c>
      <c r="G146" s="3">
        <f t="shared" si="70"/>
        <v>1.0036367698219981E-2</v>
      </c>
      <c r="H146" s="3">
        <f t="shared" si="70"/>
        <v>1.0036367698219981E-2</v>
      </c>
      <c r="I146" s="3">
        <f t="shared" si="70"/>
        <v>1.0036367698219981E-2</v>
      </c>
      <c r="J146" s="3">
        <f t="shared" si="70"/>
        <v>1.0036367698219981E-2</v>
      </c>
      <c r="K146" s="3">
        <f t="shared" si="70"/>
        <v>1.0036367698219981E-2</v>
      </c>
      <c r="L146" s="3">
        <f t="shared" si="70"/>
        <v>1.0036367698219981E-2</v>
      </c>
      <c r="M146" s="3">
        <f t="shared" si="70"/>
        <v>1.0036367698219981E-2</v>
      </c>
      <c r="N146" s="3">
        <f t="shared" si="70"/>
        <v>1.0036367698219981E-2</v>
      </c>
      <c r="O146" s="3">
        <f t="shared" si="70"/>
        <v>1.0036367698219981E-2</v>
      </c>
      <c r="P146" s="3">
        <f t="shared" si="70"/>
        <v>1.0036367698219981E-2</v>
      </c>
      <c r="Q146" s="3">
        <f t="shared" si="70"/>
        <v>1.0036367698219981E-2</v>
      </c>
      <c r="R146" s="3">
        <f t="shared" si="70"/>
        <v>1.0036367698219981E-2</v>
      </c>
      <c r="S146" s="3">
        <f t="shared" si="70"/>
        <v>1.0036367698219981E-2</v>
      </c>
      <c r="T146" s="3">
        <f t="shared" si="70"/>
        <v>1.0036367698219981E-2</v>
      </c>
      <c r="U146" s="3">
        <f t="shared" si="70"/>
        <v>1.0036367698219981E-2</v>
      </c>
      <c r="V146" s="3">
        <f t="shared" si="70"/>
        <v>1.0036367698219981E-2</v>
      </c>
      <c r="W146" s="3">
        <f t="shared" si="70"/>
        <v>1.0036367698219979E-2</v>
      </c>
      <c r="X146" s="3">
        <f t="shared" si="70"/>
        <v>1.0036367698219967E-2</v>
      </c>
      <c r="Y146" s="3">
        <f t="shared" si="70"/>
        <v>1.0036367698219851E-2</v>
      </c>
      <c r="Z146" s="3">
        <f t="shared" si="70"/>
        <v>1.0036367698218682E-2</v>
      </c>
      <c r="AA146" s="3">
        <f t="shared" ref="AA146" si="71">$C32*EXP(-AA$129/$A32/EXP(-$B$126))</f>
        <v>1.0036367698206991E-2</v>
      </c>
      <c r="AB146" s="3">
        <f t="shared" si="67"/>
        <v>1.0036367698090095E-2</v>
      </c>
      <c r="AC146" s="3">
        <f t="shared" si="67"/>
        <v>1.0036367696921128E-2</v>
      </c>
      <c r="AD146" s="3">
        <f t="shared" si="67"/>
        <v>1.0036367685231449E-2</v>
      </c>
      <c r="AE146" s="3">
        <f t="shared" si="67"/>
        <v>1.0036367568334663E-2</v>
      </c>
      <c r="AF146" s="3">
        <f t="shared" si="67"/>
        <v>1.0036366399366886E-2</v>
      </c>
    </row>
    <row r="147" spans="1:32" x14ac:dyDescent="0.25">
      <c r="B147" s="3">
        <f t="shared" ref="B147:Z147" si="72">$C33*EXP(-B$129/$A33/EXP(-$B$126))</f>
        <v>1.0472179826501766E-2</v>
      </c>
      <c r="C147" s="3">
        <f t="shared" si="72"/>
        <v>1.0472179826501766E-2</v>
      </c>
      <c r="D147" s="3">
        <f t="shared" si="72"/>
        <v>1.0472179826501766E-2</v>
      </c>
      <c r="E147" s="3">
        <f t="shared" si="72"/>
        <v>1.0472179826501766E-2</v>
      </c>
      <c r="F147" s="3">
        <f t="shared" si="72"/>
        <v>1.0472179826501766E-2</v>
      </c>
      <c r="G147" s="3">
        <f t="shared" si="72"/>
        <v>1.0472179826501766E-2</v>
      </c>
      <c r="H147" s="3">
        <f t="shared" si="72"/>
        <v>1.0472179826501766E-2</v>
      </c>
      <c r="I147" s="3">
        <f t="shared" si="72"/>
        <v>1.0472179826501766E-2</v>
      </c>
      <c r="J147" s="3">
        <f t="shared" si="72"/>
        <v>1.0472179826501766E-2</v>
      </c>
      <c r="K147" s="3">
        <f t="shared" si="72"/>
        <v>1.0472179826501766E-2</v>
      </c>
      <c r="L147" s="3">
        <f t="shared" si="72"/>
        <v>1.0472179826501766E-2</v>
      </c>
      <c r="M147" s="3">
        <f t="shared" si="72"/>
        <v>1.0472179826501766E-2</v>
      </c>
      <c r="N147" s="3">
        <f t="shared" si="72"/>
        <v>1.0472179826501766E-2</v>
      </c>
      <c r="O147" s="3">
        <f t="shared" si="72"/>
        <v>1.0472179826501766E-2</v>
      </c>
      <c r="P147" s="3">
        <f t="shared" si="72"/>
        <v>1.0472179826501766E-2</v>
      </c>
      <c r="Q147" s="3">
        <f t="shared" si="72"/>
        <v>1.0472179826501766E-2</v>
      </c>
      <c r="R147" s="3">
        <f t="shared" si="72"/>
        <v>1.0472179826501766E-2</v>
      </c>
      <c r="S147" s="3">
        <f t="shared" si="72"/>
        <v>1.0472179826501766E-2</v>
      </c>
      <c r="T147" s="3">
        <f t="shared" si="72"/>
        <v>1.0472179826501766E-2</v>
      </c>
      <c r="U147" s="3">
        <f t="shared" si="72"/>
        <v>1.0472179826501766E-2</v>
      </c>
      <c r="V147" s="3">
        <f t="shared" si="72"/>
        <v>1.0472179826501766E-2</v>
      </c>
      <c r="W147" s="3">
        <f t="shared" si="72"/>
        <v>1.0472179826501766E-2</v>
      </c>
      <c r="X147" s="3">
        <f t="shared" si="72"/>
        <v>1.0472179826501764E-2</v>
      </c>
      <c r="Y147" s="3">
        <f t="shared" si="72"/>
        <v>1.0472179826501754E-2</v>
      </c>
      <c r="Z147" s="3">
        <f t="shared" si="72"/>
        <v>1.0472179826501645E-2</v>
      </c>
      <c r="AA147" s="3">
        <f t="shared" ref="AA147" si="73">$C33*EXP(-AA$129/$A33/EXP(-$B$126))</f>
        <v>1.0472179826500543E-2</v>
      </c>
      <c r="AB147" s="3">
        <f t="shared" si="67"/>
        <v>1.0472179826489542E-2</v>
      </c>
      <c r="AC147" s="3">
        <f t="shared" si="67"/>
        <v>1.047217982637951E-2</v>
      </c>
      <c r="AD147" s="3">
        <f t="shared" si="67"/>
        <v>1.0472179825279215E-2</v>
      </c>
      <c r="AE147" s="3">
        <f t="shared" si="67"/>
        <v>1.047217981427625E-2</v>
      </c>
      <c r="AF147" s="3">
        <f t="shared" si="67"/>
        <v>1.0472179704246612E-2</v>
      </c>
    </row>
    <row r="148" spans="1:32" x14ac:dyDescent="0.25">
      <c r="B148" s="3">
        <f t="shared" ref="B148:Z148" si="74">$C34*EXP(-B$129/$A34/EXP(-$B$126))</f>
        <v>1.1455889373470318E-2</v>
      </c>
      <c r="C148" s="3">
        <f t="shared" si="74"/>
        <v>1.1455889373470318E-2</v>
      </c>
      <c r="D148" s="3">
        <f t="shared" si="74"/>
        <v>1.1455889373470318E-2</v>
      </c>
      <c r="E148" s="3">
        <f t="shared" si="74"/>
        <v>1.1455889373470318E-2</v>
      </c>
      <c r="F148" s="3">
        <f t="shared" si="74"/>
        <v>1.1455889373470318E-2</v>
      </c>
      <c r="G148" s="3">
        <f t="shared" si="74"/>
        <v>1.1455889373470318E-2</v>
      </c>
      <c r="H148" s="3">
        <f t="shared" si="74"/>
        <v>1.1455889373470318E-2</v>
      </c>
      <c r="I148" s="3">
        <f t="shared" si="74"/>
        <v>1.1455889373470318E-2</v>
      </c>
      <c r="J148" s="3">
        <f t="shared" si="74"/>
        <v>1.1455889373470318E-2</v>
      </c>
      <c r="K148" s="3">
        <f t="shared" si="74"/>
        <v>1.1455889373470318E-2</v>
      </c>
      <c r="L148" s="3">
        <f t="shared" si="74"/>
        <v>1.1455889373470318E-2</v>
      </c>
      <c r="M148" s="3">
        <f t="shared" si="74"/>
        <v>1.1455889373470318E-2</v>
      </c>
      <c r="N148" s="3">
        <f t="shared" si="74"/>
        <v>1.1455889373470318E-2</v>
      </c>
      <c r="O148" s="3">
        <f t="shared" si="74"/>
        <v>1.1455889373470318E-2</v>
      </c>
      <c r="P148" s="3">
        <f t="shared" si="74"/>
        <v>1.1455889373470318E-2</v>
      </c>
      <c r="Q148" s="3">
        <f t="shared" si="74"/>
        <v>1.1455889373470318E-2</v>
      </c>
      <c r="R148" s="3">
        <f t="shared" si="74"/>
        <v>1.1455889373470318E-2</v>
      </c>
      <c r="S148" s="3">
        <f t="shared" si="74"/>
        <v>1.1455889373470318E-2</v>
      </c>
      <c r="T148" s="3">
        <f t="shared" si="74"/>
        <v>1.1455889373470318E-2</v>
      </c>
      <c r="U148" s="3">
        <f t="shared" si="74"/>
        <v>1.1455889373470318E-2</v>
      </c>
      <c r="V148" s="3">
        <f t="shared" si="74"/>
        <v>1.1455889373470318E-2</v>
      </c>
      <c r="W148" s="3">
        <f t="shared" si="74"/>
        <v>1.1455889373470318E-2</v>
      </c>
      <c r="X148" s="3">
        <f t="shared" si="74"/>
        <v>1.1455889373470318E-2</v>
      </c>
      <c r="Y148" s="3">
        <f t="shared" si="74"/>
        <v>1.1455889373470316E-2</v>
      </c>
      <c r="Z148" s="3">
        <f t="shared" si="74"/>
        <v>1.1455889373470305E-2</v>
      </c>
      <c r="AA148" s="3">
        <f>$C34*EXP(-AA$129/$A34/EXP(-$B$126))</f>
        <v>1.1455889373470196E-2</v>
      </c>
      <c r="AB148" s="3">
        <f t="shared" si="67"/>
        <v>1.145588937346911E-2</v>
      </c>
      <c r="AC148" s="3">
        <f t="shared" si="67"/>
        <v>1.1455889373458253E-2</v>
      </c>
      <c r="AD148" s="3">
        <f t="shared" si="67"/>
        <v>1.1455889373349674E-2</v>
      </c>
      <c r="AE148" s="3">
        <f t="shared" si="67"/>
        <v>1.1455889372263878E-2</v>
      </c>
      <c r="AF148" s="3">
        <f t="shared" si="67"/>
        <v>1.1455889361405925E-2</v>
      </c>
    </row>
    <row r="149" spans="1:32" x14ac:dyDescent="0.25">
      <c r="B149" s="3">
        <f t="shared" ref="B149:Z149" si="75">$C35*EXP(-B$129/$A35/EXP(-$B$126))</f>
        <v>6.2948394662532018E-3</v>
      </c>
      <c r="C149" s="3">
        <f t="shared" si="75"/>
        <v>6.2948394662532018E-3</v>
      </c>
      <c r="D149" s="3">
        <f t="shared" si="75"/>
        <v>6.2948394662532018E-3</v>
      </c>
      <c r="E149" s="3">
        <f t="shared" si="75"/>
        <v>6.2948394662532018E-3</v>
      </c>
      <c r="F149" s="3">
        <f t="shared" si="75"/>
        <v>6.2948394662532018E-3</v>
      </c>
      <c r="G149" s="3">
        <f t="shared" si="75"/>
        <v>6.2948394662532018E-3</v>
      </c>
      <c r="H149" s="3">
        <f t="shared" si="75"/>
        <v>6.2948394662532018E-3</v>
      </c>
      <c r="I149" s="3">
        <f t="shared" si="75"/>
        <v>6.2948394662532018E-3</v>
      </c>
      <c r="J149" s="3">
        <f t="shared" si="75"/>
        <v>6.2948394662532018E-3</v>
      </c>
      <c r="K149" s="3">
        <f t="shared" si="75"/>
        <v>6.2948394662532018E-3</v>
      </c>
      <c r="L149" s="3">
        <f t="shared" si="75"/>
        <v>6.2948394662532018E-3</v>
      </c>
      <c r="M149" s="3">
        <f t="shared" si="75"/>
        <v>6.2948394662532018E-3</v>
      </c>
      <c r="N149" s="3">
        <f t="shared" si="75"/>
        <v>6.2948394662532018E-3</v>
      </c>
      <c r="O149" s="3">
        <f t="shared" si="75"/>
        <v>6.2948394662532018E-3</v>
      </c>
      <c r="P149" s="3">
        <f t="shared" si="75"/>
        <v>6.2948394662532018E-3</v>
      </c>
      <c r="Q149" s="3">
        <f t="shared" si="75"/>
        <v>6.2948394662532018E-3</v>
      </c>
      <c r="R149" s="3">
        <f t="shared" si="75"/>
        <v>6.2948394662532018E-3</v>
      </c>
      <c r="S149" s="3">
        <f t="shared" si="75"/>
        <v>6.2948394662532018E-3</v>
      </c>
      <c r="T149" s="3">
        <f t="shared" si="75"/>
        <v>6.2948394662532018E-3</v>
      </c>
      <c r="U149" s="3">
        <f t="shared" si="75"/>
        <v>6.2948394662532018E-3</v>
      </c>
      <c r="V149" s="3">
        <f t="shared" si="75"/>
        <v>6.2948394662532018E-3</v>
      </c>
      <c r="W149" s="3">
        <f t="shared" si="75"/>
        <v>6.2948394662532018E-3</v>
      </c>
      <c r="X149" s="3">
        <f t="shared" si="75"/>
        <v>6.2948394662532018E-3</v>
      </c>
      <c r="Y149" s="3">
        <f t="shared" si="75"/>
        <v>6.2948394662532018E-3</v>
      </c>
      <c r="Z149" s="3">
        <f t="shared" si="75"/>
        <v>6.294839466253201E-3</v>
      </c>
      <c r="AA149" s="3">
        <f t="shared" ref="AA149" si="76">$C35*EXP(-AA$129/$A35/EXP(-$B$126))</f>
        <v>6.2948394662531958E-3</v>
      </c>
      <c r="AB149" s="3">
        <f t="shared" si="67"/>
        <v>6.294839466253142E-3</v>
      </c>
      <c r="AC149" s="3">
        <f t="shared" si="67"/>
        <v>6.2948394662526034E-3</v>
      </c>
      <c r="AD149" s="3">
        <f t="shared" si="67"/>
        <v>6.2948394662472214E-3</v>
      </c>
      <c r="AE149" s="3">
        <f t="shared" si="67"/>
        <v>6.2948394661934007E-3</v>
      </c>
      <c r="AF149" s="3">
        <f t="shared" si="67"/>
        <v>6.2948394656551923E-3</v>
      </c>
    </row>
    <row r="150" spans="1:32" x14ac:dyDescent="0.25">
      <c r="B150" s="3">
        <f t="shared" ref="B150:Z150" si="77">$C36*EXP(-B$129/$A36/EXP(-$B$126))</f>
        <v>5.5356903730511449E-3</v>
      </c>
      <c r="C150" s="3">
        <f t="shared" si="77"/>
        <v>5.5356903730511449E-3</v>
      </c>
      <c r="D150" s="3">
        <f t="shared" si="77"/>
        <v>5.5356903730511449E-3</v>
      </c>
      <c r="E150" s="3">
        <f t="shared" si="77"/>
        <v>5.5356903730511449E-3</v>
      </c>
      <c r="F150" s="3">
        <f t="shared" si="77"/>
        <v>5.5356903730511449E-3</v>
      </c>
      <c r="G150" s="3">
        <f t="shared" si="77"/>
        <v>5.5356903730511449E-3</v>
      </c>
      <c r="H150" s="3">
        <f t="shared" si="77"/>
        <v>5.5356903730511449E-3</v>
      </c>
      <c r="I150" s="3">
        <f t="shared" si="77"/>
        <v>5.5356903730511449E-3</v>
      </c>
      <c r="J150" s="3">
        <f t="shared" si="77"/>
        <v>5.5356903730511449E-3</v>
      </c>
      <c r="K150" s="3">
        <f t="shared" si="77"/>
        <v>5.5356903730511449E-3</v>
      </c>
      <c r="L150" s="3">
        <f t="shared" si="77"/>
        <v>5.5356903730511449E-3</v>
      </c>
      <c r="M150" s="3">
        <f t="shared" si="77"/>
        <v>5.5356903730511449E-3</v>
      </c>
      <c r="N150" s="3">
        <f t="shared" si="77"/>
        <v>5.5356903730511449E-3</v>
      </c>
      <c r="O150" s="3">
        <f t="shared" si="77"/>
        <v>5.5356903730511449E-3</v>
      </c>
      <c r="P150" s="3">
        <f t="shared" si="77"/>
        <v>5.5356903730511449E-3</v>
      </c>
      <c r="Q150" s="3">
        <f t="shared" si="77"/>
        <v>5.5356903730511449E-3</v>
      </c>
      <c r="R150" s="3">
        <f t="shared" si="77"/>
        <v>5.5356903730511449E-3</v>
      </c>
      <c r="S150" s="3">
        <f t="shared" si="77"/>
        <v>5.5356903730511449E-3</v>
      </c>
      <c r="T150" s="3">
        <f t="shared" si="77"/>
        <v>5.5356903730511449E-3</v>
      </c>
      <c r="U150" s="3">
        <f t="shared" si="77"/>
        <v>5.5356903730511449E-3</v>
      </c>
      <c r="V150" s="3">
        <f t="shared" si="77"/>
        <v>5.5356903730511449E-3</v>
      </c>
      <c r="W150" s="3">
        <f t="shared" si="77"/>
        <v>5.5356903730511449E-3</v>
      </c>
      <c r="X150" s="3">
        <f t="shared" si="77"/>
        <v>5.5356903730511449E-3</v>
      </c>
      <c r="Y150" s="3">
        <f t="shared" si="77"/>
        <v>5.5356903730511449E-3</v>
      </c>
      <c r="Z150" s="3">
        <f t="shared" si="77"/>
        <v>5.5356903730511449E-3</v>
      </c>
      <c r="AA150" s="3">
        <f t="shared" ref="AA150" si="78">$C36*EXP(-AA$129/$A36/EXP(-$B$126))</f>
        <v>5.535690373051144E-3</v>
      </c>
      <c r="AB150" s="3">
        <f t="shared" si="67"/>
        <v>5.5356903730511397E-3</v>
      </c>
      <c r="AC150" s="3">
        <f t="shared" si="67"/>
        <v>5.5356903730510972E-3</v>
      </c>
      <c r="AD150" s="3">
        <f t="shared" si="67"/>
        <v>5.5356903730506704E-3</v>
      </c>
      <c r="AE150" s="3">
        <f t="shared" si="67"/>
        <v>5.5356903730464013E-3</v>
      </c>
      <c r="AF150" s="3">
        <f t="shared" si="67"/>
        <v>5.5356903730037054E-3</v>
      </c>
    </row>
    <row r="151" spans="1:32" x14ac:dyDescent="0.25">
      <c r="B151" s="3">
        <f t="shared" ref="B151:Z151" si="79">$C37*EXP(-B$129/$A37/EXP(-$B$126))</f>
        <v>2.9841994807754844E-3</v>
      </c>
      <c r="C151" s="3">
        <f t="shared" si="79"/>
        <v>2.9841994807754844E-3</v>
      </c>
      <c r="D151" s="3">
        <f t="shared" si="79"/>
        <v>2.9841994807754844E-3</v>
      </c>
      <c r="E151" s="3">
        <f t="shared" si="79"/>
        <v>2.9841994807754844E-3</v>
      </c>
      <c r="F151" s="3">
        <f t="shared" si="79"/>
        <v>2.9841994807754844E-3</v>
      </c>
      <c r="G151" s="3">
        <f t="shared" si="79"/>
        <v>2.9841994807754844E-3</v>
      </c>
      <c r="H151" s="3">
        <f t="shared" si="79"/>
        <v>2.9841994807754844E-3</v>
      </c>
      <c r="I151" s="3">
        <f t="shared" si="79"/>
        <v>2.9841994807754844E-3</v>
      </c>
      <c r="J151" s="3">
        <f t="shared" si="79"/>
        <v>2.9841994807754844E-3</v>
      </c>
      <c r="K151" s="3">
        <f t="shared" si="79"/>
        <v>2.9841994807754844E-3</v>
      </c>
      <c r="L151" s="3">
        <f t="shared" si="79"/>
        <v>2.9841994807754844E-3</v>
      </c>
      <c r="M151" s="3">
        <f t="shared" si="79"/>
        <v>2.9841994807754844E-3</v>
      </c>
      <c r="N151" s="3">
        <f t="shared" si="79"/>
        <v>2.9841994807754844E-3</v>
      </c>
      <c r="O151" s="3">
        <f t="shared" si="79"/>
        <v>2.9841994807754844E-3</v>
      </c>
      <c r="P151" s="3">
        <f t="shared" si="79"/>
        <v>2.9841994807754844E-3</v>
      </c>
      <c r="Q151" s="3">
        <f t="shared" si="79"/>
        <v>2.9841994807754844E-3</v>
      </c>
      <c r="R151" s="3">
        <f t="shared" si="79"/>
        <v>2.9841994807754844E-3</v>
      </c>
      <c r="S151" s="3">
        <f t="shared" si="79"/>
        <v>2.9841994807754844E-3</v>
      </c>
      <c r="T151" s="3">
        <f t="shared" si="79"/>
        <v>2.9841994807754844E-3</v>
      </c>
      <c r="U151" s="3">
        <f t="shared" si="79"/>
        <v>2.9841994807754844E-3</v>
      </c>
      <c r="V151" s="3">
        <f t="shared" si="79"/>
        <v>2.9841994807754844E-3</v>
      </c>
      <c r="W151" s="3">
        <f t="shared" si="79"/>
        <v>2.9841994807754844E-3</v>
      </c>
      <c r="X151" s="3">
        <f t="shared" si="79"/>
        <v>2.9841994807754844E-3</v>
      </c>
      <c r="Y151" s="3">
        <f t="shared" si="79"/>
        <v>2.9841994807754844E-3</v>
      </c>
      <c r="Z151" s="3">
        <f t="shared" si="79"/>
        <v>2.9841994807754844E-3</v>
      </c>
      <c r="AA151" s="3">
        <f t="shared" ref="AA151" si="80">$C37*EXP(-AA$129/$A37/EXP(-$B$126))</f>
        <v>2.9841994807754844E-3</v>
      </c>
      <c r="AB151" s="3">
        <f t="shared" si="67"/>
        <v>2.984199480775484E-3</v>
      </c>
      <c r="AC151" s="3">
        <f t="shared" si="67"/>
        <v>2.9841994807754822E-3</v>
      </c>
      <c r="AD151" s="3">
        <f t="shared" si="67"/>
        <v>2.9841994807754614E-3</v>
      </c>
      <c r="AE151" s="3">
        <f t="shared" si="67"/>
        <v>2.9841994807752537E-3</v>
      </c>
      <c r="AF151" s="3">
        <f t="shared" si="67"/>
        <v>2.9841994807731777E-3</v>
      </c>
    </row>
    <row r="152" spans="1:32" x14ac:dyDescent="0.25">
      <c r="B152" s="3">
        <f t="shared" ref="B152:Z152" si="81">$C38*EXP(-B$129/$A38/EXP(-$B$126))</f>
        <v>1.1698557197945001E-3</v>
      </c>
      <c r="C152" s="3">
        <f t="shared" si="81"/>
        <v>1.1698557197945001E-3</v>
      </c>
      <c r="D152" s="3">
        <f t="shared" si="81"/>
        <v>1.1698557197945001E-3</v>
      </c>
      <c r="E152" s="3">
        <f t="shared" si="81"/>
        <v>1.1698557197945001E-3</v>
      </c>
      <c r="F152" s="3">
        <f t="shared" si="81"/>
        <v>1.1698557197945001E-3</v>
      </c>
      <c r="G152" s="3">
        <f t="shared" si="81"/>
        <v>1.1698557197945001E-3</v>
      </c>
      <c r="H152" s="3">
        <f t="shared" si="81"/>
        <v>1.1698557197945001E-3</v>
      </c>
      <c r="I152" s="3">
        <f t="shared" si="81"/>
        <v>1.1698557197945001E-3</v>
      </c>
      <c r="J152" s="3">
        <f t="shared" si="81"/>
        <v>1.1698557197945001E-3</v>
      </c>
      <c r="K152" s="3">
        <f t="shared" si="81"/>
        <v>1.1698557197945001E-3</v>
      </c>
      <c r="L152" s="3">
        <f t="shared" si="81"/>
        <v>1.1698557197945001E-3</v>
      </c>
      <c r="M152" s="3">
        <f t="shared" si="81"/>
        <v>1.1698557197945001E-3</v>
      </c>
      <c r="N152" s="3">
        <f t="shared" si="81"/>
        <v>1.1698557197945001E-3</v>
      </c>
      <c r="O152" s="3">
        <f t="shared" si="81"/>
        <v>1.1698557197945001E-3</v>
      </c>
      <c r="P152" s="3">
        <f t="shared" si="81"/>
        <v>1.1698557197945001E-3</v>
      </c>
      <c r="Q152" s="3">
        <f t="shared" si="81"/>
        <v>1.1698557197945001E-3</v>
      </c>
      <c r="R152" s="3">
        <f t="shared" si="81"/>
        <v>1.1698557197945001E-3</v>
      </c>
      <c r="S152" s="3">
        <f t="shared" si="81"/>
        <v>1.1698557197945001E-3</v>
      </c>
      <c r="T152" s="3">
        <f t="shared" si="81"/>
        <v>1.1698557197945001E-3</v>
      </c>
      <c r="U152" s="3">
        <f t="shared" si="81"/>
        <v>1.1698557197945001E-3</v>
      </c>
      <c r="V152" s="3">
        <f t="shared" si="81"/>
        <v>1.1698557197945001E-3</v>
      </c>
      <c r="W152" s="3">
        <f t="shared" si="81"/>
        <v>1.1698557197945001E-3</v>
      </c>
      <c r="X152" s="3">
        <f t="shared" si="81"/>
        <v>1.1698557197945001E-3</v>
      </c>
      <c r="Y152" s="3">
        <f t="shared" si="81"/>
        <v>1.1698557197945001E-3</v>
      </c>
      <c r="Z152" s="3">
        <f t="shared" si="81"/>
        <v>1.1698557197945001E-3</v>
      </c>
      <c r="AA152" s="3">
        <f t="shared" ref="AA152" si="82">$C38*EXP(-AA$129/$A38/EXP(-$B$126))</f>
        <v>1.1698557197945001E-3</v>
      </c>
      <c r="AB152" s="3">
        <f t="shared" si="67"/>
        <v>1.1698557197945001E-3</v>
      </c>
      <c r="AC152" s="3">
        <f t="shared" si="67"/>
        <v>1.1698557197944999E-3</v>
      </c>
      <c r="AD152" s="3">
        <f t="shared" si="67"/>
        <v>1.1698557197944992E-3</v>
      </c>
      <c r="AE152" s="3">
        <f t="shared" si="67"/>
        <v>1.1698557197944918E-3</v>
      </c>
      <c r="AF152" s="3">
        <f t="shared" si="67"/>
        <v>1.1698557197944185E-3</v>
      </c>
    </row>
    <row r="153" spans="1:32" x14ac:dyDescent="0.25">
      <c r="B153" s="3">
        <f t="shared" ref="B153:Z153" si="83">$C39*EXP(-B$129/$A39/EXP(-$B$126))</f>
        <v>4.0204305624187052E-4</v>
      </c>
      <c r="C153" s="3">
        <f t="shared" si="83"/>
        <v>4.0204305624187052E-4</v>
      </c>
      <c r="D153" s="3">
        <f t="shared" si="83"/>
        <v>4.0204305624187052E-4</v>
      </c>
      <c r="E153" s="3">
        <f t="shared" si="83"/>
        <v>4.0204305624187052E-4</v>
      </c>
      <c r="F153" s="3">
        <f t="shared" si="83"/>
        <v>4.0204305624187052E-4</v>
      </c>
      <c r="G153" s="3">
        <f t="shared" si="83"/>
        <v>4.0204305624187052E-4</v>
      </c>
      <c r="H153" s="3">
        <f t="shared" si="83"/>
        <v>4.0204305624187052E-4</v>
      </c>
      <c r="I153" s="3">
        <f t="shared" si="83"/>
        <v>4.0204305624187052E-4</v>
      </c>
      <c r="J153" s="3">
        <f t="shared" si="83"/>
        <v>4.0204305624187052E-4</v>
      </c>
      <c r="K153" s="3">
        <f t="shared" si="83"/>
        <v>4.0204305624187052E-4</v>
      </c>
      <c r="L153" s="3">
        <f t="shared" si="83"/>
        <v>4.0204305624187052E-4</v>
      </c>
      <c r="M153" s="3">
        <f t="shared" si="83"/>
        <v>4.0204305624187052E-4</v>
      </c>
      <c r="N153" s="3">
        <f t="shared" si="83"/>
        <v>4.0204305624187052E-4</v>
      </c>
      <c r="O153" s="3">
        <f t="shared" si="83"/>
        <v>4.0204305624187052E-4</v>
      </c>
      <c r="P153" s="3">
        <f t="shared" si="83"/>
        <v>4.0204305624187052E-4</v>
      </c>
      <c r="Q153" s="3">
        <f t="shared" si="83"/>
        <v>4.0204305624187052E-4</v>
      </c>
      <c r="R153" s="3">
        <f t="shared" si="83"/>
        <v>4.0204305624187052E-4</v>
      </c>
      <c r="S153" s="3">
        <f t="shared" si="83"/>
        <v>4.0204305624187052E-4</v>
      </c>
      <c r="T153" s="3">
        <f t="shared" si="83"/>
        <v>4.0204305624187052E-4</v>
      </c>
      <c r="U153" s="3">
        <f t="shared" si="83"/>
        <v>4.0204305624187052E-4</v>
      </c>
      <c r="V153" s="3">
        <f t="shared" si="83"/>
        <v>4.0204305624187052E-4</v>
      </c>
      <c r="W153" s="3">
        <f t="shared" si="83"/>
        <v>4.0204305624187052E-4</v>
      </c>
      <c r="X153" s="3">
        <f t="shared" si="83"/>
        <v>4.0204305624187052E-4</v>
      </c>
      <c r="Y153" s="3">
        <f t="shared" si="83"/>
        <v>4.0204305624187052E-4</v>
      </c>
      <c r="Z153" s="3">
        <f t="shared" si="83"/>
        <v>4.0204305624187052E-4</v>
      </c>
      <c r="AA153" s="3">
        <f t="shared" ref="AA153" si="84">$C39*EXP(-AA$129/$A39/EXP(-$B$126))</f>
        <v>4.0204305624187052E-4</v>
      </c>
      <c r="AB153" s="3">
        <f t="shared" si="67"/>
        <v>4.0204305624187052E-4</v>
      </c>
      <c r="AC153" s="3">
        <f t="shared" si="67"/>
        <v>4.0204305624187052E-4</v>
      </c>
      <c r="AD153" s="3">
        <f t="shared" si="67"/>
        <v>4.0204305624187041E-4</v>
      </c>
      <c r="AE153" s="3">
        <f t="shared" si="67"/>
        <v>4.0204305624186976E-4</v>
      </c>
      <c r="AF153" s="3">
        <f t="shared" si="67"/>
        <v>4.0204305624186277E-4</v>
      </c>
    </row>
    <row r="154" spans="1:32" x14ac:dyDescent="0.25">
      <c r="B154" s="3">
        <f t="shared" ref="B154:Z154" si="85">$C40*EXP(-B$129/$A40/EXP(-$B$126))</f>
        <v>9.0650475367586036E-4</v>
      </c>
      <c r="C154" s="3">
        <f t="shared" si="85"/>
        <v>9.0650475367586036E-4</v>
      </c>
      <c r="D154" s="3">
        <f t="shared" si="85"/>
        <v>9.0650475367586036E-4</v>
      </c>
      <c r="E154" s="3">
        <f t="shared" si="85"/>
        <v>9.0650475367586036E-4</v>
      </c>
      <c r="F154" s="3">
        <f t="shared" si="85"/>
        <v>9.0650475367586036E-4</v>
      </c>
      <c r="G154" s="3">
        <f t="shared" si="85"/>
        <v>9.0650475367586036E-4</v>
      </c>
      <c r="H154" s="3">
        <f t="shared" si="85"/>
        <v>9.0650475367586036E-4</v>
      </c>
      <c r="I154" s="3">
        <f t="shared" si="85"/>
        <v>9.0650475367586036E-4</v>
      </c>
      <c r="J154" s="3">
        <f t="shared" si="85"/>
        <v>9.0650475367586036E-4</v>
      </c>
      <c r="K154" s="3">
        <f t="shared" si="85"/>
        <v>9.0650475367586036E-4</v>
      </c>
      <c r="L154" s="3">
        <f t="shared" si="85"/>
        <v>9.0650475367586036E-4</v>
      </c>
      <c r="M154" s="3">
        <f t="shared" si="85"/>
        <v>9.0650475367586036E-4</v>
      </c>
      <c r="N154" s="3">
        <f t="shared" si="85"/>
        <v>9.0650475367586036E-4</v>
      </c>
      <c r="O154" s="3">
        <f t="shared" si="85"/>
        <v>9.0650475367586036E-4</v>
      </c>
      <c r="P154" s="3">
        <f t="shared" si="85"/>
        <v>9.0650475367586036E-4</v>
      </c>
      <c r="Q154" s="3">
        <f t="shared" si="85"/>
        <v>9.0650475367586036E-4</v>
      </c>
      <c r="R154" s="3">
        <f t="shared" si="85"/>
        <v>9.0650475367586036E-4</v>
      </c>
      <c r="S154" s="3">
        <f t="shared" si="85"/>
        <v>9.0650475367586036E-4</v>
      </c>
      <c r="T154" s="3">
        <f t="shared" si="85"/>
        <v>9.0650475367586036E-4</v>
      </c>
      <c r="U154" s="3">
        <f t="shared" si="85"/>
        <v>9.0650475367586036E-4</v>
      </c>
      <c r="V154" s="3">
        <f t="shared" si="85"/>
        <v>9.0650475367586036E-4</v>
      </c>
      <c r="W154" s="3">
        <f t="shared" si="85"/>
        <v>9.0650475367586036E-4</v>
      </c>
      <c r="X154" s="3">
        <f t="shared" si="85"/>
        <v>9.0650475367586036E-4</v>
      </c>
      <c r="Y154" s="3">
        <f t="shared" si="85"/>
        <v>9.0650475367586036E-4</v>
      </c>
      <c r="Z154" s="3">
        <f t="shared" si="85"/>
        <v>9.0650475367586036E-4</v>
      </c>
      <c r="AA154" s="3">
        <f t="shared" ref="AA154:AF154" si="86">$C40*EXP(-AA$129/$A40/EXP(-$B$126))</f>
        <v>9.0650475367586036E-4</v>
      </c>
      <c r="AB154" s="3">
        <f t="shared" si="86"/>
        <v>9.0650475367586036E-4</v>
      </c>
      <c r="AC154" s="3">
        <f t="shared" si="86"/>
        <v>9.0650475367586036E-4</v>
      </c>
      <c r="AD154" s="3">
        <f t="shared" si="86"/>
        <v>9.0650475367586036E-4</v>
      </c>
      <c r="AE154" s="3">
        <f t="shared" si="86"/>
        <v>9.0650475367586014E-4</v>
      </c>
      <c r="AF154" s="3">
        <f t="shared" si="86"/>
        <v>9.0650475367585863E-4</v>
      </c>
    </row>
    <row r="155" spans="1:32" x14ac:dyDescent="0.25">
      <c r="B155" s="3">
        <f t="shared" ref="B155:Z155" si="87">$C41*EXP(-B$129/$A41/EXP(-$B$126))</f>
        <v>1.833495697796037E-4</v>
      </c>
      <c r="C155" s="3">
        <f t="shared" si="87"/>
        <v>1.833495697796037E-4</v>
      </c>
      <c r="D155" s="3">
        <f t="shared" si="87"/>
        <v>1.833495697796037E-4</v>
      </c>
      <c r="E155" s="3">
        <f t="shared" si="87"/>
        <v>1.833495697796037E-4</v>
      </c>
      <c r="F155" s="3">
        <f t="shared" si="87"/>
        <v>1.833495697796037E-4</v>
      </c>
      <c r="G155" s="3">
        <f t="shared" si="87"/>
        <v>1.833495697796037E-4</v>
      </c>
      <c r="H155" s="3">
        <f t="shared" si="87"/>
        <v>1.833495697796037E-4</v>
      </c>
      <c r="I155" s="3">
        <f t="shared" si="87"/>
        <v>1.833495697796037E-4</v>
      </c>
      <c r="J155" s="3">
        <f t="shared" si="87"/>
        <v>1.833495697796037E-4</v>
      </c>
      <c r="K155" s="3">
        <f t="shared" si="87"/>
        <v>1.833495697796037E-4</v>
      </c>
      <c r="L155" s="3">
        <f t="shared" si="87"/>
        <v>1.833495697796037E-4</v>
      </c>
      <c r="M155" s="3">
        <f t="shared" si="87"/>
        <v>1.833495697796037E-4</v>
      </c>
      <c r="N155" s="3">
        <f t="shared" si="87"/>
        <v>1.833495697796037E-4</v>
      </c>
      <c r="O155" s="3">
        <f t="shared" si="87"/>
        <v>1.833495697796037E-4</v>
      </c>
      <c r="P155" s="3">
        <f t="shared" si="87"/>
        <v>1.833495697796037E-4</v>
      </c>
      <c r="Q155" s="3">
        <f t="shared" si="87"/>
        <v>1.833495697796037E-4</v>
      </c>
      <c r="R155" s="3">
        <f t="shared" si="87"/>
        <v>1.833495697796037E-4</v>
      </c>
      <c r="S155" s="3">
        <f t="shared" si="87"/>
        <v>1.833495697796037E-4</v>
      </c>
      <c r="T155" s="3">
        <f t="shared" si="87"/>
        <v>1.833495697796037E-4</v>
      </c>
      <c r="U155" s="3">
        <f t="shared" si="87"/>
        <v>1.833495697796037E-4</v>
      </c>
      <c r="V155" s="3">
        <f t="shared" si="87"/>
        <v>1.833495697796037E-4</v>
      </c>
      <c r="W155" s="3">
        <f t="shared" si="87"/>
        <v>1.833495697796037E-4</v>
      </c>
      <c r="X155" s="3">
        <f t="shared" si="87"/>
        <v>1.833495697796037E-4</v>
      </c>
      <c r="Y155" s="3">
        <f t="shared" si="87"/>
        <v>1.833495697796037E-4</v>
      </c>
      <c r="Z155" s="3">
        <f t="shared" si="87"/>
        <v>1.833495697796037E-4</v>
      </c>
      <c r="AA155" s="3">
        <f t="shared" ref="AA155:AF155" si="88">$C41*EXP(-AA$129/$A41/EXP(-$B$126))</f>
        <v>1.833495697796037E-4</v>
      </c>
      <c r="AB155" s="3">
        <f t="shared" si="88"/>
        <v>1.833495697796037E-4</v>
      </c>
      <c r="AC155" s="3">
        <f t="shared" si="88"/>
        <v>1.833495697796037E-4</v>
      </c>
      <c r="AD155" s="3">
        <f t="shared" si="88"/>
        <v>1.833495697796037E-4</v>
      </c>
      <c r="AE155" s="3">
        <f t="shared" si="88"/>
        <v>1.833495697796037E-4</v>
      </c>
      <c r="AF155" s="3">
        <f t="shared" si="88"/>
        <v>1.8334956977960365E-4</v>
      </c>
    </row>
    <row r="156" spans="1:32" x14ac:dyDescent="0.25">
      <c r="B156" s="3">
        <f t="shared" ref="B156:Z156" si="89">$C42*EXP(-B$129/$A42/EXP(-$B$126))</f>
        <v>0</v>
      </c>
      <c r="C156" s="3">
        <f t="shared" si="89"/>
        <v>0</v>
      </c>
      <c r="D156" s="3">
        <f t="shared" si="89"/>
        <v>0</v>
      </c>
      <c r="E156" s="3">
        <f t="shared" si="89"/>
        <v>0</v>
      </c>
      <c r="F156" s="3">
        <f t="shared" si="89"/>
        <v>0</v>
      </c>
      <c r="G156" s="3">
        <f t="shared" si="89"/>
        <v>0</v>
      </c>
      <c r="H156" s="3">
        <f t="shared" si="89"/>
        <v>0</v>
      </c>
      <c r="I156" s="3">
        <f t="shared" si="89"/>
        <v>0</v>
      </c>
      <c r="J156" s="3">
        <f t="shared" si="89"/>
        <v>0</v>
      </c>
      <c r="K156" s="3">
        <f t="shared" si="89"/>
        <v>0</v>
      </c>
      <c r="L156" s="3">
        <f t="shared" si="89"/>
        <v>0</v>
      </c>
      <c r="M156" s="3">
        <f t="shared" si="89"/>
        <v>0</v>
      </c>
      <c r="N156" s="3">
        <f t="shared" si="89"/>
        <v>0</v>
      </c>
      <c r="O156" s="3">
        <f t="shared" si="89"/>
        <v>0</v>
      </c>
      <c r="P156" s="3">
        <f t="shared" si="89"/>
        <v>0</v>
      </c>
      <c r="Q156" s="3">
        <f t="shared" si="89"/>
        <v>0</v>
      </c>
      <c r="R156" s="3">
        <f t="shared" si="89"/>
        <v>0</v>
      </c>
      <c r="S156" s="3">
        <f t="shared" si="89"/>
        <v>0</v>
      </c>
      <c r="T156" s="3">
        <f t="shared" si="89"/>
        <v>0</v>
      </c>
      <c r="U156" s="3">
        <f t="shared" si="89"/>
        <v>0</v>
      </c>
      <c r="V156" s="3">
        <f t="shared" si="89"/>
        <v>0</v>
      </c>
      <c r="W156" s="3">
        <f t="shared" si="89"/>
        <v>0</v>
      </c>
      <c r="X156" s="3">
        <f t="shared" si="89"/>
        <v>0</v>
      </c>
      <c r="Y156" s="3">
        <f t="shared" si="89"/>
        <v>0</v>
      </c>
      <c r="Z156" s="3">
        <f t="shared" si="89"/>
        <v>0</v>
      </c>
      <c r="AA156" s="3">
        <f t="shared" ref="AA156:AF156" si="90">$C42*EXP(-AA$129/$A42/EXP(-$B$126))</f>
        <v>0</v>
      </c>
      <c r="AB156" s="3">
        <f t="shared" si="90"/>
        <v>0</v>
      </c>
      <c r="AC156" s="3">
        <f t="shared" si="90"/>
        <v>0</v>
      </c>
      <c r="AD156" s="3">
        <f t="shared" si="90"/>
        <v>0</v>
      </c>
      <c r="AE156" s="3">
        <f t="shared" si="90"/>
        <v>0</v>
      </c>
      <c r="AF156" s="3">
        <f t="shared" si="90"/>
        <v>0</v>
      </c>
    </row>
    <row r="157" spans="1:32" x14ac:dyDescent="0.25">
      <c r="B157" s="3">
        <f t="shared" ref="B157:Z157" si="91">$C43*EXP(-B$129/$A43/EXP(-$B$126))</f>
        <v>2.7582104941075727E-4</v>
      </c>
      <c r="C157" s="3">
        <f t="shared" si="91"/>
        <v>2.7582104941075727E-4</v>
      </c>
      <c r="D157" s="3">
        <f t="shared" si="91"/>
        <v>2.7582104941075727E-4</v>
      </c>
      <c r="E157" s="3">
        <f t="shared" si="91"/>
        <v>2.7582104941075727E-4</v>
      </c>
      <c r="F157" s="3">
        <f t="shared" si="91"/>
        <v>2.7582104941075727E-4</v>
      </c>
      <c r="G157" s="3">
        <f t="shared" si="91"/>
        <v>2.7582104941075727E-4</v>
      </c>
      <c r="H157" s="3">
        <f t="shared" si="91"/>
        <v>2.7582104941075727E-4</v>
      </c>
      <c r="I157" s="3">
        <f t="shared" si="91"/>
        <v>2.7582104941075727E-4</v>
      </c>
      <c r="J157" s="3">
        <f t="shared" si="91"/>
        <v>2.7582104941075727E-4</v>
      </c>
      <c r="K157" s="3">
        <f t="shared" si="91"/>
        <v>2.7582104941075727E-4</v>
      </c>
      <c r="L157" s="3">
        <f t="shared" si="91"/>
        <v>2.7582104941075727E-4</v>
      </c>
      <c r="M157" s="3">
        <f t="shared" si="91"/>
        <v>2.7582104941075727E-4</v>
      </c>
      <c r="N157" s="3">
        <f t="shared" si="91"/>
        <v>2.7582104941075727E-4</v>
      </c>
      <c r="O157" s="3">
        <f t="shared" si="91"/>
        <v>2.7582104941075727E-4</v>
      </c>
      <c r="P157" s="3">
        <f t="shared" si="91"/>
        <v>2.7582104941075727E-4</v>
      </c>
      <c r="Q157" s="3">
        <f t="shared" si="91"/>
        <v>2.7582104941075727E-4</v>
      </c>
      <c r="R157" s="3">
        <f t="shared" si="91"/>
        <v>2.7582104941075727E-4</v>
      </c>
      <c r="S157" s="3">
        <f t="shared" si="91"/>
        <v>2.7582104941075727E-4</v>
      </c>
      <c r="T157" s="3">
        <f t="shared" si="91"/>
        <v>2.7582104941075727E-4</v>
      </c>
      <c r="U157" s="3">
        <f t="shared" si="91"/>
        <v>2.7582104941075727E-4</v>
      </c>
      <c r="V157" s="3">
        <f t="shared" si="91"/>
        <v>2.7582104941075727E-4</v>
      </c>
      <c r="W157" s="3">
        <f t="shared" si="91"/>
        <v>2.7582104941075727E-4</v>
      </c>
      <c r="X157" s="3">
        <f t="shared" si="91"/>
        <v>2.7582104941075727E-4</v>
      </c>
      <c r="Y157" s="3">
        <f t="shared" si="91"/>
        <v>2.7582104941075727E-4</v>
      </c>
      <c r="Z157" s="3">
        <f t="shared" si="91"/>
        <v>2.7582104941075727E-4</v>
      </c>
      <c r="AA157" s="3">
        <f t="shared" ref="AA157:AF157" si="92">$C43*EXP(-AA$129/$A43/EXP(-$B$126))</f>
        <v>2.7582104941075727E-4</v>
      </c>
      <c r="AB157" s="3">
        <f t="shared" si="92"/>
        <v>2.7582104941075727E-4</v>
      </c>
      <c r="AC157" s="3">
        <f t="shared" si="92"/>
        <v>2.7582104941075727E-4</v>
      </c>
      <c r="AD157" s="3">
        <f t="shared" si="92"/>
        <v>2.7582104941075727E-4</v>
      </c>
      <c r="AE157" s="3">
        <f t="shared" si="92"/>
        <v>2.7582104941075727E-4</v>
      </c>
      <c r="AF157" s="3">
        <f t="shared" si="92"/>
        <v>2.7582104941075727E-4</v>
      </c>
    </row>
    <row r="158" spans="1:32" x14ac:dyDescent="0.25">
      <c r="B158" s="3">
        <f t="shared" ref="B158:Z158" si="93">$C44*EXP(-B$129/$A44/EXP(-$B$126))</f>
        <v>2.4535081143819124E-4</v>
      </c>
      <c r="C158" s="3">
        <f t="shared" si="93"/>
        <v>2.4535081143819124E-4</v>
      </c>
      <c r="D158" s="3">
        <f t="shared" si="93"/>
        <v>2.4535081143819124E-4</v>
      </c>
      <c r="E158" s="3">
        <f t="shared" si="93"/>
        <v>2.4535081143819124E-4</v>
      </c>
      <c r="F158" s="3">
        <f t="shared" si="93"/>
        <v>2.4535081143819124E-4</v>
      </c>
      <c r="G158" s="3">
        <f t="shared" si="93"/>
        <v>2.4535081143819124E-4</v>
      </c>
      <c r="H158" s="3">
        <f t="shared" si="93"/>
        <v>2.4535081143819124E-4</v>
      </c>
      <c r="I158" s="3">
        <f t="shared" si="93"/>
        <v>2.4535081143819124E-4</v>
      </c>
      <c r="J158" s="3">
        <f t="shared" si="93"/>
        <v>2.4535081143819124E-4</v>
      </c>
      <c r="K158" s="3">
        <f t="shared" si="93"/>
        <v>2.4535081143819124E-4</v>
      </c>
      <c r="L158" s="3">
        <f t="shared" si="93"/>
        <v>2.4535081143819124E-4</v>
      </c>
      <c r="M158" s="3">
        <f t="shared" si="93"/>
        <v>2.4535081143819124E-4</v>
      </c>
      <c r="N158" s="3">
        <f t="shared" si="93"/>
        <v>2.4535081143819124E-4</v>
      </c>
      <c r="O158" s="3">
        <f t="shared" si="93"/>
        <v>2.4535081143819124E-4</v>
      </c>
      <c r="P158" s="3">
        <f t="shared" si="93"/>
        <v>2.4535081143819124E-4</v>
      </c>
      <c r="Q158" s="3">
        <f t="shared" si="93"/>
        <v>2.4535081143819124E-4</v>
      </c>
      <c r="R158" s="3">
        <f t="shared" si="93"/>
        <v>2.4535081143819124E-4</v>
      </c>
      <c r="S158" s="3">
        <f t="shared" si="93"/>
        <v>2.4535081143819124E-4</v>
      </c>
      <c r="T158" s="3">
        <f t="shared" si="93"/>
        <v>2.4535081143819124E-4</v>
      </c>
      <c r="U158" s="3">
        <f t="shared" si="93"/>
        <v>2.4535081143819124E-4</v>
      </c>
      <c r="V158" s="3">
        <f t="shared" si="93"/>
        <v>2.4535081143819124E-4</v>
      </c>
      <c r="W158" s="3">
        <f t="shared" si="93"/>
        <v>2.4535081143819124E-4</v>
      </c>
      <c r="X158" s="3">
        <f t="shared" si="93"/>
        <v>2.4535081143819124E-4</v>
      </c>
      <c r="Y158" s="3">
        <f t="shared" si="93"/>
        <v>2.4535081143819124E-4</v>
      </c>
      <c r="Z158" s="3">
        <f t="shared" si="93"/>
        <v>2.4535081143819124E-4</v>
      </c>
      <c r="AA158" s="3">
        <f t="shared" ref="AA158:AF158" si="94">$C44*EXP(-AA$129/$A44/EXP(-$B$126))</f>
        <v>2.4535081143819124E-4</v>
      </c>
      <c r="AB158" s="3">
        <f t="shared" si="94"/>
        <v>2.4535081143819124E-4</v>
      </c>
      <c r="AC158" s="3">
        <f t="shared" si="94"/>
        <v>2.4535081143819124E-4</v>
      </c>
      <c r="AD158" s="3">
        <f t="shared" si="94"/>
        <v>2.4535081143819124E-4</v>
      </c>
      <c r="AE158" s="3">
        <f t="shared" si="94"/>
        <v>2.4535081143819124E-4</v>
      </c>
      <c r="AF158" s="3">
        <f t="shared" si="94"/>
        <v>2.4535081143819124E-4</v>
      </c>
    </row>
    <row r="159" spans="1:32" x14ac:dyDescent="0.25">
      <c r="A159" s="11" t="s">
        <v>75</v>
      </c>
      <c r="B159" s="3">
        <f t="shared" ref="B159:Z159" si="95">$C45*EXP(-B$129/$A45/EXP(-$B$126))</f>
        <v>0</v>
      </c>
      <c r="C159" s="3">
        <f t="shared" si="95"/>
        <v>0</v>
      </c>
      <c r="D159" s="3">
        <f t="shared" si="95"/>
        <v>0</v>
      </c>
      <c r="E159" s="3">
        <f t="shared" si="95"/>
        <v>0</v>
      </c>
      <c r="F159" s="3">
        <f t="shared" si="95"/>
        <v>0</v>
      </c>
      <c r="G159" s="3">
        <f t="shared" si="95"/>
        <v>0</v>
      </c>
      <c r="H159" s="3">
        <f t="shared" si="95"/>
        <v>0</v>
      </c>
      <c r="I159" s="3">
        <f t="shared" si="95"/>
        <v>0</v>
      </c>
      <c r="J159" s="3">
        <f t="shared" si="95"/>
        <v>0</v>
      </c>
      <c r="K159" s="3">
        <f t="shared" si="95"/>
        <v>0</v>
      </c>
      <c r="L159" s="3">
        <f t="shared" si="95"/>
        <v>0</v>
      </c>
      <c r="M159" s="3">
        <f t="shared" si="95"/>
        <v>0</v>
      </c>
      <c r="N159" s="3">
        <f t="shared" si="95"/>
        <v>0</v>
      </c>
      <c r="O159" s="3">
        <f t="shared" si="95"/>
        <v>0</v>
      </c>
      <c r="P159" s="3">
        <f t="shared" si="95"/>
        <v>0</v>
      </c>
      <c r="Q159" s="3">
        <f t="shared" si="95"/>
        <v>0</v>
      </c>
      <c r="R159" s="3">
        <f t="shared" si="95"/>
        <v>0</v>
      </c>
      <c r="S159" s="3">
        <f t="shared" si="95"/>
        <v>0</v>
      </c>
      <c r="T159" s="3">
        <f t="shared" si="95"/>
        <v>0</v>
      </c>
      <c r="U159" s="3">
        <f t="shared" si="95"/>
        <v>0</v>
      </c>
      <c r="V159" s="3">
        <f t="shared" si="95"/>
        <v>0</v>
      </c>
      <c r="W159" s="3">
        <f t="shared" si="95"/>
        <v>0</v>
      </c>
      <c r="X159" s="3">
        <f t="shared" si="95"/>
        <v>0</v>
      </c>
      <c r="Y159" s="3">
        <f t="shared" si="95"/>
        <v>0</v>
      </c>
      <c r="Z159" s="3">
        <f t="shared" si="95"/>
        <v>0</v>
      </c>
      <c r="AA159" s="3">
        <f t="shared" ref="AA159:AF159" si="96">$C45*EXP(-AA$129/$A45/EXP(-$B$126))</f>
        <v>0</v>
      </c>
      <c r="AB159" s="3">
        <f t="shared" si="96"/>
        <v>0</v>
      </c>
      <c r="AC159" s="3">
        <f t="shared" si="96"/>
        <v>0</v>
      </c>
      <c r="AD159" s="3">
        <f t="shared" si="96"/>
        <v>0</v>
      </c>
      <c r="AE159" s="3">
        <f t="shared" si="96"/>
        <v>0</v>
      </c>
      <c r="AF159" s="3">
        <f t="shared" si="96"/>
        <v>0</v>
      </c>
    </row>
    <row r="160" spans="1:32" x14ac:dyDescent="0.25">
      <c r="B160" s="3">
        <f t="shared" ref="B160:Z160" si="97">$C46*EXP(-B$129/$A46/EXP(-$B$126))</f>
        <v>1.7255643769382848E-4</v>
      </c>
      <c r="C160" s="3">
        <f t="shared" si="97"/>
        <v>1.7255643769382848E-4</v>
      </c>
      <c r="D160" s="3">
        <f t="shared" si="97"/>
        <v>1.7255643769382848E-4</v>
      </c>
      <c r="E160" s="3">
        <f t="shared" si="97"/>
        <v>1.7255643769382848E-4</v>
      </c>
      <c r="F160" s="3">
        <f t="shared" si="97"/>
        <v>1.7255643769382848E-4</v>
      </c>
      <c r="G160" s="3">
        <f t="shared" si="97"/>
        <v>1.7255643769382848E-4</v>
      </c>
      <c r="H160" s="3">
        <f t="shared" si="97"/>
        <v>1.7255643769382848E-4</v>
      </c>
      <c r="I160" s="3">
        <f t="shared" si="97"/>
        <v>1.7255643769382848E-4</v>
      </c>
      <c r="J160" s="3">
        <f t="shared" si="97"/>
        <v>1.7255643769382848E-4</v>
      </c>
      <c r="K160" s="3">
        <f t="shared" si="97"/>
        <v>1.7255643769382848E-4</v>
      </c>
      <c r="L160" s="3">
        <f t="shared" si="97"/>
        <v>1.7255643769382848E-4</v>
      </c>
      <c r="M160" s="3">
        <f t="shared" si="97"/>
        <v>1.7255643769382848E-4</v>
      </c>
      <c r="N160" s="3">
        <f t="shared" si="97"/>
        <v>1.7255643769382848E-4</v>
      </c>
      <c r="O160" s="3">
        <f t="shared" si="97"/>
        <v>1.7255643769382848E-4</v>
      </c>
      <c r="P160" s="3">
        <f t="shared" si="97"/>
        <v>1.7255643769382848E-4</v>
      </c>
      <c r="Q160" s="3">
        <f t="shared" si="97"/>
        <v>1.7255643769382848E-4</v>
      </c>
      <c r="R160" s="3">
        <f t="shared" si="97"/>
        <v>1.7255643769382848E-4</v>
      </c>
      <c r="S160" s="3">
        <f t="shared" si="97"/>
        <v>1.7255643769382848E-4</v>
      </c>
      <c r="T160" s="3">
        <f t="shared" si="97"/>
        <v>1.7255643769382848E-4</v>
      </c>
      <c r="U160" s="3">
        <f t="shared" si="97"/>
        <v>1.7255643769382848E-4</v>
      </c>
      <c r="V160" s="3">
        <f t="shared" si="97"/>
        <v>1.7255643769382848E-4</v>
      </c>
      <c r="W160" s="3">
        <f t="shared" si="97"/>
        <v>1.7255643769382848E-4</v>
      </c>
      <c r="X160" s="3">
        <f t="shared" si="97"/>
        <v>1.7255643769382848E-4</v>
      </c>
      <c r="Y160" s="3">
        <f t="shared" si="97"/>
        <v>1.7255643769382848E-4</v>
      </c>
      <c r="Z160" s="3">
        <f t="shared" si="97"/>
        <v>1.7255643769382848E-4</v>
      </c>
      <c r="AA160" s="3">
        <f t="shared" ref="AA160:AF160" si="98">$C46*EXP(-AA$129/$A46/EXP(-$B$126))</f>
        <v>1.7255643769382848E-4</v>
      </c>
      <c r="AB160" s="3">
        <f t="shared" si="98"/>
        <v>1.7255643769382848E-4</v>
      </c>
      <c r="AC160" s="3">
        <f t="shared" si="98"/>
        <v>1.7255643769382848E-4</v>
      </c>
      <c r="AD160" s="3">
        <f t="shared" si="98"/>
        <v>1.7255643769382848E-4</v>
      </c>
      <c r="AE160" s="3">
        <f t="shared" si="98"/>
        <v>1.7255643769382848E-4</v>
      </c>
      <c r="AF160" s="3">
        <f t="shared" si="98"/>
        <v>1.7255643769382848E-4</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0</v>
      </c>
      <c r="C162" s="3">
        <f t="shared" si="101"/>
        <v>0</v>
      </c>
      <c r="D162" s="3">
        <f t="shared" si="101"/>
        <v>0</v>
      </c>
      <c r="E162" s="3">
        <f t="shared" si="101"/>
        <v>0</v>
      </c>
      <c r="F162" s="3">
        <f t="shared" si="101"/>
        <v>0</v>
      </c>
      <c r="G162" s="3">
        <f t="shared" si="101"/>
        <v>0</v>
      </c>
      <c r="H162" s="3">
        <f t="shared" si="101"/>
        <v>0</v>
      </c>
      <c r="I162" s="3">
        <f t="shared" si="101"/>
        <v>0</v>
      </c>
      <c r="J162" s="3">
        <f t="shared" si="101"/>
        <v>0</v>
      </c>
      <c r="K162" s="3">
        <f t="shared" si="101"/>
        <v>0</v>
      </c>
      <c r="L162" s="3">
        <f t="shared" si="101"/>
        <v>0</v>
      </c>
      <c r="M162" s="3">
        <f t="shared" si="101"/>
        <v>0</v>
      </c>
      <c r="N162" s="3">
        <f t="shared" si="101"/>
        <v>0</v>
      </c>
      <c r="O162" s="3">
        <f t="shared" si="101"/>
        <v>0</v>
      </c>
      <c r="P162" s="3">
        <f t="shared" si="101"/>
        <v>0</v>
      </c>
      <c r="Q162" s="3">
        <f t="shared" si="101"/>
        <v>0</v>
      </c>
      <c r="R162" s="3">
        <f t="shared" si="101"/>
        <v>0</v>
      </c>
      <c r="S162" s="3">
        <f t="shared" si="101"/>
        <v>0</v>
      </c>
      <c r="T162" s="3">
        <f t="shared" si="101"/>
        <v>0</v>
      </c>
      <c r="U162" s="3">
        <f t="shared" si="101"/>
        <v>0</v>
      </c>
      <c r="V162" s="3">
        <f t="shared" si="101"/>
        <v>0</v>
      </c>
      <c r="W162" s="3">
        <f t="shared" si="101"/>
        <v>0</v>
      </c>
      <c r="X162" s="3">
        <f t="shared" si="101"/>
        <v>0</v>
      </c>
      <c r="Y162" s="3">
        <f t="shared" si="101"/>
        <v>0</v>
      </c>
      <c r="Z162" s="3">
        <f t="shared" si="101"/>
        <v>0</v>
      </c>
      <c r="AA162" s="3">
        <f t="shared" ref="AA162:AF162" si="102">$C48*EXP(-AA$129/$A48/EXP(-$B$126))</f>
        <v>0</v>
      </c>
      <c r="AB162" s="3">
        <f t="shared" si="102"/>
        <v>0</v>
      </c>
      <c r="AC162" s="3">
        <f t="shared" si="102"/>
        <v>0</v>
      </c>
      <c r="AD162" s="3">
        <f t="shared" si="102"/>
        <v>0</v>
      </c>
      <c r="AE162" s="3">
        <f t="shared" si="102"/>
        <v>0</v>
      </c>
      <c r="AF162" s="3">
        <f t="shared" si="102"/>
        <v>0</v>
      </c>
    </row>
    <row r="163" spans="1:34" x14ac:dyDescent="0.25">
      <c r="A163" s="79">
        <f>AVERAGE(B163:AF163)</f>
        <v>3.9023069494694695E-2</v>
      </c>
      <c r="B163" s="80">
        <f>IF($A$64&lt;=B129,IF($B$64&gt;=B129,ABS((B131-B130)/B130),0),0)</f>
        <v>0</v>
      </c>
      <c r="C163" s="80">
        <f t="shared" ref="C163:AF163" si="103">IF($A$64&lt;=C129,IF($B$64&gt;=C129,ABS((C131-C130)/C130),0),0)</f>
        <v>0</v>
      </c>
      <c r="D163" s="80">
        <f t="shared" si="103"/>
        <v>0</v>
      </c>
      <c r="E163" s="80">
        <f t="shared" si="103"/>
        <v>0</v>
      </c>
      <c r="F163" s="80">
        <f t="shared" si="103"/>
        <v>0</v>
      </c>
      <c r="G163" s="80">
        <f t="shared" si="103"/>
        <v>0</v>
      </c>
      <c r="H163" s="80">
        <f t="shared" si="103"/>
        <v>0</v>
      </c>
      <c r="I163" s="80">
        <f t="shared" si="103"/>
        <v>0</v>
      </c>
      <c r="J163" s="80">
        <f t="shared" si="103"/>
        <v>0</v>
      </c>
      <c r="K163" s="80">
        <f t="shared" si="103"/>
        <v>0</v>
      </c>
      <c r="L163" s="80">
        <f t="shared" si="103"/>
        <v>1.4198494647022469E-2</v>
      </c>
      <c r="M163" s="80">
        <f t="shared" si="103"/>
        <v>1.4179275501701727E-2</v>
      </c>
      <c r="N163" s="80">
        <f t="shared" si="103"/>
        <v>1.3988779500532815E-2</v>
      </c>
      <c r="O163" s="80">
        <f t="shared" si="103"/>
        <v>1.2169266070071308E-2</v>
      </c>
      <c r="P163" s="80">
        <f t="shared" si="103"/>
        <v>1.0582602453494824E-3</v>
      </c>
      <c r="Q163" s="80">
        <f t="shared" si="103"/>
        <v>1.8574113295471251E-2</v>
      </c>
      <c r="R163" s="80">
        <f t="shared" si="103"/>
        <v>2.2213011303280666E-2</v>
      </c>
      <c r="S163" s="80">
        <f t="shared" si="103"/>
        <v>0.26406636064495959</v>
      </c>
      <c r="T163" s="80">
        <f t="shared" si="103"/>
        <v>0.30564767822467237</v>
      </c>
      <c r="U163" s="80">
        <f t="shared" si="103"/>
        <v>0.2879846501927053</v>
      </c>
      <c r="V163" s="80">
        <f t="shared" si="103"/>
        <v>0.25563526470976849</v>
      </c>
      <c r="W163" s="80">
        <f t="shared" si="103"/>
        <v>0</v>
      </c>
      <c r="X163" s="80">
        <f t="shared" si="103"/>
        <v>0</v>
      </c>
      <c r="Y163" s="80">
        <f t="shared" si="103"/>
        <v>0</v>
      </c>
      <c r="Z163" s="80">
        <f t="shared" si="103"/>
        <v>0</v>
      </c>
      <c r="AA163" s="80">
        <f t="shared" si="103"/>
        <v>0</v>
      </c>
      <c r="AB163" s="80">
        <f t="shared" si="103"/>
        <v>0</v>
      </c>
      <c r="AC163" s="80">
        <f t="shared" si="103"/>
        <v>0</v>
      </c>
      <c r="AD163" s="80">
        <f t="shared" si="103"/>
        <v>0</v>
      </c>
      <c r="AE163" s="80">
        <f t="shared" si="103"/>
        <v>0</v>
      </c>
      <c r="AF163" s="80">
        <f t="shared" si="103"/>
        <v>0</v>
      </c>
    </row>
    <row r="164" spans="1:34" x14ac:dyDescent="0.25">
      <c r="B164" s="21">
        <f>(B131-B130)^2</f>
        <v>10141.841769970133</v>
      </c>
      <c r="C164" s="21">
        <f t="shared" ref="C164:AF164" si="104">(C131-C130)^2</f>
        <v>10156.219303799777</v>
      </c>
      <c r="D164" s="21">
        <f t="shared" si="104"/>
        <v>10148.733801172126</v>
      </c>
      <c r="E164" s="21">
        <f t="shared" si="104"/>
        <v>10146.764403747853</v>
      </c>
      <c r="F164" s="21">
        <f t="shared" si="104"/>
        <v>10146.196790474338</v>
      </c>
      <c r="G164" s="21">
        <f t="shared" si="104"/>
        <v>10146.023035425727</v>
      </c>
      <c r="H164" s="21">
        <f t="shared" si="104"/>
        <v>10145.965125915383</v>
      </c>
      <c r="I164" s="21">
        <f t="shared" si="104"/>
        <v>10145.930462939112</v>
      </c>
      <c r="J164" s="21">
        <f t="shared" si="104"/>
        <v>10145.896591335642</v>
      </c>
      <c r="K164" s="21">
        <f t="shared" si="104"/>
        <v>10145.615795611855</v>
      </c>
      <c r="L164" s="21">
        <f t="shared" si="104"/>
        <v>10142.831222118984</v>
      </c>
      <c r="M164" s="21">
        <f t="shared" si="104"/>
        <v>10114.98400971917</v>
      </c>
      <c r="N164" s="21">
        <f t="shared" si="104"/>
        <v>9841.0971740147634</v>
      </c>
      <c r="O164" s="21">
        <f t="shared" si="104"/>
        <v>7419.200013109501</v>
      </c>
      <c r="P164" s="21">
        <f t="shared" si="104"/>
        <v>54.565463792824517</v>
      </c>
      <c r="Q164" s="21">
        <f t="shared" si="104"/>
        <v>16036.064492604792</v>
      </c>
      <c r="R164" s="21">
        <f t="shared" si="104"/>
        <v>22150.850827462749</v>
      </c>
      <c r="S164" s="21">
        <f t="shared" si="104"/>
        <v>3020468.3658808707</v>
      </c>
      <c r="T164" s="21">
        <f t="shared" si="104"/>
        <v>3885773.0459313598</v>
      </c>
      <c r="U164" s="21">
        <f t="shared" si="104"/>
        <v>3280587.7685680441</v>
      </c>
      <c r="V164" s="21">
        <f t="shared" si="104"/>
        <v>2364985.462330576</v>
      </c>
      <c r="W164" s="21">
        <f t="shared" si="104"/>
        <v>841262.2060507267</v>
      </c>
      <c r="X164" s="21">
        <f t="shared" si="104"/>
        <v>13886.718216810217</v>
      </c>
      <c r="Y164" s="21">
        <f t="shared" si="104"/>
        <v>169978.70317138761</v>
      </c>
      <c r="Z164" s="21">
        <f t="shared" si="104"/>
        <v>378550.20415530133</v>
      </c>
      <c r="AA164" s="21">
        <f t="shared" si="104"/>
        <v>684520.16616953455</v>
      </c>
      <c r="AB164" s="21">
        <f t="shared" si="104"/>
        <v>833662.03037073265</v>
      </c>
      <c r="AC164" s="21">
        <f t="shared" si="104"/>
        <v>808493.0357427327</v>
      </c>
      <c r="AD164" s="21">
        <f t="shared" si="104"/>
        <v>669882.07048798224</v>
      </c>
      <c r="AE164" s="21">
        <f t="shared" si="104"/>
        <v>463499.63079656434</v>
      </c>
      <c r="AF164" s="21">
        <f t="shared" si="104"/>
        <v>231547.28174080982</v>
      </c>
    </row>
    <row r="165" spans="1:34" x14ac:dyDescent="0.25">
      <c r="A165" s="71">
        <f>SUM(B165:AF165)</f>
        <v>12627574.235913673</v>
      </c>
      <c r="B165" s="60">
        <f>IF($A$64&lt;=B129,IF($B$64&gt;=B129,ABS(B164),0),0)</f>
        <v>0</v>
      </c>
      <c r="C165" s="60">
        <f t="shared" ref="C165:AF165" si="105">IF($A$64&lt;=C129,IF($B$64&gt;=C129,ABS(C164),0),0)</f>
        <v>0</v>
      </c>
      <c r="D165" s="60">
        <f t="shared" si="105"/>
        <v>0</v>
      </c>
      <c r="E165" s="60">
        <f t="shared" si="105"/>
        <v>0</v>
      </c>
      <c r="F165" s="60">
        <f t="shared" si="105"/>
        <v>0</v>
      </c>
      <c r="G165" s="60">
        <f t="shared" si="105"/>
        <v>0</v>
      </c>
      <c r="H165" s="60">
        <f t="shared" si="105"/>
        <v>0</v>
      </c>
      <c r="I165" s="60">
        <f t="shared" si="105"/>
        <v>0</v>
      </c>
      <c r="J165" s="60">
        <f t="shared" si="105"/>
        <v>0</v>
      </c>
      <c r="K165" s="60">
        <f t="shared" si="105"/>
        <v>0</v>
      </c>
      <c r="L165" s="60">
        <f t="shared" si="105"/>
        <v>10142.831222118984</v>
      </c>
      <c r="M165" s="60">
        <f t="shared" si="105"/>
        <v>10114.98400971917</v>
      </c>
      <c r="N165" s="60">
        <f t="shared" si="105"/>
        <v>9841.0971740147634</v>
      </c>
      <c r="O165" s="60">
        <f t="shared" si="105"/>
        <v>7419.200013109501</v>
      </c>
      <c r="P165" s="60">
        <f t="shared" si="105"/>
        <v>54.565463792824517</v>
      </c>
      <c r="Q165" s="60">
        <f t="shared" si="105"/>
        <v>16036.064492604792</v>
      </c>
      <c r="R165" s="60">
        <f t="shared" si="105"/>
        <v>22150.850827462749</v>
      </c>
      <c r="S165" s="60">
        <f t="shared" si="105"/>
        <v>3020468.3658808707</v>
      </c>
      <c r="T165" s="60">
        <f t="shared" si="105"/>
        <v>3885773.0459313598</v>
      </c>
      <c r="U165" s="60">
        <f t="shared" si="105"/>
        <v>3280587.7685680441</v>
      </c>
      <c r="V165" s="60">
        <f t="shared" si="105"/>
        <v>2364985.462330576</v>
      </c>
      <c r="W165" s="60">
        <f t="shared" si="105"/>
        <v>0</v>
      </c>
      <c r="X165" s="60">
        <f t="shared" si="105"/>
        <v>0</v>
      </c>
      <c r="Y165" s="60">
        <f t="shared" si="105"/>
        <v>0</v>
      </c>
      <c r="Z165" s="60">
        <f t="shared" si="105"/>
        <v>0</v>
      </c>
      <c r="AA165" s="60">
        <f t="shared" si="105"/>
        <v>0</v>
      </c>
      <c r="AB165" s="60">
        <f t="shared" si="105"/>
        <v>0</v>
      </c>
      <c r="AC165" s="60">
        <f t="shared" si="105"/>
        <v>0</v>
      </c>
      <c r="AD165" s="60">
        <f t="shared" si="105"/>
        <v>0</v>
      </c>
      <c r="AE165" s="60">
        <f t="shared" si="105"/>
        <v>0</v>
      </c>
      <c r="AF165" s="60">
        <f t="shared" si="105"/>
        <v>0</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7031.9211529245395</v>
      </c>
      <c r="C169" s="26">
        <f>INDEX(Comparison!$AM$3:$AS$33,G$14,$C$122)</f>
        <v>7031.9907762783369</v>
      </c>
      <c r="D169" s="26">
        <f>INDEX(Comparison!$AM$3:$AS$33,H$14,$C$122)</f>
        <v>7031.9539299810422</v>
      </c>
      <c r="E169" s="26">
        <f>INDEX(Comparison!$AM$3:$AS$33,I$14,$C$122)</f>
        <v>7031.9433621725511</v>
      </c>
      <c r="F169" s="26">
        <f>INDEX(Comparison!$AM$3:$AS$33,J$14,$C$122)</f>
        <v>7031.9306469370567</v>
      </c>
      <c r="G169" s="26">
        <f>INDEX(Comparison!$AM$3:$AS$33,K$14,$C$122)</f>
        <v>7031.8305090006179</v>
      </c>
      <c r="H169" s="26">
        <f>INDEX(Comparison!$AM$3:$AS$33,L$14,$C$122)</f>
        <v>7030.8436925650376</v>
      </c>
      <c r="I169" s="26">
        <f>INDEX(Comparison!$AM$3:$AS$33,M$14,$C$122)</f>
        <v>7021.3347469085647</v>
      </c>
      <c r="J169" s="26">
        <f>INDEX(Comparison!$AM$3:$AS$33,N$14,$C$122)</f>
        <v>6946.0273669032786</v>
      </c>
      <c r="K169" s="26">
        <f>INDEX(Comparison!$AM$3:$AS$33,O$14,$C$122)</f>
        <v>6777.7782322116691</v>
      </c>
      <c r="L169" s="26">
        <f>INDEX(Comparison!$AM$3:$AS$33,P$14,$C$122)</f>
        <v>6659.4311503256295</v>
      </c>
      <c r="M169" s="26">
        <f>INDEX(Comparison!$AM$3:$AS$33,Q$14,$C$122)</f>
        <v>6544.645454565718</v>
      </c>
      <c r="N169" s="26">
        <f>INDEX(Comparison!$AM$3:$AS$33,R$14,$C$122)</f>
        <v>6415.8365900058752</v>
      </c>
      <c r="O169" s="26">
        <f>INDEX(Comparison!$AM$3:$AS$33,S$14,$C$122)</f>
        <v>6279.1797519689544</v>
      </c>
      <c r="P169" s="26">
        <f>INDEX(Comparison!$AM$3:$AS$33,T$14,$C$122)</f>
        <v>6124.6018825038309</v>
      </c>
      <c r="Q169" s="26">
        <f>INDEX(Comparison!$AM$3:$AS$33,U$14,$C$122)</f>
        <v>5956.8287989294422</v>
      </c>
      <c r="R169" s="26">
        <f>INDEX(Comparison!$AM$3:$AS$33,V$14,$C$122)</f>
        <v>5777.56401011038</v>
      </c>
      <c r="S169" s="26">
        <f>INDEX(Comparison!$AM$3:$AS$33,W$14,$C$122)</f>
        <v>5602.1564627366897</v>
      </c>
      <c r="T169" s="26">
        <f>INDEX(Comparison!$AM$3:$AS$33,X$14,$C$122)</f>
        <v>5348.811853446321</v>
      </c>
      <c r="U169" s="26">
        <f>INDEX(Comparison!$AM$3:$AS$33,Y$14,$C$122)</f>
        <v>4793.3449045957559</v>
      </c>
      <c r="V169" s="26">
        <f>INDEX(Comparison!$AM$3:$AS$33,Z$14,$C$122)</f>
        <v>4005.8829435497059</v>
      </c>
      <c r="W169" s="26">
        <f>INDEX(Comparison!$AM$3:$AS$33,AA$14,$C$122)</f>
        <v>3346.4776601581179</v>
      </c>
      <c r="X169" s="26">
        <f>INDEX(Comparison!$AM$3:$AS$33,AB$14,$C$122)</f>
        <v>2892.1899665732253</v>
      </c>
      <c r="Y169" s="26">
        <f>INDEX(Comparison!$AM$3:$AS$33,AC$14,$C$122)</f>
        <v>2569.6224142495339</v>
      </c>
      <c r="Z169" s="26">
        <f>INDEX(Comparison!$AM$3:$AS$33,AD$14,$C$122)</f>
        <v>2337.0503651981739</v>
      </c>
      <c r="AA169" s="26">
        <f>INDEX(Comparison!$AM$3:$AS$33,AE$14,$C$122)</f>
        <v>2151.250620328482</v>
      </c>
      <c r="AB169" s="26">
        <f>INDEX(Comparison!$AM$3:$AS$33,AF$14,$C$122)</f>
        <v>1990.2744047049448</v>
      </c>
      <c r="AC169" s="26">
        <f>INDEX(Comparison!$AM$3:$AS$33,AG$14,$C$122)</f>
        <v>1828.3308494849296</v>
      </c>
      <c r="AD169" s="26">
        <f>INDEX(Comparison!$AM$3:$AS$33,AH$14,$C$122)</f>
        <v>1665.1765081389453</v>
      </c>
      <c r="AE169" s="26">
        <f>INDEX(Comparison!$AM$3:$AS$33,AI$14,$C$122)</f>
        <v>1489.3314845424752</v>
      </c>
      <c r="AF169" s="26">
        <f>INDEX(Comparison!$AM$3:$AS$33,AJ$14,$C$122)</f>
        <v>1297.0734642842888</v>
      </c>
      <c r="AG169" s="26"/>
      <c r="AH169" s="26"/>
    </row>
    <row r="170" spans="1:34" x14ac:dyDescent="0.25">
      <c r="A170" s="70" t="s">
        <v>22</v>
      </c>
      <c r="B170" s="27">
        <f>($C$17+SUM(B171:B201))*$B$51</f>
        <v>6992.4086999997571</v>
      </c>
      <c r="C170" s="27">
        <f t="shared" ref="C170:AF170" si="106">($C$17+SUM(C171:C201))*$B$51</f>
        <v>6992.4086999975798</v>
      </c>
      <c r="D170" s="27">
        <f t="shared" si="106"/>
        <v>6992.4086999758174</v>
      </c>
      <c r="E170" s="27">
        <f t="shared" si="106"/>
        <v>6992.4086997581926</v>
      </c>
      <c r="F170" s="27">
        <f t="shared" si="106"/>
        <v>6992.4086975819373</v>
      </c>
      <c r="G170" s="27">
        <f t="shared" si="106"/>
        <v>6992.4086758193889</v>
      </c>
      <c r="H170" s="27">
        <f t="shared" si="106"/>
        <v>6992.4084581939114</v>
      </c>
      <c r="I170" s="27">
        <f t="shared" si="106"/>
        <v>6992.4062819401797</v>
      </c>
      <c r="J170" s="27">
        <f t="shared" si="106"/>
        <v>6992.3845195064569</v>
      </c>
      <c r="K170" s="27">
        <f t="shared" si="106"/>
        <v>6992.166905529115</v>
      </c>
      <c r="L170" s="27">
        <f t="shared" si="106"/>
        <v>6989.9918014128152</v>
      </c>
      <c r="M170" s="27">
        <f t="shared" si="106"/>
        <v>6968.343995050941</v>
      </c>
      <c r="N170" s="27">
        <f t="shared" si="106"/>
        <v>6761.8663096696991</v>
      </c>
      <c r="O170" s="27">
        <f t="shared" si="106"/>
        <v>5439.1664752587103</v>
      </c>
      <c r="P170" s="27">
        <f t="shared" si="106"/>
        <v>4478.3066491846912</v>
      </c>
      <c r="Q170" s="27">
        <f t="shared" si="106"/>
        <v>4478.130762222956</v>
      </c>
      <c r="R170" s="27">
        <f t="shared" si="106"/>
        <v>4478.0454887073593</v>
      </c>
      <c r="S170" s="27">
        <f t="shared" si="106"/>
        <v>4477.1937591774058</v>
      </c>
      <c r="T170" s="27">
        <f t="shared" si="106"/>
        <v>4468.7762085238273</v>
      </c>
      <c r="U170" s="27">
        <f t="shared" si="106"/>
        <v>4393.8052504137995</v>
      </c>
      <c r="V170" s="27">
        <f t="shared" si="106"/>
        <v>4108.4292202783654</v>
      </c>
      <c r="W170" s="27">
        <f t="shared" si="106"/>
        <v>3951.9652841260449</v>
      </c>
      <c r="X170" s="27">
        <f t="shared" si="106"/>
        <v>3769.618047260567</v>
      </c>
      <c r="Y170" s="27">
        <f t="shared" si="106"/>
        <v>3556.1066607140601</v>
      </c>
      <c r="Z170" s="27">
        <f t="shared" si="106"/>
        <v>3322.9718583593576</v>
      </c>
      <c r="AA170" s="27">
        <f t="shared" si="106"/>
        <v>3056.1362048563469</v>
      </c>
      <c r="AB170" s="27">
        <f t="shared" si="106"/>
        <v>2751.1745178379219</v>
      </c>
      <c r="AC170" s="27">
        <f t="shared" si="106"/>
        <v>2387.9019258175172</v>
      </c>
      <c r="AD170" s="27">
        <f t="shared" si="106"/>
        <v>1956.9437504263126</v>
      </c>
      <c r="AE170" s="27">
        <f t="shared" si="106"/>
        <v>1492.3333164315709</v>
      </c>
      <c r="AF170" s="27">
        <f t="shared" si="106"/>
        <v>1070.6136117693177</v>
      </c>
      <c r="AG170" s="27"/>
      <c r="AH170" s="27"/>
    </row>
    <row r="171" spans="1:34" x14ac:dyDescent="0.25">
      <c r="B171" s="3">
        <f t="shared" ref="B171:AF171" si="107">$C18*EXP(-B$168/$A18/EXP(-$C$126))</f>
        <v>0.35957115347278845</v>
      </c>
      <c r="C171" s="3">
        <f t="shared" si="107"/>
        <v>0.3595711534724772</v>
      </c>
      <c r="D171" s="3">
        <f t="shared" si="107"/>
        <v>0.35957115346936491</v>
      </c>
      <c r="E171" s="3">
        <f t="shared" si="107"/>
        <v>0.35957115343824181</v>
      </c>
      <c r="F171" s="3">
        <f t="shared" si="107"/>
        <v>0.35957115312701077</v>
      </c>
      <c r="G171" s="3">
        <f t="shared" si="107"/>
        <v>0.35957115001470014</v>
      </c>
      <c r="H171" s="3">
        <f t="shared" si="107"/>
        <v>0.35957111889159538</v>
      </c>
      <c r="I171" s="3">
        <f t="shared" si="107"/>
        <v>0.35957080766069621</v>
      </c>
      <c r="J171" s="3">
        <f t="shared" si="107"/>
        <v>0.35956769536652067</v>
      </c>
      <c r="K171" s="3">
        <f t="shared" si="107"/>
        <v>0.35953657390635579</v>
      </c>
      <c r="L171" s="3">
        <f t="shared" si="107"/>
        <v>0.35922550741634723</v>
      </c>
      <c r="M171" s="3">
        <f t="shared" si="107"/>
        <v>0.35612960635595464</v>
      </c>
      <c r="N171" s="3">
        <f t="shared" si="107"/>
        <v>0.32660077220002609</v>
      </c>
      <c r="O171" s="3">
        <f t="shared" si="107"/>
        <v>0.13743852412858509</v>
      </c>
      <c r="P171" s="3">
        <f t="shared" si="107"/>
        <v>2.3934328055958793E-5</v>
      </c>
      <c r="Q171" s="3">
        <f t="shared" si="107"/>
        <v>6.1397233760047195E-43</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5.3087681466497318E-2</v>
      </c>
      <c r="C172" s="3">
        <f t="shared" si="108"/>
        <v>5.3087681466497318E-2</v>
      </c>
      <c r="D172" s="3">
        <f t="shared" si="108"/>
        <v>5.3087681466497318E-2</v>
      </c>
      <c r="E172" s="3">
        <f t="shared" si="108"/>
        <v>5.3087681466497318E-2</v>
      </c>
      <c r="F172" s="3">
        <f t="shared" si="108"/>
        <v>5.3087681466497304E-2</v>
      </c>
      <c r="G172" s="3">
        <f t="shared" si="108"/>
        <v>5.3087681466497186E-2</v>
      </c>
      <c r="H172" s="3">
        <f t="shared" si="108"/>
        <v>5.3087681466496006E-2</v>
      </c>
      <c r="I172" s="3">
        <f t="shared" si="108"/>
        <v>5.3087681466484238E-2</v>
      </c>
      <c r="J172" s="3">
        <f t="shared" si="108"/>
        <v>5.308768146636654E-2</v>
      </c>
      <c r="K172" s="3">
        <f t="shared" si="108"/>
        <v>5.3087681465189489E-2</v>
      </c>
      <c r="L172" s="3">
        <f t="shared" si="108"/>
        <v>5.3087681453419015E-2</v>
      </c>
      <c r="M172" s="3">
        <f t="shared" si="108"/>
        <v>5.3087681335714329E-2</v>
      </c>
      <c r="N172" s="3">
        <f t="shared" si="108"/>
        <v>5.3087680158667459E-2</v>
      </c>
      <c r="O172" s="3">
        <f t="shared" si="108"/>
        <v>5.3087668388200185E-2</v>
      </c>
      <c r="P172" s="3">
        <f t="shared" si="108"/>
        <v>5.3087550683670971E-2</v>
      </c>
      <c r="Q172" s="3">
        <f t="shared" si="108"/>
        <v>5.3086373652732152E-2</v>
      </c>
      <c r="R172" s="3">
        <f t="shared" si="108"/>
        <v>5.3074604778558673E-2</v>
      </c>
      <c r="S172" s="3">
        <f t="shared" si="108"/>
        <v>5.295705944062435E-2</v>
      </c>
      <c r="T172" s="3">
        <f t="shared" si="108"/>
        <v>5.1795829493770033E-2</v>
      </c>
      <c r="U172" s="3">
        <f t="shared" si="108"/>
        <v>4.149579588925599E-2</v>
      </c>
      <c r="V172" s="3">
        <f t="shared" si="108"/>
        <v>4.5195704554117254E-3</v>
      </c>
      <c r="W172" s="3">
        <f t="shared" si="108"/>
        <v>1.0617634791667187E-12</v>
      </c>
      <c r="X172" s="3">
        <f t="shared" si="108"/>
        <v>5.4366829148655357E-109</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1.8548614905856641E-2</v>
      </c>
      <c r="C173" s="3">
        <f t="shared" si="109"/>
        <v>1.8548614905856641E-2</v>
      </c>
      <c r="D173" s="3">
        <f t="shared" si="109"/>
        <v>1.8548614905856641E-2</v>
      </c>
      <c r="E173" s="3">
        <f t="shared" si="109"/>
        <v>1.8548614905856641E-2</v>
      </c>
      <c r="F173" s="3">
        <f t="shared" si="109"/>
        <v>1.8548614905856641E-2</v>
      </c>
      <c r="G173" s="3">
        <f t="shared" si="109"/>
        <v>1.8548614905856638E-2</v>
      </c>
      <c r="H173" s="3">
        <f t="shared" si="109"/>
        <v>1.85486149058566E-2</v>
      </c>
      <c r="I173" s="3">
        <f t="shared" si="109"/>
        <v>1.8548614905856228E-2</v>
      </c>
      <c r="J173" s="3">
        <f t="shared" si="109"/>
        <v>1.8548614905852519E-2</v>
      </c>
      <c r="K173" s="3">
        <f t="shared" si="109"/>
        <v>1.8548614905815421E-2</v>
      </c>
      <c r="L173" s="3">
        <f t="shared" si="109"/>
        <v>1.8548614905444433E-2</v>
      </c>
      <c r="M173" s="3">
        <f t="shared" si="109"/>
        <v>1.854861490173457E-2</v>
      </c>
      <c r="N173" s="3">
        <f t="shared" si="109"/>
        <v>1.8548614864635923E-2</v>
      </c>
      <c r="O173" s="3">
        <f t="shared" si="109"/>
        <v>1.8548614493649449E-2</v>
      </c>
      <c r="P173" s="3">
        <f t="shared" si="109"/>
        <v>1.8548610783785124E-2</v>
      </c>
      <c r="Q173" s="3">
        <f t="shared" si="109"/>
        <v>1.8548573685182684E-2</v>
      </c>
      <c r="R173" s="3">
        <f t="shared" si="109"/>
        <v>1.8548202703239248E-2</v>
      </c>
      <c r="S173" s="3">
        <f t="shared" si="109"/>
        <v>1.8544493291872081E-2</v>
      </c>
      <c r="T173" s="3">
        <f t="shared" si="109"/>
        <v>1.8507439954735378E-2</v>
      </c>
      <c r="U173" s="3">
        <f t="shared" si="109"/>
        <v>1.8140954221837084E-2</v>
      </c>
      <c r="V173" s="3">
        <f t="shared" si="109"/>
        <v>1.4852443569684159E-2</v>
      </c>
      <c r="W173" s="3">
        <f t="shared" si="109"/>
        <v>2.0099060014491296E-3</v>
      </c>
      <c r="X173" s="3">
        <f t="shared" si="109"/>
        <v>4.1395592846151617E-12</v>
      </c>
      <c r="Y173" s="3">
        <f t="shared" si="109"/>
        <v>5.685094710012113E-99</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2.7428318800719304E-2</v>
      </c>
      <c r="C174" s="3">
        <f t="shared" si="110"/>
        <v>2.7428318800719304E-2</v>
      </c>
      <c r="D174" s="3">
        <f t="shared" si="110"/>
        <v>2.7428318800719304E-2</v>
      </c>
      <c r="E174" s="3">
        <f t="shared" si="110"/>
        <v>2.7428318800719304E-2</v>
      </c>
      <c r="F174" s="3">
        <f t="shared" si="110"/>
        <v>2.7428318800719304E-2</v>
      </c>
      <c r="G174" s="3">
        <f t="shared" si="110"/>
        <v>2.7428318800719304E-2</v>
      </c>
      <c r="H174" s="3">
        <f t="shared" si="110"/>
        <v>2.7428318800719297E-2</v>
      </c>
      <c r="I174" s="3">
        <f t="shared" si="110"/>
        <v>2.7428318800719248E-2</v>
      </c>
      <c r="J174" s="3">
        <f t="shared" si="110"/>
        <v>2.7428318800718752E-2</v>
      </c>
      <c r="K174" s="3">
        <f t="shared" si="110"/>
        <v>2.7428318800713804E-2</v>
      </c>
      <c r="L174" s="3">
        <f t="shared" si="110"/>
        <v>2.7428318800664316E-2</v>
      </c>
      <c r="M174" s="3">
        <f t="shared" si="110"/>
        <v>2.7428318800169445E-2</v>
      </c>
      <c r="N174" s="3">
        <f t="shared" si="110"/>
        <v>2.742831879522073E-2</v>
      </c>
      <c r="O174" s="3">
        <f t="shared" si="110"/>
        <v>2.742831874573359E-2</v>
      </c>
      <c r="P174" s="3">
        <f t="shared" si="110"/>
        <v>2.7428318250862171E-2</v>
      </c>
      <c r="Q174" s="3">
        <f t="shared" si="110"/>
        <v>2.7428313302148496E-2</v>
      </c>
      <c r="R174" s="3">
        <f t="shared" si="110"/>
        <v>2.7428263815060826E-2</v>
      </c>
      <c r="S174" s="3">
        <f t="shared" si="110"/>
        <v>2.7427768949094867E-2</v>
      </c>
      <c r="T174" s="3">
        <f t="shared" si="110"/>
        <v>2.7422820780474293E-2</v>
      </c>
      <c r="U174" s="3">
        <f t="shared" si="110"/>
        <v>2.7373388165410056E-2</v>
      </c>
      <c r="V174" s="3">
        <f t="shared" si="110"/>
        <v>2.6883936528130526E-2</v>
      </c>
      <c r="W174" s="3">
        <f t="shared" si="110"/>
        <v>2.2445842745343083E-2</v>
      </c>
      <c r="X174" s="3">
        <f t="shared" si="110"/>
        <v>3.6945917965039831E-3</v>
      </c>
      <c r="Y174" s="3">
        <f t="shared" si="110"/>
        <v>5.3935153372219569E-11</v>
      </c>
      <c r="Z174" s="3">
        <f t="shared" si="110"/>
        <v>2.3709723135430406E-89</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3.2244311763005913E-2</v>
      </c>
      <c r="C175" s="3">
        <f t="shared" si="111"/>
        <v>3.2244311763005913E-2</v>
      </c>
      <c r="D175" s="3">
        <f t="shared" si="111"/>
        <v>3.2244311763005913E-2</v>
      </c>
      <c r="E175" s="3">
        <f t="shared" si="111"/>
        <v>3.2244311763005913E-2</v>
      </c>
      <c r="F175" s="3">
        <f t="shared" si="111"/>
        <v>3.2244311763005913E-2</v>
      </c>
      <c r="G175" s="3">
        <f t="shared" si="111"/>
        <v>3.2244311763005913E-2</v>
      </c>
      <c r="H175" s="3">
        <f t="shared" si="111"/>
        <v>3.2244311763005913E-2</v>
      </c>
      <c r="I175" s="3">
        <f t="shared" si="111"/>
        <v>3.2244311763005906E-2</v>
      </c>
      <c r="J175" s="3">
        <f t="shared" si="111"/>
        <v>3.2244311763005858E-2</v>
      </c>
      <c r="K175" s="3">
        <f t="shared" si="111"/>
        <v>3.224431176300533E-2</v>
      </c>
      <c r="L175" s="3">
        <f t="shared" si="111"/>
        <v>3.2244311763000084E-2</v>
      </c>
      <c r="M175" s="3">
        <f t="shared" si="111"/>
        <v>3.2244311762947599E-2</v>
      </c>
      <c r="N175" s="3">
        <f t="shared" si="111"/>
        <v>3.2244311762422803E-2</v>
      </c>
      <c r="O175" s="3">
        <f t="shared" si="111"/>
        <v>3.2244311757174814E-2</v>
      </c>
      <c r="P175" s="3">
        <f t="shared" si="111"/>
        <v>3.2244311704694925E-2</v>
      </c>
      <c r="Q175" s="3">
        <f t="shared" si="111"/>
        <v>3.2244311179896061E-2</v>
      </c>
      <c r="R175" s="3">
        <f t="shared" si="111"/>
        <v>3.224430593190792E-2</v>
      </c>
      <c r="S175" s="3">
        <f t="shared" si="111"/>
        <v>3.22442534520734E-2</v>
      </c>
      <c r="T175" s="3">
        <f t="shared" si="111"/>
        <v>3.2243728658425973E-2</v>
      </c>
      <c r="U175" s="3">
        <f t="shared" si="111"/>
        <v>3.2238481191701196E-2</v>
      </c>
      <c r="V175" s="3">
        <f t="shared" si="111"/>
        <v>3.2186053471124208E-2</v>
      </c>
      <c r="W175" s="3">
        <f t="shared" si="111"/>
        <v>3.1666442783754786E-2</v>
      </c>
      <c r="X175" s="3">
        <f t="shared" si="111"/>
        <v>2.6910068089863671E-2</v>
      </c>
      <c r="Y175" s="3">
        <f t="shared" si="111"/>
        <v>5.2853038785516115E-3</v>
      </c>
      <c r="Z175" s="3">
        <f t="shared" si="111"/>
        <v>4.5146243209420126E-10</v>
      </c>
      <c r="AA175" s="3">
        <f t="shared" si="111"/>
        <v>9.3355124873645427E-81</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3.4402319244329078E-2</v>
      </c>
      <c r="C176" s="3">
        <f t="shared" si="112"/>
        <v>3.4402319244329078E-2</v>
      </c>
      <c r="D176" s="3">
        <f t="shared" si="112"/>
        <v>3.4402319244329078E-2</v>
      </c>
      <c r="E176" s="3">
        <f t="shared" si="112"/>
        <v>3.4402319244329078E-2</v>
      </c>
      <c r="F176" s="3">
        <f t="shared" si="112"/>
        <v>3.4402319244329078E-2</v>
      </c>
      <c r="G176" s="3">
        <f t="shared" si="112"/>
        <v>3.4402319244329078E-2</v>
      </c>
      <c r="H176" s="3">
        <f t="shared" si="112"/>
        <v>3.4402319244329078E-2</v>
      </c>
      <c r="I176" s="3">
        <f t="shared" si="112"/>
        <v>3.4402319244329078E-2</v>
      </c>
      <c r="J176" s="3">
        <f t="shared" si="112"/>
        <v>3.4402319244329072E-2</v>
      </c>
      <c r="K176" s="3">
        <f t="shared" si="112"/>
        <v>3.4402319244329023E-2</v>
      </c>
      <c r="L176" s="3">
        <f t="shared" si="112"/>
        <v>3.4402319244328516E-2</v>
      </c>
      <c r="M176" s="3">
        <f t="shared" si="112"/>
        <v>3.4402319244323465E-2</v>
      </c>
      <c r="N176" s="3">
        <f t="shared" si="112"/>
        <v>3.4402319244272957E-2</v>
      </c>
      <c r="O176" s="3">
        <f t="shared" si="112"/>
        <v>3.4402319243767861E-2</v>
      </c>
      <c r="P176" s="3">
        <f t="shared" si="112"/>
        <v>3.4402319238716901E-2</v>
      </c>
      <c r="Q176" s="3">
        <f t="shared" si="112"/>
        <v>3.4402319188207284E-2</v>
      </c>
      <c r="R176" s="3">
        <f t="shared" si="112"/>
        <v>3.4402318683111097E-2</v>
      </c>
      <c r="S176" s="3">
        <f t="shared" si="112"/>
        <v>3.4402313632149684E-2</v>
      </c>
      <c r="T176" s="3">
        <f t="shared" si="112"/>
        <v>3.4402263122576313E-2</v>
      </c>
      <c r="U176" s="3">
        <f t="shared" si="112"/>
        <v>3.4401758030921305E-2</v>
      </c>
      <c r="V176" s="3">
        <f t="shared" si="112"/>
        <v>3.4396707522217906E-2</v>
      </c>
      <c r="W176" s="3">
        <f t="shared" si="112"/>
        <v>3.4346243197705219E-2</v>
      </c>
      <c r="X176" s="3">
        <f t="shared" si="112"/>
        <v>3.3845654147756525E-2</v>
      </c>
      <c r="Y176" s="3">
        <f t="shared" si="112"/>
        <v>2.9223997888911626E-2</v>
      </c>
      <c r="Z176" s="3">
        <f t="shared" si="112"/>
        <v>6.7314214647929103E-3</v>
      </c>
      <c r="AA176" s="3">
        <f t="shared" si="112"/>
        <v>2.8299472317109185E-9</v>
      </c>
      <c r="AB176" s="3">
        <f t="shared" si="112"/>
        <v>4.8808322402913195E-73</v>
      </c>
      <c r="AC176" s="3">
        <f t="shared" si="112"/>
        <v>0</v>
      </c>
      <c r="AD176" s="3">
        <f t="shared" si="112"/>
        <v>0</v>
      </c>
      <c r="AE176" s="3">
        <f t="shared" si="112"/>
        <v>0</v>
      </c>
      <c r="AF176" s="3">
        <f t="shared" si="112"/>
        <v>0</v>
      </c>
      <c r="AG176" s="3"/>
      <c r="AH176" s="3"/>
    </row>
    <row r="177" spans="2:34" x14ac:dyDescent="0.25">
      <c r="B177" s="3">
        <f t="shared" ref="B177:AF177" si="113">$C24*EXP(-B$168/$A24/EXP(-$C$126))</f>
        <v>4.0521812648841492E-2</v>
      </c>
      <c r="C177" s="3">
        <f t="shared" si="113"/>
        <v>4.0521812648841492E-2</v>
      </c>
      <c r="D177" s="3">
        <f t="shared" si="113"/>
        <v>4.0521812648841492E-2</v>
      </c>
      <c r="E177" s="3">
        <f t="shared" si="113"/>
        <v>4.0521812648841492E-2</v>
      </c>
      <c r="F177" s="3">
        <f t="shared" si="113"/>
        <v>4.0521812648841492E-2</v>
      </c>
      <c r="G177" s="3">
        <f t="shared" si="113"/>
        <v>4.0521812648841492E-2</v>
      </c>
      <c r="H177" s="3">
        <f t="shared" si="113"/>
        <v>4.0521812648841492E-2</v>
      </c>
      <c r="I177" s="3">
        <f t="shared" si="113"/>
        <v>4.0521812648841492E-2</v>
      </c>
      <c r="J177" s="3">
        <f t="shared" si="113"/>
        <v>4.0521812648841492E-2</v>
      </c>
      <c r="K177" s="3">
        <f t="shared" si="113"/>
        <v>4.0521812648841485E-2</v>
      </c>
      <c r="L177" s="3">
        <f t="shared" si="113"/>
        <v>4.0521812648841436E-2</v>
      </c>
      <c r="M177" s="3">
        <f t="shared" si="113"/>
        <v>4.0521812648840895E-2</v>
      </c>
      <c r="N177" s="3">
        <f t="shared" si="113"/>
        <v>4.0521812648835524E-2</v>
      </c>
      <c r="O177" s="3">
        <f t="shared" si="113"/>
        <v>4.0521812648781859E-2</v>
      </c>
      <c r="P177" s="3">
        <f t="shared" si="113"/>
        <v>4.052181264824517E-2</v>
      </c>
      <c r="Q177" s="3">
        <f t="shared" si="113"/>
        <v>4.0521812642878297E-2</v>
      </c>
      <c r="R177" s="3">
        <f t="shared" si="113"/>
        <v>4.0521812589209498E-2</v>
      </c>
      <c r="S177" s="3">
        <f t="shared" si="113"/>
        <v>4.0521812052521582E-2</v>
      </c>
      <c r="T177" s="3">
        <f t="shared" si="113"/>
        <v>4.0521806685642772E-2</v>
      </c>
      <c r="U177" s="3">
        <f t="shared" si="113"/>
        <v>4.0521753016893799E-2</v>
      </c>
      <c r="V177" s="3">
        <f t="shared" si="113"/>
        <v>4.0521216333313514E-2</v>
      </c>
      <c r="W177" s="3">
        <f t="shared" si="113"/>
        <v>4.0515849888435984E-2</v>
      </c>
      <c r="X177" s="3">
        <f t="shared" si="113"/>
        <v>4.0462224513044709E-2</v>
      </c>
      <c r="Y177" s="3">
        <f t="shared" si="113"/>
        <v>3.9929859017517319E-2</v>
      </c>
      <c r="Z177" s="3">
        <f t="shared" si="113"/>
        <v>3.4976632156132212E-2</v>
      </c>
      <c r="AA177" s="3">
        <f t="shared" si="113"/>
        <v>9.3020810210299835E-3</v>
      </c>
      <c r="AB177" s="3">
        <f t="shared" si="113"/>
        <v>1.6466503866178918E-8</v>
      </c>
      <c r="AC177" s="3">
        <f t="shared" si="113"/>
        <v>4.9752421838967465E-66</v>
      </c>
      <c r="AD177" s="3">
        <f t="shared" si="113"/>
        <v>0</v>
      </c>
      <c r="AE177" s="3">
        <f t="shared" si="113"/>
        <v>0</v>
      </c>
      <c r="AF177" s="3">
        <f t="shared" si="113"/>
        <v>0</v>
      </c>
      <c r="AG177" s="3"/>
      <c r="AH177" s="3"/>
    </row>
    <row r="178" spans="2:34" x14ac:dyDescent="0.25">
      <c r="B178" s="3">
        <f t="shared" ref="B178:AF178" si="114">$C25*EXP(-B$168/$A25/EXP(-$C$126))</f>
        <v>4.571082615945813E-2</v>
      </c>
      <c r="C178" s="3">
        <f t="shared" si="114"/>
        <v>4.571082615945813E-2</v>
      </c>
      <c r="D178" s="3">
        <f t="shared" si="114"/>
        <v>4.571082615945813E-2</v>
      </c>
      <c r="E178" s="3">
        <f t="shared" si="114"/>
        <v>4.571082615945813E-2</v>
      </c>
      <c r="F178" s="3">
        <f t="shared" si="114"/>
        <v>4.571082615945813E-2</v>
      </c>
      <c r="G178" s="3">
        <f t="shared" si="114"/>
        <v>4.571082615945813E-2</v>
      </c>
      <c r="H178" s="3">
        <f t="shared" si="114"/>
        <v>4.571082615945813E-2</v>
      </c>
      <c r="I178" s="3">
        <f t="shared" si="114"/>
        <v>4.571082615945813E-2</v>
      </c>
      <c r="J178" s="3">
        <f t="shared" si="114"/>
        <v>4.571082615945813E-2</v>
      </c>
      <c r="K178" s="3">
        <f t="shared" si="114"/>
        <v>4.571082615945813E-2</v>
      </c>
      <c r="L178" s="3">
        <f t="shared" si="114"/>
        <v>4.5710826159458123E-2</v>
      </c>
      <c r="M178" s="3">
        <f t="shared" si="114"/>
        <v>4.5710826159458068E-2</v>
      </c>
      <c r="N178" s="3">
        <f t="shared" si="114"/>
        <v>4.571082615945752E-2</v>
      </c>
      <c r="O178" s="3">
        <f t="shared" si="114"/>
        <v>4.5710826159452059E-2</v>
      </c>
      <c r="P178" s="3">
        <f t="shared" si="114"/>
        <v>4.571082615939745E-2</v>
      </c>
      <c r="Q178" s="3">
        <f t="shared" si="114"/>
        <v>4.5710826158851317E-2</v>
      </c>
      <c r="R178" s="3">
        <f t="shared" si="114"/>
        <v>4.5710826153389984E-2</v>
      </c>
      <c r="S178" s="3">
        <f t="shared" si="114"/>
        <v>4.5710826098776657E-2</v>
      </c>
      <c r="T178" s="3">
        <f t="shared" si="114"/>
        <v>4.5710825552643407E-2</v>
      </c>
      <c r="U178" s="3">
        <f t="shared" si="114"/>
        <v>4.5710820091311277E-2</v>
      </c>
      <c r="V178" s="3">
        <f t="shared" si="114"/>
        <v>4.5710765478025848E-2</v>
      </c>
      <c r="W178" s="3">
        <f t="shared" si="114"/>
        <v>4.5710219348760267E-2</v>
      </c>
      <c r="X178" s="3">
        <f t="shared" si="114"/>
        <v>4.5704758414959919E-2</v>
      </c>
      <c r="Y178" s="3">
        <f t="shared" si="114"/>
        <v>4.5650184946641435E-2</v>
      </c>
      <c r="Z178" s="3">
        <f t="shared" si="114"/>
        <v>4.5108021425956407E-2</v>
      </c>
      <c r="AA178" s="3">
        <f t="shared" si="114"/>
        <v>4.0028207720993969E-2</v>
      </c>
      <c r="AB178" s="3">
        <f t="shared" si="114"/>
        <v>1.2119642591474687E-2</v>
      </c>
      <c r="AC178" s="3">
        <f t="shared" si="114"/>
        <v>7.8474126637843112E-8</v>
      </c>
      <c r="AD178" s="3">
        <f t="shared" si="114"/>
        <v>1.0164669783276695E-59</v>
      </c>
      <c r="AE178" s="3">
        <f t="shared" si="114"/>
        <v>0</v>
      </c>
      <c r="AF178" s="3">
        <f t="shared" si="114"/>
        <v>0</v>
      </c>
      <c r="AG178" s="3"/>
      <c r="AH178" s="3"/>
    </row>
    <row r="179" spans="2:34" x14ac:dyDescent="0.25">
      <c r="B179" s="3">
        <f t="shared" ref="B179:AF179" si="115">$C26*EXP(-B$168/$A26/EXP(-$C$126))</f>
        <v>5.619956404185248E-2</v>
      </c>
      <c r="C179" s="3">
        <f t="shared" si="115"/>
        <v>5.619956404185248E-2</v>
      </c>
      <c r="D179" s="3">
        <f t="shared" si="115"/>
        <v>5.619956404185248E-2</v>
      </c>
      <c r="E179" s="3">
        <f t="shared" si="115"/>
        <v>5.619956404185248E-2</v>
      </c>
      <c r="F179" s="3">
        <f t="shared" si="115"/>
        <v>5.619956404185248E-2</v>
      </c>
      <c r="G179" s="3">
        <f t="shared" si="115"/>
        <v>5.619956404185248E-2</v>
      </c>
      <c r="H179" s="3">
        <f t="shared" si="115"/>
        <v>5.619956404185248E-2</v>
      </c>
      <c r="I179" s="3">
        <f t="shared" si="115"/>
        <v>5.619956404185248E-2</v>
      </c>
      <c r="J179" s="3">
        <f t="shared" si="115"/>
        <v>5.619956404185248E-2</v>
      </c>
      <c r="K179" s="3">
        <f t="shared" si="115"/>
        <v>5.619956404185248E-2</v>
      </c>
      <c r="L179" s="3">
        <f t="shared" si="115"/>
        <v>5.619956404185248E-2</v>
      </c>
      <c r="M179" s="3">
        <f t="shared" si="115"/>
        <v>5.6199564041852473E-2</v>
      </c>
      <c r="N179" s="3">
        <f t="shared" si="115"/>
        <v>5.6199564041852411E-2</v>
      </c>
      <c r="O179" s="3">
        <f t="shared" si="115"/>
        <v>5.6199564041851807E-2</v>
      </c>
      <c r="P179" s="3">
        <f t="shared" si="115"/>
        <v>5.619956404184575E-2</v>
      </c>
      <c r="Q179" s="3">
        <f t="shared" si="115"/>
        <v>5.619956404178518E-2</v>
      </c>
      <c r="R179" s="3">
        <f t="shared" si="115"/>
        <v>5.6199564041179477E-2</v>
      </c>
      <c r="S179" s="3">
        <f t="shared" si="115"/>
        <v>5.6199564035122461E-2</v>
      </c>
      <c r="T179" s="3">
        <f t="shared" si="115"/>
        <v>5.6199563974552245E-2</v>
      </c>
      <c r="U179" s="3">
        <f t="shared" si="115"/>
        <v>5.6199563368850132E-2</v>
      </c>
      <c r="V179" s="3">
        <f t="shared" si="115"/>
        <v>5.6199557311829421E-2</v>
      </c>
      <c r="W179" s="3">
        <f t="shared" si="115"/>
        <v>5.6199496741658167E-2</v>
      </c>
      <c r="X179" s="3">
        <f t="shared" si="115"/>
        <v>5.6198891043536009E-2</v>
      </c>
      <c r="Y179" s="3">
        <f t="shared" si="115"/>
        <v>5.6192834421342763E-2</v>
      </c>
      <c r="Z179" s="3">
        <f t="shared" si="115"/>
        <v>5.6132304087926667E-2</v>
      </c>
      <c r="AA179" s="3">
        <f t="shared" si="115"/>
        <v>5.5530575335128077E-2</v>
      </c>
      <c r="AB179" s="3">
        <f t="shared" si="115"/>
        <v>4.9856893091916293E-2</v>
      </c>
      <c r="AC179" s="3">
        <f t="shared" si="115"/>
        <v>1.6968974354997127E-2</v>
      </c>
      <c r="AD179" s="3">
        <f t="shared" si="115"/>
        <v>3.5396426033836809E-7</v>
      </c>
      <c r="AE179" s="3">
        <f t="shared" si="115"/>
        <v>5.5207441003824564E-54</v>
      </c>
      <c r="AF179" s="3">
        <f t="shared" si="115"/>
        <v>0</v>
      </c>
      <c r="AG179" s="3"/>
      <c r="AH179" s="3"/>
    </row>
    <row r="180" spans="2:34" x14ac:dyDescent="0.25">
      <c r="B180" s="3">
        <f t="shared" ref="B180:AF180" si="116">$C27*EXP(-B$168/$A27/EXP(-$C$126))</f>
        <v>6.8321253158217701E-2</v>
      </c>
      <c r="C180" s="3">
        <f t="shared" si="116"/>
        <v>6.8321253158217701E-2</v>
      </c>
      <c r="D180" s="3">
        <f t="shared" si="116"/>
        <v>6.8321253158217701E-2</v>
      </c>
      <c r="E180" s="3">
        <f t="shared" si="116"/>
        <v>6.8321253158217701E-2</v>
      </c>
      <c r="F180" s="3">
        <f t="shared" si="116"/>
        <v>6.8321253158217701E-2</v>
      </c>
      <c r="G180" s="3">
        <f t="shared" si="116"/>
        <v>6.8321253158217701E-2</v>
      </c>
      <c r="H180" s="3">
        <f t="shared" si="116"/>
        <v>6.8321253158217701E-2</v>
      </c>
      <c r="I180" s="3">
        <f t="shared" si="116"/>
        <v>6.8321253158217701E-2</v>
      </c>
      <c r="J180" s="3">
        <f t="shared" si="116"/>
        <v>6.8321253158217701E-2</v>
      </c>
      <c r="K180" s="3">
        <f t="shared" si="116"/>
        <v>6.8321253158217701E-2</v>
      </c>
      <c r="L180" s="3">
        <f t="shared" si="116"/>
        <v>6.8321253158217701E-2</v>
      </c>
      <c r="M180" s="3">
        <f t="shared" si="116"/>
        <v>6.8321253158217701E-2</v>
      </c>
      <c r="N180" s="3">
        <f t="shared" si="116"/>
        <v>6.8321253158217687E-2</v>
      </c>
      <c r="O180" s="3">
        <f t="shared" si="116"/>
        <v>6.8321253158217632E-2</v>
      </c>
      <c r="P180" s="3">
        <f t="shared" si="116"/>
        <v>6.8321253158216966E-2</v>
      </c>
      <c r="Q180" s="3">
        <f t="shared" si="116"/>
        <v>6.8321253158210318E-2</v>
      </c>
      <c r="R180" s="3">
        <f t="shared" si="116"/>
        <v>6.8321253158143899E-2</v>
      </c>
      <c r="S180" s="3">
        <f t="shared" si="116"/>
        <v>6.8321253157479653E-2</v>
      </c>
      <c r="T180" s="3">
        <f t="shared" si="116"/>
        <v>6.8321253150837202E-2</v>
      </c>
      <c r="U180" s="3">
        <f t="shared" si="116"/>
        <v>6.8321253084412656E-2</v>
      </c>
      <c r="V180" s="3">
        <f t="shared" si="116"/>
        <v>6.8321252420167261E-2</v>
      </c>
      <c r="W180" s="3">
        <f t="shared" si="116"/>
        <v>6.832124577771366E-2</v>
      </c>
      <c r="X180" s="3">
        <f t="shared" si="116"/>
        <v>6.8321179353213107E-2</v>
      </c>
      <c r="Y180" s="3">
        <f t="shared" si="116"/>
        <v>6.8320515111759586E-2</v>
      </c>
      <c r="Z180" s="3">
        <f t="shared" si="116"/>
        <v>6.8313873052402802E-2</v>
      </c>
      <c r="AA180" s="3">
        <f t="shared" si="116"/>
        <v>6.8247487963907422E-2</v>
      </c>
      <c r="AB180" s="3">
        <f t="shared" si="116"/>
        <v>6.758717484717093E-2</v>
      </c>
      <c r="AC180" s="3">
        <f t="shared" si="116"/>
        <v>6.1325418376981307E-2</v>
      </c>
      <c r="AD180" s="3">
        <f t="shared" si="116"/>
        <v>2.3195449054676655E-2</v>
      </c>
      <c r="AE180" s="3">
        <f t="shared" si="116"/>
        <v>1.3900340354704865E-6</v>
      </c>
      <c r="AF180" s="3">
        <f t="shared" si="116"/>
        <v>8.3033229467014141E-49</v>
      </c>
      <c r="AG180" s="3"/>
      <c r="AH180" s="3"/>
    </row>
    <row r="181" spans="2:34" x14ac:dyDescent="0.25">
      <c r="B181" s="3">
        <f t="shared" ref="B181:AF181" si="117">$C28*EXP(-B$168/$A28/EXP(-$C$126))</f>
        <v>7.2516023247876399E-2</v>
      </c>
      <c r="C181" s="3">
        <f t="shared" si="117"/>
        <v>7.2516023247876399E-2</v>
      </c>
      <c r="D181" s="3">
        <f t="shared" si="117"/>
        <v>7.2516023247876399E-2</v>
      </c>
      <c r="E181" s="3">
        <f t="shared" si="117"/>
        <v>7.2516023247876399E-2</v>
      </c>
      <c r="F181" s="3">
        <f t="shared" si="117"/>
        <v>7.2516023247876399E-2</v>
      </c>
      <c r="G181" s="3">
        <f t="shared" si="117"/>
        <v>7.2516023247876399E-2</v>
      </c>
      <c r="H181" s="3">
        <f t="shared" si="117"/>
        <v>7.2516023247876399E-2</v>
      </c>
      <c r="I181" s="3">
        <f t="shared" si="117"/>
        <v>7.2516023247876399E-2</v>
      </c>
      <c r="J181" s="3">
        <f t="shared" si="117"/>
        <v>7.2516023247876399E-2</v>
      </c>
      <c r="K181" s="3">
        <f t="shared" si="117"/>
        <v>7.2516023247876399E-2</v>
      </c>
      <c r="L181" s="3">
        <f t="shared" si="117"/>
        <v>7.2516023247876399E-2</v>
      </c>
      <c r="M181" s="3">
        <f t="shared" si="117"/>
        <v>7.2516023247876399E-2</v>
      </c>
      <c r="N181" s="3">
        <f t="shared" si="117"/>
        <v>7.2516023247876399E-2</v>
      </c>
      <c r="O181" s="3">
        <f t="shared" si="117"/>
        <v>7.2516023247876385E-2</v>
      </c>
      <c r="P181" s="3">
        <f t="shared" si="117"/>
        <v>7.2516023247876329E-2</v>
      </c>
      <c r="Q181" s="3">
        <f t="shared" si="117"/>
        <v>7.2516023247875691E-2</v>
      </c>
      <c r="R181" s="3">
        <f t="shared" si="117"/>
        <v>7.2516023247869335E-2</v>
      </c>
      <c r="S181" s="3">
        <f t="shared" si="117"/>
        <v>7.2516023247805733E-2</v>
      </c>
      <c r="T181" s="3">
        <f t="shared" si="117"/>
        <v>7.2516023247169742E-2</v>
      </c>
      <c r="U181" s="3">
        <f t="shared" si="117"/>
        <v>7.2516023240809802E-2</v>
      </c>
      <c r="V181" s="3">
        <f t="shared" si="117"/>
        <v>7.2516023177210356E-2</v>
      </c>
      <c r="W181" s="3">
        <f t="shared" si="117"/>
        <v>7.2516022541215933E-2</v>
      </c>
      <c r="X181" s="3">
        <f t="shared" si="117"/>
        <v>7.2516016181272125E-2</v>
      </c>
      <c r="Y181" s="3">
        <f t="shared" si="117"/>
        <v>7.2515952581864634E-2</v>
      </c>
      <c r="Z181" s="3">
        <f t="shared" si="117"/>
        <v>7.2515316590857609E-2</v>
      </c>
      <c r="AA181" s="3">
        <f t="shared" si="117"/>
        <v>7.2508956987562115E-2</v>
      </c>
      <c r="AB181" s="3">
        <f t="shared" si="117"/>
        <v>7.2445391622132704E-2</v>
      </c>
      <c r="AC181" s="3">
        <f t="shared" si="117"/>
        <v>7.1812794791938264E-2</v>
      </c>
      <c r="AD181" s="3">
        <f t="shared" si="117"/>
        <v>6.57828177899413E-2</v>
      </c>
      <c r="AE181" s="3">
        <f t="shared" si="117"/>
        <v>2.7366478017584666E-2</v>
      </c>
      <c r="AF181" s="3">
        <f t="shared" si="117"/>
        <v>4.2489661432982733E-6</v>
      </c>
      <c r="AG181" s="3"/>
      <c r="AH181" s="3"/>
    </row>
    <row r="182" spans="2:34" x14ac:dyDescent="0.25">
      <c r="B182" s="3">
        <f t="shared" ref="B182:AF182" si="118">$C29*EXP(-B$168/$A29/EXP(-$C$126))</f>
        <v>6.0357732330784487E-2</v>
      </c>
      <c r="C182" s="3">
        <f t="shared" si="118"/>
        <v>6.0357732330784487E-2</v>
      </c>
      <c r="D182" s="3">
        <f t="shared" si="118"/>
        <v>6.0357732330784487E-2</v>
      </c>
      <c r="E182" s="3">
        <f t="shared" si="118"/>
        <v>6.0357732330784487E-2</v>
      </c>
      <c r="F182" s="3">
        <f t="shared" si="118"/>
        <v>6.0357732330784487E-2</v>
      </c>
      <c r="G182" s="3">
        <f t="shared" si="118"/>
        <v>6.0357732330784487E-2</v>
      </c>
      <c r="H182" s="3">
        <f t="shared" si="118"/>
        <v>6.0357732330784487E-2</v>
      </c>
      <c r="I182" s="3">
        <f t="shared" si="118"/>
        <v>6.0357732330784487E-2</v>
      </c>
      <c r="J182" s="3">
        <f t="shared" si="118"/>
        <v>6.0357732330784487E-2</v>
      </c>
      <c r="K182" s="3">
        <f t="shared" si="118"/>
        <v>6.0357732330784487E-2</v>
      </c>
      <c r="L182" s="3">
        <f t="shared" si="118"/>
        <v>6.0357732330784487E-2</v>
      </c>
      <c r="M182" s="3">
        <f t="shared" si="118"/>
        <v>6.0357732330784487E-2</v>
      </c>
      <c r="N182" s="3">
        <f t="shared" si="118"/>
        <v>6.0357732330784487E-2</v>
      </c>
      <c r="O182" s="3">
        <f t="shared" si="118"/>
        <v>6.0357732330784487E-2</v>
      </c>
      <c r="P182" s="3">
        <f t="shared" si="118"/>
        <v>6.035773233078448E-2</v>
      </c>
      <c r="Q182" s="3">
        <f t="shared" si="118"/>
        <v>6.0357732330784432E-2</v>
      </c>
      <c r="R182" s="3">
        <f t="shared" si="118"/>
        <v>6.035773233078396E-2</v>
      </c>
      <c r="S182" s="3">
        <f t="shared" si="118"/>
        <v>6.0357732330779179E-2</v>
      </c>
      <c r="T182" s="3">
        <f t="shared" si="118"/>
        <v>6.0357732330731426E-2</v>
      </c>
      <c r="U182" s="3">
        <f t="shared" si="118"/>
        <v>6.0357732330253898E-2</v>
      </c>
      <c r="V182" s="3">
        <f t="shared" si="118"/>
        <v>6.035773232547862E-2</v>
      </c>
      <c r="W182" s="3">
        <f t="shared" si="118"/>
        <v>6.0357732277725819E-2</v>
      </c>
      <c r="X182" s="3">
        <f t="shared" si="118"/>
        <v>6.0357731800197843E-2</v>
      </c>
      <c r="Y182" s="3">
        <f t="shared" si="118"/>
        <v>6.0357727024918213E-2</v>
      </c>
      <c r="Z182" s="3">
        <f t="shared" si="118"/>
        <v>6.0357679272142743E-2</v>
      </c>
      <c r="AA182" s="3">
        <f t="shared" si="118"/>
        <v>6.0357201746465916E-2</v>
      </c>
      <c r="AB182" s="3">
        <f t="shared" si="118"/>
        <v>6.0352426697482267E-2</v>
      </c>
      <c r="AC182" s="3">
        <f t="shared" si="118"/>
        <v>6.0304696980022214E-2</v>
      </c>
      <c r="AD182" s="3">
        <f t="shared" si="118"/>
        <v>5.9829470975205072E-2</v>
      </c>
      <c r="AE182" s="3">
        <f t="shared" si="118"/>
        <v>5.5278391140473664E-2</v>
      </c>
      <c r="AF182" s="3">
        <f t="shared" si="118"/>
        <v>2.505865244810529E-2</v>
      </c>
      <c r="AG182" s="3"/>
      <c r="AH182" s="3"/>
    </row>
    <row r="183" spans="2:34" x14ac:dyDescent="0.25">
      <c r="B183" s="3">
        <f t="shared" ref="B183:AF183" si="119">$C30*EXP(-B$168/$A30/EXP(-$C$126))</f>
        <v>3.7953571045142992E-2</v>
      </c>
      <c r="C183" s="3">
        <f t="shared" si="119"/>
        <v>3.7953571045142992E-2</v>
      </c>
      <c r="D183" s="3">
        <f t="shared" si="119"/>
        <v>3.7953571045142992E-2</v>
      </c>
      <c r="E183" s="3">
        <f t="shared" si="119"/>
        <v>3.7953571045142992E-2</v>
      </c>
      <c r="F183" s="3">
        <f t="shared" si="119"/>
        <v>3.7953571045142992E-2</v>
      </c>
      <c r="G183" s="3">
        <f t="shared" si="119"/>
        <v>3.7953571045142992E-2</v>
      </c>
      <c r="H183" s="3">
        <f t="shared" si="119"/>
        <v>3.7953571045142992E-2</v>
      </c>
      <c r="I183" s="3">
        <f t="shared" si="119"/>
        <v>3.7953571045142992E-2</v>
      </c>
      <c r="J183" s="3">
        <f t="shared" si="119"/>
        <v>3.7953571045142992E-2</v>
      </c>
      <c r="K183" s="3">
        <f t="shared" si="119"/>
        <v>3.7953571045142992E-2</v>
      </c>
      <c r="L183" s="3">
        <f t="shared" si="119"/>
        <v>3.7953571045142992E-2</v>
      </c>
      <c r="M183" s="3">
        <f t="shared" si="119"/>
        <v>3.7953571045142992E-2</v>
      </c>
      <c r="N183" s="3">
        <f t="shared" si="119"/>
        <v>3.7953571045142992E-2</v>
      </c>
      <c r="O183" s="3">
        <f t="shared" si="119"/>
        <v>3.7953571045142992E-2</v>
      </c>
      <c r="P183" s="3">
        <f t="shared" si="119"/>
        <v>3.7953571045142992E-2</v>
      </c>
      <c r="Q183" s="3">
        <f t="shared" si="119"/>
        <v>3.7953571045142985E-2</v>
      </c>
      <c r="R183" s="3">
        <f t="shared" si="119"/>
        <v>3.7953571045142964E-2</v>
      </c>
      <c r="S183" s="3">
        <f t="shared" si="119"/>
        <v>3.7953571045142694E-2</v>
      </c>
      <c r="T183" s="3">
        <f t="shared" si="119"/>
        <v>3.795357104513998E-2</v>
      </c>
      <c r="U183" s="3">
        <f t="shared" si="119"/>
        <v>3.7953571045112891E-2</v>
      </c>
      <c r="V183" s="3">
        <f t="shared" si="119"/>
        <v>3.7953571044842017E-2</v>
      </c>
      <c r="W183" s="3">
        <f t="shared" si="119"/>
        <v>3.7953571042133295E-2</v>
      </c>
      <c r="X183" s="3">
        <f t="shared" si="119"/>
        <v>3.7953571015046032E-2</v>
      </c>
      <c r="Y183" s="3">
        <f t="shared" si="119"/>
        <v>3.7953570744173389E-2</v>
      </c>
      <c r="Z183" s="3">
        <f t="shared" si="119"/>
        <v>3.7953568035447048E-2</v>
      </c>
      <c r="AA183" s="3">
        <f t="shared" si="119"/>
        <v>3.7953540948194295E-2</v>
      </c>
      <c r="AB183" s="3">
        <f t="shared" si="119"/>
        <v>3.7953270076730036E-2</v>
      </c>
      <c r="AC183" s="3">
        <f t="shared" si="119"/>
        <v>3.7950561468410554E-2</v>
      </c>
      <c r="AD183" s="3">
        <f t="shared" si="119"/>
        <v>3.79234860147179E-2</v>
      </c>
      <c r="AE183" s="3">
        <f t="shared" si="119"/>
        <v>3.765379162645828E-2</v>
      </c>
      <c r="AF183" s="3">
        <f t="shared" si="119"/>
        <v>3.5060115749104608E-2</v>
      </c>
      <c r="AG183" s="3"/>
      <c r="AH183" s="3"/>
    </row>
    <row r="184" spans="2:34" x14ac:dyDescent="0.25">
      <c r="B184" s="3">
        <f t="shared" ref="B184:AF184" si="120">$C31*EXP(-B$168/$A31/EXP(-$C$126))</f>
        <v>1.9899360219970862E-2</v>
      </c>
      <c r="C184" s="3">
        <f t="shared" si="120"/>
        <v>1.9899360219970862E-2</v>
      </c>
      <c r="D184" s="3">
        <f t="shared" si="120"/>
        <v>1.9899360219970862E-2</v>
      </c>
      <c r="E184" s="3">
        <f t="shared" si="120"/>
        <v>1.9899360219970862E-2</v>
      </c>
      <c r="F184" s="3">
        <f t="shared" si="120"/>
        <v>1.9899360219970862E-2</v>
      </c>
      <c r="G184" s="3">
        <f t="shared" si="120"/>
        <v>1.9899360219970862E-2</v>
      </c>
      <c r="H184" s="3">
        <f t="shared" si="120"/>
        <v>1.9899360219970862E-2</v>
      </c>
      <c r="I184" s="3">
        <f t="shared" si="120"/>
        <v>1.9899360219970862E-2</v>
      </c>
      <c r="J184" s="3">
        <f t="shared" si="120"/>
        <v>1.9899360219970862E-2</v>
      </c>
      <c r="K184" s="3">
        <f t="shared" si="120"/>
        <v>1.9899360219970862E-2</v>
      </c>
      <c r="L184" s="3">
        <f t="shared" si="120"/>
        <v>1.9899360219970862E-2</v>
      </c>
      <c r="M184" s="3">
        <f t="shared" si="120"/>
        <v>1.9899360219970862E-2</v>
      </c>
      <c r="N184" s="3">
        <f t="shared" si="120"/>
        <v>1.9899360219970862E-2</v>
      </c>
      <c r="O184" s="3">
        <f t="shared" si="120"/>
        <v>1.9899360219970862E-2</v>
      </c>
      <c r="P184" s="3">
        <f t="shared" si="120"/>
        <v>1.9899360219970862E-2</v>
      </c>
      <c r="Q184" s="3">
        <f t="shared" si="120"/>
        <v>1.9899360219970862E-2</v>
      </c>
      <c r="R184" s="3">
        <f t="shared" si="120"/>
        <v>1.9899360219970859E-2</v>
      </c>
      <c r="S184" s="3">
        <f t="shared" si="120"/>
        <v>1.9899360219970848E-2</v>
      </c>
      <c r="T184" s="3">
        <f t="shared" si="120"/>
        <v>1.989936021997072E-2</v>
      </c>
      <c r="U184" s="3">
        <f t="shared" si="120"/>
        <v>1.989936021996944E-2</v>
      </c>
      <c r="V184" s="3">
        <f t="shared" si="120"/>
        <v>1.9899360219956627E-2</v>
      </c>
      <c r="W184" s="3">
        <f t="shared" si="120"/>
        <v>1.9899360219828511E-2</v>
      </c>
      <c r="X184" s="3">
        <f t="shared" si="120"/>
        <v>1.9899360218547369E-2</v>
      </c>
      <c r="Y184" s="3">
        <f t="shared" si="120"/>
        <v>1.9899360205735923E-2</v>
      </c>
      <c r="Z184" s="3">
        <f t="shared" si="120"/>
        <v>1.9899360077621442E-2</v>
      </c>
      <c r="AA184" s="3">
        <f t="shared" si="120"/>
        <v>1.989935879647672E-2</v>
      </c>
      <c r="AB184" s="3">
        <f t="shared" si="120"/>
        <v>1.9899345985034018E-2</v>
      </c>
      <c r="AC184" s="3">
        <f t="shared" si="120"/>
        <v>1.9899217871060665E-2</v>
      </c>
      <c r="AD184" s="3">
        <f t="shared" si="120"/>
        <v>1.9897936776690824E-2</v>
      </c>
      <c r="AE184" s="3">
        <f t="shared" si="120"/>
        <v>1.9885130368282312E-2</v>
      </c>
      <c r="AF184" s="3">
        <f t="shared" si="120"/>
        <v>1.9757518734690661E-2</v>
      </c>
      <c r="AG184" s="3"/>
      <c r="AH184" s="3"/>
    </row>
    <row r="185" spans="2:34" x14ac:dyDescent="0.25">
      <c r="B185" s="3">
        <f t="shared" ref="B185:AF185" si="121">$C32*EXP(-B$168/$A32/EXP(-$C$126))</f>
        <v>1.0036367698219981E-2</v>
      </c>
      <c r="C185" s="3">
        <f t="shared" si="121"/>
        <v>1.0036367698219981E-2</v>
      </c>
      <c r="D185" s="3">
        <f t="shared" si="121"/>
        <v>1.0036367698219981E-2</v>
      </c>
      <c r="E185" s="3">
        <f t="shared" si="121"/>
        <v>1.0036367698219981E-2</v>
      </c>
      <c r="F185" s="3">
        <f t="shared" si="121"/>
        <v>1.0036367698219981E-2</v>
      </c>
      <c r="G185" s="3">
        <f t="shared" si="121"/>
        <v>1.0036367698219981E-2</v>
      </c>
      <c r="H185" s="3">
        <f t="shared" si="121"/>
        <v>1.0036367698219981E-2</v>
      </c>
      <c r="I185" s="3">
        <f t="shared" si="121"/>
        <v>1.0036367698219981E-2</v>
      </c>
      <c r="J185" s="3">
        <f t="shared" si="121"/>
        <v>1.0036367698219981E-2</v>
      </c>
      <c r="K185" s="3">
        <f t="shared" si="121"/>
        <v>1.0036367698219981E-2</v>
      </c>
      <c r="L185" s="3">
        <f t="shared" si="121"/>
        <v>1.0036367698219981E-2</v>
      </c>
      <c r="M185" s="3">
        <f t="shared" si="121"/>
        <v>1.0036367698219981E-2</v>
      </c>
      <c r="N185" s="3">
        <f t="shared" si="121"/>
        <v>1.0036367698219981E-2</v>
      </c>
      <c r="O185" s="3">
        <f t="shared" si="121"/>
        <v>1.0036367698219981E-2</v>
      </c>
      <c r="P185" s="3">
        <f t="shared" si="121"/>
        <v>1.0036367698219981E-2</v>
      </c>
      <c r="Q185" s="3">
        <f t="shared" si="121"/>
        <v>1.0036367698219981E-2</v>
      </c>
      <c r="R185" s="3">
        <f t="shared" si="121"/>
        <v>1.0036367698219981E-2</v>
      </c>
      <c r="S185" s="3">
        <f t="shared" si="121"/>
        <v>1.0036367698219979E-2</v>
      </c>
      <c r="T185" s="3">
        <f t="shared" si="121"/>
        <v>1.0036367698219974E-2</v>
      </c>
      <c r="U185" s="3">
        <f t="shared" si="121"/>
        <v>1.0036367698219917E-2</v>
      </c>
      <c r="V185" s="3">
        <f t="shared" si="121"/>
        <v>1.0036367698219334E-2</v>
      </c>
      <c r="W185" s="3">
        <f t="shared" si="121"/>
        <v>1.0036367698213505E-2</v>
      </c>
      <c r="X185" s="3">
        <f t="shared" si="121"/>
        <v>1.0036367698155215E-2</v>
      </c>
      <c r="Y185" s="3">
        <f t="shared" si="121"/>
        <v>1.0036367697572331E-2</v>
      </c>
      <c r="Z185" s="3">
        <f t="shared" si="121"/>
        <v>1.003636769174349E-2</v>
      </c>
      <c r="AA185" s="3">
        <f t="shared" si="121"/>
        <v>1.0036367633455076E-2</v>
      </c>
      <c r="AB185" s="3">
        <f t="shared" si="121"/>
        <v>1.0036367050570939E-2</v>
      </c>
      <c r="AC185" s="3">
        <f t="shared" si="121"/>
        <v>1.0036361221731446E-2</v>
      </c>
      <c r="AD185" s="3">
        <f t="shared" si="121"/>
        <v>1.0036302933522702E-2</v>
      </c>
      <c r="AE185" s="3">
        <f t="shared" si="121"/>
        <v>1.003572007005357E-2</v>
      </c>
      <c r="AF185" s="3">
        <f t="shared" si="121"/>
        <v>1.0029893296793234E-2</v>
      </c>
      <c r="AG185" s="3"/>
      <c r="AH185" s="3"/>
    </row>
    <row r="186" spans="2:34" x14ac:dyDescent="0.25">
      <c r="B186" s="3">
        <f t="shared" ref="B186:AF186" si="122">$C33*EXP(-B$168/$A33/EXP(-$C$126))</f>
        <v>1.0472179826501766E-2</v>
      </c>
      <c r="C186" s="3">
        <f t="shared" si="122"/>
        <v>1.0472179826501766E-2</v>
      </c>
      <c r="D186" s="3">
        <f t="shared" si="122"/>
        <v>1.0472179826501766E-2</v>
      </c>
      <c r="E186" s="3">
        <f t="shared" si="122"/>
        <v>1.0472179826501766E-2</v>
      </c>
      <c r="F186" s="3">
        <f t="shared" si="122"/>
        <v>1.0472179826501766E-2</v>
      </c>
      <c r="G186" s="3">
        <f t="shared" si="122"/>
        <v>1.0472179826501766E-2</v>
      </c>
      <c r="H186" s="3">
        <f t="shared" si="122"/>
        <v>1.0472179826501766E-2</v>
      </c>
      <c r="I186" s="3">
        <f t="shared" si="122"/>
        <v>1.0472179826501766E-2</v>
      </c>
      <c r="J186" s="3">
        <f t="shared" si="122"/>
        <v>1.0472179826501766E-2</v>
      </c>
      <c r="K186" s="3">
        <f t="shared" si="122"/>
        <v>1.0472179826501766E-2</v>
      </c>
      <c r="L186" s="3">
        <f t="shared" si="122"/>
        <v>1.0472179826501766E-2</v>
      </c>
      <c r="M186" s="3">
        <f t="shared" si="122"/>
        <v>1.0472179826501766E-2</v>
      </c>
      <c r="N186" s="3">
        <f t="shared" si="122"/>
        <v>1.0472179826501766E-2</v>
      </c>
      <c r="O186" s="3">
        <f t="shared" si="122"/>
        <v>1.0472179826501766E-2</v>
      </c>
      <c r="P186" s="3">
        <f t="shared" si="122"/>
        <v>1.0472179826501766E-2</v>
      </c>
      <c r="Q186" s="3">
        <f t="shared" si="122"/>
        <v>1.0472179826501766E-2</v>
      </c>
      <c r="R186" s="3">
        <f t="shared" si="122"/>
        <v>1.0472179826501766E-2</v>
      </c>
      <c r="S186" s="3">
        <f t="shared" si="122"/>
        <v>1.0472179826501766E-2</v>
      </c>
      <c r="T186" s="3">
        <f t="shared" si="122"/>
        <v>1.0472179826501764E-2</v>
      </c>
      <c r="U186" s="3">
        <f t="shared" si="122"/>
        <v>1.0472179826501761E-2</v>
      </c>
      <c r="V186" s="3">
        <f t="shared" si="122"/>
        <v>1.0472179826501705E-2</v>
      </c>
      <c r="W186" s="3">
        <f t="shared" si="122"/>
        <v>1.0472179826501157E-2</v>
      </c>
      <c r="X186" s="3">
        <f t="shared" si="122"/>
        <v>1.047217982649567E-2</v>
      </c>
      <c r="Y186" s="3">
        <f t="shared" si="122"/>
        <v>1.0472179826440806E-2</v>
      </c>
      <c r="Z186" s="3">
        <f t="shared" si="122"/>
        <v>1.0472179825892164E-2</v>
      </c>
      <c r="AA186" s="3">
        <f t="shared" si="122"/>
        <v>1.047217982040574E-2</v>
      </c>
      <c r="AB186" s="3">
        <f t="shared" si="122"/>
        <v>1.04721797655415E-2</v>
      </c>
      <c r="AC186" s="3">
        <f t="shared" si="122"/>
        <v>1.0472179216899115E-2</v>
      </c>
      <c r="AD186" s="3">
        <f t="shared" si="122"/>
        <v>1.0472173730476857E-2</v>
      </c>
      <c r="AE186" s="3">
        <f t="shared" si="122"/>
        <v>1.0472118866412361E-2</v>
      </c>
      <c r="AF186" s="3">
        <f t="shared" si="122"/>
        <v>1.0471570241576061E-2</v>
      </c>
      <c r="AG186" s="3"/>
      <c r="AH186" s="3"/>
    </row>
    <row r="187" spans="2:34" x14ac:dyDescent="0.25">
      <c r="B187" s="3">
        <f t="shared" ref="B187:AF187" si="123">$C34*EXP(-B$168/$A34/EXP(-$C$126))</f>
        <v>1.1455889373470318E-2</v>
      </c>
      <c r="C187" s="3">
        <f t="shared" si="123"/>
        <v>1.1455889373470318E-2</v>
      </c>
      <c r="D187" s="3">
        <f t="shared" si="123"/>
        <v>1.1455889373470318E-2</v>
      </c>
      <c r="E187" s="3">
        <f t="shared" si="123"/>
        <v>1.1455889373470318E-2</v>
      </c>
      <c r="F187" s="3">
        <f t="shared" si="123"/>
        <v>1.1455889373470318E-2</v>
      </c>
      <c r="G187" s="3">
        <f t="shared" si="123"/>
        <v>1.1455889373470318E-2</v>
      </c>
      <c r="H187" s="3">
        <f t="shared" si="123"/>
        <v>1.1455889373470318E-2</v>
      </c>
      <c r="I187" s="3">
        <f t="shared" si="123"/>
        <v>1.1455889373470318E-2</v>
      </c>
      <c r="J187" s="3">
        <f t="shared" si="123"/>
        <v>1.1455889373470318E-2</v>
      </c>
      <c r="K187" s="3">
        <f t="shared" si="123"/>
        <v>1.1455889373470318E-2</v>
      </c>
      <c r="L187" s="3">
        <f t="shared" si="123"/>
        <v>1.1455889373470318E-2</v>
      </c>
      <c r="M187" s="3">
        <f t="shared" si="123"/>
        <v>1.1455889373470318E-2</v>
      </c>
      <c r="N187" s="3">
        <f t="shared" si="123"/>
        <v>1.1455889373470318E-2</v>
      </c>
      <c r="O187" s="3">
        <f t="shared" si="123"/>
        <v>1.1455889373470318E-2</v>
      </c>
      <c r="P187" s="3">
        <f t="shared" si="123"/>
        <v>1.1455889373470318E-2</v>
      </c>
      <c r="Q187" s="3">
        <f t="shared" si="123"/>
        <v>1.1455889373470318E-2</v>
      </c>
      <c r="R187" s="3">
        <f t="shared" si="123"/>
        <v>1.1455889373470318E-2</v>
      </c>
      <c r="S187" s="3">
        <f t="shared" si="123"/>
        <v>1.1455889373470318E-2</v>
      </c>
      <c r="T187" s="3">
        <f t="shared" si="123"/>
        <v>1.1455889373470318E-2</v>
      </c>
      <c r="U187" s="3">
        <f t="shared" si="123"/>
        <v>1.1455889373470318E-2</v>
      </c>
      <c r="V187" s="3">
        <f t="shared" si="123"/>
        <v>1.1455889373470311E-2</v>
      </c>
      <c r="W187" s="3">
        <f t="shared" si="123"/>
        <v>1.1455889373470259E-2</v>
      </c>
      <c r="X187" s="3">
        <f t="shared" si="123"/>
        <v>1.1455889373469716E-2</v>
      </c>
      <c r="Y187" s="3">
        <f t="shared" si="123"/>
        <v>1.1455889373464302E-2</v>
      </c>
      <c r="Z187" s="3">
        <f t="shared" si="123"/>
        <v>1.1455889373410161E-2</v>
      </c>
      <c r="AA187" s="3">
        <f t="shared" si="123"/>
        <v>1.1455889372868748E-2</v>
      </c>
      <c r="AB187" s="3">
        <f t="shared" si="123"/>
        <v>1.1455889367454631E-2</v>
      </c>
      <c r="AC187" s="3">
        <f t="shared" si="123"/>
        <v>1.1455889313313455E-2</v>
      </c>
      <c r="AD187" s="3">
        <f t="shared" si="123"/>
        <v>1.1455888771901719E-2</v>
      </c>
      <c r="AE187" s="3">
        <f t="shared" si="123"/>
        <v>1.1455883357785747E-2</v>
      </c>
      <c r="AF187" s="3">
        <f t="shared" si="123"/>
        <v>1.1455829216766774E-2</v>
      </c>
      <c r="AG187" s="3"/>
      <c r="AH187" s="3"/>
    </row>
    <row r="188" spans="2:34" x14ac:dyDescent="0.25">
      <c r="B188" s="3">
        <f t="shared" ref="B188:AF188" si="124">$C35*EXP(-B$168/$A35/EXP(-$C$126))</f>
        <v>6.2948394662532018E-3</v>
      </c>
      <c r="C188" s="3">
        <f t="shared" si="124"/>
        <v>6.2948394662532018E-3</v>
      </c>
      <c r="D188" s="3">
        <f t="shared" si="124"/>
        <v>6.2948394662532018E-3</v>
      </c>
      <c r="E188" s="3">
        <f t="shared" si="124"/>
        <v>6.2948394662532018E-3</v>
      </c>
      <c r="F188" s="3">
        <f t="shared" si="124"/>
        <v>6.2948394662532018E-3</v>
      </c>
      <c r="G188" s="3">
        <f t="shared" si="124"/>
        <v>6.2948394662532018E-3</v>
      </c>
      <c r="H188" s="3">
        <f t="shared" si="124"/>
        <v>6.2948394662532018E-3</v>
      </c>
      <c r="I188" s="3">
        <f t="shared" si="124"/>
        <v>6.2948394662532018E-3</v>
      </c>
      <c r="J188" s="3">
        <f t="shared" si="124"/>
        <v>6.2948394662532018E-3</v>
      </c>
      <c r="K188" s="3">
        <f t="shared" si="124"/>
        <v>6.2948394662532018E-3</v>
      </c>
      <c r="L188" s="3">
        <f t="shared" si="124"/>
        <v>6.2948394662532018E-3</v>
      </c>
      <c r="M188" s="3">
        <f t="shared" si="124"/>
        <v>6.2948394662532018E-3</v>
      </c>
      <c r="N188" s="3">
        <f t="shared" si="124"/>
        <v>6.2948394662532018E-3</v>
      </c>
      <c r="O188" s="3">
        <f t="shared" si="124"/>
        <v>6.2948394662532018E-3</v>
      </c>
      <c r="P188" s="3">
        <f t="shared" si="124"/>
        <v>6.2948394662532018E-3</v>
      </c>
      <c r="Q188" s="3">
        <f t="shared" si="124"/>
        <v>6.2948394662532018E-3</v>
      </c>
      <c r="R188" s="3">
        <f t="shared" si="124"/>
        <v>6.2948394662532018E-3</v>
      </c>
      <c r="S188" s="3">
        <f t="shared" si="124"/>
        <v>6.2948394662532018E-3</v>
      </c>
      <c r="T188" s="3">
        <f t="shared" si="124"/>
        <v>6.2948394662532018E-3</v>
      </c>
      <c r="U188" s="3">
        <f t="shared" si="124"/>
        <v>6.2948394662532018E-3</v>
      </c>
      <c r="V188" s="3">
        <f t="shared" si="124"/>
        <v>6.2948394662532018E-3</v>
      </c>
      <c r="W188" s="3">
        <f t="shared" si="124"/>
        <v>6.2948394662531992E-3</v>
      </c>
      <c r="X188" s="3">
        <f t="shared" si="124"/>
        <v>6.2948394662531715E-3</v>
      </c>
      <c r="Y188" s="3">
        <f t="shared" si="124"/>
        <v>6.2948394662529035E-3</v>
      </c>
      <c r="Z188" s="3">
        <f t="shared" si="124"/>
        <v>6.2948394662502198E-3</v>
      </c>
      <c r="AA188" s="3">
        <f t="shared" si="124"/>
        <v>6.2948394662233837E-3</v>
      </c>
      <c r="AB188" s="3">
        <f t="shared" si="124"/>
        <v>6.294839465955015E-3</v>
      </c>
      <c r="AC188" s="3">
        <f t="shared" si="124"/>
        <v>6.2948394632713397E-3</v>
      </c>
      <c r="AD188" s="3">
        <f t="shared" si="124"/>
        <v>6.2948394364345768E-3</v>
      </c>
      <c r="AE188" s="3">
        <f t="shared" si="124"/>
        <v>6.2948391680669622E-3</v>
      </c>
      <c r="AF188" s="3">
        <f t="shared" si="124"/>
        <v>6.2948364843914383E-3</v>
      </c>
      <c r="AG188" s="3"/>
      <c r="AH188" s="3"/>
    </row>
    <row r="189" spans="2:34" x14ac:dyDescent="0.25">
      <c r="B189" s="3">
        <f t="shared" ref="B189:AF189" si="125">$C36*EXP(-B$168/$A36/EXP(-$C$126))</f>
        <v>5.5356903730511449E-3</v>
      </c>
      <c r="C189" s="3">
        <f t="shared" si="125"/>
        <v>5.5356903730511449E-3</v>
      </c>
      <c r="D189" s="3">
        <f t="shared" si="125"/>
        <v>5.5356903730511449E-3</v>
      </c>
      <c r="E189" s="3">
        <f t="shared" si="125"/>
        <v>5.5356903730511449E-3</v>
      </c>
      <c r="F189" s="3">
        <f t="shared" si="125"/>
        <v>5.5356903730511449E-3</v>
      </c>
      <c r="G189" s="3">
        <f t="shared" si="125"/>
        <v>5.5356903730511449E-3</v>
      </c>
      <c r="H189" s="3">
        <f t="shared" si="125"/>
        <v>5.5356903730511449E-3</v>
      </c>
      <c r="I189" s="3">
        <f t="shared" si="125"/>
        <v>5.5356903730511449E-3</v>
      </c>
      <c r="J189" s="3">
        <f t="shared" si="125"/>
        <v>5.5356903730511449E-3</v>
      </c>
      <c r="K189" s="3">
        <f t="shared" si="125"/>
        <v>5.5356903730511449E-3</v>
      </c>
      <c r="L189" s="3">
        <f t="shared" si="125"/>
        <v>5.5356903730511449E-3</v>
      </c>
      <c r="M189" s="3">
        <f t="shared" si="125"/>
        <v>5.5356903730511449E-3</v>
      </c>
      <c r="N189" s="3">
        <f t="shared" si="125"/>
        <v>5.5356903730511449E-3</v>
      </c>
      <c r="O189" s="3">
        <f t="shared" si="125"/>
        <v>5.5356903730511449E-3</v>
      </c>
      <c r="P189" s="3">
        <f t="shared" si="125"/>
        <v>5.5356903730511449E-3</v>
      </c>
      <c r="Q189" s="3">
        <f t="shared" si="125"/>
        <v>5.5356903730511449E-3</v>
      </c>
      <c r="R189" s="3">
        <f t="shared" si="125"/>
        <v>5.5356903730511449E-3</v>
      </c>
      <c r="S189" s="3">
        <f t="shared" si="125"/>
        <v>5.5356903730511449E-3</v>
      </c>
      <c r="T189" s="3">
        <f t="shared" si="125"/>
        <v>5.5356903730511449E-3</v>
      </c>
      <c r="U189" s="3">
        <f t="shared" si="125"/>
        <v>5.5356903730511449E-3</v>
      </c>
      <c r="V189" s="3">
        <f t="shared" si="125"/>
        <v>5.5356903730511449E-3</v>
      </c>
      <c r="W189" s="3">
        <f t="shared" si="125"/>
        <v>5.5356903730511449E-3</v>
      </c>
      <c r="X189" s="3">
        <f t="shared" si="125"/>
        <v>5.5356903730511423E-3</v>
      </c>
      <c r="Y189" s="3">
        <f t="shared" si="125"/>
        <v>5.5356903730511215E-3</v>
      </c>
      <c r="Z189" s="3">
        <f t="shared" si="125"/>
        <v>5.5356903730509081E-3</v>
      </c>
      <c r="AA189" s="3">
        <f t="shared" si="125"/>
        <v>5.5356903730487796E-3</v>
      </c>
      <c r="AB189" s="3">
        <f t="shared" si="125"/>
        <v>5.5356903730274902E-3</v>
      </c>
      <c r="AC189" s="3">
        <f t="shared" si="125"/>
        <v>5.5356903728145963E-3</v>
      </c>
      <c r="AD189" s="3">
        <f t="shared" si="125"/>
        <v>5.5356903706856534E-3</v>
      </c>
      <c r="AE189" s="3">
        <f t="shared" si="125"/>
        <v>5.5356903493962327E-3</v>
      </c>
      <c r="AF189" s="3">
        <f t="shared" si="125"/>
        <v>5.535690136502033E-3</v>
      </c>
      <c r="AG189" s="3"/>
      <c r="AH189" s="3"/>
    </row>
    <row r="190" spans="2:34" x14ac:dyDescent="0.25">
      <c r="B190" s="3">
        <f t="shared" ref="B190:AF190" si="126">$C37*EXP(-B$168/$A37/EXP(-$C$126))</f>
        <v>2.9841994807754844E-3</v>
      </c>
      <c r="C190" s="3">
        <f t="shared" si="126"/>
        <v>2.9841994807754844E-3</v>
      </c>
      <c r="D190" s="3">
        <f t="shared" si="126"/>
        <v>2.9841994807754844E-3</v>
      </c>
      <c r="E190" s="3">
        <f t="shared" si="126"/>
        <v>2.9841994807754844E-3</v>
      </c>
      <c r="F190" s="3">
        <f t="shared" si="126"/>
        <v>2.9841994807754844E-3</v>
      </c>
      <c r="G190" s="3">
        <f t="shared" si="126"/>
        <v>2.9841994807754844E-3</v>
      </c>
      <c r="H190" s="3">
        <f t="shared" si="126"/>
        <v>2.9841994807754844E-3</v>
      </c>
      <c r="I190" s="3">
        <f t="shared" si="126"/>
        <v>2.9841994807754844E-3</v>
      </c>
      <c r="J190" s="3">
        <f t="shared" si="126"/>
        <v>2.9841994807754844E-3</v>
      </c>
      <c r="K190" s="3">
        <f t="shared" si="126"/>
        <v>2.9841994807754844E-3</v>
      </c>
      <c r="L190" s="3">
        <f t="shared" si="126"/>
        <v>2.9841994807754844E-3</v>
      </c>
      <c r="M190" s="3">
        <f t="shared" si="126"/>
        <v>2.9841994807754844E-3</v>
      </c>
      <c r="N190" s="3">
        <f t="shared" si="126"/>
        <v>2.9841994807754844E-3</v>
      </c>
      <c r="O190" s="3">
        <f t="shared" si="126"/>
        <v>2.9841994807754844E-3</v>
      </c>
      <c r="P190" s="3">
        <f t="shared" si="126"/>
        <v>2.9841994807754844E-3</v>
      </c>
      <c r="Q190" s="3">
        <f t="shared" si="126"/>
        <v>2.9841994807754844E-3</v>
      </c>
      <c r="R190" s="3">
        <f t="shared" si="126"/>
        <v>2.9841994807754844E-3</v>
      </c>
      <c r="S190" s="3">
        <f t="shared" si="126"/>
        <v>2.9841994807754844E-3</v>
      </c>
      <c r="T190" s="3">
        <f t="shared" si="126"/>
        <v>2.9841994807754844E-3</v>
      </c>
      <c r="U190" s="3">
        <f t="shared" si="126"/>
        <v>2.9841994807754844E-3</v>
      </c>
      <c r="V190" s="3">
        <f t="shared" si="126"/>
        <v>2.9841994807754844E-3</v>
      </c>
      <c r="W190" s="3">
        <f t="shared" si="126"/>
        <v>2.9841994807754844E-3</v>
      </c>
      <c r="X190" s="3">
        <f t="shared" si="126"/>
        <v>2.9841994807754844E-3</v>
      </c>
      <c r="Y190" s="3">
        <f t="shared" si="126"/>
        <v>2.9841994807754835E-3</v>
      </c>
      <c r="Z190" s="3">
        <f t="shared" si="126"/>
        <v>2.9841994807754727E-3</v>
      </c>
      <c r="AA190" s="3">
        <f t="shared" si="126"/>
        <v>2.9841994807753695E-3</v>
      </c>
      <c r="AB190" s="3">
        <f t="shared" si="126"/>
        <v>2.9841994807743343E-3</v>
      </c>
      <c r="AC190" s="3">
        <f t="shared" si="126"/>
        <v>2.984199480763981E-3</v>
      </c>
      <c r="AD190" s="3">
        <f t="shared" si="126"/>
        <v>2.984199480660451E-3</v>
      </c>
      <c r="AE190" s="3">
        <f t="shared" si="126"/>
        <v>2.9841994796251507E-3</v>
      </c>
      <c r="AF190" s="3">
        <f t="shared" si="126"/>
        <v>2.984199469272144E-3</v>
      </c>
      <c r="AG190" s="3"/>
      <c r="AH190" s="3"/>
    </row>
    <row r="191" spans="2:34" x14ac:dyDescent="0.25">
      <c r="B191" s="3">
        <f t="shared" ref="B191:AF191" si="127">$C38*EXP(-B$168/$A38/EXP(-$C$126))</f>
        <v>1.1698557197945001E-3</v>
      </c>
      <c r="C191" s="3">
        <f t="shared" si="127"/>
        <v>1.1698557197945001E-3</v>
      </c>
      <c r="D191" s="3">
        <f t="shared" si="127"/>
        <v>1.1698557197945001E-3</v>
      </c>
      <c r="E191" s="3">
        <f t="shared" si="127"/>
        <v>1.1698557197945001E-3</v>
      </c>
      <c r="F191" s="3">
        <f t="shared" si="127"/>
        <v>1.1698557197945001E-3</v>
      </c>
      <c r="G191" s="3">
        <f t="shared" si="127"/>
        <v>1.1698557197945001E-3</v>
      </c>
      <c r="H191" s="3">
        <f t="shared" si="127"/>
        <v>1.1698557197945001E-3</v>
      </c>
      <c r="I191" s="3">
        <f t="shared" si="127"/>
        <v>1.1698557197945001E-3</v>
      </c>
      <c r="J191" s="3">
        <f t="shared" si="127"/>
        <v>1.1698557197945001E-3</v>
      </c>
      <c r="K191" s="3">
        <f t="shared" si="127"/>
        <v>1.1698557197945001E-3</v>
      </c>
      <c r="L191" s="3">
        <f t="shared" si="127"/>
        <v>1.1698557197945001E-3</v>
      </c>
      <c r="M191" s="3">
        <f t="shared" si="127"/>
        <v>1.1698557197945001E-3</v>
      </c>
      <c r="N191" s="3">
        <f t="shared" si="127"/>
        <v>1.1698557197945001E-3</v>
      </c>
      <c r="O191" s="3">
        <f t="shared" si="127"/>
        <v>1.1698557197945001E-3</v>
      </c>
      <c r="P191" s="3">
        <f t="shared" si="127"/>
        <v>1.1698557197945001E-3</v>
      </c>
      <c r="Q191" s="3">
        <f t="shared" si="127"/>
        <v>1.1698557197945001E-3</v>
      </c>
      <c r="R191" s="3">
        <f t="shared" si="127"/>
        <v>1.1698557197945001E-3</v>
      </c>
      <c r="S191" s="3">
        <f t="shared" si="127"/>
        <v>1.1698557197945001E-3</v>
      </c>
      <c r="T191" s="3">
        <f t="shared" si="127"/>
        <v>1.1698557197945001E-3</v>
      </c>
      <c r="U191" s="3">
        <f t="shared" si="127"/>
        <v>1.1698557197945001E-3</v>
      </c>
      <c r="V191" s="3">
        <f t="shared" si="127"/>
        <v>1.1698557197945001E-3</v>
      </c>
      <c r="W191" s="3">
        <f t="shared" si="127"/>
        <v>1.1698557197945001E-3</v>
      </c>
      <c r="X191" s="3">
        <f t="shared" si="127"/>
        <v>1.1698557197945001E-3</v>
      </c>
      <c r="Y191" s="3">
        <f t="shared" si="127"/>
        <v>1.1698557197945001E-3</v>
      </c>
      <c r="Z191" s="3">
        <f t="shared" si="127"/>
        <v>1.1698557197944996E-3</v>
      </c>
      <c r="AA191" s="3">
        <f t="shared" si="127"/>
        <v>1.169855719794496E-3</v>
      </c>
      <c r="AB191" s="3">
        <f t="shared" si="127"/>
        <v>1.1698557197944595E-3</v>
      </c>
      <c r="AC191" s="3">
        <f t="shared" si="127"/>
        <v>1.1698557197940933E-3</v>
      </c>
      <c r="AD191" s="3">
        <f t="shared" si="127"/>
        <v>1.1698557197904321E-3</v>
      </c>
      <c r="AE191" s="3">
        <f t="shared" si="127"/>
        <v>1.1698557197538206E-3</v>
      </c>
      <c r="AF191" s="3">
        <f t="shared" si="127"/>
        <v>1.1698557193877057E-3</v>
      </c>
      <c r="AG191" s="3"/>
      <c r="AH191" s="3"/>
    </row>
    <row r="192" spans="2:34" x14ac:dyDescent="0.25">
      <c r="B192" s="3">
        <f t="shared" ref="B192:AF192" si="128">$C39*EXP(-B$168/$A39/EXP(-$C$126))</f>
        <v>4.0204305624187052E-4</v>
      </c>
      <c r="C192" s="3">
        <f t="shared" si="128"/>
        <v>4.0204305624187052E-4</v>
      </c>
      <c r="D192" s="3">
        <f t="shared" si="128"/>
        <v>4.0204305624187052E-4</v>
      </c>
      <c r="E192" s="3">
        <f t="shared" si="128"/>
        <v>4.0204305624187052E-4</v>
      </c>
      <c r="F192" s="3">
        <f t="shared" si="128"/>
        <v>4.0204305624187052E-4</v>
      </c>
      <c r="G192" s="3">
        <f t="shared" si="128"/>
        <v>4.0204305624187052E-4</v>
      </c>
      <c r="H192" s="3">
        <f t="shared" si="128"/>
        <v>4.0204305624187052E-4</v>
      </c>
      <c r="I192" s="3">
        <f t="shared" si="128"/>
        <v>4.0204305624187052E-4</v>
      </c>
      <c r="J192" s="3">
        <f t="shared" si="128"/>
        <v>4.0204305624187052E-4</v>
      </c>
      <c r="K192" s="3">
        <f t="shared" si="128"/>
        <v>4.0204305624187052E-4</v>
      </c>
      <c r="L192" s="3">
        <f t="shared" si="128"/>
        <v>4.0204305624187052E-4</v>
      </c>
      <c r="M192" s="3">
        <f t="shared" si="128"/>
        <v>4.0204305624187052E-4</v>
      </c>
      <c r="N192" s="3">
        <f t="shared" si="128"/>
        <v>4.0204305624187052E-4</v>
      </c>
      <c r="O192" s="3">
        <f t="shared" si="128"/>
        <v>4.0204305624187052E-4</v>
      </c>
      <c r="P192" s="3">
        <f t="shared" si="128"/>
        <v>4.0204305624187052E-4</v>
      </c>
      <c r="Q192" s="3">
        <f t="shared" si="128"/>
        <v>4.0204305624187052E-4</v>
      </c>
      <c r="R192" s="3">
        <f t="shared" si="128"/>
        <v>4.0204305624187052E-4</v>
      </c>
      <c r="S192" s="3">
        <f t="shared" si="128"/>
        <v>4.0204305624187052E-4</v>
      </c>
      <c r="T192" s="3">
        <f t="shared" si="128"/>
        <v>4.0204305624187052E-4</v>
      </c>
      <c r="U192" s="3">
        <f t="shared" si="128"/>
        <v>4.0204305624187052E-4</v>
      </c>
      <c r="V192" s="3">
        <f t="shared" si="128"/>
        <v>4.0204305624187052E-4</v>
      </c>
      <c r="W192" s="3">
        <f t="shared" si="128"/>
        <v>4.0204305624187052E-4</v>
      </c>
      <c r="X192" s="3">
        <f t="shared" si="128"/>
        <v>4.0204305624187052E-4</v>
      </c>
      <c r="Y192" s="3">
        <f t="shared" si="128"/>
        <v>4.0204305624187052E-4</v>
      </c>
      <c r="Z192" s="3">
        <f t="shared" si="128"/>
        <v>4.0204305624187047E-4</v>
      </c>
      <c r="AA192" s="3">
        <f t="shared" si="128"/>
        <v>4.0204305624187014E-4</v>
      </c>
      <c r="AB192" s="3">
        <f t="shared" si="128"/>
        <v>4.0204305624186662E-4</v>
      </c>
      <c r="AC192" s="3">
        <f t="shared" si="128"/>
        <v>4.0204305624183187E-4</v>
      </c>
      <c r="AD192" s="3">
        <f t="shared" si="128"/>
        <v>4.0204305624148384E-4</v>
      </c>
      <c r="AE192" s="3">
        <f t="shared" si="128"/>
        <v>4.0204305623800393E-4</v>
      </c>
      <c r="AF192" s="3">
        <f t="shared" si="128"/>
        <v>4.0204305620320462E-4</v>
      </c>
      <c r="AG192" s="3"/>
      <c r="AH192" s="3"/>
    </row>
    <row r="193" spans="1:34" x14ac:dyDescent="0.25">
      <c r="B193" s="3">
        <f t="shared" ref="B193:AF193" si="129">$C40*EXP(-B$168/$A40/EXP(-$C$126))</f>
        <v>9.0650475367586036E-4</v>
      </c>
      <c r="C193" s="3">
        <f t="shared" si="129"/>
        <v>9.0650475367586036E-4</v>
      </c>
      <c r="D193" s="3">
        <f t="shared" si="129"/>
        <v>9.0650475367586036E-4</v>
      </c>
      <c r="E193" s="3">
        <f t="shared" si="129"/>
        <v>9.0650475367586036E-4</v>
      </c>
      <c r="F193" s="3">
        <f t="shared" si="129"/>
        <v>9.0650475367586036E-4</v>
      </c>
      <c r="G193" s="3">
        <f t="shared" si="129"/>
        <v>9.0650475367586036E-4</v>
      </c>
      <c r="H193" s="3">
        <f t="shared" si="129"/>
        <v>9.0650475367586036E-4</v>
      </c>
      <c r="I193" s="3">
        <f t="shared" si="129"/>
        <v>9.0650475367586036E-4</v>
      </c>
      <c r="J193" s="3">
        <f t="shared" si="129"/>
        <v>9.0650475367586036E-4</v>
      </c>
      <c r="K193" s="3">
        <f t="shared" si="129"/>
        <v>9.0650475367586036E-4</v>
      </c>
      <c r="L193" s="3">
        <f t="shared" si="129"/>
        <v>9.0650475367586036E-4</v>
      </c>
      <c r="M193" s="3">
        <f t="shared" si="129"/>
        <v>9.0650475367586036E-4</v>
      </c>
      <c r="N193" s="3">
        <f t="shared" si="129"/>
        <v>9.0650475367586036E-4</v>
      </c>
      <c r="O193" s="3">
        <f t="shared" si="129"/>
        <v>9.0650475367586036E-4</v>
      </c>
      <c r="P193" s="3">
        <f t="shared" si="129"/>
        <v>9.0650475367586036E-4</v>
      </c>
      <c r="Q193" s="3">
        <f t="shared" si="129"/>
        <v>9.0650475367586036E-4</v>
      </c>
      <c r="R193" s="3">
        <f t="shared" si="129"/>
        <v>9.0650475367586036E-4</v>
      </c>
      <c r="S193" s="3">
        <f t="shared" si="129"/>
        <v>9.0650475367586036E-4</v>
      </c>
      <c r="T193" s="3">
        <f t="shared" si="129"/>
        <v>9.0650475367586036E-4</v>
      </c>
      <c r="U193" s="3">
        <f t="shared" si="129"/>
        <v>9.0650475367586036E-4</v>
      </c>
      <c r="V193" s="3">
        <f t="shared" si="129"/>
        <v>9.0650475367586036E-4</v>
      </c>
      <c r="W193" s="3">
        <f t="shared" si="129"/>
        <v>9.0650475367586036E-4</v>
      </c>
      <c r="X193" s="3">
        <f t="shared" si="129"/>
        <v>9.0650475367586036E-4</v>
      </c>
      <c r="Y193" s="3">
        <f t="shared" si="129"/>
        <v>9.0650475367586036E-4</v>
      </c>
      <c r="Z193" s="3">
        <f t="shared" si="129"/>
        <v>9.0650475367586036E-4</v>
      </c>
      <c r="AA193" s="3">
        <f t="shared" si="129"/>
        <v>9.0650475367586025E-4</v>
      </c>
      <c r="AB193" s="3">
        <f t="shared" si="129"/>
        <v>9.0650475367585949E-4</v>
      </c>
      <c r="AC193" s="3">
        <f t="shared" si="129"/>
        <v>9.0650475367585158E-4</v>
      </c>
      <c r="AD193" s="3">
        <f t="shared" si="129"/>
        <v>9.0650475367577319E-4</v>
      </c>
      <c r="AE193" s="3">
        <f t="shared" si="129"/>
        <v>9.0650475367498845E-4</v>
      </c>
      <c r="AF193" s="3">
        <f t="shared" si="129"/>
        <v>9.0650475366714218E-4</v>
      </c>
      <c r="AG193" s="3"/>
      <c r="AH193" s="3"/>
    </row>
    <row r="194" spans="1:34" x14ac:dyDescent="0.25">
      <c r="B194" s="3">
        <f t="shared" ref="B194:AF194" si="130">$C41*EXP(-B$168/$A41/EXP(-$C$126))</f>
        <v>1.833495697796037E-4</v>
      </c>
      <c r="C194" s="3">
        <f t="shared" si="130"/>
        <v>1.833495697796037E-4</v>
      </c>
      <c r="D194" s="3">
        <f t="shared" si="130"/>
        <v>1.833495697796037E-4</v>
      </c>
      <c r="E194" s="3">
        <f t="shared" si="130"/>
        <v>1.833495697796037E-4</v>
      </c>
      <c r="F194" s="3">
        <f t="shared" si="130"/>
        <v>1.833495697796037E-4</v>
      </c>
      <c r="G194" s="3">
        <f t="shared" si="130"/>
        <v>1.833495697796037E-4</v>
      </c>
      <c r="H194" s="3">
        <f t="shared" si="130"/>
        <v>1.833495697796037E-4</v>
      </c>
      <c r="I194" s="3">
        <f t="shared" si="130"/>
        <v>1.833495697796037E-4</v>
      </c>
      <c r="J194" s="3">
        <f t="shared" si="130"/>
        <v>1.833495697796037E-4</v>
      </c>
      <c r="K194" s="3">
        <f t="shared" si="130"/>
        <v>1.833495697796037E-4</v>
      </c>
      <c r="L194" s="3">
        <f t="shared" si="130"/>
        <v>1.833495697796037E-4</v>
      </c>
      <c r="M194" s="3">
        <f t="shared" si="130"/>
        <v>1.833495697796037E-4</v>
      </c>
      <c r="N194" s="3">
        <f t="shared" si="130"/>
        <v>1.833495697796037E-4</v>
      </c>
      <c r="O194" s="3">
        <f t="shared" si="130"/>
        <v>1.833495697796037E-4</v>
      </c>
      <c r="P194" s="3">
        <f t="shared" si="130"/>
        <v>1.833495697796037E-4</v>
      </c>
      <c r="Q194" s="3">
        <f t="shared" si="130"/>
        <v>1.833495697796037E-4</v>
      </c>
      <c r="R194" s="3">
        <f t="shared" si="130"/>
        <v>1.833495697796037E-4</v>
      </c>
      <c r="S194" s="3">
        <f t="shared" si="130"/>
        <v>1.833495697796037E-4</v>
      </c>
      <c r="T194" s="3">
        <f t="shared" si="130"/>
        <v>1.833495697796037E-4</v>
      </c>
      <c r="U194" s="3">
        <f t="shared" si="130"/>
        <v>1.833495697796037E-4</v>
      </c>
      <c r="V194" s="3">
        <f t="shared" si="130"/>
        <v>1.833495697796037E-4</v>
      </c>
      <c r="W194" s="3">
        <f t="shared" si="130"/>
        <v>1.833495697796037E-4</v>
      </c>
      <c r="X194" s="3">
        <f t="shared" si="130"/>
        <v>1.833495697796037E-4</v>
      </c>
      <c r="Y194" s="3">
        <f t="shared" si="130"/>
        <v>1.833495697796037E-4</v>
      </c>
      <c r="Z194" s="3">
        <f t="shared" si="130"/>
        <v>1.833495697796037E-4</v>
      </c>
      <c r="AA194" s="3">
        <f t="shared" si="130"/>
        <v>1.833495697796037E-4</v>
      </c>
      <c r="AB194" s="3">
        <f t="shared" si="130"/>
        <v>1.8334956977960368E-4</v>
      </c>
      <c r="AC194" s="3">
        <f t="shared" si="130"/>
        <v>1.8334956977960351E-4</v>
      </c>
      <c r="AD194" s="3">
        <f t="shared" si="130"/>
        <v>1.8334956977960194E-4</v>
      </c>
      <c r="AE194" s="3">
        <f t="shared" si="130"/>
        <v>1.8334956977958608E-4</v>
      </c>
      <c r="AF194" s="3">
        <f t="shared" si="130"/>
        <v>1.8334956977942736E-4</v>
      </c>
      <c r="AG194" s="3"/>
      <c r="AH194" s="3"/>
    </row>
    <row r="195" spans="1:34" x14ac:dyDescent="0.25">
      <c r="B195" s="3">
        <f t="shared" ref="B195:AF195" si="131">$C42*EXP(-B$168/$A42/EXP(-$C$126))</f>
        <v>0</v>
      </c>
      <c r="C195" s="3">
        <f t="shared" si="131"/>
        <v>0</v>
      </c>
      <c r="D195" s="3">
        <f t="shared" si="131"/>
        <v>0</v>
      </c>
      <c r="E195" s="3">
        <f t="shared" si="131"/>
        <v>0</v>
      </c>
      <c r="F195" s="3">
        <f t="shared" si="131"/>
        <v>0</v>
      </c>
      <c r="G195" s="3">
        <f t="shared" si="131"/>
        <v>0</v>
      </c>
      <c r="H195" s="3">
        <f t="shared" si="131"/>
        <v>0</v>
      </c>
      <c r="I195" s="3">
        <f t="shared" si="131"/>
        <v>0</v>
      </c>
      <c r="J195" s="3">
        <f t="shared" si="131"/>
        <v>0</v>
      </c>
      <c r="K195" s="3">
        <f t="shared" si="131"/>
        <v>0</v>
      </c>
      <c r="L195" s="3">
        <f t="shared" si="131"/>
        <v>0</v>
      </c>
      <c r="M195" s="3">
        <f t="shared" si="131"/>
        <v>0</v>
      </c>
      <c r="N195" s="3">
        <f t="shared" si="131"/>
        <v>0</v>
      </c>
      <c r="O195" s="3">
        <f t="shared" si="131"/>
        <v>0</v>
      </c>
      <c r="P195" s="3">
        <f t="shared" si="131"/>
        <v>0</v>
      </c>
      <c r="Q195" s="3">
        <f t="shared" si="131"/>
        <v>0</v>
      </c>
      <c r="R195" s="3">
        <f t="shared" si="131"/>
        <v>0</v>
      </c>
      <c r="S195" s="3">
        <f t="shared" si="131"/>
        <v>0</v>
      </c>
      <c r="T195" s="3">
        <f t="shared" si="131"/>
        <v>0</v>
      </c>
      <c r="U195" s="3">
        <f t="shared" si="131"/>
        <v>0</v>
      </c>
      <c r="V195" s="3">
        <f t="shared" si="131"/>
        <v>0</v>
      </c>
      <c r="W195" s="3">
        <f t="shared" si="131"/>
        <v>0</v>
      </c>
      <c r="X195" s="3">
        <f t="shared" si="131"/>
        <v>0</v>
      </c>
      <c r="Y195" s="3">
        <f t="shared" si="131"/>
        <v>0</v>
      </c>
      <c r="Z195" s="3">
        <f t="shared" si="131"/>
        <v>0</v>
      </c>
      <c r="AA195" s="3">
        <f t="shared" si="131"/>
        <v>0</v>
      </c>
      <c r="AB195" s="3">
        <f t="shared" si="131"/>
        <v>0</v>
      </c>
      <c r="AC195" s="3">
        <f t="shared" si="131"/>
        <v>0</v>
      </c>
      <c r="AD195" s="3">
        <f t="shared" si="131"/>
        <v>0</v>
      </c>
      <c r="AE195" s="3">
        <f t="shared" si="131"/>
        <v>0</v>
      </c>
      <c r="AF195" s="3">
        <f t="shared" si="131"/>
        <v>0</v>
      </c>
      <c r="AG195" s="3"/>
      <c r="AH195" s="3"/>
    </row>
    <row r="196" spans="1:34" x14ac:dyDescent="0.25">
      <c r="B196" s="3">
        <f t="shared" ref="B196:AF196" si="132">$C43*EXP(-B$168/$A43/EXP(-$C$126))</f>
        <v>2.7582104941075727E-4</v>
      </c>
      <c r="C196" s="3">
        <f t="shared" si="132"/>
        <v>2.7582104941075727E-4</v>
      </c>
      <c r="D196" s="3">
        <f t="shared" si="132"/>
        <v>2.7582104941075727E-4</v>
      </c>
      <c r="E196" s="3">
        <f t="shared" si="132"/>
        <v>2.7582104941075727E-4</v>
      </c>
      <c r="F196" s="3">
        <f t="shared" si="132"/>
        <v>2.7582104941075727E-4</v>
      </c>
      <c r="G196" s="3">
        <f t="shared" si="132"/>
        <v>2.7582104941075727E-4</v>
      </c>
      <c r="H196" s="3">
        <f t="shared" si="132"/>
        <v>2.7582104941075727E-4</v>
      </c>
      <c r="I196" s="3">
        <f t="shared" si="132"/>
        <v>2.7582104941075727E-4</v>
      </c>
      <c r="J196" s="3">
        <f t="shared" si="132"/>
        <v>2.7582104941075727E-4</v>
      </c>
      <c r="K196" s="3">
        <f t="shared" si="132"/>
        <v>2.7582104941075727E-4</v>
      </c>
      <c r="L196" s="3">
        <f t="shared" si="132"/>
        <v>2.7582104941075727E-4</v>
      </c>
      <c r="M196" s="3">
        <f t="shared" si="132"/>
        <v>2.7582104941075727E-4</v>
      </c>
      <c r="N196" s="3">
        <f t="shared" si="132"/>
        <v>2.7582104941075727E-4</v>
      </c>
      <c r="O196" s="3">
        <f t="shared" si="132"/>
        <v>2.7582104941075727E-4</v>
      </c>
      <c r="P196" s="3">
        <f t="shared" si="132"/>
        <v>2.7582104941075727E-4</v>
      </c>
      <c r="Q196" s="3">
        <f t="shared" si="132"/>
        <v>2.7582104941075727E-4</v>
      </c>
      <c r="R196" s="3">
        <f t="shared" si="132"/>
        <v>2.7582104941075727E-4</v>
      </c>
      <c r="S196" s="3">
        <f t="shared" si="132"/>
        <v>2.7582104941075727E-4</v>
      </c>
      <c r="T196" s="3">
        <f t="shared" si="132"/>
        <v>2.7582104941075727E-4</v>
      </c>
      <c r="U196" s="3">
        <f t="shared" si="132"/>
        <v>2.7582104941075727E-4</v>
      </c>
      <c r="V196" s="3">
        <f t="shared" si="132"/>
        <v>2.7582104941075727E-4</v>
      </c>
      <c r="W196" s="3">
        <f t="shared" si="132"/>
        <v>2.7582104941075727E-4</v>
      </c>
      <c r="X196" s="3">
        <f t="shared" si="132"/>
        <v>2.7582104941075727E-4</v>
      </c>
      <c r="Y196" s="3">
        <f t="shared" si="132"/>
        <v>2.7582104941075727E-4</v>
      </c>
      <c r="Z196" s="3">
        <f t="shared" si="132"/>
        <v>2.7582104941075727E-4</v>
      </c>
      <c r="AA196" s="3">
        <f t="shared" si="132"/>
        <v>2.7582104941075727E-4</v>
      </c>
      <c r="AB196" s="3">
        <f t="shared" si="132"/>
        <v>2.7582104941075727E-4</v>
      </c>
      <c r="AC196" s="3">
        <f t="shared" si="132"/>
        <v>2.7582104941075727E-4</v>
      </c>
      <c r="AD196" s="3">
        <f t="shared" si="132"/>
        <v>2.7582104941075721E-4</v>
      </c>
      <c r="AE196" s="3">
        <f t="shared" si="132"/>
        <v>2.7582104941075699E-4</v>
      </c>
      <c r="AF196" s="3">
        <f t="shared" si="132"/>
        <v>2.7582104941075461E-4</v>
      </c>
      <c r="AG196" s="3"/>
      <c r="AH196" s="3"/>
    </row>
    <row r="197" spans="1:34" x14ac:dyDescent="0.25">
      <c r="B197" s="3">
        <f t="shared" ref="B197:AF197" si="133">$C44*EXP(-B$168/$A44/EXP(-$C$126))</f>
        <v>2.4535081143819124E-4</v>
      </c>
      <c r="C197" s="3">
        <f t="shared" si="133"/>
        <v>2.4535081143819124E-4</v>
      </c>
      <c r="D197" s="3">
        <f t="shared" si="133"/>
        <v>2.4535081143819124E-4</v>
      </c>
      <c r="E197" s="3">
        <f t="shared" si="133"/>
        <v>2.4535081143819124E-4</v>
      </c>
      <c r="F197" s="3">
        <f t="shared" si="133"/>
        <v>2.4535081143819124E-4</v>
      </c>
      <c r="G197" s="3">
        <f t="shared" si="133"/>
        <v>2.4535081143819124E-4</v>
      </c>
      <c r="H197" s="3">
        <f t="shared" si="133"/>
        <v>2.4535081143819124E-4</v>
      </c>
      <c r="I197" s="3">
        <f t="shared" si="133"/>
        <v>2.4535081143819124E-4</v>
      </c>
      <c r="J197" s="3">
        <f t="shared" si="133"/>
        <v>2.4535081143819124E-4</v>
      </c>
      <c r="K197" s="3">
        <f t="shared" si="133"/>
        <v>2.4535081143819124E-4</v>
      </c>
      <c r="L197" s="3">
        <f t="shared" si="133"/>
        <v>2.4535081143819124E-4</v>
      </c>
      <c r="M197" s="3">
        <f t="shared" si="133"/>
        <v>2.4535081143819124E-4</v>
      </c>
      <c r="N197" s="3">
        <f t="shared" si="133"/>
        <v>2.4535081143819124E-4</v>
      </c>
      <c r="O197" s="3">
        <f t="shared" si="133"/>
        <v>2.4535081143819124E-4</v>
      </c>
      <c r="P197" s="3">
        <f t="shared" si="133"/>
        <v>2.4535081143819124E-4</v>
      </c>
      <c r="Q197" s="3">
        <f t="shared" si="133"/>
        <v>2.4535081143819124E-4</v>
      </c>
      <c r="R197" s="3">
        <f t="shared" si="133"/>
        <v>2.4535081143819124E-4</v>
      </c>
      <c r="S197" s="3">
        <f t="shared" si="133"/>
        <v>2.4535081143819124E-4</v>
      </c>
      <c r="T197" s="3">
        <f t="shared" si="133"/>
        <v>2.4535081143819124E-4</v>
      </c>
      <c r="U197" s="3">
        <f t="shared" si="133"/>
        <v>2.4535081143819124E-4</v>
      </c>
      <c r="V197" s="3">
        <f t="shared" si="133"/>
        <v>2.4535081143819124E-4</v>
      </c>
      <c r="W197" s="3">
        <f t="shared" si="133"/>
        <v>2.4535081143819124E-4</v>
      </c>
      <c r="X197" s="3">
        <f t="shared" si="133"/>
        <v>2.4535081143819124E-4</v>
      </c>
      <c r="Y197" s="3">
        <f t="shared" si="133"/>
        <v>2.4535081143819124E-4</v>
      </c>
      <c r="Z197" s="3">
        <f t="shared" si="133"/>
        <v>2.4535081143819124E-4</v>
      </c>
      <c r="AA197" s="3">
        <f t="shared" si="133"/>
        <v>2.4535081143819124E-4</v>
      </c>
      <c r="AB197" s="3">
        <f t="shared" si="133"/>
        <v>2.4535081143819124E-4</v>
      </c>
      <c r="AC197" s="3">
        <f t="shared" si="133"/>
        <v>2.4535081143819124E-4</v>
      </c>
      <c r="AD197" s="3">
        <f t="shared" si="133"/>
        <v>2.4535081143819124E-4</v>
      </c>
      <c r="AE197" s="3">
        <f t="shared" si="133"/>
        <v>2.4535081143819119E-4</v>
      </c>
      <c r="AF197" s="3">
        <f t="shared" si="133"/>
        <v>2.4535081143819097E-4</v>
      </c>
      <c r="AG197" s="3"/>
      <c r="AH197" s="3"/>
    </row>
    <row r="198" spans="1:34" x14ac:dyDescent="0.25">
      <c r="B198" s="3">
        <f t="shared" ref="B198:AF198" si="134">$C45*EXP(-B$168/$A45/EXP(-$C$126))</f>
        <v>0</v>
      </c>
      <c r="C198" s="3">
        <f t="shared" si="134"/>
        <v>0</v>
      </c>
      <c r="D198" s="3">
        <f t="shared" si="134"/>
        <v>0</v>
      </c>
      <c r="E198" s="3">
        <f t="shared" si="134"/>
        <v>0</v>
      </c>
      <c r="F198" s="3">
        <f t="shared" si="134"/>
        <v>0</v>
      </c>
      <c r="G198" s="3">
        <f t="shared" si="134"/>
        <v>0</v>
      </c>
      <c r="H198" s="3">
        <f t="shared" si="134"/>
        <v>0</v>
      </c>
      <c r="I198" s="3">
        <f t="shared" si="134"/>
        <v>0</v>
      </c>
      <c r="J198" s="3">
        <f t="shared" si="134"/>
        <v>0</v>
      </c>
      <c r="K198" s="3">
        <f t="shared" si="134"/>
        <v>0</v>
      </c>
      <c r="L198" s="3">
        <f t="shared" si="134"/>
        <v>0</v>
      </c>
      <c r="M198" s="3">
        <f t="shared" si="134"/>
        <v>0</v>
      </c>
      <c r="N198" s="3">
        <f t="shared" si="134"/>
        <v>0</v>
      </c>
      <c r="O198" s="3">
        <f t="shared" si="134"/>
        <v>0</v>
      </c>
      <c r="P198" s="3">
        <f t="shared" si="134"/>
        <v>0</v>
      </c>
      <c r="Q198" s="3">
        <f t="shared" si="134"/>
        <v>0</v>
      </c>
      <c r="R198" s="3">
        <f t="shared" si="134"/>
        <v>0</v>
      </c>
      <c r="S198" s="3">
        <f t="shared" si="134"/>
        <v>0</v>
      </c>
      <c r="T198" s="3">
        <f t="shared" si="134"/>
        <v>0</v>
      </c>
      <c r="U198" s="3">
        <f t="shared" si="134"/>
        <v>0</v>
      </c>
      <c r="V198" s="3">
        <f t="shared" si="134"/>
        <v>0</v>
      </c>
      <c r="W198" s="3">
        <f t="shared" si="134"/>
        <v>0</v>
      </c>
      <c r="X198" s="3">
        <f t="shared" si="134"/>
        <v>0</v>
      </c>
      <c r="Y198" s="3">
        <f t="shared" si="134"/>
        <v>0</v>
      </c>
      <c r="Z198" s="3">
        <f t="shared" si="134"/>
        <v>0</v>
      </c>
      <c r="AA198" s="3">
        <f t="shared" si="134"/>
        <v>0</v>
      </c>
      <c r="AB198" s="3">
        <f t="shared" si="134"/>
        <v>0</v>
      </c>
      <c r="AC198" s="3">
        <f t="shared" si="134"/>
        <v>0</v>
      </c>
      <c r="AD198" s="3">
        <f t="shared" si="134"/>
        <v>0</v>
      </c>
      <c r="AE198" s="3">
        <f t="shared" si="134"/>
        <v>0</v>
      </c>
      <c r="AF198" s="3">
        <f t="shared" si="134"/>
        <v>0</v>
      </c>
      <c r="AG198" s="3"/>
      <c r="AH198" s="3"/>
    </row>
    <row r="199" spans="1:34" x14ac:dyDescent="0.25">
      <c r="B199" s="3">
        <f t="shared" ref="B199:AF199" si="135">$C46*EXP(-B$168/$A46/EXP(-$C$126))</f>
        <v>1.7255643769382848E-4</v>
      </c>
      <c r="C199" s="3">
        <f t="shared" si="135"/>
        <v>1.7255643769382848E-4</v>
      </c>
      <c r="D199" s="3">
        <f t="shared" si="135"/>
        <v>1.7255643769382848E-4</v>
      </c>
      <c r="E199" s="3">
        <f t="shared" si="135"/>
        <v>1.7255643769382848E-4</v>
      </c>
      <c r="F199" s="3">
        <f t="shared" si="135"/>
        <v>1.7255643769382848E-4</v>
      </c>
      <c r="G199" s="3">
        <f t="shared" si="135"/>
        <v>1.7255643769382848E-4</v>
      </c>
      <c r="H199" s="3">
        <f t="shared" si="135"/>
        <v>1.7255643769382848E-4</v>
      </c>
      <c r="I199" s="3">
        <f t="shared" si="135"/>
        <v>1.7255643769382848E-4</v>
      </c>
      <c r="J199" s="3">
        <f t="shared" si="135"/>
        <v>1.7255643769382848E-4</v>
      </c>
      <c r="K199" s="3">
        <f t="shared" si="135"/>
        <v>1.7255643769382848E-4</v>
      </c>
      <c r="L199" s="3">
        <f t="shared" si="135"/>
        <v>1.7255643769382848E-4</v>
      </c>
      <c r="M199" s="3">
        <f t="shared" si="135"/>
        <v>1.7255643769382848E-4</v>
      </c>
      <c r="N199" s="3">
        <f t="shared" si="135"/>
        <v>1.7255643769382848E-4</v>
      </c>
      <c r="O199" s="3">
        <f t="shared" si="135"/>
        <v>1.7255643769382848E-4</v>
      </c>
      <c r="P199" s="3">
        <f t="shared" si="135"/>
        <v>1.7255643769382848E-4</v>
      </c>
      <c r="Q199" s="3">
        <f t="shared" si="135"/>
        <v>1.7255643769382848E-4</v>
      </c>
      <c r="R199" s="3">
        <f t="shared" si="135"/>
        <v>1.7255643769382848E-4</v>
      </c>
      <c r="S199" s="3">
        <f t="shared" si="135"/>
        <v>1.7255643769382848E-4</v>
      </c>
      <c r="T199" s="3">
        <f t="shared" si="135"/>
        <v>1.7255643769382848E-4</v>
      </c>
      <c r="U199" s="3">
        <f t="shared" si="135"/>
        <v>1.7255643769382848E-4</v>
      </c>
      <c r="V199" s="3">
        <f t="shared" si="135"/>
        <v>1.7255643769382848E-4</v>
      </c>
      <c r="W199" s="3">
        <f t="shared" si="135"/>
        <v>1.7255643769382848E-4</v>
      </c>
      <c r="X199" s="3">
        <f t="shared" si="135"/>
        <v>1.7255643769382848E-4</v>
      </c>
      <c r="Y199" s="3">
        <f t="shared" si="135"/>
        <v>1.7255643769382848E-4</v>
      </c>
      <c r="Z199" s="3">
        <f t="shared" si="135"/>
        <v>1.7255643769382848E-4</v>
      </c>
      <c r="AA199" s="3">
        <f t="shared" si="135"/>
        <v>1.7255643769382848E-4</v>
      </c>
      <c r="AB199" s="3">
        <f t="shared" si="135"/>
        <v>1.7255643769382848E-4</v>
      </c>
      <c r="AC199" s="3">
        <f t="shared" si="135"/>
        <v>1.7255643769382848E-4</v>
      </c>
      <c r="AD199" s="3">
        <f t="shared" si="135"/>
        <v>1.7255643769382848E-4</v>
      </c>
      <c r="AE199" s="3">
        <f t="shared" si="135"/>
        <v>1.7255643769382848E-4</v>
      </c>
      <c r="AF199" s="3">
        <f t="shared" si="135"/>
        <v>1.7255643769382848E-4</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0</v>
      </c>
      <c r="C201" s="3">
        <f t="shared" si="137"/>
        <v>0</v>
      </c>
      <c r="D201" s="3">
        <f t="shared" si="137"/>
        <v>0</v>
      </c>
      <c r="E201" s="3">
        <f t="shared" si="137"/>
        <v>0</v>
      </c>
      <c r="F201" s="3">
        <f t="shared" si="137"/>
        <v>0</v>
      </c>
      <c r="G201" s="3">
        <f t="shared" si="137"/>
        <v>0</v>
      </c>
      <c r="H201" s="3">
        <f t="shared" si="137"/>
        <v>0</v>
      </c>
      <c r="I201" s="3">
        <f t="shared" si="137"/>
        <v>0</v>
      </c>
      <c r="J201" s="3">
        <f t="shared" si="137"/>
        <v>0</v>
      </c>
      <c r="K201" s="3">
        <f t="shared" si="137"/>
        <v>0</v>
      </c>
      <c r="L201" s="3">
        <f t="shared" si="137"/>
        <v>0</v>
      </c>
      <c r="M201" s="3">
        <f t="shared" si="137"/>
        <v>0</v>
      </c>
      <c r="N201" s="3">
        <f t="shared" si="137"/>
        <v>0</v>
      </c>
      <c r="O201" s="3">
        <f t="shared" si="137"/>
        <v>0</v>
      </c>
      <c r="P201" s="3">
        <f t="shared" si="137"/>
        <v>0</v>
      </c>
      <c r="Q201" s="3">
        <f t="shared" si="137"/>
        <v>0</v>
      </c>
      <c r="R201" s="3">
        <f t="shared" si="137"/>
        <v>0</v>
      </c>
      <c r="S201" s="3">
        <f t="shared" si="137"/>
        <v>0</v>
      </c>
      <c r="T201" s="3">
        <f t="shared" si="137"/>
        <v>0</v>
      </c>
      <c r="U201" s="3">
        <f t="shared" si="137"/>
        <v>0</v>
      </c>
      <c r="V201" s="3">
        <f t="shared" si="137"/>
        <v>0</v>
      </c>
      <c r="W201" s="3">
        <f t="shared" si="137"/>
        <v>0</v>
      </c>
      <c r="X201" s="3">
        <f t="shared" si="137"/>
        <v>0</v>
      </c>
      <c r="Y201" s="3">
        <f t="shared" si="137"/>
        <v>0</v>
      </c>
      <c r="Z201" s="3">
        <f t="shared" si="137"/>
        <v>0</v>
      </c>
      <c r="AA201" s="3">
        <f t="shared" si="137"/>
        <v>0</v>
      </c>
      <c r="AB201" s="3">
        <f t="shared" si="137"/>
        <v>0</v>
      </c>
      <c r="AC201" s="3">
        <f t="shared" si="137"/>
        <v>0</v>
      </c>
      <c r="AD201" s="3">
        <f t="shared" si="137"/>
        <v>0</v>
      </c>
      <c r="AE201" s="3">
        <f t="shared" si="137"/>
        <v>0</v>
      </c>
      <c r="AF201" s="3">
        <f t="shared" si="137"/>
        <v>0</v>
      </c>
      <c r="AG201" s="3"/>
      <c r="AH201" s="3"/>
    </row>
    <row r="202" spans="1:34" x14ac:dyDescent="0.25">
      <c r="A202" s="79">
        <f>AVERAGE(B202:AF202)</f>
        <v>4.8978710730916752E-2</v>
      </c>
      <c r="B202" s="80">
        <f>IF($A$64&lt;=B168,IF($B$64&gt;=B168,ABS((B170-B169)/B169),0),0)</f>
        <v>0</v>
      </c>
      <c r="C202" s="80">
        <f t="shared" ref="C202:AF202" si="138">IF($A$64&lt;=C168,IF($B$64&gt;=C168,ABS((C170-C169)/C169),0),0)</f>
        <v>0</v>
      </c>
      <c r="D202" s="80">
        <f t="shared" si="138"/>
        <v>0</v>
      </c>
      <c r="E202" s="80">
        <f t="shared" si="138"/>
        <v>0</v>
      </c>
      <c r="F202" s="80">
        <f t="shared" si="138"/>
        <v>0</v>
      </c>
      <c r="G202" s="80">
        <f t="shared" si="138"/>
        <v>0</v>
      </c>
      <c r="H202" s="80">
        <f t="shared" si="138"/>
        <v>0</v>
      </c>
      <c r="I202" s="80">
        <f t="shared" si="138"/>
        <v>0</v>
      </c>
      <c r="J202" s="80">
        <f t="shared" si="138"/>
        <v>0</v>
      </c>
      <c r="K202" s="80">
        <f t="shared" si="138"/>
        <v>0</v>
      </c>
      <c r="L202" s="80">
        <f t="shared" si="138"/>
        <v>4.9637971115749455E-2</v>
      </c>
      <c r="M202" s="80">
        <f t="shared" si="138"/>
        <v>6.4739724012037911E-2</v>
      </c>
      <c r="N202" s="80">
        <f t="shared" si="138"/>
        <v>5.3933686559730014E-2</v>
      </c>
      <c r="O202" s="80">
        <f t="shared" si="138"/>
        <v>0.13377754896200292</v>
      </c>
      <c r="P202" s="80">
        <f t="shared" si="138"/>
        <v>0.26880036693031695</v>
      </c>
      <c r="Q202" s="80">
        <f t="shared" si="138"/>
        <v>0.24823577890508403</v>
      </c>
      <c r="R202" s="80">
        <f t="shared" si="138"/>
        <v>0.22492498899691005</v>
      </c>
      <c r="S202" s="80">
        <f t="shared" si="138"/>
        <v>0.20080886905642267</v>
      </c>
      <c r="T202" s="80">
        <f t="shared" si="138"/>
        <v>0.16452918312231776</v>
      </c>
      <c r="U202" s="80">
        <f t="shared" si="138"/>
        <v>8.3352995065906141E-2</v>
      </c>
      <c r="V202" s="80">
        <f t="shared" si="138"/>
        <v>2.5598919931941598E-2</v>
      </c>
      <c r="W202" s="80">
        <f t="shared" si="138"/>
        <v>0</v>
      </c>
      <c r="X202" s="80">
        <f t="shared" si="138"/>
        <v>0</v>
      </c>
      <c r="Y202" s="80">
        <f t="shared" si="138"/>
        <v>0</v>
      </c>
      <c r="Z202" s="80">
        <f t="shared" si="138"/>
        <v>0</v>
      </c>
      <c r="AA202" s="80">
        <f t="shared" si="138"/>
        <v>0</v>
      </c>
      <c r="AB202" s="80">
        <f t="shared" si="138"/>
        <v>0</v>
      </c>
      <c r="AC202" s="80">
        <f t="shared" si="138"/>
        <v>0</v>
      </c>
      <c r="AD202" s="80">
        <f t="shared" si="138"/>
        <v>0</v>
      </c>
      <c r="AE202" s="80">
        <f t="shared" si="138"/>
        <v>0</v>
      </c>
      <c r="AF202" s="80">
        <f t="shared" si="138"/>
        <v>0</v>
      </c>
    </row>
    <row r="203" spans="1:34" x14ac:dyDescent="0.25">
      <c r="B203" s="21">
        <f>(B170-B169)^2</f>
        <v>1561.2339361331403</v>
      </c>
      <c r="C203" s="21">
        <f t="shared" ref="C203:AF203" si="139">(C170-C169)^2</f>
        <v>1566.740762695671</v>
      </c>
      <c r="D203" s="21">
        <f t="shared" si="139"/>
        <v>1563.8252161661292</v>
      </c>
      <c r="E203" s="21">
        <f t="shared" si="139"/>
        <v>1562.9895322172936</v>
      </c>
      <c r="F203" s="21">
        <f t="shared" si="139"/>
        <v>1561.9844808286252</v>
      </c>
      <c r="G203" s="21">
        <f t="shared" si="139"/>
        <v>1554.0809313686459</v>
      </c>
      <c r="H203" s="21">
        <f t="shared" si="139"/>
        <v>1477.2672411633987</v>
      </c>
      <c r="I203" s="21">
        <f t="shared" si="139"/>
        <v>836.85608542707905</v>
      </c>
      <c r="J203" s="21">
        <f t="shared" si="139"/>
        <v>2148.98559747436</v>
      </c>
      <c r="K203" s="21">
        <f t="shared" si="139"/>
        <v>45962.503246814522</v>
      </c>
      <c r="L203" s="21">
        <f t="shared" si="139"/>
        <v>109270.34404718416</v>
      </c>
      <c r="M203" s="21">
        <f t="shared" si="139"/>
        <v>179520.45320930818</v>
      </c>
      <c r="N203" s="21">
        <f t="shared" si="139"/>
        <v>119736.56689062457</v>
      </c>
      <c r="O203" s="21">
        <f t="shared" si="139"/>
        <v>705622.3050494811</v>
      </c>
      <c r="P203" s="21">
        <f t="shared" si="139"/>
        <v>2710287.9952493208</v>
      </c>
      <c r="Q203" s="21">
        <f t="shared" si="139"/>
        <v>2186547.8837596169</v>
      </c>
      <c r="R203" s="21">
        <f t="shared" si="139"/>
        <v>1688748.3874694933</v>
      </c>
      <c r="S203" s="21">
        <f t="shared" si="139"/>
        <v>1265541.0843994133</v>
      </c>
      <c r="T203" s="21">
        <f t="shared" si="139"/>
        <v>774462.73633414938</v>
      </c>
      <c r="U203" s="21">
        <f t="shared" si="139"/>
        <v>159631.93526383731</v>
      </c>
      <c r="V203" s="21">
        <f t="shared" si="139"/>
        <v>10515.738870910802</v>
      </c>
      <c r="W203" s="21">
        <f t="shared" si="139"/>
        <v>366615.26277832576</v>
      </c>
      <c r="X203" s="21">
        <f t="shared" si="139"/>
        <v>769880.03677867213</v>
      </c>
      <c r="Y203" s="21">
        <f t="shared" si="139"/>
        <v>973151.16852268414</v>
      </c>
      <c r="Z203" s="21">
        <f t="shared" si="139"/>
        <v>972041.19067717798</v>
      </c>
      <c r="AA203" s="21">
        <f t="shared" si="139"/>
        <v>818817.92108633579</v>
      </c>
      <c r="AB203" s="21">
        <f t="shared" si="139"/>
        <v>578968.98216577736</v>
      </c>
      <c r="AC203" s="21">
        <f t="shared" si="139"/>
        <v>313119.7894680106</v>
      </c>
      <c r="AD203" s="21">
        <f t="shared" si="139"/>
        <v>85128.123671975263</v>
      </c>
      <c r="AE203" s="21">
        <f t="shared" si="139"/>
        <v>9.0109946903917599</v>
      </c>
      <c r="AF203" s="21">
        <f t="shared" si="139"/>
        <v>51284.06480110246</v>
      </c>
      <c r="AG203" s="3"/>
      <c r="AH203" s="3"/>
    </row>
    <row r="204" spans="1:34" x14ac:dyDescent="0.25">
      <c r="A204" s="71">
        <f>SUM(B204:AF204)</f>
        <v>9909885.4305433389</v>
      </c>
      <c r="B204" s="60">
        <f>IF($A$64&lt;=B168,IF($B$64&gt;=B168,ABS(B203),0),0)</f>
        <v>0</v>
      </c>
      <c r="C204" s="60">
        <f t="shared" ref="C204" si="140">IF($A$64&lt;=C168,IF($B$64&gt;=C168,ABS(C203),0),0)</f>
        <v>0</v>
      </c>
      <c r="D204" s="60">
        <f t="shared" ref="D204" si="141">IF($A$64&lt;=D168,IF($B$64&gt;=D168,ABS(D203),0),0)</f>
        <v>0</v>
      </c>
      <c r="E204" s="60">
        <f t="shared" ref="E204" si="142">IF($A$64&lt;=E168,IF($B$64&gt;=E168,ABS(E203),0),0)</f>
        <v>0</v>
      </c>
      <c r="F204" s="60">
        <f t="shared" ref="F204" si="143">IF($A$64&lt;=F168,IF($B$64&gt;=F168,ABS(F203),0),0)</f>
        <v>0</v>
      </c>
      <c r="G204" s="60">
        <f t="shared" ref="G204" si="144">IF($A$64&lt;=G168,IF($B$64&gt;=G168,ABS(G203),0),0)</f>
        <v>0</v>
      </c>
      <c r="H204" s="60">
        <f t="shared" ref="H204" si="145">IF($A$64&lt;=H168,IF($B$64&gt;=H168,ABS(H203),0),0)</f>
        <v>0</v>
      </c>
      <c r="I204" s="60">
        <f t="shared" ref="I204" si="146">IF($A$64&lt;=I168,IF($B$64&gt;=I168,ABS(I203),0),0)</f>
        <v>0</v>
      </c>
      <c r="J204" s="60">
        <f t="shared" ref="J204" si="147">IF($A$64&lt;=J168,IF($B$64&gt;=J168,ABS(J203),0),0)</f>
        <v>0</v>
      </c>
      <c r="K204" s="60">
        <f t="shared" ref="K204" si="148">IF($A$64&lt;=K168,IF($B$64&gt;=K168,ABS(K203),0),0)</f>
        <v>0</v>
      </c>
      <c r="L204" s="60">
        <f t="shared" ref="L204" si="149">IF($A$64&lt;=L168,IF($B$64&gt;=L168,ABS(L203),0),0)</f>
        <v>109270.34404718416</v>
      </c>
      <c r="M204" s="60">
        <f t="shared" ref="M204" si="150">IF($A$64&lt;=M168,IF($B$64&gt;=M168,ABS(M203),0),0)</f>
        <v>179520.45320930818</v>
      </c>
      <c r="N204" s="60">
        <f t="shared" ref="N204" si="151">IF($A$64&lt;=N168,IF($B$64&gt;=N168,ABS(N203),0),0)</f>
        <v>119736.56689062457</v>
      </c>
      <c r="O204" s="60">
        <f t="shared" ref="O204" si="152">IF($A$64&lt;=O168,IF($B$64&gt;=O168,ABS(O203),0),0)</f>
        <v>705622.3050494811</v>
      </c>
      <c r="P204" s="60">
        <f t="shared" ref="P204" si="153">IF($A$64&lt;=P168,IF($B$64&gt;=P168,ABS(P203),0),0)</f>
        <v>2710287.9952493208</v>
      </c>
      <c r="Q204" s="60">
        <f t="shared" ref="Q204" si="154">IF($A$64&lt;=Q168,IF($B$64&gt;=Q168,ABS(Q203),0),0)</f>
        <v>2186547.8837596169</v>
      </c>
      <c r="R204" s="60">
        <f t="shared" ref="R204" si="155">IF($A$64&lt;=R168,IF($B$64&gt;=R168,ABS(R203),0),0)</f>
        <v>1688748.3874694933</v>
      </c>
      <c r="S204" s="60">
        <f t="shared" ref="S204" si="156">IF($A$64&lt;=S168,IF($B$64&gt;=S168,ABS(S203),0),0)</f>
        <v>1265541.0843994133</v>
      </c>
      <c r="T204" s="60">
        <f t="shared" ref="T204" si="157">IF($A$64&lt;=T168,IF($B$64&gt;=T168,ABS(T203),0),0)</f>
        <v>774462.73633414938</v>
      </c>
      <c r="U204" s="60">
        <f t="shared" ref="U204" si="158">IF($A$64&lt;=U168,IF($B$64&gt;=U168,ABS(U203),0),0)</f>
        <v>159631.93526383731</v>
      </c>
      <c r="V204" s="60">
        <f t="shared" ref="V204" si="159">IF($A$64&lt;=V168,IF($B$64&gt;=V168,ABS(V203),0),0)</f>
        <v>10515.738870910802</v>
      </c>
      <c r="W204" s="60">
        <f t="shared" ref="W204" si="160">IF($A$64&lt;=W168,IF($B$64&gt;=W168,ABS(W203),0),0)</f>
        <v>0</v>
      </c>
      <c r="X204" s="60">
        <f t="shared" ref="X204" si="161">IF($A$64&lt;=X168,IF($B$64&gt;=X168,ABS(X203),0),0)</f>
        <v>0</v>
      </c>
      <c r="Y204" s="60">
        <f t="shared" ref="Y204" si="162">IF($A$64&lt;=Y168,IF($B$64&gt;=Y168,ABS(Y203),0),0)</f>
        <v>0</v>
      </c>
      <c r="Z204" s="60">
        <f t="shared" ref="Z204" si="163">IF($A$64&lt;=Z168,IF($B$64&gt;=Z168,ABS(Z203),0),0)</f>
        <v>0</v>
      </c>
      <c r="AA204" s="60">
        <f t="shared" ref="AA204" si="164">IF($A$64&lt;=AA168,IF($B$64&gt;=AA168,ABS(AA203),0),0)</f>
        <v>0</v>
      </c>
      <c r="AB204" s="60">
        <f t="shared" ref="AB204" si="165">IF($A$64&lt;=AB168,IF($B$64&gt;=AB168,ABS(AB203),0),0)</f>
        <v>0</v>
      </c>
      <c r="AC204" s="60">
        <f t="shared" ref="AC204" si="166">IF($A$64&lt;=AC168,IF($B$64&gt;=AC168,ABS(AC203),0),0)</f>
        <v>0</v>
      </c>
      <c r="AD204" s="60">
        <f t="shared" ref="AD204" si="167">IF($A$64&lt;=AD168,IF($B$64&gt;=AD168,ABS(AD203),0),0)</f>
        <v>0</v>
      </c>
      <c r="AE204" s="60">
        <f t="shared" ref="AE204" si="168">IF($A$64&lt;=AE168,IF($B$64&gt;=AE168,ABS(AE203),0),0)</f>
        <v>0</v>
      </c>
      <c r="AF204" s="60">
        <f t="shared" ref="AF204" si="169">IF($A$64&lt;=AF168,IF($B$64&gt;=AF168,ABS(AF203),0),0)</f>
        <v>0</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6992.3964680806075</v>
      </c>
      <c r="C208" s="26">
        <f>INDEX(Comparison!$AM$3:$AS$33,G$14,$D$122)</f>
        <v>6992.459052459466</v>
      </c>
      <c r="D208" s="26">
        <f>INDEX(Comparison!$AM$3:$AS$33,H$14,$D$122)</f>
        <v>6992.3628853177524</v>
      </c>
      <c r="E208" s="26">
        <f>INDEX(Comparison!$AM$3:$AS$33,I$14,$D$122)</f>
        <v>6991.7590094248426</v>
      </c>
      <c r="F208" s="26">
        <f>INDEX(Comparison!$AM$3:$AS$33,J$14,$D$122)</f>
        <v>6985.9675385002447</v>
      </c>
      <c r="G208" s="26">
        <f>INDEX(Comparison!$AM$3:$AS$33,K$14,$D$122)</f>
        <v>6936.0316435873456</v>
      </c>
      <c r="H208" s="26">
        <f>INDEX(Comparison!$AM$3:$AS$33,L$14,$D$122)</f>
        <v>6767.3497232459458</v>
      </c>
      <c r="I208" s="26">
        <f>INDEX(Comparison!$AM$3:$AS$33,M$14,$D$122)</f>
        <v>6644.5309370841214</v>
      </c>
      <c r="J208" s="26">
        <f>INDEX(Comparison!$AM$3:$AS$33,N$14,$D$122)</f>
        <v>6532.7504586905397</v>
      </c>
      <c r="K208" s="26">
        <f>INDEX(Comparison!$AM$3:$AS$33,O$14,$D$122)</f>
        <v>6406.2589516029093</v>
      </c>
      <c r="L208" s="26">
        <f>INDEX(Comparison!$AM$3:$AS$33,P$14,$D$122)</f>
        <v>6273.617616065887</v>
      </c>
      <c r="M208" s="26">
        <f>INDEX(Comparison!$AM$3:$AS$33,Q$14,$D$122)</f>
        <v>6123.1895749079549</v>
      </c>
      <c r="N208" s="26">
        <f>INDEX(Comparison!$AM$3:$AS$33,R$14,$D$122)</f>
        <v>5959.0875608576071</v>
      </c>
      <c r="O208" s="26">
        <f>INDEX(Comparison!$AM$3:$AS$33,S$14,$D$122)</f>
        <v>5781.2083401997561</v>
      </c>
      <c r="P208" s="26">
        <f>INDEX(Comparison!$AM$3:$AS$33,T$14,$D$122)</f>
        <v>5618.3452185734377</v>
      </c>
      <c r="Q208" s="26">
        <f>INDEX(Comparison!$AM$3:$AS$33,U$14,$D$122)</f>
        <v>5440.9922001853329</v>
      </c>
      <c r="R208" s="26">
        <f>INDEX(Comparison!$AM$3:$AS$33,V$14,$D$122)</f>
        <v>5221.4874412485688</v>
      </c>
      <c r="S208" s="26">
        <f>INDEX(Comparison!$AM$3:$AS$33,W$14,$D$122)</f>
        <v>4926.1795387850607</v>
      </c>
      <c r="T208" s="26">
        <f>INDEX(Comparison!$AM$3:$AS$33,X$14,$D$122)</f>
        <v>4442.9821588725517</v>
      </c>
      <c r="U208" s="26">
        <f>INDEX(Comparison!$AM$3:$AS$33,Y$14,$D$122)</f>
        <v>3752.7744100380223</v>
      </c>
      <c r="V208" s="26">
        <f>INDEX(Comparison!$AM$3:$AS$33,Z$14,$D$122)</f>
        <v>3130.6377978974938</v>
      </c>
      <c r="W208" s="26">
        <f>INDEX(Comparison!$AM$3:$AS$33,AA$14,$D$122)</f>
        <v>2685.7977977575347</v>
      </c>
      <c r="X208" s="26">
        <f>INDEX(Comparison!$AM$3:$AS$33,AB$14,$D$122)</f>
        <v>2368.346654493816</v>
      </c>
      <c r="Y208" s="26">
        <f>INDEX(Comparison!$AM$3:$AS$33,AC$14,$D$122)</f>
        <v>2132.4244867059297</v>
      </c>
      <c r="Z208" s="26">
        <f>INDEX(Comparison!$AM$3:$AS$33,AD$14,$D$122)</f>
        <v>1927.1689592855932</v>
      </c>
      <c r="AA208" s="26">
        <f>INDEX(Comparison!$AM$3:$AS$33,AE$14,$D$122)</f>
        <v>1740.579877269425</v>
      </c>
      <c r="AB208" s="26">
        <f>INDEX(Comparison!$AM$3:$AS$33,AF$14,$D$122)</f>
        <v>1552.3921804639763</v>
      </c>
      <c r="AC208" s="26">
        <f>INDEX(Comparison!$AM$3:$AS$33,AG$14,$D$122)</f>
        <v>1355.3669215252155</v>
      </c>
      <c r="AD208" s="26">
        <f>INDEX(Comparison!$AM$3:$AS$33,AH$14,$D$122)</f>
        <v>1134.9160288600715</v>
      </c>
      <c r="AE208" s="26">
        <f>INDEX(Comparison!$AM$3:$AS$33,AI$14,$D$122)</f>
        <v>892.49692017162795</v>
      </c>
      <c r="AF208" s="26">
        <f>INDEX(Comparison!$AM$3:$AS$33,AJ$14,$D$122)</f>
        <v>651.2901745739025</v>
      </c>
      <c r="AG208" s="26"/>
      <c r="AH208" s="26"/>
    </row>
    <row r="209" spans="1:34" x14ac:dyDescent="0.25">
      <c r="A209" s="70" t="s">
        <v>22</v>
      </c>
      <c r="B209" s="27">
        <f>($C$17+SUM(B210:B240))*$B$51</f>
        <v>6992.4086999721731</v>
      </c>
      <c r="C209" s="27">
        <f t="shared" ref="C209:AF209" si="170">($C$17+SUM(C210:C240))*$B$51</f>
        <v>6992.4086997217437</v>
      </c>
      <c r="D209" s="27">
        <f t="shared" si="170"/>
        <v>6992.40869721745</v>
      </c>
      <c r="E209" s="27">
        <f t="shared" si="170"/>
        <v>6992.4086721745171</v>
      </c>
      <c r="F209" s="27">
        <f t="shared" si="170"/>
        <v>6992.4084217451964</v>
      </c>
      <c r="G209" s="27">
        <f t="shared" si="170"/>
        <v>6992.405917453365</v>
      </c>
      <c r="H209" s="27">
        <f t="shared" si="170"/>
        <v>6992.3808746722389</v>
      </c>
      <c r="I209" s="27">
        <f t="shared" si="170"/>
        <v>6992.1304605793775</v>
      </c>
      <c r="J209" s="27">
        <f t="shared" si="170"/>
        <v>6989.627690985858</v>
      </c>
      <c r="K209" s="27">
        <f t="shared" si="170"/>
        <v>6964.7366245222993</v>
      </c>
      <c r="L209" s="27">
        <f t="shared" si="170"/>
        <v>6728.9985191083179</v>
      </c>
      <c r="M209" s="27">
        <f t="shared" si="170"/>
        <v>5309.4763603827187</v>
      </c>
      <c r="N209" s="27">
        <f t="shared" si="170"/>
        <v>4478.1784178656244</v>
      </c>
      <c r="O209" s="27">
        <f t="shared" si="170"/>
        <v>4478.129333880006</v>
      </c>
      <c r="P209" s="27">
        <f t="shared" si="170"/>
        <v>4478.0312085734604</v>
      </c>
      <c r="Q209" s="27">
        <f t="shared" si="170"/>
        <v>4477.0512869673066</v>
      </c>
      <c r="R209" s="27">
        <f t="shared" si="170"/>
        <v>4467.3839717188448</v>
      </c>
      <c r="S209" s="27">
        <f t="shared" si="170"/>
        <v>4382.7393495538718</v>
      </c>
      <c r="T209" s="27">
        <f t="shared" si="170"/>
        <v>4094.569911072605</v>
      </c>
      <c r="U209" s="27">
        <f t="shared" si="170"/>
        <v>3942.6242170599739</v>
      </c>
      <c r="V209" s="27">
        <f t="shared" si="170"/>
        <v>3757.1694906451298</v>
      </c>
      <c r="W209" s="27">
        <f t="shared" si="170"/>
        <v>3541.6347872580936</v>
      </c>
      <c r="X209" s="27">
        <f t="shared" si="170"/>
        <v>3306.6355108517305</v>
      </c>
      <c r="Y209" s="27">
        <f t="shared" si="170"/>
        <v>3036.8651046921059</v>
      </c>
      <c r="Z209" s="27">
        <f t="shared" si="170"/>
        <v>2728.7198726445645</v>
      </c>
      <c r="AA209" s="27">
        <f t="shared" si="170"/>
        <v>2360.5829353546524</v>
      </c>
      <c r="AB209" s="27">
        <f t="shared" si="170"/>
        <v>1925.274923544843</v>
      </c>
      <c r="AC209" s="27">
        <f t="shared" si="170"/>
        <v>1460.7656956537096</v>
      </c>
      <c r="AD209" s="27">
        <f t="shared" si="170"/>
        <v>1045.7759923499298</v>
      </c>
      <c r="AE209" s="27">
        <f t="shared" si="170"/>
        <v>746.25427652900044</v>
      </c>
      <c r="AF209" s="27">
        <f t="shared" si="170"/>
        <v>567.66217686587765</v>
      </c>
      <c r="AG209" s="27"/>
      <c r="AH209" s="27"/>
    </row>
    <row r="210" spans="1:34" x14ac:dyDescent="0.25">
      <c r="B210" s="3">
        <f t="shared" ref="B210:AF210" si="171">$C18*EXP(-B$207/$A18/EXP(-$D$126))</f>
        <v>0.35957115346884366</v>
      </c>
      <c r="C210" s="3">
        <f t="shared" si="171"/>
        <v>0.3595711534330292</v>
      </c>
      <c r="D210" s="3">
        <f t="shared" si="171"/>
        <v>0.35957115307488463</v>
      </c>
      <c r="E210" s="3">
        <f t="shared" si="171"/>
        <v>0.35957114949343888</v>
      </c>
      <c r="F210" s="3">
        <f t="shared" si="171"/>
        <v>0.35957111367898337</v>
      </c>
      <c r="G210" s="3">
        <f t="shared" si="171"/>
        <v>0.35957075553462409</v>
      </c>
      <c r="H210" s="3">
        <f t="shared" si="171"/>
        <v>0.35956717411065137</v>
      </c>
      <c r="I210" s="3">
        <f t="shared" si="171"/>
        <v>0.35953136183282397</v>
      </c>
      <c r="J210" s="3">
        <f t="shared" si="171"/>
        <v>0.35917343517224715</v>
      </c>
      <c r="K210" s="3">
        <f t="shared" si="171"/>
        <v>0.3556137082526582</v>
      </c>
      <c r="L210" s="3">
        <f t="shared" si="171"/>
        <v>0.32190027619884093</v>
      </c>
      <c r="M210" s="3">
        <f t="shared" si="171"/>
        <v>0.11889125291541952</v>
      </c>
      <c r="N210" s="3">
        <f t="shared" si="171"/>
        <v>5.6161079730018723E-6</v>
      </c>
      <c r="O210" s="3">
        <f t="shared" si="171"/>
        <v>3.1066397749357447E-49</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5.3087681466497318E-2</v>
      </c>
      <c r="C211" s="3">
        <f t="shared" si="172"/>
        <v>5.3087681466497318E-2</v>
      </c>
      <c r="D211" s="3">
        <f t="shared" si="172"/>
        <v>5.3087681466497297E-2</v>
      </c>
      <c r="E211" s="3">
        <f t="shared" si="172"/>
        <v>5.3087681466497165E-2</v>
      </c>
      <c r="F211" s="3">
        <f t="shared" si="172"/>
        <v>5.3087681466495812E-2</v>
      </c>
      <c r="G211" s="3">
        <f t="shared" si="172"/>
        <v>5.3087681466482267E-2</v>
      </c>
      <c r="H211" s="3">
        <f t="shared" si="172"/>
        <v>5.308768146634682E-2</v>
      </c>
      <c r="I211" s="3">
        <f t="shared" si="172"/>
        <v>5.3087681464992355E-2</v>
      </c>
      <c r="J211" s="3">
        <f t="shared" si="172"/>
        <v>5.3087681451447655E-2</v>
      </c>
      <c r="K211" s="3">
        <f t="shared" si="172"/>
        <v>5.3087681316000709E-2</v>
      </c>
      <c r="L211" s="3">
        <f t="shared" si="172"/>
        <v>5.3087679961531312E-2</v>
      </c>
      <c r="M211" s="3">
        <f t="shared" si="172"/>
        <v>5.3087666416839187E-2</v>
      </c>
      <c r="N211" s="3">
        <f t="shared" si="172"/>
        <v>5.3087530970107974E-2</v>
      </c>
      <c r="O211" s="3">
        <f t="shared" si="172"/>
        <v>5.308617652180242E-2</v>
      </c>
      <c r="P211" s="3">
        <f t="shared" si="172"/>
        <v>5.307263393922023E-2</v>
      </c>
      <c r="Q211" s="3">
        <f t="shared" si="172"/>
        <v>5.2937397981451521E-2</v>
      </c>
      <c r="R211" s="3">
        <f t="shared" si="172"/>
        <v>5.1603847188153369E-2</v>
      </c>
      <c r="S211" s="3">
        <f t="shared" si="172"/>
        <v>3.9983147434720021E-2</v>
      </c>
      <c r="T211" s="3">
        <f t="shared" si="172"/>
        <v>3.1176399430163566E-3</v>
      </c>
      <c r="U211" s="3">
        <f t="shared" si="172"/>
        <v>2.5900952953420096E-14</v>
      </c>
      <c r="V211" s="3">
        <f t="shared" si="172"/>
        <v>4.0570803000059264E-125</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1.8548614905856641E-2</v>
      </c>
      <c r="C212" s="3">
        <f t="shared" si="173"/>
        <v>1.8548614905856641E-2</v>
      </c>
      <c r="D212" s="3">
        <f t="shared" si="173"/>
        <v>1.8548614905856641E-2</v>
      </c>
      <c r="E212" s="3">
        <f t="shared" si="173"/>
        <v>1.8548614905856638E-2</v>
      </c>
      <c r="F212" s="3">
        <f t="shared" si="173"/>
        <v>1.8548614905856593E-2</v>
      </c>
      <c r="G212" s="3">
        <f t="shared" si="173"/>
        <v>1.8548614905856166E-2</v>
      </c>
      <c r="H212" s="3">
        <f t="shared" si="173"/>
        <v>1.8548614905851898E-2</v>
      </c>
      <c r="I212" s="3">
        <f t="shared" si="173"/>
        <v>1.8548614905809207E-2</v>
      </c>
      <c r="J212" s="3">
        <f t="shared" si="173"/>
        <v>1.8548614905382298E-2</v>
      </c>
      <c r="K212" s="3">
        <f t="shared" si="173"/>
        <v>1.8548614901113227E-2</v>
      </c>
      <c r="L212" s="3">
        <f t="shared" si="173"/>
        <v>1.8548614858422501E-2</v>
      </c>
      <c r="M212" s="3">
        <f t="shared" si="173"/>
        <v>1.8548614431515266E-2</v>
      </c>
      <c r="N212" s="3">
        <f t="shared" si="173"/>
        <v>1.8548610162443441E-2</v>
      </c>
      <c r="O212" s="3">
        <f t="shared" si="173"/>
        <v>1.8548567471779225E-2</v>
      </c>
      <c r="P212" s="3">
        <f t="shared" si="173"/>
        <v>1.8548140570541039E-2</v>
      </c>
      <c r="Q212" s="3">
        <f t="shared" si="173"/>
        <v>1.8543872098511695E-2</v>
      </c>
      <c r="R212" s="3">
        <f t="shared" si="173"/>
        <v>1.8501241367480527E-2</v>
      </c>
      <c r="S212" s="3">
        <f t="shared" si="173"/>
        <v>1.8080287289075889E-2</v>
      </c>
      <c r="T212" s="3">
        <f t="shared" si="173"/>
        <v>1.4363156969684005E-2</v>
      </c>
      <c r="U212" s="3">
        <f t="shared" si="173"/>
        <v>1.4377908136455578E-3</v>
      </c>
      <c r="V212" s="3">
        <f t="shared" si="173"/>
        <v>1.452625560788305E-13</v>
      </c>
      <c r="W212" s="3">
        <f t="shared" si="173"/>
        <v>1.6096574188079356E-113</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2.7428318800719304E-2</v>
      </c>
      <c r="C213" s="3">
        <f t="shared" si="174"/>
        <v>2.7428318800719304E-2</v>
      </c>
      <c r="D213" s="3">
        <f t="shared" si="174"/>
        <v>2.7428318800719304E-2</v>
      </c>
      <c r="E213" s="3">
        <f t="shared" si="174"/>
        <v>2.7428318800719304E-2</v>
      </c>
      <c r="F213" s="3">
        <f t="shared" si="174"/>
        <v>2.7428318800719297E-2</v>
      </c>
      <c r="G213" s="3">
        <f t="shared" si="174"/>
        <v>2.7428318800719241E-2</v>
      </c>
      <c r="H213" s="3">
        <f t="shared" si="174"/>
        <v>2.7428318800718669E-2</v>
      </c>
      <c r="I213" s="3">
        <f t="shared" si="174"/>
        <v>2.7428318800712975E-2</v>
      </c>
      <c r="J213" s="3">
        <f t="shared" si="174"/>
        <v>2.7428318800656028E-2</v>
      </c>
      <c r="K213" s="3">
        <f t="shared" si="174"/>
        <v>2.7428318800086563E-2</v>
      </c>
      <c r="L213" s="3">
        <f t="shared" si="174"/>
        <v>2.7428318794391903E-2</v>
      </c>
      <c r="M213" s="3">
        <f t="shared" si="174"/>
        <v>2.7428318737445303E-2</v>
      </c>
      <c r="N213" s="3">
        <f t="shared" si="174"/>
        <v>2.7428318167979283E-2</v>
      </c>
      <c r="O213" s="3">
        <f t="shared" si="174"/>
        <v>2.7428312473319772E-2</v>
      </c>
      <c r="P213" s="3">
        <f t="shared" si="174"/>
        <v>2.7428255526789663E-2</v>
      </c>
      <c r="Q213" s="3">
        <f t="shared" si="174"/>
        <v>2.7427686067991317E-2</v>
      </c>
      <c r="R213" s="3">
        <f t="shared" si="174"/>
        <v>2.7421992130230475E-2</v>
      </c>
      <c r="S213" s="3">
        <f t="shared" si="174"/>
        <v>2.7365117724961197E-2</v>
      </c>
      <c r="T213" s="3">
        <f t="shared" si="174"/>
        <v>2.6802821270861716E-2</v>
      </c>
      <c r="U213" s="3">
        <f t="shared" si="174"/>
        <v>2.1777719805825935E-2</v>
      </c>
      <c r="V213" s="3">
        <f t="shared" si="174"/>
        <v>2.731060748454335E-3</v>
      </c>
      <c r="W213" s="3">
        <f t="shared" si="174"/>
        <v>2.6273680058435698E-12</v>
      </c>
      <c r="X213" s="3">
        <f t="shared" si="174"/>
        <v>1.7840884146553222E-102</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3.2244311763005913E-2</v>
      </c>
      <c r="C214" s="3">
        <f t="shared" si="175"/>
        <v>3.2244311763005913E-2</v>
      </c>
      <c r="D214" s="3">
        <f t="shared" si="175"/>
        <v>3.2244311763005913E-2</v>
      </c>
      <c r="E214" s="3">
        <f t="shared" si="175"/>
        <v>3.2244311763005913E-2</v>
      </c>
      <c r="F214" s="3">
        <f t="shared" si="175"/>
        <v>3.2244311763005913E-2</v>
      </c>
      <c r="G214" s="3">
        <f t="shared" si="175"/>
        <v>3.2244311763005906E-2</v>
      </c>
      <c r="H214" s="3">
        <f t="shared" si="175"/>
        <v>3.2244311763005844E-2</v>
      </c>
      <c r="I214" s="3">
        <f t="shared" si="175"/>
        <v>3.2244311763005247E-2</v>
      </c>
      <c r="J214" s="3">
        <f t="shared" si="175"/>
        <v>3.2244311762999203E-2</v>
      </c>
      <c r="K214" s="3">
        <f t="shared" si="175"/>
        <v>3.2244311762938814E-2</v>
      </c>
      <c r="L214" s="3">
        <f t="shared" si="175"/>
        <v>3.2244311762334908E-2</v>
      </c>
      <c r="M214" s="3">
        <f t="shared" si="175"/>
        <v>3.2244311756295864E-2</v>
      </c>
      <c r="N214" s="3">
        <f t="shared" si="175"/>
        <v>3.22443116959054E-2</v>
      </c>
      <c r="O214" s="3">
        <f t="shared" si="175"/>
        <v>3.2244311092000814E-2</v>
      </c>
      <c r="P214" s="3">
        <f t="shared" si="175"/>
        <v>3.2244305052955599E-2</v>
      </c>
      <c r="Q214" s="3">
        <f t="shared" si="175"/>
        <v>3.2244244662565577E-2</v>
      </c>
      <c r="R214" s="3">
        <f t="shared" si="175"/>
        <v>3.2243640764886145E-2</v>
      </c>
      <c r="S214" s="3">
        <f t="shared" si="175"/>
        <v>3.2237602410123932E-2</v>
      </c>
      <c r="T214" s="3">
        <f t="shared" si="175"/>
        <v>3.2177281022628866E-2</v>
      </c>
      <c r="U214" s="3">
        <f t="shared" si="175"/>
        <v>3.1580240299981431E-2</v>
      </c>
      <c r="V214" s="3">
        <f t="shared" si="175"/>
        <v>2.618643022502835E-2</v>
      </c>
      <c r="W214" s="3">
        <f t="shared" si="175"/>
        <v>4.0242502826179638E-3</v>
      </c>
      <c r="X214" s="3">
        <f t="shared" si="175"/>
        <v>2.9564587772523921E-11</v>
      </c>
      <c r="Y214" s="3">
        <f t="shared" si="175"/>
        <v>1.3540673755980103E-92</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3.4402319244329078E-2</v>
      </c>
      <c r="C215" s="3">
        <f t="shared" si="176"/>
        <v>3.4402319244329078E-2</v>
      </c>
      <c r="D215" s="3">
        <f t="shared" si="176"/>
        <v>3.4402319244329078E-2</v>
      </c>
      <c r="E215" s="3">
        <f t="shared" si="176"/>
        <v>3.4402319244329078E-2</v>
      </c>
      <c r="F215" s="3">
        <f t="shared" si="176"/>
        <v>3.4402319244329078E-2</v>
      </c>
      <c r="G215" s="3">
        <f t="shared" si="176"/>
        <v>3.4402319244329078E-2</v>
      </c>
      <c r="H215" s="3">
        <f t="shared" si="176"/>
        <v>3.4402319244329072E-2</v>
      </c>
      <c r="I215" s="3">
        <f t="shared" si="176"/>
        <v>3.4402319244329016E-2</v>
      </c>
      <c r="J215" s="3">
        <f t="shared" si="176"/>
        <v>3.4402319244328433E-2</v>
      </c>
      <c r="K215" s="3">
        <f t="shared" si="176"/>
        <v>3.4402319244322618E-2</v>
      </c>
      <c r="L215" s="3">
        <f t="shared" si="176"/>
        <v>3.4402319244264498E-2</v>
      </c>
      <c r="M215" s="3">
        <f t="shared" si="176"/>
        <v>3.4402319243683262E-2</v>
      </c>
      <c r="N215" s="3">
        <f t="shared" si="176"/>
        <v>3.4402319237870946E-2</v>
      </c>
      <c r="O215" s="3">
        <f t="shared" si="176"/>
        <v>3.4402319179747745E-2</v>
      </c>
      <c r="P215" s="3">
        <f t="shared" si="176"/>
        <v>3.4402318598515724E-2</v>
      </c>
      <c r="Q215" s="3">
        <f t="shared" si="176"/>
        <v>3.4402312786196113E-2</v>
      </c>
      <c r="R215" s="3">
        <f t="shared" si="176"/>
        <v>3.4402254663053994E-2</v>
      </c>
      <c r="S215" s="3">
        <f t="shared" si="176"/>
        <v>3.4401673437033757E-2</v>
      </c>
      <c r="T215" s="3">
        <f t="shared" si="176"/>
        <v>3.4395861716893704E-2</v>
      </c>
      <c r="U215" s="3">
        <f t="shared" si="176"/>
        <v>3.4337798487978785E-2</v>
      </c>
      <c r="V215" s="3">
        <f t="shared" si="176"/>
        <v>3.3762529860039255E-2</v>
      </c>
      <c r="W215" s="3">
        <f t="shared" si="176"/>
        <v>2.8514142644347797E-2</v>
      </c>
      <c r="X215" s="3">
        <f t="shared" si="176"/>
        <v>5.2639733707731153E-3</v>
      </c>
      <c r="Y215" s="3">
        <f t="shared" si="176"/>
        <v>2.4201781801594724E-10</v>
      </c>
      <c r="Z215" s="3">
        <f t="shared" si="176"/>
        <v>1.0213719251041294E-83</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4.0521812648841492E-2</v>
      </c>
      <c r="C216" s="3">
        <f t="shared" si="177"/>
        <v>4.0521812648841492E-2</v>
      </c>
      <c r="D216" s="3">
        <f t="shared" si="177"/>
        <v>4.0521812648841492E-2</v>
      </c>
      <c r="E216" s="3">
        <f t="shared" si="177"/>
        <v>4.0521812648841492E-2</v>
      </c>
      <c r="F216" s="3">
        <f t="shared" si="177"/>
        <v>4.0521812648841492E-2</v>
      </c>
      <c r="G216" s="3">
        <f t="shared" si="177"/>
        <v>4.0521812648841492E-2</v>
      </c>
      <c r="H216" s="3">
        <f t="shared" si="177"/>
        <v>4.0521812648841492E-2</v>
      </c>
      <c r="I216" s="3">
        <f t="shared" si="177"/>
        <v>4.0521812648841485E-2</v>
      </c>
      <c r="J216" s="3">
        <f t="shared" si="177"/>
        <v>4.0521812648841422E-2</v>
      </c>
      <c r="K216" s="3">
        <f t="shared" si="177"/>
        <v>4.0521812648840805E-2</v>
      </c>
      <c r="L216" s="3">
        <f t="shared" si="177"/>
        <v>4.0521812648834629E-2</v>
      </c>
      <c r="M216" s="3">
        <f t="shared" si="177"/>
        <v>4.0521812648772873E-2</v>
      </c>
      <c r="N216" s="3">
        <f t="shared" si="177"/>
        <v>4.0521812648155284E-2</v>
      </c>
      <c r="O216" s="3">
        <f t="shared" si="177"/>
        <v>4.0521812641979432E-2</v>
      </c>
      <c r="P216" s="3">
        <f t="shared" si="177"/>
        <v>4.0521812580220855E-2</v>
      </c>
      <c r="Q216" s="3">
        <f t="shared" si="177"/>
        <v>4.0521811962635108E-2</v>
      </c>
      <c r="R216" s="3">
        <f t="shared" si="177"/>
        <v>4.0521805786778199E-2</v>
      </c>
      <c r="S216" s="3">
        <f t="shared" si="177"/>
        <v>4.0521744028260802E-2</v>
      </c>
      <c r="T216" s="3">
        <f t="shared" si="177"/>
        <v>4.0521126448263764E-2</v>
      </c>
      <c r="U216" s="3">
        <f t="shared" si="177"/>
        <v>4.0514951165949234E-2</v>
      </c>
      <c r="V216" s="3">
        <f t="shared" si="177"/>
        <v>4.0453250079212015E-2</v>
      </c>
      <c r="W216" s="3">
        <f t="shared" si="177"/>
        <v>3.9841383796506889E-2</v>
      </c>
      <c r="X216" s="3">
        <f t="shared" si="177"/>
        <v>3.4209313862756829E-2</v>
      </c>
      <c r="Y216" s="3">
        <f t="shared" si="177"/>
        <v>7.4515026061260743E-3</v>
      </c>
      <c r="Z216" s="3">
        <f t="shared" si="177"/>
        <v>1.7915906956706455E-9</v>
      </c>
      <c r="AA216" s="3">
        <f t="shared" si="177"/>
        <v>1.1566133611627615E-75</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4.571082615945813E-2</v>
      </c>
      <c r="C217" s="3">
        <f t="shared" si="178"/>
        <v>4.571082615945813E-2</v>
      </c>
      <c r="D217" s="3">
        <f t="shared" si="178"/>
        <v>4.571082615945813E-2</v>
      </c>
      <c r="E217" s="3">
        <f t="shared" si="178"/>
        <v>4.571082615945813E-2</v>
      </c>
      <c r="F217" s="3">
        <f t="shared" si="178"/>
        <v>4.571082615945813E-2</v>
      </c>
      <c r="G217" s="3">
        <f t="shared" si="178"/>
        <v>4.571082615945813E-2</v>
      </c>
      <c r="H217" s="3">
        <f t="shared" si="178"/>
        <v>4.571082615945813E-2</v>
      </c>
      <c r="I217" s="3">
        <f t="shared" si="178"/>
        <v>4.571082615945813E-2</v>
      </c>
      <c r="J217" s="3">
        <f t="shared" si="178"/>
        <v>4.5710826159458123E-2</v>
      </c>
      <c r="K217" s="3">
        <f t="shared" si="178"/>
        <v>4.5710826159458061E-2</v>
      </c>
      <c r="L217" s="3">
        <f t="shared" si="178"/>
        <v>4.5710826159457429E-2</v>
      </c>
      <c r="M217" s="3">
        <f t="shared" si="178"/>
        <v>4.571082615945115E-2</v>
      </c>
      <c r="N217" s="3">
        <f t="shared" si="178"/>
        <v>4.5710826159388304E-2</v>
      </c>
      <c r="O217" s="3">
        <f t="shared" si="178"/>
        <v>4.5710826158759849E-2</v>
      </c>
      <c r="P217" s="3">
        <f t="shared" si="178"/>
        <v>4.5710826152475299E-2</v>
      </c>
      <c r="Q217" s="3">
        <f t="shared" si="178"/>
        <v>4.571082608962982E-2</v>
      </c>
      <c r="R217" s="3">
        <f t="shared" si="178"/>
        <v>4.5710825461175005E-2</v>
      </c>
      <c r="S217" s="3">
        <f t="shared" si="178"/>
        <v>4.5710819176627303E-2</v>
      </c>
      <c r="T217" s="3">
        <f t="shared" si="178"/>
        <v>4.5710756331197831E-2</v>
      </c>
      <c r="U217" s="3">
        <f t="shared" si="178"/>
        <v>4.5710127881655307E-2</v>
      </c>
      <c r="V217" s="3">
        <f t="shared" si="178"/>
        <v>4.5703843861419964E-2</v>
      </c>
      <c r="W217" s="3">
        <f t="shared" si="178"/>
        <v>4.5641051153892519E-2</v>
      </c>
      <c r="X217" s="3">
        <f t="shared" si="178"/>
        <v>4.5017849489471698E-2</v>
      </c>
      <c r="Y217" s="3">
        <f t="shared" si="178"/>
        <v>3.9235194757308592E-2</v>
      </c>
      <c r="Z217" s="3">
        <f t="shared" si="178"/>
        <v>9.921709145227239E-3</v>
      </c>
      <c r="AA217" s="3">
        <f t="shared" si="178"/>
        <v>1.060946000229603E-8</v>
      </c>
      <c r="AB217" s="3">
        <f t="shared" si="178"/>
        <v>2.0737727472655763E-68</v>
      </c>
      <c r="AC217" s="3">
        <f t="shared" si="178"/>
        <v>0</v>
      </c>
      <c r="AD217" s="3">
        <f t="shared" si="178"/>
        <v>0</v>
      </c>
      <c r="AE217" s="3">
        <f t="shared" si="178"/>
        <v>0</v>
      </c>
      <c r="AF217" s="3">
        <f t="shared" si="178"/>
        <v>0</v>
      </c>
      <c r="AG217" s="3"/>
      <c r="AH217" s="3"/>
    </row>
    <row r="218" spans="1:34" x14ac:dyDescent="0.25">
      <c r="B218" s="3">
        <f t="shared" ref="B218:AF218" si="179">$C26*EXP(-B$207/$A26/EXP(-$D$126))</f>
        <v>5.619956404185248E-2</v>
      </c>
      <c r="C218" s="3">
        <f t="shared" si="179"/>
        <v>5.619956404185248E-2</v>
      </c>
      <c r="D218" s="3">
        <f t="shared" si="179"/>
        <v>5.619956404185248E-2</v>
      </c>
      <c r="E218" s="3">
        <f t="shared" si="179"/>
        <v>5.619956404185248E-2</v>
      </c>
      <c r="F218" s="3">
        <f t="shared" si="179"/>
        <v>5.619956404185248E-2</v>
      </c>
      <c r="G218" s="3">
        <f t="shared" si="179"/>
        <v>5.619956404185248E-2</v>
      </c>
      <c r="H218" s="3">
        <f t="shared" si="179"/>
        <v>5.619956404185248E-2</v>
      </c>
      <c r="I218" s="3">
        <f t="shared" si="179"/>
        <v>5.619956404185248E-2</v>
      </c>
      <c r="J218" s="3">
        <f t="shared" si="179"/>
        <v>5.619956404185248E-2</v>
      </c>
      <c r="K218" s="3">
        <f t="shared" si="179"/>
        <v>5.6199564041852473E-2</v>
      </c>
      <c r="L218" s="3">
        <f t="shared" si="179"/>
        <v>5.6199564041852404E-2</v>
      </c>
      <c r="M218" s="3">
        <f t="shared" si="179"/>
        <v>5.619956404185171E-2</v>
      </c>
      <c r="N218" s="3">
        <f t="shared" si="179"/>
        <v>5.6199564041844736E-2</v>
      </c>
      <c r="O218" s="3">
        <f t="shared" si="179"/>
        <v>5.6199564041775035E-2</v>
      </c>
      <c r="P218" s="3">
        <f t="shared" si="179"/>
        <v>5.619956404107803E-2</v>
      </c>
      <c r="Q218" s="3">
        <f t="shared" si="179"/>
        <v>5.6199564034108009E-2</v>
      </c>
      <c r="R218" s="3">
        <f t="shared" si="179"/>
        <v>5.6199563964407728E-2</v>
      </c>
      <c r="S218" s="3">
        <f t="shared" si="179"/>
        <v>5.6199563267404919E-2</v>
      </c>
      <c r="T218" s="3">
        <f t="shared" si="179"/>
        <v>5.6199556297377322E-2</v>
      </c>
      <c r="U218" s="3">
        <f t="shared" si="179"/>
        <v>5.6199486597148948E-2</v>
      </c>
      <c r="V218" s="3">
        <f t="shared" si="179"/>
        <v>5.6198789599619638E-2</v>
      </c>
      <c r="W218" s="3">
        <f t="shared" si="179"/>
        <v>5.6191820099745618E-2</v>
      </c>
      <c r="X218" s="3">
        <f t="shared" si="179"/>
        <v>5.6122172621110196E-2</v>
      </c>
      <c r="Y218" s="3">
        <f t="shared" si="179"/>
        <v>5.5430428111151196E-2</v>
      </c>
      <c r="Z218" s="3">
        <f t="shared" si="179"/>
        <v>4.8965005627994114E-2</v>
      </c>
      <c r="AA218" s="3">
        <f t="shared" si="179"/>
        <v>1.4166467447789644E-2</v>
      </c>
      <c r="AB218" s="3">
        <f t="shared" si="179"/>
        <v>5.8212890009667099E-8</v>
      </c>
      <c r="AC218" s="3">
        <f t="shared" si="179"/>
        <v>7.9908887867553722E-62</v>
      </c>
      <c r="AD218" s="3">
        <f t="shared" si="179"/>
        <v>0</v>
      </c>
      <c r="AE218" s="3">
        <f t="shared" si="179"/>
        <v>0</v>
      </c>
      <c r="AF218" s="3">
        <f t="shared" si="179"/>
        <v>0</v>
      </c>
      <c r="AG218" s="3"/>
      <c r="AH218" s="3"/>
    </row>
    <row r="219" spans="1:34" x14ac:dyDescent="0.25">
      <c r="B219" s="3">
        <f t="shared" ref="B219:AF219" si="180">$C27*EXP(-B$207/$A27/EXP(-$D$126))</f>
        <v>6.8321253158217701E-2</v>
      </c>
      <c r="C219" s="3">
        <f t="shared" si="180"/>
        <v>6.8321253158217701E-2</v>
      </c>
      <c r="D219" s="3">
        <f t="shared" si="180"/>
        <v>6.8321253158217701E-2</v>
      </c>
      <c r="E219" s="3">
        <f t="shared" si="180"/>
        <v>6.8321253158217701E-2</v>
      </c>
      <c r="F219" s="3">
        <f t="shared" si="180"/>
        <v>6.8321253158217701E-2</v>
      </c>
      <c r="G219" s="3">
        <f t="shared" si="180"/>
        <v>6.8321253158217701E-2</v>
      </c>
      <c r="H219" s="3">
        <f t="shared" si="180"/>
        <v>6.8321253158217701E-2</v>
      </c>
      <c r="I219" s="3">
        <f t="shared" si="180"/>
        <v>6.8321253158217701E-2</v>
      </c>
      <c r="J219" s="3">
        <f t="shared" si="180"/>
        <v>6.8321253158217701E-2</v>
      </c>
      <c r="K219" s="3">
        <f t="shared" si="180"/>
        <v>6.8321253158217701E-2</v>
      </c>
      <c r="L219" s="3">
        <f t="shared" si="180"/>
        <v>6.8321253158217687E-2</v>
      </c>
      <c r="M219" s="3">
        <f t="shared" si="180"/>
        <v>6.8321253158217618E-2</v>
      </c>
      <c r="N219" s="3">
        <f t="shared" si="180"/>
        <v>6.8321253158216855E-2</v>
      </c>
      <c r="O219" s="3">
        <f t="shared" si="180"/>
        <v>6.8321253158209208E-2</v>
      </c>
      <c r="P219" s="3">
        <f t="shared" si="180"/>
        <v>6.8321253158132769E-2</v>
      </c>
      <c r="Q219" s="3">
        <f t="shared" si="180"/>
        <v>6.8321253157368408E-2</v>
      </c>
      <c r="R219" s="3">
        <f t="shared" si="180"/>
        <v>6.8321253149724689E-2</v>
      </c>
      <c r="S219" s="3">
        <f t="shared" si="180"/>
        <v>6.8321253073287624E-2</v>
      </c>
      <c r="T219" s="3">
        <f t="shared" si="180"/>
        <v>6.8321252308916988E-2</v>
      </c>
      <c r="U219" s="3">
        <f t="shared" si="180"/>
        <v>6.8321244665211098E-2</v>
      </c>
      <c r="V219" s="3">
        <f t="shared" si="180"/>
        <v>6.8321168228199183E-2</v>
      </c>
      <c r="W219" s="3">
        <f t="shared" si="180"/>
        <v>6.8320403862783388E-2</v>
      </c>
      <c r="X219" s="3">
        <f t="shared" si="180"/>
        <v>6.8312760678947079E-2</v>
      </c>
      <c r="Y219" s="3">
        <f t="shared" si="180"/>
        <v>6.823637585327666E-2</v>
      </c>
      <c r="Z219" s="3">
        <f t="shared" si="180"/>
        <v>6.7477209462953061E-2</v>
      </c>
      <c r="AA219" s="3">
        <f t="shared" si="180"/>
        <v>6.0334917953487791E-2</v>
      </c>
      <c r="AB219" s="3">
        <f t="shared" si="180"/>
        <v>1.9709919572745198E-2</v>
      </c>
      <c r="AC219" s="3">
        <f t="shared" si="180"/>
        <v>2.7280109451042598E-7</v>
      </c>
      <c r="AD219" s="3">
        <f t="shared" si="180"/>
        <v>7.0381524797672686E-56</v>
      </c>
      <c r="AE219" s="3">
        <f t="shared" si="180"/>
        <v>0</v>
      </c>
      <c r="AF219" s="3">
        <f t="shared" si="180"/>
        <v>0</v>
      </c>
      <c r="AG219" s="3"/>
      <c r="AH219" s="3"/>
    </row>
    <row r="220" spans="1:34" x14ac:dyDescent="0.25">
      <c r="B220" s="3">
        <f t="shared" ref="B220:AF220" si="181">$C28*EXP(-B$207/$A28/EXP(-$D$126))</f>
        <v>7.2516023247876399E-2</v>
      </c>
      <c r="C220" s="3">
        <f t="shared" si="181"/>
        <v>7.2516023247876399E-2</v>
      </c>
      <c r="D220" s="3">
        <f t="shared" si="181"/>
        <v>7.2516023247876399E-2</v>
      </c>
      <c r="E220" s="3">
        <f t="shared" si="181"/>
        <v>7.2516023247876399E-2</v>
      </c>
      <c r="F220" s="3">
        <f t="shared" si="181"/>
        <v>7.2516023247876399E-2</v>
      </c>
      <c r="G220" s="3">
        <f t="shared" si="181"/>
        <v>7.2516023247876399E-2</v>
      </c>
      <c r="H220" s="3">
        <f t="shared" si="181"/>
        <v>7.2516023247876399E-2</v>
      </c>
      <c r="I220" s="3">
        <f t="shared" si="181"/>
        <v>7.2516023247876399E-2</v>
      </c>
      <c r="J220" s="3">
        <f t="shared" si="181"/>
        <v>7.2516023247876399E-2</v>
      </c>
      <c r="K220" s="3">
        <f t="shared" si="181"/>
        <v>7.2516023247876399E-2</v>
      </c>
      <c r="L220" s="3">
        <f t="shared" si="181"/>
        <v>7.2516023247876399E-2</v>
      </c>
      <c r="M220" s="3">
        <f t="shared" si="181"/>
        <v>7.2516023247876385E-2</v>
      </c>
      <c r="N220" s="3">
        <f t="shared" si="181"/>
        <v>7.2516023247876316E-2</v>
      </c>
      <c r="O220" s="3">
        <f t="shared" si="181"/>
        <v>7.251602324787558E-2</v>
      </c>
      <c r="P220" s="3">
        <f t="shared" si="181"/>
        <v>7.2516023247868266E-2</v>
      </c>
      <c r="Q220" s="3">
        <f t="shared" si="181"/>
        <v>7.2516023247795089E-2</v>
      </c>
      <c r="R220" s="3">
        <f t="shared" si="181"/>
        <v>7.2516023247063216E-2</v>
      </c>
      <c r="S220" s="3">
        <f t="shared" si="181"/>
        <v>7.2516023239744612E-2</v>
      </c>
      <c r="T220" s="3">
        <f t="shared" si="181"/>
        <v>7.2516023166558488E-2</v>
      </c>
      <c r="U220" s="3">
        <f t="shared" si="181"/>
        <v>7.251602243469725E-2</v>
      </c>
      <c r="V220" s="3">
        <f t="shared" si="181"/>
        <v>7.2516015116085339E-2</v>
      </c>
      <c r="W220" s="3">
        <f t="shared" si="181"/>
        <v>7.251594193000685E-2</v>
      </c>
      <c r="X220" s="3">
        <f t="shared" si="181"/>
        <v>7.2515210073284306E-2</v>
      </c>
      <c r="Y220" s="3">
        <f t="shared" si="181"/>
        <v>7.2507891912285294E-2</v>
      </c>
      <c r="Z220" s="3">
        <f t="shared" si="181"/>
        <v>7.2434750909773568E-2</v>
      </c>
      <c r="AA220" s="3">
        <f t="shared" si="181"/>
        <v>7.1707386509724497E-2</v>
      </c>
      <c r="AB220" s="3">
        <f t="shared" si="181"/>
        <v>6.4823597096571109E-2</v>
      </c>
      <c r="AC220" s="3">
        <f t="shared" si="181"/>
        <v>2.3627917743938631E-2</v>
      </c>
      <c r="AD220" s="3">
        <f t="shared" si="181"/>
        <v>9.780221417267394E-7</v>
      </c>
      <c r="AE220" s="3">
        <f t="shared" si="181"/>
        <v>1.444046088310587E-50</v>
      </c>
      <c r="AF220" s="3">
        <f t="shared" si="181"/>
        <v>0</v>
      </c>
      <c r="AG220" s="3"/>
      <c r="AH220" s="3"/>
    </row>
    <row r="221" spans="1:34" x14ac:dyDescent="0.25">
      <c r="B221" s="3">
        <f t="shared" ref="B221:AF221" si="182">$C29*EXP(-B$207/$A29/EXP(-$D$126))</f>
        <v>6.0357732330784487E-2</v>
      </c>
      <c r="C221" s="3">
        <f t="shared" si="182"/>
        <v>6.0357732330784487E-2</v>
      </c>
      <c r="D221" s="3">
        <f t="shared" si="182"/>
        <v>6.0357732330784487E-2</v>
      </c>
      <c r="E221" s="3">
        <f t="shared" si="182"/>
        <v>6.0357732330784487E-2</v>
      </c>
      <c r="F221" s="3">
        <f t="shared" si="182"/>
        <v>6.0357732330784487E-2</v>
      </c>
      <c r="G221" s="3">
        <f t="shared" si="182"/>
        <v>6.0357732330784487E-2</v>
      </c>
      <c r="H221" s="3">
        <f t="shared" si="182"/>
        <v>6.0357732330784487E-2</v>
      </c>
      <c r="I221" s="3">
        <f t="shared" si="182"/>
        <v>6.0357732330784487E-2</v>
      </c>
      <c r="J221" s="3">
        <f t="shared" si="182"/>
        <v>6.0357732330784487E-2</v>
      </c>
      <c r="K221" s="3">
        <f t="shared" si="182"/>
        <v>6.0357732330784487E-2</v>
      </c>
      <c r="L221" s="3">
        <f t="shared" si="182"/>
        <v>6.0357732330784487E-2</v>
      </c>
      <c r="M221" s="3">
        <f t="shared" si="182"/>
        <v>6.0357732330784487E-2</v>
      </c>
      <c r="N221" s="3">
        <f t="shared" si="182"/>
        <v>6.035773233078448E-2</v>
      </c>
      <c r="O221" s="3">
        <f t="shared" si="182"/>
        <v>6.0357732330784425E-2</v>
      </c>
      <c r="P221" s="3">
        <f t="shared" si="182"/>
        <v>6.0357732330783877E-2</v>
      </c>
      <c r="Q221" s="3">
        <f t="shared" si="182"/>
        <v>6.0357732330778381E-2</v>
      </c>
      <c r="R221" s="3">
        <f t="shared" si="182"/>
        <v>6.0357732330723432E-2</v>
      </c>
      <c r="S221" s="3">
        <f t="shared" si="182"/>
        <v>6.035773233017392E-2</v>
      </c>
      <c r="T221" s="3">
        <f t="shared" si="182"/>
        <v>6.0357732324678844E-2</v>
      </c>
      <c r="U221" s="3">
        <f t="shared" si="182"/>
        <v>6.0357732269728001E-2</v>
      </c>
      <c r="V221" s="3">
        <f t="shared" si="182"/>
        <v>6.0357731720219687E-2</v>
      </c>
      <c r="W221" s="3">
        <f t="shared" si="182"/>
        <v>6.0357726225136819E-2</v>
      </c>
      <c r="X221" s="3">
        <f t="shared" si="182"/>
        <v>6.0357671274335542E-2</v>
      </c>
      <c r="Y221" s="3">
        <f t="shared" si="182"/>
        <v>6.035712176907438E-2</v>
      </c>
      <c r="Z221" s="3">
        <f t="shared" si="182"/>
        <v>6.0351626991608003E-2</v>
      </c>
      <c r="AA221" s="3">
        <f t="shared" si="182"/>
        <v>6.0296706722205794E-2</v>
      </c>
      <c r="AB221" s="3">
        <f t="shared" si="182"/>
        <v>5.9750245311571762E-2</v>
      </c>
      <c r="AC221" s="3">
        <f t="shared" si="182"/>
        <v>5.4550745975807204E-2</v>
      </c>
      <c r="AD221" s="3">
        <f t="shared" si="182"/>
        <v>2.1948796208905157E-2</v>
      </c>
      <c r="AE221" s="3">
        <f t="shared" si="182"/>
        <v>2.4406799240213171E-6</v>
      </c>
      <c r="AF221" s="3">
        <f t="shared" si="182"/>
        <v>7.0552442854130242E-46</v>
      </c>
      <c r="AG221" s="3"/>
      <c r="AH221" s="3"/>
    </row>
    <row r="222" spans="1:34" x14ac:dyDescent="0.25">
      <c r="B222" s="3">
        <f t="shared" ref="B222:AF222" si="183">$C30*EXP(-B$207/$A30/EXP(-$D$126))</f>
        <v>3.7953571045142992E-2</v>
      </c>
      <c r="C222" s="3">
        <f t="shared" si="183"/>
        <v>3.7953571045142992E-2</v>
      </c>
      <c r="D222" s="3">
        <f t="shared" si="183"/>
        <v>3.7953571045142992E-2</v>
      </c>
      <c r="E222" s="3">
        <f t="shared" si="183"/>
        <v>3.7953571045142992E-2</v>
      </c>
      <c r="F222" s="3">
        <f t="shared" si="183"/>
        <v>3.7953571045142992E-2</v>
      </c>
      <c r="G222" s="3">
        <f t="shared" si="183"/>
        <v>3.7953571045142992E-2</v>
      </c>
      <c r="H222" s="3">
        <f t="shared" si="183"/>
        <v>3.7953571045142992E-2</v>
      </c>
      <c r="I222" s="3">
        <f t="shared" si="183"/>
        <v>3.7953571045142992E-2</v>
      </c>
      <c r="J222" s="3">
        <f t="shared" si="183"/>
        <v>3.7953571045142992E-2</v>
      </c>
      <c r="K222" s="3">
        <f t="shared" si="183"/>
        <v>3.7953571045142992E-2</v>
      </c>
      <c r="L222" s="3">
        <f t="shared" si="183"/>
        <v>3.7953571045142992E-2</v>
      </c>
      <c r="M222" s="3">
        <f t="shared" si="183"/>
        <v>3.7953571045142992E-2</v>
      </c>
      <c r="N222" s="3">
        <f t="shared" si="183"/>
        <v>3.7953571045142992E-2</v>
      </c>
      <c r="O222" s="3">
        <f t="shared" si="183"/>
        <v>3.7953571045142985E-2</v>
      </c>
      <c r="P222" s="3">
        <f t="shared" si="183"/>
        <v>3.7953571045142957E-2</v>
      </c>
      <c r="Q222" s="3">
        <f t="shared" si="183"/>
        <v>3.7953571045142645E-2</v>
      </c>
      <c r="R222" s="3">
        <f t="shared" si="183"/>
        <v>3.7953571045139529E-2</v>
      </c>
      <c r="S222" s="3">
        <f t="shared" si="183"/>
        <v>3.795357104510836E-2</v>
      </c>
      <c r="T222" s="3">
        <f t="shared" si="183"/>
        <v>3.7953571044796658E-2</v>
      </c>
      <c r="U222" s="3">
        <f t="shared" si="183"/>
        <v>3.795357104167963E-2</v>
      </c>
      <c r="V222" s="3">
        <f t="shared" si="183"/>
        <v>3.7953571010509356E-2</v>
      </c>
      <c r="W222" s="3">
        <f t="shared" si="183"/>
        <v>3.7953570698806637E-2</v>
      </c>
      <c r="X222" s="3">
        <f t="shared" si="183"/>
        <v>3.795356758177959E-2</v>
      </c>
      <c r="Y222" s="3">
        <f t="shared" si="183"/>
        <v>3.7953536411523235E-2</v>
      </c>
      <c r="Z222" s="3">
        <f t="shared" si="183"/>
        <v>3.7953224710367557E-2</v>
      </c>
      <c r="AA222" s="3">
        <f t="shared" si="183"/>
        <v>3.7950107839602329E-2</v>
      </c>
      <c r="AB222" s="3">
        <f t="shared" si="183"/>
        <v>3.7918953206826977E-2</v>
      </c>
      <c r="AC222" s="3">
        <f t="shared" si="183"/>
        <v>3.7608810099191835E-2</v>
      </c>
      <c r="AD222" s="3">
        <f t="shared" si="183"/>
        <v>3.4643529108207602E-2</v>
      </c>
      <c r="AE222" s="3">
        <f t="shared" si="183"/>
        <v>1.5238684045544121E-2</v>
      </c>
      <c r="AF222" s="3">
        <f t="shared" si="183"/>
        <v>4.1323856283958426E-6</v>
      </c>
      <c r="AG222" s="3"/>
      <c r="AH222" s="3"/>
    </row>
    <row r="223" spans="1:34" x14ac:dyDescent="0.25">
      <c r="B223" s="3">
        <f t="shared" ref="B223:AF223" si="184">$C31*EXP(-B$207/$A31/EXP(-$D$126))</f>
        <v>1.9899360219970862E-2</v>
      </c>
      <c r="C223" s="3">
        <f t="shared" si="184"/>
        <v>1.9899360219970862E-2</v>
      </c>
      <c r="D223" s="3">
        <f t="shared" si="184"/>
        <v>1.9899360219970862E-2</v>
      </c>
      <c r="E223" s="3">
        <f t="shared" si="184"/>
        <v>1.9899360219970862E-2</v>
      </c>
      <c r="F223" s="3">
        <f t="shared" si="184"/>
        <v>1.9899360219970862E-2</v>
      </c>
      <c r="G223" s="3">
        <f t="shared" si="184"/>
        <v>1.9899360219970862E-2</v>
      </c>
      <c r="H223" s="3">
        <f t="shared" si="184"/>
        <v>1.9899360219970862E-2</v>
      </c>
      <c r="I223" s="3">
        <f t="shared" si="184"/>
        <v>1.9899360219970862E-2</v>
      </c>
      <c r="J223" s="3">
        <f t="shared" si="184"/>
        <v>1.9899360219970862E-2</v>
      </c>
      <c r="K223" s="3">
        <f t="shared" si="184"/>
        <v>1.9899360219970862E-2</v>
      </c>
      <c r="L223" s="3">
        <f t="shared" si="184"/>
        <v>1.9899360219970862E-2</v>
      </c>
      <c r="M223" s="3">
        <f t="shared" si="184"/>
        <v>1.9899360219970862E-2</v>
      </c>
      <c r="N223" s="3">
        <f t="shared" si="184"/>
        <v>1.9899360219970862E-2</v>
      </c>
      <c r="O223" s="3">
        <f t="shared" si="184"/>
        <v>1.9899360219970862E-2</v>
      </c>
      <c r="P223" s="3">
        <f t="shared" si="184"/>
        <v>1.9899360219970859E-2</v>
      </c>
      <c r="Q223" s="3">
        <f t="shared" si="184"/>
        <v>1.9899360219970848E-2</v>
      </c>
      <c r="R223" s="3">
        <f t="shared" si="184"/>
        <v>1.9899360219970699E-2</v>
      </c>
      <c r="S223" s="3">
        <f t="shared" si="184"/>
        <v>1.9899360219969225E-2</v>
      </c>
      <c r="T223" s="3">
        <f t="shared" si="184"/>
        <v>1.9899360219954483E-2</v>
      </c>
      <c r="U223" s="3">
        <f t="shared" si="184"/>
        <v>1.9899360219807056E-2</v>
      </c>
      <c r="V223" s="3">
        <f t="shared" si="184"/>
        <v>1.9899360218332798E-2</v>
      </c>
      <c r="W223" s="3">
        <f t="shared" si="184"/>
        <v>1.9899360203590212E-2</v>
      </c>
      <c r="X223" s="3">
        <f t="shared" si="184"/>
        <v>1.9899360056164359E-2</v>
      </c>
      <c r="Y223" s="3">
        <f t="shared" si="184"/>
        <v>1.9899358581905887E-2</v>
      </c>
      <c r="Z223" s="3">
        <f t="shared" si="184"/>
        <v>1.989934383932717E-2</v>
      </c>
      <c r="AA223" s="3">
        <f t="shared" si="184"/>
        <v>1.9899196414140716E-2</v>
      </c>
      <c r="AB223" s="3">
        <f t="shared" si="184"/>
        <v>1.9897722222346165E-2</v>
      </c>
      <c r="AC223" s="3">
        <f t="shared" si="184"/>
        <v>1.9882986309754682E-2</v>
      </c>
      <c r="AD223" s="3">
        <f t="shared" si="184"/>
        <v>1.973622607632488E-2</v>
      </c>
      <c r="AE223" s="3">
        <f t="shared" si="184"/>
        <v>1.832690334976577E-2</v>
      </c>
      <c r="AF223" s="3">
        <f t="shared" si="184"/>
        <v>8.7365279718969787E-3</v>
      </c>
      <c r="AG223" s="3"/>
      <c r="AH223" s="3"/>
    </row>
    <row r="224" spans="1:34" x14ac:dyDescent="0.25">
      <c r="B224" s="3">
        <f t="shared" ref="B224:AF224" si="185">$C32*EXP(-B$207/$A32/EXP(-$D$126))</f>
        <v>1.0036367698219981E-2</v>
      </c>
      <c r="C224" s="3">
        <f t="shared" si="185"/>
        <v>1.0036367698219981E-2</v>
      </c>
      <c r="D224" s="3">
        <f t="shared" si="185"/>
        <v>1.0036367698219981E-2</v>
      </c>
      <c r="E224" s="3">
        <f t="shared" si="185"/>
        <v>1.0036367698219981E-2</v>
      </c>
      <c r="F224" s="3">
        <f t="shared" si="185"/>
        <v>1.0036367698219981E-2</v>
      </c>
      <c r="G224" s="3">
        <f t="shared" si="185"/>
        <v>1.0036367698219981E-2</v>
      </c>
      <c r="H224" s="3">
        <f t="shared" si="185"/>
        <v>1.0036367698219981E-2</v>
      </c>
      <c r="I224" s="3">
        <f t="shared" si="185"/>
        <v>1.0036367698219981E-2</v>
      </c>
      <c r="J224" s="3">
        <f t="shared" si="185"/>
        <v>1.0036367698219981E-2</v>
      </c>
      <c r="K224" s="3">
        <f t="shared" si="185"/>
        <v>1.0036367698219981E-2</v>
      </c>
      <c r="L224" s="3">
        <f t="shared" si="185"/>
        <v>1.0036367698219981E-2</v>
      </c>
      <c r="M224" s="3">
        <f t="shared" si="185"/>
        <v>1.0036367698219981E-2</v>
      </c>
      <c r="N224" s="3">
        <f t="shared" si="185"/>
        <v>1.0036367698219981E-2</v>
      </c>
      <c r="O224" s="3">
        <f t="shared" si="185"/>
        <v>1.0036367698219981E-2</v>
      </c>
      <c r="P224" s="3">
        <f t="shared" si="185"/>
        <v>1.0036367698219981E-2</v>
      </c>
      <c r="Q224" s="3">
        <f t="shared" si="185"/>
        <v>1.0036367698219979E-2</v>
      </c>
      <c r="R224" s="3">
        <f t="shared" si="185"/>
        <v>1.0036367698219974E-2</v>
      </c>
      <c r="S224" s="3">
        <f t="shared" si="185"/>
        <v>1.0036367698219906E-2</v>
      </c>
      <c r="T224" s="3">
        <f t="shared" si="185"/>
        <v>1.0036367698219235E-2</v>
      </c>
      <c r="U224" s="3">
        <f t="shared" si="185"/>
        <v>1.0036367698212529E-2</v>
      </c>
      <c r="V224" s="3">
        <f t="shared" si="185"/>
        <v>1.0036367698145454E-2</v>
      </c>
      <c r="W224" s="3">
        <f t="shared" si="185"/>
        <v>1.0036367697474709E-2</v>
      </c>
      <c r="X224" s="3">
        <f t="shared" si="185"/>
        <v>1.0036367690767255E-2</v>
      </c>
      <c r="Y224" s="3">
        <f t="shared" si="185"/>
        <v>1.0036367623692716E-2</v>
      </c>
      <c r="Z224" s="3">
        <f t="shared" si="185"/>
        <v>1.003636695294736E-2</v>
      </c>
      <c r="AA224" s="3">
        <f t="shared" si="185"/>
        <v>1.0036360245496249E-2</v>
      </c>
      <c r="AB224" s="3">
        <f t="shared" si="185"/>
        <v>1.0036293171231701E-2</v>
      </c>
      <c r="AC224" s="3">
        <f t="shared" si="185"/>
        <v>1.003562245324033E-2</v>
      </c>
      <c r="AD224" s="3">
        <f t="shared" si="185"/>
        <v>1.0028917738129526E-2</v>
      </c>
      <c r="AE224" s="3">
        <f t="shared" si="185"/>
        <v>9.9621164589107931E-3</v>
      </c>
      <c r="AF224" s="3">
        <f t="shared" si="185"/>
        <v>9.3180935881262052E-3</v>
      </c>
      <c r="AG224" s="3"/>
      <c r="AH224" s="3"/>
    </row>
    <row r="225" spans="2:34" x14ac:dyDescent="0.25">
      <c r="B225" s="3">
        <f t="shared" ref="B225:AF225" si="186">$C33*EXP(-B$207/$A33/EXP(-$D$126))</f>
        <v>1.0472179826501766E-2</v>
      </c>
      <c r="C225" s="3">
        <f t="shared" si="186"/>
        <v>1.0472179826501766E-2</v>
      </c>
      <c r="D225" s="3">
        <f t="shared" si="186"/>
        <v>1.0472179826501766E-2</v>
      </c>
      <c r="E225" s="3">
        <f t="shared" si="186"/>
        <v>1.0472179826501766E-2</v>
      </c>
      <c r="F225" s="3">
        <f t="shared" si="186"/>
        <v>1.0472179826501766E-2</v>
      </c>
      <c r="G225" s="3">
        <f t="shared" si="186"/>
        <v>1.0472179826501766E-2</v>
      </c>
      <c r="H225" s="3">
        <f t="shared" si="186"/>
        <v>1.0472179826501766E-2</v>
      </c>
      <c r="I225" s="3">
        <f t="shared" si="186"/>
        <v>1.0472179826501766E-2</v>
      </c>
      <c r="J225" s="3">
        <f t="shared" si="186"/>
        <v>1.0472179826501766E-2</v>
      </c>
      <c r="K225" s="3">
        <f t="shared" si="186"/>
        <v>1.0472179826501766E-2</v>
      </c>
      <c r="L225" s="3">
        <f t="shared" si="186"/>
        <v>1.0472179826501766E-2</v>
      </c>
      <c r="M225" s="3">
        <f t="shared" si="186"/>
        <v>1.0472179826501766E-2</v>
      </c>
      <c r="N225" s="3">
        <f t="shared" si="186"/>
        <v>1.0472179826501766E-2</v>
      </c>
      <c r="O225" s="3">
        <f t="shared" si="186"/>
        <v>1.0472179826501766E-2</v>
      </c>
      <c r="P225" s="3">
        <f t="shared" si="186"/>
        <v>1.0472179826501766E-2</v>
      </c>
      <c r="Q225" s="3">
        <f t="shared" si="186"/>
        <v>1.0472179826501766E-2</v>
      </c>
      <c r="R225" s="3">
        <f t="shared" si="186"/>
        <v>1.0472179826501764E-2</v>
      </c>
      <c r="S225" s="3">
        <f t="shared" si="186"/>
        <v>1.0472179826501759E-2</v>
      </c>
      <c r="T225" s="3">
        <f t="shared" si="186"/>
        <v>1.0472179826501697E-2</v>
      </c>
      <c r="U225" s="3">
        <f t="shared" si="186"/>
        <v>1.0472179826501065E-2</v>
      </c>
      <c r="V225" s="3">
        <f t="shared" si="186"/>
        <v>1.0472179826494751E-2</v>
      </c>
      <c r="W225" s="3">
        <f t="shared" si="186"/>
        <v>1.0472179826431617E-2</v>
      </c>
      <c r="X225" s="3">
        <f t="shared" si="186"/>
        <v>1.0472179825800275E-2</v>
      </c>
      <c r="Y225" s="3">
        <f t="shared" si="186"/>
        <v>1.0472179819486853E-2</v>
      </c>
      <c r="Z225" s="3">
        <f t="shared" si="186"/>
        <v>1.0472179756352633E-2</v>
      </c>
      <c r="AA225" s="3">
        <f t="shared" si="186"/>
        <v>1.0472179125010469E-2</v>
      </c>
      <c r="AB225" s="3">
        <f t="shared" si="186"/>
        <v>1.0472172811590911E-2</v>
      </c>
      <c r="AC225" s="3">
        <f t="shared" si="186"/>
        <v>1.0472109677604667E-2</v>
      </c>
      <c r="AD225" s="3">
        <f t="shared" si="186"/>
        <v>1.0471478358675859E-2</v>
      </c>
      <c r="AE225" s="3">
        <f t="shared" si="186"/>
        <v>1.0465167262283482E-2</v>
      </c>
      <c r="AF225" s="3">
        <f t="shared" si="186"/>
        <v>1.0402265121832323E-2</v>
      </c>
      <c r="AG225" s="3"/>
      <c r="AH225" s="3"/>
    </row>
    <row r="226" spans="2:34" x14ac:dyDescent="0.25">
      <c r="B226" s="3">
        <f t="shared" ref="B226:AF226" si="187">$C34*EXP(-B$207/$A34/EXP(-$D$126))</f>
        <v>1.1455889373470318E-2</v>
      </c>
      <c r="C226" s="3">
        <f t="shared" si="187"/>
        <v>1.1455889373470318E-2</v>
      </c>
      <c r="D226" s="3">
        <f t="shared" si="187"/>
        <v>1.1455889373470318E-2</v>
      </c>
      <c r="E226" s="3">
        <f t="shared" si="187"/>
        <v>1.1455889373470318E-2</v>
      </c>
      <c r="F226" s="3">
        <f t="shared" si="187"/>
        <v>1.1455889373470318E-2</v>
      </c>
      <c r="G226" s="3">
        <f t="shared" si="187"/>
        <v>1.1455889373470318E-2</v>
      </c>
      <c r="H226" s="3">
        <f t="shared" si="187"/>
        <v>1.1455889373470318E-2</v>
      </c>
      <c r="I226" s="3">
        <f t="shared" si="187"/>
        <v>1.1455889373470318E-2</v>
      </c>
      <c r="J226" s="3">
        <f t="shared" si="187"/>
        <v>1.1455889373470318E-2</v>
      </c>
      <c r="K226" s="3">
        <f t="shared" si="187"/>
        <v>1.1455889373470318E-2</v>
      </c>
      <c r="L226" s="3">
        <f t="shared" si="187"/>
        <v>1.1455889373470318E-2</v>
      </c>
      <c r="M226" s="3">
        <f t="shared" si="187"/>
        <v>1.1455889373470318E-2</v>
      </c>
      <c r="N226" s="3">
        <f t="shared" si="187"/>
        <v>1.1455889373470318E-2</v>
      </c>
      <c r="O226" s="3">
        <f t="shared" si="187"/>
        <v>1.1455889373470318E-2</v>
      </c>
      <c r="P226" s="3">
        <f t="shared" si="187"/>
        <v>1.1455889373470318E-2</v>
      </c>
      <c r="Q226" s="3">
        <f t="shared" si="187"/>
        <v>1.1455889373470318E-2</v>
      </c>
      <c r="R226" s="3">
        <f t="shared" si="187"/>
        <v>1.1455889373470318E-2</v>
      </c>
      <c r="S226" s="3">
        <f t="shared" si="187"/>
        <v>1.1455889373470316E-2</v>
      </c>
      <c r="T226" s="3">
        <f t="shared" si="187"/>
        <v>1.1455889373470311E-2</v>
      </c>
      <c r="U226" s="3">
        <f t="shared" si="187"/>
        <v>1.1455889373470248E-2</v>
      </c>
      <c r="V226" s="3">
        <f t="shared" si="187"/>
        <v>1.1455889373469625E-2</v>
      </c>
      <c r="W226" s="3">
        <f t="shared" si="187"/>
        <v>1.1455889373463394E-2</v>
      </c>
      <c r="X226" s="3">
        <f t="shared" si="187"/>
        <v>1.1455889373401093E-2</v>
      </c>
      <c r="Y226" s="3">
        <f t="shared" si="187"/>
        <v>1.1455889372778071E-2</v>
      </c>
      <c r="Z226" s="3">
        <f t="shared" si="187"/>
        <v>1.1455889366547855E-2</v>
      </c>
      <c r="AA226" s="3">
        <f t="shared" si="187"/>
        <v>1.1455889304245693E-2</v>
      </c>
      <c r="AB226" s="3">
        <f t="shared" si="187"/>
        <v>1.1455888681224087E-2</v>
      </c>
      <c r="AC226" s="3">
        <f t="shared" si="187"/>
        <v>1.1455882451009895E-2</v>
      </c>
      <c r="AD226" s="3">
        <f t="shared" si="187"/>
        <v>1.1455820149054323E-2</v>
      </c>
      <c r="AE226" s="3">
        <f t="shared" si="187"/>
        <v>1.145519714813365E-2</v>
      </c>
      <c r="AF226" s="3">
        <f t="shared" si="187"/>
        <v>1.144896900205635E-2</v>
      </c>
      <c r="AG226" s="3"/>
      <c r="AH226" s="3"/>
    </row>
    <row r="227" spans="2:34" x14ac:dyDescent="0.25">
      <c r="B227" s="3">
        <f t="shared" ref="B227:AF227" si="188">$C35*EXP(-B$207/$A35/EXP(-$D$126))</f>
        <v>6.2948394662532018E-3</v>
      </c>
      <c r="C227" s="3">
        <f t="shared" si="188"/>
        <v>6.2948394662532018E-3</v>
      </c>
      <c r="D227" s="3">
        <f t="shared" si="188"/>
        <v>6.2948394662532018E-3</v>
      </c>
      <c r="E227" s="3">
        <f t="shared" si="188"/>
        <v>6.2948394662532018E-3</v>
      </c>
      <c r="F227" s="3">
        <f t="shared" si="188"/>
        <v>6.2948394662532018E-3</v>
      </c>
      <c r="G227" s="3">
        <f t="shared" si="188"/>
        <v>6.2948394662532018E-3</v>
      </c>
      <c r="H227" s="3">
        <f t="shared" si="188"/>
        <v>6.2948394662532018E-3</v>
      </c>
      <c r="I227" s="3">
        <f t="shared" si="188"/>
        <v>6.2948394662532018E-3</v>
      </c>
      <c r="J227" s="3">
        <f t="shared" si="188"/>
        <v>6.2948394662532018E-3</v>
      </c>
      <c r="K227" s="3">
        <f t="shared" si="188"/>
        <v>6.2948394662532018E-3</v>
      </c>
      <c r="L227" s="3">
        <f t="shared" si="188"/>
        <v>6.2948394662532018E-3</v>
      </c>
      <c r="M227" s="3">
        <f t="shared" si="188"/>
        <v>6.2948394662532018E-3</v>
      </c>
      <c r="N227" s="3">
        <f t="shared" si="188"/>
        <v>6.2948394662532018E-3</v>
      </c>
      <c r="O227" s="3">
        <f t="shared" si="188"/>
        <v>6.2948394662532018E-3</v>
      </c>
      <c r="P227" s="3">
        <f t="shared" si="188"/>
        <v>6.2948394662532018E-3</v>
      </c>
      <c r="Q227" s="3">
        <f t="shared" si="188"/>
        <v>6.2948394662532018E-3</v>
      </c>
      <c r="R227" s="3">
        <f t="shared" si="188"/>
        <v>6.2948394662532018E-3</v>
      </c>
      <c r="S227" s="3">
        <f t="shared" si="188"/>
        <v>6.2948394662532018E-3</v>
      </c>
      <c r="T227" s="3">
        <f t="shared" si="188"/>
        <v>6.2948394662532018E-3</v>
      </c>
      <c r="U227" s="3">
        <f t="shared" si="188"/>
        <v>6.2948394662531984E-3</v>
      </c>
      <c r="V227" s="3">
        <f t="shared" si="188"/>
        <v>6.294839466253168E-3</v>
      </c>
      <c r="W227" s="3">
        <f t="shared" si="188"/>
        <v>6.2948394662528584E-3</v>
      </c>
      <c r="X227" s="3">
        <f t="shared" si="188"/>
        <v>6.2948394662497706E-3</v>
      </c>
      <c r="Y227" s="3">
        <f t="shared" si="188"/>
        <v>6.294839466218889E-3</v>
      </c>
      <c r="Z227" s="3">
        <f t="shared" si="188"/>
        <v>6.2948394659100683E-3</v>
      </c>
      <c r="AA227" s="3">
        <f t="shared" si="188"/>
        <v>6.2948394628218676E-3</v>
      </c>
      <c r="AB227" s="3">
        <f t="shared" si="188"/>
        <v>6.2948394319398571E-3</v>
      </c>
      <c r="AC227" s="3">
        <f t="shared" si="188"/>
        <v>6.2948391231197652E-3</v>
      </c>
      <c r="AD227" s="3">
        <f t="shared" si="188"/>
        <v>6.294836034919679E-3</v>
      </c>
      <c r="AE227" s="3">
        <f t="shared" si="188"/>
        <v>6.2948051530021436E-3</v>
      </c>
      <c r="AF227" s="3">
        <f t="shared" si="188"/>
        <v>6.2944963421593851E-3</v>
      </c>
      <c r="AG227" s="3"/>
      <c r="AH227" s="3"/>
    </row>
    <row r="228" spans="2:34" x14ac:dyDescent="0.25">
      <c r="B228" s="3">
        <f t="shared" ref="B228:AF228" si="189">$C36*EXP(-B$207/$A36/EXP(-$D$126))</f>
        <v>5.5356903730511449E-3</v>
      </c>
      <c r="C228" s="3">
        <f t="shared" si="189"/>
        <v>5.5356903730511449E-3</v>
      </c>
      <c r="D228" s="3">
        <f t="shared" si="189"/>
        <v>5.5356903730511449E-3</v>
      </c>
      <c r="E228" s="3">
        <f t="shared" si="189"/>
        <v>5.5356903730511449E-3</v>
      </c>
      <c r="F228" s="3">
        <f t="shared" si="189"/>
        <v>5.5356903730511449E-3</v>
      </c>
      <c r="G228" s="3">
        <f t="shared" si="189"/>
        <v>5.5356903730511449E-3</v>
      </c>
      <c r="H228" s="3">
        <f t="shared" si="189"/>
        <v>5.5356903730511449E-3</v>
      </c>
      <c r="I228" s="3">
        <f t="shared" si="189"/>
        <v>5.5356903730511449E-3</v>
      </c>
      <c r="J228" s="3">
        <f t="shared" si="189"/>
        <v>5.5356903730511449E-3</v>
      </c>
      <c r="K228" s="3">
        <f t="shared" si="189"/>
        <v>5.5356903730511449E-3</v>
      </c>
      <c r="L228" s="3">
        <f t="shared" si="189"/>
        <v>5.5356903730511449E-3</v>
      </c>
      <c r="M228" s="3">
        <f t="shared" si="189"/>
        <v>5.5356903730511449E-3</v>
      </c>
      <c r="N228" s="3">
        <f t="shared" si="189"/>
        <v>5.5356903730511449E-3</v>
      </c>
      <c r="O228" s="3">
        <f t="shared" si="189"/>
        <v>5.5356903730511449E-3</v>
      </c>
      <c r="P228" s="3">
        <f t="shared" si="189"/>
        <v>5.5356903730511449E-3</v>
      </c>
      <c r="Q228" s="3">
        <f t="shared" si="189"/>
        <v>5.5356903730511449E-3</v>
      </c>
      <c r="R228" s="3">
        <f t="shared" si="189"/>
        <v>5.5356903730511449E-3</v>
      </c>
      <c r="S228" s="3">
        <f t="shared" si="189"/>
        <v>5.5356903730511449E-3</v>
      </c>
      <c r="T228" s="3">
        <f t="shared" si="189"/>
        <v>5.5356903730511449E-3</v>
      </c>
      <c r="U228" s="3">
        <f t="shared" si="189"/>
        <v>5.5356903730511449E-3</v>
      </c>
      <c r="V228" s="3">
        <f t="shared" si="189"/>
        <v>5.5356903730511423E-3</v>
      </c>
      <c r="W228" s="3">
        <f t="shared" si="189"/>
        <v>5.535690373051118E-3</v>
      </c>
      <c r="X228" s="3">
        <f t="shared" si="189"/>
        <v>5.5356903730508725E-3</v>
      </c>
      <c r="Y228" s="3">
        <f t="shared" si="189"/>
        <v>5.5356903730484231E-3</v>
      </c>
      <c r="Z228" s="3">
        <f t="shared" si="189"/>
        <v>5.5356903730239245E-3</v>
      </c>
      <c r="AA228" s="3">
        <f t="shared" si="189"/>
        <v>5.5356903727789399E-3</v>
      </c>
      <c r="AB228" s="3">
        <f t="shared" si="189"/>
        <v>5.5356903703290905E-3</v>
      </c>
      <c r="AC228" s="3">
        <f t="shared" si="189"/>
        <v>5.5356903458306031E-3</v>
      </c>
      <c r="AD228" s="3">
        <f t="shared" si="189"/>
        <v>5.5356901008457278E-3</v>
      </c>
      <c r="AE228" s="3">
        <f t="shared" si="189"/>
        <v>5.535687650997578E-3</v>
      </c>
      <c r="AF228" s="3">
        <f t="shared" si="189"/>
        <v>5.5356631525757026E-3</v>
      </c>
      <c r="AG228" s="3"/>
      <c r="AH228" s="3"/>
    </row>
    <row r="229" spans="2:34" x14ac:dyDescent="0.25">
      <c r="B229" s="3">
        <f t="shared" ref="B229:AF229" si="190">$C37*EXP(-B$207/$A37/EXP(-$D$126))</f>
        <v>2.9841994807754844E-3</v>
      </c>
      <c r="C229" s="3">
        <f t="shared" si="190"/>
        <v>2.9841994807754844E-3</v>
      </c>
      <c r="D229" s="3">
        <f t="shared" si="190"/>
        <v>2.9841994807754844E-3</v>
      </c>
      <c r="E229" s="3">
        <f t="shared" si="190"/>
        <v>2.9841994807754844E-3</v>
      </c>
      <c r="F229" s="3">
        <f t="shared" si="190"/>
        <v>2.9841994807754844E-3</v>
      </c>
      <c r="G229" s="3">
        <f t="shared" si="190"/>
        <v>2.9841994807754844E-3</v>
      </c>
      <c r="H229" s="3">
        <f t="shared" si="190"/>
        <v>2.9841994807754844E-3</v>
      </c>
      <c r="I229" s="3">
        <f t="shared" si="190"/>
        <v>2.9841994807754844E-3</v>
      </c>
      <c r="J229" s="3">
        <f t="shared" si="190"/>
        <v>2.9841994807754844E-3</v>
      </c>
      <c r="K229" s="3">
        <f t="shared" si="190"/>
        <v>2.9841994807754844E-3</v>
      </c>
      <c r="L229" s="3">
        <f t="shared" si="190"/>
        <v>2.9841994807754844E-3</v>
      </c>
      <c r="M229" s="3">
        <f t="shared" si="190"/>
        <v>2.9841994807754844E-3</v>
      </c>
      <c r="N229" s="3">
        <f t="shared" si="190"/>
        <v>2.9841994807754844E-3</v>
      </c>
      <c r="O229" s="3">
        <f t="shared" si="190"/>
        <v>2.9841994807754844E-3</v>
      </c>
      <c r="P229" s="3">
        <f t="shared" si="190"/>
        <v>2.9841994807754844E-3</v>
      </c>
      <c r="Q229" s="3">
        <f t="shared" si="190"/>
        <v>2.9841994807754844E-3</v>
      </c>
      <c r="R229" s="3">
        <f t="shared" si="190"/>
        <v>2.9841994807754844E-3</v>
      </c>
      <c r="S229" s="3">
        <f t="shared" si="190"/>
        <v>2.9841994807754844E-3</v>
      </c>
      <c r="T229" s="3">
        <f t="shared" si="190"/>
        <v>2.9841994807754844E-3</v>
      </c>
      <c r="U229" s="3">
        <f t="shared" si="190"/>
        <v>2.9841994807754844E-3</v>
      </c>
      <c r="V229" s="3">
        <f t="shared" si="190"/>
        <v>2.9841994807754844E-3</v>
      </c>
      <c r="W229" s="3">
        <f t="shared" si="190"/>
        <v>2.9841994807754831E-3</v>
      </c>
      <c r="X229" s="3">
        <f t="shared" si="190"/>
        <v>2.984199480775471E-3</v>
      </c>
      <c r="Y229" s="3">
        <f t="shared" si="190"/>
        <v>2.9841994807753517E-3</v>
      </c>
      <c r="Z229" s="3">
        <f t="shared" si="190"/>
        <v>2.9841994807741608E-3</v>
      </c>
      <c r="AA229" s="3">
        <f t="shared" si="190"/>
        <v>2.9841994807622472E-3</v>
      </c>
      <c r="AB229" s="3">
        <f t="shared" si="190"/>
        <v>2.9841994806431116E-3</v>
      </c>
      <c r="AC229" s="3">
        <f t="shared" si="190"/>
        <v>2.9841994794517542E-3</v>
      </c>
      <c r="AD229" s="3">
        <f t="shared" si="190"/>
        <v>2.9841994675381843E-3</v>
      </c>
      <c r="AE229" s="3">
        <f t="shared" si="190"/>
        <v>2.9841993484024834E-3</v>
      </c>
      <c r="AF229" s="3">
        <f t="shared" si="190"/>
        <v>2.9841981570457375E-3</v>
      </c>
      <c r="AG229" s="3"/>
      <c r="AH229" s="3"/>
    </row>
    <row r="230" spans="2:34" x14ac:dyDescent="0.25">
      <c r="B230" s="3">
        <f t="shared" ref="B230:AF230" si="191">$C38*EXP(-B$207/$A38/EXP(-$D$126))</f>
        <v>1.1698557197945001E-3</v>
      </c>
      <c r="C230" s="3">
        <f t="shared" si="191"/>
        <v>1.1698557197945001E-3</v>
      </c>
      <c r="D230" s="3">
        <f t="shared" si="191"/>
        <v>1.1698557197945001E-3</v>
      </c>
      <c r="E230" s="3">
        <f t="shared" si="191"/>
        <v>1.1698557197945001E-3</v>
      </c>
      <c r="F230" s="3">
        <f t="shared" si="191"/>
        <v>1.1698557197945001E-3</v>
      </c>
      <c r="G230" s="3">
        <f t="shared" si="191"/>
        <v>1.1698557197945001E-3</v>
      </c>
      <c r="H230" s="3">
        <f t="shared" si="191"/>
        <v>1.1698557197945001E-3</v>
      </c>
      <c r="I230" s="3">
        <f t="shared" si="191"/>
        <v>1.1698557197945001E-3</v>
      </c>
      <c r="J230" s="3">
        <f t="shared" si="191"/>
        <v>1.1698557197945001E-3</v>
      </c>
      <c r="K230" s="3">
        <f t="shared" si="191"/>
        <v>1.1698557197945001E-3</v>
      </c>
      <c r="L230" s="3">
        <f t="shared" si="191"/>
        <v>1.1698557197945001E-3</v>
      </c>
      <c r="M230" s="3">
        <f t="shared" si="191"/>
        <v>1.1698557197945001E-3</v>
      </c>
      <c r="N230" s="3">
        <f t="shared" si="191"/>
        <v>1.1698557197945001E-3</v>
      </c>
      <c r="O230" s="3">
        <f t="shared" si="191"/>
        <v>1.1698557197945001E-3</v>
      </c>
      <c r="P230" s="3">
        <f t="shared" si="191"/>
        <v>1.1698557197945001E-3</v>
      </c>
      <c r="Q230" s="3">
        <f t="shared" si="191"/>
        <v>1.1698557197945001E-3</v>
      </c>
      <c r="R230" s="3">
        <f t="shared" si="191"/>
        <v>1.1698557197945001E-3</v>
      </c>
      <c r="S230" s="3">
        <f t="shared" si="191"/>
        <v>1.1698557197945001E-3</v>
      </c>
      <c r="T230" s="3">
        <f t="shared" si="191"/>
        <v>1.1698557197945001E-3</v>
      </c>
      <c r="U230" s="3">
        <f t="shared" si="191"/>
        <v>1.1698557197945001E-3</v>
      </c>
      <c r="V230" s="3">
        <f t="shared" si="191"/>
        <v>1.1698557197945001E-3</v>
      </c>
      <c r="W230" s="3">
        <f t="shared" si="191"/>
        <v>1.1698557197945001E-3</v>
      </c>
      <c r="X230" s="3">
        <f t="shared" si="191"/>
        <v>1.1698557197944996E-3</v>
      </c>
      <c r="Y230" s="3">
        <f t="shared" si="191"/>
        <v>1.1698557197944953E-3</v>
      </c>
      <c r="Z230" s="3">
        <f t="shared" si="191"/>
        <v>1.1698557197944532E-3</v>
      </c>
      <c r="AA230" s="3">
        <f t="shared" si="191"/>
        <v>1.1698557197940319E-3</v>
      </c>
      <c r="AB230" s="3">
        <f t="shared" si="191"/>
        <v>1.1698557197898189E-3</v>
      </c>
      <c r="AC230" s="3">
        <f t="shared" si="191"/>
        <v>1.1698557197476888E-3</v>
      </c>
      <c r="AD230" s="3">
        <f t="shared" si="191"/>
        <v>1.1698557193263873E-3</v>
      </c>
      <c r="AE230" s="3">
        <f t="shared" si="191"/>
        <v>1.1698557151133726E-3</v>
      </c>
      <c r="AF230" s="3">
        <f t="shared" si="191"/>
        <v>1.1698556729832262E-3</v>
      </c>
      <c r="AG230" s="3"/>
      <c r="AH230" s="3"/>
    </row>
    <row r="231" spans="2:34" x14ac:dyDescent="0.25">
      <c r="B231" s="3">
        <f t="shared" ref="B231:AF231" si="192">$C39*EXP(-B$207/$A39/EXP(-$D$126))</f>
        <v>4.0204305624187052E-4</v>
      </c>
      <c r="C231" s="3">
        <f t="shared" si="192"/>
        <v>4.0204305624187052E-4</v>
      </c>
      <c r="D231" s="3">
        <f t="shared" si="192"/>
        <v>4.0204305624187052E-4</v>
      </c>
      <c r="E231" s="3">
        <f t="shared" si="192"/>
        <v>4.0204305624187052E-4</v>
      </c>
      <c r="F231" s="3">
        <f t="shared" si="192"/>
        <v>4.0204305624187052E-4</v>
      </c>
      <c r="G231" s="3">
        <f t="shared" si="192"/>
        <v>4.0204305624187052E-4</v>
      </c>
      <c r="H231" s="3">
        <f t="shared" si="192"/>
        <v>4.0204305624187052E-4</v>
      </c>
      <c r="I231" s="3">
        <f t="shared" si="192"/>
        <v>4.0204305624187052E-4</v>
      </c>
      <c r="J231" s="3">
        <f t="shared" si="192"/>
        <v>4.0204305624187052E-4</v>
      </c>
      <c r="K231" s="3">
        <f t="shared" si="192"/>
        <v>4.0204305624187052E-4</v>
      </c>
      <c r="L231" s="3">
        <f t="shared" si="192"/>
        <v>4.0204305624187052E-4</v>
      </c>
      <c r="M231" s="3">
        <f t="shared" si="192"/>
        <v>4.0204305624187052E-4</v>
      </c>
      <c r="N231" s="3">
        <f t="shared" si="192"/>
        <v>4.0204305624187052E-4</v>
      </c>
      <c r="O231" s="3">
        <f t="shared" si="192"/>
        <v>4.0204305624187052E-4</v>
      </c>
      <c r="P231" s="3">
        <f t="shared" si="192"/>
        <v>4.0204305624187052E-4</v>
      </c>
      <c r="Q231" s="3">
        <f t="shared" si="192"/>
        <v>4.0204305624187052E-4</v>
      </c>
      <c r="R231" s="3">
        <f t="shared" si="192"/>
        <v>4.0204305624187052E-4</v>
      </c>
      <c r="S231" s="3">
        <f t="shared" si="192"/>
        <v>4.0204305624187052E-4</v>
      </c>
      <c r="T231" s="3">
        <f t="shared" si="192"/>
        <v>4.0204305624187052E-4</v>
      </c>
      <c r="U231" s="3">
        <f t="shared" si="192"/>
        <v>4.0204305624187052E-4</v>
      </c>
      <c r="V231" s="3">
        <f t="shared" si="192"/>
        <v>4.0204305624187052E-4</v>
      </c>
      <c r="W231" s="3">
        <f t="shared" si="192"/>
        <v>4.0204305624187052E-4</v>
      </c>
      <c r="X231" s="3">
        <f t="shared" si="192"/>
        <v>4.0204305624187047E-4</v>
      </c>
      <c r="Y231" s="3">
        <f t="shared" si="192"/>
        <v>4.0204305624187009E-4</v>
      </c>
      <c r="Z231" s="3">
        <f t="shared" si="192"/>
        <v>4.0204305624186608E-4</v>
      </c>
      <c r="AA231" s="3">
        <f t="shared" si="192"/>
        <v>4.0204305624182602E-4</v>
      </c>
      <c r="AB231" s="3">
        <f t="shared" si="192"/>
        <v>4.0204305624142562E-4</v>
      </c>
      <c r="AC231" s="3">
        <f t="shared" si="192"/>
        <v>4.0204305623742112E-4</v>
      </c>
      <c r="AD231" s="3">
        <f t="shared" si="192"/>
        <v>4.0204305619737633E-4</v>
      </c>
      <c r="AE231" s="3">
        <f t="shared" si="192"/>
        <v>4.0204305579692832E-4</v>
      </c>
      <c r="AF231" s="3">
        <f t="shared" si="192"/>
        <v>4.0204305179244863E-4</v>
      </c>
      <c r="AG231" s="3"/>
      <c r="AH231" s="3"/>
    </row>
    <row r="232" spans="2:34" x14ac:dyDescent="0.25">
      <c r="B232" s="3">
        <f t="shared" ref="B232:AF232" si="193">$C40*EXP(-B$207/$A40/EXP(-$D$126))</f>
        <v>9.0650475367586036E-4</v>
      </c>
      <c r="C232" s="3">
        <f t="shared" si="193"/>
        <v>9.0650475367586036E-4</v>
      </c>
      <c r="D232" s="3">
        <f t="shared" si="193"/>
        <v>9.0650475367586036E-4</v>
      </c>
      <c r="E232" s="3">
        <f t="shared" si="193"/>
        <v>9.0650475367586036E-4</v>
      </c>
      <c r="F232" s="3">
        <f t="shared" si="193"/>
        <v>9.0650475367586036E-4</v>
      </c>
      <c r="G232" s="3">
        <f t="shared" si="193"/>
        <v>9.0650475367586036E-4</v>
      </c>
      <c r="H232" s="3">
        <f t="shared" si="193"/>
        <v>9.0650475367586036E-4</v>
      </c>
      <c r="I232" s="3">
        <f t="shared" si="193"/>
        <v>9.0650475367586036E-4</v>
      </c>
      <c r="J232" s="3">
        <f t="shared" si="193"/>
        <v>9.0650475367586036E-4</v>
      </c>
      <c r="K232" s="3">
        <f t="shared" si="193"/>
        <v>9.0650475367586036E-4</v>
      </c>
      <c r="L232" s="3">
        <f t="shared" si="193"/>
        <v>9.0650475367586036E-4</v>
      </c>
      <c r="M232" s="3">
        <f t="shared" si="193"/>
        <v>9.0650475367586036E-4</v>
      </c>
      <c r="N232" s="3">
        <f t="shared" si="193"/>
        <v>9.0650475367586036E-4</v>
      </c>
      <c r="O232" s="3">
        <f t="shared" si="193"/>
        <v>9.0650475367586036E-4</v>
      </c>
      <c r="P232" s="3">
        <f t="shared" si="193"/>
        <v>9.0650475367586036E-4</v>
      </c>
      <c r="Q232" s="3">
        <f t="shared" si="193"/>
        <v>9.0650475367586036E-4</v>
      </c>
      <c r="R232" s="3">
        <f t="shared" si="193"/>
        <v>9.0650475367586036E-4</v>
      </c>
      <c r="S232" s="3">
        <f t="shared" si="193"/>
        <v>9.0650475367586036E-4</v>
      </c>
      <c r="T232" s="3">
        <f t="shared" si="193"/>
        <v>9.0650475367586036E-4</v>
      </c>
      <c r="U232" s="3">
        <f t="shared" si="193"/>
        <v>9.0650475367586036E-4</v>
      </c>
      <c r="V232" s="3">
        <f t="shared" si="193"/>
        <v>9.0650475367586036E-4</v>
      </c>
      <c r="W232" s="3">
        <f t="shared" si="193"/>
        <v>9.0650475367586036E-4</v>
      </c>
      <c r="X232" s="3">
        <f t="shared" si="193"/>
        <v>9.0650475367586036E-4</v>
      </c>
      <c r="Y232" s="3">
        <f t="shared" si="193"/>
        <v>9.0650475367586025E-4</v>
      </c>
      <c r="Z232" s="3">
        <f t="shared" si="193"/>
        <v>9.0650475367585939E-4</v>
      </c>
      <c r="AA232" s="3">
        <f t="shared" si="193"/>
        <v>9.0650475367585028E-4</v>
      </c>
      <c r="AB232" s="3">
        <f t="shared" si="193"/>
        <v>9.0650475367576007E-4</v>
      </c>
      <c r="AC232" s="3">
        <f t="shared" si="193"/>
        <v>9.0650475367485715E-4</v>
      </c>
      <c r="AD232" s="3">
        <f t="shared" si="193"/>
        <v>9.0650475366582802E-4</v>
      </c>
      <c r="AE232" s="3">
        <f t="shared" si="193"/>
        <v>9.0650475357553729E-4</v>
      </c>
      <c r="AF232" s="3">
        <f t="shared" si="193"/>
        <v>9.0650475267262901E-4</v>
      </c>
      <c r="AG232" s="3"/>
      <c r="AH232" s="3"/>
    </row>
    <row r="233" spans="2:34" x14ac:dyDescent="0.25">
      <c r="B233" s="3">
        <f t="shared" ref="B233:AF233" si="194">$C41*EXP(-B$207/$A41/EXP(-$D$126))</f>
        <v>1.833495697796037E-4</v>
      </c>
      <c r="C233" s="3">
        <f t="shared" si="194"/>
        <v>1.833495697796037E-4</v>
      </c>
      <c r="D233" s="3">
        <f t="shared" si="194"/>
        <v>1.833495697796037E-4</v>
      </c>
      <c r="E233" s="3">
        <f t="shared" si="194"/>
        <v>1.833495697796037E-4</v>
      </c>
      <c r="F233" s="3">
        <f t="shared" si="194"/>
        <v>1.833495697796037E-4</v>
      </c>
      <c r="G233" s="3">
        <f t="shared" si="194"/>
        <v>1.833495697796037E-4</v>
      </c>
      <c r="H233" s="3">
        <f t="shared" si="194"/>
        <v>1.833495697796037E-4</v>
      </c>
      <c r="I233" s="3">
        <f t="shared" si="194"/>
        <v>1.833495697796037E-4</v>
      </c>
      <c r="J233" s="3">
        <f t="shared" si="194"/>
        <v>1.833495697796037E-4</v>
      </c>
      <c r="K233" s="3">
        <f t="shared" si="194"/>
        <v>1.833495697796037E-4</v>
      </c>
      <c r="L233" s="3">
        <f t="shared" si="194"/>
        <v>1.833495697796037E-4</v>
      </c>
      <c r="M233" s="3">
        <f t="shared" si="194"/>
        <v>1.833495697796037E-4</v>
      </c>
      <c r="N233" s="3">
        <f t="shared" si="194"/>
        <v>1.833495697796037E-4</v>
      </c>
      <c r="O233" s="3">
        <f t="shared" si="194"/>
        <v>1.833495697796037E-4</v>
      </c>
      <c r="P233" s="3">
        <f t="shared" si="194"/>
        <v>1.833495697796037E-4</v>
      </c>
      <c r="Q233" s="3">
        <f t="shared" si="194"/>
        <v>1.833495697796037E-4</v>
      </c>
      <c r="R233" s="3">
        <f t="shared" si="194"/>
        <v>1.833495697796037E-4</v>
      </c>
      <c r="S233" s="3">
        <f t="shared" si="194"/>
        <v>1.833495697796037E-4</v>
      </c>
      <c r="T233" s="3">
        <f t="shared" si="194"/>
        <v>1.833495697796037E-4</v>
      </c>
      <c r="U233" s="3">
        <f t="shared" si="194"/>
        <v>1.833495697796037E-4</v>
      </c>
      <c r="V233" s="3">
        <f t="shared" si="194"/>
        <v>1.833495697796037E-4</v>
      </c>
      <c r="W233" s="3">
        <f t="shared" si="194"/>
        <v>1.833495697796037E-4</v>
      </c>
      <c r="X233" s="3">
        <f t="shared" si="194"/>
        <v>1.833495697796037E-4</v>
      </c>
      <c r="Y233" s="3">
        <f t="shared" si="194"/>
        <v>1.833495697796037E-4</v>
      </c>
      <c r="Z233" s="3">
        <f t="shared" si="194"/>
        <v>1.8334956977960368E-4</v>
      </c>
      <c r="AA233" s="3">
        <f t="shared" si="194"/>
        <v>1.8334956977960349E-4</v>
      </c>
      <c r="AB233" s="3">
        <f t="shared" si="194"/>
        <v>1.8334956977960167E-4</v>
      </c>
      <c r="AC233" s="3">
        <f t="shared" si="194"/>
        <v>1.833495697795834E-4</v>
      </c>
      <c r="AD233" s="3">
        <f t="shared" si="194"/>
        <v>1.8334956977940079E-4</v>
      </c>
      <c r="AE233" s="3">
        <f t="shared" si="194"/>
        <v>1.8334956977757456E-4</v>
      </c>
      <c r="AF233" s="3">
        <f t="shared" si="194"/>
        <v>1.8334956975931237E-4</v>
      </c>
      <c r="AG233" s="3"/>
      <c r="AH233" s="3"/>
    </row>
    <row r="234" spans="2:34" x14ac:dyDescent="0.25">
      <c r="B234" s="3">
        <f t="shared" ref="B234:AF234" si="195">$C42*EXP(-B$207/$A42/EXP(-$D$126))</f>
        <v>0</v>
      </c>
      <c r="C234" s="3">
        <f t="shared" si="195"/>
        <v>0</v>
      </c>
      <c r="D234" s="3">
        <f t="shared" si="195"/>
        <v>0</v>
      </c>
      <c r="E234" s="3">
        <f t="shared" si="195"/>
        <v>0</v>
      </c>
      <c r="F234" s="3">
        <f t="shared" si="195"/>
        <v>0</v>
      </c>
      <c r="G234" s="3">
        <f t="shared" si="195"/>
        <v>0</v>
      </c>
      <c r="H234" s="3">
        <f t="shared" si="195"/>
        <v>0</v>
      </c>
      <c r="I234" s="3">
        <f t="shared" si="195"/>
        <v>0</v>
      </c>
      <c r="J234" s="3">
        <f t="shared" si="195"/>
        <v>0</v>
      </c>
      <c r="K234" s="3">
        <f t="shared" si="195"/>
        <v>0</v>
      </c>
      <c r="L234" s="3">
        <f t="shared" si="195"/>
        <v>0</v>
      </c>
      <c r="M234" s="3">
        <f t="shared" si="195"/>
        <v>0</v>
      </c>
      <c r="N234" s="3">
        <f t="shared" si="195"/>
        <v>0</v>
      </c>
      <c r="O234" s="3">
        <f t="shared" si="195"/>
        <v>0</v>
      </c>
      <c r="P234" s="3">
        <f t="shared" si="195"/>
        <v>0</v>
      </c>
      <c r="Q234" s="3">
        <f t="shared" si="195"/>
        <v>0</v>
      </c>
      <c r="R234" s="3">
        <f t="shared" si="195"/>
        <v>0</v>
      </c>
      <c r="S234" s="3">
        <f t="shared" si="195"/>
        <v>0</v>
      </c>
      <c r="T234" s="3">
        <f t="shared" si="195"/>
        <v>0</v>
      </c>
      <c r="U234" s="3">
        <f t="shared" si="195"/>
        <v>0</v>
      </c>
      <c r="V234" s="3">
        <f t="shared" si="195"/>
        <v>0</v>
      </c>
      <c r="W234" s="3">
        <f t="shared" si="195"/>
        <v>0</v>
      </c>
      <c r="X234" s="3">
        <f t="shared" si="195"/>
        <v>0</v>
      </c>
      <c r="Y234" s="3">
        <f t="shared" si="195"/>
        <v>0</v>
      </c>
      <c r="Z234" s="3">
        <f t="shared" si="195"/>
        <v>0</v>
      </c>
      <c r="AA234" s="3">
        <f t="shared" si="195"/>
        <v>0</v>
      </c>
      <c r="AB234" s="3">
        <f t="shared" si="195"/>
        <v>0</v>
      </c>
      <c r="AC234" s="3">
        <f t="shared" si="195"/>
        <v>0</v>
      </c>
      <c r="AD234" s="3">
        <f t="shared" si="195"/>
        <v>0</v>
      </c>
      <c r="AE234" s="3">
        <f t="shared" si="195"/>
        <v>0</v>
      </c>
      <c r="AF234" s="3">
        <f t="shared" si="195"/>
        <v>0</v>
      </c>
      <c r="AG234" s="3"/>
      <c r="AH234" s="3"/>
    </row>
    <row r="235" spans="2:34" x14ac:dyDescent="0.25">
      <c r="B235" s="3">
        <f t="shared" ref="B235:AF235" si="196">$C43*EXP(-B$207/$A43/EXP(-$D$126))</f>
        <v>2.7582104941075727E-4</v>
      </c>
      <c r="C235" s="3">
        <f t="shared" si="196"/>
        <v>2.7582104941075727E-4</v>
      </c>
      <c r="D235" s="3">
        <f t="shared" si="196"/>
        <v>2.7582104941075727E-4</v>
      </c>
      <c r="E235" s="3">
        <f t="shared" si="196"/>
        <v>2.7582104941075727E-4</v>
      </c>
      <c r="F235" s="3">
        <f t="shared" si="196"/>
        <v>2.7582104941075727E-4</v>
      </c>
      <c r="G235" s="3">
        <f t="shared" si="196"/>
        <v>2.7582104941075727E-4</v>
      </c>
      <c r="H235" s="3">
        <f t="shared" si="196"/>
        <v>2.7582104941075727E-4</v>
      </c>
      <c r="I235" s="3">
        <f t="shared" si="196"/>
        <v>2.7582104941075727E-4</v>
      </c>
      <c r="J235" s="3">
        <f t="shared" si="196"/>
        <v>2.7582104941075727E-4</v>
      </c>
      <c r="K235" s="3">
        <f t="shared" si="196"/>
        <v>2.7582104941075727E-4</v>
      </c>
      <c r="L235" s="3">
        <f t="shared" si="196"/>
        <v>2.7582104941075727E-4</v>
      </c>
      <c r="M235" s="3">
        <f t="shared" si="196"/>
        <v>2.7582104941075727E-4</v>
      </c>
      <c r="N235" s="3">
        <f t="shared" si="196"/>
        <v>2.7582104941075727E-4</v>
      </c>
      <c r="O235" s="3">
        <f t="shared" si="196"/>
        <v>2.7582104941075727E-4</v>
      </c>
      <c r="P235" s="3">
        <f t="shared" si="196"/>
        <v>2.7582104941075727E-4</v>
      </c>
      <c r="Q235" s="3">
        <f t="shared" si="196"/>
        <v>2.7582104941075727E-4</v>
      </c>
      <c r="R235" s="3">
        <f t="shared" si="196"/>
        <v>2.7582104941075727E-4</v>
      </c>
      <c r="S235" s="3">
        <f t="shared" si="196"/>
        <v>2.7582104941075727E-4</v>
      </c>
      <c r="T235" s="3">
        <f t="shared" si="196"/>
        <v>2.7582104941075727E-4</v>
      </c>
      <c r="U235" s="3">
        <f t="shared" si="196"/>
        <v>2.7582104941075727E-4</v>
      </c>
      <c r="V235" s="3">
        <f t="shared" si="196"/>
        <v>2.7582104941075727E-4</v>
      </c>
      <c r="W235" s="3">
        <f t="shared" si="196"/>
        <v>2.7582104941075727E-4</v>
      </c>
      <c r="X235" s="3">
        <f t="shared" si="196"/>
        <v>2.7582104941075727E-4</v>
      </c>
      <c r="Y235" s="3">
        <f t="shared" si="196"/>
        <v>2.7582104941075727E-4</v>
      </c>
      <c r="Z235" s="3">
        <f t="shared" si="196"/>
        <v>2.7582104941075727E-4</v>
      </c>
      <c r="AA235" s="3">
        <f t="shared" si="196"/>
        <v>2.7582104941075727E-4</v>
      </c>
      <c r="AB235" s="3">
        <f t="shared" si="196"/>
        <v>2.7582104941075721E-4</v>
      </c>
      <c r="AC235" s="3">
        <f t="shared" si="196"/>
        <v>2.7582104941075694E-4</v>
      </c>
      <c r="AD235" s="3">
        <f t="shared" si="196"/>
        <v>2.7582104941075423E-4</v>
      </c>
      <c r="AE235" s="3">
        <f t="shared" si="196"/>
        <v>2.7582104941072675E-4</v>
      </c>
      <c r="AF235" s="3">
        <f t="shared" si="196"/>
        <v>2.7582104941045201E-4</v>
      </c>
      <c r="AG235" s="3"/>
      <c r="AH235" s="3"/>
    </row>
    <row r="236" spans="2:34" x14ac:dyDescent="0.25">
      <c r="B236" s="3">
        <f t="shared" ref="B236:AF236" si="197">$C44*EXP(-B$207/$A44/EXP(-$D$126))</f>
        <v>2.4535081143819124E-4</v>
      </c>
      <c r="C236" s="3">
        <f t="shared" si="197"/>
        <v>2.4535081143819124E-4</v>
      </c>
      <c r="D236" s="3">
        <f t="shared" si="197"/>
        <v>2.4535081143819124E-4</v>
      </c>
      <c r="E236" s="3">
        <f t="shared" si="197"/>
        <v>2.4535081143819124E-4</v>
      </c>
      <c r="F236" s="3">
        <f t="shared" si="197"/>
        <v>2.4535081143819124E-4</v>
      </c>
      <c r="G236" s="3">
        <f t="shared" si="197"/>
        <v>2.4535081143819124E-4</v>
      </c>
      <c r="H236" s="3">
        <f t="shared" si="197"/>
        <v>2.4535081143819124E-4</v>
      </c>
      <c r="I236" s="3">
        <f t="shared" si="197"/>
        <v>2.4535081143819124E-4</v>
      </c>
      <c r="J236" s="3">
        <f t="shared" si="197"/>
        <v>2.4535081143819124E-4</v>
      </c>
      <c r="K236" s="3">
        <f t="shared" si="197"/>
        <v>2.4535081143819124E-4</v>
      </c>
      <c r="L236" s="3">
        <f t="shared" si="197"/>
        <v>2.4535081143819124E-4</v>
      </c>
      <c r="M236" s="3">
        <f t="shared" si="197"/>
        <v>2.4535081143819124E-4</v>
      </c>
      <c r="N236" s="3">
        <f t="shared" si="197"/>
        <v>2.4535081143819124E-4</v>
      </c>
      <c r="O236" s="3">
        <f t="shared" si="197"/>
        <v>2.4535081143819124E-4</v>
      </c>
      <c r="P236" s="3">
        <f t="shared" si="197"/>
        <v>2.4535081143819124E-4</v>
      </c>
      <c r="Q236" s="3">
        <f t="shared" si="197"/>
        <v>2.4535081143819124E-4</v>
      </c>
      <c r="R236" s="3">
        <f t="shared" si="197"/>
        <v>2.4535081143819124E-4</v>
      </c>
      <c r="S236" s="3">
        <f t="shared" si="197"/>
        <v>2.4535081143819124E-4</v>
      </c>
      <c r="T236" s="3">
        <f t="shared" si="197"/>
        <v>2.4535081143819124E-4</v>
      </c>
      <c r="U236" s="3">
        <f t="shared" si="197"/>
        <v>2.4535081143819124E-4</v>
      </c>
      <c r="V236" s="3">
        <f t="shared" si="197"/>
        <v>2.4535081143819124E-4</v>
      </c>
      <c r="W236" s="3">
        <f t="shared" si="197"/>
        <v>2.4535081143819124E-4</v>
      </c>
      <c r="X236" s="3">
        <f t="shared" si="197"/>
        <v>2.4535081143819124E-4</v>
      </c>
      <c r="Y236" s="3">
        <f t="shared" si="197"/>
        <v>2.4535081143819124E-4</v>
      </c>
      <c r="Z236" s="3">
        <f t="shared" si="197"/>
        <v>2.4535081143819124E-4</v>
      </c>
      <c r="AA236" s="3">
        <f t="shared" si="197"/>
        <v>2.4535081143819124E-4</v>
      </c>
      <c r="AB236" s="3">
        <f t="shared" si="197"/>
        <v>2.4535081143819124E-4</v>
      </c>
      <c r="AC236" s="3">
        <f t="shared" si="197"/>
        <v>2.4535081143819119E-4</v>
      </c>
      <c r="AD236" s="3">
        <f t="shared" si="197"/>
        <v>2.4535081143819097E-4</v>
      </c>
      <c r="AE236" s="3">
        <f t="shared" si="197"/>
        <v>2.4535081143818853E-4</v>
      </c>
      <c r="AF236" s="3">
        <f t="shared" si="197"/>
        <v>2.4535081143816408E-4</v>
      </c>
      <c r="AG236" s="3"/>
      <c r="AH236" s="3"/>
    </row>
    <row r="237" spans="2:34" x14ac:dyDescent="0.25">
      <c r="B237" s="3">
        <f t="shared" ref="B237:AF237" si="198">$C45*EXP(-B$207/$A45/EXP(-$D$126))</f>
        <v>0</v>
      </c>
      <c r="C237" s="3">
        <f t="shared" si="198"/>
        <v>0</v>
      </c>
      <c r="D237" s="3">
        <f t="shared" si="198"/>
        <v>0</v>
      </c>
      <c r="E237" s="3">
        <f t="shared" si="198"/>
        <v>0</v>
      </c>
      <c r="F237" s="3">
        <f t="shared" si="198"/>
        <v>0</v>
      </c>
      <c r="G237" s="3">
        <f t="shared" si="198"/>
        <v>0</v>
      </c>
      <c r="H237" s="3">
        <f t="shared" si="198"/>
        <v>0</v>
      </c>
      <c r="I237" s="3">
        <f t="shared" si="198"/>
        <v>0</v>
      </c>
      <c r="J237" s="3">
        <f t="shared" si="198"/>
        <v>0</v>
      </c>
      <c r="K237" s="3">
        <f t="shared" si="198"/>
        <v>0</v>
      </c>
      <c r="L237" s="3">
        <f t="shared" si="198"/>
        <v>0</v>
      </c>
      <c r="M237" s="3">
        <f t="shared" si="198"/>
        <v>0</v>
      </c>
      <c r="N237" s="3">
        <f t="shared" si="198"/>
        <v>0</v>
      </c>
      <c r="O237" s="3">
        <f t="shared" si="198"/>
        <v>0</v>
      </c>
      <c r="P237" s="3">
        <f t="shared" si="198"/>
        <v>0</v>
      </c>
      <c r="Q237" s="3">
        <f t="shared" si="198"/>
        <v>0</v>
      </c>
      <c r="R237" s="3">
        <f t="shared" si="198"/>
        <v>0</v>
      </c>
      <c r="S237" s="3">
        <f t="shared" si="198"/>
        <v>0</v>
      </c>
      <c r="T237" s="3">
        <f t="shared" si="198"/>
        <v>0</v>
      </c>
      <c r="U237" s="3">
        <f t="shared" si="198"/>
        <v>0</v>
      </c>
      <c r="V237" s="3">
        <f t="shared" si="198"/>
        <v>0</v>
      </c>
      <c r="W237" s="3">
        <f t="shared" si="198"/>
        <v>0</v>
      </c>
      <c r="X237" s="3">
        <f t="shared" si="198"/>
        <v>0</v>
      </c>
      <c r="Y237" s="3">
        <f t="shared" si="198"/>
        <v>0</v>
      </c>
      <c r="Z237" s="3">
        <f t="shared" si="198"/>
        <v>0</v>
      </c>
      <c r="AA237" s="3">
        <f t="shared" si="198"/>
        <v>0</v>
      </c>
      <c r="AB237" s="3">
        <f t="shared" si="198"/>
        <v>0</v>
      </c>
      <c r="AC237" s="3">
        <f t="shared" si="198"/>
        <v>0</v>
      </c>
      <c r="AD237" s="3">
        <f t="shared" si="198"/>
        <v>0</v>
      </c>
      <c r="AE237" s="3">
        <f t="shared" si="198"/>
        <v>0</v>
      </c>
      <c r="AF237" s="3">
        <f t="shared" si="198"/>
        <v>0</v>
      </c>
      <c r="AG237" s="3"/>
      <c r="AH237" s="3"/>
    </row>
    <row r="238" spans="2:34" x14ac:dyDescent="0.25">
      <c r="B238" s="3">
        <f t="shared" ref="B238:AF238" si="199">$C46*EXP(-B$207/$A46/EXP(-$D$126))</f>
        <v>1.7255643769382848E-4</v>
      </c>
      <c r="C238" s="3">
        <f t="shared" si="199"/>
        <v>1.7255643769382848E-4</v>
      </c>
      <c r="D238" s="3">
        <f t="shared" si="199"/>
        <v>1.7255643769382848E-4</v>
      </c>
      <c r="E238" s="3">
        <f t="shared" si="199"/>
        <v>1.7255643769382848E-4</v>
      </c>
      <c r="F238" s="3">
        <f t="shared" si="199"/>
        <v>1.7255643769382848E-4</v>
      </c>
      <c r="G238" s="3">
        <f t="shared" si="199"/>
        <v>1.7255643769382848E-4</v>
      </c>
      <c r="H238" s="3">
        <f t="shared" si="199"/>
        <v>1.7255643769382848E-4</v>
      </c>
      <c r="I238" s="3">
        <f t="shared" si="199"/>
        <v>1.7255643769382848E-4</v>
      </c>
      <c r="J238" s="3">
        <f t="shared" si="199"/>
        <v>1.7255643769382848E-4</v>
      </c>
      <c r="K238" s="3">
        <f t="shared" si="199"/>
        <v>1.7255643769382848E-4</v>
      </c>
      <c r="L238" s="3">
        <f t="shared" si="199"/>
        <v>1.7255643769382848E-4</v>
      </c>
      <c r="M238" s="3">
        <f t="shared" si="199"/>
        <v>1.7255643769382848E-4</v>
      </c>
      <c r="N238" s="3">
        <f t="shared" si="199"/>
        <v>1.7255643769382848E-4</v>
      </c>
      <c r="O238" s="3">
        <f t="shared" si="199"/>
        <v>1.7255643769382848E-4</v>
      </c>
      <c r="P238" s="3">
        <f t="shared" si="199"/>
        <v>1.7255643769382848E-4</v>
      </c>
      <c r="Q238" s="3">
        <f t="shared" si="199"/>
        <v>1.7255643769382848E-4</v>
      </c>
      <c r="R238" s="3">
        <f t="shared" si="199"/>
        <v>1.7255643769382848E-4</v>
      </c>
      <c r="S238" s="3">
        <f t="shared" si="199"/>
        <v>1.7255643769382848E-4</v>
      </c>
      <c r="T238" s="3">
        <f t="shared" si="199"/>
        <v>1.7255643769382848E-4</v>
      </c>
      <c r="U238" s="3">
        <f t="shared" si="199"/>
        <v>1.7255643769382848E-4</v>
      </c>
      <c r="V238" s="3">
        <f t="shared" si="199"/>
        <v>1.7255643769382848E-4</v>
      </c>
      <c r="W238" s="3">
        <f t="shared" si="199"/>
        <v>1.7255643769382848E-4</v>
      </c>
      <c r="X238" s="3">
        <f t="shared" si="199"/>
        <v>1.7255643769382848E-4</v>
      </c>
      <c r="Y238" s="3">
        <f t="shared" si="199"/>
        <v>1.7255643769382848E-4</v>
      </c>
      <c r="Z238" s="3">
        <f t="shared" si="199"/>
        <v>1.7255643769382848E-4</v>
      </c>
      <c r="AA238" s="3">
        <f t="shared" si="199"/>
        <v>1.7255643769382848E-4</v>
      </c>
      <c r="AB238" s="3">
        <f t="shared" si="199"/>
        <v>1.7255643769382848E-4</v>
      </c>
      <c r="AC238" s="3">
        <f t="shared" si="199"/>
        <v>1.7255643769382848E-4</v>
      </c>
      <c r="AD238" s="3">
        <f t="shared" si="199"/>
        <v>1.7255643769382848E-4</v>
      </c>
      <c r="AE238" s="3">
        <f t="shared" si="199"/>
        <v>1.7255643769382845E-4</v>
      </c>
      <c r="AF238" s="3">
        <f t="shared" si="199"/>
        <v>1.7255643769382829E-4</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0</v>
      </c>
      <c r="C240" s="3">
        <f t="shared" si="201"/>
        <v>0</v>
      </c>
      <c r="D240" s="3">
        <f t="shared" si="201"/>
        <v>0</v>
      </c>
      <c r="E240" s="3">
        <f t="shared" si="201"/>
        <v>0</v>
      </c>
      <c r="F240" s="3">
        <f t="shared" si="201"/>
        <v>0</v>
      </c>
      <c r="G240" s="3">
        <f t="shared" si="201"/>
        <v>0</v>
      </c>
      <c r="H240" s="3">
        <f t="shared" si="201"/>
        <v>0</v>
      </c>
      <c r="I240" s="3">
        <f t="shared" si="201"/>
        <v>0</v>
      </c>
      <c r="J240" s="3">
        <f t="shared" si="201"/>
        <v>0</v>
      </c>
      <c r="K240" s="3">
        <f t="shared" si="201"/>
        <v>0</v>
      </c>
      <c r="L240" s="3">
        <f t="shared" si="201"/>
        <v>0</v>
      </c>
      <c r="M240" s="3">
        <f t="shared" si="201"/>
        <v>0</v>
      </c>
      <c r="N240" s="3">
        <f t="shared" si="201"/>
        <v>0</v>
      </c>
      <c r="O240" s="3">
        <f t="shared" si="201"/>
        <v>0</v>
      </c>
      <c r="P240" s="3">
        <f t="shared" si="201"/>
        <v>0</v>
      </c>
      <c r="Q240" s="3">
        <f t="shared" si="201"/>
        <v>0</v>
      </c>
      <c r="R240" s="3">
        <f t="shared" si="201"/>
        <v>0</v>
      </c>
      <c r="S240" s="3">
        <f t="shared" si="201"/>
        <v>0</v>
      </c>
      <c r="T240" s="3">
        <f t="shared" si="201"/>
        <v>0</v>
      </c>
      <c r="U240" s="3">
        <f t="shared" si="201"/>
        <v>0</v>
      </c>
      <c r="V240" s="3">
        <f t="shared" si="201"/>
        <v>0</v>
      </c>
      <c r="W240" s="3">
        <f t="shared" si="201"/>
        <v>0</v>
      </c>
      <c r="X240" s="3">
        <f t="shared" si="201"/>
        <v>0</v>
      </c>
      <c r="Y240" s="3">
        <f t="shared" si="201"/>
        <v>0</v>
      </c>
      <c r="Z240" s="3">
        <f t="shared" si="201"/>
        <v>0</v>
      </c>
      <c r="AA240" s="3">
        <f t="shared" si="201"/>
        <v>0</v>
      </c>
      <c r="AB240" s="3">
        <f t="shared" si="201"/>
        <v>0</v>
      </c>
      <c r="AC240" s="3">
        <f t="shared" si="201"/>
        <v>0</v>
      </c>
      <c r="AD240" s="3">
        <f t="shared" si="201"/>
        <v>0</v>
      </c>
      <c r="AE240" s="3">
        <f t="shared" si="201"/>
        <v>0</v>
      </c>
      <c r="AF240" s="3">
        <f t="shared" si="201"/>
        <v>0</v>
      </c>
      <c r="AG240" s="3"/>
      <c r="AH240" s="3"/>
    </row>
    <row r="241" spans="1:34" x14ac:dyDescent="0.25">
      <c r="A241" s="79">
        <f>AVERAGE(B241:AF241)</f>
        <v>5.3012609897903282E-2</v>
      </c>
      <c r="B241" s="80">
        <f>IF($A$64&lt;=B207,IF($B$64&gt;=B207,ABS((B209-B208)/B208),0),0)</f>
        <v>0</v>
      </c>
      <c r="C241" s="80">
        <f t="shared" ref="C241:AF241" si="202">IF($A$64&lt;=C207,IF($B$64&gt;=C207,ABS((C209-C208)/C208),0),0)</f>
        <v>0</v>
      </c>
      <c r="D241" s="80">
        <f t="shared" si="202"/>
        <v>0</v>
      </c>
      <c r="E241" s="80">
        <f t="shared" si="202"/>
        <v>0</v>
      </c>
      <c r="F241" s="80">
        <f t="shared" si="202"/>
        <v>0</v>
      </c>
      <c r="G241" s="80">
        <f t="shared" si="202"/>
        <v>0</v>
      </c>
      <c r="H241" s="80">
        <f t="shared" si="202"/>
        <v>0</v>
      </c>
      <c r="I241" s="80">
        <f t="shared" si="202"/>
        <v>0</v>
      </c>
      <c r="J241" s="80">
        <f t="shared" si="202"/>
        <v>0</v>
      </c>
      <c r="K241" s="80">
        <f t="shared" si="202"/>
        <v>0</v>
      </c>
      <c r="L241" s="80">
        <f t="shared" si="202"/>
        <v>7.2586652695609294E-2</v>
      </c>
      <c r="M241" s="80">
        <f t="shared" si="202"/>
        <v>0.13289041676248742</v>
      </c>
      <c r="N241" s="80">
        <f t="shared" si="202"/>
        <v>0.24851273418423414</v>
      </c>
      <c r="O241" s="80">
        <f t="shared" si="202"/>
        <v>0.2253990739719173</v>
      </c>
      <c r="P241" s="80">
        <f t="shared" si="202"/>
        <v>0.20296261009919148</v>
      </c>
      <c r="Q241" s="80">
        <f t="shared" si="202"/>
        <v>0.17716270815186835</v>
      </c>
      <c r="R241" s="80">
        <f t="shared" si="202"/>
        <v>0.1444231127652395</v>
      </c>
      <c r="S241" s="80">
        <f t="shared" si="202"/>
        <v>0.11031676473675929</v>
      </c>
      <c r="T241" s="80">
        <f t="shared" si="202"/>
        <v>7.841855657785482E-2</v>
      </c>
      <c r="U241" s="80">
        <f t="shared" si="202"/>
        <v>5.0589187166203281E-2</v>
      </c>
      <c r="V241" s="80">
        <f t="shared" si="202"/>
        <v>0.20012908972363672</v>
      </c>
      <c r="W241" s="80">
        <f t="shared" si="202"/>
        <v>0</v>
      </c>
      <c r="X241" s="80">
        <f t="shared" si="202"/>
        <v>0</v>
      </c>
      <c r="Y241" s="80">
        <f t="shared" si="202"/>
        <v>0</v>
      </c>
      <c r="Z241" s="80">
        <f t="shared" si="202"/>
        <v>0</v>
      </c>
      <c r="AA241" s="80">
        <f t="shared" si="202"/>
        <v>0</v>
      </c>
      <c r="AB241" s="80">
        <f t="shared" si="202"/>
        <v>0</v>
      </c>
      <c r="AC241" s="80">
        <f t="shared" si="202"/>
        <v>0</v>
      </c>
      <c r="AD241" s="80">
        <f t="shared" si="202"/>
        <v>0</v>
      </c>
      <c r="AE241" s="80">
        <f t="shared" si="202"/>
        <v>0</v>
      </c>
      <c r="AF241" s="80">
        <f t="shared" si="202"/>
        <v>0</v>
      </c>
    </row>
    <row r="242" spans="1:34" x14ac:dyDescent="0.25">
      <c r="B242" s="21">
        <f>(B209-B208)^2</f>
        <v>1.4961917127098595E-4</v>
      </c>
      <c r="C242" s="21">
        <f t="shared" ref="C242:AF242" si="203">(C209-C208)^2</f>
        <v>2.5353981961285287E-3</v>
      </c>
      <c r="D242" s="21">
        <f t="shared" si="203"/>
        <v>2.0987301539013782E-3</v>
      </c>
      <c r="E242" s="21">
        <f t="shared" si="203"/>
        <v>0.42206168831458302</v>
      </c>
      <c r="F242" s="21">
        <f t="shared" si="203"/>
        <v>41.484976975099443</v>
      </c>
      <c r="G242" s="21">
        <f t="shared" si="203"/>
        <v>3178.0587539209573</v>
      </c>
      <c r="H242" s="21">
        <f t="shared" si="203"/>
        <v>50639.01911224323</v>
      </c>
      <c r="I242" s="21">
        <f t="shared" si="203"/>
        <v>120825.42873412911</v>
      </c>
      <c r="J242" s="21">
        <f t="shared" si="203"/>
        <v>208736.80538983014</v>
      </c>
      <c r="K242" s="21">
        <f t="shared" si="203"/>
        <v>311897.31114945712</v>
      </c>
      <c r="L242" s="21">
        <f t="shared" si="203"/>
        <v>207371.76685573981</v>
      </c>
      <c r="M242" s="21">
        <f t="shared" si="203"/>
        <v>662129.19549299311</v>
      </c>
      <c r="N242" s="21">
        <f t="shared" si="203"/>
        <v>2193091.8897972484</v>
      </c>
      <c r="O242" s="21">
        <f t="shared" si="203"/>
        <v>1698014.8967112673</v>
      </c>
      <c r="P242" s="21">
        <f t="shared" si="203"/>
        <v>1300316.0414022284</v>
      </c>
      <c r="Q242" s="21">
        <f t="shared" si="203"/>
        <v>929182.08417560242</v>
      </c>
      <c r="R242" s="21">
        <f t="shared" si="203"/>
        <v>568672.04275676725</v>
      </c>
      <c r="S242" s="21">
        <f t="shared" si="203"/>
        <v>295327.23927163042</v>
      </c>
      <c r="T242" s="21">
        <f t="shared" si="203"/>
        <v>121391.09441701148</v>
      </c>
      <c r="U242" s="21">
        <f t="shared" si="203"/>
        <v>36042.949226272271</v>
      </c>
      <c r="V242" s="21">
        <f t="shared" si="203"/>
        <v>392541.96201721823</v>
      </c>
      <c r="W242" s="21">
        <f t="shared" si="203"/>
        <v>732456.95259737992</v>
      </c>
      <c r="X242" s="21">
        <f t="shared" si="203"/>
        <v>880385.97796544305</v>
      </c>
      <c r="Y242" s="21">
        <f t="shared" si="203"/>
        <v>818012.83146321634</v>
      </c>
      <c r="Z242" s="21">
        <f t="shared" si="203"/>
        <v>642483.86670660099</v>
      </c>
      <c r="AA242" s="21">
        <f t="shared" si="203"/>
        <v>384403.79203503387</v>
      </c>
      <c r="AB242" s="21">
        <f t="shared" si="203"/>
        <v>139041.54008751165</v>
      </c>
      <c r="AC242" s="21">
        <f t="shared" si="203"/>
        <v>11108.901587789316</v>
      </c>
      <c r="AD242" s="21">
        <f t="shared" si="203"/>
        <v>7945.9461090293998</v>
      </c>
      <c r="AE242" s="21">
        <f t="shared" si="203"/>
        <v>21386.91081958454</v>
      </c>
      <c r="AF242" s="21">
        <f t="shared" si="203"/>
        <v>6993.6420006534099</v>
      </c>
      <c r="AG242" s="3"/>
      <c r="AH242" s="3"/>
    </row>
    <row r="243" spans="1:34" x14ac:dyDescent="0.25">
      <c r="A243" s="71">
        <f>SUM(B243:AF243)</f>
        <v>8404081.1621239781</v>
      </c>
      <c r="B243" s="60">
        <f>IF($A$64&lt;=B207,IF($B$64&gt;=B207,ABS(B242),0),0)</f>
        <v>0</v>
      </c>
      <c r="C243" s="60">
        <f t="shared" ref="C243" si="204">IF($A$64&lt;=C207,IF($B$64&gt;=C207,ABS(C242),0),0)</f>
        <v>0</v>
      </c>
      <c r="D243" s="60">
        <f t="shared" ref="D243" si="205">IF($A$64&lt;=D207,IF($B$64&gt;=D207,ABS(D242),0),0)</f>
        <v>0</v>
      </c>
      <c r="E243" s="60">
        <f t="shared" ref="E243" si="206">IF($A$64&lt;=E207,IF($B$64&gt;=E207,ABS(E242),0),0)</f>
        <v>0</v>
      </c>
      <c r="F243" s="60">
        <f t="shared" ref="F243" si="207">IF($A$64&lt;=F207,IF($B$64&gt;=F207,ABS(F242),0),0)</f>
        <v>0</v>
      </c>
      <c r="G243" s="60">
        <f t="shared" ref="G243" si="208">IF($A$64&lt;=G207,IF($B$64&gt;=G207,ABS(G242),0),0)</f>
        <v>0</v>
      </c>
      <c r="H243" s="60">
        <f t="shared" ref="H243" si="209">IF($A$64&lt;=H207,IF($B$64&gt;=H207,ABS(H242),0),0)</f>
        <v>0</v>
      </c>
      <c r="I243" s="60">
        <f t="shared" ref="I243" si="210">IF($A$64&lt;=I207,IF($B$64&gt;=I207,ABS(I242),0),0)</f>
        <v>0</v>
      </c>
      <c r="J243" s="60">
        <f t="shared" ref="J243" si="211">IF($A$64&lt;=J207,IF($B$64&gt;=J207,ABS(J242),0),0)</f>
        <v>0</v>
      </c>
      <c r="K243" s="60">
        <f t="shared" ref="K243" si="212">IF($A$64&lt;=K207,IF($B$64&gt;=K207,ABS(K242),0),0)</f>
        <v>0</v>
      </c>
      <c r="L243" s="60">
        <f t="shared" ref="L243" si="213">IF($A$64&lt;=L207,IF($B$64&gt;=L207,ABS(L242),0),0)</f>
        <v>207371.76685573981</v>
      </c>
      <c r="M243" s="60">
        <f t="shared" ref="M243" si="214">IF($A$64&lt;=M207,IF($B$64&gt;=M207,ABS(M242),0),0)</f>
        <v>662129.19549299311</v>
      </c>
      <c r="N243" s="60">
        <f t="shared" ref="N243" si="215">IF($A$64&lt;=N207,IF($B$64&gt;=N207,ABS(N242),0),0)</f>
        <v>2193091.8897972484</v>
      </c>
      <c r="O243" s="60">
        <f t="shared" ref="O243" si="216">IF($A$64&lt;=O207,IF($B$64&gt;=O207,ABS(O242),0),0)</f>
        <v>1698014.8967112673</v>
      </c>
      <c r="P243" s="60">
        <f t="shared" ref="P243" si="217">IF($A$64&lt;=P207,IF($B$64&gt;=P207,ABS(P242),0),0)</f>
        <v>1300316.0414022284</v>
      </c>
      <c r="Q243" s="60">
        <f t="shared" ref="Q243" si="218">IF($A$64&lt;=Q207,IF($B$64&gt;=Q207,ABS(Q242),0),0)</f>
        <v>929182.08417560242</v>
      </c>
      <c r="R243" s="60">
        <f t="shared" ref="R243" si="219">IF($A$64&lt;=R207,IF($B$64&gt;=R207,ABS(R242),0),0)</f>
        <v>568672.04275676725</v>
      </c>
      <c r="S243" s="60">
        <f t="shared" ref="S243" si="220">IF($A$64&lt;=S207,IF($B$64&gt;=S207,ABS(S242),0),0)</f>
        <v>295327.23927163042</v>
      </c>
      <c r="T243" s="60">
        <f t="shared" ref="T243" si="221">IF($A$64&lt;=T207,IF($B$64&gt;=T207,ABS(T242),0),0)</f>
        <v>121391.09441701148</v>
      </c>
      <c r="U243" s="60">
        <f t="shared" ref="U243" si="222">IF($A$64&lt;=U207,IF($B$64&gt;=U207,ABS(U242),0),0)</f>
        <v>36042.949226272271</v>
      </c>
      <c r="V243" s="60">
        <f t="shared" ref="V243" si="223">IF($A$64&lt;=V207,IF($B$64&gt;=V207,ABS(V242),0),0)</f>
        <v>392541.96201721823</v>
      </c>
      <c r="W243" s="60">
        <f t="shared" ref="W243" si="224">IF($A$64&lt;=W207,IF($B$64&gt;=W207,ABS(W242),0),0)</f>
        <v>0</v>
      </c>
      <c r="X243" s="60">
        <f t="shared" ref="X243" si="225">IF($A$64&lt;=X207,IF($B$64&gt;=X207,ABS(X242),0),0)</f>
        <v>0</v>
      </c>
      <c r="Y243" s="60">
        <f t="shared" ref="Y243" si="226">IF($A$64&lt;=Y207,IF($B$64&gt;=Y207,ABS(Y242),0),0)</f>
        <v>0</v>
      </c>
      <c r="Z243" s="60">
        <f t="shared" ref="Z243" si="227">IF($A$64&lt;=Z207,IF($B$64&gt;=Z207,ABS(Z242),0),0)</f>
        <v>0</v>
      </c>
      <c r="AA243" s="60">
        <f t="shared" ref="AA243" si="228">IF($A$64&lt;=AA207,IF($B$64&gt;=AA207,ABS(AA242),0),0)</f>
        <v>0</v>
      </c>
      <c r="AB243" s="60">
        <f t="shared" ref="AB243" si="229">IF($A$64&lt;=AB207,IF($B$64&gt;=AB207,ABS(AB242),0),0)</f>
        <v>0</v>
      </c>
      <c r="AC243" s="60">
        <f t="shared" ref="AC243" si="230">IF($A$64&lt;=AC207,IF($B$64&gt;=AC207,ABS(AC242),0),0)</f>
        <v>0</v>
      </c>
      <c r="AD243" s="60">
        <f t="shared" ref="AD243" si="231">IF($A$64&lt;=AD207,IF($B$64&gt;=AD207,ABS(AD242),0),0)</f>
        <v>0</v>
      </c>
      <c r="AE243" s="60">
        <f t="shared" ref="AE243" si="232">IF($A$64&lt;=AE207,IF($B$64&gt;=AE207,ABS(AE242),0),0)</f>
        <v>0</v>
      </c>
      <c r="AF243" s="60">
        <f t="shared" ref="AF243" si="233">IF($A$64&lt;=AF207,IF($B$64&gt;=AF207,ABS(AF242),0),0)</f>
        <v>0</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6951.7769139036336</v>
      </c>
      <c r="C247" s="26">
        <f>INDEX(Comparison!$AM$3:$AS$33,G$14,$E$122)</f>
        <v>6950.7516447504031</v>
      </c>
      <c r="D247" s="26">
        <f>INDEX(Comparison!$AM$3:$AS$33,H$14,$E$122)</f>
        <v>6940.1985301294053</v>
      </c>
      <c r="E247" s="26">
        <f>INDEX(Comparison!$AM$3:$AS$33,I$14,$E$122)</f>
        <v>6859.1289652487367</v>
      </c>
      <c r="F247" s="26">
        <f>INDEX(Comparison!$AM$3:$AS$33,J$14,$E$122)</f>
        <v>6695.6616107202954</v>
      </c>
      <c r="G247" s="26">
        <f>INDEX(Comparison!$AM$3:$AS$33,K$14,$E$122)</f>
        <v>6579.8912612434069</v>
      </c>
      <c r="H247" s="26">
        <f>INDEX(Comparison!$AM$3:$AS$33,L$14,$E$122)</f>
        <v>6466.0632255652681</v>
      </c>
      <c r="I247" s="26">
        <f>INDEX(Comparison!$AM$3:$AS$33,M$14,$E$122)</f>
        <v>6338.9884403076148</v>
      </c>
      <c r="J247" s="26">
        <f>INDEX(Comparison!$AM$3:$AS$33,N$14,$E$122)</f>
        <v>6203.5301972004399</v>
      </c>
      <c r="K247" s="26">
        <f>INDEX(Comparison!$AM$3:$AS$33,O$14,$E$122)</f>
        <v>6050.6164561665273</v>
      </c>
      <c r="L247" s="26">
        <f>INDEX(Comparison!$AM$3:$AS$33,P$14,$E$122)</f>
        <v>5884.895018012654</v>
      </c>
      <c r="M247" s="26">
        <f>INDEX(Comparison!$AM$3:$AS$33,Q$14,$E$122)</f>
        <v>5709.3519393565812</v>
      </c>
      <c r="N247" s="26">
        <f>INDEX(Comparison!$AM$3:$AS$33,R$14,$E$122)</f>
        <v>5547.9132434192643</v>
      </c>
      <c r="O247" s="26">
        <f>INDEX(Comparison!$AM$3:$AS$33,S$14,$E$122)</f>
        <v>5364.2356794540465</v>
      </c>
      <c r="P247" s="26">
        <f>INDEX(Comparison!$AM$3:$AS$33,T$14,$E$122)</f>
        <v>5142.9380897638539</v>
      </c>
      <c r="Q247" s="26">
        <f>INDEX(Comparison!$AM$3:$AS$33,U$14,$E$122)</f>
        <v>4901.2536857987861</v>
      </c>
      <c r="R247" s="26">
        <f>INDEX(Comparison!$AM$3:$AS$33,V$14,$E$122)</f>
        <v>4661.3568218837227</v>
      </c>
      <c r="S247" s="26">
        <f>INDEX(Comparison!$AM$3:$AS$33,W$14,$E$122)</f>
        <v>4298.6774546472579</v>
      </c>
      <c r="T247" s="26">
        <f>INDEX(Comparison!$AM$3:$AS$33,X$14,$E$122)</f>
        <v>3673.7236771243274</v>
      </c>
      <c r="U247" s="26">
        <f>INDEX(Comparison!$AM$3:$AS$33,Y$14,$E$122)</f>
        <v>3055.9581241953465</v>
      </c>
      <c r="V247" s="26">
        <f>INDEX(Comparison!$AM$3:$AS$33,Z$14,$E$122)</f>
        <v>2586.4007874245467</v>
      </c>
      <c r="W247" s="26">
        <f>INDEX(Comparison!$AM$3:$AS$33,AA$14,$E$122)</f>
        <v>2247.3343211844494</v>
      </c>
      <c r="X247" s="26">
        <f>INDEX(Comparison!$AM$3:$AS$33,AB$14,$E$122)</f>
        <v>1979.307169199863</v>
      </c>
      <c r="Y247" s="26">
        <f>INDEX(Comparison!$AM$3:$AS$33,AC$14,$E$122)</f>
        <v>1753.9456058771568</v>
      </c>
      <c r="Z247" s="26">
        <f>INDEX(Comparison!$AM$3:$AS$33,AD$14,$E$122)</f>
        <v>1541.283272452644</v>
      </c>
      <c r="AA247" s="26">
        <f>INDEX(Comparison!$AM$3:$AS$33,AE$14,$E$122)</f>
        <v>1325.7320252858156</v>
      </c>
      <c r="AB247" s="26">
        <f>INDEX(Comparison!$AM$3:$AS$33,AF$14,$E$122)</f>
        <v>1090.3481138846798</v>
      </c>
      <c r="AC247" s="26">
        <f>INDEX(Comparison!$AM$3:$AS$33,AG$14,$E$122)</f>
        <v>838.64271647474698</v>
      </c>
      <c r="AD247" s="26">
        <f>INDEX(Comparison!$AM$3:$AS$33,AH$14,$E$122)</f>
        <v>600.54666630574377</v>
      </c>
      <c r="AE247" s="26">
        <f>INDEX(Comparison!$AM$3:$AS$33,AI$14,$E$122)</f>
        <v>415.97655166325364</v>
      </c>
      <c r="AF247" s="26">
        <f>INDEX(Comparison!$AM$3:$AS$33,AJ$14,$E$122)</f>
        <v>297.69240550814368</v>
      </c>
      <c r="AG247" s="26"/>
      <c r="AH247" s="26"/>
    </row>
    <row r="248" spans="1:34" x14ac:dyDescent="0.25">
      <c r="A248" s="70" t="s">
        <v>22</v>
      </c>
      <c r="B248" s="27">
        <f>($C$17+SUM(B249:B279))*$B$51</f>
        <v>6992.4086996271735</v>
      </c>
      <c r="C248" s="27">
        <f t="shared" ref="C248:AF248" si="234">($C$17+SUM(C249:C279))*$B$51</f>
        <v>6992.408696271752</v>
      </c>
      <c r="D248" s="27">
        <f t="shared" si="234"/>
        <v>6992.4086627175384</v>
      </c>
      <c r="E248" s="27">
        <f t="shared" si="234"/>
        <v>6992.4083271754189</v>
      </c>
      <c r="F248" s="27">
        <f t="shared" si="234"/>
        <v>6992.4049717566941</v>
      </c>
      <c r="G248" s="27">
        <f t="shared" si="234"/>
        <v>6992.3714178157306</v>
      </c>
      <c r="H248" s="27">
        <f t="shared" si="234"/>
        <v>6992.0359030336613</v>
      </c>
      <c r="I248" s="27">
        <f t="shared" si="234"/>
        <v>6988.683216753042</v>
      </c>
      <c r="J248" s="27">
        <f t="shared" si="234"/>
        <v>6955.4012968126081</v>
      </c>
      <c r="K248" s="27">
        <f t="shared" si="234"/>
        <v>6645.9088709628686</v>
      </c>
      <c r="L248" s="27">
        <f t="shared" si="234"/>
        <v>5048.8619132097783</v>
      </c>
      <c r="M248" s="27">
        <f t="shared" si="234"/>
        <v>4478.1396902828501</v>
      </c>
      <c r="N248" s="27">
        <f t="shared" si="234"/>
        <v>4478.1256279275658</v>
      </c>
      <c r="O248" s="27">
        <f t="shared" si="234"/>
        <v>4477.9941597536072</v>
      </c>
      <c r="P248" s="27">
        <f t="shared" si="234"/>
        <v>4476.6818674604747</v>
      </c>
      <c r="Q248" s="27">
        <f t="shared" si="234"/>
        <v>4463.7949021505328</v>
      </c>
      <c r="R248" s="27">
        <f t="shared" si="234"/>
        <v>4355.7978160739194</v>
      </c>
      <c r="S248" s="27">
        <f t="shared" si="234"/>
        <v>4071.0877443155414</v>
      </c>
      <c r="T248" s="27">
        <f t="shared" si="234"/>
        <v>3923.5754526703845</v>
      </c>
      <c r="U248" s="27">
        <f t="shared" si="234"/>
        <v>3732.6056286845596</v>
      </c>
      <c r="V248" s="27">
        <f t="shared" si="234"/>
        <v>3513.2593460630865</v>
      </c>
      <c r="W248" s="27">
        <f t="shared" si="234"/>
        <v>3274.0601375722026</v>
      </c>
      <c r="X248" s="27">
        <f t="shared" si="234"/>
        <v>2998.1507019041373</v>
      </c>
      <c r="Y248" s="27">
        <f t="shared" si="234"/>
        <v>2682.7593484655936</v>
      </c>
      <c r="Z248" s="27">
        <f t="shared" si="234"/>
        <v>2304.0249392379296</v>
      </c>
      <c r="AA248" s="27">
        <f t="shared" si="234"/>
        <v>1859.3133291739466</v>
      </c>
      <c r="AB248" s="27">
        <f t="shared" si="234"/>
        <v>1394.6598187432876</v>
      </c>
      <c r="AC248" s="27">
        <f t="shared" si="234"/>
        <v>993.31609148072039</v>
      </c>
      <c r="AD248" s="27">
        <f t="shared" si="234"/>
        <v>714.09485557056269</v>
      </c>
      <c r="AE248" s="27">
        <f t="shared" si="234"/>
        <v>550.91963112929352</v>
      </c>
      <c r="AF248" s="27">
        <f t="shared" si="234"/>
        <v>460.91139158725395</v>
      </c>
      <c r="AG248" s="27"/>
      <c r="AH248" s="27"/>
    </row>
    <row r="249" spans="1:34" x14ac:dyDescent="0.25">
      <c r="B249" s="3">
        <f t="shared" ref="B249:AF249" si="235">$C18*EXP(-B$246/$A18/EXP(-$E$126))</f>
        <v>0.35957115341950457</v>
      </c>
      <c r="C249" s="3">
        <f t="shared" si="235"/>
        <v>0.35957115293963826</v>
      </c>
      <c r="D249" s="3">
        <f t="shared" si="235"/>
        <v>0.35957114814097524</v>
      </c>
      <c r="E249" s="3">
        <f t="shared" si="235"/>
        <v>0.35957110015434857</v>
      </c>
      <c r="F249" s="3">
        <f t="shared" si="235"/>
        <v>0.35957062028843434</v>
      </c>
      <c r="G249" s="3">
        <f t="shared" si="235"/>
        <v>0.35956582166451412</v>
      </c>
      <c r="H249" s="3">
        <f t="shared" si="235"/>
        <v>0.3595178389473539</v>
      </c>
      <c r="I249" s="3">
        <f t="shared" si="235"/>
        <v>0.35903836380610199</v>
      </c>
      <c r="J249" s="3">
        <f t="shared" si="235"/>
        <v>0.35427864222039324</v>
      </c>
      <c r="K249" s="3">
        <f t="shared" si="235"/>
        <v>0.3100174403972985</v>
      </c>
      <c r="L249" s="3">
        <f t="shared" si="235"/>
        <v>8.1620203511193715E-2</v>
      </c>
      <c r="M249" s="3">
        <f t="shared" si="235"/>
        <v>1.305909687735508E-7</v>
      </c>
      <c r="N249" s="3">
        <f t="shared" si="235"/>
        <v>1.4357137084004704E-65</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5.3087681466497318E-2</v>
      </c>
      <c r="C250" s="3">
        <f t="shared" si="236"/>
        <v>5.3087681466497297E-2</v>
      </c>
      <c r="D250" s="3">
        <f t="shared" si="236"/>
        <v>5.3087681466497116E-2</v>
      </c>
      <c r="E250" s="3">
        <f t="shared" si="236"/>
        <v>5.3087681466495305E-2</v>
      </c>
      <c r="F250" s="3">
        <f t="shared" si="236"/>
        <v>5.3087681466477153E-2</v>
      </c>
      <c r="G250" s="3">
        <f t="shared" si="236"/>
        <v>5.3087681466295673E-2</v>
      </c>
      <c r="H250" s="3">
        <f t="shared" si="236"/>
        <v>5.3087681464480861E-2</v>
      </c>
      <c r="I250" s="3">
        <f t="shared" si="236"/>
        <v>5.3087681446332767E-2</v>
      </c>
      <c r="J250" s="3">
        <f t="shared" si="236"/>
        <v>5.3087681264851798E-2</v>
      </c>
      <c r="K250" s="3">
        <f t="shared" si="236"/>
        <v>5.3087679450042176E-2</v>
      </c>
      <c r="L250" s="3">
        <f t="shared" si="236"/>
        <v>5.308766130194937E-2</v>
      </c>
      <c r="M250" s="3">
        <f t="shared" si="236"/>
        <v>5.3087479821362485E-2</v>
      </c>
      <c r="N250" s="3">
        <f t="shared" si="236"/>
        <v>5.3085665049614879E-2</v>
      </c>
      <c r="O250" s="3">
        <f t="shared" si="236"/>
        <v>5.3067520743832745E-2</v>
      </c>
      <c r="P250" s="3">
        <f t="shared" si="236"/>
        <v>5.288641842426995E-2</v>
      </c>
      <c r="Q250" s="3">
        <f t="shared" si="236"/>
        <v>5.1109041984221303E-2</v>
      </c>
      <c r="R250" s="3">
        <f t="shared" si="236"/>
        <v>3.6310612689103225E-2</v>
      </c>
      <c r="S250" s="3">
        <f t="shared" si="236"/>
        <v>1.1895753161632822E-3</v>
      </c>
      <c r="T250" s="3">
        <f t="shared" si="236"/>
        <v>1.6942426595732176E-18</v>
      </c>
      <c r="U250" s="3">
        <f t="shared" si="236"/>
        <v>5.8185169033314364E-167</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1.8548614905856641E-2</v>
      </c>
      <c r="C251" s="3">
        <f t="shared" si="237"/>
        <v>1.8548614905856641E-2</v>
      </c>
      <c r="D251" s="3">
        <f t="shared" si="237"/>
        <v>1.8548614905856634E-2</v>
      </c>
      <c r="E251" s="3">
        <f t="shared" si="237"/>
        <v>1.8548614905856579E-2</v>
      </c>
      <c r="F251" s="3">
        <f t="shared" si="237"/>
        <v>1.8548614905856006E-2</v>
      </c>
      <c r="G251" s="3">
        <f t="shared" si="237"/>
        <v>1.8548614905850285E-2</v>
      </c>
      <c r="H251" s="3">
        <f t="shared" si="237"/>
        <v>1.8548614905793084E-2</v>
      </c>
      <c r="I251" s="3">
        <f t="shared" si="237"/>
        <v>1.8548614905221087E-2</v>
      </c>
      <c r="J251" s="3">
        <f t="shared" si="237"/>
        <v>1.8548614899501093E-2</v>
      </c>
      <c r="K251" s="3">
        <f t="shared" si="237"/>
        <v>1.8548614842301178E-2</v>
      </c>
      <c r="L251" s="3">
        <f t="shared" si="237"/>
        <v>1.8548614270302018E-2</v>
      </c>
      <c r="M251" s="3">
        <f t="shared" si="237"/>
        <v>1.8548608550311384E-2</v>
      </c>
      <c r="N251" s="3">
        <f t="shared" si="237"/>
        <v>1.8548551350502058E-2</v>
      </c>
      <c r="O251" s="3">
        <f t="shared" si="237"/>
        <v>1.8547979362110271E-2</v>
      </c>
      <c r="P251" s="3">
        <f t="shared" si="237"/>
        <v>1.8542260448226346E-2</v>
      </c>
      <c r="Q251" s="3">
        <f t="shared" si="237"/>
        <v>1.8485168202195115E-2</v>
      </c>
      <c r="R251" s="3">
        <f t="shared" si="237"/>
        <v>1.7923825373997376E-2</v>
      </c>
      <c r="S251" s="3">
        <f t="shared" si="237"/>
        <v>1.3167510633154871E-2</v>
      </c>
      <c r="T251" s="3">
        <f t="shared" si="237"/>
        <v>6.0288352265500881E-4</v>
      </c>
      <c r="U251" s="3">
        <f t="shared" si="237"/>
        <v>2.4407920536824037E-17</v>
      </c>
      <c r="V251" s="3">
        <f t="shared" si="237"/>
        <v>2.8873833271266863E-151</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2.7428318800719304E-2</v>
      </c>
      <c r="C252" s="3">
        <f t="shared" si="238"/>
        <v>2.7428318800719304E-2</v>
      </c>
      <c r="D252" s="3">
        <f t="shared" si="238"/>
        <v>2.7428318800719304E-2</v>
      </c>
      <c r="E252" s="3">
        <f t="shared" si="238"/>
        <v>2.7428318800719293E-2</v>
      </c>
      <c r="F252" s="3">
        <f t="shared" si="238"/>
        <v>2.7428318800719217E-2</v>
      </c>
      <c r="G252" s="3">
        <f t="shared" si="238"/>
        <v>2.7428318800718457E-2</v>
      </c>
      <c r="H252" s="3">
        <f t="shared" si="238"/>
        <v>2.7428318800710824E-2</v>
      </c>
      <c r="I252" s="3">
        <f t="shared" si="238"/>
        <v>2.7428318800634524E-2</v>
      </c>
      <c r="J252" s="3">
        <f t="shared" si="238"/>
        <v>2.7428318799871516E-2</v>
      </c>
      <c r="K252" s="3">
        <f t="shared" si="238"/>
        <v>2.7428318792241425E-2</v>
      </c>
      <c r="L252" s="3">
        <f t="shared" si="238"/>
        <v>2.7428318715940519E-2</v>
      </c>
      <c r="M252" s="3">
        <f t="shared" si="238"/>
        <v>2.7428317952931474E-2</v>
      </c>
      <c r="N252" s="3">
        <f t="shared" si="238"/>
        <v>2.7428310322842181E-2</v>
      </c>
      <c r="O252" s="3">
        <f t="shared" si="238"/>
        <v>2.742823402206598E-2</v>
      </c>
      <c r="P252" s="3">
        <f t="shared" si="238"/>
        <v>2.7427471025977933E-2</v>
      </c>
      <c r="Q252" s="3">
        <f t="shared" si="238"/>
        <v>2.7419842232372576E-2</v>
      </c>
      <c r="R252" s="3">
        <f t="shared" si="238"/>
        <v>2.7343670903773834E-2</v>
      </c>
      <c r="S252" s="3">
        <f t="shared" si="238"/>
        <v>2.6593499229753476E-2</v>
      </c>
      <c r="T252" s="3">
        <f t="shared" si="238"/>
        <v>2.0135488349077916E-2</v>
      </c>
      <c r="U252" s="3">
        <f t="shared" si="238"/>
        <v>1.2468923859874244E-3</v>
      </c>
      <c r="V252" s="3">
        <f t="shared" si="238"/>
        <v>1.0339440346776707E-15</v>
      </c>
      <c r="W252" s="3">
        <f t="shared" si="238"/>
        <v>1.5891965778562627E-136</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3.2244311763005913E-2</v>
      </c>
      <c r="C253" s="3">
        <f t="shared" si="239"/>
        <v>3.2244311763005913E-2</v>
      </c>
      <c r="D253" s="3">
        <f t="shared" si="239"/>
        <v>3.2244311763005913E-2</v>
      </c>
      <c r="E253" s="3">
        <f t="shared" si="239"/>
        <v>3.2244311763005913E-2</v>
      </c>
      <c r="F253" s="3">
        <f t="shared" si="239"/>
        <v>3.2244311763005899E-2</v>
      </c>
      <c r="G253" s="3">
        <f t="shared" si="239"/>
        <v>3.2244311763005823E-2</v>
      </c>
      <c r="H253" s="3">
        <f t="shared" si="239"/>
        <v>3.2244311763005018E-2</v>
      </c>
      <c r="I253" s="3">
        <f t="shared" si="239"/>
        <v>3.2244311762996927E-2</v>
      </c>
      <c r="J253" s="3">
        <f t="shared" si="239"/>
        <v>3.2244311762916006E-2</v>
      </c>
      <c r="K253" s="3">
        <f t="shared" si="239"/>
        <v>3.2244311762106855E-2</v>
      </c>
      <c r="L253" s="3">
        <f t="shared" si="239"/>
        <v>3.2244311754015334E-2</v>
      </c>
      <c r="M253" s="3">
        <f t="shared" si="239"/>
        <v>3.2244311673100115E-2</v>
      </c>
      <c r="N253" s="3">
        <f t="shared" si="239"/>
        <v>3.2244310863947946E-2</v>
      </c>
      <c r="O253" s="3">
        <f t="shared" si="239"/>
        <v>3.2244302772427395E-2</v>
      </c>
      <c r="P253" s="3">
        <f t="shared" si="239"/>
        <v>3.2244221857333548E-2</v>
      </c>
      <c r="Q253" s="3">
        <f t="shared" si="239"/>
        <v>3.2243412717562807E-2</v>
      </c>
      <c r="R253" s="3">
        <f t="shared" si="239"/>
        <v>3.223532243652627E-2</v>
      </c>
      <c r="S253" s="3">
        <f t="shared" si="239"/>
        <v>3.2154531189636237E-2</v>
      </c>
      <c r="T253" s="3">
        <f t="shared" si="239"/>
        <v>3.1357672173957733E-2</v>
      </c>
      <c r="U253" s="3">
        <f t="shared" si="239"/>
        <v>2.4398332788207716E-2</v>
      </c>
      <c r="V253" s="3">
        <f t="shared" si="239"/>
        <v>1.9839170171098799E-3</v>
      </c>
      <c r="W253" s="3">
        <f t="shared" si="239"/>
        <v>2.5070155156507667E-14</v>
      </c>
      <c r="X253" s="3">
        <f t="shared" si="239"/>
        <v>2.6031081585115158E-123</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3.4402319244329078E-2</v>
      </c>
      <c r="C254" s="3">
        <f t="shared" si="240"/>
        <v>3.4402319244329078E-2</v>
      </c>
      <c r="D254" s="3">
        <f t="shared" si="240"/>
        <v>3.4402319244329078E-2</v>
      </c>
      <c r="E254" s="3">
        <f t="shared" si="240"/>
        <v>3.4402319244329078E-2</v>
      </c>
      <c r="F254" s="3">
        <f t="shared" si="240"/>
        <v>3.4402319244329078E-2</v>
      </c>
      <c r="G254" s="3">
        <f t="shared" si="240"/>
        <v>3.4402319244329072E-2</v>
      </c>
      <c r="H254" s="3">
        <f t="shared" si="240"/>
        <v>3.4402319244328988E-2</v>
      </c>
      <c r="I254" s="3">
        <f t="shared" si="240"/>
        <v>3.4402319244328211E-2</v>
      </c>
      <c r="J254" s="3">
        <f t="shared" si="240"/>
        <v>3.4402319244320426E-2</v>
      </c>
      <c r="K254" s="3">
        <f t="shared" si="240"/>
        <v>3.440231924424255E-2</v>
      </c>
      <c r="L254" s="3">
        <f t="shared" si="240"/>
        <v>3.4402319243463771E-2</v>
      </c>
      <c r="M254" s="3">
        <f t="shared" si="240"/>
        <v>3.4402319235676035E-2</v>
      </c>
      <c r="N254" s="3">
        <f t="shared" si="240"/>
        <v>3.4402319157798643E-2</v>
      </c>
      <c r="O254" s="3">
        <f t="shared" si="240"/>
        <v>3.4402318379024716E-2</v>
      </c>
      <c r="P254" s="3">
        <f t="shared" si="240"/>
        <v>3.4402310591286414E-2</v>
      </c>
      <c r="Q254" s="3">
        <f t="shared" si="240"/>
        <v>3.4402232714000357E-2</v>
      </c>
      <c r="R254" s="3">
        <f t="shared" si="240"/>
        <v>3.4401453950835811E-2</v>
      </c>
      <c r="S254" s="3">
        <f t="shared" si="240"/>
        <v>3.4393667288711738E-2</v>
      </c>
      <c r="T254" s="3">
        <f t="shared" si="240"/>
        <v>3.4315897538448437E-2</v>
      </c>
      <c r="U254" s="3">
        <f t="shared" si="240"/>
        <v>3.3547806485489995E-2</v>
      </c>
      <c r="V254" s="3">
        <f t="shared" si="240"/>
        <v>2.675172534605013E-2</v>
      </c>
      <c r="W254" s="3">
        <f t="shared" si="240"/>
        <v>2.7811760110163855E-3</v>
      </c>
      <c r="X254" s="3">
        <f t="shared" si="240"/>
        <v>4.1019961862466653E-13</v>
      </c>
      <c r="Y254" s="3">
        <f t="shared" si="240"/>
        <v>1.9983107629576944E-111</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4.0521812648841492E-2</v>
      </c>
      <c r="C255" s="3">
        <f t="shared" si="241"/>
        <v>4.0521812648841492E-2</v>
      </c>
      <c r="D255" s="3">
        <f t="shared" si="241"/>
        <v>4.0521812648841492E-2</v>
      </c>
      <c r="E255" s="3">
        <f t="shared" si="241"/>
        <v>4.0521812648841492E-2</v>
      </c>
      <c r="F255" s="3">
        <f t="shared" si="241"/>
        <v>4.0521812648841492E-2</v>
      </c>
      <c r="G255" s="3">
        <f t="shared" si="241"/>
        <v>4.0521812648841492E-2</v>
      </c>
      <c r="H255" s="3">
        <f t="shared" si="241"/>
        <v>4.0521812648841485E-2</v>
      </c>
      <c r="I255" s="3">
        <f t="shared" si="241"/>
        <v>4.0521812648841402E-2</v>
      </c>
      <c r="J255" s="3">
        <f t="shared" si="241"/>
        <v>4.0521812648840576E-2</v>
      </c>
      <c r="K255" s="3">
        <f t="shared" si="241"/>
        <v>4.0521812648832298E-2</v>
      </c>
      <c r="L255" s="3">
        <f t="shared" si="241"/>
        <v>4.0521812648749551E-2</v>
      </c>
      <c r="M255" s="3">
        <f t="shared" si="241"/>
        <v>4.0521812647922067E-2</v>
      </c>
      <c r="N255" s="3">
        <f t="shared" si="241"/>
        <v>4.0521812639647235E-2</v>
      </c>
      <c r="O255" s="3">
        <f t="shared" si="241"/>
        <v>4.052181255689892E-2</v>
      </c>
      <c r="P255" s="3">
        <f t="shared" si="241"/>
        <v>4.0521811729415817E-2</v>
      </c>
      <c r="Q255" s="3">
        <f t="shared" si="241"/>
        <v>4.0521803454585663E-2</v>
      </c>
      <c r="R255" s="3">
        <f t="shared" si="241"/>
        <v>4.0521720706377024E-2</v>
      </c>
      <c r="S255" s="3">
        <f t="shared" si="241"/>
        <v>4.0520893233584418E-2</v>
      </c>
      <c r="T255" s="3">
        <f t="shared" si="241"/>
        <v>4.0512619434957681E-2</v>
      </c>
      <c r="U255" s="3">
        <f t="shared" si="241"/>
        <v>4.042997430845293E-2</v>
      </c>
      <c r="V255" s="3">
        <f t="shared" si="241"/>
        <v>3.9612739239643355E-2</v>
      </c>
      <c r="W255" s="3">
        <f t="shared" si="241"/>
        <v>3.2296017568140351E-2</v>
      </c>
      <c r="X255" s="3">
        <f t="shared" si="241"/>
        <v>4.1907325759449705E-3</v>
      </c>
      <c r="Y255" s="3">
        <f t="shared" si="241"/>
        <v>5.671523050546992E-12</v>
      </c>
      <c r="Z255" s="3">
        <f t="shared" si="241"/>
        <v>1.1689535026325443E-100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4.571082615945813E-2</v>
      </c>
      <c r="C256" s="3">
        <f t="shared" si="242"/>
        <v>4.571082615945813E-2</v>
      </c>
      <c r="D256" s="3">
        <f t="shared" si="242"/>
        <v>4.571082615945813E-2</v>
      </c>
      <c r="E256" s="3">
        <f t="shared" si="242"/>
        <v>4.571082615945813E-2</v>
      </c>
      <c r="F256" s="3">
        <f t="shared" si="242"/>
        <v>4.571082615945813E-2</v>
      </c>
      <c r="G256" s="3">
        <f t="shared" si="242"/>
        <v>4.571082615945813E-2</v>
      </c>
      <c r="H256" s="3">
        <f t="shared" si="242"/>
        <v>4.571082615945813E-2</v>
      </c>
      <c r="I256" s="3">
        <f t="shared" si="242"/>
        <v>4.5710826159458123E-2</v>
      </c>
      <c r="J256" s="3">
        <f t="shared" si="242"/>
        <v>4.571082615945804E-2</v>
      </c>
      <c r="K256" s="3">
        <f t="shared" si="242"/>
        <v>4.5710826159457194E-2</v>
      </c>
      <c r="L256" s="3">
        <f t="shared" si="242"/>
        <v>4.571082615944877E-2</v>
      </c>
      <c r="M256" s="3">
        <f t="shared" si="242"/>
        <v>4.5710826159364566E-2</v>
      </c>
      <c r="N256" s="3">
        <f t="shared" si="242"/>
        <v>4.5710826158522525E-2</v>
      </c>
      <c r="O256" s="3">
        <f t="shared" si="242"/>
        <v>4.5710826150102059E-2</v>
      </c>
      <c r="P256" s="3">
        <f t="shared" si="242"/>
        <v>4.5710826065897436E-2</v>
      </c>
      <c r="Q256" s="3">
        <f t="shared" si="242"/>
        <v>4.5710825223851212E-2</v>
      </c>
      <c r="R256" s="3">
        <f t="shared" si="242"/>
        <v>4.571081680338978E-2</v>
      </c>
      <c r="S256" s="3">
        <f t="shared" si="242"/>
        <v>4.571073259886075E-2</v>
      </c>
      <c r="T256" s="3">
        <f t="shared" si="242"/>
        <v>4.5709890562101715E-2</v>
      </c>
      <c r="U256" s="3">
        <f t="shared" si="242"/>
        <v>4.5701471047577359E-2</v>
      </c>
      <c r="V256" s="3">
        <f t="shared" si="242"/>
        <v>4.5617361150814321E-2</v>
      </c>
      <c r="W256" s="3">
        <f t="shared" si="242"/>
        <v>4.4784729212537983E-2</v>
      </c>
      <c r="X256" s="3">
        <f t="shared" si="242"/>
        <v>3.7250138397886975E-2</v>
      </c>
      <c r="Y256" s="3">
        <f t="shared" si="242"/>
        <v>5.9034687800173227E-3</v>
      </c>
      <c r="Z256" s="3">
        <f t="shared" si="242"/>
        <v>5.900666546971842E-11</v>
      </c>
      <c r="AA256" s="3">
        <f t="shared" si="242"/>
        <v>5.8727172707893819E-91</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5.619956404185248E-2</v>
      </c>
      <c r="C257" s="3">
        <f t="shared" si="243"/>
        <v>5.619956404185248E-2</v>
      </c>
      <c r="D257" s="3">
        <f t="shared" si="243"/>
        <v>5.619956404185248E-2</v>
      </c>
      <c r="E257" s="3">
        <f t="shared" si="243"/>
        <v>5.619956404185248E-2</v>
      </c>
      <c r="F257" s="3">
        <f t="shared" si="243"/>
        <v>5.619956404185248E-2</v>
      </c>
      <c r="G257" s="3">
        <f t="shared" si="243"/>
        <v>5.619956404185248E-2</v>
      </c>
      <c r="H257" s="3">
        <f t="shared" si="243"/>
        <v>5.619956404185248E-2</v>
      </c>
      <c r="I257" s="3">
        <f t="shared" si="243"/>
        <v>5.619956404185248E-2</v>
      </c>
      <c r="J257" s="3">
        <f t="shared" si="243"/>
        <v>5.6199564041852466E-2</v>
      </c>
      <c r="K257" s="3">
        <f t="shared" si="243"/>
        <v>5.6199564041852376E-2</v>
      </c>
      <c r="L257" s="3">
        <f t="shared" si="243"/>
        <v>5.6199564041851446E-2</v>
      </c>
      <c r="M257" s="3">
        <f t="shared" si="243"/>
        <v>5.6199564041842107E-2</v>
      </c>
      <c r="N257" s="3">
        <f t="shared" si="243"/>
        <v>5.6199564041748716E-2</v>
      </c>
      <c r="O257" s="3">
        <f t="shared" si="243"/>
        <v>5.6199564040814824E-2</v>
      </c>
      <c r="P257" s="3">
        <f t="shared" si="243"/>
        <v>5.6199564031475906E-2</v>
      </c>
      <c r="Q257" s="3">
        <f t="shared" si="243"/>
        <v>5.6199563938086762E-2</v>
      </c>
      <c r="R257" s="3">
        <f t="shared" si="243"/>
        <v>5.6199563004195305E-2</v>
      </c>
      <c r="S257" s="3">
        <f t="shared" si="243"/>
        <v>5.6199553665281593E-2</v>
      </c>
      <c r="T257" s="3">
        <f t="shared" si="243"/>
        <v>5.6199460276229803E-2</v>
      </c>
      <c r="U257" s="3">
        <f t="shared" si="243"/>
        <v>5.6198526394247203E-2</v>
      </c>
      <c r="V257" s="3">
        <f t="shared" si="243"/>
        <v>5.6189188427900306E-2</v>
      </c>
      <c r="W257" s="3">
        <f t="shared" si="243"/>
        <v>5.6095894059888476E-2</v>
      </c>
      <c r="X257" s="3">
        <f t="shared" si="243"/>
        <v>5.517142771434471E-2</v>
      </c>
      <c r="Y257" s="3">
        <f t="shared" si="243"/>
        <v>4.6724612382027401E-2</v>
      </c>
      <c r="Z257" s="3">
        <f t="shared" si="243"/>
        <v>8.8687120186318209E-3</v>
      </c>
      <c r="AA257" s="3">
        <f t="shared" si="243"/>
        <v>5.3828094883355893E-10</v>
      </c>
      <c r="AB257" s="3">
        <f t="shared" si="243"/>
        <v>3.6516872331933762E-82</v>
      </c>
      <c r="AC257" s="3">
        <f t="shared" si="243"/>
        <v>0</v>
      </c>
      <c r="AD257" s="3">
        <f t="shared" si="243"/>
        <v>0</v>
      </c>
      <c r="AE257" s="3">
        <f t="shared" si="243"/>
        <v>0</v>
      </c>
      <c r="AF257" s="3">
        <f t="shared" si="243"/>
        <v>0</v>
      </c>
      <c r="AG257" s="3"/>
      <c r="AH257" s="3"/>
    </row>
    <row r="258" spans="2:34" x14ac:dyDescent="0.25">
      <c r="B258" s="3">
        <f t="shared" ref="B258:AF258" si="244">$C27*EXP(-B$246/$A27/EXP(-$E$126))</f>
        <v>6.8321253158217701E-2</v>
      </c>
      <c r="C258" s="3">
        <f t="shared" si="244"/>
        <v>6.8321253158217701E-2</v>
      </c>
      <c r="D258" s="3">
        <f t="shared" si="244"/>
        <v>6.8321253158217701E-2</v>
      </c>
      <c r="E258" s="3">
        <f t="shared" si="244"/>
        <v>6.8321253158217701E-2</v>
      </c>
      <c r="F258" s="3">
        <f t="shared" si="244"/>
        <v>6.8321253158217701E-2</v>
      </c>
      <c r="G258" s="3">
        <f t="shared" si="244"/>
        <v>6.8321253158217701E-2</v>
      </c>
      <c r="H258" s="3">
        <f t="shared" si="244"/>
        <v>6.8321253158217701E-2</v>
      </c>
      <c r="I258" s="3">
        <f t="shared" si="244"/>
        <v>6.8321253158217701E-2</v>
      </c>
      <c r="J258" s="3">
        <f t="shared" si="244"/>
        <v>6.8321253158217701E-2</v>
      </c>
      <c r="K258" s="3">
        <f t="shared" si="244"/>
        <v>6.8321253158217687E-2</v>
      </c>
      <c r="L258" s="3">
        <f t="shared" si="244"/>
        <v>6.832125315821759E-2</v>
      </c>
      <c r="M258" s="3">
        <f t="shared" si="244"/>
        <v>6.8321253158216563E-2</v>
      </c>
      <c r="N258" s="3">
        <f t="shared" si="244"/>
        <v>6.8321253158206321E-2</v>
      </c>
      <c r="O258" s="3">
        <f t="shared" si="244"/>
        <v>6.8321253158103903E-2</v>
      </c>
      <c r="P258" s="3">
        <f t="shared" si="244"/>
        <v>6.832125315707975E-2</v>
      </c>
      <c r="Q258" s="3">
        <f t="shared" si="244"/>
        <v>6.8321253146838193E-2</v>
      </c>
      <c r="R258" s="3">
        <f t="shared" si="244"/>
        <v>6.8321253044422645E-2</v>
      </c>
      <c r="S258" s="3">
        <f t="shared" si="244"/>
        <v>6.8321252020267231E-2</v>
      </c>
      <c r="T258" s="3">
        <f t="shared" si="244"/>
        <v>6.8321241778713793E-2</v>
      </c>
      <c r="U258" s="3">
        <f t="shared" si="244"/>
        <v>6.8321139363263922E-2</v>
      </c>
      <c r="V258" s="3">
        <f t="shared" si="244"/>
        <v>6.832011521720896E-2</v>
      </c>
      <c r="W258" s="3">
        <f t="shared" si="244"/>
        <v>6.8309874600988585E-2</v>
      </c>
      <c r="X258" s="3">
        <f t="shared" si="244"/>
        <v>6.8207552824901915E-2</v>
      </c>
      <c r="Y258" s="3">
        <f t="shared" si="244"/>
        <v>6.7192727058849738E-2</v>
      </c>
      <c r="Z258" s="3">
        <f t="shared" si="244"/>
        <v>5.7838931695434331E-2</v>
      </c>
      <c r="AA258" s="3">
        <f t="shared" si="244"/>
        <v>1.2918146789396675E-2</v>
      </c>
      <c r="AB258" s="3">
        <f t="shared" si="244"/>
        <v>3.9902466218093271E-9</v>
      </c>
      <c r="AC258" s="3">
        <f t="shared" si="244"/>
        <v>3.1549681046998129E-74</v>
      </c>
      <c r="AD258" s="3">
        <f t="shared" si="244"/>
        <v>0</v>
      </c>
      <c r="AE258" s="3">
        <f t="shared" si="244"/>
        <v>0</v>
      </c>
      <c r="AF258" s="3">
        <f t="shared" si="244"/>
        <v>0</v>
      </c>
      <c r="AG258" s="3"/>
      <c r="AH258" s="3"/>
    </row>
    <row r="259" spans="2:34" x14ac:dyDescent="0.25">
      <c r="B259" s="3">
        <f t="shared" ref="B259:AF259" si="245">$C28*EXP(-B$246/$A28/EXP(-$E$126))</f>
        <v>7.2516023247876399E-2</v>
      </c>
      <c r="C259" s="3">
        <f t="shared" si="245"/>
        <v>7.2516023247876399E-2</v>
      </c>
      <c r="D259" s="3">
        <f t="shared" si="245"/>
        <v>7.2516023247876399E-2</v>
      </c>
      <c r="E259" s="3">
        <f t="shared" si="245"/>
        <v>7.2516023247876399E-2</v>
      </c>
      <c r="F259" s="3">
        <f t="shared" si="245"/>
        <v>7.2516023247876399E-2</v>
      </c>
      <c r="G259" s="3">
        <f t="shared" si="245"/>
        <v>7.2516023247876399E-2</v>
      </c>
      <c r="H259" s="3">
        <f t="shared" si="245"/>
        <v>7.2516023247876399E-2</v>
      </c>
      <c r="I259" s="3">
        <f t="shared" si="245"/>
        <v>7.2516023247876399E-2</v>
      </c>
      <c r="J259" s="3">
        <f t="shared" si="245"/>
        <v>7.2516023247876399E-2</v>
      </c>
      <c r="K259" s="3">
        <f t="shared" si="245"/>
        <v>7.2516023247876399E-2</v>
      </c>
      <c r="L259" s="3">
        <f t="shared" si="245"/>
        <v>7.2516023247876385E-2</v>
      </c>
      <c r="M259" s="3">
        <f t="shared" si="245"/>
        <v>7.2516023247876288E-2</v>
      </c>
      <c r="N259" s="3">
        <f t="shared" si="245"/>
        <v>7.2516023247875316E-2</v>
      </c>
      <c r="O259" s="3">
        <f t="shared" si="245"/>
        <v>7.2516023247865505E-2</v>
      </c>
      <c r="P259" s="3">
        <f t="shared" si="245"/>
        <v>7.2516023247767444E-2</v>
      </c>
      <c r="Q259" s="3">
        <f t="shared" si="245"/>
        <v>7.2516023246786854E-2</v>
      </c>
      <c r="R259" s="3">
        <f t="shared" si="245"/>
        <v>7.2516023236980878E-2</v>
      </c>
      <c r="S259" s="3">
        <f t="shared" si="245"/>
        <v>7.2516023138921165E-2</v>
      </c>
      <c r="T259" s="3">
        <f t="shared" si="245"/>
        <v>7.2516022158324034E-2</v>
      </c>
      <c r="U259" s="3">
        <f t="shared" si="245"/>
        <v>7.2516012352353457E-2</v>
      </c>
      <c r="V259" s="3">
        <f t="shared" si="245"/>
        <v>7.2515914292720612E-2</v>
      </c>
      <c r="W259" s="3">
        <f t="shared" si="245"/>
        <v>7.2514933703685253E-2</v>
      </c>
      <c r="X259" s="3">
        <f t="shared" si="245"/>
        <v>7.2505128542597358E-2</v>
      </c>
      <c r="Y259" s="3">
        <f t="shared" si="245"/>
        <v>7.2407149821817909E-2</v>
      </c>
      <c r="Z259" s="3">
        <f t="shared" si="245"/>
        <v>7.1434615286252404E-2</v>
      </c>
      <c r="AA259" s="3">
        <f t="shared" si="245"/>
        <v>6.2399525310045348E-2</v>
      </c>
      <c r="AB259" s="3">
        <f t="shared" si="245"/>
        <v>1.6140130552173386E-2</v>
      </c>
      <c r="AC259" s="3">
        <f t="shared" si="245"/>
        <v>2.1635384455409386E-8</v>
      </c>
      <c r="AD259" s="3">
        <f t="shared" si="245"/>
        <v>4.0526617117540948E-67</v>
      </c>
      <c r="AE259" s="3">
        <f t="shared" si="245"/>
        <v>0</v>
      </c>
      <c r="AF259" s="3">
        <f t="shared" si="245"/>
        <v>0</v>
      </c>
      <c r="AG259" s="3"/>
      <c r="AH259" s="3"/>
    </row>
    <row r="260" spans="2:34" x14ac:dyDescent="0.25">
      <c r="B260" s="3">
        <f t="shared" ref="B260:AF260" si="246">$C29*EXP(-B$246/$A29/EXP(-$E$126))</f>
        <v>6.0357732330784487E-2</v>
      </c>
      <c r="C260" s="3">
        <f t="shared" si="246"/>
        <v>6.0357732330784487E-2</v>
      </c>
      <c r="D260" s="3">
        <f t="shared" si="246"/>
        <v>6.0357732330784487E-2</v>
      </c>
      <c r="E260" s="3">
        <f t="shared" si="246"/>
        <v>6.0357732330784487E-2</v>
      </c>
      <c r="F260" s="3">
        <f t="shared" si="246"/>
        <v>6.0357732330784487E-2</v>
      </c>
      <c r="G260" s="3">
        <f t="shared" si="246"/>
        <v>6.0357732330784487E-2</v>
      </c>
      <c r="H260" s="3">
        <f t="shared" si="246"/>
        <v>6.0357732330784487E-2</v>
      </c>
      <c r="I260" s="3">
        <f t="shared" si="246"/>
        <v>6.0357732330784487E-2</v>
      </c>
      <c r="J260" s="3">
        <f t="shared" si="246"/>
        <v>6.0357732330784487E-2</v>
      </c>
      <c r="K260" s="3">
        <f t="shared" si="246"/>
        <v>6.0357732330784487E-2</v>
      </c>
      <c r="L260" s="3">
        <f t="shared" si="246"/>
        <v>6.0357732330784487E-2</v>
      </c>
      <c r="M260" s="3">
        <f t="shared" si="246"/>
        <v>6.035773233078448E-2</v>
      </c>
      <c r="N260" s="3">
        <f t="shared" si="246"/>
        <v>6.0357732330784404E-2</v>
      </c>
      <c r="O260" s="3">
        <f t="shared" si="246"/>
        <v>6.0357732330783669E-2</v>
      </c>
      <c r="P260" s="3">
        <f t="shared" si="246"/>
        <v>6.0357732330776306E-2</v>
      </c>
      <c r="Q260" s="3">
        <f t="shared" si="246"/>
        <v>6.0357732330702678E-2</v>
      </c>
      <c r="R260" s="3">
        <f t="shared" si="246"/>
        <v>6.0357732329966413E-2</v>
      </c>
      <c r="S260" s="3">
        <f t="shared" si="246"/>
        <v>6.0357732322603726E-2</v>
      </c>
      <c r="T260" s="3">
        <f t="shared" si="246"/>
        <v>6.0357732248976892E-2</v>
      </c>
      <c r="U260" s="3">
        <f t="shared" si="246"/>
        <v>6.0357731512708519E-2</v>
      </c>
      <c r="V260" s="3">
        <f t="shared" si="246"/>
        <v>6.0357724150025299E-2</v>
      </c>
      <c r="W260" s="3">
        <f t="shared" si="246"/>
        <v>6.0357650523242469E-2</v>
      </c>
      <c r="X260" s="3">
        <f t="shared" si="246"/>
        <v>6.0356914260353889E-2</v>
      </c>
      <c r="Y260" s="3">
        <f t="shared" si="246"/>
        <v>6.0349552125414978E-2</v>
      </c>
      <c r="Z260" s="3">
        <f t="shared" si="246"/>
        <v>6.0275980148432447E-2</v>
      </c>
      <c r="AA260" s="3">
        <f t="shared" si="246"/>
        <v>5.9545175407980599E-2</v>
      </c>
      <c r="AB260" s="3">
        <f t="shared" si="246"/>
        <v>5.2707152801295558E-2</v>
      </c>
      <c r="AC260" s="3">
        <f t="shared" si="246"/>
        <v>1.5563215577913188E-2</v>
      </c>
      <c r="AD260" s="3">
        <f t="shared" si="246"/>
        <v>7.8414630357602817E-8</v>
      </c>
      <c r="AE260" s="3">
        <f t="shared" si="246"/>
        <v>8.2675106448439895E-61</v>
      </c>
      <c r="AF260" s="3">
        <f t="shared" si="246"/>
        <v>0</v>
      </c>
      <c r="AG260" s="3"/>
      <c r="AH260" s="3"/>
    </row>
    <row r="261" spans="2:34" x14ac:dyDescent="0.25">
      <c r="B261" s="3">
        <f t="shared" ref="B261:AF261" si="247">$C30*EXP(-B$246/$A30/EXP(-$E$126))</f>
        <v>3.7953571045142992E-2</v>
      </c>
      <c r="C261" s="3">
        <f t="shared" si="247"/>
        <v>3.7953571045142992E-2</v>
      </c>
      <c r="D261" s="3">
        <f t="shared" si="247"/>
        <v>3.7953571045142992E-2</v>
      </c>
      <c r="E261" s="3">
        <f t="shared" si="247"/>
        <v>3.7953571045142992E-2</v>
      </c>
      <c r="F261" s="3">
        <f t="shared" si="247"/>
        <v>3.7953571045142992E-2</v>
      </c>
      <c r="G261" s="3">
        <f t="shared" si="247"/>
        <v>3.7953571045142992E-2</v>
      </c>
      <c r="H261" s="3">
        <f t="shared" si="247"/>
        <v>3.7953571045142992E-2</v>
      </c>
      <c r="I261" s="3">
        <f t="shared" si="247"/>
        <v>3.7953571045142992E-2</v>
      </c>
      <c r="J261" s="3">
        <f t="shared" si="247"/>
        <v>3.7953571045142992E-2</v>
      </c>
      <c r="K261" s="3">
        <f t="shared" si="247"/>
        <v>3.7953571045142992E-2</v>
      </c>
      <c r="L261" s="3">
        <f t="shared" si="247"/>
        <v>3.7953571045142992E-2</v>
      </c>
      <c r="M261" s="3">
        <f t="shared" si="247"/>
        <v>3.7953571045142992E-2</v>
      </c>
      <c r="N261" s="3">
        <f t="shared" si="247"/>
        <v>3.7953571045142985E-2</v>
      </c>
      <c r="O261" s="3">
        <f t="shared" si="247"/>
        <v>3.7953571045142943E-2</v>
      </c>
      <c r="P261" s="3">
        <f t="shared" si="247"/>
        <v>3.7953571045142527E-2</v>
      </c>
      <c r="Q261" s="3">
        <f t="shared" si="247"/>
        <v>3.795357104513835E-2</v>
      </c>
      <c r="R261" s="3">
        <f t="shared" si="247"/>
        <v>3.7953571045096585E-2</v>
      </c>
      <c r="S261" s="3">
        <f t="shared" si="247"/>
        <v>3.7953571044678946E-2</v>
      </c>
      <c r="T261" s="3">
        <f t="shared" si="247"/>
        <v>3.7953571040502544E-2</v>
      </c>
      <c r="U261" s="3">
        <f t="shared" si="247"/>
        <v>3.7953570998738508E-2</v>
      </c>
      <c r="V261" s="3">
        <f t="shared" si="247"/>
        <v>3.7953570581098141E-2</v>
      </c>
      <c r="W261" s="3">
        <f t="shared" si="247"/>
        <v>3.7953566404694751E-2</v>
      </c>
      <c r="X261" s="3">
        <f t="shared" si="247"/>
        <v>3.7953524640686125E-2</v>
      </c>
      <c r="Y261" s="3">
        <f t="shared" si="247"/>
        <v>3.7953107003127463E-2</v>
      </c>
      <c r="Z261" s="3">
        <f t="shared" si="247"/>
        <v>3.7948930880293275E-2</v>
      </c>
      <c r="AA261" s="3">
        <f t="shared" si="247"/>
        <v>3.79071949169065E-2</v>
      </c>
      <c r="AB261" s="3">
        <f t="shared" si="247"/>
        <v>3.7492351522193899E-2</v>
      </c>
      <c r="AC261" s="3">
        <f t="shared" si="247"/>
        <v>3.3585591303715662E-2</v>
      </c>
      <c r="AD261" s="3">
        <f t="shared" si="247"/>
        <v>1.1175222653796453E-2</v>
      </c>
      <c r="AE261" s="3">
        <f t="shared" si="247"/>
        <v>1.8590370430099637E-7</v>
      </c>
      <c r="AF261" s="3">
        <f t="shared" si="247"/>
        <v>3.0172175979588021E-55</v>
      </c>
      <c r="AG261" s="3"/>
      <c r="AH261" s="3"/>
    </row>
    <row r="262" spans="2:34" x14ac:dyDescent="0.25">
      <c r="B262" s="3">
        <f t="shared" ref="B262:AF262" si="248">$C31*EXP(-B$246/$A31/EXP(-$E$126))</f>
        <v>1.9899360219970862E-2</v>
      </c>
      <c r="C262" s="3">
        <f t="shared" si="248"/>
        <v>1.9899360219970862E-2</v>
      </c>
      <c r="D262" s="3">
        <f t="shared" si="248"/>
        <v>1.9899360219970862E-2</v>
      </c>
      <c r="E262" s="3">
        <f t="shared" si="248"/>
        <v>1.9899360219970862E-2</v>
      </c>
      <c r="F262" s="3">
        <f t="shared" si="248"/>
        <v>1.9899360219970862E-2</v>
      </c>
      <c r="G262" s="3">
        <f t="shared" si="248"/>
        <v>1.9899360219970862E-2</v>
      </c>
      <c r="H262" s="3">
        <f t="shared" si="248"/>
        <v>1.9899360219970862E-2</v>
      </c>
      <c r="I262" s="3">
        <f t="shared" si="248"/>
        <v>1.9899360219970862E-2</v>
      </c>
      <c r="J262" s="3">
        <f t="shared" si="248"/>
        <v>1.9899360219970862E-2</v>
      </c>
      <c r="K262" s="3">
        <f t="shared" si="248"/>
        <v>1.9899360219970862E-2</v>
      </c>
      <c r="L262" s="3">
        <f t="shared" si="248"/>
        <v>1.9899360219970862E-2</v>
      </c>
      <c r="M262" s="3">
        <f t="shared" si="248"/>
        <v>1.9899360219970862E-2</v>
      </c>
      <c r="N262" s="3">
        <f t="shared" si="248"/>
        <v>1.9899360219970862E-2</v>
      </c>
      <c r="O262" s="3">
        <f t="shared" si="248"/>
        <v>1.9899360219970859E-2</v>
      </c>
      <c r="P262" s="3">
        <f t="shared" si="248"/>
        <v>1.9899360219970842E-2</v>
      </c>
      <c r="Q262" s="3">
        <f t="shared" si="248"/>
        <v>1.9899360219970644E-2</v>
      </c>
      <c r="R262" s="3">
        <f t="shared" si="248"/>
        <v>1.989936021996867E-2</v>
      </c>
      <c r="S262" s="3">
        <f t="shared" si="248"/>
        <v>1.9899360219948915E-2</v>
      </c>
      <c r="T262" s="3">
        <f t="shared" si="248"/>
        <v>1.9899360219751385E-2</v>
      </c>
      <c r="U262" s="3">
        <f t="shared" si="248"/>
        <v>1.9899360217776073E-2</v>
      </c>
      <c r="V262" s="3">
        <f t="shared" si="248"/>
        <v>1.989936019802296E-2</v>
      </c>
      <c r="W262" s="3">
        <f t="shared" si="248"/>
        <v>1.9899360000491841E-2</v>
      </c>
      <c r="X262" s="3">
        <f t="shared" si="248"/>
        <v>1.9899358025180749E-2</v>
      </c>
      <c r="Y262" s="3">
        <f t="shared" si="248"/>
        <v>1.9899338272080618E-2</v>
      </c>
      <c r="Z262" s="3">
        <f t="shared" si="248"/>
        <v>1.9899140742157748E-2</v>
      </c>
      <c r="AA262" s="3">
        <f t="shared" si="248"/>
        <v>1.9897165550768293E-2</v>
      </c>
      <c r="AB262" s="3">
        <f t="shared" si="248"/>
        <v>1.9877424416840359E-2</v>
      </c>
      <c r="AC262" s="3">
        <f t="shared" si="248"/>
        <v>1.9681087125437879E-2</v>
      </c>
      <c r="AD262" s="3">
        <f t="shared" si="248"/>
        <v>1.7821276793638E-2</v>
      </c>
      <c r="AE262" s="3">
        <f t="shared" si="248"/>
        <v>6.6044420223432916E-3</v>
      </c>
      <c r="AF262" s="3">
        <f t="shared" si="248"/>
        <v>3.2270767682971715E-7</v>
      </c>
      <c r="AG262" s="3"/>
      <c r="AH262" s="3"/>
    </row>
    <row r="263" spans="2:34" x14ac:dyDescent="0.25">
      <c r="B263" s="3">
        <f t="shared" ref="B263:AF263" si="249">$C32*EXP(-B$246/$A32/EXP(-$E$126))</f>
        <v>1.0036367698219981E-2</v>
      </c>
      <c r="C263" s="3">
        <f t="shared" si="249"/>
        <v>1.0036367698219981E-2</v>
      </c>
      <c r="D263" s="3">
        <f t="shared" si="249"/>
        <v>1.0036367698219981E-2</v>
      </c>
      <c r="E263" s="3">
        <f t="shared" si="249"/>
        <v>1.0036367698219981E-2</v>
      </c>
      <c r="F263" s="3">
        <f t="shared" si="249"/>
        <v>1.0036367698219981E-2</v>
      </c>
      <c r="G263" s="3">
        <f t="shared" si="249"/>
        <v>1.0036367698219981E-2</v>
      </c>
      <c r="H263" s="3">
        <f t="shared" si="249"/>
        <v>1.0036367698219981E-2</v>
      </c>
      <c r="I263" s="3">
        <f t="shared" si="249"/>
        <v>1.0036367698219981E-2</v>
      </c>
      <c r="J263" s="3">
        <f t="shared" si="249"/>
        <v>1.0036367698219981E-2</v>
      </c>
      <c r="K263" s="3">
        <f t="shared" si="249"/>
        <v>1.0036367698219981E-2</v>
      </c>
      <c r="L263" s="3">
        <f t="shared" si="249"/>
        <v>1.0036367698219981E-2</v>
      </c>
      <c r="M263" s="3">
        <f t="shared" si="249"/>
        <v>1.0036367698219981E-2</v>
      </c>
      <c r="N263" s="3">
        <f t="shared" si="249"/>
        <v>1.0036367698219981E-2</v>
      </c>
      <c r="O263" s="3">
        <f t="shared" si="249"/>
        <v>1.0036367698219981E-2</v>
      </c>
      <c r="P263" s="3">
        <f t="shared" si="249"/>
        <v>1.0036367698219979E-2</v>
      </c>
      <c r="Q263" s="3">
        <f t="shared" si="249"/>
        <v>1.0036367698219971E-2</v>
      </c>
      <c r="R263" s="3">
        <f t="shared" si="249"/>
        <v>1.003636769821988E-2</v>
      </c>
      <c r="S263" s="3">
        <f t="shared" si="249"/>
        <v>1.0036367698218982E-2</v>
      </c>
      <c r="T263" s="3">
        <f t="shared" si="249"/>
        <v>1.0036367698209994E-2</v>
      </c>
      <c r="U263" s="3">
        <f t="shared" si="249"/>
        <v>1.0036367698120125E-2</v>
      </c>
      <c r="V263" s="3">
        <f t="shared" si="249"/>
        <v>1.0036367697221413E-2</v>
      </c>
      <c r="W263" s="3">
        <f t="shared" si="249"/>
        <v>1.0036367688234314E-2</v>
      </c>
      <c r="X263" s="3">
        <f t="shared" si="249"/>
        <v>1.0036367598363315E-2</v>
      </c>
      <c r="Y263" s="3">
        <f t="shared" si="249"/>
        <v>1.0036366699653375E-2</v>
      </c>
      <c r="Z263" s="3">
        <f t="shared" si="249"/>
        <v>1.003635771255838E-2</v>
      </c>
      <c r="AA263" s="3">
        <f t="shared" si="249"/>
        <v>1.0036267842051054E-2</v>
      </c>
      <c r="AB263" s="3">
        <f t="shared" si="249"/>
        <v>1.0035369181237578E-2</v>
      </c>
      <c r="AC263" s="3">
        <f t="shared" si="249"/>
        <v>1.0026386997615027E-2</v>
      </c>
      <c r="AD263" s="3">
        <f t="shared" si="249"/>
        <v>9.9370061501965461E-3</v>
      </c>
      <c r="AE263" s="3">
        <f t="shared" si="249"/>
        <v>9.0858698214053117E-3</v>
      </c>
      <c r="AF263" s="3">
        <f t="shared" si="249"/>
        <v>3.710872435153095E-3</v>
      </c>
      <c r="AG263" s="3"/>
      <c r="AH263" s="3"/>
    </row>
    <row r="264" spans="2:34" x14ac:dyDescent="0.25">
      <c r="B264" s="3">
        <f t="shared" ref="B264:AF264" si="250">$C33*EXP(-B$246/$A33/EXP(-$E$126))</f>
        <v>1.0472179826501766E-2</v>
      </c>
      <c r="C264" s="3">
        <f t="shared" si="250"/>
        <v>1.0472179826501766E-2</v>
      </c>
      <c r="D264" s="3">
        <f t="shared" si="250"/>
        <v>1.0472179826501766E-2</v>
      </c>
      <c r="E264" s="3">
        <f t="shared" si="250"/>
        <v>1.0472179826501766E-2</v>
      </c>
      <c r="F264" s="3">
        <f t="shared" si="250"/>
        <v>1.0472179826501766E-2</v>
      </c>
      <c r="G264" s="3">
        <f t="shared" si="250"/>
        <v>1.0472179826501766E-2</v>
      </c>
      <c r="H264" s="3">
        <f t="shared" si="250"/>
        <v>1.0472179826501766E-2</v>
      </c>
      <c r="I264" s="3">
        <f t="shared" si="250"/>
        <v>1.0472179826501766E-2</v>
      </c>
      <c r="J264" s="3">
        <f t="shared" si="250"/>
        <v>1.0472179826501766E-2</v>
      </c>
      <c r="K264" s="3">
        <f t="shared" si="250"/>
        <v>1.0472179826501766E-2</v>
      </c>
      <c r="L264" s="3">
        <f t="shared" si="250"/>
        <v>1.0472179826501766E-2</v>
      </c>
      <c r="M264" s="3">
        <f t="shared" si="250"/>
        <v>1.0472179826501766E-2</v>
      </c>
      <c r="N264" s="3">
        <f t="shared" si="250"/>
        <v>1.0472179826501766E-2</v>
      </c>
      <c r="O264" s="3">
        <f t="shared" si="250"/>
        <v>1.0472179826501766E-2</v>
      </c>
      <c r="P264" s="3">
        <f t="shared" si="250"/>
        <v>1.0472179826501766E-2</v>
      </c>
      <c r="Q264" s="3">
        <f t="shared" si="250"/>
        <v>1.0472179826501764E-2</v>
      </c>
      <c r="R264" s="3">
        <f t="shared" si="250"/>
        <v>1.0472179826501758E-2</v>
      </c>
      <c r="S264" s="3">
        <f t="shared" si="250"/>
        <v>1.0472179826501673E-2</v>
      </c>
      <c r="T264" s="3">
        <f t="shared" si="250"/>
        <v>1.0472179826500826E-2</v>
      </c>
      <c r="U264" s="3">
        <f t="shared" si="250"/>
        <v>1.0472179826492367E-2</v>
      </c>
      <c r="V264" s="3">
        <f t="shared" si="250"/>
        <v>1.0472179826407775E-2</v>
      </c>
      <c r="W264" s="3">
        <f t="shared" si="250"/>
        <v>1.047217982556186E-2</v>
      </c>
      <c r="X264" s="3">
        <f t="shared" si="250"/>
        <v>1.0472179817102712E-2</v>
      </c>
      <c r="Y264" s="3">
        <f t="shared" si="250"/>
        <v>1.047217973251122E-2</v>
      </c>
      <c r="Z264" s="3">
        <f t="shared" si="250"/>
        <v>1.0472178886596335E-2</v>
      </c>
      <c r="AA264" s="3">
        <f t="shared" si="250"/>
        <v>1.0472170427451251E-2</v>
      </c>
      <c r="AB264" s="3">
        <f t="shared" si="250"/>
        <v>1.0472085836376233E-2</v>
      </c>
      <c r="AC264" s="3">
        <f t="shared" si="250"/>
        <v>1.0471239963206711E-2</v>
      </c>
      <c r="AD264" s="3">
        <f t="shared" si="250"/>
        <v>1.0462784988455832E-2</v>
      </c>
      <c r="AE264" s="3">
        <f t="shared" si="250"/>
        <v>1.0378609814941582E-2</v>
      </c>
      <c r="AF264" s="3">
        <f t="shared" si="250"/>
        <v>9.5732197457810281E-3</v>
      </c>
      <c r="AG264" s="3"/>
      <c r="AH264" s="3"/>
    </row>
    <row r="265" spans="2:34" x14ac:dyDescent="0.25">
      <c r="B265" s="3">
        <f t="shared" ref="B265:AF265" si="251">$C34*EXP(-B$246/$A34/EXP(-$E$126))</f>
        <v>1.1455889373470318E-2</v>
      </c>
      <c r="C265" s="3">
        <f t="shared" si="251"/>
        <v>1.1455889373470318E-2</v>
      </c>
      <c r="D265" s="3">
        <f t="shared" si="251"/>
        <v>1.1455889373470318E-2</v>
      </c>
      <c r="E265" s="3">
        <f t="shared" si="251"/>
        <v>1.1455889373470318E-2</v>
      </c>
      <c r="F265" s="3">
        <f t="shared" si="251"/>
        <v>1.1455889373470318E-2</v>
      </c>
      <c r="G265" s="3">
        <f t="shared" si="251"/>
        <v>1.1455889373470318E-2</v>
      </c>
      <c r="H265" s="3">
        <f t="shared" si="251"/>
        <v>1.1455889373470318E-2</v>
      </c>
      <c r="I265" s="3">
        <f t="shared" si="251"/>
        <v>1.1455889373470318E-2</v>
      </c>
      <c r="J265" s="3">
        <f t="shared" si="251"/>
        <v>1.1455889373470318E-2</v>
      </c>
      <c r="K265" s="3">
        <f t="shared" si="251"/>
        <v>1.1455889373470318E-2</v>
      </c>
      <c r="L265" s="3">
        <f t="shared" si="251"/>
        <v>1.1455889373470318E-2</v>
      </c>
      <c r="M265" s="3">
        <f t="shared" si="251"/>
        <v>1.1455889373470318E-2</v>
      </c>
      <c r="N265" s="3">
        <f t="shared" si="251"/>
        <v>1.1455889373470318E-2</v>
      </c>
      <c r="O265" s="3">
        <f t="shared" si="251"/>
        <v>1.1455889373470318E-2</v>
      </c>
      <c r="P265" s="3">
        <f t="shared" si="251"/>
        <v>1.1455889373470318E-2</v>
      </c>
      <c r="Q265" s="3">
        <f t="shared" si="251"/>
        <v>1.1455889373470318E-2</v>
      </c>
      <c r="R265" s="3">
        <f t="shared" si="251"/>
        <v>1.1455889373470316E-2</v>
      </c>
      <c r="S265" s="3">
        <f t="shared" si="251"/>
        <v>1.1455889373470309E-2</v>
      </c>
      <c r="T265" s="3">
        <f t="shared" si="251"/>
        <v>1.1455889373470224E-2</v>
      </c>
      <c r="U265" s="3">
        <f t="shared" si="251"/>
        <v>1.1455889373469391E-2</v>
      </c>
      <c r="V265" s="3">
        <f t="shared" si="251"/>
        <v>1.1455889373461042E-2</v>
      </c>
      <c r="W265" s="3">
        <f t="shared" si="251"/>
        <v>1.1455889373377565E-2</v>
      </c>
      <c r="X265" s="3">
        <f t="shared" si="251"/>
        <v>1.1455889372542799E-2</v>
      </c>
      <c r="Y265" s="3">
        <f t="shared" si="251"/>
        <v>1.1455889364195134E-2</v>
      </c>
      <c r="Z265" s="3">
        <f t="shared" si="251"/>
        <v>1.1455889280718487E-2</v>
      </c>
      <c r="AA265" s="3">
        <f t="shared" si="251"/>
        <v>1.1455888445952049E-2</v>
      </c>
      <c r="AB265" s="3">
        <f t="shared" si="251"/>
        <v>1.1455880098291023E-2</v>
      </c>
      <c r="AC265" s="3">
        <f t="shared" si="251"/>
        <v>1.1455796622015289E-2</v>
      </c>
      <c r="AD265" s="3">
        <f t="shared" si="251"/>
        <v>1.1454961892712175E-2</v>
      </c>
      <c r="AE265" s="3">
        <f t="shared" si="251"/>
        <v>1.1446617944200916E-2</v>
      </c>
      <c r="AF265" s="3">
        <f t="shared" si="251"/>
        <v>1.136351201111181E-2</v>
      </c>
      <c r="AG265" s="3"/>
      <c r="AH265" s="3"/>
    </row>
    <row r="266" spans="2:34" x14ac:dyDescent="0.25">
      <c r="B266" s="3">
        <f t="shared" ref="B266:AF266" si="252">$C35*EXP(-B$246/$A35/EXP(-$E$126))</f>
        <v>6.2948394662532018E-3</v>
      </c>
      <c r="C266" s="3">
        <f t="shared" si="252"/>
        <v>6.2948394662532018E-3</v>
      </c>
      <c r="D266" s="3">
        <f t="shared" si="252"/>
        <v>6.2948394662532018E-3</v>
      </c>
      <c r="E266" s="3">
        <f t="shared" si="252"/>
        <v>6.2948394662532018E-3</v>
      </c>
      <c r="F266" s="3">
        <f t="shared" si="252"/>
        <v>6.2948394662532018E-3</v>
      </c>
      <c r="G266" s="3">
        <f t="shared" si="252"/>
        <v>6.2948394662532018E-3</v>
      </c>
      <c r="H266" s="3">
        <f t="shared" si="252"/>
        <v>6.2948394662532018E-3</v>
      </c>
      <c r="I266" s="3">
        <f t="shared" si="252"/>
        <v>6.2948394662532018E-3</v>
      </c>
      <c r="J266" s="3">
        <f t="shared" si="252"/>
        <v>6.2948394662532018E-3</v>
      </c>
      <c r="K266" s="3">
        <f t="shared" si="252"/>
        <v>6.2948394662532018E-3</v>
      </c>
      <c r="L266" s="3">
        <f t="shared" si="252"/>
        <v>6.2948394662532018E-3</v>
      </c>
      <c r="M266" s="3">
        <f t="shared" si="252"/>
        <v>6.2948394662532018E-3</v>
      </c>
      <c r="N266" s="3">
        <f t="shared" si="252"/>
        <v>6.2948394662532018E-3</v>
      </c>
      <c r="O266" s="3">
        <f t="shared" si="252"/>
        <v>6.2948394662532018E-3</v>
      </c>
      <c r="P266" s="3">
        <f t="shared" si="252"/>
        <v>6.2948394662532018E-3</v>
      </c>
      <c r="Q266" s="3">
        <f t="shared" si="252"/>
        <v>6.2948394662532018E-3</v>
      </c>
      <c r="R266" s="3">
        <f t="shared" si="252"/>
        <v>6.2948394662532018E-3</v>
      </c>
      <c r="S266" s="3">
        <f t="shared" si="252"/>
        <v>6.294839466253201E-3</v>
      </c>
      <c r="T266" s="3">
        <f t="shared" si="252"/>
        <v>6.2948394662531966E-3</v>
      </c>
      <c r="U266" s="3">
        <f t="shared" si="252"/>
        <v>6.2948394662531559E-3</v>
      </c>
      <c r="V266" s="3">
        <f t="shared" si="252"/>
        <v>6.2948394662527421E-3</v>
      </c>
      <c r="W266" s="3">
        <f t="shared" si="252"/>
        <v>6.294839466248604E-3</v>
      </c>
      <c r="X266" s="3">
        <f t="shared" si="252"/>
        <v>6.2948394662072265E-3</v>
      </c>
      <c r="Y266" s="3">
        <f t="shared" si="252"/>
        <v>6.2948394657934481E-3</v>
      </c>
      <c r="Z266" s="3">
        <f t="shared" si="252"/>
        <v>6.2948394616556677E-3</v>
      </c>
      <c r="AA266" s="3">
        <f t="shared" si="252"/>
        <v>6.2948394202778646E-3</v>
      </c>
      <c r="AB266" s="3">
        <f t="shared" si="252"/>
        <v>6.2948390064998415E-3</v>
      </c>
      <c r="AC266" s="3">
        <f t="shared" si="252"/>
        <v>6.2948348687211072E-3</v>
      </c>
      <c r="AD266" s="3">
        <f t="shared" si="252"/>
        <v>6.2947934910833623E-3</v>
      </c>
      <c r="AE266" s="3">
        <f t="shared" si="252"/>
        <v>6.2943797296648582E-3</v>
      </c>
      <c r="AF266" s="3">
        <f t="shared" si="252"/>
        <v>6.2902436110112651E-3</v>
      </c>
      <c r="AG266" s="3"/>
      <c r="AH266" s="3"/>
    </row>
    <row r="267" spans="2:34" x14ac:dyDescent="0.25">
      <c r="B267" s="3">
        <f t="shared" ref="B267:AF267" si="253">$C36*EXP(-B$246/$A36/EXP(-$E$126))</f>
        <v>5.5356903730511449E-3</v>
      </c>
      <c r="C267" s="3">
        <f t="shared" si="253"/>
        <v>5.5356903730511449E-3</v>
      </c>
      <c r="D267" s="3">
        <f t="shared" si="253"/>
        <v>5.5356903730511449E-3</v>
      </c>
      <c r="E267" s="3">
        <f t="shared" si="253"/>
        <v>5.5356903730511449E-3</v>
      </c>
      <c r="F267" s="3">
        <f t="shared" si="253"/>
        <v>5.5356903730511449E-3</v>
      </c>
      <c r="G267" s="3">
        <f t="shared" si="253"/>
        <v>5.5356903730511449E-3</v>
      </c>
      <c r="H267" s="3">
        <f t="shared" si="253"/>
        <v>5.5356903730511449E-3</v>
      </c>
      <c r="I267" s="3">
        <f t="shared" si="253"/>
        <v>5.5356903730511449E-3</v>
      </c>
      <c r="J267" s="3">
        <f t="shared" si="253"/>
        <v>5.5356903730511449E-3</v>
      </c>
      <c r="K267" s="3">
        <f t="shared" si="253"/>
        <v>5.5356903730511449E-3</v>
      </c>
      <c r="L267" s="3">
        <f t="shared" si="253"/>
        <v>5.5356903730511449E-3</v>
      </c>
      <c r="M267" s="3">
        <f t="shared" si="253"/>
        <v>5.5356903730511449E-3</v>
      </c>
      <c r="N267" s="3">
        <f t="shared" si="253"/>
        <v>5.5356903730511449E-3</v>
      </c>
      <c r="O267" s="3">
        <f t="shared" si="253"/>
        <v>5.5356903730511449E-3</v>
      </c>
      <c r="P267" s="3">
        <f t="shared" si="253"/>
        <v>5.5356903730511449E-3</v>
      </c>
      <c r="Q267" s="3">
        <f t="shared" si="253"/>
        <v>5.5356903730511449E-3</v>
      </c>
      <c r="R267" s="3">
        <f t="shared" si="253"/>
        <v>5.5356903730511449E-3</v>
      </c>
      <c r="S267" s="3">
        <f t="shared" si="253"/>
        <v>5.5356903730511449E-3</v>
      </c>
      <c r="T267" s="3">
        <f t="shared" si="253"/>
        <v>5.535690373051144E-3</v>
      </c>
      <c r="U267" s="3">
        <f t="shared" si="253"/>
        <v>5.5356903730511414E-3</v>
      </c>
      <c r="V267" s="3">
        <f t="shared" si="253"/>
        <v>5.5356903730511085E-3</v>
      </c>
      <c r="W267" s="3">
        <f t="shared" si="253"/>
        <v>5.5356903730507806E-3</v>
      </c>
      <c r="X267" s="3">
        <f t="shared" si="253"/>
        <v>5.5356903730474976E-3</v>
      </c>
      <c r="Y267" s="3">
        <f t="shared" si="253"/>
        <v>5.5356903730146732E-3</v>
      </c>
      <c r="Z267" s="3">
        <f t="shared" si="253"/>
        <v>5.5356903726864254E-3</v>
      </c>
      <c r="AA267" s="3">
        <f t="shared" si="253"/>
        <v>5.535690369403953E-3</v>
      </c>
      <c r="AB267" s="3">
        <f t="shared" si="253"/>
        <v>5.5356903365792231E-3</v>
      </c>
      <c r="AC267" s="3">
        <f t="shared" si="253"/>
        <v>5.5356900083319361E-3</v>
      </c>
      <c r="AD267" s="3">
        <f t="shared" si="253"/>
        <v>5.5356867258601417E-3</v>
      </c>
      <c r="AE267" s="3">
        <f t="shared" si="253"/>
        <v>5.535653901249246E-3</v>
      </c>
      <c r="AF267" s="3">
        <f t="shared" si="253"/>
        <v>5.5353256658451913E-3</v>
      </c>
      <c r="AG267" s="3"/>
      <c r="AH267" s="3"/>
    </row>
    <row r="268" spans="2:34" x14ac:dyDescent="0.25">
      <c r="B268" s="3">
        <f t="shared" ref="B268:AF268" si="254">$C37*EXP(-B$246/$A37/EXP(-$E$126))</f>
        <v>2.9841994807754844E-3</v>
      </c>
      <c r="C268" s="3">
        <f t="shared" si="254"/>
        <v>2.9841994807754844E-3</v>
      </c>
      <c r="D268" s="3">
        <f t="shared" si="254"/>
        <v>2.9841994807754844E-3</v>
      </c>
      <c r="E268" s="3">
        <f t="shared" si="254"/>
        <v>2.9841994807754844E-3</v>
      </c>
      <c r="F268" s="3">
        <f t="shared" si="254"/>
        <v>2.9841994807754844E-3</v>
      </c>
      <c r="G268" s="3">
        <f t="shared" si="254"/>
        <v>2.9841994807754844E-3</v>
      </c>
      <c r="H268" s="3">
        <f t="shared" si="254"/>
        <v>2.9841994807754844E-3</v>
      </c>
      <c r="I268" s="3">
        <f t="shared" si="254"/>
        <v>2.9841994807754844E-3</v>
      </c>
      <c r="J268" s="3">
        <f t="shared" si="254"/>
        <v>2.9841994807754844E-3</v>
      </c>
      <c r="K268" s="3">
        <f t="shared" si="254"/>
        <v>2.9841994807754844E-3</v>
      </c>
      <c r="L268" s="3">
        <f t="shared" si="254"/>
        <v>2.9841994807754844E-3</v>
      </c>
      <c r="M268" s="3">
        <f t="shared" si="254"/>
        <v>2.9841994807754844E-3</v>
      </c>
      <c r="N268" s="3">
        <f t="shared" si="254"/>
        <v>2.9841994807754844E-3</v>
      </c>
      <c r="O268" s="3">
        <f t="shared" si="254"/>
        <v>2.9841994807754844E-3</v>
      </c>
      <c r="P268" s="3">
        <f t="shared" si="254"/>
        <v>2.9841994807754844E-3</v>
      </c>
      <c r="Q268" s="3">
        <f t="shared" si="254"/>
        <v>2.9841994807754844E-3</v>
      </c>
      <c r="R268" s="3">
        <f t="shared" si="254"/>
        <v>2.9841994807754844E-3</v>
      </c>
      <c r="S268" s="3">
        <f t="shared" si="254"/>
        <v>2.9841994807754844E-3</v>
      </c>
      <c r="T268" s="3">
        <f t="shared" si="254"/>
        <v>2.9841994807754844E-3</v>
      </c>
      <c r="U268" s="3">
        <f t="shared" si="254"/>
        <v>2.984199480775484E-3</v>
      </c>
      <c r="V268" s="3">
        <f t="shared" si="254"/>
        <v>2.9841994807754827E-3</v>
      </c>
      <c r="W268" s="3">
        <f t="shared" si="254"/>
        <v>2.9841994807754666E-3</v>
      </c>
      <c r="X268" s="3">
        <f t="shared" si="254"/>
        <v>2.984199480775307E-3</v>
      </c>
      <c r="Y268" s="3">
        <f t="shared" si="254"/>
        <v>2.9841994807737111E-3</v>
      </c>
      <c r="Z268" s="3">
        <f t="shared" si="254"/>
        <v>2.9841994807577482E-3</v>
      </c>
      <c r="AA268" s="3">
        <f t="shared" si="254"/>
        <v>2.9841994805981219E-3</v>
      </c>
      <c r="AB268" s="3">
        <f t="shared" si="254"/>
        <v>2.9841994790018615E-3</v>
      </c>
      <c r="AC268" s="3">
        <f t="shared" si="254"/>
        <v>2.9841994630392548E-3</v>
      </c>
      <c r="AD268" s="3">
        <f t="shared" si="254"/>
        <v>2.9841993034131938E-3</v>
      </c>
      <c r="AE268" s="3">
        <f t="shared" si="254"/>
        <v>2.9841977071530541E-3</v>
      </c>
      <c r="AF268" s="3">
        <f t="shared" si="254"/>
        <v>2.9841817445986174E-3</v>
      </c>
      <c r="AG268" s="3"/>
      <c r="AH268" s="3"/>
    </row>
    <row r="269" spans="2:34" x14ac:dyDescent="0.25">
      <c r="B269" s="3">
        <f t="shared" ref="B269:AF269" si="255">$C38*EXP(-B$246/$A38/EXP(-$E$126))</f>
        <v>1.1698557197945001E-3</v>
      </c>
      <c r="C269" s="3">
        <f t="shared" si="255"/>
        <v>1.1698557197945001E-3</v>
      </c>
      <c r="D269" s="3">
        <f t="shared" si="255"/>
        <v>1.1698557197945001E-3</v>
      </c>
      <c r="E269" s="3">
        <f t="shared" si="255"/>
        <v>1.1698557197945001E-3</v>
      </c>
      <c r="F269" s="3">
        <f t="shared" si="255"/>
        <v>1.1698557197945001E-3</v>
      </c>
      <c r="G269" s="3">
        <f t="shared" si="255"/>
        <v>1.1698557197945001E-3</v>
      </c>
      <c r="H269" s="3">
        <f t="shared" si="255"/>
        <v>1.1698557197945001E-3</v>
      </c>
      <c r="I269" s="3">
        <f t="shared" si="255"/>
        <v>1.1698557197945001E-3</v>
      </c>
      <c r="J269" s="3">
        <f t="shared" si="255"/>
        <v>1.1698557197945001E-3</v>
      </c>
      <c r="K269" s="3">
        <f t="shared" si="255"/>
        <v>1.1698557197945001E-3</v>
      </c>
      <c r="L269" s="3">
        <f t="shared" si="255"/>
        <v>1.1698557197945001E-3</v>
      </c>
      <c r="M269" s="3">
        <f t="shared" si="255"/>
        <v>1.1698557197945001E-3</v>
      </c>
      <c r="N269" s="3">
        <f t="shared" si="255"/>
        <v>1.1698557197945001E-3</v>
      </c>
      <c r="O269" s="3">
        <f t="shared" si="255"/>
        <v>1.1698557197945001E-3</v>
      </c>
      <c r="P269" s="3">
        <f t="shared" si="255"/>
        <v>1.1698557197945001E-3</v>
      </c>
      <c r="Q269" s="3">
        <f t="shared" si="255"/>
        <v>1.1698557197945001E-3</v>
      </c>
      <c r="R269" s="3">
        <f t="shared" si="255"/>
        <v>1.1698557197945001E-3</v>
      </c>
      <c r="S269" s="3">
        <f t="shared" si="255"/>
        <v>1.1698557197945001E-3</v>
      </c>
      <c r="T269" s="3">
        <f t="shared" si="255"/>
        <v>1.1698557197945001E-3</v>
      </c>
      <c r="U269" s="3">
        <f t="shared" si="255"/>
        <v>1.1698557197945001E-3</v>
      </c>
      <c r="V269" s="3">
        <f t="shared" si="255"/>
        <v>1.1698557197945001E-3</v>
      </c>
      <c r="W269" s="3">
        <f t="shared" si="255"/>
        <v>1.1698557197944994E-3</v>
      </c>
      <c r="X269" s="3">
        <f t="shared" si="255"/>
        <v>1.1698557197944938E-3</v>
      </c>
      <c r="Y269" s="3">
        <f t="shared" si="255"/>
        <v>1.1698557197944374E-3</v>
      </c>
      <c r="Z269" s="3">
        <f t="shared" si="255"/>
        <v>1.169855719793873E-3</v>
      </c>
      <c r="AA269" s="3">
        <f t="shared" si="255"/>
        <v>1.169855719788228E-3</v>
      </c>
      <c r="AB269" s="3">
        <f t="shared" si="255"/>
        <v>1.1698557197317792E-3</v>
      </c>
      <c r="AC269" s="3">
        <f t="shared" si="255"/>
        <v>1.1698557191672911E-3</v>
      </c>
      <c r="AD269" s="3">
        <f t="shared" si="255"/>
        <v>1.1698557135224092E-3</v>
      </c>
      <c r="AE269" s="3">
        <f t="shared" si="255"/>
        <v>1.1698556570735926E-3</v>
      </c>
      <c r="AF269" s="3">
        <f t="shared" si="255"/>
        <v>1.1698550925855768E-3</v>
      </c>
      <c r="AG269" s="3"/>
      <c r="AH269" s="3"/>
    </row>
    <row r="270" spans="2:34" x14ac:dyDescent="0.25">
      <c r="B270" s="3">
        <f t="shared" ref="B270:AF270" si="256">$C39*EXP(-B$246/$A39/EXP(-$E$126))</f>
        <v>4.0204305624187052E-4</v>
      </c>
      <c r="C270" s="3">
        <f t="shared" si="256"/>
        <v>4.0204305624187052E-4</v>
      </c>
      <c r="D270" s="3">
        <f t="shared" si="256"/>
        <v>4.0204305624187052E-4</v>
      </c>
      <c r="E270" s="3">
        <f t="shared" si="256"/>
        <v>4.0204305624187052E-4</v>
      </c>
      <c r="F270" s="3">
        <f t="shared" si="256"/>
        <v>4.0204305624187052E-4</v>
      </c>
      <c r="G270" s="3">
        <f t="shared" si="256"/>
        <v>4.0204305624187052E-4</v>
      </c>
      <c r="H270" s="3">
        <f t="shared" si="256"/>
        <v>4.0204305624187052E-4</v>
      </c>
      <c r="I270" s="3">
        <f t="shared" si="256"/>
        <v>4.0204305624187052E-4</v>
      </c>
      <c r="J270" s="3">
        <f t="shared" si="256"/>
        <v>4.0204305624187052E-4</v>
      </c>
      <c r="K270" s="3">
        <f t="shared" si="256"/>
        <v>4.0204305624187052E-4</v>
      </c>
      <c r="L270" s="3">
        <f t="shared" si="256"/>
        <v>4.0204305624187052E-4</v>
      </c>
      <c r="M270" s="3">
        <f t="shared" si="256"/>
        <v>4.0204305624187052E-4</v>
      </c>
      <c r="N270" s="3">
        <f t="shared" si="256"/>
        <v>4.0204305624187052E-4</v>
      </c>
      <c r="O270" s="3">
        <f t="shared" si="256"/>
        <v>4.0204305624187052E-4</v>
      </c>
      <c r="P270" s="3">
        <f t="shared" si="256"/>
        <v>4.0204305624187052E-4</v>
      </c>
      <c r="Q270" s="3">
        <f t="shared" si="256"/>
        <v>4.0204305624187052E-4</v>
      </c>
      <c r="R270" s="3">
        <f t="shared" si="256"/>
        <v>4.0204305624187052E-4</v>
      </c>
      <c r="S270" s="3">
        <f t="shared" si="256"/>
        <v>4.0204305624187052E-4</v>
      </c>
      <c r="T270" s="3">
        <f t="shared" si="256"/>
        <v>4.0204305624187052E-4</v>
      </c>
      <c r="U270" s="3">
        <f t="shared" si="256"/>
        <v>4.0204305624187052E-4</v>
      </c>
      <c r="V270" s="3">
        <f t="shared" si="256"/>
        <v>4.0204305624187052E-4</v>
      </c>
      <c r="W270" s="3">
        <f t="shared" si="256"/>
        <v>4.0204305624187047E-4</v>
      </c>
      <c r="X270" s="3">
        <f t="shared" si="256"/>
        <v>4.0204305624186993E-4</v>
      </c>
      <c r="Y270" s="3">
        <f t="shared" si="256"/>
        <v>4.0204305624186456E-4</v>
      </c>
      <c r="Z270" s="3">
        <f t="shared" si="256"/>
        <v>4.0204305624181089E-4</v>
      </c>
      <c r="AA270" s="3">
        <f t="shared" si="256"/>
        <v>4.0204305624127437E-4</v>
      </c>
      <c r="AB270" s="3">
        <f t="shared" si="256"/>
        <v>4.0204305623590887E-4</v>
      </c>
      <c r="AC270" s="3">
        <f t="shared" si="256"/>
        <v>4.0204305618225415E-4</v>
      </c>
      <c r="AD270" s="3">
        <f t="shared" si="256"/>
        <v>4.0204305564570689E-4</v>
      </c>
      <c r="AE270" s="3">
        <f t="shared" si="256"/>
        <v>4.0204305028023439E-4</v>
      </c>
      <c r="AF270" s="3">
        <f t="shared" si="256"/>
        <v>4.0204299662551304E-4</v>
      </c>
      <c r="AG270" s="3"/>
      <c r="AH270" s="3"/>
    </row>
    <row r="271" spans="2:34" x14ac:dyDescent="0.25">
      <c r="B271" s="3">
        <f t="shared" ref="B271:AF271" si="257">$C40*EXP(-B$246/$A40/EXP(-$E$126))</f>
        <v>9.0650475367586036E-4</v>
      </c>
      <c r="C271" s="3">
        <f t="shared" si="257"/>
        <v>9.0650475367586036E-4</v>
      </c>
      <c r="D271" s="3">
        <f t="shared" si="257"/>
        <v>9.0650475367586036E-4</v>
      </c>
      <c r="E271" s="3">
        <f t="shared" si="257"/>
        <v>9.0650475367586036E-4</v>
      </c>
      <c r="F271" s="3">
        <f t="shared" si="257"/>
        <v>9.0650475367586036E-4</v>
      </c>
      <c r="G271" s="3">
        <f t="shared" si="257"/>
        <v>9.0650475367586036E-4</v>
      </c>
      <c r="H271" s="3">
        <f t="shared" si="257"/>
        <v>9.0650475367586036E-4</v>
      </c>
      <c r="I271" s="3">
        <f t="shared" si="257"/>
        <v>9.0650475367586036E-4</v>
      </c>
      <c r="J271" s="3">
        <f t="shared" si="257"/>
        <v>9.0650475367586036E-4</v>
      </c>
      <c r="K271" s="3">
        <f t="shared" si="257"/>
        <v>9.0650475367586036E-4</v>
      </c>
      <c r="L271" s="3">
        <f t="shared" si="257"/>
        <v>9.0650475367586036E-4</v>
      </c>
      <c r="M271" s="3">
        <f t="shared" si="257"/>
        <v>9.0650475367586036E-4</v>
      </c>
      <c r="N271" s="3">
        <f t="shared" si="257"/>
        <v>9.0650475367586036E-4</v>
      </c>
      <c r="O271" s="3">
        <f t="shared" si="257"/>
        <v>9.0650475367586036E-4</v>
      </c>
      <c r="P271" s="3">
        <f t="shared" si="257"/>
        <v>9.0650475367586036E-4</v>
      </c>
      <c r="Q271" s="3">
        <f t="shared" si="257"/>
        <v>9.0650475367586036E-4</v>
      </c>
      <c r="R271" s="3">
        <f t="shared" si="257"/>
        <v>9.0650475367586036E-4</v>
      </c>
      <c r="S271" s="3">
        <f t="shared" si="257"/>
        <v>9.0650475367586036E-4</v>
      </c>
      <c r="T271" s="3">
        <f t="shared" si="257"/>
        <v>9.0650475367586036E-4</v>
      </c>
      <c r="U271" s="3">
        <f t="shared" si="257"/>
        <v>9.0650475367586036E-4</v>
      </c>
      <c r="V271" s="3">
        <f t="shared" si="257"/>
        <v>9.0650475367586036E-4</v>
      </c>
      <c r="W271" s="3">
        <f t="shared" si="257"/>
        <v>9.0650475367586036E-4</v>
      </c>
      <c r="X271" s="3">
        <f t="shared" si="257"/>
        <v>9.0650475367586025E-4</v>
      </c>
      <c r="Y271" s="3">
        <f t="shared" si="257"/>
        <v>9.0650475367585906E-4</v>
      </c>
      <c r="Z271" s="3">
        <f t="shared" si="257"/>
        <v>9.0650475367584692E-4</v>
      </c>
      <c r="AA271" s="3">
        <f t="shared" si="257"/>
        <v>9.0650475367572592E-4</v>
      </c>
      <c r="AB271" s="3">
        <f t="shared" si="257"/>
        <v>9.0650475367451617E-4</v>
      </c>
      <c r="AC271" s="3">
        <f t="shared" si="257"/>
        <v>9.0650475366241842E-4</v>
      </c>
      <c r="AD271" s="3">
        <f t="shared" si="257"/>
        <v>9.0650475354144065E-4</v>
      </c>
      <c r="AE271" s="3">
        <f t="shared" si="257"/>
        <v>9.0650475233166315E-4</v>
      </c>
      <c r="AF271" s="3">
        <f t="shared" si="257"/>
        <v>9.0650474023388843E-4</v>
      </c>
      <c r="AG271" s="3"/>
      <c r="AH271" s="3"/>
    </row>
    <row r="272" spans="2:34" x14ac:dyDescent="0.25">
      <c r="B272" s="3">
        <f t="shared" ref="B272:AF272" si="258">$C41*EXP(-B$246/$A41/EXP(-$E$126))</f>
        <v>1.833495697796037E-4</v>
      </c>
      <c r="C272" s="3">
        <f t="shared" si="258"/>
        <v>1.833495697796037E-4</v>
      </c>
      <c r="D272" s="3">
        <f t="shared" si="258"/>
        <v>1.833495697796037E-4</v>
      </c>
      <c r="E272" s="3">
        <f t="shared" si="258"/>
        <v>1.833495697796037E-4</v>
      </c>
      <c r="F272" s="3">
        <f t="shared" si="258"/>
        <v>1.833495697796037E-4</v>
      </c>
      <c r="G272" s="3">
        <f t="shared" si="258"/>
        <v>1.833495697796037E-4</v>
      </c>
      <c r="H272" s="3">
        <f t="shared" si="258"/>
        <v>1.833495697796037E-4</v>
      </c>
      <c r="I272" s="3">
        <f t="shared" si="258"/>
        <v>1.833495697796037E-4</v>
      </c>
      <c r="J272" s="3">
        <f t="shared" si="258"/>
        <v>1.833495697796037E-4</v>
      </c>
      <c r="K272" s="3">
        <f t="shared" si="258"/>
        <v>1.833495697796037E-4</v>
      </c>
      <c r="L272" s="3">
        <f t="shared" si="258"/>
        <v>1.833495697796037E-4</v>
      </c>
      <c r="M272" s="3">
        <f t="shared" si="258"/>
        <v>1.833495697796037E-4</v>
      </c>
      <c r="N272" s="3">
        <f t="shared" si="258"/>
        <v>1.833495697796037E-4</v>
      </c>
      <c r="O272" s="3">
        <f t="shared" si="258"/>
        <v>1.833495697796037E-4</v>
      </c>
      <c r="P272" s="3">
        <f t="shared" si="258"/>
        <v>1.833495697796037E-4</v>
      </c>
      <c r="Q272" s="3">
        <f t="shared" si="258"/>
        <v>1.833495697796037E-4</v>
      </c>
      <c r="R272" s="3">
        <f t="shared" si="258"/>
        <v>1.833495697796037E-4</v>
      </c>
      <c r="S272" s="3">
        <f t="shared" si="258"/>
        <v>1.833495697796037E-4</v>
      </c>
      <c r="T272" s="3">
        <f t="shared" si="258"/>
        <v>1.833495697796037E-4</v>
      </c>
      <c r="U272" s="3">
        <f t="shared" si="258"/>
        <v>1.833495697796037E-4</v>
      </c>
      <c r="V272" s="3">
        <f t="shared" si="258"/>
        <v>1.833495697796037E-4</v>
      </c>
      <c r="W272" s="3">
        <f t="shared" si="258"/>
        <v>1.833495697796037E-4</v>
      </c>
      <c r="X272" s="3">
        <f t="shared" si="258"/>
        <v>1.833495697796037E-4</v>
      </c>
      <c r="Y272" s="3">
        <f t="shared" si="258"/>
        <v>1.8334956977960368E-4</v>
      </c>
      <c r="Z272" s="3">
        <f t="shared" si="258"/>
        <v>1.8334956977960343E-4</v>
      </c>
      <c r="AA272" s="3">
        <f t="shared" si="258"/>
        <v>1.8334956977960096E-4</v>
      </c>
      <c r="AB272" s="3">
        <f t="shared" si="258"/>
        <v>1.8334956977957652E-4</v>
      </c>
      <c r="AC272" s="3">
        <f t="shared" si="258"/>
        <v>1.8334956977933184E-4</v>
      </c>
      <c r="AD272" s="3">
        <f t="shared" si="258"/>
        <v>1.8334956977688493E-4</v>
      </c>
      <c r="AE272" s="3">
        <f t="shared" si="258"/>
        <v>1.8334956975241598E-4</v>
      </c>
      <c r="AF272" s="3">
        <f t="shared" si="258"/>
        <v>1.8334956950772648E-4</v>
      </c>
      <c r="AG272" s="3"/>
      <c r="AH272" s="3"/>
    </row>
    <row r="273" spans="1:34" x14ac:dyDescent="0.25">
      <c r="B273" s="3">
        <f t="shared" ref="B273:AF273" si="259">$C42*EXP(-B$246/$A42/EXP(-$E$126))</f>
        <v>0</v>
      </c>
      <c r="C273" s="3">
        <f t="shared" si="259"/>
        <v>0</v>
      </c>
      <c r="D273" s="3">
        <f t="shared" si="259"/>
        <v>0</v>
      </c>
      <c r="E273" s="3">
        <f t="shared" si="259"/>
        <v>0</v>
      </c>
      <c r="F273" s="3">
        <f t="shared" si="259"/>
        <v>0</v>
      </c>
      <c r="G273" s="3">
        <f t="shared" si="259"/>
        <v>0</v>
      </c>
      <c r="H273" s="3">
        <f t="shared" si="259"/>
        <v>0</v>
      </c>
      <c r="I273" s="3">
        <f t="shared" si="259"/>
        <v>0</v>
      </c>
      <c r="J273" s="3">
        <f t="shared" si="259"/>
        <v>0</v>
      </c>
      <c r="K273" s="3">
        <f t="shared" si="259"/>
        <v>0</v>
      </c>
      <c r="L273" s="3">
        <f t="shared" si="259"/>
        <v>0</v>
      </c>
      <c r="M273" s="3">
        <f t="shared" si="259"/>
        <v>0</v>
      </c>
      <c r="N273" s="3">
        <f t="shared" si="259"/>
        <v>0</v>
      </c>
      <c r="O273" s="3">
        <f t="shared" si="259"/>
        <v>0</v>
      </c>
      <c r="P273" s="3">
        <f t="shared" si="259"/>
        <v>0</v>
      </c>
      <c r="Q273" s="3">
        <f t="shared" si="259"/>
        <v>0</v>
      </c>
      <c r="R273" s="3">
        <f t="shared" si="259"/>
        <v>0</v>
      </c>
      <c r="S273" s="3">
        <f t="shared" si="259"/>
        <v>0</v>
      </c>
      <c r="T273" s="3">
        <f t="shared" si="259"/>
        <v>0</v>
      </c>
      <c r="U273" s="3">
        <f t="shared" si="259"/>
        <v>0</v>
      </c>
      <c r="V273" s="3">
        <f t="shared" si="259"/>
        <v>0</v>
      </c>
      <c r="W273" s="3">
        <f t="shared" si="259"/>
        <v>0</v>
      </c>
      <c r="X273" s="3">
        <f t="shared" si="259"/>
        <v>0</v>
      </c>
      <c r="Y273" s="3">
        <f t="shared" si="259"/>
        <v>0</v>
      </c>
      <c r="Z273" s="3">
        <f t="shared" si="259"/>
        <v>0</v>
      </c>
      <c r="AA273" s="3">
        <f t="shared" si="259"/>
        <v>0</v>
      </c>
      <c r="AB273" s="3">
        <f t="shared" si="259"/>
        <v>0</v>
      </c>
      <c r="AC273" s="3">
        <f t="shared" si="259"/>
        <v>0</v>
      </c>
      <c r="AD273" s="3">
        <f t="shared" si="259"/>
        <v>0</v>
      </c>
      <c r="AE273" s="3">
        <f t="shared" si="259"/>
        <v>0</v>
      </c>
      <c r="AF273" s="3">
        <f t="shared" si="259"/>
        <v>0</v>
      </c>
      <c r="AG273" s="3"/>
      <c r="AH273" s="3"/>
    </row>
    <row r="274" spans="1:34" x14ac:dyDescent="0.25">
      <c r="B274" s="3">
        <f t="shared" ref="B274:AF274" si="260">$C43*EXP(-B$246/$A43/EXP(-$E$126))</f>
        <v>2.7582104941075727E-4</v>
      </c>
      <c r="C274" s="3">
        <f t="shared" si="260"/>
        <v>2.7582104941075727E-4</v>
      </c>
      <c r="D274" s="3">
        <f t="shared" si="260"/>
        <v>2.7582104941075727E-4</v>
      </c>
      <c r="E274" s="3">
        <f t="shared" si="260"/>
        <v>2.7582104941075727E-4</v>
      </c>
      <c r="F274" s="3">
        <f t="shared" si="260"/>
        <v>2.7582104941075727E-4</v>
      </c>
      <c r="G274" s="3">
        <f t="shared" si="260"/>
        <v>2.7582104941075727E-4</v>
      </c>
      <c r="H274" s="3">
        <f t="shared" si="260"/>
        <v>2.7582104941075727E-4</v>
      </c>
      <c r="I274" s="3">
        <f t="shared" si="260"/>
        <v>2.7582104941075727E-4</v>
      </c>
      <c r="J274" s="3">
        <f t="shared" si="260"/>
        <v>2.7582104941075727E-4</v>
      </c>
      <c r="K274" s="3">
        <f t="shared" si="260"/>
        <v>2.7582104941075727E-4</v>
      </c>
      <c r="L274" s="3">
        <f t="shared" si="260"/>
        <v>2.7582104941075727E-4</v>
      </c>
      <c r="M274" s="3">
        <f t="shared" si="260"/>
        <v>2.7582104941075727E-4</v>
      </c>
      <c r="N274" s="3">
        <f t="shared" si="260"/>
        <v>2.7582104941075727E-4</v>
      </c>
      <c r="O274" s="3">
        <f t="shared" si="260"/>
        <v>2.7582104941075727E-4</v>
      </c>
      <c r="P274" s="3">
        <f t="shared" si="260"/>
        <v>2.7582104941075727E-4</v>
      </c>
      <c r="Q274" s="3">
        <f t="shared" si="260"/>
        <v>2.7582104941075727E-4</v>
      </c>
      <c r="R274" s="3">
        <f t="shared" si="260"/>
        <v>2.7582104941075727E-4</v>
      </c>
      <c r="S274" s="3">
        <f t="shared" si="260"/>
        <v>2.7582104941075727E-4</v>
      </c>
      <c r="T274" s="3">
        <f t="shared" si="260"/>
        <v>2.7582104941075727E-4</v>
      </c>
      <c r="U274" s="3">
        <f t="shared" si="260"/>
        <v>2.7582104941075727E-4</v>
      </c>
      <c r="V274" s="3">
        <f t="shared" si="260"/>
        <v>2.7582104941075727E-4</v>
      </c>
      <c r="W274" s="3">
        <f t="shared" si="260"/>
        <v>2.7582104941075727E-4</v>
      </c>
      <c r="X274" s="3">
        <f t="shared" si="260"/>
        <v>2.7582104941075727E-4</v>
      </c>
      <c r="Y274" s="3">
        <f t="shared" si="260"/>
        <v>2.7582104941075727E-4</v>
      </c>
      <c r="Z274" s="3">
        <f t="shared" si="260"/>
        <v>2.7582104941075727E-4</v>
      </c>
      <c r="AA274" s="3">
        <f t="shared" si="260"/>
        <v>2.7582104941075721E-4</v>
      </c>
      <c r="AB274" s="3">
        <f t="shared" si="260"/>
        <v>2.7582104941075689E-4</v>
      </c>
      <c r="AC274" s="3">
        <f t="shared" si="260"/>
        <v>2.7582104941075315E-4</v>
      </c>
      <c r="AD274" s="3">
        <f t="shared" si="260"/>
        <v>2.7582104941071634E-4</v>
      </c>
      <c r="AE274" s="3">
        <f t="shared" si="260"/>
        <v>2.7582104941034825E-4</v>
      </c>
      <c r="AF274" s="3">
        <f t="shared" si="260"/>
        <v>2.7582104940666728E-4</v>
      </c>
      <c r="AG274" s="3"/>
      <c r="AH274" s="3"/>
    </row>
    <row r="275" spans="1:34" x14ac:dyDescent="0.25">
      <c r="B275" s="3">
        <f t="shared" ref="B275:AF275" si="261">$C44*EXP(-B$246/$A44/EXP(-$E$126))</f>
        <v>2.4535081143819124E-4</v>
      </c>
      <c r="C275" s="3">
        <f t="shared" si="261"/>
        <v>2.4535081143819124E-4</v>
      </c>
      <c r="D275" s="3">
        <f t="shared" si="261"/>
        <v>2.4535081143819124E-4</v>
      </c>
      <c r="E275" s="3">
        <f t="shared" si="261"/>
        <v>2.4535081143819124E-4</v>
      </c>
      <c r="F275" s="3">
        <f t="shared" si="261"/>
        <v>2.4535081143819124E-4</v>
      </c>
      <c r="G275" s="3">
        <f t="shared" si="261"/>
        <v>2.4535081143819124E-4</v>
      </c>
      <c r="H275" s="3">
        <f t="shared" si="261"/>
        <v>2.4535081143819124E-4</v>
      </c>
      <c r="I275" s="3">
        <f t="shared" si="261"/>
        <v>2.4535081143819124E-4</v>
      </c>
      <c r="J275" s="3">
        <f t="shared" si="261"/>
        <v>2.4535081143819124E-4</v>
      </c>
      <c r="K275" s="3">
        <f t="shared" si="261"/>
        <v>2.4535081143819124E-4</v>
      </c>
      <c r="L275" s="3">
        <f t="shared" si="261"/>
        <v>2.4535081143819124E-4</v>
      </c>
      <c r="M275" s="3">
        <f t="shared" si="261"/>
        <v>2.4535081143819124E-4</v>
      </c>
      <c r="N275" s="3">
        <f t="shared" si="261"/>
        <v>2.4535081143819124E-4</v>
      </c>
      <c r="O275" s="3">
        <f t="shared" si="261"/>
        <v>2.4535081143819124E-4</v>
      </c>
      <c r="P275" s="3">
        <f t="shared" si="261"/>
        <v>2.4535081143819124E-4</v>
      </c>
      <c r="Q275" s="3">
        <f t="shared" si="261"/>
        <v>2.4535081143819124E-4</v>
      </c>
      <c r="R275" s="3">
        <f t="shared" si="261"/>
        <v>2.4535081143819124E-4</v>
      </c>
      <c r="S275" s="3">
        <f t="shared" si="261"/>
        <v>2.4535081143819124E-4</v>
      </c>
      <c r="T275" s="3">
        <f t="shared" si="261"/>
        <v>2.4535081143819124E-4</v>
      </c>
      <c r="U275" s="3">
        <f t="shared" si="261"/>
        <v>2.4535081143819124E-4</v>
      </c>
      <c r="V275" s="3">
        <f t="shared" si="261"/>
        <v>2.4535081143819124E-4</v>
      </c>
      <c r="W275" s="3">
        <f t="shared" si="261"/>
        <v>2.4535081143819124E-4</v>
      </c>
      <c r="X275" s="3">
        <f t="shared" si="261"/>
        <v>2.4535081143819124E-4</v>
      </c>
      <c r="Y275" s="3">
        <f t="shared" si="261"/>
        <v>2.4535081143819124E-4</v>
      </c>
      <c r="Z275" s="3">
        <f t="shared" si="261"/>
        <v>2.4535081143819124E-4</v>
      </c>
      <c r="AA275" s="3">
        <f t="shared" si="261"/>
        <v>2.4535081143819124E-4</v>
      </c>
      <c r="AB275" s="3">
        <f t="shared" si="261"/>
        <v>2.4535081143819119E-4</v>
      </c>
      <c r="AC275" s="3">
        <f t="shared" si="261"/>
        <v>2.4535081143819086E-4</v>
      </c>
      <c r="AD275" s="3">
        <f t="shared" si="261"/>
        <v>2.4535081143818761E-4</v>
      </c>
      <c r="AE275" s="3">
        <f t="shared" si="261"/>
        <v>2.4535081143815487E-4</v>
      </c>
      <c r="AF275" s="3">
        <f t="shared" si="261"/>
        <v>2.4535081143782744E-4</v>
      </c>
      <c r="AG275" s="3"/>
      <c r="AH275" s="3"/>
    </row>
    <row r="276" spans="1:34" x14ac:dyDescent="0.25">
      <c r="B276" s="3">
        <f t="shared" ref="B276:AF276" si="262">$C45*EXP(-B$246/$A45/EXP(-$E$126))</f>
        <v>0</v>
      </c>
      <c r="C276" s="3">
        <f t="shared" si="262"/>
        <v>0</v>
      </c>
      <c r="D276" s="3">
        <f t="shared" si="262"/>
        <v>0</v>
      </c>
      <c r="E276" s="3">
        <f t="shared" si="262"/>
        <v>0</v>
      </c>
      <c r="F276" s="3">
        <f t="shared" si="262"/>
        <v>0</v>
      </c>
      <c r="G276" s="3">
        <f t="shared" si="262"/>
        <v>0</v>
      </c>
      <c r="H276" s="3">
        <f t="shared" si="262"/>
        <v>0</v>
      </c>
      <c r="I276" s="3">
        <f t="shared" si="262"/>
        <v>0</v>
      </c>
      <c r="J276" s="3">
        <f t="shared" si="262"/>
        <v>0</v>
      </c>
      <c r="K276" s="3">
        <f t="shared" si="262"/>
        <v>0</v>
      </c>
      <c r="L276" s="3">
        <f t="shared" si="262"/>
        <v>0</v>
      </c>
      <c r="M276" s="3">
        <f t="shared" si="262"/>
        <v>0</v>
      </c>
      <c r="N276" s="3">
        <f t="shared" si="262"/>
        <v>0</v>
      </c>
      <c r="O276" s="3">
        <f t="shared" si="262"/>
        <v>0</v>
      </c>
      <c r="P276" s="3">
        <f t="shared" si="262"/>
        <v>0</v>
      </c>
      <c r="Q276" s="3">
        <f t="shared" si="262"/>
        <v>0</v>
      </c>
      <c r="R276" s="3">
        <f t="shared" si="262"/>
        <v>0</v>
      </c>
      <c r="S276" s="3">
        <f t="shared" si="262"/>
        <v>0</v>
      </c>
      <c r="T276" s="3">
        <f t="shared" si="262"/>
        <v>0</v>
      </c>
      <c r="U276" s="3">
        <f t="shared" si="262"/>
        <v>0</v>
      </c>
      <c r="V276" s="3">
        <f t="shared" si="262"/>
        <v>0</v>
      </c>
      <c r="W276" s="3">
        <f t="shared" si="262"/>
        <v>0</v>
      </c>
      <c r="X276" s="3">
        <f t="shared" si="262"/>
        <v>0</v>
      </c>
      <c r="Y276" s="3">
        <f t="shared" si="262"/>
        <v>0</v>
      </c>
      <c r="Z276" s="3">
        <f t="shared" si="262"/>
        <v>0</v>
      </c>
      <c r="AA276" s="3">
        <f t="shared" si="262"/>
        <v>0</v>
      </c>
      <c r="AB276" s="3">
        <f t="shared" si="262"/>
        <v>0</v>
      </c>
      <c r="AC276" s="3">
        <f t="shared" si="262"/>
        <v>0</v>
      </c>
      <c r="AD276" s="3">
        <f t="shared" si="262"/>
        <v>0</v>
      </c>
      <c r="AE276" s="3">
        <f t="shared" si="262"/>
        <v>0</v>
      </c>
      <c r="AF276" s="3">
        <f t="shared" si="262"/>
        <v>0</v>
      </c>
      <c r="AG276" s="3"/>
      <c r="AH276" s="3"/>
    </row>
    <row r="277" spans="1:34" x14ac:dyDescent="0.25">
      <c r="B277" s="3">
        <f t="shared" ref="B277:AF277" si="263">$C46*EXP(-B$246/$A46/EXP(-$E$126))</f>
        <v>1.7255643769382848E-4</v>
      </c>
      <c r="C277" s="3">
        <f t="shared" si="263"/>
        <v>1.7255643769382848E-4</v>
      </c>
      <c r="D277" s="3">
        <f t="shared" si="263"/>
        <v>1.7255643769382848E-4</v>
      </c>
      <c r="E277" s="3">
        <f t="shared" si="263"/>
        <v>1.7255643769382848E-4</v>
      </c>
      <c r="F277" s="3">
        <f t="shared" si="263"/>
        <v>1.7255643769382848E-4</v>
      </c>
      <c r="G277" s="3">
        <f t="shared" si="263"/>
        <v>1.7255643769382848E-4</v>
      </c>
      <c r="H277" s="3">
        <f t="shared" si="263"/>
        <v>1.7255643769382848E-4</v>
      </c>
      <c r="I277" s="3">
        <f t="shared" si="263"/>
        <v>1.7255643769382848E-4</v>
      </c>
      <c r="J277" s="3">
        <f t="shared" si="263"/>
        <v>1.7255643769382848E-4</v>
      </c>
      <c r="K277" s="3">
        <f t="shared" si="263"/>
        <v>1.7255643769382848E-4</v>
      </c>
      <c r="L277" s="3">
        <f t="shared" si="263"/>
        <v>1.7255643769382848E-4</v>
      </c>
      <c r="M277" s="3">
        <f t="shared" si="263"/>
        <v>1.7255643769382848E-4</v>
      </c>
      <c r="N277" s="3">
        <f t="shared" si="263"/>
        <v>1.7255643769382848E-4</v>
      </c>
      <c r="O277" s="3">
        <f t="shared" si="263"/>
        <v>1.7255643769382848E-4</v>
      </c>
      <c r="P277" s="3">
        <f t="shared" si="263"/>
        <v>1.7255643769382848E-4</v>
      </c>
      <c r="Q277" s="3">
        <f t="shared" si="263"/>
        <v>1.7255643769382848E-4</v>
      </c>
      <c r="R277" s="3">
        <f t="shared" si="263"/>
        <v>1.7255643769382848E-4</v>
      </c>
      <c r="S277" s="3">
        <f t="shared" si="263"/>
        <v>1.7255643769382848E-4</v>
      </c>
      <c r="T277" s="3">
        <f t="shared" si="263"/>
        <v>1.7255643769382848E-4</v>
      </c>
      <c r="U277" s="3">
        <f t="shared" si="263"/>
        <v>1.7255643769382848E-4</v>
      </c>
      <c r="V277" s="3">
        <f t="shared" si="263"/>
        <v>1.7255643769382848E-4</v>
      </c>
      <c r="W277" s="3">
        <f t="shared" si="263"/>
        <v>1.7255643769382848E-4</v>
      </c>
      <c r="X277" s="3">
        <f t="shared" si="263"/>
        <v>1.7255643769382848E-4</v>
      </c>
      <c r="Y277" s="3">
        <f t="shared" si="263"/>
        <v>1.7255643769382848E-4</v>
      </c>
      <c r="Z277" s="3">
        <f t="shared" si="263"/>
        <v>1.7255643769382848E-4</v>
      </c>
      <c r="AA277" s="3">
        <f t="shared" si="263"/>
        <v>1.7255643769382848E-4</v>
      </c>
      <c r="AB277" s="3">
        <f t="shared" si="263"/>
        <v>1.7255643769382848E-4</v>
      </c>
      <c r="AC277" s="3">
        <f t="shared" si="263"/>
        <v>1.7255643769382848E-4</v>
      </c>
      <c r="AD277" s="3">
        <f t="shared" si="263"/>
        <v>1.7255643769382845E-4</v>
      </c>
      <c r="AE277" s="3">
        <f t="shared" si="263"/>
        <v>1.7255643769382824E-4</v>
      </c>
      <c r="AF277" s="3">
        <f t="shared" si="263"/>
        <v>1.725564376938259E-4</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0</v>
      </c>
      <c r="C279" s="3">
        <f t="shared" si="265"/>
        <v>0</v>
      </c>
      <c r="D279" s="3">
        <f t="shared" si="265"/>
        <v>0</v>
      </c>
      <c r="E279" s="3">
        <f t="shared" si="265"/>
        <v>0</v>
      </c>
      <c r="F279" s="3">
        <f t="shared" si="265"/>
        <v>0</v>
      </c>
      <c r="G279" s="3">
        <f t="shared" si="265"/>
        <v>0</v>
      </c>
      <c r="H279" s="3">
        <f t="shared" si="265"/>
        <v>0</v>
      </c>
      <c r="I279" s="3">
        <f t="shared" si="265"/>
        <v>0</v>
      </c>
      <c r="J279" s="3">
        <f t="shared" si="265"/>
        <v>0</v>
      </c>
      <c r="K279" s="3">
        <f t="shared" si="265"/>
        <v>0</v>
      </c>
      <c r="L279" s="3">
        <f t="shared" si="265"/>
        <v>0</v>
      </c>
      <c r="M279" s="3">
        <f t="shared" si="265"/>
        <v>0</v>
      </c>
      <c r="N279" s="3">
        <f t="shared" si="265"/>
        <v>0</v>
      </c>
      <c r="O279" s="3">
        <f t="shared" si="265"/>
        <v>0</v>
      </c>
      <c r="P279" s="3">
        <f t="shared" si="265"/>
        <v>0</v>
      </c>
      <c r="Q279" s="3">
        <f t="shared" si="265"/>
        <v>0</v>
      </c>
      <c r="R279" s="3">
        <f t="shared" si="265"/>
        <v>0</v>
      </c>
      <c r="S279" s="3">
        <f t="shared" si="265"/>
        <v>0</v>
      </c>
      <c r="T279" s="3">
        <f t="shared" si="265"/>
        <v>0</v>
      </c>
      <c r="U279" s="3">
        <f t="shared" si="265"/>
        <v>0</v>
      </c>
      <c r="V279" s="3">
        <f t="shared" si="265"/>
        <v>0</v>
      </c>
      <c r="W279" s="3">
        <f t="shared" si="265"/>
        <v>0</v>
      </c>
      <c r="X279" s="3">
        <f t="shared" si="265"/>
        <v>0</v>
      </c>
      <c r="Y279" s="3">
        <f t="shared" si="265"/>
        <v>0</v>
      </c>
      <c r="Z279" s="3">
        <f t="shared" si="265"/>
        <v>0</v>
      </c>
      <c r="AA279" s="3">
        <f t="shared" si="265"/>
        <v>0</v>
      </c>
      <c r="AB279" s="3">
        <f t="shared" si="265"/>
        <v>0</v>
      </c>
      <c r="AC279" s="3">
        <f t="shared" si="265"/>
        <v>0</v>
      </c>
      <c r="AD279" s="3">
        <f t="shared" si="265"/>
        <v>0</v>
      </c>
      <c r="AE279" s="3">
        <f t="shared" si="265"/>
        <v>0</v>
      </c>
      <c r="AF279" s="3">
        <f t="shared" si="265"/>
        <v>0</v>
      </c>
      <c r="AG279" s="3"/>
      <c r="AH279" s="3"/>
    </row>
    <row r="280" spans="1:34" x14ac:dyDescent="0.25">
      <c r="A280" s="79">
        <f>AVERAGE(B280:AF280)</f>
        <v>0.12100730987074397</v>
      </c>
      <c r="B280" s="80">
        <f>IF($D$61&lt;=B246,IF($E$61&gt;=B246,ABS((B248-B247)/B247),0),0)</f>
        <v>5.8448057563924224E-3</v>
      </c>
      <c r="C280" s="80">
        <f t="shared" ref="C280:AF280" si="266">IF($D$61&lt;=C246,IF($E$61&gt;=C246,ABS((C248-C247)/C247),0),0)</f>
        <v>5.9931721992700767E-3</v>
      </c>
      <c r="D280" s="80">
        <f t="shared" si="266"/>
        <v>7.5228586562003713E-3</v>
      </c>
      <c r="E280" s="80">
        <f t="shared" si="266"/>
        <v>1.9430945620345107E-2</v>
      </c>
      <c r="F280" s="80">
        <f t="shared" si="266"/>
        <v>4.4318751198729731E-2</v>
      </c>
      <c r="G280" s="80">
        <f t="shared" si="266"/>
        <v>6.268798984595636E-2</v>
      </c>
      <c r="H280" s="80">
        <f t="shared" si="266"/>
        <v>8.1343571678795676E-2</v>
      </c>
      <c r="I280" s="80">
        <f t="shared" si="266"/>
        <v>0.10249186957247379</v>
      </c>
      <c r="J280" s="80">
        <f t="shared" si="266"/>
        <v>0.1212005222367542</v>
      </c>
      <c r="K280" s="80">
        <f t="shared" si="266"/>
        <v>9.8385415619865468E-2</v>
      </c>
      <c r="L280" s="80">
        <f t="shared" si="266"/>
        <v>0.14206423432260418</v>
      </c>
      <c r="M280" s="80">
        <f t="shared" si="266"/>
        <v>0.21564833665035602</v>
      </c>
      <c r="N280" s="80">
        <f t="shared" si="266"/>
        <v>0.19282702676734215</v>
      </c>
      <c r="O280" s="80">
        <f t="shared" si="266"/>
        <v>0.1652130093938449</v>
      </c>
      <c r="P280" s="80">
        <f t="shared" si="266"/>
        <v>0.12954778196328073</v>
      </c>
      <c r="Q280" s="80">
        <f t="shared" si="266"/>
        <v>8.9254466651211117E-2</v>
      </c>
      <c r="R280" s="80">
        <f t="shared" si="266"/>
        <v>6.5551515896678847E-2</v>
      </c>
      <c r="S280" s="80">
        <f t="shared" si="266"/>
        <v>5.2944123566580126E-2</v>
      </c>
      <c r="T280" s="80">
        <f t="shared" si="266"/>
        <v>6.8010497659865637E-2</v>
      </c>
      <c r="U280" s="80">
        <f t="shared" si="266"/>
        <v>0.22141910228805206</v>
      </c>
      <c r="V280" s="80">
        <f t="shared" si="266"/>
        <v>0.358358442800149</v>
      </c>
      <c r="W280" s="80">
        <f t="shared" si="266"/>
        <v>0.45686385274738345</v>
      </c>
      <c r="X280" s="80">
        <f t="shared" si="266"/>
        <v>0.5147475584176977</v>
      </c>
      <c r="Y280" s="80">
        <f t="shared" si="266"/>
        <v>0.52955675448323403</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1650.9420110836613</v>
      </c>
      <c r="C281" s="21">
        <f t="shared" ref="C281:AF281" si="267">(C248-C247)^2</f>
        <v>1735.3099414523147</v>
      </c>
      <c r="D281" s="21">
        <f t="shared" si="267"/>
        <v>2725.8979448704372</v>
      </c>
      <c r="E281" s="21">
        <f t="shared" si="267"/>
        <v>17763.38831558355</v>
      </c>
      <c r="F281" s="21">
        <f t="shared" si="267"/>
        <v>88056.622319178467</v>
      </c>
      <c r="G281" s="21">
        <f t="shared" si="267"/>
        <v>170139.87956592868</v>
      </c>
      <c r="H281" s="21">
        <f t="shared" si="267"/>
        <v>276647.25744327035</v>
      </c>
      <c r="I281" s="21">
        <f t="shared" si="267"/>
        <v>422103.30254047352</v>
      </c>
      <c r="J281" s="21">
        <f t="shared" si="267"/>
        <v>565310.15043201076</v>
      </c>
      <c r="K281" s="21">
        <f t="shared" si="267"/>
        <v>354373.05911405926</v>
      </c>
      <c r="L281" s="21">
        <f t="shared" si="267"/>
        <v>698951.35232633608</v>
      </c>
      <c r="M281" s="21">
        <f t="shared" si="267"/>
        <v>1515883.6022691953</v>
      </c>
      <c r="N281" s="21">
        <f t="shared" si="267"/>
        <v>1144445.5422594142</v>
      </c>
      <c r="O281" s="21">
        <f t="shared" si="267"/>
        <v>785424.03124094417</v>
      </c>
      <c r="P281" s="21">
        <f t="shared" si="267"/>
        <v>443897.35375796986</v>
      </c>
      <c r="Q281" s="21">
        <f t="shared" si="267"/>
        <v>191370.1873910093</v>
      </c>
      <c r="R281" s="21">
        <f t="shared" si="267"/>
        <v>93366.306031475367</v>
      </c>
      <c r="S281" s="21">
        <f t="shared" si="267"/>
        <v>51797.076248874655</v>
      </c>
      <c r="T281" s="21">
        <f t="shared" si="267"/>
        <v>62425.909743517281</v>
      </c>
      <c r="U281" s="21">
        <f t="shared" si="267"/>
        <v>457851.84533147968</v>
      </c>
      <c r="V281" s="21">
        <f t="shared" si="267"/>
        <v>859066.78772151144</v>
      </c>
      <c r="W281" s="21">
        <f t="shared" si="267"/>
        <v>1054165.9020370983</v>
      </c>
      <c r="X281" s="21">
        <f t="shared" si="267"/>
        <v>1038042.1441333258</v>
      </c>
      <c r="Y281" s="21">
        <f t="shared" si="267"/>
        <v>862694.96842113882</v>
      </c>
      <c r="Z281" s="21">
        <f t="shared" si="267"/>
        <v>581774.8502503956</v>
      </c>
      <c r="AA281" s="21">
        <f t="shared" si="267"/>
        <v>284709.0078589581</v>
      </c>
      <c r="AB281" s="21">
        <f t="shared" si="267"/>
        <v>92605.613713952393</v>
      </c>
      <c r="AC281" s="21">
        <f t="shared" si="267"/>
        <v>23923.85293573848</v>
      </c>
      <c r="AD281" s="21">
        <f t="shared" si="267"/>
        <v>12893.191285319137</v>
      </c>
      <c r="AE281" s="21">
        <f t="shared" si="267"/>
        <v>18209.634695777953</v>
      </c>
      <c r="AF281" s="21">
        <f t="shared" si="267"/>
        <v>26640.437416692792</v>
      </c>
      <c r="AG281" s="3"/>
      <c r="AH281" s="3"/>
    </row>
    <row r="282" spans="1:34" s="3" customFormat="1" x14ac:dyDescent="0.25">
      <c r="A282" s="71">
        <f>SUM(B282:AF282)</f>
        <v>11159888.818541203</v>
      </c>
      <c r="B282" s="21">
        <f>IF($D$61&lt;=B246,IF($E$61&gt;=B246,ABS(B281),0),0)</f>
        <v>1650.9420110836613</v>
      </c>
      <c r="C282" s="21">
        <f t="shared" ref="C282:AF282" si="268">IF($D$61&lt;=C246,IF($E$61&gt;=C246,ABS(C281),0),0)</f>
        <v>1735.3099414523147</v>
      </c>
      <c r="D282" s="21">
        <f t="shared" si="268"/>
        <v>2725.8979448704372</v>
      </c>
      <c r="E282" s="21">
        <f t="shared" si="268"/>
        <v>17763.38831558355</v>
      </c>
      <c r="F282" s="21">
        <f t="shared" si="268"/>
        <v>88056.622319178467</v>
      </c>
      <c r="G282" s="21">
        <f t="shared" si="268"/>
        <v>170139.87956592868</v>
      </c>
      <c r="H282" s="21">
        <f t="shared" si="268"/>
        <v>276647.25744327035</v>
      </c>
      <c r="I282" s="21">
        <f t="shared" si="268"/>
        <v>422103.30254047352</v>
      </c>
      <c r="J282" s="21">
        <f t="shared" si="268"/>
        <v>565310.15043201076</v>
      </c>
      <c r="K282" s="21">
        <f t="shared" si="268"/>
        <v>354373.05911405926</v>
      </c>
      <c r="L282" s="21">
        <f t="shared" si="268"/>
        <v>698951.35232633608</v>
      </c>
      <c r="M282" s="21">
        <f t="shared" si="268"/>
        <v>1515883.6022691953</v>
      </c>
      <c r="N282" s="21">
        <f t="shared" si="268"/>
        <v>1144445.5422594142</v>
      </c>
      <c r="O282" s="21">
        <f t="shared" si="268"/>
        <v>785424.03124094417</v>
      </c>
      <c r="P282" s="21">
        <f t="shared" si="268"/>
        <v>443897.35375796986</v>
      </c>
      <c r="Q282" s="21">
        <f t="shared" si="268"/>
        <v>191370.1873910093</v>
      </c>
      <c r="R282" s="21">
        <f t="shared" si="268"/>
        <v>93366.306031475367</v>
      </c>
      <c r="S282" s="21">
        <f t="shared" si="268"/>
        <v>51797.076248874655</v>
      </c>
      <c r="T282" s="21">
        <f t="shared" si="268"/>
        <v>62425.909743517281</v>
      </c>
      <c r="U282" s="21">
        <f t="shared" si="268"/>
        <v>457851.84533147968</v>
      </c>
      <c r="V282" s="21">
        <f t="shared" si="268"/>
        <v>859066.78772151144</v>
      </c>
      <c r="W282" s="21">
        <f t="shared" si="268"/>
        <v>1054165.9020370983</v>
      </c>
      <c r="X282" s="21">
        <f t="shared" si="268"/>
        <v>1038042.1441333258</v>
      </c>
      <c r="Y282" s="21">
        <f t="shared" si="268"/>
        <v>862694.96842113882</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6840.5863197092085</v>
      </c>
      <c r="C286" s="26">
        <f>INDEX(Comparison!$AM$3:$AS$33,G$14,$F$122)</f>
        <v>6643.5965561721414</v>
      </c>
      <c r="D286" s="26">
        <f>INDEX(Comparison!$AM$3:$AS$33,H$14,$F$122)</f>
        <v>6527.1577578820725</v>
      </c>
      <c r="E286" s="26">
        <f>INDEX(Comparison!$AM$3:$AS$33,I$14,$F$122)</f>
        <v>6412.9995296962652</v>
      </c>
      <c r="F286" s="26">
        <f>INDEX(Comparison!$AM$3:$AS$33,J$14,$F$122)</f>
        <v>6286.8028992665704</v>
      </c>
      <c r="G286" s="26">
        <f>INDEX(Comparison!$AM$3:$AS$33,K$14,$F$122)</f>
        <v>6151.4165633211096</v>
      </c>
      <c r="H286" s="26">
        <f>INDEX(Comparison!$AM$3:$AS$33,L$14,$F$122)</f>
        <v>5999.0572498672</v>
      </c>
      <c r="I286" s="26">
        <f>INDEX(Comparison!$AM$3:$AS$33,M$14,$F$122)</f>
        <v>5834.1918541119712</v>
      </c>
      <c r="J286" s="26">
        <f>INDEX(Comparison!$AM$3:$AS$33,N$14,$F$122)</f>
        <v>5660.667941479277</v>
      </c>
      <c r="K286" s="26">
        <f>INDEX(Comparison!$AM$3:$AS$33,O$14,$F$122)</f>
        <v>5500.6338050295499</v>
      </c>
      <c r="L286" s="26">
        <f>INDEX(Comparison!$AM$3:$AS$33,P$14,$F$122)</f>
        <v>5316.0543139142828</v>
      </c>
      <c r="M286" s="26">
        <f>INDEX(Comparison!$AM$3:$AS$33,Q$14,$F$122)</f>
        <v>5094.9618199282804</v>
      </c>
      <c r="N286" s="26">
        <f>INDEX(Comparison!$AM$3:$AS$33,R$14,$F$122)</f>
        <v>4859.6753740182503</v>
      </c>
      <c r="O286" s="26">
        <f>INDEX(Comparison!$AM$3:$AS$33,S$14,$F$122)</f>
        <v>4653.8175879978271</v>
      </c>
      <c r="P286" s="26">
        <f>INDEX(Comparison!$AM$3:$AS$33,T$14,$F$122)</f>
        <v>4469.1753341299773</v>
      </c>
      <c r="Q286" s="26">
        <f>INDEX(Comparison!$AM$3:$AS$33,U$14,$F$122)</f>
        <v>4267.9652571239076</v>
      </c>
      <c r="R286" s="26">
        <f>INDEX(Comparison!$AM$3:$AS$33,V$14,$F$122)</f>
        <v>3976.7785402340392</v>
      </c>
      <c r="S286" s="26">
        <f>INDEX(Comparison!$AM$3:$AS$33,W$14,$F$122)</f>
        <v>3445.6591436468279</v>
      </c>
      <c r="T286" s="26">
        <f>INDEX(Comparison!$AM$3:$AS$33,X$14,$F$122)</f>
        <v>2839.3657389117534</v>
      </c>
      <c r="U286" s="26">
        <f>INDEX(Comparison!$AM$3:$AS$33,Y$14,$F$122)</f>
        <v>2338.5721090290958</v>
      </c>
      <c r="V286" s="26">
        <f>INDEX(Comparison!$AM$3:$AS$33,Z$14,$F$122)</f>
        <v>1960.3272335044344</v>
      </c>
      <c r="W286" s="26">
        <f>INDEX(Comparison!$AM$3:$AS$33,AA$14,$F$122)</f>
        <v>1656.3185875611684</v>
      </c>
      <c r="X286" s="26">
        <f>INDEX(Comparison!$AM$3:$AS$33,AB$14,$F$122)</f>
        <v>1387.2108481854204</v>
      </c>
      <c r="Y286" s="26">
        <f>INDEX(Comparison!$AM$3:$AS$33,AC$14,$F$122)</f>
        <v>1120.1049206759617</v>
      </c>
      <c r="Z286" s="26">
        <f>INDEX(Comparison!$AM$3:$AS$33,AD$14,$F$122)</f>
        <v>849.29779427462438</v>
      </c>
      <c r="AA286" s="26">
        <f>INDEX(Comparison!$AM$3:$AS$33,AE$14,$F$122)</f>
        <v>602.02056954985051</v>
      </c>
      <c r="AB286" s="26">
        <f>INDEX(Comparison!$AM$3:$AS$33,AF$14,$F$122)</f>
        <v>414.55153000594095</v>
      </c>
      <c r="AC286" s="26">
        <f>INDEX(Comparison!$AM$3:$AS$33,AG$14,$F$122)</f>
        <v>296.76424848335745</v>
      </c>
      <c r="AD286" s="26">
        <f>INDEX(Comparison!$AM$3:$AS$33,AH$14,$F$122)</f>
        <v>236.5039430342818</v>
      </c>
      <c r="AE286" s="26">
        <f>INDEX(Comparison!$AM$3:$AS$33,AI$14,$F$122)</f>
        <v>206.64782998877558</v>
      </c>
      <c r="AF286" s="26">
        <f>INDEX(Comparison!$AM$3:$AS$33,AJ$14,$F$122)</f>
        <v>191.80670583863778</v>
      </c>
      <c r="AG286" s="26"/>
      <c r="AH286" s="26"/>
    </row>
    <row r="287" spans="1:34" x14ac:dyDescent="0.25">
      <c r="A287" s="70" t="s">
        <v>22</v>
      </c>
      <c r="B287" s="27">
        <f>($C$17+SUM(B288:B318))*$B$51</f>
        <v>6992.4075530164182</v>
      </c>
      <c r="C287" s="27">
        <f t="shared" ref="C287:AF287" si="269">($C$17+SUM(C288:C318))*$B$51</f>
        <v>6992.3972301877402</v>
      </c>
      <c r="D287" s="27">
        <f t="shared" si="269"/>
        <v>6992.2940042319715</v>
      </c>
      <c r="E287" s="27">
        <f t="shared" si="269"/>
        <v>6991.2619777394193</v>
      </c>
      <c r="F287" s="27">
        <f t="shared" si="269"/>
        <v>6980.9649839617359</v>
      </c>
      <c r="G287" s="27">
        <f t="shared" si="269"/>
        <v>6880.2871943611481</v>
      </c>
      <c r="H287" s="27">
        <f t="shared" si="269"/>
        <v>6071.4157941650619</v>
      </c>
      <c r="I287" s="27">
        <f t="shared" si="269"/>
        <v>4504.3943173139605</v>
      </c>
      <c r="J287" s="27">
        <f t="shared" si="269"/>
        <v>4478.1357433272424</v>
      </c>
      <c r="K287" s="27">
        <f t="shared" si="269"/>
        <v>4478.0952918715448</v>
      </c>
      <c r="L287" s="27">
        <f t="shared" si="269"/>
        <v>4477.6910036872951</v>
      </c>
      <c r="M287" s="27">
        <f t="shared" si="269"/>
        <v>4473.6706715062955</v>
      </c>
      <c r="N287" s="27">
        <f t="shared" si="269"/>
        <v>4435.6372064247853</v>
      </c>
      <c r="O287" s="27">
        <f t="shared" si="269"/>
        <v>4207.3027971770098</v>
      </c>
      <c r="P287" s="27">
        <f t="shared" si="269"/>
        <v>4002.9016170889013</v>
      </c>
      <c r="Q287" s="27">
        <f t="shared" si="269"/>
        <v>3838.9399929973847</v>
      </c>
      <c r="R287" s="27">
        <f t="shared" si="269"/>
        <v>3635.4974798147737</v>
      </c>
      <c r="S287" s="27">
        <f t="shared" si="269"/>
        <v>3409.0579738036918</v>
      </c>
      <c r="T287" s="27">
        <f t="shared" si="269"/>
        <v>3155.1582303868117</v>
      </c>
      <c r="U287" s="27">
        <f t="shared" si="269"/>
        <v>2862.5989528492005</v>
      </c>
      <c r="V287" s="27">
        <f t="shared" si="269"/>
        <v>2520.3485346889615</v>
      </c>
      <c r="W287" s="27">
        <f t="shared" si="269"/>
        <v>2108.5036824341819</v>
      </c>
      <c r="X287" s="27">
        <f t="shared" si="269"/>
        <v>1642.6279150778605</v>
      </c>
      <c r="Y287" s="27">
        <f t="shared" si="269"/>
        <v>1189.4726011324897</v>
      </c>
      <c r="Z287" s="27">
        <f t="shared" si="269"/>
        <v>835.08273945717156</v>
      </c>
      <c r="AA287" s="27">
        <f t="shared" si="269"/>
        <v>615.04420967304475</v>
      </c>
      <c r="AB287" s="27">
        <f t="shared" si="269"/>
        <v>496.0727160724</v>
      </c>
      <c r="AC287" s="27">
        <f t="shared" si="269"/>
        <v>425.46979533368176</v>
      </c>
      <c r="AD287" s="27">
        <f t="shared" si="269"/>
        <v>354.60887726322062</v>
      </c>
      <c r="AE287" s="27">
        <f t="shared" si="269"/>
        <v>285.55956234641639</v>
      </c>
      <c r="AF287" s="27">
        <f t="shared" si="269"/>
        <v>241.74027102097216</v>
      </c>
      <c r="AG287" s="27"/>
      <c r="AH287" s="27"/>
    </row>
    <row r="288" spans="1:34" x14ac:dyDescent="0.25">
      <c r="B288" s="3">
        <f t="shared" ref="B288:AF288" si="270">$C18*EXP(-B$285/$A18/EXP(-$F$126))</f>
        <v>0.35957098944014354</v>
      </c>
      <c r="C288" s="3">
        <f t="shared" si="270"/>
        <v>0.35956951314939511</v>
      </c>
      <c r="D288" s="3">
        <f t="shared" si="270"/>
        <v>0.35955475057527325</v>
      </c>
      <c r="E288" s="3">
        <f t="shared" si="270"/>
        <v>0.35940715816522167</v>
      </c>
      <c r="F288" s="3">
        <f t="shared" si="270"/>
        <v>0.35793456212358249</v>
      </c>
      <c r="G288" s="3">
        <f t="shared" si="270"/>
        <v>0.34353640694206522</v>
      </c>
      <c r="H288" s="3">
        <f t="shared" si="270"/>
        <v>0.22785790552064286</v>
      </c>
      <c r="I288" s="3">
        <f t="shared" si="270"/>
        <v>3.7547188302491244E-3</v>
      </c>
      <c r="J288" s="3">
        <f t="shared" si="270"/>
        <v>5.5425627350038746E-21</v>
      </c>
      <c r="K288" s="3">
        <f t="shared" si="270"/>
        <v>2.722968300657522E-199</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5.3087681466491114E-2</v>
      </c>
      <c r="C289" s="3">
        <f t="shared" si="271"/>
        <v>5.3087681466435284E-2</v>
      </c>
      <c r="D289" s="3">
        <f t="shared" si="271"/>
        <v>5.308768146587696E-2</v>
      </c>
      <c r="E289" s="3">
        <f t="shared" si="271"/>
        <v>5.3087681460293752E-2</v>
      </c>
      <c r="F289" s="3">
        <f t="shared" si="271"/>
        <v>5.308768140446167E-2</v>
      </c>
      <c r="G289" s="3">
        <f t="shared" si="271"/>
        <v>5.3087680846140871E-2</v>
      </c>
      <c r="H289" s="3">
        <f t="shared" si="271"/>
        <v>5.3087675262933155E-2</v>
      </c>
      <c r="I289" s="3">
        <f t="shared" si="271"/>
        <v>5.3087619430888251E-2</v>
      </c>
      <c r="J289" s="3">
        <f t="shared" si="271"/>
        <v>5.3087061113668808E-2</v>
      </c>
      <c r="K289" s="3">
        <f t="shared" si="271"/>
        <v>5.3081478264411383E-2</v>
      </c>
      <c r="L289" s="3">
        <f t="shared" si="271"/>
        <v>5.3025682052972339E-2</v>
      </c>
      <c r="M289" s="3">
        <f t="shared" si="271"/>
        <v>5.2470935525896975E-2</v>
      </c>
      <c r="N289" s="3">
        <f t="shared" si="271"/>
        <v>4.7232860515102094E-2</v>
      </c>
      <c r="O289" s="3">
        <f t="shared" si="271"/>
        <v>1.6500558884927432E-2</v>
      </c>
      <c r="P289" s="3">
        <f t="shared" si="271"/>
        <v>4.4672752922514905E-7</v>
      </c>
      <c r="Q289" s="3">
        <f t="shared" si="271"/>
        <v>9.4511212911865952E-53</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1.8548614905856447E-2</v>
      </c>
      <c r="C290" s="3">
        <f t="shared" si="272"/>
        <v>1.8548614905854688E-2</v>
      </c>
      <c r="D290" s="3">
        <f t="shared" si="272"/>
        <v>1.8548614905837087E-2</v>
      </c>
      <c r="E290" s="3">
        <f t="shared" si="272"/>
        <v>1.8548614905661114E-2</v>
      </c>
      <c r="F290" s="3">
        <f t="shared" si="272"/>
        <v>1.8548614903901375E-2</v>
      </c>
      <c r="G290" s="3">
        <f t="shared" si="272"/>
        <v>1.854861488630399E-2</v>
      </c>
      <c r="H290" s="3">
        <f t="shared" si="272"/>
        <v>1.8548614710330143E-2</v>
      </c>
      <c r="I290" s="3">
        <f t="shared" si="272"/>
        <v>1.8548612950591768E-2</v>
      </c>
      <c r="J290" s="3">
        <f t="shared" si="272"/>
        <v>1.8548595353217168E-2</v>
      </c>
      <c r="K290" s="3">
        <f t="shared" si="272"/>
        <v>1.8548419380389404E-2</v>
      </c>
      <c r="L290" s="3">
        <f t="shared" si="272"/>
        <v>1.854665974393031E-2</v>
      </c>
      <c r="M290" s="3">
        <f t="shared" si="272"/>
        <v>1.8529072557974199E-2</v>
      </c>
      <c r="N290" s="3">
        <f t="shared" si="272"/>
        <v>1.8354115348122518E-2</v>
      </c>
      <c r="O290" s="3">
        <f t="shared" si="272"/>
        <v>1.6692877426263984E-2</v>
      </c>
      <c r="P290" s="3">
        <f t="shared" si="272"/>
        <v>6.4641091517629512E-3</v>
      </c>
      <c r="Q290" s="3">
        <f t="shared" si="272"/>
        <v>4.9009858595116213E-7</v>
      </c>
      <c r="R290" s="3">
        <f t="shared" si="272"/>
        <v>3.076317328062645E-48</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2.7428318800719276E-2</v>
      </c>
      <c r="C291" s="3">
        <f t="shared" si="273"/>
        <v>2.7428318800719043E-2</v>
      </c>
      <c r="D291" s="3">
        <f t="shared" si="273"/>
        <v>2.7428318800716694E-2</v>
      </c>
      <c r="E291" s="3">
        <f t="shared" si="273"/>
        <v>2.742831880069322E-2</v>
      </c>
      <c r="F291" s="3">
        <f t="shared" si="273"/>
        <v>2.7428318800458484E-2</v>
      </c>
      <c r="G291" s="3">
        <f t="shared" si="273"/>
        <v>2.7428318798111109E-2</v>
      </c>
      <c r="H291" s="3">
        <f t="shared" si="273"/>
        <v>2.7428318774637361E-2</v>
      </c>
      <c r="I291" s="3">
        <f t="shared" si="273"/>
        <v>2.7428318539899889E-2</v>
      </c>
      <c r="J291" s="3">
        <f t="shared" si="273"/>
        <v>2.7428316192525278E-2</v>
      </c>
      <c r="K291" s="3">
        <f t="shared" si="273"/>
        <v>2.7428292718790222E-2</v>
      </c>
      <c r="L291" s="3">
        <f t="shared" si="273"/>
        <v>2.7428057982544555E-2</v>
      </c>
      <c r="M291" s="3">
        <f t="shared" si="273"/>
        <v>2.7425710730575394E-2</v>
      </c>
      <c r="N291" s="3">
        <f t="shared" si="273"/>
        <v>2.7402249256134013E-2</v>
      </c>
      <c r="O291" s="3">
        <f t="shared" si="273"/>
        <v>2.7168735547216737E-2</v>
      </c>
      <c r="P291" s="3">
        <f t="shared" si="273"/>
        <v>2.4940293914765627E-2</v>
      </c>
      <c r="Q291" s="3">
        <f t="shared" si="273"/>
        <v>1.0597977040948644E-2</v>
      </c>
      <c r="R291" s="3">
        <f t="shared" si="273"/>
        <v>2.0344032715461508E-6</v>
      </c>
      <c r="S291" s="3">
        <f t="shared" si="273"/>
        <v>1.3822218621384434E-43</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3.2244311763005906E-2</v>
      </c>
      <c r="C292" s="3">
        <f t="shared" si="274"/>
        <v>3.2244311763005885E-2</v>
      </c>
      <c r="D292" s="3">
        <f t="shared" si="274"/>
        <v>3.2244311763005636E-2</v>
      </c>
      <c r="E292" s="3">
        <f t="shared" si="274"/>
        <v>3.2244311763003144E-2</v>
      </c>
      <c r="F292" s="3">
        <f t="shared" si="274"/>
        <v>3.2244311762978255E-2</v>
      </c>
      <c r="G292" s="3">
        <f t="shared" si="274"/>
        <v>3.2244311762729322E-2</v>
      </c>
      <c r="H292" s="3">
        <f t="shared" si="274"/>
        <v>3.2244311760239987E-2</v>
      </c>
      <c r="I292" s="3">
        <f t="shared" si="274"/>
        <v>3.2244311735346663E-2</v>
      </c>
      <c r="J292" s="3">
        <f t="shared" si="274"/>
        <v>3.2244311486413393E-2</v>
      </c>
      <c r="K292" s="3">
        <f t="shared" si="274"/>
        <v>3.2244308997080841E-2</v>
      </c>
      <c r="L292" s="3">
        <f t="shared" si="274"/>
        <v>3.2244284103765841E-2</v>
      </c>
      <c r="M292" s="3">
        <f t="shared" si="274"/>
        <v>3.2244035171672895E-2</v>
      </c>
      <c r="N292" s="3">
        <f t="shared" si="274"/>
        <v>3.2241545956440208E-2</v>
      </c>
      <c r="O292" s="3">
        <f t="shared" si="274"/>
        <v>3.2216664370770656E-2</v>
      </c>
      <c r="P292" s="3">
        <f t="shared" si="274"/>
        <v>3.1968902167688405E-2</v>
      </c>
      <c r="Q292" s="3">
        <f t="shared" si="274"/>
        <v>2.9593696900410724E-2</v>
      </c>
      <c r="R292" s="3">
        <f t="shared" si="274"/>
        <v>1.3674586727362924E-2</v>
      </c>
      <c r="S292" s="3">
        <f t="shared" si="274"/>
        <v>6.0682588147058629E-6</v>
      </c>
      <c r="T292" s="3">
        <f t="shared" si="274"/>
        <v>1.7970615404770215E-39</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3.4402319244329078E-2</v>
      </c>
      <c r="C293" s="3">
        <f t="shared" si="275"/>
        <v>3.4402319244329072E-2</v>
      </c>
      <c r="D293" s="3">
        <f t="shared" si="275"/>
        <v>3.4402319244329051E-2</v>
      </c>
      <c r="E293" s="3">
        <f t="shared" si="275"/>
        <v>3.4402319244328808E-2</v>
      </c>
      <c r="F293" s="3">
        <f t="shared" si="275"/>
        <v>3.4402319244326414E-2</v>
      </c>
      <c r="G293" s="3">
        <f t="shared" si="275"/>
        <v>3.4402319244302454E-2</v>
      </c>
      <c r="H293" s="3">
        <f t="shared" si="275"/>
        <v>3.4402319244062868E-2</v>
      </c>
      <c r="I293" s="3">
        <f t="shared" si="275"/>
        <v>3.4402319241667E-2</v>
      </c>
      <c r="J293" s="3">
        <f t="shared" si="275"/>
        <v>3.4402319217708248E-2</v>
      </c>
      <c r="K293" s="3">
        <f t="shared" si="275"/>
        <v>3.4402318978120752E-2</v>
      </c>
      <c r="L293" s="3">
        <f t="shared" si="275"/>
        <v>3.4402316582245941E-2</v>
      </c>
      <c r="M293" s="3">
        <f t="shared" si="275"/>
        <v>3.4402292623506983E-2</v>
      </c>
      <c r="N293" s="3">
        <f t="shared" si="275"/>
        <v>3.440205303703512E-2</v>
      </c>
      <c r="O293" s="3">
        <f t="shared" si="275"/>
        <v>3.43996572640844E-2</v>
      </c>
      <c r="P293" s="3">
        <f t="shared" si="275"/>
        <v>3.4375708709003451E-2</v>
      </c>
      <c r="Q293" s="3">
        <f t="shared" si="275"/>
        <v>3.4137138241161886E-2</v>
      </c>
      <c r="R293" s="3">
        <f t="shared" si="275"/>
        <v>3.1840627170172907E-2</v>
      </c>
      <c r="S293" s="3">
        <f t="shared" si="275"/>
        <v>1.5868162532415287E-2</v>
      </c>
      <c r="T293" s="3">
        <f t="shared" si="275"/>
        <v>1.4996050924903327E-5</v>
      </c>
      <c r="U293" s="3">
        <f t="shared" si="275"/>
        <v>8.520784283444958E-36</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4.0521812648841492E-2</v>
      </c>
      <c r="C294" s="3">
        <f t="shared" si="276"/>
        <v>4.0521812648841492E-2</v>
      </c>
      <c r="D294" s="3">
        <f t="shared" si="276"/>
        <v>4.0521812648841485E-2</v>
      </c>
      <c r="E294" s="3">
        <f t="shared" si="276"/>
        <v>4.0521812648841464E-2</v>
      </c>
      <c r="F294" s="3">
        <f t="shared" si="276"/>
        <v>4.0521812648841207E-2</v>
      </c>
      <c r="G294" s="3">
        <f t="shared" si="276"/>
        <v>4.0521812648838661E-2</v>
      </c>
      <c r="H294" s="3">
        <f t="shared" si="276"/>
        <v>4.0521812648813209E-2</v>
      </c>
      <c r="I294" s="3">
        <f t="shared" si="276"/>
        <v>4.0521812648558635E-2</v>
      </c>
      <c r="J294" s="3">
        <f t="shared" si="276"/>
        <v>4.0521812646012907E-2</v>
      </c>
      <c r="K294" s="3">
        <f t="shared" si="276"/>
        <v>4.0521812620555632E-2</v>
      </c>
      <c r="L294" s="3">
        <f t="shared" si="276"/>
        <v>4.0521812365982908E-2</v>
      </c>
      <c r="M294" s="3">
        <f t="shared" si="276"/>
        <v>4.0521809820255737E-2</v>
      </c>
      <c r="N294" s="3">
        <f t="shared" si="276"/>
        <v>4.0521784362992856E-2</v>
      </c>
      <c r="O294" s="3">
        <f t="shared" si="276"/>
        <v>4.0521529791243648E-2</v>
      </c>
      <c r="P294" s="3">
        <f t="shared" si="276"/>
        <v>4.0518984161711784E-2</v>
      </c>
      <c r="Q294" s="3">
        <f t="shared" si="276"/>
        <v>4.0493536660371914E-2</v>
      </c>
      <c r="R294" s="3">
        <f t="shared" si="276"/>
        <v>4.0239939004139864E-2</v>
      </c>
      <c r="S294" s="3">
        <f t="shared" si="276"/>
        <v>3.7789692582353734E-2</v>
      </c>
      <c r="T294" s="3">
        <f t="shared" si="276"/>
        <v>2.0162009320061024E-2</v>
      </c>
      <c r="U294" s="3">
        <f t="shared" si="276"/>
        <v>3.7682380724955139E-5</v>
      </c>
      <c r="V294" s="3">
        <f t="shared" si="276"/>
        <v>1.9596727477988023E-32</v>
      </c>
      <c r="W294" s="3">
        <f t="shared" si="276"/>
        <v>2.835539836044176E-305</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4.571082615945813E-2</v>
      </c>
      <c r="C295" s="3">
        <f t="shared" si="277"/>
        <v>4.571082615945813E-2</v>
      </c>
      <c r="D295" s="3">
        <f t="shared" si="277"/>
        <v>4.571082615945813E-2</v>
      </c>
      <c r="E295" s="3">
        <f t="shared" si="277"/>
        <v>4.5710826159458123E-2</v>
      </c>
      <c r="F295" s="3">
        <f t="shared" si="277"/>
        <v>4.5710826159458103E-2</v>
      </c>
      <c r="G295" s="3">
        <f t="shared" si="277"/>
        <v>4.5710826159457839E-2</v>
      </c>
      <c r="H295" s="3">
        <f t="shared" si="277"/>
        <v>4.5710826159455251E-2</v>
      </c>
      <c r="I295" s="3">
        <f t="shared" si="277"/>
        <v>4.5710826159429348E-2</v>
      </c>
      <c r="J295" s="3">
        <f t="shared" si="277"/>
        <v>4.5710826159170298E-2</v>
      </c>
      <c r="K295" s="3">
        <f t="shared" si="277"/>
        <v>4.5710826156579759E-2</v>
      </c>
      <c r="L295" s="3">
        <f t="shared" si="277"/>
        <v>4.571082613067446E-2</v>
      </c>
      <c r="M295" s="3">
        <f t="shared" si="277"/>
        <v>4.5710825871621438E-2</v>
      </c>
      <c r="N295" s="3">
        <f t="shared" si="277"/>
        <v>4.5710823281091252E-2</v>
      </c>
      <c r="O295" s="3">
        <f t="shared" si="277"/>
        <v>4.5710797375797523E-2</v>
      </c>
      <c r="P295" s="3">
        <f t="shared" si="277"/>
        <v>4.5710538323667706E-2</v>
      </c>
      <c r="Q295" s="3">
        <f t="shared" si="277"/>
        <v>4.5707947883113588E-2</v>
      </c>
      <c r="R295" s="3">
        <f t="shared" si="277"/>
        <v>4.5682051550290446E-2</v>
      </c>
      <c r="S295" s="3">
        <f t="shared" si="277"/>
        <v>4.5423893803678311E-2</v>
      </c>
      <c r="T295" s="3">
        <f t="shared" si="277"/>
        <v>4.2921210601375041E-2</v>
      </c>
      <c r="U295" s="3">
        <f t="shared" si="277"/>
        <v>2.4352749003986061E-2</v>
      </c>
      <c r="V295" s="3">
        <f t="shared" si="277"/>
        <v>8.419926314298151E-5</v>
      </c>
      <c r="W295" s="3">
        <f t="shared" si="277"/>
        <v>2.0554706169233856E-29</v>
      </c>
      <c r="X295" s="3">
        <f t="shared" si="277"/>
        <v>1.545044859013134E-275</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5.619956404185248E-2</v>
      </c>
      <c r="C296" s="3">
        <f t="shared" si="278"/>
        <v>5.619956404185248E-2</v>
      </c>
      <c r="D296" s="3">
        <f t="shared" si="278"/>
        <v>5.619956404185248E-2</v>
      </c>
      <c r="E296" s="3">
        <f t="shared" si="278"/>
        <v>5.619956404185248E-2</v>
      </c>
      <c r="F296" s="3">
        <f t="shared" si="278"/>
        <v>5.6199564041852473E-2</v>
      </c>
      <c r="G296" s="3">
        <f t="shared" si="278"/>
        <v>5.6199564041852453E-2</v>
      </c>
      <c r="H296" s="3">
        <f t="shared" si="278"/>
        <v>5.6199564041852161E-2</v>
      </c>
      <c r="I296" s="3">
        <f t="shared" si="278"/>
        <v>5.6199564041849288E-2</v>
      </c>
      <c r="J296" s="3">
        <f t="shared" si="278"/>
        <v>5.6199564041820561E-2</v>
      </c>
      <c r="K296" s="3">
        <f t="shared" si="278"/>
        <v>5.619956404153325E-2</v>
      </c>
      <c r="L296" s="3">
        <f t="shared" si="278"/>
        <v>5.6199564038660159E-2</v>
      </c>
      <c r="M296" s="3">
        <f t="shared" si="278"/>
        <v>5.6199564009929266E-2</v>
      </c>
      <c r="N296" s="3">
        <f t="shared" si="278"/>
        <v>5.6199563722620326E-2</v>
      </c>
      <c r="O296" s="3">
        <f t="shared" si="278"/>
        <v>5.6199560849531024E-2</v>
      </c>
      <c r="P296" s="3">
        <f t="shared" si="278"/>
        <v>5.619953211864611E-2</v>
      </c>
      <c r="Q296" s="3">
        <f t="shared" si="278"/>
        <v>5.619924481060478E-2</v>
      </c>
      <c r="R296" s="3">
        <f t="shared" si="278"/>
        <v>5.6196371810974269E-2</v>
      </c>
      <c r="S296" s="3">
        <f t="shared" si="278"/>
        <v>5.6167649891421118E-2</v>
      </c>
      <c r="T296" s="3">
        <f t="shared" si="278"/>
        <v>5.5881236845415128E-2</v>
      </c>
      <c r="U296" s="3">
        <f t="shared" si="278"/>
        <v>5.3096217093097295E-2</v>
      </c>
      <c r="V296" s="3">
        <f t="shared" si="278"/>
        <v>3.1844855582216364E-2</v>
      </c>
      <c r="W296" s="3">
        <f t="shared" si="278"/>
        <v>1.9177691019981797E-4</v>
      </c>
      <c r="X296" s="3">
        <f t="shared" si="278"/>
        <v>1.2032798742212177E-26</v>
      </c>
      <c r="Y296" s="3">
        <f t="shared" si="278"/>
        <v>1.1378106879298002E-248</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6.8321253158217701E-2</v>
      </c>
      <c r="C297" s="3">
        <f t="shared" si="279"/>
        <v>6.8321253158217701E-2</v>
      </c>
      <c r="D297" s="3">
        <f t="shared" si="279"/>
        <v>6.8321253158217701E-2</v>
      </c>
      <c r="E297" s="3">
        <f t="shared" si="279"/>
        <v>6.8321253158217701E-2</v>
      </c>
      <c r="F297" s="3">
        <f t="shared" si="279"/>
        <v>6.8321253158217701E-2</v>
      </c>
      <c r="G297" s="3">
        <f t="shared" si="279"/>
        <v>6.8321253158217701E-2</v>
      </c>
      <c r="H297" s="3">
        <f t="shared" si="279"/>
        <v>6.832125315821766E-2</v>
      </c>
      <c r="I297" s="3">
        <f t="shared" si="279"/>
        <v>6.8321253158217354E-2</v>
      </c>
      <c r="J297" s="3">
        <f t="shared" si="279"/>
        <v>6.832125315821419E-2</v>
      </c>
      <c r="K297" s="3">
        <f t="shared" si="279"/>
        <v>6.8321253158182702E-2</v>
      </c>
      <c r="L297" s="3">
        <f t="shared" si="279"/>
        <v>6.832125315786762E-2</v>
      </c>
      <c r="M297" s="3">
        <f t="shared" si="279"/>
        <v>6.8321253154716835E-2</v>
      </c>
      <c r="N297" s="3">
        <f t="shared" si="279"/>
        <v>6.8321253123208997E-2</v>
      </c>
      <c r="O297" s="3">
        <f t="shared" si="279"/>
        <v>6.8321252808130617E-2</v>
      </c>
      <c r="P297" s="3">
        <f t="shared" si="279"/>
        <v>6.8321249657346886E-2</v>
      </c>
      <c r="Q297" s="3">
        <f t="shared" si="279"/>
        <v>6.8321218149517596E-2</v>
      </c>
      <c r="R297" s="3">
        <f t="shared" si="279"/>
        <v>6.8320903072023861E-2</v>
      </c>
      <c r="S297" s="3">
        <f t="shared" si="279"/>
        <v>6.8317752377002938E-2</v>
      </c>
      <c r="T297" s="3">
        <f t="shared" si="279"/>
        <v>6.8286253417068912E-2</v>
      </c>
      <c r="U297" s="3">
        <f t="shared" si="279"/>
        <v>6.7972061483527968E-2</v>
      </c>
      <c r="V297" s="3">
        <f t="shared" si="279"/>
        <v>6.4908564269138283E-2</v>
      </c>
      <c r="W297" s="3">
        <f t="shared" si="279"/>
        <v>4.0927726133377931E-2</v>
      </c>
      <c r="X297" s="3">
        <f t="shared" si="279"/>
        <v>4.0660597346813503E-4</v>
      </c>
      <c r="Y297" s="3">
        <f t="shared" si="279"/>
        <v>3.8083349035960606E-24</v>
      </c>
      <c r="Z297" s="3">
        <f t="shared" si="279"/>
        <v>1.9785586026793434E-224</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7.2516023247876399E-2</v>
      </c>
      <c r="C298" s="3">
        <f t="shared" si="280"/>
        <v>7.2516023247876399E-2</v>
      </c>
      <c r="D298" s="3">
        <f t="shared" si="280"/>
        <v>7.2516023247876399E-2</v>
      </c>
      <c r="E298" s="3">
        <f t="shared" si="280"/>
        <v>7.2516023247876399E-2</v>
      </c>
      <c r="F298" s="3">
        <f t="shared" si="280"/>
        <v>7.2516023247876399E-2</v>
      </c>
      <c r="G298" s="3">
        <f t="shared" si="280"/>
        <v>7.2516023247876399E-2</v>
      </c>
      <c r="H298" s="3">
        <f t="shared" si="280"/>
        <v>7.2516023247876399E-2</v>
      </c>
      <c r="I298" s="3">
        <f t="shared" si="280"/>
        <v>7.2516023247876371E-2</v>
      </c>
      <c r="J298" s="3">
        <f t="shared" si="280"/>
        <v>7.2516023247876066E-2</v>
      </c>
      <c r="K298" s="3">
        <f t="shared" si="280"/>
        <v>7.2516023247873054E-2</v>
      </c>
      <c r="L298" s="3">
        <f t="shared" si="280"/>
        <v>7.2516023247842884E-2</v>
      </c>
      <c r="M298" s="3">
        <f t="shared" si="280"/>
        <v>7.2516023247541195E-2</v>
      </c>
      <c r="N298" s="3">
        <f t="shared" si="280"/>
        <v>7.2516023244524427E-2</v>
      </c>
      <c r="O298" s="3">
        <f t="shared" si="280"/>
        <v>7.2516023214356642E-2</v>
      </c>
      <c r="P298" s="3">
        <f t="shared" si="280"/>
        <v>7.2516022912678849E-2</v>
      </c>
      <c r="Q298" s="3">
        <f t="shared" si="280"/>
        <v>7.251601989590091E-2</v>
      </c>
      <c r="R298" s="3">
        <f t="shared" si="280"/>
        <v>7.2515989728128533E-2</v>
      </c>
      <c r="S298" s="3">
        <f t="shared" si="280"/>
        <v>7.2515688051094998E-2</v>
      </c>
      <c r="T298" s="3">
        <f t="shared" si="280"/>
        <v>7.251267134978491E-2</v>
      </c>
      <c r="U298" s="3">
        <f t="shared" si="280"/>
        <v>7.2482511238146613E-2</v>
      </c>
      <c r="V298" s="3">
        <f t="shared" si="280"/>
        <v>7.2181599206896832E-2</v>
      </c>
      <c r="W298" s="3">
        <f t="shared" si="280"/>
        <v>6.9240338428274886E-2</v>
      </c>
      <c r="X298" s="3">
        <f t="shared" si="280"/>
        <v>4.5675783262208496E-2</v>
      </c>
      <c r="Y298" s="3">
        <f t="shared" si="280"/>
        <v>7.1277788940234045E-4</v>
      </c>
      <c r="Z298" s="3">
        <f t="shared" si="280"/>
        <v>6.1043071393715426E-22</v>
      </c>
      <c r="AA298" s="3">
        <f t="shared" si="280"/>
        <v>1.2955612662788062E-202</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6.0357732330784487E-2</v>
      </c>
      <c r="C299" s="3">
        <f t="shared" si="281"/>
        <v>6.0357732330784487E-2</v>
      </c>
      <c r="D299" s="3">
        <f t="shared" si="281"/>
        <v>6.0357732330784487E-2</v>
      </c>
      <c r="E299" s="3">
        <f t="shared" si="281"/>
        <v>6.0357732330784487E-2</v>
      </c>
      <c r="F299" s="3">
        <f t="shared" si="281"/>
        <v>6.0357732330784487E-2</v>
      </c>
      <c r="G299" s="3">
        <f t="shared" si="281"/>
        <v>6.0357732330784487E-2</v>
      </c>
      <c r="H299" s="3">
        <f t="shared" si="281"/>
        <v>6.0357732330784487E-2</v>
      </c>
      <c r="I299" s="3">
        <f t="shared" si="281"/>
        <v>6.0357732330784487E-2</v>
      </c>
      <c r="J299" s="3">
        <f t="shared" si="281"/>
        <v>6.035773233078446E-2</v>
      </c>
      <c r="K299" s="3">
        <f t="shared" si="281"/>
        <v>6.0357732330784231E-2</v>
      </c>
      <c r="L299" s="3">
        <f t="shared" si="281"/>
        <v>6.0357732330781969E-2</v>
      </c>
      <c r="M299" s="3">
        <f t="shared" si="281"/>
        <v>6.035773233075932E-2</v>
      </c>
      <c r="N299" s="3">
        <f t="shared" si="281"/>
        <v>6.0357732330532807E-2</v>
      </c>
      <c r="O299" s="3">
        <f t="shared" si="281"/>
        <v>6.0357732328267702E-2</v>
      </c>
      <c r="P299" s="3">
        <f t="shared" si="281"/>
        <v>6.035773230561662E-2</v>
      </c>
      <c r="Q299" s="3">
        <f t="shared" si="281"/>
        <v>6.0357732079105844E-2</v>
      </c>
      <c r="R299" s="3">
        <f t="shared" si="281"/>
        <v>6.0357729813998076E-2</v>
      </c>
      <c r="S299" s="3">
        <f t="shared" si="281"/>
        <v>6.035770716292508E-2</v>
      </c>
      <c r="T299" s="3">
        <f t="shared" si="281"/>
        <v>6.0357480652662693E-2</v>
      </c>
      <c r="U299" s="3">
        <f t="shared" si="281"/>
        <v>6.0355215596790864E-2</v>
      </c>
      <c r="V299" s="3">
        <f t="shared" si="281"/>
        <v>6.0332569712630388E-2</v>
      </c>
      <c r="W299" s="3">
        <f t="shared" si="281"/>
        <v>6.010657767837347E-2</v>
      </c>
      <c r="X299" s="3">
        <f t="shared" si="281"/>
        <v>5.789269634608888E-2</v>
      </c>
      <c r="Y299" s="3">
        <f t="shared" si="281"/>
        <v>3.9777871435454894E-2</v>
      </c>
      <c r="Z299" s="3">
        <f t="shared" si="281"/>
        <v>9.3286578536836274E-4</v>
      </c>
      <c r="AA299" s="3">
        <f t="shared" si="281"/>
        <v>4.6945656323539404E-20</v>
      </c>
      <c r="AB299" s="3">
        <f t="shared" si="281"/>
        <v>4.890552417621895E-183</v>
      </c>
      <c r="AC299" s="3">
        <f t="shared" si="281"/>
        <v>0</v>
      </c>
      <c r="AD299" s="3">
        <f t="shared" si="281"/>
        <v>0</v>
      </c>
      <c r="AE299" s="3">
        <f t="shared" si="281"/>
        <v>0</v>
      </c>
      <c r="AF299" s="3">
        <f t="shared" si="281"/>
        <v>0</v>
      </c>
      <c r="AG299" s="3"/>
      <c r="AH299" s="3"/>
    </row>
    <row r="300" spans="2:34" x14ac:dyDescent="0.25">
      <c r="B300" s="3">
        <f t="shared" ref="B300:AF300" si="282">$C30*EXP(-B$285/$A30/EXP(-$F$126))</f>
        <v>3.7953571045142992E-2</v>
      </c>
      <c r="C300" s="3">
        <f t="shared" si="282"/>
        <v>3.7953571045142992E-2</v>
      </c>
      <c r="D300" s="3">
        <f t="shared" si="282"/>
        <v>3.7953571045142992E-2</v>
      </c>
      <c r="E300" s="3">
        <f t="shared" si="282"/>
        <v>3.7953571045142992E-2</v>
      </c>
      <c r="F300" s="3">
        <f t="shared" si="282"/>
        <v>3.7953571045142992E-2</v>
      </c>
      <c r="G300" s="3">
        <f t="shared" si="282"/>
        <v>3.7953571045142992E-2</v>
      </c>
      <c r="H300" s="3">
        <f t="shared" si="282"/>
        <v>3.7953571045142992E-2</v>
      </c>
      <c r="I300" s="3">
        <f t="shared" si="282"/>
        <v>3.7953571045142992E-2</v>
      </c>
      <c r="J300" s="3">
        <f t="shared" si="282"/>
        <v>3.7953571045142992E-2</v>
      </c>
      <c r="K300" s="3">
        <f t="shared" si="282"/>
        <v>3.7953571045142978E-2</v>
      </c>
      <c r="L300" s="3">
        <f t="shared" si="282"/>
        <v>3.7953571045142846E-2</v>
      </c>
      <c r="M300" s="3">
        <f t="shared" si="282"/>
        <v>3.7953571045141563E-2</v>
      </c>
      <c r="N300" s="3">
        <f t="shared" si="282"/>
        <v>3.7953571045128719E-2</v>
      </c>
      <c r="O300" s="3">
        <f t="shared" si="282"/>
        <v>3.7953571045000231E-2</v>
      </c>
      <c r="P300" s="3">
        <f t="shared" si="282"/>
        <v>3.795357104371537E-2</v>
      </c>
      <c r="Q300" s="3">
        <f t="shared" si="282"/>
        <v>3.7953571030866787E-2</v>
      </c>
      <c r="R300" s="3">
        <f t="shared" si="282"/>
        <v>3.7953570902380974E-2</v>
      </c>
      <c r="S300" s="3">
        <f t="shared" si="282"/>
        <v>3.7953569617522796E-2</v>
      </c>
      <c r="T300" s="3">
        <f t="shared" si="282"/>
        <v>3.7953556768943464E-2</v>
      </c>
      <c r="U300" s="3">
        <f t="shared" si="282"/>
        <v>3.7953428283389386E-2</v>
      </c>
      <c r="V300" s="3">
        <f t="shared" si="282"/>
        <v>3.795214345177151E-2</v>
      </c>
      <c r="W300" s="3">
        <f t="shared" si="282"/>
        <v>3.7939297527586312E-2</v>
      </c>
      <c r="X300" s="3">
        <f t="shared" si="282"/>
        <v>3.7811077185744578E-2</v>
      </c>
      <c r="Y300" s="3">
        <f t="shared" si="282"/>
        <v>3.6552467218185808E-2</v>
      </c>
      <c r="Z300" s="3">
        <f t="shared" si="282"/>
        <v>2.6055124892395292E-2</v>
      </c>
      <c r="AA300" s="3">
        <f t="shared" si="282"/>
        <v>8.8238433380593022E-4</v>
      </c>
      <c r="AB300" s="3">
        <f t="shared" si="282"/>
        <v>1.7510723282366341E-18</v>
      </c>
      <c r="AC300" s="3">
        <f t="shared" si="282"/>
        <v>1.6586969524189496E-165</v>
      </c>
      <c r="AD300" s="3">
        <f t="shared" si="282"/>
        <v>0</v>
      </c>
      <c r="AE300" s="3">
        <f t="shared" si="282"/>
        <v>0</v>
      </c>
      <c r="AF300" s="3">
        <f t="shared" si="282"/>
        <v>0</v>
      </c>
      <c r="AG300" s="3"/>
      <c r="AH300" s="3"/>
    </row>
    <row r="301" spans="2:34" x14ac:dyDescent="0.25">
      <c r="B301" s="3">
        <f t="shared" ref="B301:AF301" si="283">$C31*EXP(-B$285/$A31/EXP(-$F$126))</f>
        <v>1.9899360219970862E-2</v>
      </c>
      <c r="C301" s="3">
        <f t="shared" si="283"/>
        <v>1.9899360219970862E-2</v>
      </c>
      <c r="D301" s="3">
        <f t="shared" si="283"/>
        <v>1.9899360219970862E-2</v>
      </c>
      <c r="E301" s="3">
        <f t="shared" si="283"/>
        <v>1.9899360219970862E-2</v>
      </c>
      <c r="F301" s="3">
        <f t="shared" si="283"/>
        <v>1.9899360219970862E-2</v>
      </c>
      <c r="G301" s="3">
        <f t="shared" si="283"/>
        <v>1.9899360219970862E-2</v>
      </c>
      <c r="H301" s="3">
        <f t="shared" si="283"/>
        <v>1.9899360219970862E-2</v>
      </c>
      <c r="I301" s="3">
        <f t="shared" si="283"/>
        <v>1.9899360219970862E-2</v>
      </c>
      <c r="J301" s="3">
        <f t="shared" si="283"/>
        <v>1.9899360219970862E-2</v>
      </c>
      <c r="K301" s="3">
        <f t="shared" si="283"/>
        <v>1.9899360219970862E-2</v>
      </c>
      <c r="L301" s="3">
        <f t="shared" si="283"/>
        <v>1.9899360219970855E-2</v>
      </c>
      <c r="M301" s="3">
        <f t="shared" si="283"/>
        <v>1.9899360219970793E-2</v>
      </c>
      <c r="N301" s="3">
        <f t="shared" si="283"/>
        <v>1.9899360219970186E-2</v>
      </c>
      <c r="O301" s="3">
        <f t="shared" si="283"/>
        <v>1.9899360219964111E-2</v>
      </c>
      <c r="P301" s="3">
        <f t="shared" si="283"/>
        <v>1.989936021990334E-2</v>
      </c>
      <c r="Q301" s="3">
        <f t="shared" si="283"/>
        <v>1.9899360219295642E-2</v>
      </c>
      <c r="R301" s="3">
        <f t="shared" si="283"/>
        <v>1.9899360213218656E-2</v>
      </c>
      <c r="S301" s="3">
        <f t="shared" si="283"/>
        <v>1.9899360152448791E-2</v>
      </c>
      <c r="T301" s="3">
        <f t="shared" si="283"/>
        <v>1.989935954475017E-2</v>
      </c>
      <c r="U301" s="3">
        <f t="shared" si="283"/>
        <v>1.9899353467764967E-2</v>
      </c>
      <c r="V301" s="3">
        <f t="shared" si="283"/>
        <v>1.9899292698014995E-2</v>
      </c>
      <c r="W301" s="3">
        <f t="shared" si="283"/>
        <v>1.9898685010722228E-2</v>
      </c>
      <c r="X301" s="3">
        <f t="shared" si="283"/>
        <v>1.9892609158371041E-2</v>
      </c>
      <c r="Y301" s="3">
        <f t="shared" si="283"/>
        <v>1.9831952577287478E-2</v>
      </c>
      <c r="Z301" s="3">
        <f t="shared" si="283"/>
        <v>1.9235466756524214E-2</v>
      </c>
      <c r="AA301" s="3">
        <f t="shared" si="283"/>
        <v>1.4173439933207811E-2</v>
      </c>
      <c r="AB301" s="3">
        <f t="shared" si="283"/>
        <v>6.686527754666547E-4</v>
      </c>
      <c r="AC301" s="3">
        <f t="shared" si="283"/>
        <v>3.6513586475488835E-17</v>
      </c>
      <c r="AD301" s="3">
        <f t="shared" si="283"/>
        <v>8.6097968471336584E-150</v>
      </c>
      <c r="AE301" s="3">
        <f t="shared" si="283"/>
        <v>0</v>
      </c>
      <c r="AF301" s="3">
        <f t="shared" si="283"/>
        <v>0</v>
      </c>
      <c r="AG301" s="3"/>
      <c r="AH301" s="3"/>
    </row>
    <row r="302" spans="2:34" x14ac:dyDescent="0.25">
      <c r="B302" s="3">
        <f t="shared" ref="B302:AF302" si="284">$C32*EXP(-B$285/$A32/EXP(-$F$126))</f>
        <v>1.0036367698219981E-2</v>
      </c>
      <c r="C302" s="3">
        <f t="shared" si="284"/>
        <v>1.0036367698219981E-2</v>
      </c>
      <c r="D302" s="3">
        <f t="shared" si="284"/>
        <v>1.0036367698219981E-2</v>
      </c>
      <c r="E302" s="3">
        <f t="shared" si="284"/>
        <v>1.0036367698219981E-2</v>
      </c>
      <c r="F302" s="3">
        <f t="shared" si="284"/>
        <v>1.0036367698219981E-2</v>
      </c>
      <c r="G302" s="3">
        <f t="shared" si="284"/>
        <v>1.0036367698219981E-2</v>
      </c>
      <c r="H302" s="3">
        <f t="shared" si="284"/>
        <v>1.0036367698219981E-2</v>
      </c>
      <c r="I302" s="3">
        <f t="shared" si="284"/>
        <v>1.0036367698219981E-2</v>
      </c>
      <c r="J302" s="3">
        <f t="shared" si="284"/>
        <v>1.0036367698219981E-2</v>
      </c>
      <c r="K302" s="3">
        <f t="shared" si="284"/>
        <v>1.0036367698219981E-2</v>
      </c>
      <c r="L302" s="3">
        <f t="shared" si="284"/>
        <v>1.0036367698219981E-2</v>
      </c>
      <c r="M302" s="3">
        <f t="shared" si="284"/>
        <v>1.0036367698219978E-2</v>
      </c>
      <c r="N302" s="3">
        <f t="shared" si="284"/>
        <v>1.003636769821995E-2</v>
      </c>
      <c r="O302" s="3">
        <f t="shared" si="284"/>
        <v>1.0036367698219674E-2</v>
      </c>
      <c r="P302" s="3">
        <f t="shared" si="284"/>
        <v>1.0036367698216909E-2</v>
      </c>
      <c r="Q302" s="3">
        <f t="shared" si="284"/>
        <v>1.0036367698189261E-2</v>
      </c>
      <c r="R302" s="3">
        <f t="shared" si="284"/>
        <v>1.0036367697912775E-2</v>
      </c>
      <c r="S302" s="3">
        <f t="shared" si="284"/>
        <v>1.0036367695147919E-2</v>
      </c>
      <c r="T302" s="3">
        <f t="shared" si="284"/>
        <v>1.0036367667499374E-2</v>
      </c>
      <c r="U302" s="3">
        <f t="shared" si="284"/>
        <v>1.0036367391013917E-2</v>
      </c>
      <c r="V302" s="3">
        <f t="shared" si="284"/>
        <v>1.0036364626159757E-2</v>
      </c>
      <c r="W302" s="3">
        <f t="shared" si="284"/>
        <v>1.0036336977660053E-2</v>
      </c>
      <c r="X302" s="3">
        <f t="shared" si="284"/>
        <v>1.0036060496852175E-2</v>
      </c>
      <c r="Y302" s="3">
        <f t="shared" si="284"/>
        <v>1.0033296107645596E-2</v>
      </c>
      <c r="Z302" s="3">
        <f t="shared" si="284"/>
        <v>1.0005694060136568E-2</v>
      </c>
      <c r="AA302" s="3">
        <f t="shared" si="284"/>
        <v>9.7338157014830277E-3</v>
      </c>
      <c r="AB302" s="3">
        <f t="shared" si="284"/>
        <v>7.389960468855798E-3</v>
      </c>
      <c r="AC302" s="3">
        <f t="shared" si="284"/>
        <v>4.7014527555128344E-4</v>
      </c>
      <c r="AD302" s="3">
        <f t="shared" si="284"/>
        <v>5.1065981879598757E-16</v>
      </c>
      <c r="AE302" s="3">
        <f t="shared" si="284"/>
        <v>1.1671530033991028E-135</v>
      </c>
      <c r="AF302" s="3">
        <f t="shared" si="284"/>
        <v>0</v>
      </c>
      <c r="AG302" s="3"/>
      <c r="AH302" s="3"/>
    </row>
    <row r="303" spans="2:34" x14ac:dyDescent="0.25">
      <c r="B303" s="3">
        <f t="shared" ref="B303:AF303" si="285">$C33*EXP(-B$285/$A33/EXP(-$F$126))</f>
        <v>1.0472179826501766E-2</v>
      </c>
      <c r="C303" s="3">
        <f t="shared" si="285"/>
        <v>1.0472179826501766E-2</v>
      </c>
      <c r="D303" s="3">
        <f t="shared" si="285"/>
        <v>1.0472179826501766E-2</v>
      </c>
      <c r="E303" s="3">
        <f t="shared" si="285"/>
        <v>1.0472179826501766E-2</v>
      </c>
      <c r="F303" s="3">
        <f t="shared" si="285"/>
        <v>1.0472179826501766E-2</v>
      </c>
      <c r="G303" s="3">
        <f t="shared" si="285"/>
        <v>1.0472179826501766E-2</v>
      </c>
      <c r="H303" s="3">
        <f t="shared" si="285"/>
        <v>1.0472179826501766E-2</v>
      </c>
      <c r="I303" s="3">
        <f t="shared" si="285"/>
        <v>1.0472179826501766E-2</v>
      </c>
      <c r="J303" s="3">
        <f t="shared" si="285"/>
        <v>1.0472179826501766E-2</v>
      </c>
      <c r="K303" s="3">
        <f t="shared" si="285"/>
        <v>1.0472179826501766E-2</v>
      </c>
      <c r="L303" s="3">
        <f t="shared" si="285"/>
        <v>1.0472179826501766E-2</v>
      </c>
      <c r="M303" s="3">
        <f t="shared" si="285"/>
        <v>1.0472179826501766E-2</v>
      </c>
      <c r="N303" s="3">
        <f t="shared" si="285"/>
        <v>1.0472179826501764E-2</v>
      </c>
      <c r="O303" s="3">
        <f t="shared" si="285"/>
        <v>1.0472179826501737E-2</v>
      </c>
      <c r="P303" s="3">
        <f t="shared" si="285"/>
        <v>1.0472179826501476E-2</v>
      </c>
      <c r="Q303" s="3">
        <f t="shared" si="285"/>
        <v>1.0472179826498874E-2</v>
      </c>
      <c r="R303" s="3">
        <f t="shared" si="285"/>
        <v>1.047217982647285E-2</v>
      </c>
      <c r="S303" s="3">
        <f t="shared" si="285"/>
        <v>1.0472179826212607E-2</v>
      </c>
      <c r="T303" s="3">
        <f t="shared" si="285"/>
        <v>1.0472179823610175E-2</v>
      </c>
      <c r="U303" s="3">
        <f t="shared" si="285"/>
        <v>1.0472179797585853E-2</v>
      </c>
      <c r="V303" s="3">
        <f t="shared" si="285"/>
        <v>1.0472179537342641E-2</v>
      </c>
      <c r="W303" s="3">
        <f t="shared" si="285"/>
        <v>1.0472176934910862E-2</v>
      </c>
      <c r="X303" s="3">
        <f t="shared" si="285"/>
        <v>1.0472150910628654E-2</v>
      </c>
      <c r="Y303" s="3">
        <f t="shared" si="285"/>
        <v>1.0471890671363535E-2</v>
      </c>
      <c r="Z303" s="3">
        <f t="shared" si="285"/>
        <v>1.0469288634376487E-2</v>
      </c>
      <c r="AA303" s="3">
        <f t="shared" si="285"/>
        <v>1.0443303798238074E-2</v>
      </c>
      <c r="AB303" s="3">
        <f t="shared" si="285"/>
        <v>1.0186976353419796E-2</v>
      </c>
      <c r="AC303" s="3">
        <f t="shared" si="285"/>
        <v>7.9454620809981356E-3</v>
      </c>
      <c r="AD303" s="3">
        <f t="shared" si="285"/>
        <v>6.6199966932553296E-4</v>
      </c>
      <c r="AE303" s="3">
        <f t="shared" si="285"/>
        <v>1.0671953000041207E-14</v>
      </c>
      <c r="AF303" s="3">
        <f t="shared" si="285"/>
        <v>1.2650427966189145E-122</v>
      </c>
      <c r="AG303" s="3"/>
      <c r="AH303" s="3"/>
    </row>
    <row r="304" spans="2:34" x14ac:dyDescent="0.25">
      <c r="B304" s="3">
        <f t="shared" ref="B304:AF304" si="286">$C34*EXP(-B$285/$A34/EXP(-$F$126))</f>
        <v>1.1455889373470318E-2</v>
      </c>
      <c r="C304" s="3">
        <f t="shared" si="286"/>
        <v>1.1455889373470318E-2</v>
      </c>
      <c r="D304" s="3">
        <f t="shared" si="286"/>
        <v>1.1455889373470318E-2</v>
      </c>
      <c r="E304" s="3">
        <f t="shared" si="286"/>
        <v>1.1455889373470318E-2</v>
      </c>
      <c r="F304" s="3">
        <f t="shared" si="286"/>
        <v>1.1455889373470318E-2</v>
      </c>
      <c r="G304" s="3">
        <f t="shared" si="286"/>
        <v>1.1455889373470318E-2</v>
      </c>
      <c r="H304" s="3">
        <f t="shared" si="286"/>
        <v>1.1455889373470318E-2</v>
      </c>
      <c r="I304" s="3">
        <f t="shared" si="286"/>
        <v>1.1455889373470318E-2</v>
      </c>
      <c r="J304" s="3">
        <f t="shared" si="286"/>
        <v>1.1455889373470318E-2</v>
      </c>
      <c r="K304" s="3">
        <f t="shared" si="286"/>
        <v>1.1455889373470318E-2</v>
      </c>
      <c r="L304" s="3">
        <f t="shared" si="286"/>
        <v>1.1455889373470318E-2</v>
      </c>
      <c r="M304" s="3">
        <f t="shared" si="286"/>
        <v>1.1455889373470318E-2</v>
      </c>
      <c r="N304" s="3">
        <f t="shared" si="286"/>
        <v>1.1455889373470318E-2</v>
      </c>
      <c r="O304" s="3">
        <f t="shared" si="286"/>
        <v>1.1455889373470316E-2</v>
      </c>
      <c r="P304" s="3">
        <f t="shared" si="286"/>
        <v>1.145588937347029E-2</v>
      </c>
      <c r="Q304" s="3">
        <f t="shared" si="286"/>
        <v>1.1455889373470033E-2</v>
      </c>
      <c r="R304" s="3">
        <f t="shared" si="286"/>
        <v>1.1455889373467464E-2</v>
      </c>
      <c r="S304" s="3">
        <f t="shared" si="286"/>
        <v>1.1455889373441781E-2</v>
      </c>
      <c r="T304" s="3">
        <f t="shared" si="286"/>
        <v>1.1455889373184969E-2</v>
      </c>
      <c r="U304" s="3">
        <f t="shared" si="286"/>
        <v>1.1455889370616834E-2</v>
      </c>
      <c r="V304" s="3">
        <f t="shared" si="286"/>
        <v>1.1455889344935492E-2</v>
      </c>
      <c r="W304" s="3">
        <f t="shared" si="286"/>
        <v>1.1455889088122066E-2</v>
      </c>
      <c r="X304" s="3">
        <f t="shared" si="286"/>
        <v>1.1455886519988126E-2</v>
      </c>
      <c r="Y304" s="3">
        <f t="shared" si="286"/>
        <v>1.1455860838680375E-2</v>
      </c>
      <c r="Z304" s="3">
        <f t="shared" si="286"/>
        <v>1.1455604028769282E-2</v>
      </c>
      <c r="AA304" s="3">
        <f t="shared" si="286"/>
        <v>1.1453036246271758E-2</v>
      </c>
      <c r="AB304" s="3">
        <f t="shared" si="286"/>
        <v>1.1427390056392386E-2</v>
      </c>
      <c r="AC304" s="3">
        <f t="shared" si="286"/>
        <v>1.1174065584031537E-2</v>
      </c>
      <c r="AD304" s="3">
        <f t="shared" si="286"/>
        <v>8.9300288171219443E-3</v>
      </c>
      <c r="AE304" s="3">
        <f t="shared" si="286"/>
        <v>9.4900675451369768E-4</v>
      </c>
      <c r="AF304" s="3">
        <f t="shared" si="286"/>
        <v>1.7435473055634394E-13</v>
      </c>
      <c r="AG304" s="3"/>
      <c r="AH304" s="3"/>
    </row>
    <row r="305" spans="1:34" x14ac:dyDescent="0.25">
      <c r="B305" s="3">
        <f t="shared" ref="B305:AF305" si="287">$C35*EXP(-B$285/$A35/EXP(-$F$126))</f>
        <v>6.2948394662532018E-3</v>
      </c>
      <c r="C305" s="3">
        <f t="shared" si="287"/>
        <v>6.2948394662532018E-3</v>
      </c>
      <c r="D305" s="3">
        <f t="shared" si="287"/>
        <v>6.2948394662532018E-3</v>
      </c>
      <c r="E305" s="3">
        <f t="shared" si="287"/>
        <v>6.2948394662532018E-3</v>
      </c>
      <c r="F305" s="3">
        <f t="shared" si="287"/>
        <v>6.2948394662532018E-3</v>
      </c>
      <c r="G305" s="3">
        <f t="shared" si="287"/>
        <v>6.2948394662532018E-3</v>
      </c>
      <c r="H305" s="3">
        <f t="shared" si="287"/>
        <v>6.2948394662532018E-3</v>
      </c>
      <c r="I305" s="3">
        <f t="shared" si="287"/>
        <v>6.2948394662532018E-3</v>
      </c>
      <c r="J305" s="3">
        <f t="shared" si="287"/>
        <v>6.2948394662532018E-3</v>
      </c>
      <c r="K305" s="3">
        <f t="shared" si="287"/>
        <v>6.2948394662532018E-3</v>
      </c>
      <c r="L305" s="3">
        <f t="shared" si="287"/>
        <v>6.2948394662532018E-3</v>
      </c>
      <c r="M305" s="3">
        <f t="shared" si="287"/>
        <v>6.2948394662532018E-3</v>
      </c>
      <c r="N305" s="3">
        <f t="shared" si="287"/>
        <v>6.2948394662532018E-3</v>
      </c>
      <c r="O305" s="3">
        <f t="shared" si="287"/>
        <v>6.2948394662532018E-3</v>
      </c>
      <c r="P305" s="3">
        <f t="shared" si="287"/>
        <v>6.2948394662532001E-3</v>
      </c>
      <c r="Q305" s="3">
        <f t="shared" si="287"/>
        <v>6.294839466253188E-3</v>
      </c>
      <c r="R305" s="3">
        <f t="shared" si="287"/>
        <v>6.2948394662530605E-3</v>
      </c>
      <c r="S305" s="3">
        <f t="shared" si="287"/>
        <v>6.2948394662517872E-3</v>
      </c>
      <c r="T305" s="3">
        <f t="shared" si="287"/>
        <v>6.2948394662390578E-3</v>
      </c>
      <c r="U305" s="3">
        <f t="shared" si="287"/>
        <v>6.2948394661117603E-3</v>
      </c>
      <c r="V305" s="3">
        <f t="shared" si="287"/>
        <v>6.2948394648387838E-3</v>
      </c>
      <c r="W305" s="3">
        <f t="shared" si="287"/>
        <v>6.2948394521090256E-3</v>
      </c>
      <c r="X305" s="3">
        <f t="shared" si="287"/>
        <v>6.2948393248114408E-3</v>
      </c>
      <c r="Y305" s="3">
        <f t="shared" si="287"/>
        <v>6.2948380518357359E-3</v>
      </c>
      <c r="Z305" s="3">
        <f t="shared" si="287"/>
        <v>6.2948253220928381E-3</v>
      </c>
      <c r="AA305" s="3">
        <f t="shared" si="287"/>
        <v>6.2946980260797101E-3</v>
      </c>
      <c r="AB305" s="3">
        <f t="shared" si="287"/>
        <v>6.2934252075220213E-3</v>
      </c>
      <c r="AC305" s="3">
        <f t="shared" si="287"/>
        <v>6.2807111687174467E-3</v>
      </c>
      <c r="AD305" s="3">
        <f t="shared" si="287"/>
        <v>6.1549749298250248E-3</v>
      </c>
      <c r="AE305" s="3">
        <f t="shared" si="287"/>
        <v>5.0280657953070814E-3</v>
      </c>
      <c r="AF305" s="3">
        <f t="shared" si="287"/>
        <v>6.6549927921107034E-4</v>
      </c>
      <c r="AG305" s="3"/>
      <c r="AH305" s="3"/>
    </row>
    <row r="306" spans="1:34" x14ac:dyDescent="0.25">
      <c r="B306" s="3">
        <f t="shared" ref="B306:AF306" si="288">$C36*EXP(-B$285/$A36/EXP(-$F$126))</f>
        <v>5.5356903730511449E-3</v>
      </c>
      <c r="C306" s="3">
        <f t="shared" si="288"/>
        <v>5.5356903730511449E-3</v>
      </c>
      <c r="D306" s="3">
        <f t="shared" si="288"/>
        <v>5.5356903730511449E-3</v>
      </c>
      <c r="E306" s="3">
        <f t="shared" si="288"/>
        <v>5.5356903730511449E-3</v>
      </c>
      <c r="F306" s="3">
        <f t="shared" si="288"/>
        <v>5.5356903730511449E-3</v>
      </c>
      <c r="G306" s="3">
        <f t="shared" si="288"/>
        <v>5.5356903730511449E-3</v>
      </c>
      <c r="H306" s="3">
        <f t="shared" si="288"/>
        <v>5.5356903730511449E-3</v>
      </c>
      <c r="I306" s="3">
        <f t="shared" si="288"/>
        <v>5.5356903730511449E-3</v>
      </c>
      <c r="J306" s="3">
        <f t="shared" si="288"/>
        <v>5.5356903730511449E-3</v>
      </c>
      <c r="K306" s="3">
        <f t="shared" si="288"/>
        <v>5.5356903730511449E-3</v>
      </c>
      <c r="L306" s="3">
        <f t="shared" si="288"/>
        <v>5.5356903730511449E-3</v>
      </c>
      <c r="M306" s="3">
        <f t="shared" si="288"/>
        <v>5.5356903730511449E-3</v>
      </c>
      <c r="N306" s="3">
        <f t="shared" si="288"/>
        <v>5.5356903730511449E-3</v>
      </c>
      <c r="O306" s="3">
        <f t="shared" si="288"/>
        <v>5.5356903730511449E-3</v>
      </c>
      <c r="P306" s="3">
        <f t="shared" si="288"/>
        <v>5.5356903730511449E-3</v>
      </c>
      <c r="Q306" s="3">
        <f t="shared" si="288"/>
        <v>5.535690373051144E-3</v>
      </c>
      <c r="R306" s="3">
        <f t="shared" si="288"/>
        <v>5.5356903730511336E-3</v>
      </c>
      <c r="S306" s="3">
        <f t="shared" si="288"/>
        <v>5.5356903730510321E-3</v>
      </c>
      <c r="T306" s="3">
        <f t="shared" si="288"/>
        <v>5.5356903730500225E-3</v>
      </c>
      <c r="U306" s="3">
        <f t="shared" si="288"/>
        <v>5.5356903730399247E-3</v>
      </c>
      <c r="V306" s="3">
        <f t="shared" si="288"/>
        <v>5.5356903729389404E-3</v>
      </c>
      <c r="W306" s="3">
        <f t="shared" si="288"/>
        <v>5.5356903719290971E-3</v>
      </c>
      <c r="X306" s="3">
        <f t="shared" si="288"/>
        <v>5.5356903618306664E-3</v>
      </c>
      <c r="Y306" s="3">
        <f t="shared" si="288"/>
        <v>5.5356902608463604E-3</v>
      </c>
      <c r="Z306" s="3">
        <f t="shared" si="288"/>
        <v>5.5356892510033976E-3</v>
      </c>
      <c r="AA306" s="3">
        <f t="shared" si="288"/>
        <v>5.5356791525839038E-3</v>
      </c>
      <c r="AB306" s="3">
        <f t="shared" si="288"/>
        <v>5.5355781694021696E-3</v>
      </c>
      <c r="AC306" s="3">
        <f t="shared" si="288"/>
        <v>5.5345684388980465E-3</v>
      </c>
      <c r="AD306" s="3">
        <f t="shared" si="288"/>
        <v>5.5244812583436697E-3</v>
      </c>
      <c r="AE306" s="3">
        <f t="shared" si="288"/>
        <v>5.4246151009884258E-3</v>
      </c>
      <c r="AF306" s="3">
        <f t="shared" si="288"/>
        <v>4.5200492715908869E-3</v>
      </c>
      <c r="AG306" s="3"/>
      <c r="AH306" s="3"/>
    </row>
    <row r="307" spans="1:34" x14ac:dyDescent="0.25">
      <c r="B307" s="3">
        <f t="shared" ref="B307:AF307" si="289">$C37*EXP(-B$285/$A37/EXP(-$F$126))</f>
        <v>2.9841994807754844E-3</v>
      </c>
      <c r="C307" s="3">
        <f t="shared" si="289"/>
        <v>2.9841994807754844E-3</v>
      </c>
      <c r="D307" s="3">
        <f t="shared" si="289"/>
        <v>2.9841994807754844E-3</v>
      </c>
      <c r="E307" s="3">
        <f t="shared" si="289"/>
        <v>2.9841994807754844E-3</v>
      </c>
      <c r="F307" s="3">
        <f t="shared" si="289"/>
        <v>2.9841994807754844E-3</v>
      </c>
      <c r="G307" s="3">
        <f t="shared" si="289"/>
        <v>2.9841994807754844E-3</v>
      </c>
      <c r="H307" s="3">
        <f t="shared" si="289"/>
        <v>2.9841994807754844E-3</v>
      </c>
      <c r="I307" s="3">
        <f t="shared" si="289"/>
        <v>2.9841994807754844E-3</v>
      </c>
      <c r="J307" s="3">
        <f t="shared" si="289"/>
        <v>2.9841994807754844E-3</v>
      </c>
      <c r="K307" s="3">
        <f t="shared" si="289"/>
        <v>2.9841994807754844E-3</v>
      </c>
      <c r="L307" s="3">
        <f t="shared" si="289"/>
        <v>2.9841994807754844E-3</v>
      </c>
      <c r="M307" s="3">
        <f t="shared" si="289"/>
        <v>2.9841994807754844E-3</v>
      </c>
      <c r="N307" s="3">
        <f t="shared" si="289"/>
        <v>2.9841994807754844E-3</v>
      </c>
      <c r="O307" s="3">
        <f t="shared" si="289"/>
        <v>2.9841994807754844E-3</v>
      </c>
      <c r="P307" s="3">
        <f t="shared" si="289"/>
        <v>2.9841994807754844E-3</v>
      </c>
      <c r="Q307" s="3">
        <f t="shared" si="289"/>
        <v>2.9841994807754844E-3</v>
      </c>
      <c r="R307" s="3">
        <f t="shared" si="289"/>
        <v>2.9841994807754835E-3</v>
      </c>
      <c r="S307" s="3">
        <f t="shared" si="289"/>
        <v>2.9841994807754792E-3</v>
      </c>
      <c r="T307" s="3">
        <f t="shared" si="289"/>
        <v>2.9841994807754298E-3</v>
      </c>
      <c r="U307" s="3">
        <f t="shared" si="289"/>
        <v>2.9841994807749388E-3</v>
      </c>
      <c r="V307" s="3">
        <f t="shared" si="289"/>
        <v>2.9841994807700278E-3</v>
      </c>
      <c r="W307" s="3">
        <f t="shared" si="289"/>
        <v>2.9841994807209195E-3</v>
      </c>
      <c r="X307" s="3">
        <f t="shared" si="289"/>
        <v>2.9841994802298345E-3</v>
      </c>
      <c r="Y307" s="3">
        <f t="shared" si="289"/>
        <v>2.9841994753189859E-3</v>
      </c>
      <c r="Z307" s="3">
        <f t="shared" si="289"/>
        <v>2.9841994262105008E-3</v>
      </c>
      <c r="AA307" s="3">
        <f t="shared" si="289"/>
        <v>2.9841989351256934E-3</v>
      </c>
      <c r="AB307" s="3">
        <f t="shared" si="289"/>
        <v>2.9841940242820645E-3</v>
      </c>
      <c r="AC307" s="3">
        <f t="shared" si="289"/>
        <v>2.984144916290247E-3</v>
      </c>
      <c r="AD307" s="3">
        <f t="shared" si="289"/>
        <v>2.9836538808166255E-3</v>
      </c>
      <c r="AE307" s="3">
        <f t="shared" si="289"/>
        <v>2.9787479678307681E-3</v>
      </c>
      <c r="AF307" s="3">
        <f t="shared" si="289"/>
        <v>2.9301303203866408E-3</v>
      </c>
      <c r="AG307" s="3"/>
      <c r="AH307" s="3"/>
    </row>
    <row r="308" spans="1:34" x14ac:dyDescent="0.25">
      <c r="B308" s="3">
        <f t="shared" ref="B308:AF308" si="290">$C38*EXP(-B$285/$A38/EXP(-$F$126))</f>
        <v>1.1698557197945001E-3</v>
      </c>
      <c r="C308" s="3">
        <f t="shared" si="290"/>
        <v>1.1698557197945001E-3</v>
      </c>
      <c r="D308" s="3">
        <f t="shared" si="290"/>
        <v>1.1698557197945001E-3</v>
      </c>
      <c r="E308" s="3">
        <f t="shared" si="290"/>
        <v>1.1698557197945001E-3</v>
      </c>
      <c r="F308" s="3">
        <f t="shared" si="290"/>
        <v>1.1698557197945001E-3</v>
      </c>
      <c r="G308" s="3">
        <f t="shared" si="290"/>
        <v>1.1698557197945001E-3</v>
      </c>
      <c r="H308" s="3">
        <f t="shared" si="290"/>
        <v>1.1698557197945001E-3</v>
      </c>
      <c r="I308" s="3">
        <f t="shared" si="290"/>
        <v>1.1698557197945001E-3</v>
      </c>
      <c r="J308" s="3">
        <f t="shared" si="290"/>
        <v>1.1698557197945001E-3</v>
      </c>
      <c r="K308" s="3">
        <f t="shared" si="290"/>
        <v>1.1698557197945001E-3</v>
      </c>
      <c r="L308" s="3">
        <f t="shared" si="290"/>
        <v>1.1698557197945001E-3</v>
      </c>
      <c r="M308" s="3">
        <f t="shared" si="290"/>
        <v>1.1698557197945001E-3</v>
      </c>
      <c r="N308" s="3">
        <f t="shared" si="290"/>
        <v>1.1698557197945001E-3</v>
      </c>
      <c r="O308" s="3">
        <f t="shared" si="290"/>
        <v>1.1698557197945001E-3</v>
      </c>
      <c r="P308" s="3">
        <f t="shared" si="290"/>
        <v>1.1698557197945001E-3</v>
      </c>
      <c r="Q308" s="3">
        <f t="shared" si="290"/>
        <v>1.1698557197945001E-3</v>
      </c>
      <c r="R308" s="3">
        <f t="shared" si="290"/>
        <v>1.1698557197945001E-3</v>
      </c>
      <c r="S308" s="3">
        <f t="shared" si="290"/>
        <v>1.1698557197944999E-3</v>
      </c>
      <c r="T308" s="3">
        <f t="shared" si="290"/>
        <v>1.1698557197944981E-3</v>
      </c>
      <c r="U308" s="3">
        <f t="shared" si="290"/>
        <v>1.1698557197944808E-3</v>
      </c>
      <c r="V308" s="3">
        <f t="shared" si="290"/>
        <v>1.1698557197943071E-3</v>
      </c>
      <c r="W308" s="3">
        <f t="shared" si="290"/>
        <v>1.1698557197925704E-3</v>
      </c>
      <c r="X308" s="3">
        <f t="shared" si="290"/>
        <v>1.1698557197752041E-3</v>
      </c>
      <c r="Y308" s="3">
        <f t="shared" si="290"/>
        <v>1.1698557196015409E-3</v>
      </c>
      <c r="Z308" s="3">
        <f t="shared" si="290"/>
        <v>1.1698557178649099E-3</v>
      </c>
      <c r="AA308" s="3">
        <f t="shared" si="290"/>
        <v>1.1698557004985986E-3</v>
      </c>
      <c r="AB308" s="3">
        <f t="shared" si="290"/>
        <v>1.1698555268354997E-3</v>
      </c>
      <c r="AC308" s="3">
        <f t="shared" si="290"/>
        <v>1.1698537902059298E-3</v>
      </c>
      <c r="AD308" s="3">
        <f t="shared" si="290"/>
        <v>1.169836424052019E-3</v>
      </c>
      <c r="AE308" s="3">
        <f t="shared" si="290"/>
        <v>1.1696627766910441E-3</v>
      </c>
      <c r="AF308" s="3">
        <f t="shared" si="290"/>
        <v>1.1679277201161829E-3</v>
      </c>
      <c r="AG308" s="3"/>
      <c r="AH308" s="3"/>
    </row>
    <row r="309" spans="1:34" x14ac:dyDescent="0.25">
      <c r="B309" s="3">
        <f t="shared" ref="B309:AF309" si="291">$C39*EXP(-B$285/$A39/EXP(-$F$126))</f>
        <v>4.0204305624187052E-4</v>
      </c>
      <c r="C309" s="3">
        <f t="shared" si="291"/>
        <v>4.0204305624187052E-4</v>
      </c>
      <c r="D309" s="3">
        <f t="shared" si="291"/>
        <v>4.0204305624187052E-4</v>
      </c>
      <c r="E309" s="3">
        <f t="shared" si="291"/>
        <v>4.0204305624187052E-4</v>
      </c>
      <c r="F309" s="3">
        <f t="shared" si="291"/>
        <v>4.0204305624187052E-4</v>
      </c>
      <c r="G309" s="3">
        <f t="shared" si="291"/>
        <v>4.0204305624187052E-4</v>
      </c>
      <c r="H309" s="3">
        <f t="shared" si="291"/>
        <v>4.0204305624187052E-4</v>
      </c>
      <c r="I309" s="3">
        <f t="shared" si="291"/>
        <v>4.0204305624187052E-4</v>
      </c>
      <c r="J309" s="3">
        <f t="shared" si="291"/>
        <v>4.0204305624187052E-4</v>
      </c>
      <c r="K309" s="3">
        <f t="shared" si="291"/>
        <v>4.0204305624187052E-4</v>
      </c>
      <c r="L309" s="3">
        <f t="shared" si="291"/>
        <v>4.0204305624187052E-4</v>
      </c>
      <c r="M309" s="3">
        <f t="shared" si="291"/>
        <v>4.0204305624187052E-4</v>
      </c>
      <c r="N309" s="3">
        <f t="shared" si="291"/>
        <v>4.0204305624187052E-4</v>
      </c>
      <c r="O309" s="3">
        <f t="shared" si="291"/>
        <v>4.0204305624187052E-4</v>
      </c>
      <c r="P309" s="3">
        <f t="shared" si="291"/>
        <v>4.0204305624187052E-4</v>
      </c>
      <c r="Q309" s="3">
        <f t="shared" si="291"/>
        <v>4.0204305624187052E-4</v>
      </c>
      <c r="R309" s="3">
        <f t="shared" si="291"/>
        <v>4.0204305624187052E-4</v>
      </c>
      <c r="S309" s="3">
        <f t="shared" si="291"/>
        <v>4.0204305624187052E-4</v>
      </c>
      <c r="T309" s="3">
        <f t="shared" si="291"/>
        <v>4.0204305624187036E-4</v>
      </c>
      <c r="U309" s="3">
        <f t="shared" si="291"/>
        <v>4.0204305624186868E-4</v>
      </c>
      <c r="V309" s="3">
        <f t="shared" si="291"/>
        <v>4.020430562418522E-4</v>
      </c>
      <c r="W309" s="3">
        <f t="shared" si="291"/>
        <v>4.0204305624168713E-4</v>
      </c>
      <c r="X309" s="3">
        <f t="shared" si="291"/>
        <v>4.0204305624003643E-4</v>
      </c>
      <c r="Y309" s="3">
        <f t="shared" si="291"/>
        <v>4.0204305622352972E-4</v>
      </c>
      <c r="Z309" s="3">
        <f t="shared" si="291"/>
        <v>4.0204305605846255E-4</v>
      </c>
      <c r="AA309" s="3">
        <f t="shared" si="291"/>
        <v>4.0204305440779087E-4</v>
      </c>
      <c r="AB309" s="3">
        <f t="shared" si="291"/>
        <v>4.0204303790107408E-4</v>
      </c>
      <c r="AC309" s="3">
        <f t="shared" si="291"/>
        <v>4.0204287283394371E-4</v>
      </c>
      <c r="AD309" s="3">
        <f t="shared" si="291"/>
        <v>4.0204122216636745E-4</v>
      </c>
      <c r="AE309" s="3">
        <f t="shared" si="291"/>
        <v>4.0202471586334339E-4</v>
      </c>
      <c r="AF309" s="3">
        <f t="shared" si="291"/>
        <v>4.0185969010128727E-4</v>
      </c>
      <c r="AG309" s="3"/>
      <c r="AH309" s="3"/>
    </row>
    <row r="310" spans="1:34" x14ac:dyDescent="0.25">
      <c r="B310" s="3">
        <f t="shared" ref="B310:AF310" si="292">$C40*EXP(-B$285/$A40/EXP(-$F$126))</f>
        <v>9.0650475367586036E-4</v>
      </c>
      <c r="C310" s="3">
        <f t="shared" si="292"/>
        <v>9.0650475367586036E-4</v>
      </c>
      <c r="D310" s="3">
        <f t="shared" si="292"/>
        <v>9.0650475367586036E-4</v>
      </c>
      <c r="E310" s="3">
        <f t="shared" si="292"/>
        <v>9.0650475367586036E-4</v>
      </c>
      <c r="F310" s="3">
        <f t="shared" si="292"/>
        <v>9.0650475367586036E-4</v>
      </c>
      <c r="G310" s="3">
        <f t="shared" si="292"/>
        <v>9.0650475367586036E-4</v>
      </c>
      <c r="H310" s="3">
        <f t="shared" si="292"/>
        <v>9.0650475367586036E-4</v>
      </c>
      <c r="I310" s="3">
        <f t="shared" si="292"/>
        <v>9.0650475367586036E-4</v>
      </c>
      <c r="J310" s="3">
        <f t="shared" si="292"/>
        <v>9.0650475367586036E-4</v>
      </c>
      <c r="K310" s="3">
        <f t="shared" si="292"/>
        <v>9.0650475367586036E-4</v>
      </c>
      <c r="L310" s="3">
        <f t="shared" si="292"/>
        <v>9.0650475367586036E-4</v>
      </c>
      <c r="M310" s="3">
        <f t="shared" si="292"/>
        <v>9.0650475367586036E-4</v>
      </c>
      <c r="N310" s="3">
        <f t="shared" si="292"/>
        <v>9.0650475367586036E-4</v>
      </c>
      <c r="O310" s="3">
        <f t="shared" si="292"/>
        <v>9.0650475367586036E-4</v>
      </c>
      <c r="P310" s="3">
        <f t="shared" si="292"/>
        <v>9.0650475367586036E-4</v>
      </c>
      <c r="Q310" s="3">
        <f t="shared" si="292"/>
        <v>9.0650475367586036E-4</v>
      </c>
      <c r="R310" s="3">
        <f t="shared" si="292"/>
        <v>9.0650475367586036E-4</v>
      </c>
      <c r="S310" s="3">
        <f t="shared" si="292"/>
        <v>9.0650475367586036E-4</v>
      </c>
      <c r="T310" s="3">
        <f t="shared" si="292"/>
        <v>9.0650475367586036E-4</v>
      </c>
      <c r="U310" s="3">
        <f t="shared" si="292"/>
        <v>9.0650475367585993E-4</v>
      </c>
      <c r="V310" s="3">
        <f t="shared" si="292"/>
        <v>9.0650475367585624E-4</v>
      </c>
      <c r="W310" s="3">
        <f t="shared" si="292"/>
        <v>9.0650475367581895E-4</v>
      </c>
      <c r="X310" s="3">
        <f t="shared" si="292"/>
        <v>9.0650475367544685E-4</v>
      </c>
      <c r="Y310" s="3">
        <f t="shared" si="292"/>
        <v>9.06504753671725E-4</v>
      </c>
      <c r="Z310" s="3">
        <f t="shared" si="292"/>
        <v>9.0650475363450661E-4</v>
      </c>
      <c r="AA310" s="3">
        <f t="shared" si="292"/>
        <v>9.0650475326232213E-4</v>
      </c>
      <c r="AB310" s="3">
        <f t="shared" si="292"/>
        <v>9.0650474954047757E-4</v>
      </c>
      <c r="AC310" s="3">
        <f t="shared" si="292"/>
        <v>9.0650471232203299E-4</v>
      </c>
      <c r="AD310" s="3">
        <f t="shared" si="292"/>
        <v>9.065043401376711E-4</v>
      </c>
      <c r="AE310" s="3">
        <f t="shared" si="292"/>
        <v>9.0650061830245608E-4</v>
      </c>
      <c r="AF310" s="3">
        <f t="shared" si="292"/>
        <v>9.0646340079073788E-4</v>
      </c>
      <c r="AG310" s="3"/>
      <c r="AH310" s="3"/>
    </row>
    <row r="311" spans="1:34" x14ac:dyDescent="0.25">
      <c r="B311" s="3">
        <f t="shared" ref="B311:AF311" si="293">$C41*EXP(-B$285/$A41/EXP(-$F$126))</f>
        <v>1.833495697796037E-4</v>
      </c>
      <c r="C311" s="3">
        <f t="shared" si="293"/>
        <v>1.833495697796037E-4</v>
      </c>
      <c r="D311" s="3">
        <f t="shared" si="293"/>
        <v>1.833495697796037E-4</v>
      </c>
      <c r="E311" s="3">
        <f t="shared" si="293"/>
        <v>1.833495697796037E-4</v>
      </c>
      <c r="F311" s="3">
        <f t="shared" si="293"/>
        <v>1.833495697796037E-4</v>
      </c>
      <c r="G311" s="3">
        <f t="shared" si="293"/>
        <v>1.833495697796037E-4</v>
      </c>
      <c r="H311" s="3">
        <f t="shared" si="293"/>
        <v>1.833495697796037E-4</v>
      </c>
      <c r="I311" s="3">
        <f t="shared" si="293"/>
        <v>1.833495697796037E-4</v>
      </c>
      <c r="J311" s="3">
        <f t="shared" si="293"/>
        <v>1.833495697796037E-4</v>
      </c>
      <c r="K311" s="3">
        <f t="shared" si="293"/>
        <v>1.833495697796037E-4</v>
      </c>
      <c r="L311" s="3">
        <f t="shared" si="293"/>
        <v>1.833495697796037E-4</v>
      </c>
      <c r="M311" s="3">
        <f t="shared" si="293"/>
        <v>1.833495697796037E-4</v>
      </c>
      <c r="N311" s="3">
        <f t="shared" si="293"/>
        <v>1.833495697796037E-4</v>
      </c>
      <c r="O311" s="3">
        <f t="shared" si="293"/>
        <v>1.833495697796037E-4</v>
      </c>
      <c r="P311" s="3">
        <f t="shared" si="293"/>
        <v>1.833495697796037E-4</v>
      </c>
      <c r="Q311" s="3">
        <f t="shared" si="293"/>
        <v>1.833495697796037E-4</v>
      </c>
      <c r="R311" s="3">
        <f t="shared" si="293"/>
        <v>1.833495697796037E-4</v>
      </c>
      <c r="S311" s="3">
        <f t="shared" si="293"/>
        <v>1.833495697796037E-4</v>
      </c>
      <c r="T311" s="3">
        <f t="shared" si="293"/>
        <v>1.833495697796037E-4</v>
      </c>
      <c r="U311" s="3">
        <f t="shared" si="293"/>
        <v>1.833495697796037E-4</v>
      </c>
      <c r="V311" s="3">
        <f t="shared" si="293"/>
        <v>1.8334956977960362E-4</v>
      </c>
      <c r="W311" s="3">
        <f t="shared" si="293"/>
        <v>1.8334956977960286E-4</v>
      </c>
      <c r="X311" s="3">
        <f t="shared" si="293"/>
        <v>1.8334956977959533E-4</v>
      </c>
      <c r="Y311" s="3">
        <f t="shared" si="293"/>
        <v>1.8334956977952006E-4</v>
      </c>
      <c r="Z311" s="3">
        <f t="shared" si="293"/>
        <v>1.8334956977876727E-4</v>
      </c>
      <c r="AA311" s="3">
        <f t="shared" si="293"/>
        <v>1.8334956977123949E-4</v>
      </c>
      <c r="AB311" s="3">
        <f t="shared" si="293"/>
        <v>1.8334956969596149E-4</v>
      </c>
      <c r="AC311" s="3">
        <f t="shared" si="293"/>
        <v>1.8334956894318154E-4</v>
      </c>
      <c r="AD311" s="3">
        <f t="shared" si="293"/>
        <v>1.833495614153823E-4</v>
      </c>
      <c r="AE311" s="3">
        <f t="shared" si="293"/>
        <v>1.833494861374068E-4</v>
      </c>
      <c r="AF311" s="3">
        <f t="shared" si="293"/>
        <v>1.8334873335935166E-4</v>
      </c>
      <c r="AG311" s="3"/>
      <c r="AH311" s="3"/>
    </row>
    <row r="312" spans="1:34" x14ac:dyDescent="0.25">
      <c r="B312" s="3">
        <f t="shared" ref="B312:AF312" si="294">$C42*EXP(-B$285/$A42/EXP(-$F$126))</f>
        <v>0</v>
      </c>
      <c r="C312" s="3">
        <f t="shared" si="294"/>
        <v>0</v>
      </c>
      <c r="D312" s="3">
        <f t="shared" si="294"/>
        <v>0</v>
      </c>
      <c r="E312" s="3">
        <f t="shared" si="294"/>
        <v>0</v>
      </c>
      <c r="F312" s="3">
        <f t="shared" si="294"/>
        <v>0</v>
      </c>
      <c r="G312" s="3">
        <f t="shared" si="294"/>
        <v>0</v>
      </c>
      <c r="H312" s="3">
        <f t="shared" si="294"/>
        <v>0</v>
      </c>
      <c r="I312" s="3">
        <f t="shared" si="294"/>
        <v>0</v>
      </c>
      <c r="J312" s="3">
        <f t="shared" si="294"/>
        <v>0</v>
      </c>
      <c r="K312" s="3">
        <f t="shared" si="294"/>
        <v>0</v>
      </c>
      <c r="L312" s="3">
        <f t="shared" si="294"/>
        <v>0</v>
      </c>
      <c r="M312" s="3">
        <f t="shared" si="294"/>
        <v>0</v>
      </c>
      <c r="N312" s="3">
        <f t="shared" si="294"/>
        <v>0</v>
      </c>
      <c r="O312" s="3">
        <f t="shared" si="294"/>
        <v>0</v>
      </c>
      <c r="P312" s="3">
        <f t="shared" si="294"/>
        <v>0</v>
      </c>
      <c r="Q312" s="3">
        <f t="shared" si="294"/>
        <v>0</v>
      </c>
      <c r="R312" s="3">
        <f t="shared" si="294"/>
        <v>0</v>
      </c>
      <c r="S312" s="3">
        <f t="shared" si="294"/>
        <v>0</v>
      </c>
      <c r="T312" s="3">
        <f t="shared" si="294"/>
        <v>0</v>
      </c>
      <c r="U312" s="3">
        <f t="shared" si="294"/>
        <v>0</v>
      </c>
      <c r="V312" s="3">
        <f t="shared" si="294"/>
        <v>0</v>
      </c>
      <c r="W312" s="3">
        <f t="shared" si="294"/>
        <v>0</v>
      </c>
      <c r="X312" s="3">
        <f t="shared" si="294"/>
        <v>0</v>
      </c>
      <c r="Y312" s="3">
        <f t="shared" si="294"/>
        <v>0</v>
      </c>
      <c r="Z312" s="3">
        <f t="shared" si="294"/>
        <v>0</v>
      </c>
      <c r="AA312" s="3">
        <f t="shared" si="294"/>
        <v>0</v>
      </c>
      <c r="AB312" s="3">
        <f t="shared" si="294"/>
        <v>0</v>
      </c>
      <c r="AC312" s="3">
        <f t="shared" si="294"/>
        <v>0</v>
      </c>
      <c r="AD312" s="3">
        <f t="shared" si="294"/>
        <v>0</v>
      </c>
      <c r="AE312" s="3">
        <f t="shared" si="294"/>
        <v>0</v>
      </c>
      <c r="AF312" s="3">
        <f t="shared" si="294"/>
        <v>0</v>
      </c>
      <c r="AG312" s="3"/>
      <c r="AH312" s="3"/>
    </row>
    <row r="313" spans="1:34" x14ac:dyDescent="0.25">
      <c r="B313" s="3">
        <f t="shared" ref="B313:AF313" si="295">$C43*EXP(-B$285/$A43/EXP(-$F$126))</f>
        <v>2.7582104941075727E-4</v>
      </c>
      <c r="C313" s="3">
        <f t="shared" si="295"/>
        <v>2.7582104941075727E-4</v>
      </c>
      <c r="D313" s="3">
        <f t="shared" si="295"/>
        <v>2.7582104941075727E-4</v>
      </c>
      <c r="E313" s="3">
        <f t="shared" si="295"/>
        <v>2.7582104941075727E-4</v>
      </c>
      <c r="F313" s="3">
        <f t="shared" si="295"/>
        <v>2.7582104941075727E-4</v>
      </c>
      <c r="G313" s="3">
        <f t="shared" si="295"/>
        <v>2.7582104941075727E-4</v>
      </c>
      <c r="H313" s="3">
        <f t="shared" si="295"/>
        <v>2.7582104941075727E-4</v>
      </c>
      <c r="I313" s="3">
        <f t="shared" si="295"/>
        <v>2.7582104941075727E-4</v>
      </c>
      <c r="J313" s="3">
        <f t="shared" si="295"/>
        <v>2.7582104941075727E-4</v>
      </c>
      <c r="K313" s="3">
        <f t="shared" si="295"/>
        <v>2.7582104941075727E-4</v>
      </c>
      <c r="L313" s="3">
        <f t="shared" si="295"/>
        <v>2.7582104941075727E-4</v>
      </c>
      <c r="M313" s="3">
        <f t="shared" si="295"/>
        <v>2.7582104941075727E-4</v>
      </c>
      <c r="N313" s="3">
        <f t="shared" si="295"/>
        <v>2.7582104941075727E-4</v>
      </c>
      <c r="O313" s="3">
        <f t="shared" si="295"/>
        <v>2.7582104941075727E-4</v>
      </c>
      <c r="P313" s="3">
        <f t="shared" si="295"/>
        <v>2.7582104941075727E-4</v>
      </c>
      <c r="Q313" s="3">
        <f t="shared" si="295"/>
        <v>2.7582104941075727E-4</v>
      </c>
      <c r="R313" s="3">
        <f t="shared" si="295"/>
        <v>2.7582104941075727E-4</v>
      </c>
      <c r="S313" s="3">
        <f t="shared" si="295"/>
        <v>2.7582104941075727E-4</v>
      </c>
      <c r="T313" s="3">
        <f t="shared" si="295"/>
        <v>2.7582104941075727E-4</v>
      </c>
      <c r="U313" s="3">
        <f t="shared" si="295"/>
        <v>2.7582104941075727E-4</v>
      </c>
      <c r="V313" s="3">
        <f t="shared" si="295"/>
        <v>2.7582104941075727E-4</v>
      </c>
      <c r="W313" s="3">
        <f t="shared" si="295"/>
        <v>2.7582104941075727E-4</v>
      </c>
      <c r="X313" s="3">
        <f t="shared" si="295"/>
        <v>2.7582104941075716E-4</v>
      </c>
      <c r="Y313" s="3">
        <f t="shared" si="295"/>
        <v>2.7582104941075602E-4</v>
      </c>
      <c r="Z313" s="3">
        <f t="shared" si="295"/>
        <v>2.7582104941074469E-4</v>
      </c>
      <c r="AA313" s="3">
        <f t="shared" si="295"/>
        <v>2.7582104941063144E-4</v>
      </c>
      <c r="AB313" s="3">
        <f t="shared" si="295"/>
        <v>2.7582104940949899E-4</v>
      </c>
      <c r="AC313" s="3">
        <f t="shared" si="295"/>
        <v>2.7582104939817461E-4</v>
      </c>
      <c r="AD313" s="3">
        <f t="shared" si="295"/>
        <v>2.7582104928493051E-4</v>
      </c>
      <c r="AE313" s="3">
        <f t="shared" si="295"/>
        <v>2.7582104815248958E-4</v>
      </c>
      <c r="AF313" s="3">
        <f t="shared" si="295"/>
        <v>2.7582103682808077E-4</v>
      </c>
      <c r="AG313" s="3"/>
      <c r="AH313" s="3"/>
    </row>
    <row r="314" spans="1:34" x14ac:dyDescent="0.25">
      <c r="B314" s="3">
        <f t="shared" ref="B314:AF314" si="296">$C44*EXP(-B$285/$A44/EXP(-$F$126))</f>
        <v>2.4535081143819124E-4</v>
      </c>
      <c r="C314" s="3">
        <f t="shared" si="296"/>
        <v>2.4535081143819124E-4</v>
      </c>
      <c r="D314" s="3">
        <f t="shared" si="296"/>
        <v>2.4535081143819124E-4</v>
      </c>
      <c r="E314" s="3">
        <f t="shared" si="296"/>
        <v>2.4535081143819124E-4</v>
      </c>
      <c r="F314" s="3">
        <f t="shared" si="296"/>
        <v>2.4535081143819124E-4</v>
      </c>
      <c r="G314" s="3">
        <f t="shared" si="296"/>
        <v>2.4535081143819124E-4</v>
      </c>
      <c r="H314" s="3">
        <f t="shared" si="296"/>
        <v>2.4535081143819124E-4</v>
      </c>
      <c r="I314" s="3">
        <f t="shared" si="296"/>
        <v>2.4535081143819124E-4</v>
      </c>
      <c r="J314" s="3">
        <f t="shared" si="296"/>
        <v>2.4535081143819124E-4</v>
      </c>
      <c r="K314" s="3">
        <f t="shared" si="296"/>
        <v>2.4535081143819124E-4</v>
      </c>
      <c r="L314" s="3">
        <f t="shared" si="296"/>
        <v>2.4535081143819124E-4</v>
      </c>
      <c r="M314" s="3">
        <f t="shared" si="296"/>
        <v>2.4535081143819124E-4</v>
      </c>
      <c r="N314" s="3">
        <f t="shared" si="296"/>
        <v>2.4535081143819124E-4</v>
      </c>
      <c r="O314" s="3">
        <f t="shared" si="296"/>
        <v>2.4535081143819124E-4</v>
      </c>
      <c r="P314" s="3">
        <f t="shared" si="296"/>
        <v>2.4535081143819124E-4</v>
      </c>
      <c r="Q314" s="3">
        <f t="shared" si="296"/>
        <v>2.4535081143819124E-4</v>
      </c>
      <c r="R314" s="3">
        <f t="shared" si="296"/>
        <v>2.4535081143819124E-4</v>
      </c>
      <c r="S314" s="3">
        <f t="shared" si="296"/>
        <v>2.4535081143819124E-4</v>
      </c>
      <c r="T314" s="3">
        <f t="shared" si="296"/>
        <v>2.4535081143819124E-4</v>
      </c>
      <c r="U314" s="3">
        <f t="shared" si="296"/>
        <v>2.4535081143819124E-4</v>
      </c>
      <c r="V314" s="3">
        <f t="shared" si="296"/>
        <v>2.4535081143819124E-4</v>
      </c>
      <c r="W314" s="3">
        <f t="shared" si="296"/>
        <v>2.4535081143819124E-4</v>
      </c>
      <c r="X314" s="3">
        <f t="shared" si="296"/>
        <v>2.4535081143819124E-4</v>
      </c>
      <c r="Y314" s="3">
        <f t="shared" si="296"/>
        <v>2.4535081143819114E-4</v>
      </c>
      <c r="Z314" s="3">
        <f t="shared" si="296"/>
        <v>2.4535081143819011E-4</v>
      </c>
      <c r="AA314" s="3">
        <f t="shared" si="296"/>
        <v>2.4535081143818002E-4</v>
      </c>
      <c r="AB314" s="3">
        <f t="shared" si="296"/>
        <v>2.453508114380793E-4</v>
      </c>
      <c r="AC314" s="3">
        <f t="shared" si="296"/>
        <v>2.4535081143707197E-4</v>
      </c>
      <c r="AD314" s="3">
        <f t="shared" si="296"/>
        <v>2.4535081142699859E-4</v>
      </c>
      <c r="AE314" s="3">
        <f t="shared" si="296"/>
        <v>2.4535081132626472E-4</v>
      </c>
      <c r="AF314" s="3">
        <f t="shared" si="296"/>
        <v>2.453508103189257E-4</v>
      </c>
      <c r="AG314" s="3"/>
      <c r="AH314" s="3"/>
    </row>
    <row r="315" spans="1:34" x14ac:dyDescent="0.25">
      <c r="B315" s="3">
        <f t="shared" ref="B315:AF315" si="297">$C45*EXP(-B$285/$A45/EXP(-$F$126))</f>
        <v>0</v>
      </c>
      <c r="C315" s="3">
        <f t="shared" si="297"/>
        <v>0</v>
      </c>
      <c r="D315" s="3">
        <f t="shared" si="297"/>
        <v>0</v>
      </c>
      <c r="E315" s="3">
        <f t="shared" si="297"/>
        <v>0</v>
      </c>
      <c r="F315" s="3">
        <f t="shared" si="297"/>
        <v>0</v>
      </c>
      <c r="G315" s="3">
        <f t="shared" si="297"/>
        <v>0</v>
      </c>
      <c r="H315" s="3">
        <f t="shared" si="297"/>
        <v>0</v>
      </c>
      <c r="I315" s="3">
        <f t="shared" si="297"/>
        <v>0</v>
      </c>
      <c r="J315" s="3">
        <f t="shared" si="297"/>
        <v>0</v>
      </c>
      <c r="K315" s="3">
        <f t="shared" si="297"/>
        <v>0</v>
      </c>
      <c r="L315" s="3">
        <f t="shared" si="297"/>
        <v>0</v>
      </c>
      <c r="M315" s="3">
        <f t="shared" si="297"/>
        <v>0</v>
      </c>
      <c r="N315" s="3">
        <f t="shared" si="297"/>
        <v>0</v>
      </c>
      <c r="O315" s="3">
        <f t="shared" si="297"/>
        <v>0</v>
      </c>
      <c r="P315" s="3">
        <f t="shared" si="297"/>
        <v>0</v>
      </c>
      <c r="Q315" s="3">
        <f t="shared" si="297"/>
        <v>0</v>
      </c>
      <c r="R315" s="3">
        <f t="shared" si="297"/>
        <v>0</v>
      </c>
      <c r="S315" s="3">
        <f t="shared" si="297"/>
        <v>0</v>
      </c>
      <c r="T315" s="3">
        <f t="shared" si="297"/>
        <v>0</v>
      </c>
      <c r="U315" s="3">
        <f t="shared" si="297"/>
        <v>0</v>
      </c>
      <c r="V315" s="3">
        <f t="shared" si="297"/>
        <v>0</v>
      </c>
      <c r="W315" s="3">
        <f t="shared" si="297"/>
        <v>0</v>
      </c>
      <c r="X315" s="3">
        <f t="shared" si="297"/>
        <v>0</v>
      </c>
      <c r="Y315" s="3">
        <f t="shared" si="297"/>
        <v>0</v>
      </c>
      <c r="Z315" s="3">
        <f t="shared" si="297"/>
        <v>0</v>
      </c>
      <c r="AA315" s="3">
        <f t="shared" si="297"/>
        <v>0</v>
      </c>
      <c r="AB315" s="3">
        <f t="shared" si="297"/>
        <v>0</v>
      </c>
      <c r="AC315" s="3">
        <f t="shared" si="297"/>
        <v>0</v>
      </c>
      <c r="AD315" s="3">
        <f t="shared" si="297"/>
        <v>0</v>
      </c>
      <c r="AE315" s="3">
        <f t="shared" si="297"/>
        <v>0</v>
      </c>
      <c r="AF315" s="3">
        <f t="shared" si="297"/>
        <v>0</v>
      </c>
      <c r="AG315" s="3"/>
      <c r="AH315" s="3"/>
    </row>
    <row r="316" spans="1:34" x14ac:dyDescent="0.25">
      <c r="B316" s="3">
        <f t="shared" ref="B316:AF316" si="298">$C46*EXP(-B$285/$A46/EXP(-$F$126))</f>
        <v>1.7255643769382848E-4</v>
      </c>
      <c r="C316" s="3">
        <f t="shared" si="298"/>
        <v>1.7255643769382848E-4</v>
      </c>
      <c r="D316" s="3">
        <f t="shared" si="298"/>
        <v>1.7255643769382848E-4</v>
      </c>
      <c r="E316" s="3">
        <f t="shared" si="298"/>
        <v>1.7255643769382848E-4</v>
      </c>
      <c r="F316" s="3">
        <f t="shared" si="298"/>
        <v>1.7255643769382848E-4</v>
      </c>
      <c r="G316" s="3">
        <f t="shared" si="298"/>
        <v>1.7255643769382848E-4</v>
      </c>
      <c r="H316" s="3">
        <f t="shared" si="298"/>
        <v>1.7255643769382848E-4</v>
      </c>
      <c r="I316" s="3">
        <f t="shared" si="298"/>
        <v>1.7255643769382848E-4</v>
      </c>
      <c r="J316" s="3">
        <f t="shared" si="298"/>
        <v>1.7255643769382848E-4</v>
      </c>
      <c r="K316" s="3">
        <f t="shared" si="298"/>
        <v>1.7255643769382848E-4</v>
      </c>
      <c r="L316" s="3">
        <f t="shared" si="298"/>
        <v>1.7255643769382848E-4</v>
      </c>
      <c r="M316" s="3">
        <f t="shared" si="298"/>
        <v>1.7255643769382848E-4</v>
      </c>
      <c r="N316" s="3">
        <f t="shared" si="298"/>
        <v>1.7255643769382848E-4</v>
      </c>
      <c r="O316" s="3">
        <f t="shared" si="298"/>
        <v>1.7255643769382848E-4</v>
      </c>
      <c r="P316" s="3">
        <f t="shared" si="298"/>
        <v>1.7255643769382848E-4</v>
      </c>
      <c r="Q316" s="3">
        <f t="shared" si="298"/>
        <v>1.7255643769382848E-4</v>
      </c>
      <c r="R316" s="3">
        <f t="shared" si="298"/>
        <v>1.7255643769382848E-4</v>
      </c>
      <c r="S316" s="3">
        <f t="shared" si="298"/>
        <v>1.7255643769382848E-4</v>
      </c>
      <c r="T316" s="3">
        <f t="shared" si="298"/>
        <v>1.7255643769382848E-4</v>
      </c>
      <c r="U316" s="3">
        <f t="shared" si="298"/>
        <v>1.7255643769382848E-4</v>
      </c>
      <c r="V316" s="3">
        <f t="shared" si="298"/>
        <v>1.7255643769382848E-4</v>
      </c>
      <c r="W316" s="3">
        <f t="shared" si="298"/>
        <v>1.7255643769382848E-4</v>
      </c>
      <c r="X316" s="3">
        <f t="shared" si="298"/>
        <v>1.7255643769382848E-4</v>
      </c>
      <c r="Y316" s="3">
        <f t="shared" si="298"/>
        <v>1.7255643769382848E-4</v>
      </c>
      <c r="Z316" s="3">
        <f t="shared" si="298"/>
        <v>1.7255643769382848E-4</v>
      </c>
      <c r="AA316" s="3">
        <f t="shared" si="298"/>
        <v>1.725564376938284E-4</v>
      </c>
      <c r="AB316" s="3">
        <f t="shared" si="298"/>
        <v>1.7255643769382769E-4</v>
      </c>
      <c r="AC316" s="3">
        <f t="shared" si="298"/>
        <v>1.7255643769382062E-4</v>
      </c>
      <c r="AD316" s="3">
        <f t="shared" si="298"/>
        <v>1.7255643769374977E-4</v>
      </c>
      <c r="AE316" s="3">
        <f t="shared" si="298"/>
        <v>1.7255643769304129E-4</v>
      </c>
      <c r="AF316" s="3">
        <f t="shared" si="298"/>
        <v>1.7255643768595663E-4</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0</v>
      </c>
      <c r="C318" s="3">
        <f t="shared" si="300"/>
        <v>0</v>
      </c>
      <c r="D318" s="3">
        <f t="shared" si="300"/>
        <v>0</v>
      </c>
      <c r="E318" s="3">
        <f t="shared" si="300"/>
        <v>0</v>
      </c>
      <c r="F318" s="3">
        <f t="shared" si="300"/>
        <v>0</v>
      </c>
      <c r="G318" s="3">
        <f t="shared" si="300"/>
        <v>0</v>
      </c>
      <c r="H318" s="3">
        <f t="shared" si="300"/>
        <v>0</v>
      </c>
      <c r="I318" s="3">
        <f t="shared" si="300"/>
        <v>0</v>
      </c>
      <c r="J318" s="3">
        <f t="shared" si="300"/>
        <v>0</v>
      </c>
      <c r="K318" s="3">
        <f t="shared" si="300"/>
        <v>0</v>
      </c>
      <c r="L318" s="3">
        <f t="shared" si="300"/>
        <v>0</v>
      </c>
      <c r="M318" s="3">
        <f t="shared" si="300"/>
        <v>0</v>
      </c>
      <c r="N318" s="3">
        <f t="shared" si="300"/>
        <v>0</v>
      </c>
      <c r="O318" s="3">
        <f t="shared" si="300"/>
        <v>0</v>
      </c>
      <c r="P318" s="3">
        <f t="shared" si="300"/>
        <v>0</v>
      </c>
      <c r="Q318" s="3">
        <f t="shared" si="300"/>
        <v>0</v>
      </c>
      <c r="R318" s="3">
        <f t="shared" si="300"/>
        <v>0</v>
      </c>
      <c r="S318" s="3">
        <f t="shared" si="300"/>
        <v>0</v>
      </c>
      <c r="T318" s="3">
        <f t="shared" si="300"/>
        <v>0</v>
      </c>
      <c r="U318" s="3">
        <f t="shared" si="300"/>
        <v>0</v>
      </c>
      <c r="V318" s="3">
        <f t="shared" si="300"/>
        <v>0</v>
      </c>
      <c r="W318" s="3">
        <f t="shared" si="300"/>
        <v>0</v>
      </c>
      <c r="X318" s="3">
        <f t="shared" si="300"/>
        <v>0</v>
      </c>
      <c r="Y318" s="3">
        <f t="shared" si="300"/>
        <v>0</v>
      </c>
      <c r="Z318" s="3">
        <f t="shared" si="300"/>
        <v>0</v>
      </c>
      <c r="AA318" s="3">
        <f t="shared" si="300"/>
        <v>0</v>
      </c>
      <c r="AB318" s="3">
        <f t="shared" si="300"/>
        <v>0</v>
      </c>
      <c r="AC318" s="3">
        <f t="shared" si="300"/>
        <v>0</v>
      </c>
      <c r="AD318" s="3">
        <f t="shared" si="300"/>
        <v>0</v>
      </c>
      <c r="AE318" s="3">
        <f t="shared" si="300"/>
        <v>0</v>
      </c>
      <c r="AF318" s="3">
        <f t="shared" si="300"/>
        <v>0</v>
      </c>
      <c r="AG318" s="3"/>
      <c r="AH318" s="3"/>
    </row>
    <row r="319" spans="1:34" x14ac:dyDescent="0.25">
      <c r="A319" s="79">
        <f>AVERAGE(B319:AF319)</f>
        <v>4.4681273872183382E-2</v>
      </c>
      <c r="B319" s="80">
        <f>IF($A$64&lt;=B285,IF($B$64&gt;=B285,ABS((B287-B286)/B286),0),0)</f>
        <v>0</v>
      </c>
      <c r="C319" s="80">
        <f t="shared" ref="C319:AF319" si="301">IF($A$64&lt;=C285,IF($B$64&gt;=C285,ABS((C287-C286)/C286),0),0)</f>
        <v>0</v>
      </c>
      <c r="D319" s="80">
        <f t="shared" si="301"/>
        <v>0</v>
      </c>
      <c r="E319" s="80">
        <f t="shared" si="301"/>
        <v>0</v>
      </c>
      <c r="F319" s="80">
        <f t="shared" si="301"/>
        <v>0</v>
      </c>
      <c r="G319" s="80">
        <f t="shared" si="301"/>
        <v>0</v>
      </c>
      <c r="H319" s="80">
        <f t="shared" si="301"/>
        <v>0</v>
      </c>
      <c r="I319" s="80">
        <f t="shared" si="301"/>
        <v>0</v>
      </c>
      <c r="J319" s="80">
        <f t="shared" si="301"/>
        <v>0</v>
      </c>
      <c r="K319" s="80">
        <f t="shared" si="301"/>
        <v>0</v>
      </c>
      <c r="L319" s="80">
        <f t="shared" si="301"/>
        <v>0.15770405280334496</v>
      </c>
      <c r="M319" s="80">
        <f t="shared" si="301"/>
        <v>0.12194225793643543</v>
      </c>
      <c r="N319" s="80">
        <f t="shared" si="301"/>
        <v>8.72564801057579E-2</v>
      </c>
      <c r="O319" s="80">
        <f t="shared" si="301"/>
        <v>9.5945915880411126E-2</v>
      </c>
      <c r="P319" s="80">
        <f t="shared" si="301"/>
        <v>0.10433104145193407</v>
      </c>
      <c r="Q319" s="80">
        <f t="shared" si="301"/>
        <v>0.10052220163001843</v>
      </c>
      <c r="R319" s="80">
        <f t="shared" si="301"/>
        <v>8.5818472657313377E-2</v>
      </c>
      <c r="S319" s="80">
        <f t="shared" si="301"/>
        <v>1.0622400045176294E-2</v>
      </c>
      <c r="T319" s="80">
        <f t="shared" si="301"/>
        <v>0.11121937802774659</v>
      </c>
      <c r="U319" s="80">
        <f t="shared" si="301"/>
        <v>0.22407983136242257</v>
      </c>
      <c r="V319" s="80">
        <f t="shared" si="301"/>
        <v>0.28567745813712397</v>
      </c>
      <c r="W319" s="80">
        <f t="shared" si="301"/>
        <v>0</v>
      </c>
      <c r="X319" s="80">
        <f t="shared" si="301"/>
        <v>0</v>
      </c>
      <c r="Y319" s="80">
        <f t="shared" si="301"/>
        <v>0</v>
      </c>
      <c r="Z319" s="80">
        <f t="shared" si="301"/>
        <v>0</v>
      </c>
      <c r="AA319" s="80">
        <f t="shared" si="301"/>
        <v>0</v>
      </c>
      <c r="AB319" s="80">
        <f t="shared" si="301"/>
        <v>0</v>
      </c>
      <c r="AC319" s="80">
        <f t="shared" si="301"/>
        <v>0</v>
      </c>
      <c r="AD319" s="80">
        <f t="shared" si="301"/>
        <v>0</v>
      </c>
      <c r="AE319" s="80">
        <f t="shared" si="301"/>
        <v>0</v>
      </c>
      <c r="AF319" s="80">
        <f t="shared" si="301"/>
        <v>0</v>
      </c>
    </row>
    <row r="320" spans="1:34" x14ac:dyDescent="0.25">
      <c r="B320" s="21">
        <f>(B287-B286)^2</f>
        <v>23049.6868829222</v>
      </c>
      <c r="C320" s="21">
        <f t="shared" ref="C320:AF320" si="302">(C287-C286)^2</f>
        <v>121661.91019373602</v>
      </c>
      <c r="D320" s="21">
        <f t="shared" si="302"/>
        <v>216351.72766847393</v>
      </c>
      <c r="E320" s="21">
        <f t="shared" si="302"/>
        <v>334387.4588168615</v>
      </c>
      <c r="F320" s="21">
        <f t="shared" si="302"/>
        <v>481860.9998283381</v>
      </c>
      <c r="G320" s="21">
        <f t="shared" si="302"/>
        <v>531252.39679270389</v>
      </c>
      <c r="H320" s="21">
        <f t="shared" si="302"/>
        <v>5235.7589329056509</v>
      </c>
      <c r="I320" s="21">
        <f t="shared" si="302"/>
        <v>1768361.4888740566</v>
      </c>
      <c r="J320" s="21">
        <f t="shared" si="302"/>
        <v>1398382.399666283</v>
      </c>
      <c r="K320" s="21">
        <f t="shared" si="302"/>
        <v>1045585.0108913837</v>
      </c>
      <c r="L320" s="21">
        <f t="shared" si="302"/>
        <v>702853.03993475251</v>
      </c>
      <c r="M320" s="21">
        <f t="shared" si="302"/>
        <v>386002.69110750884</v>
      </c>
      <c r="N320" s="21">
        <f t="shared" si="302"/>
        <v>179808.36757602351</v>
      </c>
      <c r="O320" s="21">
        <f t="shared" si="302"/>
        <v>199375.45842175826</v>
      </c>
      <c r="P320" s="21">
        <f t="shared" si="302"/>
        <v>217411.17920330141</v>
      </c>
      <c r="Q320" s="21">
        <f t="shared" si="302"/>
        <v>184062.6772588327</v>
      </c>
      <c r="R320" s="21">
        <f t="shared" si="302"/>
        <v>116472.76220089835</v>
      </c>
      <c r="S320" s="21">
        <f t="shared" si="302"/>
        <v>1339.645633886101</v>
      </c>
      <c r="T320" s="21">
        <f t="shared" si="302"/>
        <v>99724.897672024788</v>
      </c>
      <c r="U320" s="21">
        <f t="shared" si="302"/>
        <v>274604.13304406038</v>
      </c>
      <c r="V320" s="21">
        <f t="shared" si="302"/>
        <v>313623.85778041085</v>
      </c>
      <c r="W320" s="21">
        <f t="shared" si="302"/>
        <v>204471.36002531616</v>
      </c>
      <c r="X320" s="21">
        <f t="shared" si="302"/>
        <v>65237.878059937204</v>
      </c>
      <c r="Y320" s="21">
        <f t="shared" si="302"/>
        <v>4811.8750919189733</v>
      </c>
      <c r="Z320" s="21">
        <f t="shared" si="302"/>
        <v>202.06778346318873</v>
      </c>
      <c r="AA320" s="21">
        <f t="shared" si="302"/>
        <v>169.61520205847489</v>
      </c>
      <c r="AB320" s="21">
        <f t="shared" si="302"/>
        <v>6645.7037776822372</v>
      </c>
      <c r="AC320" s="21">
        <f t="shared" si="302"/>
        <v>16565.117790041026</v>
      </c>
      <c r="AD320" s="21">
        <f t="shared" si="302"/>
        <v>13948.775489221964</v>
      </c>
      <c r="AE320" s="21">
        <f t="shared" si="302"/>
        <v>6227.0615036839345</v>
      </c>
      <c r="AF320" s="21">
        <f t="shared" si="302"/>
        <v>2493.3609318184358</v>
      </c>
      <c r="AG320" s="3"/>
      <c r="AH320" s="3"/>
    </row>
    <row r="321" spans="1:34" x14ac:dyDescent="0.25">
      <c r="A321" s="71">
        <f>SUM(B321:AF321)</f>
        <v>2675278.7098334576</v>
      </c>
      <c r="B321" s="60">
        <f>IF($A$64&lt;=B285,IF($B$64&gt;=B285,ABS(B320),0),0)</f>
        <v>0</v>
      </c>
      <c r="C321" s="60">
        <f t="shared" ref="C321" si="303">IF($A$64&lt;=C285,IF($B$64&gt;=C285,ABS(C320),0),0)</f>
        <v>0</v>
      </c>
      <c r="D321" s="60">
        <f t="shared" ref="D321" si="304">IF($A$64&lt;=D285,IF($B$64&gt;=D285,ABS(D320),0),0)</f>
        <v>0</v>
      </c>
      <c r="E321" s="60">
        <f t="shared" ref="E321" si="305">IF($A$64&lt;=E285,IF($B$64&gt;=E285,ABS(E320),0),0)</f>
        <v>0</v>
      </c>
      <c r="F321" s="60">
        <f t="shared" ref="F321" si="306">IF($A$64&lt;=F285,IF($B$64&gt;=F285,ABS(F320),0),0)</f>
        <v>0</v>
      </c>
      <c r="G321" s="60">
        <f t="shared" ref="G321" si="307">IF($A$64&lt;=G285,IF($B$64&gt;=G285,ABS(G320),0),0)</f>
        <v>0</v>
      </c>
      <c r="H321" s="60">
        <f t="shared" ref="H321" si="308">IF($A$64&lt;=H285,IF($B$64&gt;=H285,ABS(H320),0),0)</f>
        <v>0</v>
      </c>
      <c r="I321" s="60">
        <f t="shared" ref="I321" si="309">IF($A$64&lt;=I285,IF($B$64&gt;=I285,ABS(I320),0),0)</f>
        <v>0</v>
      </c>
      <c r="J321" s="60">
        <f t="shared" ref="J321" si="310">IF($A$64&lt;=J285,IF($B$64&gt;=J285,ABS(J320),0),0)</f>
        <v>0</v>
      </c>
      <c r="K321" s="60">
        <f t="shared" ref="K321" si="311">IF($A$64&lt;=K285,IF($B$64&gt;=K285,ABS(K320),0),0)</f>
        <v>0</v>
      </c>
      <c r="L321" s="60">
        <f t="shared" ref="L321" si="312">IF($A$64&lt;=L285,IF($B$64&gt;=L285,ABS(L320),0),0)</f>
        <v>702853.03993475251</v>
      </c>
      <c r="M321" s="60">
        <f t="shared" ref="M321" si="313">IF($A$64&lt;=M285,IF($B$64&gt;=M285,ABS(M320),0),0)</f>
        <v>386002.69110750884</v>
      </c>
      <c r="N321" s="60">
        <f t="shared" ref="N321" si="314">IF($A$64&lt;=N285,IF($B$64&gt;=N285,ABS(N320),0),0)</f>
        <v>179808.36757602351</v>
      </c>
      <c r="O321" s="60">
        <f t="shared" ref="O321" si="315">IF($A$64&lt;=O285,IF($B$64&gt;=O285,ABS(O320),0),0)</f>
        <v>199375.45842175826</v>
      </c>
      <c r="P321" s="60">
        <f t="shared" ref="P321" si="316">IF($A$64&lt;=P285,IF($B$64&gt;=P285,ABS(P320),0),0)</f>
        <v>217411.17920330141</v>
      </c>
      <c r="Q321" s="60">
        <f t="shared" ref="Q321" si="317">IF($A$64&lt;=Q285,IF($B$64&gt;=Q285,ABS(Q320),0),0)</f>
        <v>184062.6772588327</v>
      </c>
      <c r="R321" s="60">
        <f t="shared" ref="R321" si="318">IF($A$64&lt;=R285,IF($B$64&gt;=R285,ABS(R320),0),0)</f>
        <v>116472.76220089835</v>
      </c>
      <c r="S321" s="60">
        <f t="shared" ref="S321" si="319">IF($A$64&lt;=S285,IF($B$64&gt;=S285,ABS(S320),0),0)</f>
        <v>1339.645633886101</v>
      </c>
      <c r="T321" s="60">
        <f t="shared" ref="T321" si="320">IF($A$64&lt;=T285,IF($B$64&gt;=T285,ABS(T320),0),0)</f>
        <v>99724.897672024788</v>
      </c>
      <c r="U321" s="60">
        <f t="shared" ref="U321" si="321">IF($A$64&lt;=U285,IF($B$64&gt;=U285,ABS(U320),0),0)</f>
        <v>274604.13304406038</v>
      </c>
      <c r="V321" s="60">
        <f t="shared" ref="V321" si="322">IF($A$64&lt;=V285,IF($B$64&gt;=V285,ABS(V320),0),0)</f>
        <v>313623.85778041085</v>
      </c>
      <c r="W321" s="60">
        <f t="shared" ref="W321" si="323">IF($A$64&lt;=W285,IF($B$64&gt;=W285,ABS(W320),0),0)</f>
        <v>0</v>
      </c>
      <c r="X321" s="60">
        <f t="shared" ref="X321" si="324">IF($A$64&lt;=X285,IF($B$64&gt;=X285,ABS(X320),0),0)</f>
        <v>0</v>
      </c>
      <c r="Y321" s="60">
        <f t="shared" ref="Y321" si="325">IF($A$64&lt;=Y285,IF($B$64&gt;=Y285,ABS(Y320),0),0)</f>
        <v>0</v>
      </c>
      <c r="Z321" s="60">
        <f t="shared" ref="Z321" si="326">IF($A$64&lt;=Z285,IF($B$64&gt;=Z285,ABS(Z320),0),0)</f>
        <v>0</v>
      </c>
      <c r="AA321" s="60">
        <f t="shared" ref="AA321" si="327">IF($A$64&lt;=AA285,IF($B$64&gt;=AA285,ABS(AA320),0),0)</f>
        <v>0</v>
      </c>
      <c r="AB321" s="60">
        <f t="shared" ref="AB321" si="328">IF($A$64&lt;=AB285,IF($B$64&gt;=AB285,ABS(AB320),0),0)</f>
        <v>0</v>
      </c>
      <c r="AC321" s="60">
        <f t="shared" ref="AC321" si="329">IF($A$64&lt;=AC285,IF($B$64&gt;=AC285,ABS(AC320),0),0)</f>
        <v>0</v>
      </c>
      <c r="AD321" s="60">
        <f t="shared" ref="AD321" si="330">IF($A$64&lt;=AD285,IF($B$64&gt;=AD285,ABS(AD320),0),0)</f>
        <v>0</v>
      </c>
      <c r="AE321" s="60">
        <f t="shared" ref="AE321" si="331">IF($A$64&lt;=AE285,IF($B$64&gt;=AE285,ABS(AE320),0),0)</f>
        <v>0</v>
      </c>
      <c r="AF321" s="60">
        <f t="shared" ref="AF321" si="332">IF($A$64&lt;=AF285,IF($B$64&gt;=AF285,ABS(AF320),0),0)</f>
        <v>0</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5776.5900052436255</v>
      </c>
      <c r="C325" s="26">
        <f>INDEX(Comparison!$AM$3:$AS$33,G$14,$G$122)</f>
        <v>5571.6920956359099</v>
      </c>
      <c r="D325" s="26">
        <f>INDEX(Comparison!$AM$3:$AS$33,H$14,$G$122)</f>
        <v>5400.7646013667554</v>
      </c>
      <c r="E325" s="26">
        <f>INDEX(Comparison!$AM$3:$AS$33,I$14,$G$122)</f>
        <v>5215.0678795321228</v>
      </c>
      <c r="F325" s="26">
        <f>INDEX(Comparison!$AM$3:$AS$33,J$14,$G$122)</f>
        <v>4985.425095489265</v>
      </c>
      <c r="G325" s="26">
        <f>INDEX(Comparison!$AM$3:$AS$33,K$14,$G$122)</f>
        <v>4758.3350912889036</v>
      </c>
      <c r="H325" s="26">
        <f>INDEX(Comparison!$AM$3:$AS$33,L$14,$G$122)</f>
        <v>4565.5114420012915</v>
      </c>
      <c r="I325" s="26">
        <f>INDEX(Comparison!$AM$3:$AS$33,M$14,$G$122)</f>
        <v>4384.874474223483</v>
      </c>
      <c r="J325" s="26">
        <f>INDEX(Comparison!$AM$3:$AS$33,N$14,$G$122)</f>
        <v>4203.1654341512503</v>
      </c>
      <c r="K325" s="26">
        <f>INDEX(Comparison!$AM$3:$AS$33,O$14,$G$122)</f>
        <v>4026.8171479490911</v>
      </c>
      <c r="L325" s="26">
        <f>INDEX(Comparison!$AM$3:$AS$33,P$14,$G$122)</f>
        <v>3842.8247437350828</v>
      </c>
      <c r="M325" s="26">
        <f>INDEX(Comparison!$AM$3:$AS$33,Q$14,$G$122)</f>
        <v>3637.9090125528774</v>
      </c>
      <c r="N325" s="26">
        <f>INDEX(Comparison!$AM$3:$AS$33,R$14,$G$122)</f>
        <v>3407.0475124340101</v>
      </c>
      <c r="O325" s="26">
        <f>INDEX(Comparison!$AM$3:$AS$33,S$14,$G$122)</f>
        <v>3145.7192687287707</v>
      </c>
      <c r="P325" s="26">
        <f>INDEX(Comparison!$AM$3:$AS$33,T$14,$G$122)</f>
        <v>2837.9758401657195</v>
      </c>
      <c r="Q325" s="26">
        <f>INDEX(Comparison!$AM$3:$AS$33,U$14,$G$122)</f>
        <v>2426.1662837806571</v>
      </c>
      <c r="R325" s="26">
        <f>INDEX(Comparison!$AM$3:$AS$33,V$14,$G$122)</f>
        <v>1854.808278855141</v>
      </c>
      <c r="S325" s="26">
        <f>INDEX(Comparison!$AM$3:$AS$33,W$14,$G$122)</f>
        <v>1269.173844412863</v>
      </c>
      <c r="T325" s="26">
        <f>INDEX(Comparison!$AM$3:$AS$33,X$14,$G$122)</f>
        <v>808.20803145416335</v>
      </c>
      <c r="U325" s="26">
        <f>INDEX(Comparison!$AM$3:$AS$33,Y$14,$G$122)</f>
        <v>509.02880387480866</v>
      </c>
      <c r="V325" s="26">
        <f>INDEX(Comparison!$AM$3:$AS$33,Z$14,$G$122)</f>
        <v>344.05387649356049</v>
      </c>
      <c r="W325" s="26">
        <f>INDEX(Comparison!$AM$3:$AS$33,AA$14,$G$122)</f>
        <v>262.73242624087396</v>
      </c>
      <c r="X325" s="26">
        <f>INDEX(Comparison!$AM$3:$AS$33,AB$14,$G$122)</f>
        <v>222.939887660718</v>
      </c>
      <c r="Y325" s="26">
        <f>INDEX(Comparison!$AM$3:$AS$33,AC$14,$G$122)</f>
        <v>201.32214117210117</v>
      </c>
      <c r="Z325" s="26">
        <f>INDEX(Comparison!$AM$3:$AS$33,AD$14,$G$122)</f>
        <v>188.02569432355588</v>
      </c>
      <c r="AA325" s="26">
        <f>INDEX(Comparison!$AM$3:$AS$33,AE$14,$G$122)</f>
        <v>181.14617749166206</v>
      </c>
      <c r="AB325" s="26">
        <f>INDEX(Comparison!$AM$3:$AS$33,AF$14,$G$122)</f>
        <v>171.73287142228415</v>
      </c>
      <c r="AC325" s="26">
        <f>INDEX(Comparison!$AM$3:$AS$33,AG$14,$G$122)</f>
        <v>164.88164851800227</v>
      </c>
      <c r="AD325" s="26">
        <f>INDEX(Comparison!$AM$3:$AS$33,AH$14,$G$122)</f>
        <v>164.50146393142782</v>
      </c>
      <c r="AE325" s="26">
        <f>INDEX(Comparison!$AM$3:$AS$33,AI$14,$G$122)</f>
        <v>163.00727748318997</v>
      </c>
      <c r="AF325" s="26">
        <f>INDEX(Comparison!$AM$3:$AS$33,AJ$14,$G$122)</f>
        <v>162.92272722143832</v>
      </c>
      <c r="AG325" s="26"/>
      <c r="AH325" s="26"/>
    </row>
    <row r="326" spans="1:34" x14ac:dyDescent="0.25">
      <c r="A326" s="77" t="s">
        <v>22</v>
      </c>
      <c r="B326" s="27">
        <f>($C$17+SUM(B327:B357))*$B$51</f>
        <v>6651.5610577368743</v>
      </c>
      <c r="C326" s="27">
        <f t="shared" ref="C326:AF326" si="333">($C$17+SUM(C327:C357))*$B$51</f>
        <v>5063.9185953026508</v>
      </c>
      <c r="D326" s="27">
        <f t="shared" si="333"/>
        <v>4478.1399875520901</v>
      </c>
      <c r="E326" s="27">
        <f t="shared" si="333"/>
        <v>4478.12588449125</v>
      </c>
      <c r="F326" s="27">
        <f t="shared" si="333"/>
        <v>4477.9967245491953</v>
      </c>
      <c r="G326" s="27">
        <f t="shared" si="333"/>
        <v>4476.7074314473775</v>
      </c>
      <c r="H326" s="27">
        <f t="shared" si="333"/>
        <v>4464.0422993721404</v>
      </c>
      <c r="I326" s="27">
        <f t="shared" si="333"/>
        <v>4357.5840718025911</v>
      </c>
      <c r="J326" s="27">
        <f t="shared" si="333"/>
        <v>4072.3303327332674</v>
      </c>
      <c r="K326" s="27">
        <f t="shared" si="333"/>
        <v>3924.7224455593505</v>
      </c>
      <c r="L326" s="27">
        <f t="shared" si="333"/>
        <v>3734.045543501903</v>
      </c>
      <c r="M326" s="27">
        <f t="shared" si="333"/>
        <v>3514.9068468807359</v>
      </c>
      <c r="N326" s="27">
        <f t="shared" si="333"/>
        <v>3275.966805993467</v>
      </c>
      <c r="O326" s="27">
        <f t="shared" si="333"/>
        <v>3000.4202595784382</v>
      </c>
      <c r="P326" s="27">
        <f t="shared" si="333"/>
        <v>2685.4829952957025</v>
      </c>
      <c r="Q326" s="27">
        <f t="shared" si="333"/>
        <v>2307.3957252403143</v>
      </c>
      <c r="R326" s="27">
        <f t="shared" si="333"/>
        <v>1863.2522415279375</v>
      </c>
      <c r="S326" s="27">
        <f t="shared" si="333"/>
        <v>1398.6146179128825</v>
      </c>
      <c r="T326" s="27">
        <f t="shared" si="333"/>
        <v>996.47018591741039</v>
      </c>
      <c r="U326" s="27">
        <f t="shared" si="333"/>
        <v>716.04593371470355</v>
      </c>
      <c r="V326" s="27">
        <f t="shared" si="333"/>
        <v>551.94686234477228</v>
      </c>
      <c r="W326" s="27">
        <f t="shared" si="333"/>
        <v>461.48672159209383</v>
      </c>
      <c r="X326" s="27">
        <f t="shared" si="333"/>
        <v>392.55943213828556</v>
      </c>
      <c r="Y326" s="27">
        <f t="shared" si="333"/>
        <v>321.45679489524809</v>
      </c>
      <c r="Z326" s="27">
        <f t="shared" si="333"/>
        <v>263.53516311644387</v>
      </c>
      <c r="AA326" s="27">
        <f t="shared" si="333"/>
        <v>224.93835553231173</v>
      </c>
      <c r="AB326" s="27">
        <f t="shared" si="333"/>
        <v>196.23496201071092</v>
      </c>
      <c r="AC326" s="27">
        <f t="shared" si="333"/>
        <v>181.2437954119352</v>
      </c>
      <c r="AD326" s="27">
        <f t="shared" si="333"/>
        <v>173.83483824698155</v>
      </c>
      <c r="AE326" s="27">
        <f t="shared" si="333"/>
        <v>168.97710528595104</v>
      </c>
      <c r="AF326" s="27">
        <f t="shared" si="333"/>
        <v>166.66341102928527</v>
      </c>
      <c r="AG326" s="27"/>
      <c r="AH326" s="27"/>
    </row>
    <row r="327" spans="1:34" x14ac:dyDescent="0.25">
      <c r="B327" s="3">
        <f t="shared" ref="B327:AF327" si="334">$C18*EXP(-B$363/$A18/EXP(-$G$126))</f>
        <v>0.3108257722268486</v>
      </c>
      <c r="C327" s="3">
        <f t="shared" si="334"/>
        <v>8.3773492910187708E-2</v>
      </c>
      <c r="D327" s="3">
        <f t="shared" si="334"/>
        <v>1.6943481256367995E-7</v>
      </c>
      <c r="E327" s="3">
        <f t="shared" si="334"/>
        <v>1.9407199761830466E-64</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5.3087679485452809E-2</v>
      </c>
      <c r="C328" s="3">
        <f t="shared" si="335"/>
        <v>5.3087661656055531E-2</v>
      </c>
      <c r="D328" s="3">
        <f t="shared" si="335"/>
        <v>5.3087483362412147E-2</v>
      </c>
      <c r="E328" s="3">
        <f t="shared" si="335"/>
        <v>5.3085700458911644E-2</v>
      </c>
      <c r="F328" s="3">
        <f t="shared" si="335"/>
        <v>5.3067874716836445E-2</v>
      </c>
      <c r="G328" s="3">
        <f t="shared" si="335"/>
        <v>5.2889946180238942E-2</v>
      </c>
      <c r="H328" s="3">
        <f t="shared" si="335"/>
        <v>5.11431441911019E-2</v>
      </c>
      <c r="I328" s="3">
        <f t="shared" si="335"/>
        <v>3.6553621877818909E-2</v>
      </c>
      <c r="J328" s="3">
        <f t="shared" si="335"/>
        <v>1.2716287075524235E-3</v>
      </c>
      <c r="K328" s="3">
        <f t="shared" si="335"/>
        <v>3.3011055490421433E-18</v>
      </c>
      <c r="L328" s="3">
        <f t="shared" si="335"/>
        <v>4.5882838728255429E-164</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1.8548614843417265E-2</v>
      </c>
      <c r="C329" s="3">
        <f t="shared" si="336"/>
        <v>1.8548614281462886E-2</v>
      </c>
      <c r="D329" s="3">
        <f t="shared" si="336"/>
        <v>1.8548608661920027E-2</v>
      </c>
      <c r="E329" s="3">
        <f t="shared" si="336"/>
        <v>1.8548552466585065E-2</v>
      </c>
      <c r="F329" s="3">
        <f t="shared" si="336"/>
        <v>1.8547990522599173E-2</v>
      </c>
      <c r="G329" s="3">
        <f t="shared" si="336"/>
        <v>1.8542372019006242E-2</v>
      </c>
      <c r="H329" s="3">
        <f t="shared" si="336"/>
        <v>1.848628050480957E-2</v>
      </c>
      <c r="I329" s="3">
        <f t="shared" si="336"/>
        <v>1.7934613545833849E-2</v>
      </c>
      <c r="J329" s="3">
        <f t="shared" si="336"/>
        <v>1.3246979571769952E-2</v>
      </c>
      <c r="K329" s="3">
        <f t="shared" si="336"/>
        <v>6.4027316903611932E-4</v>
      </c>
      <c r="L329" s="3">
        <f t="shared" si="336"/>
        <v>4.4550200795926725E-17</v>
      </c>
      <c r="M329" s="3">
        <f t="shared" si="336"/>
        <v>1.184931637529108E-148</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2.7428318792390306E-2</v>
      </c>
      <c r="C330" s="3">
        <f t="shared" si="337"/>
        <v>2.7428318717429304E-2</v>
      </c>
      <c r="D330" s="3">
        <f t="shared" si="337"/>
        <v>2.7428317967819332E-2</v>
      </c>
      <c r="E330" s="3">
        <f t="shared" si="337"/>
        <v>2.7428310471720729E-2</v>
      </c>
      <c r="F330" s="3">
        <f t="shared" si="337"/>
        <v>2.742823551084738E-2</v>
      </c>
      <c r="G330" s="3">
        <f t="shared" si="337"/>
        <v>2.7427485913381424E-2</v>
      </c>
      <c r="H330" s="3">
        <f t="shared" si="337"/>
        <v>2.7419991065362533E-2</v>
      </c>
      <c r="I330" s="3">
        <f t="shared" si="337"/>
        <v>2.7345155135399833E-2</v>
      </c>
      <c r="J330" s="3">
        <f t="shared" si="337"/>
        <v>2.660793787459164E-2</v>
      </c>
      <c r="K330" s="3">
        <f t="shared" si="337"/>
        <v>2.0245079233886954E-2</v>
      </c>
      <c r="L330" s="3">
        <f t="shared" si="337"/>
        <v>1.316443154050275E-3</v>
      </c>
      <c r="M330" s="3">
        <f t="shared" si="337"/>
        <v>1.7792148958263293E-15</v>
      </c>
      <c r="N330" s="3">
        <f t="shared" si="337"/>
        <v>3.6181899338532639E-134</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3.224431176212264E-2</v>
      </c>
      <c r="C331" s="3">
        <f t="shared" si="338"/>
        <v>3.2244311754173215E-2</v>
      </c>
      <c r="D331" s="3">
        <f t="shared" si="338"/>
        <v>3.2244311674678935E-2</v>
      </c>
      <c r="E331" s="3">
        <f t="shared" si="338"/>
        <v>3.224431087973615E-2</v>
      </c>
      <c r="F331" s="3">
        <f t="shared" si="338"/>
        <v>3.2244302930309408E-2</v>
      </c>
      <c r="G331" s="3">
        <f t="shared" si="338"/>
        <v>3.2244223436149765E-2</v>
      </c>
      <c r="H331" s="3">
        <f t="shared" si="338"/>
        <v>3.224342850533226E-2</v>
      </c>
      <c r="I331" s="3">
        <f t="shared" si="338"/>
        <v>3.2235480274955056E-2</v>
      </c>
      <c r="J331" s="3">
        <f t="shared" si="338"/>
        <v>3.2156105652717905E-2</v>
      </c>
      <c r="K331" s="3">
        <f t="shared" si="338"/>
        <v>3.1373030002391646E-2</v>
      </c>
      <c r="L331" s="3">
        <f t="shared" si="338"/>
        <v>2.4518090502454574E-2</v>
      </c>
      <c r="M331" s="3">
        <f t="shared" si="338"/>
        <v>2.0834756716263457E-3</v>
      </c>
      <c r="N331" s="3">
        <f t="shared" si="338"/>
        <v>4.0907819598726836E-14</v>
      </c>
      <c r="O331" s="3">
        <f t="shared" si="338"/>
        <v>3.4832553777415583E-121</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3.4402319244244063E-2</v>
      </c>
      <c r="C332" s="3">
        <f t="shared" si="339"/>
        <v>3.4402319243478967E-2</v>
      </c>
      <c r="D332" s="3">
        <f t="shared" si="339"/>
        <v>3.440231923582799E-2</v>
      </c>
      <c r="E332" s="3">
        <f t="shared" si="339"/>
        <v>3.4402319159318184E-2</v>
      </c>
      <c r="F332" s="3">
        <f t="shared" si="339"/>
        <v>3.4402318394220179E-2</v>
      </c>
      <c r="G332" s="3">
        <f t="shared" si="339"/>
        <v>3.4402310743241023E-2</v>
      </c>
      <c r="H332" s="3">
        <f t="shared" si="339"/>
        <v>3.4402234233543015E-2</v>
      </c>
      <c r="I332" s="3">
        <f t="shared" si="339"/>
        <v>3.4401469145921452E-2</v>
      </c>
      <c r="J332" s="3">
        <f t="shared" si="339"/>
        <v>3.4393819205476482E-2</v>
      </c>
      <c r="K332" s="3">
        <f t="shared" si="339"/>
        <v>3.4317413301135226E-2</v>
      </c>
      <c r="L332" s="3">
        <f t="shared" si="339"/>
        <v>3.3562627785713006E-2</v>
      </c>
      <c r="M332" s="3">
        <f t="shared" si="339"/>
        <v>2.6870148751286755E-2</v>
      </c>
      <c r="N332" s="3">
        <f t="shared" si="339"/>
        <v>2.9067736295593739E-3</v>
      </c>
      <c r="O332" s="3">
        <f t="shared" si="339"/>
        <v>6.3800285310664374E-13</v>
      </c>
      <c r="P332" s="3">
        <f t="shared" si="339"/>
        <v>1.6555286982844939E-109</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4.0521812648832457E-2</v>
      </c>
      <c r="C333" s="3">
        <f t="shared" si="340"/>
        <v>4.0521812648751161E-2</v>
      </c>
      <c r="D333" s="3">
        <f t="shared" si="340"/>
        <v>4.0521812647938214E-2</v>
      </c>
      <c r="E333" s="3">
        <f t="shared" si="340"/>
        <v>4.0521812639808689E-2</v>
      </c>
      <c r="F333" s="3">
        <f t="shared" si="340"/>
        <v>4.0521812558513511E-2</v>
      </c>
      <c r="G333" s="3">
        <f t="shared" si="340"/>
        <v>4.0521811745561694E-2</v>
      </c>
      <c r="H333" s="3">
        <f t="shared" si="340"/>
        <v>4.0521803616044419E-2</v>
      </c>
      <c r="I333" s="3">
        <f t="shared" si="340"/>
        <v>4.0521722320961372E-2</v>
      </c>
      <c r="J333" s="3">
        <f t="shared" si="340"/>
        <v>4.0520909379101029E-2</v>
      </c>
      <c r="K333" s="3">
        <f t="shared" si="340"/>
        <v>4.0512780857446362E-2</v>
      </c>
      <c r="L333" s="3">
        <f t="shared" si="340"/>
        <v>4.043158526923029E-2</v>
      </c>
      <c r="M333" s="3">
        <f t="shared" si="340"/>
        <v>3.9628526044809646E-2</v>
      </c>
      <c r="N333" s="3">
        <f t="shared" si="340"/>
        <v>3.2424957468475686E-2</v>
      </c>
      <c r="O333" s="3">
        <f t="shared" si="340"/>
        <v>4.3610832034887588E-3</v>
      </c>
      <c r="P333" s="3">
        <f t="shared" si="340"/>
        <v>8.4478062832220267E-12</v>
      </c>
      <c r="Q333" s="3">
        <f t="shared" si="340"/>
        <v>6.2840507889422316E-99</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4.5710826159457214E-2</v>
      </c>
      <c r="C334" s="3">
        <f t="shared" si="341"/>
        <v>4.5710826159448936E-2</v>
      </c>
      <c r="D334" s="3">
        <f t="shared" si="341"/>
        <v>4.5710826159366211E-2</v>
      </c>
      <c r="E334" s="3">
        <f t="shared" si="341"/>
        <v>4.5710826158538956E-2</v>
      </c>
      <c r="F334" s="3">
        <f t="shared" si="341"/>
        <v>4.5710826150266365E-2</v>
      </c>
      <c r="G334" s="3">
        <f t="shared" si="341"/>
        <v>4.5710826067540442E-2</v>
      </c>
      <c r="H334" s="3">
        <f t="shared" si="341"/>
        <v>4.5710825240281243E-2</v>
      </c>
      <c r="I334" s="3">
        <f t="shared" si="341"/>
        <v>4.5710816967690103E-2</v>
      </c>
      <c r="J334" s="3">
        <f t="shared" si="341"/>
        <v>4.5710734241860992E-2</v>
      </c>
      <c r="K334" s="3">
        <f t="shared" si="341"/>
        <v>4.5709906991804217E-2</v>
      </c>
      <c r="L334" s="3">
        <f t="shared" si="341"/>
        <v>4.5701635314605416E-2</v>
      </c>
      <c r="M334" s="3">
        <f t="shared" si="341"/>
        <v>4.5619000824412691E-2</v>
      </c>
      <c r="N334" s="3">
        <f t="shared" si="341"/>
        <v>4.4800829270705E-2</v>
      </c>
      <c r="O334" s="3">
        <f t="shared" si="341"/>
        <v>3.7384269059226982E-2</v>
      </c>
      <c r="P334" s="3">
        <f t="shared" si="341"/>
        <v>6.1195191946113473E-3</v>
      </c>
      <c r="Q334" s="3">
        <f t="shared" si="341"/>
        <v>8.4528152671937705E-11</v>
      </c>
      <c r="R334" s="3">
        <f t="shared" si="341"/>
        <v>2.1371851204583186E-89</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5.6199564041852383E-2</v>
      </c>
      <c r="C335" s="3">
        <f t="shared" si="342"/>
        <v>5.619956404185146E-2</v>
      </c>
      <c r="D335" s="3">
        <f t="shared" si="342"/>
        <v>5.6199564041842287E-2</v>
      </c>
      <c r="E335" s="3">
        <f t="shared" si="342"/>
        <v>5.6199564041750534E-2</v>
      </c>
      <c r="F335" s="3">
        <f t="shared" si="342"/>
        <v>5.6199564040833046E-2</v>
      </c>
      <c r="G335" s="3">
        <f t="shared" si="342"/>
        <v>5.6199564031658128E-2</v>
      </c>
      <c r="H335" s="3">
        <f t="shared" si="342"/>
        <v>5.6199563939908978E-2</v>
      </c>
      <c r="I335" s="3">
        <f t="shared" si="342"/>
        <v>5.619956302241743E-2</v>
      </c>
      <c r="J335" s="3">
        <f t="shared" si="342"/>
        <v>5.6199553847502789E-2</v>
      </c>
      <c r="K335" s="3">
        <f t="shared" si="342"/>
        <v>5.6199462098438777E-2</v>
      </c>
      <c r="L335" s="3">
        <f t="shared" si="342"/>
        <v>5.6198544616036863E-2</v>
      </c>
      <c r="M335" s="3">
        <f t="shared" si="342"/>
        <v>5.618937061578537E-2</v>
      </c>
      <c r="N335" s="3">
        <f t="shared" si="342"/>
        <v>5.6097712940300269E-2</v>
      </c>
      <c r="O335" s="3">
        <f t="shared" si="342"/>
        <v>5.5189319375441886E-2</v>
      </c>
      <c r="P335" s="3">
        <f t="shared" si="342"/>
        <v>4.6876357946564189E-2</v>
      </c>
      <c r="Q335" s="3">
        <f t="shared" si="342"/>
        <v>9.1609834596398116E-3</v>
      </c>
      <c r="R335" s="3">
        <f t="shared" si="342"/>
        <v>7.4443103530654625E-10</v>
      </c>
      <c r="S335" s="3">
        <f t="shared" si="342"/>
        <v>9.3464822603144453E-81</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6.8321253158217687E-2</v>
      </c>
      <c r="C336" s="3">
        <f t="shared" si="343"/>
        <v>6.832125315821759E-2</v>
      </c>
      <c r="D336" s="3">
        <f t="shared" si="343"/>
        <v>6.8321253158216591E-2</v>
      </c>
      <c r="E336" s="3">
        <f t="shared" si="343"/>
        <v>6.8321253158206516E-2</v>
      </c>
      <c r="F336" s="3">
        <f t="shared" si="343"/>
        <v>6.8321253158105902E-2</v>
      </c>
      <c r="G336" s="3">
        <f t="shared" si="343"/>
        <v>6.8321253157099734E-2</v>
      </c>
      <c r="H336" s="3">
        <f t="shared" si="343"/>
        <v>6.8321253147038033E-2</v>
      </c>
      <c r="I336" s="3">
        <f t="shared" si="343"/>
        <v>6.8321253046420991E-2</v>
      </c>
      <c r="J336" s="3">
        <f t="shared" si="343"/>
        <v>6.832125204025058E-2</v>
      </c>
      <c r="K336" s="3">
        <f t="shared" si="343"/>
        <v>6.8321241978547331E-2</v>
      </c>
      <c r="L336" s="3">
        <f t="shared" si="343"/>
        <v>6.832114136159631E-2</v>
      </c>
      <c r="M336" s="3">
        <f t="shared" si="343"/>
        <v>6.8320135200235957E-2</v>
      </c>
      <c r="N336" s="3">
        <f t="shared" si="343"/>
        <v>6.8310074401568777E-2</v>
      </c>
      <c r="O336" s="3">
        <f t="shared" si="343"/>
        <v>6.820954786413766E-2</v>
      </c>
      <c r="P336" s="3">
        <f t="shared" si="343"/>
        <v>6.7212383206445375E-2</v>
      </c>
      <c r="Q336" s="3">
        <f t="shared" si="343"/>
        <v>5.8008353060145824E-2</v>
      </c>
      <c r="R336" s="3">
        <f t="shared" si="343"/>
        <v>1.330157113131362E-2</v>
      </c>
      <c r="S336" s="3">
        <f t="shared" si="343"/>
        <v>5.3459759343361764E-9</v>
      </c>
      <c r="T336" s="3">
        <f t="shared" si="343"/>
        <v>5.8785143279667655E-73</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7.2516023247876399E-2</v>
      </c>
      <c r="C337" s="3">
        <f t="shared" si="344"/>
        <v>7.2516023247876385E-2</v>
      </c>
      <c r="D337" s="3">
        <f t="shared" si="344"/>
        <v>7.2516023247876288E-2</v>
      </c>
      <c r="E337" s="3">
        <f t="shared" si="344"/>
        <v>7.251602324787533E-2</v>
      </c>
      <c r="F337" s="3">
        <f t="shared" si="344"/>
        <v>7.2516023247865685E-2</v>
      </c>
      <c r="G337" s="3">
        <f t="shared" si="344"/>
        <v>7.2516023247769359E-2</v>
      </c>
      <c r="H337" s="3">
        <f t="shared" si="344"/>
        <v>7.2516023246805977E-2</v>
      </c>
      <c r="I337" s="3">
        <f t="shared" si="344"/>
        <v>7.2516023237172211E-2</v>
      </c>
      <c r="J337" s="3">
        <f t="shared" si="344"/>
        <v>7.251602314083451E-2</v>
      </c>
      <c r="K337" s="3">
        <f t="shared" si="344"/>
        <v>7.2516022177457479E-2</v>
      </c>
      <c r="L337" s="3">
        <f t="shared" si="344"/>
        <v>7.2516012543687877E-2</v>
      </c>
      <c r="M337" s="3">
        <f t="shared" si="344"/>
        <v>7.2515916206062361E-2</v>
      </c>
      <c r="N337" s="3">
        <f t="shared" si="344"/>
        <v>7.2514952836846183E-2</v>
      </c>
      <c r="O337" s="3">
        <f t="shared" si="344"/>
        <v>7.2505319848562705E-2</v>
      </c>
      <c r="P337" s="3">
        <f t="shared" si="344"/>
        <v>7.2409060318970708E-2</v>
      </c>
      <c r="Q337" s="3">
        <f t="shared" si="344"/>
        <v>7.1453465888019915E-2</v>
      </c>
      <c r="R337" s="3">
        <f t="shared" si="344"/>
        <v>6.2564384655188515E-2</v>
      </c>
      <c r="S337" s="3">
        <f t="shared" si="344"/>
        <v>1.6571657887445683E-2</v>
      </c>
      <c r="T337" s="3">
        <f t="shared" si="344"/>
        <v>2.8167854828329829E-8</v>
      </c>
      <c r="U337" s="3">
        <f t="shared" si="344"/>
        <v>5.6706379790771085E-66</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6.0357732330784487E-2</v>
      </c>
      <c r="C338" s="3">
        <f t="shared" si="345"/>
        <v>6.0357732330784487E-2</v>
      </c>
      <c r="D338" s="3">
        <f t="shared" si="345"/>
        <v>6.035773233078448E-2</v>
      </c>
      <c r="E338" s="3">
        <f t="shared" si="345"/>
        <v>6.0357732330784404E-2</v>
      </c>
      <c r="F338" s="3">
        <f t="shared" si="345"/>
        <v>6.0357732330783682E-2</v>
      </c>
      <c r="G338" s="3">
        <f t="shared" si="345"/>
        <v>6.0357732330776452E-2</v>
      </c>
      <c r="H338" s="3">
        <f t="shared" si="345"/>
        <v>6.0357732330704114E-2</v>
      </c>
      <c r="I338" s="3">
        <f t="shared" si="345"/>
        <v>6.0357732329980776E-2</v>
      </c>
      <c r="J338" s="3">
        <f t="shared" si="345"/>
        <v>6.0357732322747389E-2</v>
      </c>
      <c r="K338" s="3">
        <f t="shared" si="345"/>
        <v>6.03577322504135E-2</v>
      </c>
      <c r="L338" s="3">
        <f t="shared" si="345"/>
        <v>6.0357731527074618E-2</v>
      </c>
      <c r="M338" s="3">
        <f t="shared" si="345"/>
        <v>6.0357724293686223E-2</v>
      </c>
      <c r="N338" s="3">
        <f t="shared" si="345"/>
        <v>6.0357651959849989E-2</v>
      </c>
      <c r="O338" s="3">
        <f t="shared" si="345"/>
        <v>6.0356928626255364E-2</v>
      </c>
      <c r="P338" s="3">
        <f t="shared" si="345"/>
        <v>6.034969576706059E-2</v>
      </c>
      <c r="Q338" s="3">
        <f t="shared" si="345"/>
        <v>6.027741482912348E-2</v>
      </c>
      <c r="R338" s="3">
        <f t="shared" si="345"/>
        <v>5.9559349787868185E-2</v>
      </c>
      <c r="S338" s="3">
        <f t="shared" si="345"/>
        <v>5.2832753572938221E-2</v>
      </c>
      <c r="T338" s="3">
        <f t="shared" si="345"/>
        <v>1.5938088296654419E-2</v>
      </c>
      <c r="U338" s="3">
        <f t="shared" si="345"/>
        <v>9.9486935153955092E-8</v>
      </c>
      <c r="V338" s="3">
        <f t="shared" si="345"/>
        <v>8.9343772601797695E-60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3.7953571045142992E-2</v>
      </c>
      <c r="C339" s="3">
        <f t="shared" si="346"/>
        <v>3.7953571045142992E-2</v>
      </c>
      <c r="D339" s="3">
        <f t="shared" si="346"/>
        <v>3.7953571045142992E-2</v>
      </c>
      <c r="E339" s="3">
        <f t="shared" si="346"/>
        <v>3.7953571045142985E-2</v>
      </c>
      <c r="F339" s="3">
        <f t="shared" si="346"/>
        <v>3.7953571045142943E-2</v>
      </c>
      <c r="G339" s="3">
        <f t="shared" si="346"/>
        <v>3.7953571045142534E-2</v>
      </c>
      <c r="H339" s="3">
        <f t="shared" si="346"/>
        <v>3.7953571045138433E-2</v>
      </c>
      <c r="I339" s="3">
        <f t="shared" si="346"/>
        <v>3.7953571045097403E-2</v>
      </c>
      <c r="J339" s="3">
        <f t="shared" si="346"/>
        <v>3.7953571044687093E-2</v>
      </c>
      <c r="K339" s="3">
        <f t="shared" si="346"/>
        <v>3.7953571040584035E-2</v>
      </c>
      <c r="L339" s="3">
        <f t="shared" si="346"/>
        <v>3.7953570999553411E-2</v>
      </c>
      <c r="M339" s="3">
        <f t="shared" si="346"/>
        <v>3.7953570589247157E-2</v>
      </c>
      <c r="N339" s="3">
        <f t="shared" si="346"/>
        <v>3.7953566486184878E-2</v>
      </c>
      <c r="O339" s="3">
        <f t="shared" si="346"/>
        <v>3.7953525455586494E-2</v>
      </c>
      <c r="P339" s="3">
        <f t="shared" si="346"/>
        <v>3.7953115152042242E-2</v>
      </c>
      <c r="Q339" s="3">
        <f t="shared" si="346"/>
        <v>3.7949012360553258E-2</v>
      </c>
      <c r="R339" s="3">
        <f t="shared" si="346"/>
        <v>3.7908008831256189E-2</v>
      </c>
      <c r="S339" s="3">
        <f t="shared" si="346"/>
        <v>3.7500402371531093E-2</v>
      </c>
      <c r="T339" s="3">
        <f t="shared" si="346"/>
        <v>3.3657780418083628E-2</v>
      </c>
      <c r="U339" s="3">
        <f t="shared" si="346"/>
        <v>1.1417760374094711E-2</v>
      </c>
      <c r="V339" s="3">
        <f t="shared" si="346"/>
        <v>2.3042809960604304E-7</v>
      </c>
      <c r="W339" s="3">
        <f t="shared" si="346"/>
        <v>2.5827393389648235E-54</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1.9899360219970862E-2</v>
      </c>
      <c r="C340" s="3">
        <f t="shared" si="347"/>
        <v>1.9899360219970862E-2</v>
      </c>
      <c r="D340" s="3">
        <f t="shared" si="347"/>
        <v>1.9899360219970862E-2</v>
      </c>
      <c r="E340" s="3">
        <f t="shared" si="347"/>
        <v>1.9899360219970862E-2</v>
      </c>
      <c r="F340" s="3">
        <f t="shared" si="347"/>
        <v>1.9899360219970859E-2</v>
      </c>
      <c r="G340" s="3">
        <f t="shared" si="347"/>
        <v>1.9899360219970842E-2</v>
      </c>
      <c r="H340" s="3">
        <f t="shared" si="347"/>
        <v>1.9899360219970647E-2</v>
      </c>
      <c r="I340" s="3">
        <f t="shared" si="347"/>
        <v>1.9899360219968708E-2</v>
      </c>
      <c r="J340" s="3">
        <f t="shared" si="347"/>
        <v>1.98993602199493E-2</v>
      </c>
      <c r="K340" s="3">
        <f t="shared" si="347"/>
        <v>1.9899360219755236E-2</v>
      </c>
      <c r="L340" s="3">
        <f t="shared" si="347"/>
        <v>1.9899360217814615E-2</v>
      </c>
      <c r="M340" s="3">
        <f t="shared" si="347"/>
        <v>1.9899360198408385E-2</v>
      </c>
      <c r="N340" s="3">
        <f t="shared" si="347"/>
        <v>1.9899360004346073E-2</v>
      </c>
      <c r="O340" s="3">
        <f t="shared" si="347"/>
        <v>1.9899358063723085E-2</v>
      </c>
      <c r="P340" s="3">
        <f t="shared" si="347"/>
        <v>1.9899338657503617E-2</v>
      </c>
      <c r="Q340" s="3">
        <f t="shared" si="347"/>
        <v>1.9899144596349796E-2</v>
      </c>
      <c r="R340" s="3">
        <f t="shared" si="347"/>
        <v>1.9897204088896708E-2</v>
      </c>
      <c r="S340" s="3">
        <f t="shared" si="347"/>
        <v>1.9877809419120974E-2</v>
      </c>
      <c r="T340" s="3">
        <f t="shared" si="347"/>
        <v>1.9684899452294437E-2</v>
      </c>
      <c r="U340" s="3">
        <f t="shared" si="347"/>
        <v>1.7855827621155309E-2</v>
      </c>
      <c r="V340" s="3">
        <f t="shared" si="347"/>
        <v>6.7336078857605369E-3</v>
      </c>
      <c r="W340" s="3">
        <f t="shared" si="347"/>
        <v>3.9167531753930956E-7</v>
      </c>
      <c r="X340" s="3">
        <f t="shared" si="347"/>
        <v>1.7366408735752656E-49</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1.0036367698219981E-2</v>
      </c>
      <c r="C341" s="3">
        <f t="shared" si="348"/>
        <v>1.0036367698219981E-2</v>
      </c>
      <c r="D341" s="3">
        <f t="shared" si="348"/>
        <v>1.0036367698219981E-2</v>
      </c>
      <c r="E341" s="3">
        <f t="shared" si="348"/>
        <v>1.0036367698219981E-2</v>
      </c>
      <c r="F341" s="3">
        <f t="shared" si="348"/>
        <v>1.0036367698219981E-2</v>
      </c>
      <c r="G341" s="3">
        <f t="shared" si="348"/>
        <v>1.0036367698219979E-2</v>
      </c>
      <c r="H341" s="3">
        <f t="shared" si="348"/>
        <v>1.0036367698219971E-2</v>
      </c>
      <c r="I341" s="3">
        <f t="shared" si="348"/>
        <v>1.0036367698219882E-2</v>
      </c>
      <c r="J341" s="3">
        <f t="shared" si="348"/>
        <v>1.0036367698219001E-2</v>
      </c>
      <c r="K341" s="3">
        <f t="shared" si="348"/>
        <v>1.0036367698210171E-2</v>
      </c>
      <c r="L341" s="3">
        <f t="shared" si="348"/>
        <v>1.0036367698121879E-2</v>
      </c>
      <c r="M341" s="3">
        <f t="shared" si="348"/>
        <v>1.003636769723895E-2</v>
      </c>
      <c r="N341" s="3">
        <f t="shared" si="348"/>
        <v>1.0036367688409672E-2</v>
      </c>
      <c r="O341" s="3">
        <f t="shared" si="348"/>
        <v>1.0036367600116882E-2</v>
      </c>
      <c r="P341" s="3">
        <f t="shared" si="348"/>
        <v>1.0036366717189034E-2</v>
      </c>
      <c r="Q341" s="3">
        <f t="shared" si="348"/>
        <v>1.0036357887914817E-2</v>
      </c>
      <c r="R341" s="3">
        <f t="shared" si="348"/>
        <v>1.0036269595599856E-2</v>
      </c>
      <c r="S341" s="3">
        <f t="shared" si="348"/>
        <v>1.0035386715169249E-2</v>
      </c>
      <c r="T341" s="3">
        <f t="shared" si="348"/>
        <v>1.0026562181371193E-2</v>
      </c>
      <c r="U341" s="3">
        <f t="shared" si="348"/>
        <v>9.9387425074109383E-3</v>
      </c>
      <c r="V341" s="3">
        <f t="shared" si="348"/>
        <v>9.1017586377101275E-3</v>
      </c>
      <c r="W341" s="3">
        <f t="shared" si="348"/>
        <v>3.7762789710405901E-3</v>
      </c>
      <c r="X341" s="3">
        <f t="shared" si="348"/>
        <v>5.7075749781839708E-7</v>
      </c>
      <c r="Y341" s="3">
        <f t="shared" si="348"/>
        <v>3.5508079009867224E-45</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1.0472179826501766E-2</v>
      </c>
      <c r="C342" s="3">
        <f t="shared" si="349"/>
        <v>1.0472179826501766E-2</v>
      </c>
      <c r="D342" s="3">
        <f t="shared" si="349"/>
        <v>1.0472179826501766E-2</v>
      </c>
      <c r="E342" s="3">
        <f t="shared" si="349"/>
        <v>1.0472179826501766E-2</v>
      </c>
      <c r="F342" s="3">
        <f t="shared" si="349"/>
        <v>1.0472179826501766E-2</v>
      </c>
      <c r="G342" s="3">
        <f t="shared" si="349"/>
        <v>1.0472179826501766E-2</v>
      </c>
      <c r="H342" s="3">
        <f t="shared" si="349"/>
        <v>1.0472179826501764E-2</v>
      </c>
      <c r="I342" s="3">
        <f t="shared" si="349"/>
        <v>1.0472179826501758E-2</v>
      </c>
      <c r="J342" s="3">
        <f t="shared" si="349"/>
        <v>1.0472179826501674E-2</v>
      </c>
      <c r="K342" s="3">
        <f t="shared" si="349"/>
        <v>1.0472179826500843E-2</v>
      </c>
      <c r="L342" s="3">
        <f t="shared" si="349"/>
        <v>1.0472179826492532E-2</v>
      </c>
      <c r="M342" s="3">
        <f t="shared" si="349"/>
        <v>1.0472179826409427E-2</v>
      </c>
      <c r="N342" s="3">
        <f t="shared" si="349"/>
        <v>1.0472179825578366E-2</v>
      </c>
      <c r="O342" s="3">
        <f t="shared" si="349"/>
        <v>1.0472179817267767E-2</v>
      </c>
      <c r="P342" s="3">
        <f t="shared" si="349"/>
        <v>1.0472179734161771E-2</v>
      </c>
      <c r="Q342" s="3">
        <f t="shared" si="349"/>
        <v>1.0472178903101856E-2</v>
      </c>
      <c r="R342" s="3">
        <f t="shared" si="349"/>
        <v>1.0472170592506323E-2</v>
      </c>
      <c r="S342" s="3">
        <f t="shared" si="349"/>
        <v>1.0472087486913728E-2</v>
      </c>
      <c r="T342" s="3">
        <f t="shared" si="349"/>
        <v>1.0471256467260173E-2</v>
      </c>
      <c r="U342" s="3">
        <f t="shared" si="349"/>
        <v>1.0462949896898544E-2</v>
      </c>
      <c r="V342" s="3">
        <f t="shared" si="349"/>
        <v>1.0380245748186058E-2</v>
      </c>
      <c r="W342" s="3">
        <f t="shared" si="349"/>
        <v>9.5883202862872465E-3</v>
      </c>
      <c r="X342" s="3">
        <f t="shared" si="349"/>
        <v>4.3360222864093721E-3</v>
      </c>
      <c r="Y342" s="3">
        <f t="shared" si="349"/>
        <v>1.55089085888564E-6</v>
      </c>
      <c r="Z342" s="3">
        <f t="shared" si="349"/>
        <v>5.314697382272443E-41</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1.1455889373470318E-2</v>
      </c>
      <c r="C343" s="3">
        <f t="shared" si="350"/>
        <v>1.1455889373470318E-2</v>
      </c>
      <c r="D343" s="3">
        <f t="shared" si="350"/>
        <v>1.1455889373470318E-2</v>
      </c>
      <c r="E343" s="3">
        <f t="shared" si="350"/>
        <v>1.1455889373470318E-2</v>
      </c>
      <c r="F343" s="3">
        <f t="shared" si="350"/>
        <v>1.1455889373470318E-2</v>
      </c>
      <c r="G343" s="3">
        <f t="shared" si="350"/>
        <v>1.1455889373470318E-2</v>
      </c>
      <c r="H343" s="3">
        <f t="shared" si="350"/>
        <v>1.1455889373470318E-2</v>
      </c>
      <c r="I343" s="3">
        <f t="shared" si="350"/>
        <v>1.1455889373470316E-2</v>
      </c>
      <c r="J343" s="3">
        <f t="shared" si="350"/>
        <v>1.1455889373470309E-2</v>
      </c>
      <c r="K343" s="3">
        <f t="shared" si="350"/>
        <v>1.1455889373470226E-2</v>
      </c>
      <c r="L343" s="3">
        <f t="shared" si="350"/>
        <v>1.1455889373469407E-2</v>
      </c>
      <c r="M343" s="3">
        <f t="shared" si="350"/>
        <v>1.1455889373461205E-2</v>
      </c>
      <c r="N343" s="3">
        <f t="shared" si="350"/>
        <v>1.1455889373379194E-2</v>
      </c>
      <c r="O343" s="3">
        <f t="shared" si="350"/>
        <v>1.1455889372559088E-2</v>
      </c>
      <c r="P343" s="3">
        <f t="shared" si="350"/>
        <v>1.1455889364358015E-2</v>
      </c>
      <c r="Q343" s="3">
        <f t="shared" si="350"/>
        <v>1.1455889282347287E-2</v>
      </c>
      <c r="R343" s="3">
        <f t="shared" si="350"/>
        <v>1.1455888462240042E-2</v>
      </c>
      <c r="S343" s="3">
        <f t="shared" si="350"/>
        <v>1.1455880261170819E-2</v>
      </c>
      <c r="T343" s="3">
        <f t="shared" si="350"/>
        <v>1.1455798250801501E-2</v>
      </c>
      <c r="U343" s="3">
        <f t="shared" si="350"/>
        <v>1.1454978179397888E-2</v>
      </c>
      <c r="V343" s="3">
        <f t="shared" si="350"/>
        <v>1.1446780693464921E-2</v>
      </c>
      <c r="W343" s="3">
        <f t="shared" si="350"/>
        <v>1.1365127791036846E-2</v>
      </c>
      <c r="X343" s="3">
        <f t="shared" si="350"/>
        <v>1.0579957752723102E-2</v>
      </c>
      <c r="Y343" s="3">
        <f t="shared" si="350"/>
        <v>5.1710654539379808E-3</v>
      </c>
      <c r="Z343" s="3">
        <f t="shared" si="350"/>
        <v>4.0229167911245635E-6</v>
      </c>
      <c r="AA343" s="3">
        <f t="shared" si="350"/>
        <v>3.2670155256668521E-37</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6.2948394662532018E-3</v>
      </c>
      <c r="C344" s="3">
        <f t="shared" si="351"/>
        <v>6.2948394662532018E-3</v>
      </c>
      <c r="D344" s="3">
        <f t="shared" si="351"/>
        <v>6.2948394662532018E-3</v>
      </c>
      <c r="E344" s="3">
        <f t="shared" si="351"/>
        <v>6.2948394662532018E-3</v>
      </c>
      <c r="F344" s="3">
        <f t="shared" si="351"/>
        <v>6.2948394662532018E-3</v>
      </c>
      <c r="G344" s="3">
        <f t="shared" si="351"/>
        <v>6.2948394662532018E-3</v>
      </c>
      <c r="H344" s="3">
        <f t="shared" si="351"/>
        <v>6.2948394662532018E-3</v>
      </c>
      <c r="I344" s="3">
        <f t="shared" si="351"/>
        <v>6.2948394662532018E-3</v>
      </c>
      <c r="J344" s="3">
        <f t="shared" si="351"/>
        <v>6.294839466253201E-3</v>
      </c>
      <c r="K344" s="3">
        <f t="shared" si="351"/>
        <v>6.2948394662531975E-3</v>
      </c>
      <c r="L344" s="3">
        <f t="shared" si="351"/>
        <v>6.2948394662531567E-3</v>
      </c>
      <c r="M344" s="3">
        <f t="shared" si="351"/>
        <v>6.2948394662527499E-3</v>
      </c>
      <c r="N344" s="3">
        <f t="shared" si="351"/>
        <v>6.2948394662486855E-3</v>
      </c>
      <c r="O344" s="3">
        <f t="shared" si="351"/>
        <v>6.294839466208034E-3</v>
      </c>
      <c r="P344" s="3">
        <f t="shared" si="351"/>
        <v>6.2948394658015223E-3</v>
      </c>
      <c r="Q344" s="3">
        <f t="shared" si="351"/>
        <v>6.2948394617364043E-3</v>
      </c>
      <c r="R344" s="3">
        <f t="shared" si="351"/>
        <v>6.2948394210852292E-3</v>
      </c>
      <c r="S344" s="3">
        <f t="shared" si="351"/>
        <v>6.2948390145734926E-3</v>
      </c>
      <c r="T344" s="3">
        <f t="shared" si="351"/>
        <v>6.2948349494575655E-3</v>
      </c>
      <c r="U344" s="3">
        <f t="shared" si="351"/>
        <v>6.294794298442684E-3</v>
      </c>
      <c r="V344" s="3">
        <f t="shared" si="351"/>
        <v>6.2943878027320547E-3</v>
      </c>
      <c r="W344" s="3">
        <f t="shared" si="351"/>
        <v>6.2903242890997042E-3</v>
      </c>
      <c r="X344" s="3">
        <f t="shared" si="351"/>
        <v>6.2498331558606878E-3</v>
      </c>
      <c r="Y344" s="3">
        <f t="shared" si="351"/>
        <v>5.8589839128120567E-3</v>
      </c>
      <c r="Z344" s="3">
        <f t="shared" si="351"/>
        <v>3.0715750016679345E-3</v>
      </c>
      <c r="AA344" s="3">
        <f t="shared" si="351"/>
        <v>4.8166968367554398E-6</v>
      </c>
      <c r="AB344" s="3">
        <f t="shared" si="351"/>
        <v>4.3314289542586029E-34</v>
      </c>
      <c r="AC344" s="3">
        <f t="shared" si="351"/>
        <v>0</v>
      </c>
      <c r="AD344" s="3">
        <f t="shared" si="351"/>
        <v>0</v>
      </c>
      <c r="AE344" s="3">
        <f t="shared" si="351"/>
        <v>0</v>
      </c>
      <c r="AF344" s="3">
        <f t="shared" si="351"/>
        <v>0</v>
      </c>
      <c r="AG344" s="3"/>
      <c r="AH344" s="3"/>
    </row>
    <row r="345" spans="2:34" x14ac:dyDescent="0.25">
      <c r="B345" s="3">
        <f t="shared" ref="B345:AF345" si="352">$C36*EXP(-B$363/$A36/EXP(-$G$126))</f>
        <v>5.5356903730511449E-3</v>
      </c>
      <c r="C345" s="3">
        <f t="shared" si="352"/>
        <v>5.5356903730511449E-3</v>
      </c>
      <c r="D345" s="3">
        <f t="shared" si="352"/>
        <v>5.5356903730511449E-3</v>
      </c>
      <c r="E345" s="3">
        <f t="shared" si="352"/>
        <v>5.5356903730511449E-3</v>
      </c>
      <c r="F345" s="3">
        <f t="shared" si="352"/>
        <v>5.5356903730511449E-3</v>
      </c>
      <c r="G345" s="3">
        <f t="shared" si="352"/>
        <v>5.5356903730511449E-3</v>
      </c>
      <c r="H345" s="3">
        <f t="shared" si="352"/>
        <v>5.5356903730511449E-3</v>
      </c>
      <c r="I345" s="3">
        <f t="shared" si="352"/>
        <v>5.5356903730511449E-3</v>
      </c>
      <c r="J345" s="3">
        <f t="shared" si="352"/>
        <v>5.5356903730511449E-3</v>
      </c>
      <c r="K345" s="3">
        <f t="shared" si="352"/>
        <v>5.535690373051144E-3</v>
      </c>
      <c r="L345" s="3">
        <f t="shared" si="352"/>
        <v>5.5356903730511414E-3</v>
      </c>
      <c r="M345" s="3">
        <f t="shared" si="352"/>
        <v>5.5356903730511093E-3</v>
      </c>
      <c r="N345" s="3">
        <f t="shared" si="352"/>
        <v>5.5356903730507867E-3</v>
      </c>
      <c r="O345" s="3">
        <f t="shared" si="352"/>
        <v>5.5356903730475618E-3</v>
      </c>
      <c r="P345" s="3">
        <f t="shared" si="352"/>
        <v>5.5356903730153133E-3</v>
      </c>
      <c r="Q345" s="3">
        <f t="shared" si="352"/>
        <v>5.5356903726928308E-3</v>
      </c>
      <c r="R345" s="3">
        <f t="shared" si="352"/>
        <v>5.5356903694679998E-3</v>
      </c>
      <c r="S345" s="3">
        <f t="shared" si="352"/>
        <v>5.5356903372197003E-3</v>
      </c>
      <c r="T345" s="3">
        <f t="shared" si="352"/>
        <v>5.5356900147367086E-3</v>
      </c>
      <c r="U345" s="3">
        <f t="shared" si="352"/>
        <v>5.535686789907829E-3</v>
      </c>
      <c r="V345" s="3">
        <f t="shared" si="352"/>
        <v>5.5356545417223468E-3</v>
      </c>
      <c r="W345" s="3">
        <f t="shared" si="352"/>
        <v>5.5353320701997701E-3</v>
      </c>
      <c r="X345" s="3">
        <f t="shared" si="352"/>
        <v>5.5321083879745379E-3</v>
      </c>
      <c r="Y345" s="3">
        <f t="shared" si="352"/>
        <v>5.499974643465801E-3</v>
      </c>
      <c r="Z345" s="3">
        <f t="shared" si="352"/>
        <v>5.1887262140618224E-3</v>
      </c>
      <c r="AA345" s="3">
        <f t="shared" si="352"/>
        <v>2.8977534927879362E-3</v>
      </c>
      <c r="AB345" s="3">
        <f t="shared" si="352"/>
        <v>8.55201123149472E-6</v>
      </c>
      <c r="AC345" s="3">
        <f t="shared" si="352"/>
        <v>4.2868324396358304E-31</v>
      </c>
      <c r="AD345" s="3">
        <f t="shared" si="352"/>
        <v>4.2935741502739209E-284</v>
      </c>
      <c r="AE345" s="3">
        <f t="shared" si="352"/>
        <v>0</v>
      </c>
      <c r="AF345" s="3">
        <f t="shared" si="352"/>
        <v>0</v>
      </c>
      <c r="AG345" s="3"/>
      <c r="AH345" s="3"/>
    </row>
    <row r="346" spans="2:34" x14ac:dyDescent="0.25">
      <c r="B346" s="3">
        <f t="shared" ref="B346:AF346" si="353">$C37*EXP(-B$363/$A37/EXP(-$G$126))</f>
        <v>2.9841994807754844E-3</v>
      </c>
      <c r="C346" s="3">
        <f t="shared" si="353"/>
        <v>2.9841994807754844E-3</v>
      </c>
      <c r="D346" s="3">
        <f t="shared" si="353"/>
        <v>2.9841994807754844E-3</v>
      </c>
      <c r="E346" s="3">
        <f t="shared" si="353"/>
        <v>2.9841994807754844E-3</v>
      </c>
      <c r="F346" s="3">
        <f t="shared" si="353"/>
        <v>2.9841994807754844E-3</v>
      </c>
      <c r="G346" s="3">
        <f t="shared" si="353"/>
        <v>2.9841994807754844E-3</v>
      </c>
      <c r="H346" s="3">
        <f t="shared" si="353"/>
        <v>2.9841994807754844E-3</v>
      </c>
      <c r="I346" s="3">
        <f t="shared" si="353"/>
        <v>2.9841994807754844E-3</v>
      </c>
      <c r="J346" s="3">
        <f t="shared" si="353"/>
        <v>2.9841994807754844E-3</v>
      </c>
      <c r="K346" s="3">
        <f t="shared" si="353"/>
        <v>2.9841994807754844E-3</v>
      </c>
      <c r="L346" s="3">
        <f t="shared" si="353"/>
        <v>2.984199480775484E-3</v>
      </c>
      <c r="M346" s="3">
        <f t="shared" si="353"/>
        <v>2.9841994807754827E-3</v>
      </c>
      <c r="N346" s="3">
        <f t="shared" si="353"/>
        <v>2.9841994807754671E-3</v>
      </c>
      <c r="O346" s="3">
        <f t="shared" si="353"/>
        <v>2.9841994807753101E-3</v>
      </c>
      <c r="P346" s="3">
        <f t="shared" si="353"/>
        <v>2.9841994807737419E-3</v>
      </c>
      <c r="Q346" s="3">
        <f t="shared" si="353"/>
        <v>2.9841994807580595E-3</v>
      </c>
      <c r="R346" s="3">
        <f t="shared" si="353"/>
        <v>2.9841994806012366E-3</v>
      </c>
      <c r="S346" s="3">
        <f t="shared" si="353"/>
        <v>2.984199479033008E-3</v>
      </c>
      <c r="T346" s="3">
        <f t="shared" si="353"/>
        <v>2.9841994633507179E-3</v>
      </c>
      <c r="U346" s="3">
        <f t="shared" si="353"/>
        <v>2.984199306527823E-3</v>
      </c>
      <c r="V346" s="3">
        <f t="shared" si="353"/>
        <v>2.9841977382993297E-3</v>
      </c>
      <c r="W346" s="3">
        <f t="shared" si="353"/>
        <v>2.9841820560597243E-3</v>
      </c>
      <c r="X346" s="3">
        <f t="shared" si="353"/>
        <v>2.9840252381962383E-3</v>
      </c>
      <c r="Y346" s="3">
        <f t="shared" si="353"/>
        <v>2.9824575127301491E-3</v>
      </c>
      <c r="Z346" s="3">
        <f t="shared" si="353"/>
        <v>2.9668254869566106E-3</v>
      </c>
      <c r="AA346" s="3">
        <f t="shared" si="353"/>
        <v>2.8149413978665562E-3</v>
      </c>
      <c r="AB346" s="3">
        <f t="shared" si="353"/>
        <v>1.6643433538293577E-3</v>
      </c>
      <c r="AC346" s="3">
        <f t="shared" si="353"/>
        <v>8.6891762548245114E-6</v>
      </c>
      <c r="AD346" s="3">
        <f t="shared" si="353"/>
        <v>1.3071800556132732E-28</v>
      </c>
      <c r="AE346" s="3">
        <f t="shared" si="353"/>
        <v>7.7607461010319933E-257</v>
      </c>
      <c r="AF346" s="3">
        <f t="shared" si="353"/>
        <v>0</v>
      </c>
      <c r="AG346" s="3"/>
      <c r="AH346" s="3"/>
    </row>
    <row r="347" spans="2:34" x14ac:dyDescent="0.25">
      <c r="B347" s="3">
        <f t="shared" ref="B347:AF347" si="354">$C38*EXP(-B$363/$A38/EXP(-$G$126))</f>
        <v>1.1698557197945001E-3</v>
      </c>
      <c r="C347" s="3">
        <f t="shared" si="354"/>
        <v>1.1698557197945001E-3</v>
      </c>
      <c r="D347" s="3">
        <f t="shared" si="354"/>
        <v>1.1698557197945001E-3</v>
      </c>
      <c r="E347" s="3">
        <f t="shared" si="354"/>
        <v>1.1698557197945001E-3</v>
      </c>
      <c r="F347" s="3">
        <f t="shared" si="354"/>
        <v>1.1698557197945001E-3</v>
      </c>
      <c r="G347" s="3">
        <f t="shared" si="354"/>
        <v>1.1698557197945001E-3</v>
      </c>
      <c r="H347" s="3">
        <f t="shared" si="354"/>
        <v>1.1698557197945001E-3</v>
      </c>
      <c r="I347" s="3">
        <f t="shared" si="354"/>
        <v>1.1698557197945001E-3</v>
      </c>
      <c r="J347" s="3">
        <f t="shared" si="354"/>
        <v>1.1698557197945001E-3</v>
      </c>
      <c r="K347" s="3">
        <f t="shared" si="354"/>
        <v>1.1698557197945001E-3</v>
      </c>
      <c r="L347" s="3">
        <f t="shared" si="354"/>
        <v>1.1698557197945001E-3</v>
      </c>
      <c r="M347" s="3">
        <f t="shared" si="354"/>
        <v>1.1698557197945001E-3</v>
      </c>
      <c r="N347" s="3">
        <f t="shared" si="354"/>
        <v>1.1698557197944994E-3</v>
      </c>
      <c r="O347" s="3">
        <f t="shared" si="354"/>
        <v>1.169855719794494E-3</v>
      </c>
      <c r="P347" s="3">
        <f t="shared" si="354"/>
        <v>1.1698557197944385E-3</v>
      </c>
      <c r="Q347" s="3">
        <f t="shared" si="354"/>
        <v>1.169855719793884E-3</v>
      </c>
      <c r="R347" s="3">
        <f t="shared" si="354"/>
        <v>1.1698557197883381E-3</v>
      </c>
      <c r="S347" s="3">
        <f t="shared" si="354"/>
        <v>1.1698557197328805E-3</v>
      </c>
      <c r="T347" s="3">
        <f t="shared" si="354"/>
        <v>1.1698557191783053E-3</v>
      </c>
      <c r="U347" s="3">
        <f t="shared" si="354"/>
        <v>1.1698557136325524E-3</v>
      </c>
      <c r="V347" s="3">
        <f t="shared" si="354"/>
        <v>1.1698556581750238E-3</v>
      </c>
      <c r="W347" s="3">
        <f t="shared" si="354"/>
        <v>1.1698551035998843E-3</v>
      </c>
      <c r="X347" s="3">
        <f t="shared" si="354"/>
        <v>1.1698495578629474E-3</v>
      </c>
      <c r="Y347" s="3">
        <f t="shared" si="354"/>
        <v>1.1697941019394938E-3</v>
      </c>
      <c r="Z347" s="3">
        <f t="shared" si="354"/>
        <v>1.1692396872711684E-3</v>
      </c>
      <c r="AA347" s="3">
        <f t="shared" si="354"/>
        <v>1.1637099718841361E-3</v>
      </c>
      <c r="AB347" s="3">
        <f t="shared" si="354"/>
        <v>1.1098309528864453E-3</v>
      </c>
      <c r="AC347" s="3">
        <f t="shared" si="354"/>
        <v>6.9084020565219424E-4</v>
      </c>
      <c r="AD347" s="3">
        <f t="shared" si="354"/>
        <v>6.0337223633886944E-6</v>
      </c>
      <c r="AE347" s="3">
        <f t="shared" si="354"/>
        <v>1.5583410132856682E-26</v>
      </c>
      <c r="AF347" s="3">
        <f t="shared" si="354"/>
        <v>2.0579474603404783E-232</v>
      </c>
      <c r="AG347" s="3"/>
      <c r="AH347" s="3"/>
    </row>
    <row r="348" spans="2:34" x14ac:dyDescent="0.25">
      <c r="B348" s="3">
        <f t="shared" ref="B348:AF348" si="355">$C39*EXP(-B$363/$A39/EXP(-$G$126))</f>
        <v>4.0204305624187052E-4</v>
      </c>
      <c r="C348" s="3">
        <f t="shared" si="355"/>
        <v>4.0204305624187052E-4</v>
      </c>
      <c r="D348" s="3">
        <f t="shared" si="355"/>
        <v>4.0204305624187052E-4</v>
      </c>
      <c r="E348" s="3">
        <f t="shared" si="355"/>
        <v>4.0204305624187052E-4</v>
      </c>
      <c r="F348" s="3">
        <f t="shared" si="355"/>
        <v>4.0204305624187052E-4</v>
      </c>
      <c r="G348" s="3">
        <f t="shared" si="355"/>
        <v>4.0204305624187052E-4</v>
      </c>
      <c r="H348" s="3">
        <f t="shared" si="355"/>
        <v>4.0204305624187052E-4</v>
      </c>
      <c r="I348" s="3">
        <f t="shared" si="355"/>
        <v>4.0204305624187052E-4</v>
      </c>
      <c r="J348" s="3">
        <f t="shared" si="355"/>
        <v>4.0204305624187052E-4</v>
      </c>
      <c r="K348" s="3">
        <f t="shared" si="355"/>
        <v>4.0204305624187052E-4</v>
      </c>
      <c r="L348" s="3">
        <f t="shared" si="355"/>
        <v>4.0204305624187052E-4</v>
      </c>
      <c r="M348" s="3">
        <f t="shared" si="355"/>
        <v>4.0204305624187052E-4</v>
      </c>
      <c r="N348" s="3">
        <f t="shared" si="355"/>
        <v>4.0204305624187047E-4</v>
      </c>
      <c r="O348" s="3">
        <f t="shared" si="355"/>
        <v>4.0204305624186993E-4</v>
      </c>
      <c r="P348" s="3">
        <f t="shared" si="355"/>
        <v>4.0204305624186467E-4</v>
      </c>
      <c r="Q348" s="3">
        <f t="shared" si="355"/>
        <v>4.0204305624181197E-4</v>
      </c>
      <c r="R348" s="3">
        <f t="shared" si="355"/>
        <v>4.0204305624128484E-4</v>
      </c>
      <c r="S348" s="3">
        <f t="shared" si="355"/>
        <v>4.0204305623601361E-4</v>
      </c>
      <c r="T348" s="3">
        <f t="shared" si="355"/>
        <v>4.0204305618330105E-4</v>
      </c>
      <c r="U348" s="3">
        <f t="shared" si="355"/>
        <v>4.02043055656176E-4</v>
      </c>
      <c r="V348" s="3">
        <f t="shared" si="355"/>
        <v>4.0204305038492566E-4</v>
      </c>
      <c r="W348" s="3">
        <f t="shared" si="355"/>
        <v>4.0204299767242582E-4</v>
      </c>
      <c r="X348" s="3">
        <f t="shared" si="355"/>
        <v>4.0204247054780723E-4</v>
      </c>
      <c r="Y348" s="3">
        <f t="shared" si="355"/>
        <v>4.0203719933963296E-4</v>
      </c>
      <c r="Z348" s="3">
        <f t="shared" si="355"/>
        <v>4.0198449105885648E-4</v>
      </c>
      <c r="AA348" s="3">
        <f t="shared" si="355"/>
        <v>4.0145778816338897E-4</v>
      </c>
      <c r="AB348" s="3">
        <f t="shared" si="355"/>
        <v>3.9622856678267016E-4</v>
      </c>
      <c r="AC348" s="3">
        <f t="shared" si="355"/>
        <v>3.4753995757968054E-4</v>
      </c>
      <c r="AD348" s="3">
        <f t="shared" si="355"/>
        <v>9.3668668346650794E-5</v>
      </c>
      <c r="AE348" s="3">
        <f t="shared" si="355"/>
        <v>1.894481501615201E-10</v>
      </c>
      <c r="AF348" s="3">
        <f t="shared" si="355"/>
        <v>2.1699543553435603E-67</v>
      </c>
      <c r="AG348" s="3"/>
      <c r="AH348" s="3"/>
    </row>
    <row r="349" spans="2:34" x14ac:dyDescent="0.25">
      <c r="B349" s="3">
        <f t="shared" ref="B349:AF349" si="356">$C40*EXP(-B$363/$A40/EXP(-$G$126))</f>
        <v>9.0650475367586036E-4</v>
      </c>
      <c r="C349" s="3">
        <f t="shared" si="356"/>
        <v>9.0650475367586036E-4</v>
      </c>
      <c r="D349" s="3">
        <f t="shared" si="356"/>
        <v>9.0650475367586036E-4</v>
      </c>
      <c r="E349" s="3">
        <f t="shared" si="356"/>
        <v>9.0650475367586036E-4</v>
      </c>
      <c r="F349" s="3">
        <f t="shared" si="356"/>
        <v>9.0650475367586036E-4</v>
      </c>
      <c r="G349" s="3">
        <f t="shared" si="356"/>
        <v>9.0650475367586036E-4</v>
      </c>
      <c r="H349" s="3">
        <f t="shared" si="356"/>
        <v>9.0650475367586036E-4</v>
      </c>
      <c r="I349" s="3">
        <f t="shared" si="356"/>
        <v>9.0650475367586036E-4</v>
      </c>
      <c r="J349" s="3">
        <f t="shared" si="356"/>
        <v>9.0650475367586036E-4</v>
      </c>
      <c r="K349" s="3">
        <f t="shared" si="356"/>
        <v>9.0650475367586036E-4</v>
      </c>
      <c r="L349" s="3">
        <f t="shared" si="356"/>
        <v>9.0650475367586036E-4</v>
      </c>
      <c r="M349" s="3">
        <f t="shared" si="356"/>
        <v>9.0650475367586036E-4</v>
      </c>
      <c r="N349" s="3">
        <f t="shared" si="356"/>
        <v>9.0650475367586036E-4</v>
      </c>
      <c r="O349" s="3">
        <f t="shared" si="356"/>
        <v>9.0650475367586025E-4</v>
      </c>
      <c r="P349" s="3">
        <f t="shared" si="356"/>
        <v>9.0650475367585906E-4</v>
      </c>
      <c r="Q349" s="3">
        <f t="shared" si="356"/>
        <v>9.0650475367584713E-4</v>
      </c>
      <c r="R349" s="3">
        <f t="shared" si="356"/>
        <v>9.0650475367572831E-4</v>
      </c>
      <c r="S349" s="3">
        <f t="shared" si="356"/>
        <v>9.0650475367453969E-4</v>
      </c>
      <c r="T349" s="3">
        <f t="shared" si="356"/>
        <v>9.0650475366265445E-4</v>
      </c>
      <c r="U349" s="3">
        <f t="shared" si="356"/>
        <v>9.0650475354380118E-4</v>
      </c>
      <c r="V349" s="3">
        <f t="shared" si="356"/>
        <v>9.065047523552684E-4</v>
      </c>
      <c r="W349" s="3">
        <f t="shared" si="356"/>
        <v>9.065047404699405E-4</v>
      </c>
      <c r="X349" s="3">
        <f t="shared" si="356"/>
        <v>9.0650462161667104E-4</v>
      </c>
      <c r="Y349" s="3">
        <f t="shared" si="356"/>
        <v>9.0650343308483331E-4</v>
      </c>
      <c r="Z349" s="3">
        <f t="shared" si="356"/>
        <v>9.0649154785216125E-4</v>
      </c>
      <c r="AA349" s="3">
        <f t="shared" si="356"/>
        <v>9.0637270409565278E-4</v>
      </c>
      <c r="AB349" s="3">
        <f t="shared" si="356"/>
        <v>9.0518512313609288E-4</v>
      </c>
      <c r="AC349" s="3">
        <f t="shared" si="356"/>
        <v>8.9339455999602638E-4</v>
      </c>
      <c r="AD349" s="3">
        <f t="shared" si="356"/>
        <v>7.8361413969740118E-4</v>
      </c>
      <c r="AE349" s="3">
        <f t="shared" si="356"/>
        <v>2.1119900420726013E-4</v>
      </c>
      <c r="AF349" s="3">
        <f t="shared" si="356"/>
        <v>4.2715735548781478E-10</v>
      </c>
      <c r="AG349" s="3"/>
      <c r="AH349" s="3"/>
    </row>
    <row r="350" spans="2:34" x14ac:dyDescent="0.25">
      <c r="B350" s="3">
        <f t="shared" ref="B350:AF350" si="357">$C41*EXP(-B$363/$A41/EXP(-$G$126))</f>
        <v>1.833495697796037E-4</v>
      </c>
      <c r="C350" s="3">
        <f t="shared" si="357"/>
        <v>1.833495697796037E-4</v>
      </c>
      <c r="D350" s="3">
        <f t="shared" si="357"/>
        <v>1.833495697796037E-4</v>
      </c>
      <c r="E350" s="3">
        <f t="shared" si="357"/>
        <v>1.833495697796037E-4</v>
      </c>
      <c r="F350" s="3">
        <f t="shared" si="357"/>
        <v>1.833495697796037E-4</v>
      </c>
      <c r="G350" s="3">
        <f t="shared" si="357"/>
        <v>1.833495697796037E-4</v>
      </c>
      <c r="H350" s="3">
        <f t="shared" si="357"/>
        <v>1.833495697796037E-4</v>
      </c>
      <c r="I350" s="3">
        <f t="shared" si="357"/>
        <v>1.833495697796037E-4</v>
      </c>
      <c r="J350" s="3">
        <f t="shared" si="357"/>
        <v>1.833495697796037E-4</v>
      </c>
      <c r="K350" s="3">
        <f t="shared" si="357"/>
        <v>1.833495697796037E-4</v>
      </c>
      <c r="L350" s="3">
        <f t="shared" si="357"/>
        <v>1.833495697796037E-4</v>
      </c>
      <c r="M350" s="3">
        <f t="shared" si="357"/>
        <v>1.833495697796037E-4</v>
      </c>
      <c r="N350" s="3">
        <f t="shared" si="357"/>
        <v>1.833495697796037E-4</v>
      </c>
      <c r="O350" s="3">
        <f t="shared" si="357"/>
        <v>1.833495697796037E-4</v>
      </c>
      <c r="P350" s="3">
        <f t="shared" si="357"/>
        <v>1.8334956977960368E-4</v>
      </c>
      <c r="Q350" s="3">
        <f t="shared" si="357"/>
        <v>1.8334956977960343E-4</v>
      </c>
      <c r="R350" s="3">
        <f t="shared" si="357"/>
        <v>1.8334956977960105E-4</v>
      </c>
      <c r="S350" s="3">
        <f t="shared" si="357"/>
        <v>1.83349569779577E-4</v>
      </c>
      <c r="T350" s="3">
        <f t="shared" si="357"/>
        <v>1.8334956977933658E-4</v>
      </c>
      <c r="U350" s="3">
        <f t="shared" si="357"/>
        <v>1.8334956977693269E-4</v>
      </c>
      <c r="V350" s="3">
        <f t="shared" si="357"/>
        <v>1.8334956975289341E-4</v>
      </c>
      <c r="W350" s="3">
        <f t="shared" si="357"/>
        <v>1.8334956951250088E-4</v>
      </c>
      <c r="X350" s="3">
        <f t="shared" si="357"/>
        <v>1.8334956710857556E-4</v>
      </c>
      <c r="Y350" s="3">
        <f t="shared" si="357"/>
        <v>1.8334954306932399E-4</v>
      </c>
      <c r="Z350" s="3">
        <f t="shared" si="357"/>
        <v>1.8334930267698159E-4</v>
      </c>
      <c r="AA350" s="3">
        <f t="shared" si="357"/>
        <v>1.8334689877089251E-4</v>
      </c>
      <c r="AB350" s="3">
        <f t="shared" si="357"/>
        <v>1.8332286144341189E-4</v>
      </c>
      <c r="AC350" s="3">
        <f t="shared" si="357"/>
        <v>1.8308266142556221E-4</v>
      </c>
      <c r="AD350" s="3">
        <f t="shared" si="357"/>
        <v>1.8069790318747862E-4</v>
      </c>
      <c r="AE350" s="3">
        <f t="shared" si="357"/>
        <v>1.5849372527185543E-4</v>
      </c>
      <c r="AF350" s="3">
        <f t="shared" si="357"/>
        <v>4.2717091556618757E-5</v>
      </c>
      <c r="AG350" s="3"/>
      <c r="AH350" s="3"/>
    </row>
    <row r="351" spans="2:34" x14ac:dyDescent="0.25">
      <c r="B351" s="3">
        <f t="shared" ref="B351:AF351" si="358">$C42*EXP(-B$363/$A42/EXP(-$G$126))</f>
        <v>0</v>
      </c>
      <c r="C351" s="3">
        <f t="shared" si="358"/>
        <v>0</v>
      </c>
      <c r="D351" s="3">
        <f t="shared" si="358"/>
        <v>0</v>
      </c>
      <c r="E351" s="3">
        <f t="shared" si="358"/>
        <v>0</v>
      </c>
      <c r="F351" s="3">
        <f t="shared" si="358"/>
        <v>0</v>
      </c>
      <c r="G351" s="3">
        <f t="shared" si="358"/>
        <v>0</v>
      </c>
      <c r="H351" s="3">
        <f t="shared" si="358"/>
        <v>0</v>
      </c>
      <c r="I351" s="3">
        <f t="shared" si="358"/>
        <v>0</v>
      </c>
      <c r="J351" s="3">
        <f t="shared" si="358"/>
        <v>0</v>
      </c>
      <c r="K351" s="3">
        <f t="shared" si="358"/>
        <v>0</v>
      </c>
      <c r="L351" s="3">
        <f t="shared" si="358"/>
        <v>0</v>
      </c>
      <c r="M351" s="3">
        <f t="shared" si="358"/>
        <v>0</v>
      </c>
      <c r="N351" s="3">
        <f t="shared" si="358"/>
        <v>0</v>
      </c>
      <c r="O351" s="3">
        <f t="shared" si="358"/>
        <v>0</v>
      </c>
      <c r="P351" s="3">
        <f t="shared" si="358"/>
        <v>0</v>
      </c>
      <c r="Q351" s="3">
        <f t="shared" si="358"/>
        <v>0</v>
      </c>
      <c r="R351" s="3">
        <f t="shared" si="358"/>
        <v>0</v>
      </c>
      <c r="S351" s="3">
        <f t="shared" si="358"/>
        <v>0</v>
      </c>
      <c r="T351" s="3">
        <f t="shared" si="358"/>
        <v>0</v>
      </c>
      <c r="U351" s="3">
        <f t="shared" si="358"/>
        <v>0</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2.7582104941075727E-4</v>
      </c>
      <c r="C352" s="3">
        <f t="shared" si="359"/>
        <v>2.7582104941075727E-4</v>
      </c>
      <c r="D352" s="3">
        <f t="shared" si="359"/>
        <v>2.7582104941075727E-4</v>
      </c>
      <c r="E352" s="3">
        <f t="shared" si="359"/>
        <v>2.7582104941075727E-4</v>
      </c>
      <c r="F352" s="3">
        <f t="shared" si="359"/>
        <v>2.7582104941075727E-4</v>
      </c>
      <c r="G352" s="3">
        <f t="shared" si="359"/>
        <v>2.7582104941075727E-4</v>
      </c>
      <c r="H352" s="3">
        <f t="shared" si="359"/>
        <v>2.7582104941075727E-4</v>
      </c>
      <c r="I352" s="3">
        <f t="shared" si="359"/>
        <v>2.7582104941075727E-4</v>
      </c>
      <c r="J352" s="3">
        <f t="shared" si="359"/>
        <v>2.7582104941075727E-4</v>
      </c>
      <c r="K352" s="3">
        <f t="shared" si="359"/>
        <v>2.7582104941075727E-4</v>
      </c>
      <c r="L352" s="3">
        <f t="shared" si="359"/>
        <v>2.7582104941075727E-4</v>
      </c>
      <c r="M352" s="3">
        <f t="shared" si="359"/>
        <v>2.7582104941075727E-4</v>
      </c>
      <c r="N352" s="3">
        <f t="shared" si="359"/>
        <v>2.7582104941075727E-4</v>
      </c>
      <c r="O352" s="3">
        <f t="shared" si="359"/>
        <v>2.7582104941075727E-4</v>
      </c>
      <c r="P352" s="3">
        <f t="shared" si="359"/>
        <v>2.7582104941075727E-4</v>
      </c>
      <c r="Q352" s="3">
        <f t="shared" si="359"/>
        <v>2.7582104941075727E-4</v>
      </c>
      <c r="R352" s="3">
        <f t="shared" si="359"/>
        <v>2.7582104941075721E-4</v>
      </c>
      <c r="S352" s="3">
        <f t="shared" si="359"/>
        <v>2.7582104941075689E-4</v>
      </c>
      <c r="T352" s="3">
        <f t="shared" si="359"/>
        <v>2.7582104941075325E-4</v>
      </c>
      <c r="U352" s="3">
        <f t="shared" si="359"/>
        <v>2.758210494107171E-4</v>
      </c>
      <c r="V352" s="3">
        <f t="shared" si="359"/>
        <v>2.7582104941035546E-4</v>
      </c>
      <c r="W352" s="3">
        <f t="shared" si="359"/>
        <v>2.7582104940673916E-4</v>
      </c>
      <c r="X352" s="3">
        <f t="shared" si="359"/>
        <v>2.7582104937057576E-4</v>
      </c>
      <c r="Y352" s="3">
        <f t="shared" si="359"/>
        <v>2.758210490089424E-4</v>
      </c>
      <c r="Z352" s="3">
        <f t="shared" si="359"/>
        <v>2.7582104539260882E-4</v>
      </c>
      <c r="AA352" s="3">
        <f t="shared" si="359"/>
        <v>2.7582100922927559E-4</v>
      </c>
      <c r="AB352" s="3">
        <f t="shared" si="359"/>
        <v>2.7582064759620368E-4</v>
      </c>
      <c r="AC352" s="3">
        <f t="shared" si="359"/>
        <v>2.7581703129156236E-4</v>
      </c>
      <c r="AD352" s="3">
        <f t="shared" si="359"/>
        <v>2.7578087085279666E-4</v>
      </c>
      <c r="AE352" s="3">
        <f t="shared" si="359"/>
        <v>2.7541952710341446E-4</v>
      </c>
      <c r="AF352" s="3">
        <f t="shared" si="359"/>
        <v>2.7183202744028551E-4</v>
      </c>
      <c r="AG352" s="3"/>
      <c r="AH352" s="3"/>
    </row>
    <row r="353" spans="1:34" x14ac:dyDescent="0.25">
      <c r="B353" s="3">
        <f t="shared" ref="B353:AF353" si="360">$C44*EXP(-B$363/$A44/EXP(-$G$126))</f>
        <v>2.4535081143819124E-4</v>
      </c>
      <c r="C353" s="3">
        <f t="shared" si="360"/>
        <v>2.4535081143819124E-4</v>
      </c>
      <c r="D353" s="3">
        <f t="shared" si="360"/>
        <v>2.4535081143819124E-4</v>
      </c>
      <c r="E353" s="3">
        <f t="shared" si="360"/>
        <v>2.4535081143819124E-4</v>
      </c>
      <c r="F353" s="3">
        <f t="shared" si="360"/>
        <v>2.4535081143819124E-4</v>
      </c>
      <c r="G353" s="3">
        <f t="shared" si="360"/>
        <v>2.4535081143819124E-4</v>
      </c>
      <c r="H353" s="3">
        <f t="shared" si="360"/>
        <v>2.4535081143819124E-4</v>
      </c>
      <c r="I353" s="3">
        <f t="shared" si="360"/>
        <v>2.4535081143819124E-4</v>
      </c>
      <c r="J353" s="3">
        <f t="shared" si="360"/>
        <v>2.4535081143819124E-4</v>
      </c>
      <c r="K353" s="3">
        <f t="shared" si="360"/>
        <v>2.4535081143819124E-4</v>
      </c>
      <c r="L353" s="3">
        <f t="shared" si="360"/>
        <v>2.4535081143819124E-4</v>
      </c>
      <c r="M353" s="3">
        <f t="shared" si="360"/>
        <v>2.4535081143819124E-4</v>
      </c>
      <c r="N353" s="3">
        <f t="shared" si="360"/>
        <v>2.4535081143819124E-4</v>
      </c>
      <c r="O353" s="3">
        <f t="shared" si="360"/>
        <v>2.4535081143819124E-4</v>
      </c>
      <c r="P353" s="3">
        <f t="shared" si="360"/>
        <v>2.4535081143819124E-4</v>
      </c>
      <c r="Q353" s="3">
        <f t="shared" si="360"/>
        <v>2.4535081143819124E-4</v>
      </c>
      <c r="R353" s="3">
        <f t="shared" si="360"/>
        <v>2.4535081143819124E-4</v>
      </c>
      <c r="S353" s="3">
        <f t="shared" si="360"/>
        <v>2.4535081143819119E-4</v>
      </c>
      <c r="T353" s="3">
        <f t="shared" si="360"/>
        <v>2.4535081143819086E-4</v>
      </c>
      <c r="U353" s="3">
        <f t="shared" si="360"/>
        <v>2.4535081143818767E-4</v>
      </c>
      <c r="V353" s="3">
        <f t="shared" si="360"/>
        <v>2.4535081143815552E-4</v>
      </c>
      <c r="W353" s="3">
        <f t="shared" si="360"/>
        <v>2.4535081143783378E-4</v>
      </c>
      <c r="X353" s="3">
        <f t="shared" si="360"/>
        <v>2.4535081143461701E-4</v>
      </c>
      <c r="Y353" s="3">
        <f t="shared" si="360"/>
        <v>2.4535081140244862E-4</v>
      </c>
      <c r="Z353" s="3">
        <f t="shared" si="360"/>
        <v>2.453508110807653E-4</v>
      </c>
      <c r="AA353" s="3">
        <f t="shared" si="360"/>
        <v>2.4535080786393181E-4</v>
      </c>
      <c r="AB353" s="3">
        <f t="shared" si="360"/>
        <v>2.4535077569559958E-4</v>
      </c>
      <c r="AC353" s="3">
        <f t="shared" si="360"/>
        <v>2.4535045401250899E-4</v>
      </c>
      <c r="AD353" s="3">
        <f t="shared" si="360"/>
        <v>2.4534723720479962E-4</v>
      </c>
      <c r="AE353" s="3">
        <f t="shared" si="360"/>
        <v>2.4531507144728371E-4</v>
      </c>
      <c r="AF353" s="3">
        <f t="shared" si="360"/>
        <v>2.4499364571741849E-4</v>
      </c>
      <c r="AG353" s="3"/>
      <c r="AH353" s="3"/>
    </row>
    <row r="354" spans="1:34" x14ac:dyDescent="0.25">
      <c r="B354" s="3">
        <f t="shared" ref="B354:AF354" si="361">$C45*EXP(-B$363/$A45/EXP(-$G$126))</f>
        <v>0</v>
      </c>
      <c r="C354" s="3">
        <f t="shared" si="361"/>
        <v>0</v>
      </c>
      <c r="D354" s="3">
        <f t="shared" si="361"/>
        <v>0</v>
      </c>
      <c r="E354" s="3">
        <f t="shared" si="361"/>
        <v>0</v>
      </c>
      <c r="F354" s="3">
        <f t="shared" si="361"/>
        <v>0</v>
      </c>
      <c r="G354" s="3">
        <f t="shared" si="361"/>
        <v>0</v>
      </c>
      <c r="H354" s="3">
        <f t="shared" si="361"/>
        <v>0</v>
      </c>
      <c r="I354" s="3">
        <f t="shared" si="361"/>
        <v>0</v>
      </c>
      <c r="J354" s="3">
        <f t="shared" si="361"/>
        <v>0</v>
      </c>
      <c r="K354" s="3">
        <f t="shared" si="361"/>
        <v>0</v>
      </c>
      <c r="L354" s="3">
        <f t="shared" si="361"/>
        <v>0</v>
      </c>
      <c r="M354" s="3">
        <f t="shared" si="361"/>
        <v>0</v>
      </c>
      <c r="N354" s="3">
        <f t="shared" si="361"/>
        <v>0</v>
      </c>
      <c r="O354" s="3">
        <f t="shared" si="361"/>
        <v>0</v>
      </c>
      <c r="P354" s="3">
        <f t="shared" si="361"/>
        <v>0</v>
      </c>
      <c r="Q354" s="3">
        <f t="shared" si="361"/>
        <v>0</v>
      </c>
      <c r="R354" s="3">
        <f t="shared" si="361"/>
        <v>0</v>
      </c>
      <c r="S354" s="3">
        <f t="shared" si="361"/>
        <v>0</v>
      </c>
      <c r="T354" s="3">
        <f t="shared" si="361"/>
        <v>0</v>
      </c>
      <c r="U354" s="3">
        <f t="shared" si="361"/>
        <v>0</v>
      </c>
      <c r="V354" s="3">
        <f t="shared" si="361"/>
        <v>0</v>
      </c>
      <c r="W354" s="3">
        <f t="shared" si="361"/>
        <v>0</v>
      </c>
      <c r="X354" s="3">
        <f t="shared" si="361"/>
        <v>0</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1.7255643769382848E-4</v>
      </c>
      <c r="C355" s="3">
        <f t="shared" si="362"/>
        <v>1.7255643769382848E-4</v>
      </c>
      <c r="D355" s="3">
        <f t="shared" si="362"/>
        <v>1.7255643769382848E-4</v>
      </c>
      <c r="E355" s="3">
        <f t="shared" si="362"/>
        <v>1.7255643769382848E-4</v>
      </c>
      <c r="F355" s="3">
        <f t="shared" si="362"/>
        <v>1.7255643769382848E-4</v>
      </c>
      <c r="G355" s="3">
        <f t="shared" si="362"/>
        <v>1.7255643769382848E-4</v>
      </c>
      <c r="H355" s="3">
        <f t="shared" si="362"/>
        <v>1.7255643769382848E-4</v>
      </c>
      <c r="I355" s="3">
        <f t="shared" si="362"/>
        <v>1.7255643769382848E-4</v>
      </c>
      <c r="J355" s="3">
        <f t="shared" si="362"/>
        <v>1.7255643769382848E-4</v>
      </c>
      <c r="K355" s="3">
        <f t="shared" si="362"/>
        <v>1.7255643769382848E-4</v>
      </c>
      <c r="L355" s="3">
        <f t="shared" si="362"/>
        <v>1.7255643769382848E-4</v>
      </c>
      <c r="M355" s="3">
        <f t="shared" si="362"/>
        <v>1.7255643769382848E-4</v>
      </c>
      <c r="N355" s="3">
        <f t="shared" si="362"/>
        <v>1.7255643769382848E-4</v>
      </c>
      <c r="O355" s="3">
        <f t="shared" si="362"/>
        <v>1.7255643769382848E-4</v>
      </c>
      <c r="P355" s="3">
        <f t="shared" si="362"/>
        <v>1.7255643769382848E-4</v>
      </c>
      <c r="Q355" s="3">
        <f t="shared" si="362"/>
        <v>1.7255643769382848E-4</v>
      </c>
      <c r="R355" s="3">
        <f t="shared" si="362"/>
        <v>1.7255643769382848E-4</v>
      </c>
      <c r="S355" s="3">
        <f t="shared" si="362"/>
        <v>1.7255643769382848E-4</v>
      </c>
      <c r="T355" s="3">
        <f t="shared" si="362"/>
        <v>1.7255643769382848E-4</v>
      </c>
      <c r="U355" s="3">
        <f t="shared" si="362"/>
        <v>1.7255643769382845E-4</v>
      </c>
      <c r="V355" s="3">
        <f t="shared" si="362"/>
        <v>1.7255643769382824E-4</v>
      </c>
      <c r="W355" s="3">
        <f t="shared" si="362"/>
        <v>1.7255643769382596E-4</v>
      </c>
      <c r="X355" s="3">
        <f t="shared" si="362"/>
        <v>1.7255643769380335E-4</v>
      </c>
      <c r="Y355" s="3">
        <f t="shared" si="362"/>
        <v>1.7255643769357708E-4</v>
      </c>
      <c r="Z355" s="3">
        <f t="shared" si="362"/>
        <v>1.725564376913147E-4</v>
      </c>
      <c r="AA355" s="3">
        <f t="shared" si="362"/>
        <v>1.7255643766869052E-4</v>
      </c>
      <c r="AB355" s="3">
        <f t="shared" si="362"/>
        <v>1.7255643744244905E-4</v>
      </c>
      <c r="AC355" s="3">
        <f t="shared" si="362"/>
        <v>1.7255643518003419E-4</v>
      </c>
      <c r="AD355" s="3">
        <f t="shared" si="362"/>
        <v>1.7255641255588719E-4</v>
      </c>
      <c r="AE355" s="3">
        <f t="shared" si="362"/>
        <v>1.7255618631458047E-4</v>
      </c>
      <c r="AF355" s="3">
        <f t="shared" si="362"/>
        <v>1.7255392391782776E-4</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0</v>
      </c>
      <c r="C357" s="3">
        <f t="shared" si="364"/>
        <v>0</v>
      </c>
      <c r="D357" s="3">
        <f t="shared" si="364"/>
        <v>0</v>
      </c>
      <c r="E357" s="3">
        <f t="shared" si="364"/>
        <v>0</v>
      </c>
      <c r="F357" s="3">
        <f t="shared" si="364"/>
        <v>0</v>
      </c>
      <c r="G357" s="3">
        <f t="shared" si="364"/>
        <v>0</v>
      </c>
      <c r="H357" s="3">
        <f t="shared" si="364"/>
        <v>0</v>
      </c>
      <c r="I357" s="3">
        <f t="shared" si="364"/>
        <v>0</v>
      </c>
      <c r="J357" s="3">
        <f t="shared" si="364"/>
        <v>0</v>
      </c>
      <c r="K357" s="3">
        <f t="shared" si="364"/>
        <v>0</v>
      </c>
      <c r="L357" s="3">
        <f t="shared" si="364"/>
        <v>0</v>
      </c>
      <c r="M357" s="3">
        <f t="shared" si="364"/>
        <v>0</v>
      </c>
      <c r="N357" s="3">
        <f t="shared" si="364"/>
        <v>0</v>
      </c>
      <c r="O357" s="3">
        <f t="shared" si="364"/>
        <v>0</v>
      </c>
      <c r="P357" s="3">
        <f t="shared" si="364"/>
        <v>0</v>
      </c>
      <c r="Q357" s="3">
        <f t="shared" si="364"/>
        <v>0</v>
      </c>
      <c r="R357" s="3">
        <f t="shared" si="364"/>
        <v>0</v>
      </c>
      <c r="S357" s="3">
        <f t="shared" si="364"/>
        <v>0</v>
      </c>
      <c r="T357" s="3">
        <f t="shared" si="364"/>
        <v>0</v>
      </c>
      <c r="U357" s="3">
        <f t="shared" si="364"/>
        <v>0</v>
      </c>
      <c r="V357" s="3">
        <f t="shared" si="364"/>
        <v>0</v>
      </c>
      <c r="W357" s="3">
        <f t="shared" si="364"/>
        <v>0</v>
      </c>
      <c r="X357" s="3">
        <f t="shared" si="364"/>
        <v>0</v>
      </c>
      <c r="Y357" s="3">
        <f t="shared" si="364"/>
        <v>0</v>
      </c>
      <c r="Z357" s="3">
        <f t="shared" si="364"/>
        <v>0</v>
      </c>
      <c r="AA357" s="3">
        <f t="shared" si="364"/>
        <v>0</v>
      </c>
      <c r="AB357" s="3">
        <f t="shared" si="364"/>
        <v>0</v>
      </c>
      <c r="AC357" s="3">
        <f t="shared" si="364"/>
        <v>0</v>
      </c>
      <c r="AD357" s="3">
        <f t="shared" si="364"/>
        <v>0</v>
      </c>
      <c r="AE357" s="3">
        <f t="shared" si="364"/>
        <v>0</v>
      </c>
      <c r="AF357" s="3">
        <f t="shared" si="364"/>
        <v>0</v>
      </c>
      <c r="AG357" s="3"/>
      <c r="AH357" s="3"/>
    </row>
    <row r="358" spans="1:34" x14ac:dyDescent="0.25">
      <c r="A358" s="79">
        <f>AVERAGE(B358:AF358)</f>
        <v>5.1609109668321926E-2</v>
      </c>
      <c r="B358" s="80">
        <f>IF($A$64&lt;=B324,IF($B$64&gt;=B324,ABS((B326-B325)/B325),0),0)</f>
        <v>0</v>
      </c>
      <c r="C358" s="80">
        <f t="shared" ref="C358:AF358" si="365">IF($A$64&lt;=C324,IF($B$64&gt;=C324,ABS((C326-C325)/C325),0),0)</f>
        <v>0</v>
      </c>
      <c r="D358" s="80">
        <f t="shared" si="365"/>
        <v>0</v>
      </c>
      <c r="E358" s="80">
        <f t="shared" si="365"/>
        <v>0</v>
      </c>
      <c r="F358" s="80">
        <f t="shared" si="365"/>
        <v>0</v>
      </c>
      <c r="G358" s="80">
        <f t="shared" si="365"/>
        <v>0</v>
      </c>
      <c r="H358" s="80">
        <f t="shared" si="365"/>
        <v>0</v>
      </c>
      <c r="I358" s="80">
        <f t="shared" si="365"/>
        <v>0</v>
      </c>
      <c r="J358" s="80">
        <f t="shared" si="365"/>
        <v>0</v>
      </c>
      <c r="K358" s="80">
        <f t="shared" si="365"/>
        <v>0</v>
      </c>
      <c r="L358" s="80">
        <f t="shared" si="365"/>
        <v>2.8307093736325454E-2</v>
      </c>
      <c r="M358" s="80">
        <f t="shared" si="365"/>
        <v>3.3811226517132038E-2</v>
      </c>
      <c r="N358" s="80">
        <f t="shared" si="365"/>
        <v>3.8473401372350807E-2</v>
      </c>
      <c r="O358" s="80">
        <f t="shared" si="365"/>
        <v>4.6189439278556434E-2</v>
      </c>
      <c r="P358" s="80">
        <f t="shared" si="365"/>
        <v>5.3732960905372773E-2</v>
      </c>
      <c r="Q358" s="80">
        <f t="shared" si="365"/>
        <v>4.8954005887537302E-2</v>
      </c>
      <c r="R358" s="80">
        <f t="shared" si="365"/>
        <v>4.5524719557583741E-3</v>
      </c>
      <c r="S358" s="80">
        <f t="shared" si="365"/>
        <v>0.10198821388404879</v>
      </c>
      <c r="T358" s="80">
        <f t="shared" si="365"/>
        <v>0.23293774268057882</v>
      </c>
      <c r="U358" s="80">
        <f t="shared" si="365"/>
        <v>0.40669040389079636</v>
      </c>
      <c r="V358" s="80">
        <f t="shared" si="365"/>
        <v>0.60424543960952237</v>
      </c>
      <c r="W358" s="80">
        <f t="shared" si="365"/>
        <v>0</v>
      </c>
      <c r="X358" s="80">
        <f t="shared" si="365"/>
        <v>0</v>
      </c>
      <c r="Y358" s="80">
        <f t="shared" si="365"/>
        <v>0</v>
      </c>
      <c r="Z358" s="80">
        <f t="shared" si="365"/>
        <v>0</v>
      </c>
      <c r="AA358" s="80">
        <f t="shared" si="365"/>
        <v>0</v>
      </c>
      <c r="AB358" s="80">
        <f t="shared" si="365"/>
        <v>0</v>
      </c>
      <c r="AC358" s="80">
        <f t="shared" si="365"/>
        <v>0</v>
      </c>
      <c r="AD358" s="80">
        <f t="shared" si="365"/>
        <v>0</v>
      </c>
      <c r="AE358" s="80">
        <f t="shared" si="365"/>
        <v>0</v>
      </c>
      <c r="AF358" s="80">
        <f t="shared" si="365"/>
        <v>0</v>
      </c>
    </row>
    <row r="359" spans="1:34" x14ac:dyDescent="0.25">
      <c r="B359" s="21">
        <f>(B326-B325)^2</f>
        <v>765574.3427011437</v>
      </c>
      <c r="C359" s="21">
        <f t="shared" ref="C359:AF359" si="366">(C326-C325)^2</f>
        <v>257833.92764069029</v>
      </c>
      <c r="D359" s="21">
        <f t="shared" si="366"/>
        <v>851236.17801666027</v>
      </c>
      <c r="E359" s="21">
        <f t="shared" si="366"/>
        <v>543083.50405482179</v>
      </c>
      <c r="F359" s="21">
        <f t="shared" si="366"/>
        <v>257483.551634893</v>
      </c>
      <c r="G359" s="21">
        <f t="shared" si="366"/>
        <v>79314.138787814343</v>
      </c>
      <c r="H359" s="21">
        <f t="shared" si="366"/>
        <v>10295.986905895003</v>
      </c>
      <c r="I359" s="21">
        <f t="shared" si="366"/>
        <v>744.7660642942252</v>
      </c>
      <c r="J359" s="21">
        <f t="shared" si="366"/>
        <v>17117.82376305389</v>
      </c>
      <c r="K359" s="21">
        <f t="shared" si="366"/>
        <v>10423.328256049712</v>
      </c>
      <c r="L359" s="21">
        <f t="shared" si="366"/>
        <v>11832.914403370232</v>
      </c>
      <c r="M359" s="21">
        <f t="shared" si="366"/>
        <v>15129.532760036938</v>
      </c>
      <c r="N359" s="21">
        <f t="shared" si="366"/>
        <v>17182.151600951824</v>
      </c>
      <c r="O359" s="21">
        <f t="shared" si="366"/>
        <v>21111.802060068407</v>
      </c>
      <c r="P359" s="21">
        <f t="shared" si="366"/>
        <v>23254.067736551086</v>
      </c>
      <c r="Q359" s="21">
        <f t="shared" si="366"/>
        <v>14106.445575984993</v>
      </c>
      <c r="R359" s="21">
        <f t="shared" si="366"/>
        <v>71.300505619580406</v>
      </c>
      <c r="S359" s="21">
        <f t="shared" si="366"/>
        <v>16754.913844283357</v>
      </c>
      <c r="T359" s="21">
        <f t="shared" si="366"/>
        <v>35442.638803143491</v>
      </c>
      <c r="U359" s="21">
        <f t="shared" si="366"/>
        <v>42856.092047147897</v>
      </c>
      <c r="V359" s="21">
        <f t="shared" si="366"/>
        <v>43219.493566132143</v>
      </c>
      <c r="W359" s="21">
        <f t="shared" si="366"/>
        <v>39503.269920559942</v>
      </c>
      <c r="X359" s="21">
        <f t="shared" si="366"/>
        <v>28770.78986877752</v>
      </c>
      <c r="Y359" s="21">
        <f t="shared" si="366"/>
        <v>14432.335025180419</v>
      </c>
      <c r="Z359" s="21">
        <f t="shared" si="366"/>
        <v>5701.6798773841247</v>
      </c>
      <c r="AA359" s="21">
        <f t="shared" si="366"/>
        <v>1917.7548575439596</v>
      </c>
      <c r="AB359" s="21">
        <f t="shared" si="366"/>
        <v>600.35244320347158</v>
      </c>
      <c r="AC359" s="21">
        <f t="shared" si="366"/>
        <v>267.71985097863904</v>
      </c>
      <c r="AD359" s="21">
        <f t="shared" si="366"/>
        <v>87.111876114237987</v>
      </c>
      <c r="AE359" s="21">
        <f t="shared" si="366"/>
        <v>35.638843994619116</v>
      </c>
      <c r="AF359" s="21">
        <f t="shared" si="366"/>
        <v>13.99271535028835</v>
      </c>
      <c r="AG359" s="3"/>
      <c r="AH359" s="3"/>
    </row>
    <row r="360" spans="1:34" x14ac:dyDescent="0.25">
      <c r="A360" s="71">
        <f>SUM(B360:AF360)</f>
        <v>240961.35290328995</v>
      </c>
      <c r="B360" s="60">
        <f>IF($A$64&lt;=B324,IF($B$64&gt;=B324,ABS(B359),0),0)</f>
        <v>0</v>
      </c>
      <c r="C360" s="60">
        <f t="shared" ref="C360:AF360" si="367">IF($A$64&lt;=C324,IF($B$64&gt;=C324,ABS(C359),0),0)</f>
        <v>0</v>
      </c>
      <c r="D360" s="60">
        <f t="shared" si="367"/>
        <v>0</v>
      </c>
      <c r="E360" s="60">
        <f t="shared" si="367"/>
        <v>0</v>
      </c>
      <c r="F360" s="60">
        <f t="shared" si="367"/>
        <v>0</v>
      </c>
      <c r="G360" s="60">
        <f t="shared" si="367"/>
        <v>0</v>
      </c>
      <c r="H360" s="60">
        <f t="shared" si="367"/>
        <v>0</v>
      </c>
      <c r="I360" s="60">
        <f t="shared" si="367"/>
        <v>0</v>
      </c>
      <c r="J360" s="60">
        <f t="shared" si="367"/>
        <v>0</v>
      </c>
      <c r="K360" s="60">
        <f t="shared" si="367"/>
        <v>0</v>
      </c>
      <c r="L360" s="60">
        <f t="shared" si="367"/>
        <v>11832.914403370232</v>
      </c>
      <c r="M360" s="60">
        <f t="shared" si="367"/>
        <v>15129.532760036938</v>
      </c>
      <c r="N360" s="60">
        <f t="shared" si="367"/>
        <v>17182.151600951824</v>
      </c>
      <c r="O360" s="60">
        <f t="shared" si="367"/>
        <v>21111.802060068407</v>
      </c>
      <c r="P360" s="60">
        <f t="shared" si="367"/>
        <v>23254.067736551086</v>
      </c>
      <c r="Q360" s="60">
        <f t="shared" si="367"/>
        <v>14106.445575984993</v>
      </c>
      <c r="R360" s="60">
        <f t="shared" si="367"/>
        <v>71.300505619580406</v>
      </c>
      <c r="S360" s="60">
        <f t="shared" si="367"/>
        <v>16754.913844283357</v>
      </c>
      <c r="T360" s="60">
        <f t="shared" si="367"/>
        <v>35442.638803143491</v>
      </c>
      <c r="U360" s="60">
        <f t="shared" si="367"/>
        <v>42856.092047147897</v>
      </c>
      <c r="V360" s="60">
        <f t="shared" si="367"/>
        <v>43219.493566132143</v>
      </c>
      <c r="W360" s="60">
        <f t="shared" si="367"/>
        <v>0</v>
      </c>
      <c r="X360" s="60">
        <f t="shared" si="367"/>
        <v>0</v>
      </c>
      <c r="Y360" s="60">
        <f t="shared" si="367"/>
        <v>0</v>
      </c>
      <c r="Z360" s="60">
        <f t="shared" si="367"/>
        <v>0</v>
      </c>
      <c r="AA360" s="60">
        <f t="shared" si="367"/>
        <v>0</v>
      </c>
      <c r="AB360" s="60">
        <f t="shared" si="367"/>
        <v>0</v>
      </c>
      <c r="AC360" s="60">
        <f t="shared" si="367"/>
        <v>0</v>
      </c>
      <c r="AD360" s="60">
        <f t="shared" si="367"/>
        <v>0</v>
      </c>
      <c r="AE360" s="60">
        <f t="shared" si="367"/>
        <v>0</v>
      </c>
      <c r="AF360" s="60">
        <f t="shared" si="367"/>
        <v>0</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4536.230397827354</v>
      </c>
      <c r="C364" s="26">
        <f>INDEX(Comparison!$AM$3:$AS$33,G$14,$H$122)</f>
        <v>4303.1205029931816</v>
      </c>
      <c r="D364" s="26">
        <f>INDEX(Comparison!$AM$3:$AS$33,H$14,$H$122)</f>
        <v>4127.6064584710148</v>
      </c>
      <c r="E364" s="26">
        <f>INDEX(Comparison!$AM$3:$AS$33,I$14,$H$122)</f>
        <v>3945.604356178083</v>
      </c>
      <c r="F364" s="26">
        <f>INDEX(Comparison!$AM$3:$AS$33,J$14,$H$122)</f>
        <v>3766.6240058114313</v>
      </c>
      <c r="G364" s="26">
        <f>INDEX(Comparison!$AM$3:$AS$33,K$14,$H$122)</f>
        <v>3551.9419942460731</v>
      </c>
      <c r="H364" s="26">
        <f>INDEX(Comparison!$AM$3:$AS$33,L$14,$H$122)</f>
        <v>3318.4500658255338</v>
      </c>
      <c r="I364" s="26">
        <f>INDEX(Comparison!$AM$3:$AS$33,M$14,$H$122)</f>
        <v>3050.6755206683788</v>
      </c>
      <c r="J364" s="26">
        <f>INDEX(Comparison!$AM$3:$AS$33,N$14,$H$122)</f>
        <v>2745.1346410108995</v>
      </c>
      <c r="K364" s="26">
        <f>INDEX(Comparison!$AM$3:$AS$33,O$14,$H$122)</f>
        <v>2379.9691784471511</v>
      </c>
      <c r="L364" s="26">
        <f>INDEX(Comparison!$AM$3:$AS$33,P$14,$H$122)</f>
        <v>1948.7143373862357</v>
      </c>
      <c r="M364" s="26">
        <f>INDEX(Comparison!$AM$3:$AS$33,Q$14,$H$122)</f>
        <v>1482.8611668944652</v>
      </c>
      <c r="N364" s="26">
        <f>INDEX(Comparison!$AM$3:$AS$33,R$14,$H$122)</f>
        <v>1064.7698916660522</v>
      </c>
      <c r="O364" s="26">
        <f>INDEX(Comparison!$AM$3:$AS$33,S$14,$H$122)</f>
        <v>756.04671038027936</v>
      </c>
      <c r="P364" s="26">
        <f>INDEX(Comparison!$AM$3:$AS$33,T$14,$H$122)</f>
        <v>574.27764486440731</v>
      </c>
      <c r="Q364" s="26">
        <f>INDEX(Comparison!$AM$3:$AS$33,U$14,$H$122)</f>
        <v>472.36033693576201</v>
      </c>
      <c r="R364" s="26">
        <f>INDEX(Comparison!$AM$3:$AS$33,V$14,$H$122)</f>
        <v>404.76609252146119</v>
      </c>
      <c r="S364" s="26">
        <f>INDEX(Comparison!$AM$3:$AS$33,W$14,$H$122)</f>
        <v>332.62382454066642</v>
      </c>
      <c r="T364" s="26">
        <f>INDEX(Comparison!$AM$3:$AS$33,X$14,$H$122)</f>
        <v>270.11210763785351</v>
      </c>
      <c r="U364" s="26">
        <f>INDEX(Comparison!$AM$3:$AS$33,Y$14,$H$122)</f>
        <v>230.23496622900356</v>
      </c>
      <c r="V364" s="26">
        <f>INDEX(Comparison!$AM$3:$AS$33,Z$14,$H$122)</f>
        <v>198.97748766430533</v>
      </c>
      <c r="W364" s="26">
        <f>INDEX(Comparison!$AM$3:$AS$33,AA$14,$H$122)</f>
        <v>182.67861803771595</v>
      </c>
      <c r="X364" s="26">
        <f>INDEX(Comparison!$AM$3:$AS$33,AB$14,$H$122)</f>
        <v>174.62746722417066</v>
      </c>
      <c r="Y364" s="26">
        <f>INDEX(Comparison!$AM$3:$AS$33,AC$14,$H$122)</f>
        <v>169.86894542912563</v>
      </c>
      <c r="Z364" s="26">
        <f>INDEX(Comparison!$AM$3:$AS$33,AD$14,$H$122)</f>
        <v>166.84170745231376</v>
      </c>
      <c r="AA364" s="26">
        <f>INDEX(Comparison!$AM$3:$AS$33,AE$14,$H$122)</f>
        <v>166.12540478353452</v>
      </c>
      <c r="AB364" s="26">
        <f>INDEX(Comparison!$AM$3:$AS$33,AF$14,$H$122)</f>
        <v>165.25800429032441</v>
      </c>
      <c r="AC364" s="26">
        <f>INDEX(Comparison!$AM$3:$AS$33,AG$14,$H$122)</f>
        <v>162.97529182821398</v>
      </c>
      <c r="AD364" s="26">
        <f>INDEX(Comparison!$AM$3:$AS$33,AH$14,$H$122)</f>
        <v>162.91152498499585</v>
      </c>
      <c r="AE364" s="26">
        <f>INDEX(Comparison!$AM$3:$AS$33,AI$14,$H$122)</f>
        <v>161.92883558935978</v>
      </c>
      <c r="AF364" s="26">
        <f>INDEX(Comparison!$AM$3:$AS$33,AJ$14,$H$122)</f>
        <v>161.56401350859798</v>
      </c>
      <c r="AG364" s="26"/>
      <c r="AH364" s="26"/>
    </row>
    <row r="365" spans="1:34" x14ac:dyDescent="0.25">
      <c r="A365" s="70" t="s">
        <v>22</v>
      </c>
      <c r="B365" s="27">
        <f>($C$17+SUM(B366:B396))*$B$51</f>
        <v>4468.4113972368586</v>
      </c>
      <c r="C365" s="27">
        <f t="shared" ref="C365:AF365" si="368">($C$17+SUM(C366:C396))*$B$51</f>
        <v>4390.8712719693804</v>
      </c>
      <c r="D365" s="27">
        <f t="shared" si="368"/>
        <v>4104.4299597707331</v>
      </c>
      <c r="E365" s="27">
        <f t="shared" si="368"/>
        <v>3949.3743751887669</v>
      </c>
      <c r="F365" s="27">
        <f t="shared" si="368"/>
        <v>3766.145851711593</v>
      </c>
      <c r="G365" s="27">
        <f t="shared" si="368"/>
        <v>3552.0706919652034</v>
      </c>
      <c r="H365" s="27">
        <f t="shared" si="368"/>
        <v>3318.4369678992043</v>
      </c>
      <c r="I365" s="27">
        <f t="shared" si="368"/>
        <v>3050.8004255504397</v>
      </c>
      <c r="J365" s="27">
        <f t="shared" si="368"/>
        <v>2744.9858131001938</v>
      </c>
      <c r="K365" s="27">
        <f t="shared" si="368"/>
        <v>2380.3953979652565</v>
      </c>
      <c r="L365" s="27">
        <f t="shared" si="368"/>
        <v>1948.2583132544135</v>
      </c>
      <c r="M365" s="27">
        <f t="shared" si="368"/>
        <v>1483.6894979305403</v>
      </c>
      <c r="N365" s="27">
        <f t="shared" si="368"/>
        <v>1063.8258850665263</v>
      </c>
      <c r="O365" s="27">
        <f t="shared" si="368"/>
        <v>757.193338564275</v>
      </c>
      <c r="P365" s="27">
        <f t="shared" si="368"/>
        <v>573.28701061643937</v>
      </c>
      <c r="Q365" s="27">
        <f t="shared" si="368"/>
        <v>473.13479285917975</v>
      </c>
      <c r="R365" s="27">
        <f t="shared" si="368"/>
        <v>404.28201223393961</v>
      </c>
      <c r="S365" s="27">
        <f t="shared" si="368"/>
        <v>332.88454736317129</v>
      </c>
      <c r="T365" s="27">
        <f t="shared" si="368"/>
        <v>270.0558216625567</v>
      </c>
      <c r="U365" s="27">
        <f t="shared" si="368"/>
        <v>230.16689653751109</v>
      </c>
      <c r="V365" s="27">
        <f t="shared" si="368"/>
        <v>199.11606822485535</v>
      </c>
      <c r="W365" s="27">
        <f t="shared" si="368"/>
        <v>182.57369783912867</v>
      </c>
      <c r="X365" s="27">
        <f t="shared" si="368"/>
        <v>174.65469250939833</v>
      </c>
      <c r="Y365" s="27">
        <f t="shared" si="368"/>
        <v>169.88586484473581</v>
      </c>
      <c r="Z365" s="27">
        <f t="shared" si="368"/>
        <v>166.8462957223845</v>
      </c>
      <c r="AA365" s="27">
        <f t="shared" si="368"/>
        <v>166.1945152334595</v>
      </c>
      <c r="AB365" s="27">
        <f t="shared" si="368"/>
        <v>165.01179751262356</v>
      </c>
      <c r="AC365" s="27">
        <f t="shared" si="368"/>
        <v>163.37029894593164</v>
      </c>
      <c r="AD365" s="27">
        <f t="shared" si="368"/>
        <v>162.63616620366909</v>
      </c>
      <c r="AE365" s="27">
        <f t="shared" si="368"/>
        <v>161.98831260295779</v>
      </c>
      <c r="AF365" s="27">
        <f t="shared" si="368"/>
        <v>161.54434374685727</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5.174552162148973E-2</v>
      </c>
      <c r="C367" s="3">
        <f t="shared" si="370"/>
        <v>4.1094515586429368E-2</v>
      </c>
      <c r="D367" s="3">
        <f t="shared" si="370"/>
        <v>4.1010477662642899E-3</v>
      </c>
      <c r="E367" s="3">
        <f t="shared" si="370"/>
        <v>4.0179492797656053E-13</v>
      </c>
      <c r="F367" s="3">
        <f t="shared" si="370"/>
        <v>3.2741658539263203E-113</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1.8505817673828744E-2</v>
      </c>
      <c r="C368" s="3">
        <f t="shared" si="371"/>
        <v>1.8125058928978807E-2</v>
      </c>
      <c r="D368" s="3">
        <f t="shared" si="371"/>
        <v>1.4722816846305848E-2</v>
      </c>
      <c r="E368" s="3">
        <f t="shared" si="371"/>
        <v>1.8412202023602123E-3</v>
      </c>
      <c r="F368" s="3">
        <f t="shared" si="371"/>
        <v>1.7228757231573294E-12</v>
      </c>
      <c r="G368" s="3">
        <f t="shared" si="371"/>
        <v>8.8661719867182551E-103</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2.7422603932314094E-2</v>
      </c>
      <c r="C369" s="3">
        <f t="shared" si="372"/>
        <v>2.7371223669754616E-2</v>
      </c>
      <c r="D369" s="3">
        <f t="shared" si="372"/>
        <v>2.6862686158204089E-2</v>
      </c>
      <c r="E369" s="3">
        <f t="shared" si="372"/>
        <v>2.2269049664108802E-2</v>
      </c>
      <c r="F369" s="3">
        <f t="shared" si="372"/>
        <v>3.413690475818798E-3</v>
      </c>
      <c r="G369" s="3">
        <f t="shared" si="372"/>
        <v>2.4459563745206586E-11</v>
      </c>
      <c r="H369" s="3">
        <f t="shared" si="372"/>
        <v>8.7235724073885639E-93</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3.2243705657939201E-2</v>
      </c>
      <c r="C370" s="3">
        <f t="shared" si="373"/>
        <v>3.2238251225003518E-2</v>
      </c>
      <c r="D370" s="3">
        <f t="shared" si="373"/>
        <v>3.218375761767054E-2</v>
      </c>
      <c r="E370" s="3">
        <f t="shared" si="373"/>
        <v>3.1643862140181014E-2</v>
      </c>
      <c r="F370" s="3">
        <f t="shared" si="373"/>
        <v>2.6718792891780304E-2</v>
      </c>
      <c r="G370" s="3">
        <f t="shared" si="373"/>
        <v>4.9214188852117133E-3</v>
      </c>
      <c r="H370" s="3">
        <f t="shared" si="373"/>
        <v>2.2122046978059914E-10</v>
      </c>
      <c r="I370" s="3">
        <f t="shared" si="373"/>
        <v>7.4503229428250871E-84</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3.4402260908841908E-2</v>
      </c>
      <c r="C371" s="3">
        <f t="shared" si="374"/>
        <v>3.4401735893908686E-2</v>
      </c>
      <c r="D371" s="3">
        <f t="shared" si="374"/>
        <v>3.4396486185231945E-2</v>
      </c>
      <c r="E371" s="3">
        <f t="shared" si="374"/>
        <v>3.4344033139136199E-2</v>
      </c>
      <c r="F371" s="3">
        <f t="shared" si="374"/>
        <v>3.382388197838359E-2</v>
      </c>
      <c r="G371" s="3">
        <f t="shared" si="374"/>
        <v>2.9036549556001663E-2</v>
      </c>
      <c r="H371" s="3">
        <f t="shared" si="374"/>
        <v>6.3119068229964817E-3</v>
      </c>
      <c r="I371" s="3">
        <f t="shared" si="374"/>
        <v>1.4870182426358655E-9</v>
      </c>
      <c r="J371" s="3">
        <f t="shared" si="374"/>
        <v>7.8320142583878255E-76</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4.0521806450422956E-2</v>
      </c>
      <c r="C372" s="3">
        <f t="shared" si="375"/>
        <v>4.0521750664698819E-2</v>
      </c>
      <c r="D372" s="3">
        <f t="shared" si="375"/>
        <v>4.0521192811681386E-2</v>
      </c>
      <c r="E372" s="3">
        <f t="shared" si="375"/>
        <v>4.0515614703879994E-2</v>
      </c>
      <c r="F372" s="3">
        <f t="shared" si="375"/>
        <v>4.045987584165734E-2</v>
      </c>
      <c r="G372" s="3">
        <f t="shared" si="375"/>
        <v>3.9906687373906777E-2</v>
      </c>
      <c r="H372" s="3">
        <f t="shared" si="375"/>
        <v>3.4774188945817075E-2</v>
      </c>
      <c r="I372" s="3">
        <f t="shared" si="375"/>
        <v>8.7774894649538301E-3</v>
      </c>
      <c r="J372" s="3">
        <f t="shared" si="375"/>
        <v>9.2151708260877677E-9</v>
      </c>
      <c r="K372" s="3">
        <f t="shared" si="375"/>
        <v>1.4991121536495546E-68</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4.5710825528707456E-2</v>
      </c>
      <c r="C373" s="3">
        <f t="shared" si="376"/>
        <v>4.5710819851951759E-2</v>
      </c>
      <c r="D373" s="3">
        <f t="shared" si="376"/>
        <v>4.5710763084433545E-2</v>
      </c>
      <c r="E373" s="3">
        <f t="shared" si="376"/>
        <v>4.5710195413128839E-2</v>
      </c>
      <c r="F373" s="3">
        <f t="shared" si="376"/>
        <v>4.5704519087805061E-2</v>
      </c>
      <c r="G373" s="3">
        <f t="shared" si="376"/>
        <v>4.5647794589089276E-2</v>
      </c>
      <c r="H373" s="3">
        <f t="shared" si="376"/>
        <v>4.5084407305536076E-2</v>
      </c>
      <c r="I373" s="3">
        <f t="shared" si="376"/>
        <v>3.9819152378117083E-2</v>
      </c>
      <c r="J373" s="3">
        <f t="shared" si="376"/>
        <v>1.15013408672333E-2</v>
      </c>
      <c r="K373" s="3">
        <f t="shared" si="376"/>
        <v>4.6485029762980182E-8</v>
      </c>
      <c r="L373" s="3">
        <f t="shared" si="376"/>
        <v>5.407038948774978E-62</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5.619956397189757E-2</v>
      </c>
      <c r="C374" s="3">
        <f t="shared" si="377"/>
        <v>5.6199563342303395E-2</v>
      </c>
      <c r="D374" s="3">
        <f t="shared" si="377"/>
        <v>5.6199557046362029E-2</v>
      </c>
      <c r="E374" s="3">
        <f t="shared" si="377"/>
        <v>5.619949408698717E-2</v>
      </c>
      <c r="F374" s="3">
        <f t="shared" si="377"/>
        <v>5.6198864497117827E-2</v>
      </c>
      <c r="G374" s="3">
        <f t="shared" si="377"/>
        <v>5.6192568986334568E-2</v>
      </c>
      <c r="H374" s="3">
        <f t="shared" si="377"/>
        <v>5.6129652653443309E-2</v>
      </c>
      <c r="I374" s="3">
        <f t="shared" si="377"/>
        <v>5.5504350794319826E-2</v>
      </c>
      <c r="J374" s="3">
        <f t="shared" si="377"/>
        <v>4.962194161772232E-2</v>
      </c>
      <c r="K374" s="3">
        <f t="shared" si="377"/>
        <v>1.6186055110963226E-2</v>
      </c>
      <c r="L374" s="3">
        <f t="shared" si="377"/>
        <v>2.2070573991933269E-7</v>
      </c>
      <c r="M374" s="3">
        <f t="shared" si="377"/>
        <v>4.9038791722837981E-56</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6.8321253150546074E-2</v>
      </c>
      <c r="C375" s="3">
        <f t="shared" si="378"/>
        <v>6.8321253081501401E-2</v>
      </c>
      <c r="D375" s="3">
        <f t="shared" si="378"/>
        <v>6.8321252391054688E-2</v>
      </c>
      <c r="E375" s="3">
        <f t="shared" si="378"/>
        <v>6.8321245486587884E-2</v>
      </c>
      <c r="F375" s="3">
        <f t="shared" si="378"/>
        <v>6.8321176441958259E-2</v>
      </c>
      <c r="G375" s="3">
        <f t="shared" si="378"/>
        <v>6.8320485999499761E-2</v>
      </c>
      <c r="H375" s="3">
        <f t="shared" si="378"/>
        <v>6.8313581958665354E-2</v>
      </c>
      <c r="I375" s="3">
        <f t="shared" si="378"/>
        <v>6.8244579911044975E-2</v>
      </c>
      <c r="J375" s="3">
        <f t="shared" si="378"/>
        <v>6.7558381202137349E-2</v>
      </c>
      <c r="K375" s="3">
        <f t="shared" si="378"/>
        <v>6.1064658699854592E-2</v>
      </c>
      <c r="L375" s="3">
        <f t="shared" si="378"/>
        <v>2.2227822915623835E-2</v>
      </c>
      <c r="M375" s="3">
        <f t="shared" si="378"/>
        <v>9.0775127824606465E-7</v>
      </c>
      <c r="N375" s="3">
        <f t="shared" si="378"/>
        <v>1.1712949707629948E-50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7.2516023247141861E-2</v>
      </c>
      <c r="C376" s="3">
        <f t="shared" si="379"/>
        <v>7.2516023240531052E-2</v>
      </c>
      <c r="D376" s="3">
        <f t="shared" si="379"/>
        <v>7.2516023174422919E-2</v>
      </c>
      <c r="E376" s="3">
        <f t="shared" si="379"/>
        <v>7.2516022513341549E-2</v>
      </c>
      <c r="F376" s="3">
        <f t="shared" si="379"/>
        <v>7.2516015902528194E-2</v>
      </c>
      <c r="G376" s="3">
        <f t="shared" si="379"/>
        <v>7.2515949794427909E-2</v>
      </c>
      <c r="H376" s="3">
        <f t="shared" si="379"/>
        <v>7.2515288716739623E-2</v>
      </c>
      <c r="I376" s="3">
        <f t="shared" si="379"/>
        <v>7.2508678271310023E-2</v>
      </c>
      <c r="J376" s="3">
        <f t="shared" si="379"/>
        <v>7.2442606951160921E-2</v>
      </c>
      <c r="K376" s="3">
        <f t="shared" si="379"/>
        <v>7.1785196015250755E-2</v>
      </c>
      <c r="L376" s="3">
        <f t="shared" si="379"/>
        <v>6.5530440938030857E-2</v>
      </c>
      <c r="M376" s="3">
        <f t="shared" si="379"/>
        <v>2.6334500574730576E-2</v>
      </c>
      <c r="N376" s="3">
        <f t="shared" si="379"/>
        <v>2.8929774565811646E-6</v>
      </c>
      <c r="O376" s="3">
        <f t="shared" si="379"/>
        <v>7.405334469239332E-46</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6.0357732330729337E-2</v>
      </c>
      <c r="C377" s="3">
        <f t="shared" si="380"/>
        <v>6.035773233023297E-2</v>
      </c>
      <c r="D377" s="3">
        <f t="shared" si="380"/>
        <v>6.035773232526933E-2</v>
      </c>
      <c r="E377" s="3">
        <f t="shared" si="380"/>
        <v>6.0357732275632917E-2</v>
      </c>
      <c r="F377" s="3">
        <f t="shared" si="380"/>
        <v>6.0357731779268717E-2</v>
      </c>
      <c r="G377" s="3">
        <f t="shared" si="380"/>
        <v>6.0357726815627032E-2</v>
      </c>
      <c r="H377" s="3">
        <f t="shared" si="380"/>
        <v>6.0357677179232586E-2</v>
      </c>
      <c r="I377" s="3">
        <f t="shared" si="380"/>
        <v>6.0357180817533156E-2</v>
      </c>
      <c r="J377" s="3">
        <f t="shared" si="380"/>
        <v>6.0352217425038761E-2</v>
      </c>
      <c r="K377" s="3">
        <f t="shared" si="380"/>
        <v>6.0302605943246504E-2</v>
      </c>
      <c r="L377" s="3">
        <f t="shared" si="380"/>
        <v>5.9808728626557693E-2</v>
      </c>
      <c r="M377" s="3">
        <f t="shared" si="380"/>
        <v>5.5087044556968758E-2</v>
      </c>
      <c r="N377" s="3">
        <f t="shared" si="380"/>
        <v>2.4204632681296464E-2</v>
      </c>
      <c r="O377" s="3">
        <f t="shared" si="380"/>
        <v>6.492152770034281E-6</v>
      </c>
      <c r="P377" s="3">
        <f t="shared" si="380"/>
        <v>1.2510972685015901E-41</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3.7953571045139863E-2</v>
      </c>
      <c r="C378" s="3">
        <f t="shared" si="381"/>
        <v>3.7953571045111711E-2</v>
      </c>
      <c r="D378" s="3">
        <f t="shared" si="381"/>
        <v>3.7953571044830152E-2</v>
      </c>
      <c r="E378" s="3">
        <f t="shared" si="381"/>
        <v>3.7953571042014578E-2</v>
      </c>
      <c r="F378" s="3">
        <f t="shared" si="381"/>
        <v>3.795357101385885E-2</v>
      </c>
      <c r="G378" s="3">
        <f t="shared" si="381"/>
        <v>3.7953570732301566E-2</v>
      </c>
      <c r="H378" s="3">
        <f t="shared" si="381"/>
        <v>3.795356791672886E-2</v>
      </c>
      <c r="I378" s="3">
        <f t="shared" si="381"/>
        <v>3.7953539761013275E-2</v>
      </c>
      <c r="J378" s="3">
        <f t="shared" si="381"/>
        <v>3.795325820500621E-2</v>
      </c>
      <c r="K378" s="3">
        <f t="shared" si="381"/>
        <v>3.7950442759811895E-2</v>
      </c>
      <c r="L378" s="3">
        <f t="shared" si="381"/>
        <v>3.7922299792343316E-2</v>
      </c>
      <c r="M378" s="3">
        <f t="shared" si="381"/>
        <v>3.7642015419071383E-2</v>
      </c>
      <c r="N378" s="3">
        <f t="shared" si="381"/>
        <v>3.4950619575899261E-2</v>
      </c>
      <c r="O378" s="3">
        <f t="shared" si="381"/>
        <v>1.6644662213582437E-2</v>
      </c>
      <c r="P378" s="3">
        <f t="shared" si="381"/>
        <v>9.9879430306130114E-6</v>
      </c>
      <c r="Q378" s="3">
        <f t="shared" si="381"/>
        <v>6.0462592089746158E-38</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1.9899360219970713E-2</v>
      </c>
      <c r="C379" s="3">
        <f t="shared" si="382"/>
        <v>1.9899360219969381E-2</v>
      </c>
      <c r="D379" s="3">
        <f t="shared" si="382"/>
        <v>1.9899360219956065E-2</v>
      </c>
      <c r="E379" s="3">
        <f t="shared" si="382"/>
        <v>1.9899360219822897E-2</v>
      </c>
      <c r="F379" s="3">
        <f t="shared" si="382"/>
        <v>1.9899360218491216E-2</v>
      </c>
      <c r="G379" s="3">
        <f t="shared" si="382"/>
        <v>1.989936020517442E-2</v>
      </c>
      <c r="H379" s="3">
        <f t="shared" si="382"/>
        <v>1.9899360072006437E-2</v>
      </c>
      <c r="I379" s="3">
        <f t="shared" si="382"/>
        <v>1.9899358740326646E-2</v>
      </c>
      <c r="J379" s="3">
        <f t="shared" si="382"/>
        <v>1.9899345423533658E-2</v>
      </c>
      <c r="K379" s="3">
        <f t="shared" si="382"/>
        <v>1.989921225609392E-2</v>
      </c>
      <c r="L379" s="3">
        <f t="shared" si="382"/>
        <v>1.9897880630709519E-2</v>
      </c>
      <c r="M379" s="3">
        <f t="shared" si="382"/>
        <v>1.9884569276952074E-2</v>
      </c>
      <c r="N379" s="3">
        <f t="shared" si="382"/>
        <v>1.9751944536907911E-2</v>
      </c>
      <c r="O379" s="3">
        <f t="shared" si="382"/>
        <v>1.8473387953833929E-2</v>
      </c>
      <c r="P379" s="3">
        <f t="shared" si="382"/>
        <v>9.4604868109117914E-3</v>
      </c>
      <c r="Q379" s="3">
        <f t="shared" si="382"/>
        <v>1.1737695054775307E-5</v>
      </c>
      <c r="R379" s="3">
        <f t="shared" si="382"/>
        <v>1.0145564121862668E-34</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1.0036367698219974E-2</v>
      </c>
      <c r="C380" s="3">
        <f t="shared" si="383"/>
        <v>1.0036367698219913E-2</v>
      </c>
      <c r="D380" s="3">
        <f t="shared" si="383"/>
        <v>1.0036367698219308E-2</v>
      </c>
      <c r="E380" s="3">
        <f t="shared" si="383"/>
        <v>1.0036367698213249E-2</v>
      </c>
      <c r="F380" s="3">
        <f t="shared" si="383"/>
        <v>1.0036367698152662E-2</v>
      </c>
      <c r="G380" s="3">
        <f t="shared" si="383"/>
        <v>1.0036367697546785E-2</v>
      </c>
      <c r="H380" s="3">
        <f t="shared" si="383"/>
        <v>1.0036367691488024E-2</v>
      </c>
      <c r="I380" s="3">
        <f t="shared" si="383"/>
        <v>1.0036367630900407E-2</v>
      </c>
      <c r="J380" s="3">
        <f t="shared" si="383"/>
        <v>1.0036367025024265E-2</v>
      </c>
      <c r="K380" s="3">
        <f t="shared" si="383"/>
        <v>1.0036360966264856E-2</v>
      </c>
      <c r="L380" s="3">
        <f t="shared" si="383"/>
        <v>1.0036300378871927E-2</v>
      </c>
      <c r="M380" s="3">
        <f t="shared" si="383"/>
        <v>1.0035694525058694E-2</v>
      </c>
      <c r="N380" s="3">
        <f t="shared" si="383"/>
        <v>1.0029637998083863E-2</v>
      </c>
      <c r="O380" s="3">
        <f t="shared" si="383"/>
        <v>9.9692733955937911E-3</v>
      </c>
      <c r="P380" s="3">
        <f t="shared" si="383"/>
        <v>9.3852530280407968E-3</v>
      </c>
      <c r="Q380" s="3">
        <f t="shared" si="383"/>
        <v>5.1318125169126797E-3</v>
      </c>
      <c r="R380" s="3">
        <f t="shared" si="383"/>
        <v>1.2260798100805106E-5</v>
      </c>
      <c r="S380" s="3">
        <f t="shared" si="383"/>
        <v>7.4301628658414974E-32</v>
      </c>
      <c r="T380" s="3">
        <f t="shared" si="383"/>
        <v>4.963571223456911E-294</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1.0472179826501764E-2</v>
      </c>
      <c r="C381" s="3">
        <f t="shared" si="384"/>
        <v>1.0472179826501761E-2</v>
      </c>
      <c r="D381" s="3">
        <f t="shared" si="384"/>
        <v>1.0472179826501702E-2</v>
      </c>
      <c r="E381" s="3">
        <f t="shared" si="384"/>
        <v>1.0472179826501133E-2</v>
      </c>
      <c r="F381" s="3">
        <f t="shared" si="384"/>
        <v>1.0472179826495429E-2</v>
      </c>
      <c r="G381" s="3">
        <f t="shared" si="384"/>
        <v>1.04721798264384E-2</v>
      </c>
      <c r="H381" s="3">
        <f t="shared" si="384"/>
        <v>1.0472179825868117E-2</v>
      </c>
      <c r="I381" s="3">
        <f t="shared" si="384"/>
        <v>1.0472179820165281E-2</v>
      </c>
      <c r="J381" s="3">
        <f t="shared" si="384"/>
        <v>1.0472179763136906E-2</v>
      </c>
      <c r="K381" s="3">
        <f t="shared" si="384"/>
        <v>1.0472179192853192E-2</v>
      </c>
      <c r="L381" s="3">
        <f t="shared" si="384"/>
        <v>1.0472173490017734E-2</v>
      </c>
      <c r="M381" s="3">
        <f t="shared" si="384"/>
        <v>1.0472116461833981E-2</v>
      </c>
      <c r="N381" s="3">
        <f t="shared" si="384"/>
        <v>1.0471546197076843E-2</v>
      </c>
      <c r="O381" s="3">
        <f t="shared" si="384"/>
        <v>1.0465845257200604E-2</v>
      </c>
      <c r="P381" s="3">
        <f t="shared" si="384"/>
        <v>1.0409006284368321E-2</v>
      </c>
      <c r="Q381" s="3">
        <f t="shared" si="384"/>
        <v>9.8573207008525246E-3</v>
      </c>
      <c r="R381" s="3">
        <f t="shared" si="384"/>
        <v>5.7181433850650954E-3</v>
      </c>
      <c r="S381" s="3">
        <f t="shared" si="384"/>
        <v>2.4672695095374881E-5</v>
      </c>
      <c r="T381" s="3">
        <f t="shared" si="384"/>
        <v>5.5186404082437462E-29</v>
      </c>
      <c r="U381" s="3">
        <f t="shared" si="384"/>
        <v>1.7297651566342469E-265</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1.1455889373470318E-2</v>
      </c>
      <c r="C382" s="3">
        <f t="shared" si="385"/>
        <v>1.1455889373470318E-2</v>
      </c>
      <c r="D382" s="3">
        <f t="shared" si="385"/>
        <v>1.1455889373470311E-2</v>
      </c>
      <c r="E382" s="3">
        <f t="shared" si="385"/>
        <v>1.1455889373470255E-2</v>
      </c>
      <c r="F382" s="3">
        <f t="shared" si="385"/>
        <v>1.1455889373469691E-2</v>
      </c>
      <c r="G382" s="3">
        <f t="shared" si="385"/>
        <v>1.1455889373464066E-2</v>
      </c>
      <c r="H382" s="3">
        <f t="shared" si="385"/>
        <v>1.1455889373407788E-2</v>
      </c>
      <c r="I382" s="3">
        <f t="shared" si="385"/>
        <v>1.1455889372845019E-2</v>
      </c>
      <c r="J382" s="3">
        <f t="shared" si="385"/>
        <v>1.1455889367217342E-2</v>
      </c>
      <c r="K382" s="3">
        <f t="shared" si="385"/>
        <v>1.1455889310940553E-2</v>
      </c>
      <c r="L382" s="3">
        <f t="shared" si="385"/>
        <v>1.1455888748172698E-2</v>
      </c>
      <c r="M382" s="3">
        <f t="shared" si="385"/>
        <v>1.1455883120495662E-2</v>
      </c>
      <c r="N382" s="3">
        <f t="shared" si="385"/>
        <v>1.1455826843877347E-2</v>
      </c>
      <c r="O382" s="3">
        <f t="shared" si="385"/>
        <v>1.1455264092899094E-2</v>
      </c>
      <c r="P382" s="3">
        <f t="shared" si="385"/>
        <v>1.1449638103330714E-2</v>
      </c>
      <c r="Q382" s="3">
        <f t="shared" si="385"/>
        <v>1.1393529953106218E-2</v>
      </c>
      <c r="R382" s="3">
        <f t="shared" si="385"/>
        <v>1.0847350768532549E-2</v>
      </c>
      <c r="S382" s="3">
        <f t="shared" si="385"/>
        <v>6.6370874618706683E-3</v>
      </c>
      <c r="T382" s="3">
        <f t="shared" si="385"/>
        <v>4.8810820373151412E-5</v>
      </c>
      <c r="U382" s="3">
        <f t="shared" si="385"/>
        <v>2.2589247815409054E-26</v>
      </c>
      <c r="V382" s="3">
        <f t="shared" si="385"/>
        <v>1.0180248955364908E-239</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6.2948394662532018E-3</v>
      </c>
      <c r="C383" s="3">
        <f t="shared" si="386"/>
        <v>6.2948394662532018E-3</v>
      </c>
      <c r="D383" s="3">
        <f t="shared" si="386"/>
        <v>6.2948394662532018E-3</v>
      </c>
      <c r="E383" s="3">
        <f t="shared" si="386"/>
        <v>6.2948394662531992E-3</v>
      </c>
      <c r="F383" s="3">
        <f t="shared" si="386"/>
        <v>6.2948394662531715E-3</v>
      </c>
      <c r="G383" s="3">
        <f t="shared" si="386"/>
        <v>6.2948394662528913E-3</v>
      </c>
      <c r="H383" s="3">
        <f t="shared" si="386"/>
        <v>6.2948394662501028E-3</v>
      </c>
      <c r="I383" s="3">
        <f t="shared" si="386"/>
        <v>6.2948394662222067E-3</v>
      </c>
      <c r="J383" s="3">
        <f t="shared" si="386"/>
        <v>6.2948394659432536E-3</v>
      </c>
      <c r="K383" s="3">
        <f t="shared" si="386"/>
        <v>6.2948394631537194E-3</v>
      </c>
      <c r="L383" s="3">
        <f t="shared" si="386"/>
        <v>6.2948394352583736E-3</v>
      </c>
      <c r="M383" s="3">
        <f t="shared" si="386"/>
        <v>6.2948391563049325E-3</v>
      </c>
      <c r="N383" s="3">
        <f t="shared" si="386"/>
        <v>6.2948363667712001E-3</v>
      </c>
      <c r="O383" s="3">
        <f t="shared" si="386"/>
        <v>6.2948084715018565E-3</v>
      </c>
      <c r="P383" s="3">
        <f t="shared" si="386"/>
        <v>6.2945295256072401E-3</v>
      </c>
      <c r="Q383" s="3">
        <f t="shared" si="386"/>
        <v>6.2917407464316913E-3</v>
      </c>
      <c r="R383" s="3">
        <f t="shared" si="386"/>
        <v>6.2639208204110508E-3</v>
      </c>
      <c r="S383" s="3">
        <f t="shared" si="386"/>
        <v>5.992398164932718E-3</v>
      </c>
      <c r="T383" s="3">
        <f t="shared" si="386"/>
        <v>3.8471993646122947E-3</v>
      </c>
      <c r="U383" s="3">
        <f t="shared" si="386"/>
        <v>4.5770429970443693E-5</v>
      </c>
      <c r="V383" s="3">
        <f t="shared" si="386"/>
        <v>2.6000876665180437E-24</v>
      </c>
      <c r="W383" s="3">
        <f t="shared" si="386"/>
        <v>9.0995094640564944E-217</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5.5356903730511449E-3</v>
      </c>
      <c r="C384" s="3">
        <f t="shared" si="387"/>
        <v>5.5356903730511449E-3</v>
      </c>
      <c r="D384" s="3">
        <f t="shared" si="387"/>
        <v>5.5356903730511449E-3</v>
      </c>
      <c r="E384" s="3">
        <f t="shared" si="387"/>
        <v>5.5356903730511449E-3</v>
      </c>
      <c r="F384" s="3">
        <f t="shared" si="387"/>
        <v>5.5356903730511423E-3</v>
      </c>
      <c r="G384" s="3">
        <f t="shared" si="387"/>
        <v>5.5356903730511206E-3</v>
      </c>
      <c r="H384" s="3">
        <f t="shared" si="387"/>
        <v>5.5356903730508994E-3</v>
      </c>
      <c r="I384" s="3">
        <f t="shared" si="387"/>
        <v>5.5356903730486859E-3</v>
      </c>
      <c r="J384" s="3">
        <f t="shared" si="387"/>
        <v>5.5356903730265569E-3</v>
      </c>
      <c r="K384" s="3">
        <f t="shared" si="387"/>
        <v>5.5356903728052652E-3</v>
      </c>
      <c r="L384" s="3">
        <f t="shared" si="387"/>
        <v>5.5356903705923461E-3</v>
      </c>
      <c r="M384" s="3">
        <f t="shared" si="387"/>
        <v>5.5356903484631596E-3</v>
      </c>
      <c r="N384" s="3">
        <f t="shared" si="387"/>
        <v>5.5356901271712954E-3</v>
      </c>
      <c r="O384" s="3">
        <f t="shared" si="387"/>
        <v>5.5356879142531403E-3</v>
      </c>
      <c r="P384" s="3">
        <f t="shared" si="387"/>
        <v>5.5356657851202418E-3</v>
      </c>
      <c r="Q384" s="3">
        <f t="shared" si="387"/>
        <v>5.5354444986566182E-3</v>
      </c>
      <c r="R384" s="3">
        <f t="shared" si="387"/>
        <v>5.5332321204840896E-3</v>
      </c>
      <c r="S384" s="3">
        <f t="shared" si="387"/>
        <v>5.5111569132536885E-3</v>
      </c>
      <c r="T384" s="3">
        <f t="shared" si="387"/>
        <v>5.2951912060290214E-3</v>
      </c>
      <c r="U384" s="3">
        <f t="shared" si="387"/>
        <v>3.5503433159256637E-3</v>
      </c>
      <c r="V384" s="3">
        <f t="shared" si="387"/>
        <v>6.5186459498380028E-5</v>
      </c>
      <c r="W384" s="3">
        <f t="shared" si="387"/>
        <v>2.8381008208152547E-22</v>
      </c>
      <c r="X384" s="3">
        <f t="shared" si="387"/>
        <v>6.9459567649455225E-196</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2.9841994807754844E-3</v>
      </c>
      <c r="C385" s="3">
        <f t="shared" si="388"/>
        <v>2.9841994807754844E-3</v>
      </c>
      <c r="D385" s="3">
        <f t="shared" si="388"/>
        <v>2.9841994807754844E-3</v>
      </c>
      <c r="E385" s="3">
        <f t="shared" si="388"/>
        <v>2.9841994807754844E-3</v>
      </c>
      <c r="F385" s="3">
        <f t="shared" si="388"/>
        <v>2.9841994807754844E-3</v>
      </c>
      <c r="G385" s="3">
        <f t="shared" si="388"/>
        <v>2.9841994807754831E-3</v>
      </c>
      <c r="H385" s="3">
        <f t="shared" si="388"/>
        <v>2.9841994807754723E-3</v>
      </c>
      <c r="I385" s="3">
        <f t="shared" si="388"/>
        <v>2.9841994807753647E-3</v>
      </c>
      <c r="J385" s="3">
        <f t="shared" si="388"/>
        <v>2.9841994807742887E-3</v>
      </c>
      <c r="K385" s="3">
        <f t="shared" si="388"/>
        <v>2.9841994807635274E-3</v>
      </c>
      <c r="L385" s="3">
        <f t="shared" si="388"/>
        <v>2.9841994806559134E-3</v>
      </c>
      <c r="M385" s="3">
        <f t="shared" si="388"/>
        <v>2.9841994795797751E-3</v>
      </c>
      <c r="N385" s="3">
        <f t="shared" si="388"/>
        <v>2.9841994688183915E-3</v>
      </c>
      <c r="O385" s="3">
        <f t="shared" si="388"/>
        <v>2.9841993612045592E-3</v>
      </c>
      <c r="P385" s="3">
        <f t="shared" si="388"/>
        <v>2.9841982850664461E-3</v>
      </c>
      <c r="Q385" s="3">
        <f t="shared" si="388"/>
        <v>2.9841875237066602E-3</v>
      </c>
      <c r="R385" s="3">
        <f t="shared" si="388"/>
        <v>2.984079912243144E-3</v>
      </c>
      <c r="S385" s="3">
        <f t="shared" si="388"/>
        <v>2.9830040110140088E-3</v>
      </c>
      <c r="T385" s="3">
        <f t="shared" si="388"/>
        <v>2.9722663108784171E-3</v>
      </c>
      <c r="U385" s="3">
        <f t="shared" si="388"/>
        <v>2.8669923612484197E-3</v>
      </c>
      <c r="V385" s="3">
        <f t="shared" si="388"/>
        <v>1.9990087909257672E-3</v>
      </c>
      <c r="W385" s="3">
        <f t="shared" si="388"/>
        <v>5.4287067912712743E-5</v>
      </c>
      <c r="X385" s="3">
        <f t="shared" si="388"/>
        <v>1.1844403740647024E-20</v>
      </c>
      <c r="Y385" s="3">
        <f t="shared" si="388"/>
        <v>2.8952186893301167E-177</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1.1698557197945001E-3</v>
      </c>
      <c r="C386" s="3">
        <f t="shared" si="389"/>
        <v>1.1698557197945001E-3</v>
      </c>
      <c r="D386" s="3">
        <f t="shared" si="389"/>
        <v>1.1698557197945001E-3</v>
      </c>
      <c r="E386" s="3">
        <f t="shared" si="389"/>
        <v>1.1698557197945001E-3</v>
      </c>
      <c r="F386" s="3">
        <f t="shared" si="389"/>
        <v>1.1698557197945001E-3</v>
      </c>
      <c r="G386" s="3">
        <f t="shared" si="389"/>
        <v>1.1698557197945001E-3</v>
      </c>
      <c r="H386" s="3">
        <f t="shared" si="389"/>
        <v>1.1698557197944996E-3</v>
      </c>
      <c r="I386" s="3">
        <f t="shared" si="389"/>
        <v>1.1698557197944957E-3</v>
      </c>
      <c r="J386" s="3">
        <f t="shared" si="389"/>
        <v>1.1698557197944578E-3</v>
      </c>
      <c r="K386" s="3">
        <f t="shared" si="389"/>
        <v>1.1698557197940772E-3</v>
      </c>
      <c r="L386" s="3">
        <f t="shared" si="389"/>
        <v>1.1698557197902717E-3</v>
      </c>
      <c r="M386" s="3">
        <f t="shared" si="389"/>
        <v>1.169855719752216E-3</v>
      </c>
      <c r="N386" s="3">
        <f t="shared" si="389"/>
        <v>1.1698557193716595E-3</v>
      </c>
      <c r="O386" s="3">
        <f t="shared" si="389"/>
        <v>1.1698557155660945E-3</v>
      </c>
      <c r="P386" s="3">
        <f t="shared" si="389"/>
        <v>1.1698556775104447E-3</v>
      </c>
      <c r="Q386" s="3">
        <f t="shared" si="389"/>
        <v>1.1698552969540135E-3</v>
      </c>
      <c r="R386" s="3">
        <f t="shared" si="389"/>
        <v>1.1698514913965122E-3</v>
      </c>
      <c r="S386" s="3">
        <f t="shared" si="389"/>
        <v>1.1698134365023668E-3</v>
      </c>
      <c r="T386" s="3">
        <f t="shared" si="389"/>
        <v>1.1694329556395117E-3</v>
      </c>
      <c r="U386" s="3">
        <f t="shared" si="389"/>
        <v>1.1656349466839485E-3</v>
      </c>
      <c r="V386" s="3">
        <f t="shared" si="389"/>
        <v>1.1283267109458675E-3</v>
      </c>
      <c r="W386" s="3">
        <f t="shared" si="389"/>
        <v>8.1500067453500237E-4</v>
      </c>
      <c r="X386" s="3">
        <f t="shared" si="389"/>
        <v>3.1505687180677112E-5</v>
      </c>
      <c r="Y386" s="3">
        <f t="shared" si="389"/>
        <v>2.3480040445214145E-19</v>
      </c>
      <c r="Z386" s="3">
        <f t="shared" si="389"/>
        <v>1.2410740113674719E-160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4.0204305624187052E-4</v>
      </c>
      <c r="C387" s="3">
        <f t="shared" si="390"/>
        <v>4.0204305624187052E-4</v>
      </c>
      <c r="D387" s="3">
        <f t="shared" si="390"/>
        <v>4.0204305624187052E-4</v>
      </c>
      <c r="E387" s="3">
        <f t="shared" si="390"/>
        <v>4.0204305624187052E-4</v>
      </c>
      <c r="F387" s="3">
        <f t="shared" si="390"/>
        <v>4.0204305624187052E-4</v>
      </c>
      <c r="G387" s="3">
        <f t="shared" si="390"/>
        <v>4.0204305624187052E-4</v>
      </c>
      <c r="H387" s="3">
        <f t="shared" si="390"/>
        <v>4.0204305624187047E-4</v>
      </c>
      <c r="I387" s="3">
        <f t="shared" si="390"/>
        <v>4.0204305624187014E-4</v>
      </c>
      <c r="J387" s="3">
        <f t="shared" si="390"/>
        <v>4.0204305624186651E-4</v>
      </c>
      <c r="K387" s="3">
        <f t="shared" si="390"/>
        <v>4.0204305624183035E-4</v>
      </c>
      <c r="L387" s="3">
        <f t="shared" si="390"/>
        <v>4.0204305624146861E-4</v>
      </c>
      <c r="M387" s="3">
        <f t="shared" si="390"/>
        <v>4.0204305623785144E-4</v>
      </c>
      <c r="N387" s="3">
        <f t="shared" si="390"/>
        <v>4.0204305620167942E-4</v>
      </c>
      <c r="O387" s="3">
        <f t="shared" si="390"/>
        <v>4.0204305583995965E-4</v>
      </c>
      <c r="P387" s="3">
        <f t="shared" si="390"/>
        <v>4.0204305222276169E-4</v>
      </c>
      <c r="Q387" s="3">
        <f t="shared" si="390"/>
        <v>4.0204301605078417E-4</v>
      </c>
      <c r="R387" s="3">
        <f t="shared" si="390"/>
        <v>4.0204265433118762E-4</v>
      </c>
      <c r="S387" s="3">
        <f t="shared" si="390"/>
        <v>4.020390371531217E-4</v>
      </c>
      <c r="T387" s="3">
        <f t="shared" si="390"/>
        <v>4.0200286716232073E-4</v>
      </c>
      <c r="U387" s="3">
        <f t="shared" si="390"/>
        <v>4.0164134618055682E-4</v>
      </c>
      <c r="V387" s="3">
        <f t="shared" si="390"/>
        <v>3.9804396956779345E-4</v>
      </c>
      <c r="W387" s="3">
        <f t="shared" si="390"/>
        <v>3.6379556060588814E-4</v>
      </c>
      <c r="X387" s="3">
        <f t="shared" si="390"/>
        <v>1.4795200638685784E-4</v>
      </c>
      <c r="Y387" s="3">
        <f t="shared" si="390"/>
        <v>1.8312831469788202E-8</v>
      </c>
      <c r="Z387" s="3">
        <f t="shared" si="390"/>
        <v>1.5456170330993543E-47</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9.0650475367586036E-4</v>
      </c>
      <c r="C388" s="3">
        <f t="shared" si="391"/>
        <v>9.0650475367586036E-4</v>
      </c>
      <c r="D388" s="3">
        <f t="shared" si="391"/>
        <v>9.0650475367586036E-4</v>
      </c>
      <c r="E388" s="3">
        <f t="shared" si="391"/>
        <v>9.0650475367586036E-4</v>
      </c>
      <c r="F388" s="3">
        <f t="shared" si="391"/>
        <v>9.0650475367586036E-4</v>
      </c>
      <c r="G388" s="3">
        <f t="shared" si="391"/>
        <v>9.0650475367586036E-4</v>
      </c>
      <c r="H388" s="3">
        <f t="shared" si="391"/>
        <v>9.0650475367586036E-4</v>
      </c>
      <c r="I388" s="3">
        <f t="shared" si="391"/>
        <v>9.0650475367586025E-4</v>
      </c>
      <c r="J388" s="3">
        <f t="shared" si="391"/>
        <v>9.0650475367585949E-4</v>
      </c>
      <c r="K388" s="3">
        <f t="shared" si="391"/>
        <v>9.0650475367585125E-4</v>
      </c>
      <c r="L388" s="3">
        <f t="shared" si="391"/>
        <v>9.0650475367576983E-4</v>
      </c>
      <c r="M388" s="3">
        <f t="shared" si="391"/>
        <v>9.0650475367495419E-4</v>
      </c>
      <c r="N388" s="3">
        <f t="shared" si="391"/>
        <v>9.0650475366679838E-4</v>
      </c>
      <c r="O388" s="3">
        <f t="shared" si="391"/>
        <v>9.0650475358523971E-4</v>
      </c>
      <c r="P388" s="3">
        <f t="shared" si="391"/>
        <v>9.0650475276965361E-4</v>
      </c>
      <c r="Q388" s="3">
        <f t="shared" si="391"/>
        <v>9.0650474461379297E-4</v>
      </c>
      <c r="R388" s="3">
        <f t="shared" si="391"/>
        <v>9.0650466305519108E-4</v>
      </c>
      <c r="S388" s="3">
        <f t="shared" si="391"/>
        <v>9.0650384746957489E-4</v>
      </c>
      <c r="T388" s="3">
        <f t="shared" si="391"/>
        <v>9.0649569165377169E-4</v>
      </c>
      <c r="U388" s="3">
        <f t="shared" si="391"/>
        <v>9.0641413753141478E-4</v>
      </c>
      <c r="V388" s="3">
        <f t="shared" si="391"/>
        <v>9.0559899974098528E-4</v>
      </c>
      <c r="W388" s="3">
        <f t="shared" si="391"/>
        <v>8.9748783117432672E-4</v>
      </c>
      <c r="X388" s="3">
        <f t="shared" si="391"/>
        <v>8.2026638673499163E-4</v>
      </c>
      <c r="Y388" s="3">
        <f t="shared" si="391"/>
        <v>3.3359411392216981E-4</v>
      </c>
      <c r="Z388" s="3">
        <f t="shared" si="391"/>
        <v>4.1290773520139784E-8</v>
      </c>
      <c r="AA388" s="3">
        <f t="shared" si="391"/>
        <v>3.4849729801676566E-47</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1.833495697796037E-4</v>
      </c>
      <c r="C389" s="3">
        <f t="shared" si="392"/>
        <v>1.833495697796037E-4</v>
      </c>
      <c r="D389" s="3">
        <f t="shared" si="392"/>
        <v>1.833495697796037E-4</v>
      </c>
      <c r="E389" s="3">
        <f t="shared" si="392"/>
        <v>1.833495697796037E-4</v>
      </c>
      <c r="F389" s="3">
        <f t="shared" si="392"/>
        <v>1.833495697796037E-4</v>
      </c>
      <c r="G389" s="3">
        <f t="shared" si="392"/>
        <v>1.833495697796037E-4</v>
      </c>
      <c r="H389" s="3">
        <f t="shared" si="392"/>
        <v>1.833495697796037E-4</v>
      </c>
      <c r="I389" s="3">
        <f t="shared" si="392"/>
        <v>1.833495697796037E-4</v>
      </c>
      <c r="J389" s="3">
        <f t="shared" si="392"/>
        <v>1.8334956977960368E-4</v>
      </c>
      <c r="K389" s="3">
        <f t="shared" si="392"/>
        <v>1.8334956977960351E-4</v>
      </c>
      <c r="L389" s="3">
        <f t="shared" si="392"/>
        <v>1.8334956977960186E-4</v>
      </c>
      <c r="M389" s="3">
        <f t="shared" si="392"/>
        <v>1.8334956977958538E-4</v>
      </c>
      <c r="N389" s="3">
        <f t="shared" si="392"/>
        <v>1.8334956977942042E-4</v>
      </c>
      <c r="O389" s="3">
        <f t="shared" si="392"/>
        <v>1.833495697777708E-4</v>
      </c>
      <c r="P389" s="3">
        <f t="shared" si="392"/>
        <v>1.8334956976127478E-4</v>
      </c>
      <c r="Q389" s="3">
        <f t="shared" si="392"/>
        <v>1.8334956959631442E-4</v>
      </c>
      <c r="R389" s="3">
        <f t="shared" si="392"/>
        <v>1.8334956794671076E-4</v>
      </c>
      <c r="S389" s="3">
        <f t="shared" si="392"/>
        <v>1.8334955145067529E-4</v>
      </c>
      <c r="T389" s="3">
        <f t="shared" si="392"/>
        <v>1.8334938649040207E-4</v>
      </c>
      <c r="U389" s="3">
        <f t="shared" si="392"/>
        <v>1.8334773689583278E-4</v>
      </c>
      <c r="V389" s="3">
        <f t="shared" si="392"/>
        <v>1.8333124176639492E-4</v>
      </c>
      <c r="W389" s="3">
        <f t="shared" si="392"/>
        <v>1.8316637207036707E-4</v>
      </c>
      <c r="X389" s="3">
        <f t="shared" si="392"/>
        <v>1.81525807847095E-4</v>
      </c>
      <c r="Y389" s="3">
        <f t="shared" si="392"/>
        <v>1.6590700545438924E-4</v>
      </c>
      <c r="Z389" s="3">
        <f t="shared" si="392"/>
        <v>6.7472715416678908E-5</v>
      </c>
      <c r="AA389" s="3">
        <f t="shared" si="392"/>
        <v>8.3514681308463642E-9</v>
      </c>
      <c r="AB389" s="3">
        <f t="shared" si="392"/>
        <v>7.0487032088500184E-48</v>
      </c>
      <c r="AC389" s="3">
        <f t="shared" si="392"/>
        <v>0</v>
      </c>
      <c r="AD389" s="3">
        <f t="shared" si="392"/>
        <v>0</v>
      </c>
      <c r="AE389" s="3">
        <f t="shared" si="392"/>
        <v>0</v>
      </c>
      <c r="AF389" s="3">
        <f t="shared" si="392"/>
        <v>0</v>
      </c>
      <c r="AG389" s="3"/>
      <c r="AH389" s="3"/>
    </row>
    <row r="390" spans="1:34" x14ac:dyDescent="0.25">
      <c r="B390" s="3">
        <f t="shared" ref="B390:AF390" si="393">$C42*EXP(-B$363/$A42/EXP(-$H$126))</f>
        <v>0</v>
      </c>
      <c r="C390" s="3">
        <f t="shared" si="393"/>
        <v>0</v>
      </c>
      <c r="D390" s="3">
        <f t="shared" si="393"/>
        <v>0</v>
      </c>
      <c r="E390" s="3">
        <f t="shared" si="393"/>
        <v>0</v>
      </c>
      <c r="F390" s="3">
        <f t="shared" si="393"/>
        <v>0</v>
      </c>
      <c r="G390" s="3">
        <f t="shared" si="393"/>
        <v>0</v>
      </c>
      <c r="H390" s="3">
        <f t="shared" si="393"/>
        <v>0</v>
      </c>
      <c r="I390" s="3">
        <f t="shared" si="393"/>
        <v>0</v>
      </c>
      <c r="J390" s="3">
        <f t="shared" si="393"/>
        <v>0</v>
      </c>
      <c r="K390" s="3">
        <f t="shared" si="393"/>
        <v>0</v>
      </c>
      <c r="L390" s="3">
        <f t="shared" si="393"/>
        <v>0</v>
      </c>
      <c r="M390" s="3">
        <f t="shared" si="393"/>
        <v>0</v>
      </c>
      <c r="N390" s="3">
        <f t="shared" si="393"/>
        <v>0</v>
      </c>
      <c r="O390" s="3">
        <f t="shared" si="393"/>
        <v>0</v>
      </c>
      <c r="P390" s="3">
        <f t="shared" si="393"/>
        <v>0</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2.7582104941075727E-4</v>
      </c>
      <c r="C391" s="3">
        <f t="shared" si="394"/>
        <v>2.7582104941075727E-4</v>
      </c>
      <c r="D391" s="3">
        <f t="shared" si="394"/>
        <v>2.7582104941075727E-4</v>
      </c>
      <c r="E391" s="3">
        <f t="shared" si="394"/>
        <v>2.7582104941075727E-4</v>
      </c>
      <c r="F391" s="3">
        <f t="shared" si="394"/>
        <v>2.7582104941075727E-4</v>
      </c>
      <c r="G391" s="3">
        <f t="shared" si="394"/>
        <v>2.7582104941075727E-4</v>
      </c>
      <c r="H391" s="3">
        <f t="shared" si="394"/>
        <v>2.7582104941075727E-4</v>
      </c>
      <c r="I391" s="3">
        <f t="shared" si="394"/>
        <v>2.7582104941075727E-4</v>
      </c>
      <c r="J391" s="3">
        <f t="shared" si="394"/>
        <v>2.7582104941075727E-4</v>
      </c>
      <c r="K391" s="3">
        <f t="shared" si="394"/>
        <v>2.7582104941075727E-4</v>
      </c>
      <c r="L391" s="3">
        <f t="shared" si="394"/>
        <v>2.7582104941075721E-4</v>
      </c>
      <c r="M391" s="3">
        <f t="shared" si="394"/>
        <v>2.7582104941075699E-4</v>
      </c>
      <c r="N391" s="3">
        <f t="shared" si="394"/>
        <v>2.758210494107545E-4</v>
      </c>
      <c r="O391" s="3">
        <f t="shared" si="394"/>
        <v>2.7582104941072973E-4</v>
      </c>
      <c r="P391" s="3">
        <f t="shared" si="394"/>
        <v>2.7582104941048155E-4</v>
      </c>
      <c r="Q391" s="3">
        <f t="shared" si="394"/>
        <v>2.7582104940799998E-4</v>
      </c>
      <c r="R391" s="3">
        <f t="shared" si="394"/>
        <v>2.7582104938318422E-4</v>
      </c>
      <c r="S391" s="3">
        <f t="shared" si="394"/>
        <v>2.7582104913502687E-4</v>
      </c>
      <c r="T391" s="3">
        <f t="shared" si="394"/>
        <v>2.7582104665345355E-4</v>
      </c>
      <c r="U391" s="3">
        <f t="shared" si="394"/>
        <v>2.758210218377214E-4</v>
      </c>
      <c r="V391" s="3">
        <f t="shared" si="394"/>
        <v>2.758207736805224E-4</v>
      </c>
      <c r="W391" s="3">
        <f t="shared" si="394"/>
        <v>2.758182921208124E-4</v>
      </c>
      <c r="X391" s="3">
        <f t="shared" si="394"/>
        <v>2.7579347775164221E-4</v>
      </c>
      <c r="Y391" s="3">
        <f t="shared" si="394"/>
        <v>2.7554545681202888E-4</v>
      </c>
      <c r="Z391" s="3">
        <f t="shared" si="394"/>
        <v>2.7307748185996012E-4</v>
      </c>
      <c r="AA391" s="3">
        <f t="shared" si="394"/>
        <v>2.4958141109375216E-4</v>
      </c>
      <c r="AB391" s="3">
        <f t="shared" si="394"/>
        <v>1.015022571102429E-4</v>
      </c>
      <c r="AC391" s="3">
        <f t="shared" si="394"/>
        <v>1.2563491186477758E-8</v>
      </c>
      <c r="AD391" s="3">
        <f t="shared" si="394"/>
        <v>1.0603682999567419E-47</v>
      </c>
      <c r="AE391" s="3">
        <f t="shared" si="394"/>
        <v>0</v>
      </c>
      <c r="AF391" s="3">
        <f t="shared" si="394"/>
        <v>0</v>
      </c>
      <c r="AG391" s="3"/>
      <c r="AH391" s="3"/>
    </row>
    <row r="392" spans="1:34" x14ac:dyDescent="0.25">
      <c r="B392" s="3">
        <f t="shared" ref="B392:AF392" si="395">$C44*EXP(-B$363/$A44/EXP(-$H$126))</f>
        <v>2.4535081143819124E-4</v>
      </c>
      <c r="C392" s="3">
        <f t="shared" si="395"/>
        <v>2.4535081143819124E-4</v>
      </c>
      <c r="D392" s="3">
        <f t="shared" si="395"/>
        <v>2.4535081143819124E-4</v>
      </c>
      <c r="E392" s="3">
        <f t="shared" si="395"/>
        <v>2.4535081143819124E-4</v>
      </c>
      <c r="F392" s="3">
        <f t="shared" si="395"/>
        <v>2.4535081143819124E-4</v>
      </c>
      <c r="G392" s="3">
        <f t="shared" si="395"/>
        <v>2.4535081143819124E-4</v>
      </c>
      <c r="H392" s="3">
        <f t="shared" si="395"/>
        <v>2.4535081143819124E-4</v>
      </c>
      <c r="I392" s="3">
        <f t="shared" si="395"/>
        <v>2.4535081143819124E-4</v>
      </c>
      <c r="J392" s="3">
        <f t="shared" si="395"/>
        <v>2.4535081143819124E-4</v>
      </c>
      <c r="K392" s="3">
        <f t="shared" si="395"/>
        <v>2.4535081143819124E-4</v>
      </c>
      <c r="L392" s="3">
        <f t="shared" si="395"/>
        <v>2.4535081143819124E-4</v>
      </c>
      <c r="M392" s="3">
        <f t="shared" si="395"/>
        <v>2.4535081143819119E-4</v>
      </c>
      <c r="N392" s="3">
        <f t="shared" si="395"/>
        <v>2.4535081143819097E-4</v>
      </c>
      <c r="O392" s="3">
        <f t="shared" si="395"/>
        <v>2.453508114381888E-4</v>
      </c>
      <c r="P392" s="3">
        <f t="shared" si="395"/>
        <v>2.4535081143816674E-4</v>
      </c>
      <c r="Q392" s="3">
        <f t="shared" si="395"/>
        <v>2.45350811437946E-4</v>
      </c>
      <c r="R392" s="3">
        <f t="shared" si="395"/>
        <v>2.4535081143573856E-4</v>
      </c>
      <c r="S392" s="3">
        <f t="shared" si="395"/>
        <v>2.4535081141366421E-4</v>
      </c>
      <c r="T392" s="3">
        <f t="shared" si="395"/>
        <v>2.4535081119292108E-4</v>
      </c>
      <c r="U392" s="3">
        <f t="shared" si="395"/>
        <v>2.4535080898548974E-4</v>
      </c>
      <c r="V392" s="3">
        <f t="shared" si="395"/>
        <v>2.4535078691117731E-4</v>
      </c>
      <c r="W392" s="3">
        <f t="shared" si="395"/>
        <v>2.4535056616816197E-4</v>
      </c>
      <c r="X392" s="3">
        <f t="shared" si="395"/>
        <v>2.4534835874893209E-4</v>
      </c>
      <c r="Y392" s="3">
        <f t="shared" si="395"/>
        <v>2.4532628564891216E-4</v>
      </c>
      <c r="Z392" s="3">
        <f t="shared" si="395"/>
        <v>2.4510566384025113E-4</v>
      </c>
      <c r="AA392" s="3">
        <f t="shared" si="395"/>
        <v>2.4291032864595471E-4</v>
      </c>
      <c r="AB392" s="3">
        <f t="shared" si="395"/>
        <v>2.2200989323533719E-4</v>
      </c>
      <c r="AC392" s="3">
        <f t="shared" si="395"/>
        <v>9.0289197282108322E-5</v>
      </c>
      <c r="AD392" s="3">
        <f t="shared" si="395"/>
        <v>1.1175589258629885E-8</v>
      </c>
      <c r="AE392" s="3">
        <f t="shared" si="395"/>
        <v>9.4322831188378275E-48</v>
      </c>
      <c r="AF392" s="3">
        <f t="shared" si="395"/>
        <v>0</v>
      </c>
      <c r="AG392" s="3"/>
      <c r="AH392" s="3"/>
    </row>
    <row r="393" spans="1:34" x14ac:dyDescent="0.25">
      <c r="B393" s="3">
        <f t="shared" ref="B393:AF393" si="396">$C45*EXP(-B$363/$A45/EXP(-$H$126))</f>
        <v>0</v>
      </c>
      <c r="C393" s="3">
        <f t="shared" si="396"/>
        <v>0</v>
      </c>
      <c r="D393" s="3">
        <f t="shared" si="396"/>
        <v>0</v>
      </c>
      <c r="E393" s="3">
        <f t="shared" si="396"/>
        <v>0</v>
      </c>
      <c r="F393" s="3">
        <f t="shared" si="396"/>
        <v>0</v>
      </c>
      <c r="G393" s="3">
        <f t="shared" si="396"/>
        <v>0</v>
      </c>
      <c r="H393" s="3">
        <f t="shared" si="396"/>
        <v>0</v>
      </c>
      <c r="I393" s="3">
        <f t="shared" si="396"/>
        <v>0</v>
      </c>
      <c r="J393" s="3">
        <f t="shared" si="396"/>
        <v>0</v>
      </c>
      <c r="K393" s="3">
        <f t="shared" si="396"/>
        <v>0</v>
      </c>
      <c r="L393" s="3">
        <f t="shared" si="396"/>
        <v>0</v>
      </c>
      <c r="M393" s="3">
        <f t="shared" si="396"/>
        <v>0</v>
      </c>
      <c r="N393" s="3">
        <f t="shared" si="396"/>
        <v>0</v>
      </c>
      <c r="O393" s="3">
        <f t="shared" si="396"/>
        <v>0</v>
      </c>
      <c r="P393" s="3">
        <f t="shared" si="396"/>
        <v>0</v>
      </c>
      <c r="Q393" s="3">
        <f t="shared" si="396"/>
        <v>0</v>
      </c>
      <c r="R393" s="3">
        <f t="shared" si="396"/>
        <v>0</v>
      </c>
      <c r="S393" s="3">
        <f t="shared" si="396"/>
        <v>0</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1.7255643769382848E-4</v>
      </c>
      <c r="C394" s="3">
        <f t="shared" si="397"/>
        <v>1.7255643769382848E-4</v>
      </c>
      <c r="D394" s="3">
        <f t="shared" si="397"/>
        <v>1.7255643769382848E-4</v>
      </c>
      <c r="E394" s="3">
        <f t="shared" si="397"/>
        <v>1.7255643769382848E-4</v>
      </c>
      <c r="F394" s="3">
        <f t="shared" si="397"/>
        <v>1.7255643769382848E-4</v>
      </c>
      <c r="G394" s="3">
        <f t="shared" si="397"/>
        <v>1.7255643769382848E-4</v>
      </c>
      <c r="H394" s="3">
        <f t="shared" si="397"/>
        <v>1.7255643769382848E-4</v>
      </c>
      <c r="I394" s="3">
        <f t="shared" si="397"/>
        <v>1.7255643769382848E-4</v>
      </c>
      <c r="J394" s="3">
        <f t="shared" si="397"/>
        <v>1.7255643769382848E-4</v>
      </c>
      <c r="K394" s="3">
        <f t="shared" si="397"/>
        <v>1.7255643769382848E-4</v>
      </c>
      <c r="L394" s="3">
        <f t="shared" si="397"/>
        <v>1.7255643769382848E-4</v>
      </c>
      <c r="M394" s="3">
        <f t="shared" si="397"/>
        <v>1.7255643769382848E-4</v>
      </c>
      <c r="N394" s="3">
        <f t="shared" si="397"/>
        <v>1.7255643769382848E-4</v>
      </c>
      <c r="O394" s="3">
        <f t="shared" si="397"/>
        <v>1.7255643769382845E-4</v>
      </c>
      <c r="P394" s="3">
        <f t="shared" si="397"/>
        <v>1.7255643769382832E-4</v>
      </c>
      <c r="Q394" s="3">
        <f t="shared" si="397"/>
        <v>1.7255643769382675E-4</v>
      </c>
      <c r="R394" s="3">
        <f t="shared" si="397"/>
        <v>1.7255643769381124E-4</v>
      </c>
      <c r="S394" s="3">
        <f t="shared" si="397"/>
        <v>1.7255643769365598E-4</v>
      </c>
      <c r="T394" s="3">
        <f t="shared" si="397"/>
        <v>1.7255643769210349E-4</v>
      </c>
      <c r="U394" s="3">
        <f t="shared" si="397"/>
        <v>1.725564376765785E-4</v>
      </c>
      <c r="V394" s="3">
        <f t="shared" si="397"/>
        <v>1.7255643752132877E-4</v>
      </c>
      <c r="W394" s="3">
        <f t="shared" si="397"/>
        <v>1.7255643596883138E-4</v>
      </c>
      <c r="X394" s="3">
        <f t="shared" si="397"/>
        <v>1.7255642044385839E-4</v>
      </c>
      <c r="Y394" s="3">
        <f t="shared" si="397"/>
        <v>1.7255626519420528E-4</v>
      </c>
      <c r="Z394" s="3">
        <f t="shared" si="397"/>
        <v>1.7255471270535646E-4</v>
      </c>
      <c r="AA394" s="3">
        <f t="shared" si="397"/>
        <v>1.7253918858507348E-4</v>
      </c>
      <c r="AB394" s="3">
        <f t="shared" si="397"/>
        <v>1.723840241771917E-4</v>
      </c>
      <c r="AC394" s="3">
        <f t="shared" si="397"/>
        <v>1.7084003409029887E-4</v>
      </c>
      <c r="AD394" s="3">
        <f t="shared" si="397"/>
        <v>1.5614065461987613E-4</v>
      </c>
      <c r="AE394" s="3">
        <f t="shared" si="397"/>
        <v>6.3500838468434493E-5</v>
      </c>
      <c r="AF394" s="3">
        <f t="shared" si="397"/>
        <v>7.8598471319276395E-9</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0</v>
      </c>
      <c r="C396" s="3">
        <f t="shared" si="399"/>
        <v>0</v>
      </c>
      <c r="D396" s="3">
        <f t="shared" si="399"/>
        <v>0</v>
      </c>
      <c r="E396" s="3">
        <f t="shared" si="399"/>
        <v>0</v>
      </c>
      <c r="F396" s="3">
        <f t="shared" si="399"/>
        <v>0</v>
      </c>
      <c r="G396" s="3">
        <f t="shared" si="399"/>
        <v>0</v>
      </c>
      <c r="H396" s="3">
        <f t="shared" si="399"/>
        <v>0</v>
      </c>
      <c r="I396" s="3">
        <f t="shared" si="399"/>
        <v>0</v>
      </c>
      <c r="J396" s="3">
        <f t="shared" si="399"/>
        <v>0</v>
      </c>
      <c r="K396" s="3">
        <f t="shared" si="399"/>
        <v>0</v>
      </c>
      <c r="L396" s="3">
        <f t="shared" si="399"/>
        <v>0</v>
      </c>
      <c r="M396" s="3">
        <f t="shared" si="399"/>
        <v>0</v>
      </c>
      <c r="N396" s="3">
        <f t="shared" si="399"/>
        <v>0</v>
      </c>
      <c r="O396" s="3">
        <f t="shared" si="399"/>
        <v>0</v>
      </c>
      <c r="P396" s="3">
        <f t="shared" si="399"/>
        <v>0</v>
      </c>
      <c r="Q396" s="3">
        <f t="shared" si="399"/>
        <v>0</v>
      </c>
      <c r="R396" s="3">
        <f t="shared" si="399"/>
        <v>0</v>
      </c>
      <c r="S396" s="3">
        <f t="shared" si="399"/>
        <v>0</v>
      </c>
      <c r="T396" s="3">
        <f t="shared" si="399"/>
        <v>0</v>
      </c>
      <c r="U396" s="3">
        <f t="shared" si="399"/>
        <v>0</v>
      </c>
      <c r="V396" s="3">
        <f t="shared" si="399"/>
        <v>0</v>
      </c>
      <c r="W396" s="3">
        <f t="shared" si="399"/>
        <v>0</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3.1421443002823871E-4</v>
      </c>
      <c r="B397" s="80">
        <f>IF($A$64&lt;=B363,IF($B$64&gt;=B363,ABS((B365-B364)/B364),0),0)</f>
        <v>0</v>
      </c>
      <c r="C397" s="80">
        <f t="shared" ref="C397:AF397" si="400">IF($A$64&lt;=C363,IF($B$64&gt;=C363,ABS((C365-C364)/C364),0),0)</f>
        <v>0</v>
      </c>
      <c r="D397" s="80">
        <f t="shared" si="400"/>
        <v>0</v>
      </c>
      <c r="E397" s="80">
        <f t="shared" si="400"/>
        <v>0</v>
      </c>
      <c r="F397" s="80">
        <f t="shared" si="400"/>
        <v>0</v>
      </c>
      <c r="G397" s="80">
        <f t="shared" si="400"/>
        <v>0</v>
      </c>
      <c r="H397" s="80">
        <f t="shared" si="400"/>
        <v>0</v>
      </c>
      <c r="I397" s="80">
        <f t="shared" si="400"/>
        <v>0</v>
      </c>
      <c r="J397" s="80">
        <f t="shared" si="400"/>
        <v>0</v>
      </c>
      <c r="K397" s="80">
        <f t="shared" si="400"/>
        <v>0</v>
      </c>
      <c r="L397" s="80">
        <f t="shared" si="400"/>
        <v>2.340128171037561E-4</v>
      </c>
      <c r="M397" s="80">
        <f t="shared" si="400"/>
        <v>5.5860322906007697E-4</v>
      </c>
      <c r="N397" s="80">
        <f t="shared" si="400"/>
        <v>8.8658273201996614E-4</v>
      </c>
      <c r="O397" s="80">
        <f t="shared" si="400"/>
        <v>1.5166102414742276E-3</v>
      </c>
      <c r="P397" s="80">
        <f t="shared" si="400"/>
        <v>1.7250092474030241E-3</v>
      </c>
      <c r="Q397" s="80">
        <f t="shared" si="400"/>
        <v>1.6395447772810535E-3</v>
      </c>
      <c r="R397" s="80">
        <f t="shared" si="400"/>
        <v>1.1959506897083088E-3</v>
      </c>
      <c r="S397" s="80">
        <f t="shared" si="400"/>
        <v>7.8383688500039631E-4</v>
      </c>
      <c r="T397" s="80">
        <f t="shared" si="400"/>
        <v>2.0838005296778723E-4</v>
      </c>
      <c r="U397" s="80">
        <f t="shared" si="400"/>
        <v>2.956531434272346E-4</v>
      </c>
      <c r="V397" s="80">
        <f t="shared" si="400"/>
        <v>6.9646351542956614E-4</v>
      </c>
      <c r="W397" s="80">
        <f t="shared" si="400"/>
        <v>0</v>
      </c>
      <c r="X397" s="80">
        <f t="shared" si="400"/>
        <v>0</v>
      </c>
      <c r="Y397" s="80">
        <f t="shared" si="400"/>
        <v>0</v>
      </c>
      <c r="Z397" s="80">
        <f t="shared" si="400"/>
        <v>0</v>
      </c>
      <c r="AA397" s="80">
        <f t="shared" si="400"/>
        <v>0</v>
      </c>
      <c r="AB397" s="80">
        <f t="shared" si="400"/>
        <v>0</v>
      </c>
      <c r="AC397" s="80">
        <f t="shared" si="400"/>
        <v>0</v>
      </c>
      <c r="AD397" s="80">
        <f t="shared" si="400"/>
        <v>0</v>
      </c>
      <c r="AE397" s="80">
        <f t="shared" si="400"/>
        <v>0</v>
      </c>
      <c r="AF397" s="80">
        <f t="shared" si="400"/>
        <v>0</v>
      </c>
    </row>
    <row r="398" spans="1:34" x14ac:dyDescent="0.25">
      <c r="B398" s="21">
        <f>(B365-B364)^2</f>
        <v>4599.4168410936027</v>
      </c>
      <c r="C398" s="21">
        <f t="shared" ref="C398:AF398" si="401">(C365-C364)^2</f>
        <v>7700.1974559142036</v>
      </c>
      <c r="D398" s="21">
        <f t="shared" si="401"/>
        <v>537.15009200415591</v>
      </c>
      <c r="E398" s="21">
        <f t="shared" si="401"/>
        <v>14.213043340917874</v>
      </c>
      <c r="F398" s="21">
        <f t="shared" si="401"/>
        <v>0.22863134319219475</v>
      </c>
      <c r="G398" s="21">
        <f t="shared" si="401"/>
        <v>1.6563102909338167E-2</v>
      </c>
      <c r="H398" s="21">
        <f t="shared" si="401"/>
        <v>1.7155567413208793E-4</v>
      </c>
      <c r="I398" s="21">
        <f t="shared" si="401"/>
        <v>1.5601229562658822E-2</v>
      </c>
      <c r="J398" s="21">
        <f t="shared" si="401"/>
        <v>2.2149747005016939E-2</v>
      </c>
      <c r="K398" s="21">
        <f t="shared" si="401"/>
        <v>0.18166307761402214</v>
      </c>
      <c r="L398" s="21">
        <f t="shared" si="401"/>
        <v>0.20795800880422083</v>
      </c>
      <c r="M398" s="21">
        <f t="shared" si="401"/>
        <v>0.68613230532515257</v>
      </c>
      <c r="N398" s="21">
        <f t="shared" si="401"/>
        <v>0.89114845994843772</v>
      </c>
      <c r="O398" s="21">
        <f t="shared" si="401"/>
        <v>1.3147561923331186</v>
      </c>
      <c r="P398" s="21">
        <f t="shared" si="401"/>
        <v>0.98135621324699107</v>
      </c>
      <c r="Q398" s="21">
        <f t="shared" si="401"/>
        <v>0.59978197731683558</v>
      </c>
      <c r="R398" s="21">
        <f t="shared" si="401"/>
        <v>0.23433372476697423</v>
      </c>
      <c r="S398" s="21">
        <f t="shared" si="401"/>
        <v>6.7976390174908211E-2</v>
      </c>
      <c r="T398" s="21">
        <f t="shared" si="401"/>
        <v>3.1681110151138441E-3</v>
      </c>
      <c r="U398" s="21">
        <f t="shared" si="401"/>
        <v>4.6334828998797857E-3</v>
      </c>
      <c r="V398" s="21">
        <f t="shared" si="401"/>
        <v>1.9204571762359204E-2</v>
      </c>
      <c r="W398" s="21">
        <f t="shared" si="401"/>
        <v>1.1008248071594243E-2</v>
      </c>
      <c r="X398" s="21">
        <f t="shared" si="401"/>
        <v>7.4121615572810625E-4</v>
      </c>
      <c r="Y398" s="21">
        <f t="shared" si="401"/>
        <v>2.8626662458984336E-4</v>
      </c>
      <c r="Z398" s="21">
        <f t="shared" si="401"/>
        <v>2.1052222242056875E-5</v>
      </c>
      <c r="AA398" s="21">
        <f t="shared" si="401"/>
        <v>4.7762542888328229E-3</v>
      </c>
      <c r="AB398" s="21">
        <f t="shared" si="401"/>
        <v>6.0617777385835049E-2</v>
      </c>
      <c r="AC398" s="21">
        <f t="shared" si="401"/>
        <v>0.15603062304760854</v>
      </c>
      <c r="AD398" s="21">
        <f t="shared" si="401"/>
        <v>7.5822458453757666E-2</v>
      </c>
      <c r="AE398" s="21">
        <f t="shared" si="401"/>
        <v>3.5375151465381898E-3</v>
      </c>
      <c r="AF398" s="21">
        <f t="shared" si="401"/>
        <v>3.868995269365086E-4</v>
      </c>
      <c r="AG398" s="3"/>
      <c r="AH398" s="3"/>
    </row>
    <row r="399" spans="1:34" x14ac:dyDescent="0.25">
      <c r="A399" s="71">
        <f>SUM(B399:AF399)</f>
        <v>5.0104494375939916</v>
      </c>
      <c r="B399" s="60">
        <f>IF($A$64&lt;=B363,IF($B$64&gt;=B363,ABS(B398),0),0)</f>
        <v>0</v>
      </c>
      <c r="C399" s="60">
        <f t="shared" ref="C399" si="402">IF($A$64&lt;=C363,IF($B$64&gt;=C363,ABS(C398),0),0)</f>
        <v>0</v>
      </c>
      <c r="D399" s="60">
        <f t="shared" ref="D399" si="403">IF($A$64&lt;=D363,IF($B$64&gt;=D363,ABS(D398),0),0)</f>
        <v>0</v>
      </c>
      <c r="E399" s="60">
        <f t="shared" ref="E399" si="404">IF($A$64&lt;=E363,IF($B$64&gt;=E363,ABS(E398),0),0)</f>
        <v>0</v>
      </c>
      <c r="F399" s="60">
        <f t="shared" ref="F399" si="405">IF($A$64&lt;=F363,IF($B$64&gt;=F363,ABS(F398),0),0)</f>
        <v>0</v>
      </c>
      <c r="G399" s="60">
        <f t="shared" ref="G399" si="406">IF($A$64&lt;=G363,IF($B$64&gt;=G363,ABS(G398),0),0)</f>
        <v>0</v>
      </c>
      <c r="H399" s="60">
        <f t="shared" ref="H399" si="407">IF($A$64&lt;=H363,IF($B$64&gt;=H363,ABS(H398),0),0)</f>
        <v>0</v>
      </c>
      <c r="I399" s="60">
        <f t="shared" ref="I399" si="408">IF($A$64&lt;=I363,IF($B$64&gt;=I363,ABS(I398),0),0)</f>
        <v>0</v>
      </c>
      <c r="J399" s="60">
        <f t="shared" ref="J399" si="409">IF($A$64&lt;=J363,IF($B$64&gt;=J363,ABS(J398),0),0)</f>
        <v>0</v>
      </c>
      <c r="K399" s="60">
        <f t="shared" ref="K399" si="410">IF($A$64&lt;=K363,IF($B$64&gt;=K363,ABS(K398),0),0)</f>
        <v>0</v>
      </c>
      <c r="L399" s="60">
        <f t="shared" ref="L399" si="411">IF($A$64&lt;=L363,IF($B$64&gt;=L363,ABS(L398),0),0)</f>
        <v>0.20795800880422083</v>
      </c>
      <c r="M399" s="60">
        <f t="shared" ref="M399" si="412">IF($A$64&lt;=M363,IF($B$64&gt;=M363,ABS(M398),0),0)</f>
        <v>0.68613230532515257</v>
      </c>
      <c r="N399" s="60">
        <f t="shared" ref="N399" si="413">IF($A$64&lt;=N363,IF($B$64&gt;=N363,ABS(N398),0),0)</f>
        <v>0.89114845994843772</v>
      </c>
      <c r="O399" s="60">
        <f t="shared" ref="O399" si="414">IF($A$64&lt;=O363,IF($B$64&gt;=O363,ABS(O398),0),0)</f>
        <v>1.3147561923331186</v>
      </c>
      <c r="P399" s="60">
        <f t="shared" ref="P399" si="415">IF($A$64&lt;=P363,IF($B$64&gt;=P363,ABS(P398),0),0)</f>
        <v>0.98135621324699107</v>
      </c>
      <c r="Q399" s="60">
        <f t="shared" ref="Q399" si="416">IF($A$64&lt;=Q363,IF($B$64&gt;=Q363,ABS(Q398),0),0)</f>
        <v>0.59978197731683558</v>
      </c>
      <c r="R399" s="60">
        <f t="shared" ref="R399" si="417">IF($A$64&lt;=R363,IF($B$64&gt;=R363,ABS(R398),0),0)</f>
        <v>0.23433372476697423</v>
      </c>
      <c r="S399" s="60">
        <f t="shared" ref="S399" si="418">IF($A$64&lt;=S363,IF($B$64&gt;=S363,ABS(S398),0),0)</f>
        <v>6.7976390174908211E-2</v>
      </c>
      <c r="T399" s="60">
        <f t="shared" ref="T399" si="419">IF($A$64&lt;=T363,IF($B$64&gt;=T363,ABS(T398),0),0)</f>
        <v>3.1681110151138441E-3</v>
      </c>
      <c r="U399" s="60">
        <f t="shared" ref="U399" si="420">IF($A$64&lt;=U363,IF($B$64&gt;=U363,ABS(U398),0),0)</f>
        <v>4.6334828998797857E-3</v>
      </c>
      <c r="V399" s="60">
        <f t="shared" ref="V399" si="421">IF($A$64&lt;=V363,IF($B$64&gt;=V363,ABS(V398),0),0)</f>
        <v>1.9204571762359204E-2</v>
      </c>
      <c r="W399" s="60">
        <f t="shared" ref="W399" si="422">IF($A$64&lt;=W363,IF($B$64&gt;=W363,ABS(W398),0),0)</f>
        <v>0</v>
      </c>
      <c r="X399" s="60">
        <f t="shared" ref="X399" si="423">IF($A$64&lt;=X363,IF($B$64&gt;=X363,ABS(X398),0),0)</f>
        <v>0</v>
      </c>
      <c r="Y399" s="60">
        <f t="shared" ref="Y399" si="424">IF($A$64&lt;=Y363,IF($B$64&gt;=Y363,ABS(Y398),0),0)</f>
        <v>0</v>
      </c>
      <c r="Z399" s="60">
        <f t="shared" ref="Z399" si="425">IF($A$64&lt;=Z363,IF($B$64&gt;=Z363,ABS(Z398),0),0)</f>
        <v>0</v>
      </c>
      <c r="AA399" s="60">
        <f t="shared" ref="AA399" si="426">IF($A$64&lt;=AA363,IF($B$64&gt;=AA363,ABS(AA398),0),0)</f>
        <v>0</v>
      </c>
      <c r="AB399" s="60">
        <f t="shared" ref="AB399" si="427">IF($A$64&lt;=AB363,IF($B$64&gt;=AB363,ABS(AB398),0),0)</f>
        <v>0</v>
      </c>
      <c r="AC399" s="60">
        <f t="shared" ref="AC399" si="428">IF($A$64&lt;=AC363,IF($B$64&gt;=AC363,ABS(AC398),0),0)</f>
        <v>0</v>
      </c>
      <c r="AD399" s="60">
        <f t="shared" ref="AD399" si="429">IF($A$64&lt;=AD363,IF($B$64&gt;=AD363,ABS(AD398),0),0)</f>
        <v>0</v>
      </c>
      <c r="AE399" s="60">
        <f t="shared" ref="AE399" si="430">IF($A$64&lt;=AE363,IF($B$64&gt;=AE363,ABS(AE398),0),0)</f>
        <v>0</v>
      </c>
      <c r="AF399" s="60">
        <f t="shared" ref="AF399" si="431">IF($A$64&lt;=AF363,IF($B$64&gt;=AF363,ABS(AF398),0),0)</f>
        <v>0</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162</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-50</v>
      </c>
      <c r="C403" s="107">
        <f t="shared" ref="C403:H403" si="432">IF(C125=$B$2,0,C126)</f>
        <v>-41.485547632440884</v>
      </c>
      <c r="D403" s="107">
        <f t="shared" si="432"/>
        <v>-36.73997630133357</v>
      </c>
      <c r="E403" s="107">
        <f t="shared" si="432"/>
        <v>-34.144820425158869</v>
      </c>
      <c r="F403" s="107">
        <f t="shared" si="432"/>
        <v>-26.113282202449902</v>
      </c>
      <c r="G403" s="107">
        <f t="shared" si="432"/>
        <v>-13.439271440555542</v>
      </c>
      <c r="H403" s="107">
        <f t="shared" si="432"/>
        <v>0</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1.9287498479639179E-37</v>
      </c>
      <c r="C404" s="3">
        <f t="shared" ref="C404:H419" si="433">$A404/EXP(-C$403)</f>
        <v>9.6173536112391776E-34</v>
      </c>
      <c r="D404" s="3">
        <f t="shared" si="433"/>
        <v>1.1067028467487688E-31</v>
      </c>
      <c r="E404" s="3">
        <f t="shared" si="433"/>
        <v>1.482835257632964E-30</v>
      </c>
      <c r="F404" s="3">
        <f t="shared" si="433"/>
        <v>4.5618986773554561E-27</v>
      </c>
      <c r="G404" s="3">
        <f t="shared" si="433"/>
        <v>1.4567954372767252E-21</v>
      </c>
      <c r="H404" s="3">
        <f t="shared" si="433"/>
        <v>1.0000000000000001E-15</v>
      </c>
      <c r="I404" s="109">
        <f>Comparison!AL3</f>
        <v>1.0000000000000001E-15</v>
      </c>
      <c r="J404" s="3">
        <f>Comparison!AM3</f>
        <v>7093.1154116431162</v>
      </c>
      <c r="K404" s="3">
        <f>Comparison!AN3</f>
        <v>7031.9211529245395</v>
      </c>
      <c r="L404" s="3">
        <f>Comparison!AO3</f>
        <v>6992.3964680806075</v>
      </c>
      <c r="M404" s="3">
        <f>Comparison!AP3</f>
        <v>6951.7769139036336</v>
      </c>
      <c r="N404" s="3">
        <f>Comparison!AQ3</f>
        <v>6840.5863197092085</v>
      </c>
      <c r="O404" s="3">
        <f>Comparison!AR3</f>
        <v>5776.5900052436255</v>
      </c>
      <c r="P404" s="3">
        <f>Comparison!AS3</f>
        <v>4536.230397827354</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1.9287498479639179E-36</v>
      </c>
      <c r="C405" s="3">
        <f t="shared" si="433"/>
        <v>9.6173536112391776E-33</v>
      </c>
      <c r="D405" s="3">
        <f t="shared" si="433"/>
        <v>1.1067028467487688E-30</v>
      </c>
      <c r="E405" s="3">
        <f t="shared" si="433"/>
        <v>1.4828352576329638E-29</v>
      </c>
      <c r="F405" s="3">
        <f t="shared" si="433"/>
        <v>4.5618986773554558E-26</v>
      </c>
      <c r="G405" s="3">
        <f t="shared" si="433"/>
        <v>1.4567954372767249E-20</v>
      </c>
      <c r="H405" s="3">
        <f t="shared" si="433"/>
        <v>1E-14</v>
      </c>
      <c r="I405" s="109">
        <f>Comparison!AL4</f>
        <v>1E-14</v>
      </c>
      <c r="J405" s="3">
        <f>Comparison!AM4</f>
        <v>7093.186769557813</v>
      </c>
      <c r="K405" s="3">
        <f>Comparison!AN4</f>
        <v>7031.9907762783369</v>
      </c>
      <c r="L405" s="3">
        <f>Comparison!AO4</f>
        <v>6992.459052459466</v>
      </c>
      <c r="M405" s="3">
        <f>Comparison!AP4</f>
        <v>6950.7516447504031</v>
      </c>
      <c r="N405" s="3">
        <f>Comparison!AQ4</f>
        <v>6643.5965561721414</v>
      </c>
      <c r="O405" s="3">
        <f>Comparison!AR4</f>
        <v>5571.6920956359099</v>
      </c>
      <c r="P405" s="3">
        <f>Comparison!AS4</f>
        <v>4303.1205029931816</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1.9287498479639179E-35</v>
      </c>
      <c r="C406" s="3">
        <f t="shared" si="433"/>
        <v>9.6173536112391784E-32</v>
      </c>
      <c r="D406" s="3">
        <f t="shared" si="433"/>
        <v>1.1067028467487687E-29</v>
      </c>
      <c r="E406" s="3">
        <f t="shared" si="433"/>
        <v>1.4828352576329639E-28</v>
      </c>
      <c r="F406" s="3">
        <f t="shared" si="433"/>
        <v>4.5618986773554559E-25</v>
      </c>
      <c r="G406" s="3">
        <f t="shared" si="433"/>
        <v>1.456795437276725E-19</v>
      </c>
      <c r="H406" s="3">
        <f t="shared" si="433"/>
        <v>1E-13</v>
      </c>
      <c r="I406" s="109">
        <f>Comparison!AL5</f>
        <v>1E-13</v>
      </c>
      <c r="J406" s="3">
        <f>Comparison!AM5</f>
        <v>7093.1496241627792</v>
      </c>
      <c r="K406" s="3">
        <f>Comparison!AN5</f>
        <v>7031.9539299810422</v>
      </c>
      <c r="L406" s="3">
        <f>Comparison!AO5</f>
        <v>6992.3628853177524</v>
      </c>
      <c r="M406" s="3">
        <f>Comparison!AP5</f>
        <v>6940.1985301294053</v>
      </c>
      <c r="N406" s="3">
        <f>Comparison!AQ5</f>
        <v>6527.1577578820725</v>
      </c>
      <c r="O406" s="3">
        <f>Comparison!AR5</f>
        <v>5400.7646013667554</v>
      </c>
      <c r="P406" s="3">
        <f>Comparison!AS5</f>
        <v>4127.6064584710148</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1.928749847963918E-34</v>
      </c>
      <c r="C407" s="3">
        <f t="shared" si="433"/>
        <v>9.6173536112391777E-31</v>
      </c>
      <c r="D407" s="3">
        <f t="shared" si="433"/>
        <v>1.1067028467487687E-28</v>
      </c>
      <c r="E407" s="3">
        <f t="shared" si="433"/>
        <v>1.4828352576329639E-27</v>
      </c>
      <c r="F407" s="3">
        <f t="shared" si="433"/>
        <v>4.5618986773554556E-24</v>
      </c>
      <c r="G407" s="3">
        <f t="shared" si="433"/>
        <v>1.456795437276725E-18</v>
      </c>
      <c r="H407" s="3">
        <f t="shared" si="433"/>
        <v>9.9999999999999998E-13</v>
      </c>
      <c r="I407" s="109">
        <f>Comparison!AL6</f>
        <v>9.9999999999999998E-13</v>
      </c>
      <c r="J407" s="3">
        <f>Comparison!AM6</f>
        <v>7093.139849123485</v>
      </c>
      <c r="K407" s="3">
        <f>Comparison!AN6</f>
        <v>7031.9433621725511</v>
      </c>
      <c r="L407" s="3">
        <f>Comparison!AO6</f>
        <v>6991.7590094248426</v>
      </c>
      <c r="M407" s="3">
        <f>Comparison!AP6</f>
        <v>6859.1289652487367</v>
      </c>
      <c r="N407" s="3">
        <f>Comparison!AQ6</f>
        <v>6412.9995296962652</v>
      </c>
      <c r="O407" s="3">
        <f>Comparison!AR6</f>
        <v>5215.0678795321228</v>
      </c>
      <c r="P407" s="3">
        <f>Comparison!AS6</f>
        <v>3945.604356178083</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1.9287498479639178E-33</v>
      </c>
      <c r="C408" s="3">
        <f t="shared" si="433"/>
        <v>9.6173536112391767E-30</v>
      </c>
      <c r="D408" s="3">
        <f t="shared" si="433"/>
        <v>1.1067028467487687E-27</v>
      </c>
      <c r="E408" s="3">
        <f t="shared" si="433"/>
        <v>1.4828352576329639E-26</v>
      </c>
      <c r="F408" s="3">
        <f t="shared" si="433"/>
        <v>4.5618986773554556E-23</v>
      </c>
      <c r="G408" s="3">
        <f t="shared" si="433"/>
        <v>1.456795437276725E-17</v>
      </c>
      <c r="H408" s="3">
        <f t="shared" si="433"/>
        <v>9.9999999999999994E-12</v>
      </c>
      <c r="I408" s="109">
        <f>Comparison!AL7</f>
        <v>9.9999999999999994E-12</v>
      </c>
      <c r="J408" s="3">
        <f>Comparison!AM7</f>
        <v>7093.1370316171597</v>
      </c>
      <c r="K408" s="3">
        <f>Comparison!AN7</f>
        <v>7031.9306469370567</v>
      </c>
      <c r="L408" s="3">
        <f>Comparison!AO7</f>
        <v>6985.9675385002447</v>
      </c>
      <c r="M408" s="3">
        <f>Comparison!AP7</f>
        <v>6695.6616107202954</v>
      </c>
      <c r="N408" s="3">
        <f>Comparison!AQ7</f>
        <v>6286.8028992665704</v>
      </c>
      <c r="O408" s="3">
        <f>Comparison!AR7</f>
        <v>4985.425095489265</v>
      </c>
      <c r="P408" s="3">
        <f>Comparison!AS7</f>
        <v>3766.6240058114313</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1.9287498479639181E-32</v>
      </c>
      <c r="C409" s="3">
        <f t="shared" si="433"/>
        <v>9.6173536112391781E-29</v>
      </c>
      <c r="D409" s="3">
        <f t="shared" si="433"/>
        <v>1.1067028467487688E-26</v>
      </c>
      <c r="E409" s="3">
        <f t="shared" si="433"/>
        <v>1.4828352576329639E-25</v>
      </c>
      <c r="F409" s="3">
        <f t="shared" si="433"/>
        <v>4.5618986773554559E-22</v>
      </c>
      <c r="G409" s="3">
        <f t="shared" si="433"/>
        <v>1.4567954372767252E-16</v>
      </c>
      <c r="H409" s="3">
        <f t="shared" si="433"/>
        <v>1E-10</v>
      </c>
      <c r="I409" s="109">
        <f>Comparison!AL8</f>
        <v>1E-10</v>
      </c>
      <c r="J409" s="3">
        <f>Comparison!AM8</f>
        <v>7093.1361691156708</v>
      </c>
      <c r="K409" s="3">
        <f>Comparison!AN8</f>
        <v>7031.8305090006179</v>
      </c>
      <c r="L409" s="3">
        <f>Comparison!AO8</f>
        <v>6936.0316435873456</v>
      </c>
      <c r="M409" s="3">
        <f>Comparison!AP8</f>
        <v>6579.8912612434069</v>
      </c>
      <c r="N409" s="3">
        <f>Comparison!AQ8</f>
        <v>6151.4165633211096</v>
      </c>
      <c r="O409" s="3">
        <f>Comparison!AR8</f>
        <v>4758.3350912889036</v>
      </c>
      <c r="P409" s="3">
        <f>Comparison!AS8</f>
        <v>3551.9419942460731</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1.928749847963918E-31</v>
      </c>
      <c r="C410" s="3">
        <f t="shared" si="433"/>
        <v>9.6173536112391776E-28</v>
      </c>
      <c r="D410" s="3">
        <f t="shared" si="433"/>
        <v>1.1067028467487687E-25</v>
      </c>
      <c r="E410" s="3">
        <f t="shared" si="433"/>
        <v>1.482835257632964E-24</v>
      </c>
      <c r="F410" s="3">
        <f t="shared" si="433"/>
        <v>4.5618986773554565E-21</v>
      </c>
      <c r="G410" s="3">
        <f t="shared" si="433"/>
        <v>1.4567954372767251E-15</v>
      </c>
      <c r="H410" s="3">
        <f t="shared" si="433"/>
        <v>1.0000000000000001E-9</v>
      </c>
      <c r="I410" s="109">
        <f>Comparison!AL9</f>
        <v>1.0000000000000001E-9</v>
      </c>
      <c r="J410" s="3">
        <f>Comparison!AM9</f>
        <v>7093.1358816152215</v>
      </c>
      <c r="K410" s="3">
        <f>Comparison!AN9</f>
        <v>7030.8436925650376</v>
      </c>
      <c r="L410" s="3">
        <f>Comparison!AO9</f>
        <v>6767.3497232459458</v>
      </c>
      <c r="M410" s="3">
        <f>Comparison!AP9</f>
        <v>6466.0632255652681</v>
      </c>
      <c r="N410" s="3">
        <f>Comparison!AQ9</f>
        <v>5999.0572498672</v>
      </c>
      <c r="O410" s="3">
        <f>Comparison!AR9</f>
        <v>4565.5114420012915</v>
      </c>
      <c r="P410" s="3">
        <f>Comparison!AS9</f>
        <v>3318.4500658255338</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1.9287498479639181E-30</v>
      </c>
      <c r="C411" s="3">
        <f t="shared" si="433"/>
        <v>9.617353611239178E-27</v>
      </c>
      <c r="D411" s="3">
        <f t="shared" si="433"/>
        <v>1.1067028467487687E-24</v>
      </c>
      <c r="E411" s="3">
        <f t="shared" si="433"/>
        <v>1.4828352576329641E-23</v>
      </c>
      <c r="F411" s="3">
        <f t="shared" si="433"/>
        <v>4.5618986773554559E-20</v>
      </c>
      <c r="G411" s="3">
        <f t="shared" si="433"/>
        <v>1.456795437276725E-14</v>
      </c>
      <c r="H411" s="3">
        <f t="shared" si="433"/>
        <v>1E-8</v>
      </c>
      <c r="I411" s="109">
        <f>Comparison!AL10</f>
        <v>1E-8</v>
      </c>
      <c r="J411" s="3">
        <f>Comparison!AM10</f>
        <v>7093.135709114963</v>
      </c>
      <c r="K411" s="3">
        <f>Comparison!AN10</f>
        <v>7021.3347469085647</v>
      </c>
      <c r="L411" s="3">
        <f>Comparison!AO10</f>
        <v>6644.5309370841214</v>
      </c>
      <c r="M411" s="3">
        <f>Comparison!AP10</f>
        <v>6338.9884403076148</v>
      </c>
      <c r="N411" s="3">
        <f>Comparison!AQ10</f>
        <v>5834.1918541119712</v>
      </c>
      <c r="O411" s="3">
        <f>Comparison!AR10</f>
        <v>4384.874474223483</v>
      </c>
      <c r="P411" s="3">
        <f>Comparison!AS10</f>
        <v>3050.6755206683788</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1.9287498479639179E-29</v>
      </c>
      <c r="C412" s="3">
        <f t="shared" si="433"/>
        <v>9.6173536112391774E-26</v>
      </c>
      <c r="D412" s="3">
        <f t="shared" si="433"/>
        <v>1.1067028467487686E-23</v>
      </c>
      <c r="E412" s="3">
        <f t="shared" si="433"/>
        <v>1.482835257632964E-22</v>
      </c>
      <c r="F412" s="3">
        <f t="shared" si="433"/>
        <v>4.5618986773554561E-19</v>
      </c>
      <c r="G412" s="3">
        <f t="shared" si="433"/>
        <v>1.4567954372767249E-13</v>
      </c>
      <c r="H412" s="3">
        <f t="shared" si="433"/>
        <v>9.9999999999999995E-8</v>
      </c>
      <c r="I412" s="109">
        <f>Comparison!AL11</f>
        <v>9.9999999999999995E-8</v>
      </c>
      <c r="J412" s="3">
        <f>Comparison!AM11</f>
        <v>7093.1355366147118</v>
      </c>
      <c r="K412" s="3">
        <f>Comparison!AN11</f>
        <v>6946.0273669032786</v>
      </c>
      <c r="L412" s="3">
        <f>Comparison!AO11</f>
        <v>6532.7504586905397</v>
      </c>
      <c r="M412" s="3">
        <f>Comparison!AP11</f>
        <v>6203.5301972004399</v>
      </c>
      <c r="N412" s="3">
        <f>Comparison!AQ11</f>
        <v>5660.667941479277</v>
      </c>
      <c r="O412" s="3">
        <f>Comparison!AR11</f>
        <v>4203.1654341512503</v>
      </c>
      <c r="P412" s="3">
        <f>Comparison!AS11</f>
        <v>2745.1346410108995</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1.9287498479639178E-28</v>
      </c>
      <c r="C413" s="3">
        <f t="shared" si="433"/>
        <v>9.6173536112391779E-25</v>
      </c>
      <c r="D413" s="3">
        <f t="shared" si="433"/>
        <v>1.1067028467487686E-22</v>
      </c>
      <c r="E413" s="3">
        <f t="shared" si="433"/>
        <v>1.4828352576329639E-21</v>
      </c>
      <c r="F413" s="3">
        <f t="shared" si="433"/>
        <v>4.5618986773554553E-18</v>
      </c>
      <c r="G413" s="3">
        <f t="shared" si="433"/>
        <v>1.4567954372767251E-12</v>
      </c>
      <c r="H413" s="3">
        <f t="shared" si="433"/>
        <v>9.9999999999999995E-7</v>
      </c>
      <c r="I413" s="109">
        <f>Comparison!AL12</f>
        <v>9.9999999999999995E-7</v>
      </c>
      <c r="J413" s="3">
        <f>Comparison!AM12</f>
        <v>7093.1340991129555</v>
      </c>
      <c r="K413" s="3">
        <f>Comparison!AN12</f>
        <v>6777.7782322116691</v>
      </c>
      <c r="L413" s="3">
        <f>Comparison!AO12</f>
        <v>6406.2589516029093</v>
      </c>
      <c r="M413" s="3">
        <f>Comparison!AP12</f>
        <v>6050.6164561665273</v>
      </c>
      <c r="N413" s="3">
        <f>Comparison!AQ12</f>
        <v>5500.6338050295499</v>
      </c>
      <c r="O413" s="3">
        <f>Comparison!AR12</f>
        <v>4026.8171479490911</v>
      </c>
      <c r="P413" s="3">
        <f>Comparison!AS12</f>
        <v>2379.9691784471511</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1.9287498479639181E-27</v>
      </c>
      <c r="C414" s="3">
        <f t="shared" si="433"/>
        <v>9.6173536112391779E-24</v>
      </c>
      <c r="D414" s="3">
        <f t="shared" si="433"/>
        <v>1.1067028467487687E-21</v>
      </c>
      <c r="E414" s="3">
        <f t="shared" si="433"/>
        <v>1.4828352576329639E-20</v>
      </c>
      <c r="F414" s="3">
        <f t="shared" si="433"/>
        <v>4.5618986773554564E-17</v>
      </c>
      <c r="G414" s="3">
        <f t="shared" si="433"/>
        <v>1.4567954372767253E-11</v>
      </c>
      <c r="H414" s="3">
        <f t="shared" si="433"/>
        <v>1.0000000000000001E-5</v>
      </c>
      <c r="I414" s="109">
        <f>Comparison!AL13</f>
        <v>1.0000000000000001E-5</v>
      </c>
      <c r="J414" s="3">
        <f>Comparison!AM13</f>
        <v>7093.1198391270691</v>
      </c>
      <c r="K414" s="3">
        <f>Comparison!AN13</f>
        <v>6659.4311503256295</v>
      </c>
      <c r="L414" s="3">
        <f>Comparison!AO13</f>
        <v>6273.617616065887</v>
      </c>
      <c r="M414" s="3">
        <f>Comparison!AP13</f>
        <v>5884.895018012654</v>
      </c>
      <c r="N414" s="3">
        <f>Comparison!AQ13</f>
        <v>5316.0543139142828</v>
      </c>
      <c r="O414" s="3">
        <f>Comparison!AR13</f>
        <v>3842.8247437350828</v>
      </c>
      <c r="P414" s="3">
        <f>Comparison!AS13</f>
        <v>1948.7143373862357</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1.928749847963918E-26</v>
      </c>
      <c r="C415" s="3">
        <f t="shared" si="433"/>
        <v>9.6173536112391776E-23</v>
      </c>
      <c r="D415" s="3">
        <f t="shared" si="433"/>
        <v>1.1067028467487688E-20</v>
      </c>
      <c r="E415" s="3">
        <f t="shared" si="433"/>
        <v>1.4828352576329641E-19</v>
      </c>
      <c r="F415" s="3">
        <f t="shared" si="433"/>
        <v>4.5618986773554563E-16</v>
      </c>
      <c r="G415" s="3">
        <f t="shared" si="433"/>
        <v>1.456795437276725E-10</v>
      </c>
      <c r="H415" s="3">
        <f t="shared" si="433"/>
        <v>1E-4</v>
      </c>
      <c r="I415" s="109">
        <f>Comparison!AL14</f>
        <v>1E-4</v>
      </c>
      <c r="J415" s="3">
        <f>Comparison!AM14</f>
        <v>7092.9771274266232</v>
      </c>
      <c r="K415" s="3">
        <f>Comparison!AN14</f>
        <v>6544.645454565718</v>
      </c>
      <c r="L415" s="3">
        <f>Comparison!AO14</f>
        <v>6123.1895749079549</v>
      </c>
      <c r="M415" s="3">
        <f>Comparison!AP14</f>
        <v>5709.3519393565812</v>
      </c>
      <c r="N415" s="3">
        <f>Comparison!AQ14</f>
        <v>5094.9618199282804</v>
      </c>
      <c r="O415" s="3">
        <f>Comparison!AR14</f>
        <v>3637.9090125528774</v>
      </c>
      <c r="P415" s="3">
        <f>Comparison!AS14</f>
        <v>1482.8611668944652</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1.9287498479639179E-25</v>
      </c>
      <c r="C416" s="3">
        <f t="shared" si="433"/>
        <v>9.6173536112391776E-22</v>
      </c>
      <c r="D416" s="3">
        <f t="shared" si="433"/>
        <v>1.1067028467487687E-19</v>
      </c>
      <c r="E416" s="3">
        <f t="shared" si="433"/>
        <v>1.482835257632964E-18</v>
      </c>
      <c r="F416" s="3">
        <f t="shared" si="433"/>
        <v>4.5618986773554563E-15</v>
      </c>
      <c r="G416" s="3">
        <f t="shared" si="433"/>
        <v>1.4567954372767251E-9</v>
      </c>
      <c r="H416" s="3">
        <f t="shared" si="433"/>
        <v>1E-3</v>
      </c>
      <c r="I416" s="109">
        <f>Comparison!AL15</f>
        <v>1E-3</v>
      </c>
      <c r="J416" s="3">
        <f>Comparison!AM15</f>
        <v>7091.5625107943715</v>
      </c>
      <c r="K416" s="3">
        <f>Comparison!AN15</f>
        <v>6415.8365900058752</v>
      </c>
      <c r="L416" s="3">
        <f>Comparison!AO15</f>
        <v>5959.0875608576071</v>
      </c>
      <c r="M416" s="3">
        <f>Comparison!AP15</f>
        <v>5547.9132434192643</v>
      </c>
      <c r="N416" s="3">
        <f>Comparison!AQ15</f>
        <v>4859.6753740182503</v>
      </c>
      <c r="O416" s="3">
        <f>Comparison!AR15</f>
        <v>3407.0475124340101</v>
      </c>
      <c r="P416" s="3">
        <f>Comparison!AS15</f>
        <v>1064.7698916660522</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1.9287498479639181E-24</v>
      </c>
      <c r="C417" s="3">
        <f t="shared" si="433"/>
        <v>9.6173536112391783E-21</v>
      </c>
      <c r="D417" s="3">
        <f t="shared" si="433"/>
        <v>1.1067028467487688E-18</v>
      </c>
      <c r="E417" s="3">
        <f t="shared" si="433"/>
        <v>1.4828352576329639E-17</v>
      </c>
      <c r="F417" s="3">
        <f t="shared" si="433"/>
        <v>4.561898677355456E-14</v>
      </c>
      <c r="G417" s="3">
        <f t="shared" si="433"/>
        <v>1.4567954372767251E-8</v>
      </c>
      <c r="H417" s="3">
        <f t="shared" si="433"/>
        <v>0.01</v>
      </c>
      <c r="I417" s="109">
        <f>Comparison!AL16</f>
        <v>0.01</v>
      </c>
      <c r="J417" s="3">
        <f>Comparison!AM16</f>
        <v>7078.0585854387473</v>
      </c>
      <c r="K417" s="3">
        <f>Comparison!AN16</f>
        <v>6279.1797519689544</v>
      </c>
      <c r="L417" s="3">
        <f>Comparison!AO16</f>
        <v>5781.2083401997561</v>
      </c>
      <c r="M417" s="3">
        <f>Comparison!AP16</f>
        <v>5364.2356794540465</v>
      </c>
      <c r="N417" s="3">
        <f>Comparison!AQ16</f>
        <v>4653.8175879978271</v>
      </c>
      <c r="O417" s="3">
        <f>Comparison!AR16</f>
        <v>3145.7192687287707</v>
      </c>
      <c r="P417" s="3">
        <f>Comparison!AS16</f>
        <v>756.04671038027936</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1.9287498479639179E-23</v>
      </c>
      <c r="C418" s="3">
        <f t="shared" si="433"/>
        <v>9.6173536112391777E-20</v>
      </c>
      <c r="D418" s="3">
        <f t="shared" si="433"/>
        <v>1.1067028467487688E-17</v>
      </c>
      <c r="E418" s="3">
        <f t="shared" si="433"/>
        <v>1.4828352576329641E-16</v>
      </c>
      <c r="F418" s="3">
        <f t="shared" si="433"/>
        <v>4.561898677355456E-13</v>
      </c>
      <c r="G418" s="3">
        <f t="shared" si="433"/>
        <v>1.4567954372767251E-7</v>
      </c>
      <c r="H418" s="3">
        <f t="shared" si="433"/>
        <v>0.1</v>
      </c>
      <c r="I418" s="109">
        <f>Comparison!AL17</f>
        <v>0.1</v>
      </c>
      <c r="J418" s="3">
        <f>Comparison!AM17</f>
        <v>6980.1771345591078</v>
      </c>
      <c r="K418" s="3">
        <f>Comparison!AN17</f>
        <v>6124.6018825038309</v>
      </c>
      <c r="L418" s="3">
        <f>Comparison!AO17</f>
        <v>5618.3452185734377</v>
      </c>
      <c r="M418" s="3">
        <f>Comparison!AP17</f>
        <v>5142.9380897638539</v>
      </c>
      <c r="N418" s="3">
        <f>Comparison!AQ17</f>
        <v>4469.1753341299773</v>
      </c>
      <c r="O418" s="3">
        <f>Comparison!AR17</f>
        <v>2837.9758401657195</v>
      </c>
      <c r="P418" s="3">
        <f>Comparison!AS17</f>
        <v>574.27764486440731</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1.9287498479639181E-22</v>
      </c>
      <c r="C419" s="3">
        <f t="shared" si="433"/>
        <v>9.6173536112391773E-19</v>
      </c>
      <c r="D419" s="3">
        <f t="shared" si="433"/>
        <v>1.1067028467487687E-16</v>
      </c>
      <c r="E419" s="3">
        <f t="shared" si="433"/>
        <v>1.482835257632964E-15</v>
      </c>
      <c r="F419" s="3">
        <f t="shared" si="433"/>
        <v>4.5618986773554556E-12</v>
      </c>
      <c r="G419" s="3">
        <f t="shared" si="433"/>
        <v>1.4567954372767251E-6</v>
      </c>
      <c r="H419" s="3">
        <f t="shared" si="433"/>
        <v>1</v>
      </c>
      <c r="I419" s="109">
        <f>Comparison!AL18</f>
        <v>1</v>
      </c>
      <c r="J419" s="3">
        <f>Comparison!AM18</f>
        <v>6817.7458366168885</v>
      </c>
      <c r="K419" s="3">
        <f>Comparison!AN18</f>
        <v>5956.8287989294422</v>
      </c>
      <c r="L419" s="3">
        <f>Comparison!AO18</f>
        <v>5440.9922001853329</v>
      </c>
      <c r="M419" s="3">
        <f>Comparison!AP18</f>
        <v>4901.2536857987861</v>
      </c>
      <c r="N419" s="3">
        <f>Comparison!AQ18</f>
        <v>4267.9652571239076</v>
      </c>
      <c r="O419" s="3">
        <f>Comparison!AR18</f>
        <v>2426.1662837806571</v>
      </c>
      <c r="P419" s="3">
        <f>Comparison!AS18</f>
        <v>472.36033693576201</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1.9287498479639181E-21</v>
      </c>
      <c r="C420" s="3">
        <f t="shared" si="434"/>
        <v>9.6173536112391773E-18</v>
      </c>
      <c r="D420" s="3">
        <f t="shared" si="434"/>
        <v>1.1067028467487686E-15</v>
      </c>
      <c r="E420" s="3">
        <f t="shared" si="434"/>
        <v>1.482835257632964E-14</v>
      </c>
      <c r="F420" s="3">
        <f t="shared" si="434"/>
        <v>4.5618986773554561E-11</v>
      </c>
      <c r="G420" s="3">
        <f t="shared" si="434"/>
        <v>1.4567954372767249E-5</v>
      </c>
      <c r="H420" s="3">
        <f t="shared" si="434"/>
        <v>10</v>
      </c>
      <c r="I420" s="109">
        <f>Comparison!AL19</f>
        <v>10</v>
      </c>
      <c r="J420" s="3">
        <f>Comparison!AM19</f>
        <v>6700.2000319833087</v>
      </c>
      <c r="K420" s="3">
        <f>Comparison!AN19</f>
        <v>5777.56401011038</v>
      </c>
      <c r="L420" s="3">
        <f>Comparison!AO19</f>
        <v>5221.4874412485688</v>
      </c>
      <c r="M420" s="3">
        <f>Comparison!AP19</f>
        <v>4661.3568218837227</v>
      </c>
      <c r="N420" s="3">
        <f>Comparison!AQ19</f>
        <v>3976.7785402340392</v>
      </c>
      <c r="O420" s="3">
        <f>Comparison!AR19</f>
        <v>1854.808278855141</v>
      </c>
      <c r="P420" s="3">
        <f>Comparison!AS19</f>
        <v>404.76609252146119</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1.9287498479639181E-20</v>
      </c>
      <c r="C421" s="3">
        <f t="shared" si="434"/>
        <v>9.6173536112391779E-17</v>
      </c>
      <c r="D421" s="3">
        <f t="shared" si="434"/>
        <v>1.1067028467487687E-14</v>
      </c>
      <c r="E421" s="3">
        <f t="shared" si="434"/>
        <v>1.482835257632964E-13</v>
      </c>
      <c r="F421" s="3">
        <f t="shared" si="434"/>
        <v>4.5618986773554561E-10</v>
      </c>
      <c r="G421" s="3">
        <f t="shared" si="434"/>
        <v>1.4567954372767249E-4</v>
      </c>
      <c r="H421" s="3">
        <f t="shared" si="434"/>
        <v>100</v>
      </c>
      <c r="I421" s="109">
        <f>Comparison!AL20</f>
        <v>100</v>
      </c>
      <c r="J421" s="3">
        <f>Comparison!AM20</f>
        <v>6581.4875752007347</v>
      </c>
      <c r="K421" s="3">
        <f>Comparison!AN20</f>
        <v>5602.1564627366897</v>
      </c>
      <c r="L421" s="3">
        <f>Comparison!AO20</f>
        <v>4926.1795387850607</v>
      </c>
      <c r="M421" s="3">
        <f>Comparison!AP20</f>
        <v>4298.6774546472579</v>
      </c>
      <c r="N421" s="3">
        <f>Comparison!AQ20</f>
        <v>3445.6591436468279</v>
      </c>
      <c r="O421" s="3">
        <f>Comparison!AR20</f>
        <v>1269.173844412863</v>
      </c>
      <c r="P421" s="3">
        <f>Comparison!AS20</f>
        <v>332.62382454066642</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1.9287498479639179E-19</v>
      </c>
      <c r="C422" s="3">
        <f t="shared" si="434"/>
        <v>9.6173536112391771E-16</v>
      </c>
      <c r="D422" s="3">
        <f t="shared" si="434"/>
        <v>1.1067028467487687E-13</v>
      </c>
      <c r="E422" s="3">
        <f t="shared" si="434"/>
        <v>1.4828352576329639E-12</v>
      </c>
      <c r="F422" s="3">
        <f t="shared" si="434"/>
        <v>4.5618986773554557E-9</v>
      </c>
      <c r="G422" s="3">
        <f t="shared" si="434"/>
        <v>1.4567954372767251E-3</v>
      </c>
      <c r="H422" s="3">
        <f t="shared" si="434"/>
        <v>1000</v>
      </c>
      <c r="I422" s="109">
        <f>Comparison!AL21</f>
        <v>1000</v>
      </c>
      <c r="J422" s="3">
        <f>Comparison!AM21</f>
        <v>6449.3747740231202</v>
      </c>
      <c r="K422" s="3">
        <f>Comparison!AN21</f>
        <v>5348.811853446321</v>
      </c>
      <c r="L422" s="3">
        <f>Comparison!AO21</f>
        <v>4442.9821588725517</v>
      </c>
      <c r="M422" s="3">
        <f>Comparison!AP21</f>
        <v>3673.7236771243274</v>
      </c>
      <c r="N422" s="3">
        <f>Comparison!AQ21</f>
        <v>2839.3657389117534</v>
      </c>
      <c r="O422" s="3">
        <f>Comparison!AR21</f>
        <v>808.20803145416335</v>
      </c>
      <c r="P422" s="3">
        <f>Comparison!AS21</f>
        <v>270.11210763785351</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1.928749847963918E-18</v>
      </c>
      <c r="C423" s="3">
        <f t="shared" si="434"/>
        <v>9.6173536112391783E-15</v>
      </c>
      <c r="D423" s="3">
        <f t="shared" si="434"/>
        <v>1.1067028467487688E-12</v>
      </c>
      <c r="E423" s="3">
        <f t="shared" si="434"/>
        <v>1.482835257632964E-11</v>
      </c>
      <c r="F423" s="3">
        <f t="shared" si="434"/>
        <v>4.5618986773554562E-8</v>
      </c>
      <c r="G423" s="3">
        <f t="shared" si="434"/>
        <v>1.456795437276725E-2</v>
      </c>
      <c r="H423" s="3">
        <f t="shared" si="434"/>
        <v>10000</v>
      </c>
      <c r="I423" s="109">
        <f>Comparison!AL22</f>
        <v>10000</v>
      </c>
      <c r="J423" s="3">
        <f>Comparison!AM22</f>
        <v>6289.3605252793404</v>
      </c>
      <c r="K423" s="3">
        <f>Comparison!AN22</f>
        <v>4793.3449045957559</v>
      </c>
      <c r="L423" s="3">
        <f>Comparison!AO22</f>
        <v>3752.7744100380223</v>
      </c>
      <c r="M423" s="3">
        <f>Comparison!AP22</f>
        <v>3055.9581241953465</v>
      </c>
      <c r="N423" s="3">
        <f>Comparison!AQ22</f>
        <v>2338.5721090290958</v>
      </c>
      <c r="O423" s="3">
        <f>Comparison!AR22</f>
        <v>509.02880387480866</v>
      </c>
      <c r="P423" s="3">
        <f>Comparison!AS22</f>
        <v>230.23496622900356</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1.928749847963918E-17</v>
      </c>
      <c r="C424" s="3">
        <f t="shared" si="434"/>
        <v>9.617353611239178E-14</v>
      </c>
      <c r="D424" s="3">
        <f t="shared" si="434"/>
        <v>1.1067028467487688E-11</v>
      </c>
      <c r="E424" s="3">
        <f t="shared" si="434"/>
        <v>1.4828352576329638E-10</v>
      </c>
      <c r="F424" s="3">
        <f t="shared" si="434"/>
        <v>4.5618986773554558E-7</v>
      </c>
      <c r="G424" s="3">
        <f t="shared" si="434"/>
        <v>0.1456795437276725</v>
      </c>
      <c r="H424" s="3">
        <f t="shared" si="434"/>
        <v>100000</v>
      </c>
      <c r="I424" s="109">
        <f>Comparison!AL23</f>
        <v>100000</v>
      </c>
      <c r="J424" s="3">
        <f>Comparison!AM23</f>
        <v>6015.8011652173718</v>
      </c>
      <c r="K424" s="3">
        <f>Comparison!AN23</f>
        <v>4005.8829435497059</v>
      </c>
      <c r="L424" s="3">
        <f>Comparison!AO23</f>
        <v>3130.6377978974938</v>
      </c>
      <c r="M424" s="3">
        <f>Comparison!AP23</f>
        <v>2586.4007874245467</v>
      </c>
      <c r="N424" s="3">
        <f>Comparison!AQ23</f>
        <v>1960.3272335044344</v>
      </c>
      <c r="O424" s="3">
        <f>Comparison!AR23</f>
        <v>344.05387649356049</v>
      </c>
      <c r="P424" s="3">
        <f>Comparison!AS23</f>
        <v>198.97748766430533</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1.928749847963918E-16</v>
      </c>
      <c r="C425" s="3">
        <f t="shared" si="434"/>
        <v>9.6173536112391785E-13</v>
      </c>
      <c r="D425" s="3">
        <f t="shared" si="434"/>
        <v>1.1067028467487687E-10</v>
      </c>
      <c r="E425" s="3">
        <f t="shared" si="434"/>
        <v>1.4828352576329639E-9</v>
      </c>
      <c r="F425" s="3">
        <f t="shared" si="434"/>
        <v>4.5618986773554562E-6</v>
      </c>
      <c r="G425" s="3">
        <f t="shared" si="434"/>
        <v>1.4567954372767251</v>
      </c>
      <c r="H425" s="3">
        <f t="shared" si="434"/>
        <v>1000000</v>
      </c>
      <c r="I425" s="109">
        <f>Comparison!AL24</f>
        <v>1000000</v>
      </c>
      <c r="J425" s="3">
        <f>Comparison!AM24</f>
        <v>5393.4478275395559</v>
      </c>
      <c r="K425" s="3">
        <f>Comparison!AN24</f>
        <v>3346.4776601581179</v>
      </c>
      <c r="L425" s="3">
        <f>Comparison!AO24</f>
        <v>2685.7977977575347</v>
      </c>
      <c r="M425" s="3">
        <f>Comparison!AP24</f>
        <v>2247.3343211844494</v>
      </c>
      <c r="N425" s="3">
        <f>Comparison!AQ24</f>
        <v>1656.3185875611684</v>
      </c>
      <c r="O425" s="3">
        <f>Comparison!AR24</f>
        <v>262.73242624087396</v>
      </c>
      <c r="P425" s="3">
        <f>Comparison!AS24</f>
        <v>182.67861803771595</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1.9287498479639181E-15</v>
      </c>
      <c r="C426" s="3">
        <f t="shared" si="434"/>
        <v>9.6173536112391781E-12</v>
      </c>
      <c r="D426" s="3">
        <f t="shared" si="434"/>
        <v>1.1067028467487687E-9</v>
      </c>
      <c r="E426" s="3">
        <f t="shared" si="434"/>
        <v>1.482835257632964E-8</v>
      </c>
      <c r="F426" s="3">
        <f t="shared" si="434"/>
        <v>4.561898677355456E-5</v>
      </c>
      <c r="G426" s="3">
        <f t="shared" si="434"/>
        <v>14.56795437276725</v>
      </c>
      <c r="H426" s="3">
        <f t="shared" si="434"/>
        <v>10000000</v>
      </c>
      <c r="I426" s="109">
        <f>Comparison!AL25</f>
        <v>10000000</v>
      </c>
      <c r="J426" s="3">
        <f>Comparison!AM25</f>
        <v>4577.424969740212</v>
      </c>
      <c r="K426" s="3">
        <f>Comparison!AN25</f>
        <v>2892.1899665732253</v>
      </c>
      <c r="L426" s="3">
        <f>Comparison!AO25</f>
        <v>2368.346654493816</v>
      </c>
      <c r="M426" s="3">
        <f>Comparison!AP25</f>
        <v>1979.307169199863</v>
      </c>
      <c r="N426" s="3">
        <f>Comparison!AQ25</f>
        <v>1387.2108481854204</v>
      </c>
      <c r="O426" s="3">
        <f>Comparison!AR25</f>
        <v>222.939887660718</v>
      </c>
      <c r="P426" s="3">
        <f>Comparison!AS25</f>
        <v>174.62746722417066</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1.928749847963918E-14</v>
      </c>
      <c r="C427" s="3">
        <f t="shared" si="434"/>
        <v>9.6173536112391771E-11</v>
      </c>
      <c r="D427" s="3">
        <f t="shared" si="434"/>
        <v>1.1067028467487687E-8</v>
      </c>
      <c r="E427" s="3">
        <f t="shared" si="434"/>
        <v>1.4828352576329639E-7</v>
      </c>
      <c r="F427" s="3">
        <f t="shared" si="434"/>
        <v>4.561898677355456E-4</v>
      </c>
      <c r="G427" s="3">
        <f t="shared" si="434"/>
        <v>145.6795437276725</v>
      </c>
      <c r="H427" s="3">
        <f t="shared" si="434"/>
        <v>100000000</v>
      </c>
      <c r="I427" s="109">
        <f>Comparison!AL26</f>
        <v>100000000</v>
      </c>
      <c r="J427" s="3">
        <f>Comparison!AM26</f>
        <v>3914.6236771373719</v>
      </c>
      <c r="K427" s="3">
        <f>Comparison!AN26</f>
        <v>2569.6224142495339</v>
      </c>
      <c r="L427" s="3">
        <f>Comparison!AO26</f>
        <v>2132.4244867059297</v>
      </c>
      <c r="M427" s="3">
        <f>Comparison!AP26</f>
        <v>1753.9456058771568</v>
      </c>
      <c r="N427" s="3">
        <f>Comparison!AQ26</f>
        <v>1120.1049206759617</v>
      </c>
      <c r="O427" s="3">
        <f>Comparison!AR26</f>
        <v>201.32214117210117</v>
      </c>
      <c r="P427" s="3">
        <f>Comparison!AS26</f>
        <v>169.86894542912563</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1.9287498479639179E-13</v>
      </c>
      <c r="C428" s="3">
        <f t="shared" si="434"/>
        <v>9.6173536112391784E-10</v>
      </c>
      <c r="D428" s="3">
        <f t="shared" si="434"/>
        <v>1.1067028467487687E-7</v>
      </c>
      <c r="E428" s="3">
        <f t="shared" si="434"/>
        <v>1.4828352576329639E-6</v>
      </c>
      <c r="F428" s="3">
        <f t="shared" si="434"/>
        <v>4.5618986773554556E-3</v>
      </c>
      <c r="G428" s="3">
        <f t="shared" si="434"/>
        <v>1456.7954372767251</v>
      </c>
      <c r="H428" s="3">
        <f t="shared" si="434"/>
        <v>1000000000</v>
      </c>
      <c r="I428" s="109">
        <f>Comparison!AL27</f>
        <v>1000000000</v>
      </c>
      <c r="J428" s="3">
        <f>Comparison!AM27</f>
        <v>3439.215903424868</v>
      </c>
      <c r="K428" s="3">
        <f>Comparison!AN27</f>
        <v>2337.0503651981739</v>
      </c>
      <c r="L428" s="3">
        <f>Comparison!AO27</f>
        <v>1927.1689592855932</v>
      </c>
      <c r="M428" s="3">
        <f>Comparison!AP27</f>
        <v>1541.283272452644</v>
      </c>
      <c r="N428" s="3">
        <f>Comparison!AQ27</f>
        <v>849.29779427462438</v>
      </c>
      <c r="O428" s="3">
        <f>Comparison!AR27</f>
        <v>188.02569432355588</v>
      </c>
      <c r="P428" s="3">
        <f>Comparison!AS27</f>
        <v>166.84170745231376</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1.9287498479639181E-12</v>
      </c>
      <c r="C429" s="3">
        <f t="shared" si="434"/>
        <v>9.6173536112391772E-9</v>
      </c>
      <c r="D429" s="3">
        <f t="shared" si="434"/>
        <v>1.1067028467487687E-6</v>
      </c>
      <c r="E429" s="3">
        <f t="shared" si="434"/>
        <v>1.4828352576329639E-5</v>
      </c>
      <c r="F429" s="3">
        <f t="shared" si="434"/>
        <v>4.5618986773554561E-2</v>
      </c>
      <c r="G429" s="3">
        <f t="shared" si="434"/>
        <v>14567.95437276725</v>
      </c>
      <c r="H429" s="3">
        <f t="shared" si="434"/>
        <v>10000000000</v>
      </c>
      <c r="I429" s="109">
        <f>Comparison!AL28</f>
        <v>10000000000</v>
      </c>
      <c r="J429" s="3">
        <f>Comparison!AM28</f>
        <v>3078.9760704970804</v>
      </c>
      <c r="K429" s="3">
        <f>Comparison!AN28</f>
        <v>2151.250620328482</v>
      </c>
      <c r="L429" s="3">
        <f>Comparison!AO28</f>
        <v>1740.579877269425</v>
      </c>
      <c r="M429" s="3">
        <f>Comparison!AP28</f>
        <v>1325.7320252858156</v>
      </c>
      <c r="N429" s="3">
        <f>Comparison!AQ28</f>
        <v>602.02056954985051</v>
      </c>
      <c r="O429" s="3">
        <f>Comparison!AR28</f>
        <v>181.14617749166206</v>
      </c>
      <c r="P429" s="3">
        <f>Comparison!AS28</f>
        <v>166.12540478353452</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1.9287498479639181E-11</v>
      </c>
      <c r="C430" s="3">
        <f t="shared" si="434"/>
        <v>9.6173536112391778E-8</v>
      </c>
      <c r="D430" s="3">
        <f t="shared" si="434"/>
        <v>1.1067028467487688E-5</v>
      </c>
      <c r="E430" s="3">
        <f t="shared" si="434"/>
        <v>1.482835257632964E-4</v>
      </c>
      <c r="F430" s="3">
        <f t="shared" si="434"/>
        <v>0.4561898677355456</v>
      </c>
      <c r="G430" s="3">
        <f t="shared" si="434"/>
        <v>145679.54372767251</v>
      </c>
      <c r="H430" s="3">
        <f t="shared" si="434"/>
        <v>100000000000</v>
      </c>
      <c r="I430" s="109">
        <f>Comparison!AL29</f>
        <v>100000000000</v>
      </c>
      <c r="J430" s="3">
        <f>Comparison!AM29</f>
        <v>2798.5736498484516</v>
      </c>
      <c r="K430" s="3">
        <f>Comparison!AN29</f>
        <v>1990.2744047049448</v>
      </c>
      <c r="L430" s="3">
        <f>Comparison!AO29</f>
        <v>1552.3921804639763</v>
      </c>
      <c r="M430" s="3">
        <f>Comparison!AP29</f>
        <v>1090.3481138846798</v>
      </c>
      <c r="N430" s="3">
        <f>Comparison!AQ29</f>
        <v>414.55153000594095</v>
      </c>
      <c r="O430" s="3">
        <f>Comparison!AR29</f>
        <v>171.73287142228415</v>
      </c>
      <c r="P430" s="3">
        <f>Comparison!AS29</f>
        <v>165.25800429032441</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1.928749847963918E-10</v>
      </c>
      <c r="C431" s="3">
        <f t="shared" si="434"/>
        <v>9.6173536112391784E-7</v>
      </c>
      <c r="D431" s="3">
        <f t="shared" si="434"/>
        <v>1.1067028467487687E-4</v>
      </c>
      <c r="E431" s="3">
        <f t="shared" si="434"/>
        <v>1.4828352576329638E-3</v>
      </c>
      <c r="F431" s="3">
        <f t="shared" si="434"/>
        <v>4.5618986773554555</v>
      </c>
      <c r="G431" s="3">
        <f t="shared" si="434"/>
        <v>1456795.437276725</v>
      </c>
      <c r="H431" s="3">
        <f t="shared" si="434"/>
        <v>1000000000000</v>
      </c>
      <c r="I431" s="109">
        <f>Comparison!AL30</f>
        <v>1000000000000</v>
      </c>
      <c r="J431" s="3">
        <f>Comparison!AM30</f>
        <v>2590.4913778751102</v>
      </c>
      <c r="K431" s="3">
        <f>Comparison!AN30</f>
        <v>1828.3308494849296</v>
      </c>
      <c r="L431" s="3">
        <f>Comparison!AO30</f>
        <v>1355.3669215252155</v>
      </c>
      <c r="M431" s="3">
        <f>Comparison!AP30</f>
        <v>838.64271647474698</v>
      </c>
      <c r="N431" s="3">
        <f>Comparison!AQ30</f>
        <v>296.76424848335745</v>
      </c>
      <c r="O431" s="3">
        <f>Comparison!AR30</f>
        <v>164.88164851800227</v>
      </c>
      <c r="P431" s="3">
        <f>Comparison!AS30</f>
        <v>162.97529182821398</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1.928749847963918E-9</v>
      </c>
      <c r="C432" s="3">
        <f t="shared" si="434"/>
        <v>9.6173536112391784E-6</v>
      </c>
      <c r="D432" s="3">
        <f t="shared" si="434"/>
        <v>1.1067028467487687E-3</v>
      </c>
      <c r="E432" s="3">
        <f t="shared" si="434"/>
        <v>1.482835257632964E-2</v>
      </c>
      <c r="F432" s="3">
        <f t="shared" si="434"/>
        <v>45.61898677355456</v>
      </c>
      <c r="G432" s="3">
        <f t="shared" si="434"/>
        <v>14567954.372767251</v>
      </c>
      <c r="H432" s="3">
        <f t="shared" si="434"/>
        <v>10000000000000</v>
      </c>
      <c r="I432" s="109">
        <f>Comparison!AL31</f>
        <v>10000000000000</v>
      </c>
      <c r="J432" s="3">
        <f>Comparison!AM31</f>
        <v>2428.2171958860131</v>
      </c>
      <c r="K432" s="3">
        <f>Comparison!AN31</f>
        <v>1665.1765081389453</v>
      </c>
      <c r="L432" s="3">
        <f>Comparison!AO31</f>
        <v>1134.9160288600715</v>
      </c>
      <c r="M432" s="3">
        <f>Comparison!AP31</f>
        <v>600.54666630574377</v>
      </c>
      <c r="N432" s="3">
        <f>Comparison!AQ31</f>
        <v>236.5039430342818</v>
      </c>
      <c r="O432" s="3">
        <f>Comparison!AR31</f>
        <v>164.50146393142782</v>
      </c>
      <c r="P432" s="3">
        <f>Comparison!AS31</f>
        <v>162.91152498499585</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1.9287498479639179E-8</v>
      </c>
      <c r="C433" s="3">
        <f t="shared" si="434"/>
        <v>9.6173536112391774E-5</v>
      </c>
      <c r="D433" s="3">
        <f t="shared" si="434"/>
        <v>1.1067028467487687E-2</v>
      </c>
      <c r="E433" s="3">
        <f t="shared" si="434"/>
        <v>0.1482835257632964</v>
      </c>
      <c r="F433" s="3">
        <f t="shared" si="434"/>
        <v>456.18986773554559</v>
      </c>
      <c r="G433" s="3">
        <f t="shared" si="434"/>
        <v>145679543.72767249</v>
      </c>
      <c r="H433" s="3">
        <f t="shared" si="434"/>
        <v>100000000000000</v>
      </c>
      <c r="I433" s="109">
        <f>Comparison!AL32</f>
        <v>100000000000000</v>
      </c>
      <c r="J433" s="3">
        <f>Comparison!AM32</f>
        <v>2284.9023004500814</v>
      </c>
      <c r="K433" s="3">
        <f>Comparison!AN32</f>
        <v>1489.3314845424752</v>
      </c>
      <c r="L433" s="3">
        <f>Comparison!AO32</f>
        <v>892.49692017162795</v>
      </c>
      <c r="M433" s="3">
        <f>Comparison!AP32</f>
        <v>415.97655166325364</v>
      </c>
      <c r="N433" s="3">
        <f>Comparison!AQ32</f>
        <v>206.64782998877558</v>
      </c>
      <c r="O433" s="3">
        <f>Comparison!AR32</f>
        <v>163.00727748318997</v>
      </c>
      <c r="P433" s="3">
        <f>Comparison!AS32</f>
        <v>161.92883558935978</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1.9287498479639179E-7</v>
      </c>
      <c r="C434" s="3">
        <f t="shared" si="434"/>
        <v>9.6173536112391779E-4</v>
      </c>
      <c r="D434" s="3">
        <f t="shared" si="434"/>
        <v>0.11067028467487687</v>
      </c>
      <c r="E434" s="3">
        <f t="shared" si="434"/>
        <v>1.482835257632964</v>
      </c>
      <c r="F434" s="3">
        <f t="shared" si="434"/>
        <v>4561.8986773554561</v>
      </c>
      <c r="G434" s="3">
        <f t="shared" si="434"/>
        <v>1456795437.2767251</v>
      </c>
      <c r="H434" s="3">
        <f t="shared" si="434"/>
        <v>1000000000000000</v>
      </c>
      <c r="I434" s="109">
        <f>Comparison!AL33</f>
        <v>1000000000000000</v>
      </c>
      <c r="J434" s="3">
        <f>Comparison!AM33</f>
        <v>2162.351794570352</v>
      </c>
      <c r="K434" s="3">
        <f>Comparison!AN33</f>
        <v>1297.0734642842888</v>
      </c>
      <c r="L434" s="3">
        <f>Comparison!AO33</f>
        <v>651.2901745739025</v>
      </c>
      <c r="M434" s="3">
        <f>Comparison!AP33</f>
        <v>297.69240550814368</v>
      </c>
      <c r="N434" s="3">
        <f>Comparison!AQ33</f>
        <v>191.80670583863778</v>
      </c>
      <c r="O434" s="3">
        <f>Comparison!AR33</f>
        <v>162.92272722143832</v>
      </c>
      <c r="P434" s="3">
        <f>Comparison!AS33</f>
        <v>161.56401350859798</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-50</v>
      </c>
      <c r="M1" s="54">
        <v>1</v>
      </c>
      <c r="N1" s="56">
        <f>INDEX($H$217:$P$217,1,Q1)</f>
        <v>0.25229409235585415</v>
      </c>
      <c r="O1" s="11"/>
      <c r="P1" s="55">
        <v>1</v>
      </c>
      <c r="Q1" s="11">
        <v>2</v>
      </c>
    </row>
    <row r="2" spans="1:17" x14ac:dyDescent="0.25">
      <c r="A2" s="11">
        <f>'Mastercurve bestimmen'!M119</f>
        <v>0</v>
      </c>
      <c r="B2" s="11">
        <f>'Mastercurve bestimmen'!N119</f>
        <v>-41.485547632440884</v>
      </c>
      <c r="M2" s="54">
        <v>2</v>
      </c>
      <c r="N2" s="56">
        <f t="shared" ref="N2:N9" si="0">INDEX($H$217:$P$217,1,Q2)</f>
        <v>-2.1279925652768761E-2</v>
      </c>
      <c r="O2" s="11"/>
      <c r="P2" s="55">
        <v>2</v>
      </c>
      <c r="Q2" s="11">
        <f>Q1+1</f>
        <v>3</v>
      </c>
    </row>
    <row r="3" spans="1:17" x14ac:dyDescent="0.25">
      <c r="A3" s="11">
        <f>'Mastercurve bestimmen'!M120</f>
        <v>25</v>
      </c>
      <c r="B3" s="11">
        <f>'Mastercurve bestimmen'!N120</f>
        <v>-36.73997630133357</v>
      </c>
      <c r="M3" s="54">
        <v>3</v>
      </c>
      <c r="N3" s="56">
        <f t="shared" si="0"/>
        <v>-9.8621384284693124E-4</v>
      </c>
      <c r="O3" s="11"/>
      <c r="P3" s="55">
        <v>3</v>
      </c>
      <c r="Q3" s="11">
        <f t="shared" ref="Q3:Q8" si="1">Q2+1</f>
        <v>4</v>
      </c>
    </row>
    <row r="4" spans="1:17" x14ac:dyDescent="0.25">
      <c r="A4" s="11">
        <f>'Mastercurve bestimmen'!M121</f>
        <v>50</v>
      </c>
      <c r="B4" s="11">
        <f>'Mastercurve bestimmen'!N121</f>
        <v>-34.144820425158869</v>
      </c>
      <c r="M4" s="54">
        <v>4</v>
      </c>
      <c r="N4" s="56">
        <f t="shared" si="0"/>
        <v>-2.0071790963070958E-5</v>
      </c>
      <c r="O4" s="11"/>
      <c r="P4" s="55">
        <v>4</v>
      </c>
      <c r="Q4" s="11">
        <f t="shared" si="1"/>
        <v>5</v>
      </c>
    </row>
    <row r="5" spans="1:17" x14ac:dyDescent="0.25">
      <c r="A5" s="11">
        <f>'Mastercurve bestimmen'!M122</f>
        <v>80</v>
      </c>
      <c r="B5" s="11">
        <f>'Mastercurve bestimmen'!N122</f>
        <v>-26.113282202449902</v>
      </c>
      <c r="M5" s="54">
        <v>5</v>
      </c>
      <c r="N5" s="56">
        <f t="shared" si="0"/>
        <v>-2.1469487091422046E-7</v>
      </c>
      <c r="O5" s="11"/>
      <c r="P5" s="55">
        <v>5</v>
      </c>
      <c r="Q5" s="11">
        <f t="shared" si="1"/>
        <v>6</v>
      </c>
    </row>
    <row r="6" spans="1:17" x14ac:dyDescent="0.25">
      <c r="A6" s="11">
        <f>'Mastercurve bestimmen'!M123</f>
        <v>125</v>
      </c>
      <c r="B6" s="11">
        <f>'Mastercurve bestimmen'!N123</f>
        <v>-13.439271440555542</v>
      </c>
      <c r="M6" s="54">
        <v>6</v>
      </c>
      <c r="N6" s="56">
        <f t="shared" si="0"/>
        <v>-1.2472439537554644E-9</v>
      </c>
      <c r="O6" s="11"/>
      <c r="P6" s="55">
        <v>6</v>
      </c>
      <c r="Q6" s="11">
        <f t="shared" si="1"/>
        <v>7</v>
      </c>
    </row>
    <row r="7" spans="1:17" x14ac:dyDescent="0.25">
      <c r="A7" s="11">
        <f>'Mastercurve bestimmen'!M124</f>
        <v>160</v>
      </c>
      <c r="B7" s="11">
        <f>'Mastercurve bestimmen'!N124</f>
        <v>0</v>
      </c>
      <c r="M7" s="54">
        <v>7</v>
      </c>
      <c r="N7" s="56">
        <f t="shared" si="0"/>
        <v>-3.7214198368059006E-12</v>
      </c>
      <c r="O7" s="11"/>
      <c r="P7" s="55">
        <v>7</v>
      </c>
      <c r="Q7" s="11">
        <f t="shared" si="1"/>
        <v>8</v>
      </c>
    </row>
    <row r="8" spans="1:17" x14ac:dyDescent="0.25">
      <c r="A8" s="11"/>
      <c r="B8" s="11"/>
      <c r="M8" s="54">
        <v>8</v>
      </c>
      <c r="N8" s="56">
        <f t="shared" si="0"/>
        <v>-4.4671646722082778E-15</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135</v>
      </c>
      <c r="H12">
        <v>8</v>
      </c>
      <c r="I12" t="s">
        <v>136</v>
      </c>
    </row>
    <row r="13" spans="1:17" x14ac:dyDescent="0.25">
      <c r="A13" s="11"/>
      <c r="B13" s="11"/>
    </row>
    <row r="14" spans="1:17" x14ac:dyDescent="0.25">
      <c r="A14" s="11" t="s">
        <v>132</v>
      </c>
      <c r="B14" s="11" t="s">
        <v>133</v>
      </c>
      <c r="E14" s="11" t="s">
        <v>132</v>
      </c>
      <c r="F14" s="11" t="s">
        <v>134</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-50</v>
      </c>
      <c r="E15" s="11">
        <f>A15-'Mastercurve bestimmen'!$B$2</f>
        <v>-200</v>
      </c>
      <c r="F15" s="11">
        <f>B15</f>
        <v>-50</v>
      </c>
      <c r="G15" s="11"/>
      <c r="H15" s="11">
        <f>IF($H$12&gt;=H$14,$E15^H$14,0)</f>
        <v>2.56E+18</v>
      </c>
      <c r="I15" s="11">
        <f t="shared" ref="I15:O30" si="3">IF($H$12&gt;=I$14,$E15^I$14,0)</f>
        <v>-1.28E+16</v>
      </c>
      <c r="J15" s="11">
        <f t="shared" si="3"/>
        <v>64000000000000</v>
      </c>
      <c r="K15" s="11">
        <f t="shared" si="3"/>
        <v>-320000000000</v>
      </c>
      <c r="L15" s="11">
        <f t="shared" si="3"/>
        <v>1600000000</v>
      </c>
      <c r="M15" s="11">
        <f t="shared" si="3"/>
        <v>-8000000</v>
      </c>
      <c r="N15" s="11">
        <f t="shared" si="3"/>
        <v>40000</v>
      </c>
      <c r="O15" s="11">
        <f t="shared" si="3"/>
        <v>-200</v>
      </c>
      <c r="P15" s="11">
        <v>0</v>
      </c>
    </row>
    <row r="16" spans="1:17" x14ac:dyDescent="0.25">
      <c r="A16" s="11">
        <f>A15+1</f>
        <v>-39</v>
      </c>
      <c r="B16" s="11">
        <v>-49.86023661599851</v>
      </c>
      <c r="E16" s="11">
        <f>A16-'Mastercurve bestimmen'!$B$2</f>
        <v>-199</v>
      </c>
      <c r="F16" s="11">
        <f t="shared" ref="F16:F79" si="4">B16</f>
        <v>-49.86023661599851</v>
      </c>
      <c r="G16" s="11"/>
      <c r="H16" s="11">
        <f t="shared" ref="H16:O47" si="5">IF($H$12&gt;=H$14,$E16^H$14,0)</f>
        <v>2.4593741915531182E+18</v>
      </c>
      <c r="I16" s="11">
        <f t="shared" si="3"/>
        <v>-1.23586642791614E+16</v>
      </c>
      <c r="J16" s="11">
        <f t="shared" si="3"/>
        <v>62103840598801</v>
      </c>
      <c r="K16" s="11">
        <f t="shared" si="3"/>
        <v>-312079600999</v>
      </c>
      <c r="L16" s="11">
        <f t="shared" si="3"/>
        <v>1568239201</v>
      </c>
      <c r="M16" s="11">
        <f t="shared" si="3"/>
        <v>-7880599</v>
      </c>
      <c r="N16" s="11">
        <f t="shared" si="3"/>
        <v>39601</v>
      </c>
      <c r="O16" s="11">
        <f t="shared" si="3"/>
        <v>-199</v>
      </c>
      <c r="P16" s="11">
        <f>P15</f>
        <v>0</v>
      </c>
    </row>
    <row r="17" spans="1:16" x14ac:dyDescent="0.25">
      <c r="A17" s="11">
        <f t="shared" ref="A17:A80" si="6">A16+1</f>
        <v>-38</v>
      </c>
      <c r="B17" s="11">
        <v>-49.720198943347164</v>
      </c>
      <c r="E17" s="11">
        <f>A17-'Mastercurve bestimmen'!$B$2</f>
        <v>-198</v>
      </c>
      <c r="F17" s="11">
        <f t="shared" si="4"/>
        <v>-49.720198943347164</v>
      </c>
      <c r="G17" s="11"/>
      <c r="H17" s="11">
        <f t="shared" si="5"/>
        <v>2.3622264177354752E+18</v>
      </c>
      <c r="I17" s="11">
        <f t="shared" si="3"/>
        <v>-1.1930436453209472E+16</v>
      </c>
      <c r="J17" s="11">
        <f t="shared" si="3"/>
        <v>60254729561664</v>
      </c>
      <c r="K17" s="11">
        <f t="shared" si="3"/>
        <v>-304316815968</v>
      </c>
      <c r="L17" s="11">
        <f t="shared" si="3"/>
        <v>1536953616</v>
      </c>
      <c r="M17" s="11">
        <f t="shared" si="3"/>
        <v>-7762392</v>
      </c>
      <c r="N17" s="11">
        <f t="shared" si="3"/>
        <v>39204</v>
      </c>
      <c r="O17" s="11">
        <f t="shared" si="3"/>
        <v>-198</v>
      </c>
      <c r="P17" s="11">
        <f t="shared" ref="P17:P80" si="7">P16</f>
        <v>0</v>
      </c>
    </row>
    <row r="18" spans="1:16" x14ac:dyDescent="0.25">
      <c r="A18" s="11">
        <f t="shared" si="6"/>
        <v>-37</v>
      </c>
      <c r="B18" s="11">
        <v>-49.579612693396101</v>
      </c>
      <c r="E18" s="11">
        <f>A18-'Mastercurve bestimmen'!$B$2</f>
        <v>-197</v>
      </c>
      <c r="F18" s="11">
        <f t="shared" si="4"/>
        <v>-49.579612693396101</v>
      </c>
      <c r="G18" s="11"/>
      <c r="H18" s="11">
        <f t="shared" si="5"/>
        <v>2.2684531239489874E+18</v>
      </c>
      <c r="I18" s="11">
        <f t="shared" si="3"/>
        <v>-1.1514990476898412E+16</v>
      </c>
      <c r="J18" s="11">
        <f t="shared" si="3"/>
        <v>58451728309129</v>
      </c>
      <c r="K18" s="11">
        <f t="shared" si="3"/>
        <v>-296709280757</v>
      </c>
      <c r="L18" s="11">
        <f t="shared" si="3"/>
        <v>1506138481</v>
      </c>
      <c r="M18" s="11">
        <f t="shared" si="3"/>
        <v>-7645373</v>
      </c>
      <c r="N18" s="11">
        <f t="shared" si="3"/>
        <v>38809</v>
      </c>
      <c r="O18" s="11">
        <f t="shared" si="3"/>
        <v>-197</v>
      </c>
      <c r="P18" s="11">
        <f t="shared" si="7"/>
        <v>0</v>
      </c>
    </row>
    <row r="19" spans="1:16" x14ac:dyDescent="0.25">
      <c r="A19" s="11">
        <f t="shared" si="6"/>
        <v>-36</v>
      </c>
      <c r="B19" s="11">
        <v>-49.438203577495457</v>
      </c>
      <c r="E19" s="11">
        <f>A19-'Mastercurve bestimmen'!$B$2</f>
        <v>-196</v>
      </c>
      <c r="F19" s="11">
        <f t="shared" si="4"/>
        <v>-49.438203577495457</v>
      </c>
      <c r="G19" s="11"/>
      <c r="H19" s="11">
        <f t="shared" si="5"/>
        <v>2.1779533378093711E+18</v>
      </c>
      <c r="I19" s="11">
        <f t="shared" si="3"/>
        <v>-1.1112006825558016E+16</v>
      </c>
      <c r="J19" s="11">
        <f t="shared" si="3"/>
        <v>56693912375296</v>
      </c>
      <c r="K19" s="11">
        <f t="shared" si="3"/>
        <v>-289254654976</v>
      </c>
      <c r="L19" s="11">
        <f t="shared" si="3"/>
        <v>1475789056</v>
      </c>
      <c r="M19" s="11">
        <f t="shared" si="3"/>
        <v>-7529536</v>
      </c>
      <c r="N19" s="11">
        <f t="shared" si="3"/>
        <v>38416</v>
      </c>
      <c r="O19" s="11">
        <f t="shared" si="3"/>
        <v>-196</v>
      </c>
      <c r="P19" s="11">
        <f t="shared" si="7"/>
        <v>0</v>
      </c>
    </row>
    <row r="20" spans="1:16" x14ac:dyDescent="0.25">
      <c r="A20" s="11">
        <f t="shared" si="6"/>
        <v>-35</v>
      </c>
      <c r="B20" s="11">
        <v>-49.295697306995372</v>
      </c>
      <c r="E20" s="11">
        <f>A20-'Mastercurve bestimmen'!$B$2</f>
        <v>-195</v>
      </c>
      <c r="F20" s="11">
        <f t="shared" si="4"/>
        <v>-49.295697306995372</v>
      </c>
      <c r="G20" s="11"/>
      <c r="H20" s="11">
        <f t="shared" si="5"/>
        <v>2.0906286173753907E+18</v>
      </c>
      <c r="I20" s="11">
        <f t="shared" si="3"/>
        <v>-1.0721172396796876E+16</v>
      </c>
      <c r="J20" s="11">
        <f t="shared" si="3"/>
        <v>54980371265625</v>
      </c>
      <c r="K20" s="11">
        <f t="shared" si="3"/>
        <v>-281950621875</v>
      </c>
      <c r="L20" s="11">
        <f t="shared" si="3"/>
        <v>1445900625</v>
      </c>
      <c r="M20" s="11">
        <f t="shared" si="3"/>
        <v>-7414875</v>
      </c>
      <c r="N20" s="11">
        <f t="shared" si="3"/>
        <v>38025</v>
      </c>
      <c r="O20" s="11">
        <f t="shared" si="3"/>
        <v>-195</v>
      </c>
      <c r="P20" s="11">
        <f t="shared" si="7"/>
        <v>0</v>
      </c>
    </row>
    <row r="21" spans="1:16" x14ac:dyDescent="0.25">
      <c r="A21" s="11">
        <f t="shared" si="6"/>
        <v>-34</v>
      </c>
      <c r="B21" s="11">
        <v>-49.151819593245996</v>
      </c>
      <c r="E21" s="11">
        <f>A21-'Mastercurve bestimmen'!$B$2</f>
        <v>-194</v>
      </c>
      <c r="F21" s="11">
        <f t="shared" si="4"/>
        <v>-49.151819593245996</v>
      </c>
      <c r="G21" s="11"/>
      <c r="H21" s="11">
        <f t="shared" si="5"/>
        <v>2.006383000160502E+18</v>
      </c>
      <c r="I21" s="11">
        <f t="shared" si="3"/>
        <v>-1.0342180413198464E+16</v>
      </c>
      <c r="J21" s="11">
        <f t="shared" si="3"/>
        <v>53310208315456</v>
      </c>
      <c r="K21" s="11">
        <f t="shared" si="3"/>
        <v>-274794888224</v>
      </c>
      <c r="L21" s="11">
        <f t="shared" si="3"/>
        <v>1416468496</v>
      </c>
      <c r="M21" s="11">
        <f t="shared" si="3"/>
        <v>-7301384</v>
      </c>
      <c r="N21" s="11">
        <f t="shared" si="3"/>
        <v>37636</v>
      </c>
      <c r="O21" s="11">
        <f t="shared" si="3"/>
        <v>-194</v>
      </c>
      <c r="P21" s="11">
        <f t="shared" si="7"/>
        <v>0</v>
      </c>
    </row>
    <row r="22" spans="1:16" x14ac:dyDescent="0.25">
      <c r="A22" s="11">
        <f t="shared" si="6"/>
        <v>-33</v>
      </c>
      <c r="B22">
        <v>-49.00629614759746</v>
      </c>
      <c r="E22" s="11">
        <f>A22-'Mastercurve bestimmen'!$B$2</f>
        <v>-193</v>
      </c>
      <c r="F22" s="11">
        <f t="shared" si="4"/>
        <v>-49.00629614759746</v>
      </c>
      <c r="G22" s="11"/>
      <c r="H22" s="11">
        <f t="shared" si="5"/>
        <v>1.925122952918976E+18</v>
      </c>
      <c r="I22" s="11">
        <f t="shared" si="3"/>
        <v>-9974730326005056</v>
      </c>
      <c r="J22" s="11">
        <f t="shared" si="3"/>
        <v>51682540549249</v>
      </c>
      <c r="K22" s="11">
        <f t="shared" si="3"/>
        <v>-267785184193</v>
      </c>
      <c r="L22" s="11">
        <f t="shared" si="3"/>
        <v>1387488001</v>
      </c>
      <c r="M22" s="11">
        <f t="shared" si="3"/>
        <v>-7189057</v>
      </c>
      <c r="N22" s="11">
        <f t="shared" si="3"/>
        <v>37249</v>
      </c>
      <c r="O22" s="11">
        <f t="shared" si="3"/>
        <v>-193</v>
      </c>
      <c r="P22" s="11">
        <f t="shared" si="7"/>
        <v>0</v>
      </c>
    </row>
    <row r="23" spans="1:16" x14ac:dyDescent="0.25">
      <c r="A23" s="11">
        <f t="shared" si="6"/>
        <v>-32</v>
      </c>
      <c r="B23">
        <v>-48.85885268139991</v>
      </c>
      <c r="E23" s="11">
        <f>A23-'Mastercurve bestimmen'!$B$2</f>
        <v>-192</v>
      </c>
      <c r="F23" s="11">
        <f t="shared" si="4"/>
        <v>-48.85885268139991</v>
      </c>
      <c r="G23" s="11"/>
      <c r="H23" s="11">
        <f t="shared" si="5"/>
        <v>1.846757322198614E+18</v>
      </c>
      <c r="I23" s="11">
        <f t="shared" si="3"/>
        <v>-9618527719784448</v>
      </c>
      <c r="J23" s="11">
        <f t="shared" si="3"/>
        <v>50096498540544</v>
      </c>
      <c r="K23" s="11">
        <f t="shared" si="3"/>
        <v>-260919263232</v>
      </c>
      <c r="L23" s="11">
        <f t="shared" si="3"/>
        <v>1358954496</v>
      </c>
      <c r="M23" s="11">
        <f t="shared" si="3"/>
        <v>-7077888</v>
      </c>
      <c r="N23" s="11">
        <f t="shared" si="3"/>
        <v>36864</v>
      </c>
      <c r="O23" s="11">
        <f t="shared" si="3"/>
        <v>-192</v>
      </c>
      <c r="P23" s="11">
        <f t="shared" si="7"/>
        <v>0</v>
      </c>
    </row>
    <row r="24" spans="1:16" x14ac:dyDescent="0.25">
      <c r="A24" s="11">
        <f t="shared" si="6"/>
        <v>-31</v>
      </c>
      <c r="B24">
        <v>-48.709214906003496</v>
      </c>
      <c r="E24" s="11">
        <f>A24-'Mastercurve bestimmen'!$B$2</f>
        <v>-191</v>
      </c>
      <c r="F24" s="11">
        <f t="shared" si="4"/>
        <v>-48.709214906003496</v>
      </c>
      <c r="G24" s="11"/>
      <c r="H24" s="11">
        <f t="shared" si="5"/>
        <v>1.7711972856522163E+18</v>
      </c>
      <c r="I24" s="11">
        <f t="shared" si="3"/>
        <v>-9273284218074432</v>
      </c>
      <c r="J24" s="11">
        <f t="shared" si="3"/>
        <v>48551226272641</v>
      </c>
      <c r="K24" s="11">
        <f t="shared" si="3"/>
        <v>-254194901951</v>
      </c>
      <c r="L24" s="11">
        <f t="shared" si="3"/>
        <v>1330863361</v>
      </c>
      <c r="M24" s="11">
        <f t="shared" si="3"/>
        <v>-6967871</v>
      </c>
      <c r="N24" s="11">
        <f t="shared" si="3"/>
        <v>36481</v>
      </c>
      <c r="O24" s="11">
        <f t="shared" si="3"/>
        <v>-191</v>
      </c>
      <c r="P24" s="11">
        <f t="shared" si="7"/>
        <v>0</v>
      </c>
    </row>
    <row r="25" spans="1:16" x14ac:dyDescent="0.25">
      <c r="A25" s="11">
        <f t="shared" si="6"/>
        <v>-30</v>
      </c>
      <c r="B25">
        <v>-48.557108532758335</v>
      </c>
      <c r="E25" s="11">
        <f>A25-'Mastercurve bestimmen'!$B$2</f>
        <v>-190</v>
      </c>
      <c r="F25" s="11">
        <f t="shared" si="4"/>
        <v>-48.557108532758335</v>
      </c>
      <c r="G25" s="11"/>
      <c r="H25" s="11">
        <f t="shared" si="5"/>
        <v>1.6983563041E+18</v>
      </c>
      <c r="I25" s="11">
        <f t="shared" si="3"/>
        <v>-8938717390000000</v>
      </c>
      <c r="J25" s="11">
        <f t="shared" si="3"/>
        <v>47045881000000</v>
      </c>
      <c r="K25" s="11">
        <f t="shared" si="3"/>
        <v>-247609900000</v>
      </c>
      <c r="L25" s="11">
        <f t="shared" si="3"/>
        <v>1303210000</v>
      </c>
      <c r="M25" s="11">
        <f t="shared" si="3"/>
        <v>-6859000</v>
      </c>
      <c r="N25" s="11">
        <f t="shared" si="3"/>
        <v>36100</v>
      </c>
      <c r="O25" s="11">
        <f t="shared" si="3"/>
        <v>-190</v>
      </c>
      <c r="P25" s="11">
        <f t="shared" si="7"/>
        <v>0</v>
      </c>
    </row>
    <row r="26" spans="1:16" x14ac:dyDescent="0.25">
      <c r="A26" s="11">
        <f t="shared" si="6"/>
        <v>-29</v>
      </c>
      <c r="B26">
        <v>-48.402259273014593</v>
      </c>
      <c r="E26" s="11">
        <f>A26-'Mastercurve bestimmen'!$B$2</f>
        <v>-189</v>
      </c>
      <c r="F26" s="11">
        <f t="shared" si="4"/>
        <v>-48.402259273014593</v>
      </c>
      <c r="G26" s="11"/>
      <c r="H26" s="11">
        <f t="shared" si="5"/>
        <v>1.6281500743352054E+18</v>
      </c>
      <c r="I26" s="11">
        <f t="shared" si="3"/>
        <v>-8614550657858229</v>
      </c>
      <c r="J26" s="11">
        <f t="shared" si="3"/>
        <v>45579633110361</v>
      </c>
      <c r="K26" s="11">
        <f t="shared" si="3"/>
        <v>-241162079949</v>
      </c>
      <c r="L26" s="11">
        <f t="shared" si="3"/>
        <v>1275989841</v>
      </c>
      <c r="M26" s="11">
        <f t="shared" si="3"/>
        <v>-6751269</v>
      </c>
      <c r="N26" s="11">
        <f t="shared" si="3"/>
        <v>35721</v>
      </c>
      <c r="O26" s="11">
        <f t="shared" si="3"/>
        <v>-189</v>
      </c>
      <c r="P26" s="11">
        <f t="shared" si="7"/>
        <v>0</v>
      </c>
    </row>
    <row r="27" spans="1:16" x14ac:dyDescent="0.25">
      <c r="A27" s="11">
        <f t="shared" si="6"/>
        <v>-28</v>
      </c>
      <c r="B27">
        <v>-48.244392838122387</v>
      </c>
      <c r="E27" s="11">
        <f>A27-'Mastercurve bestimmen'!$B$2</f>
        <v>-188</v>
      </c>
      <c r="F27" s="11">
        <f t="shared" si="4"/>
        <v>-48.244392838122387</v>
      </c>
      <c r="G27" s="11"/>
      <c r="H27" s="11">
        <f t="shared" si="5"/>
        <v>1.5604964826651689E+18</v>
      </c>
      <c r="I27" s="11">
        <f t="shared" si="3"/>
        <v>-8300513205665792</v>
      </c>
      <c r="J27" s="11">
        <f t="shared" si="3"/>
        <v>44151665987584</v>
      </c>
      <c r="K27" s="11">
        <f t="shared" si="3"/>
        <v>-234849287168</v>
      </c>
      <c r="L27" s="11">
        <f t="shared" si="3"/>
        <v>1249198336</v>
      </c>
      <c r="M27" s="11">
        <f t="shared" si="3"/>
        <v>-6644672</v>
      </c>
      <c r="N27" s="11">
        <f t="shared" si="3"/>
        <v>35344</v>
      </c>
      <c r="O27" s="11">
        <f t="shared" si="3"/>
        <v>-188</v>
      </c>
      <c r="P27" s="11">
        <f t="shared" si="7"/>
        <v>0</v>
      </c>
    </row>
    <row r="28" spans="1:16" x14ac:dyDescent="0.25">
      <c r="A28" s="11">
        <f t="shared" si="6"/>
        <v>-27</v>
      </c>
      <c r="B28">
        <v>-48.083234939431883</v>
      </c>
      <c r="E28" s="11">
        <f>A28-'Mastercurve bestimmen'!$B$2</f>
        <v>-187</v>
      </c>
      <c r="F28" s="11">
        <f t="shared" si="4"/>
        <v>-48.083234939431883</v>
      </c>
      <c r="G28" s="11"/>
      <c r="H28" s="11">
        <f t="shared" si="5"/>
        <v>1.4953155591801836E+18</v>
      </c>
      <c r="I28" s="11">
        <f t="shared" si="3"/>
        <v>-7996339888664083</v>
      </c>
      <c r="J28" s="11">
        <f t="shared" si="3"/>
        <v>42761175875209</v>
      </c>
      <c r="K28" s="11">
        <f t="shared" si="3"/>
        <v>-228669389707</v>
      </c>
      <c r="L28" s="11">
        <f t="shared" si="3"/>
        <v>1222830961</v>
      </c>
      <c r="M28" s="11">
        <f t="shared" si="3"/>
        <v>-6539203</v>
      </c>
      <c r="N28" s="11">
        <f t="shared" si="3"/>
        <v>34969</v>
      </c>
      <c r="O28" s="11">
        <f t="shared" si="3"/>
        <v>-187</v>
      </c>
      <c r="P28" s="11">
        <f t="shared" si="7"/>
        <v>0</v>
      </c>
    </row>
    <row r="29" spans="1:16" x14ac:dyDescent="0.25">
      <c r="A29" s="11">
        <f t="shared" si="6"/>
        <v>-26</v>
      </c>
      <c r="B29">
        <v>-47.918511288293196</v>
      </c>
      <c r="E29" s="11">
        <f>A29-'Mastercurve bestimmen'!$B$2</f>
        <v>-186</v>
      </c>
      <c r="F29" s="11">
        <f t="shared" si="4"/>
        <v>-47.918511288293196</v>
      </c>
      <c r="G29" s="11"/>
      <c r="H29" s="11">
        <f t="shared" si="5"/>
        <v>1.4325294327425027E+18</v>
      </c>
      <c r="I29" s="11">
        <f t="shared" si="3"/>
        <v>-7701771143776896</v>
      </c>
      <c r="J29" s="11">
        <f t="shared" si="3"/>
        <v>41407371740736</v>
      </c>
      <c r="K29" s="11">
        <f t="shared" si="3"/>
        <v>-222620278176</v>
      </c>
      <c r="L29" s="11">
        <f t="shared" si="3"/>
        <v>1196883216</v>
      </c>
      <c r="M29" s="11">
        <f t="shared" si="3"/>
        <v>-6434856</v>
      </c>
      <c r="N29" s="11">
        <f t="shared" si="3"/>
        <v>34596</v>
      </c>
      <c r="O29" s="11">
        <f t="shared" si="3"/>
        <v>-186</v>
      </c>
      <c r="P29" s="11">
        <f t="shared" si="7"/>
        <v>0</v>
      </c>
    </row>
    <row r="30" spans="1:16" x14ac:dyDescent="0.25">
      <c r="A30" s="11">
        <f t="shared" si="6"/>
        <v>-25</v>
      </c>
      <c r="B30">
        <v>-47.749947596056487</v>
      </c>
      <c r="E30" s="11">
        <f>A30-'Mastercurve bestimmen'!$B$2</f>
        <v>-185</v>
      </c>
      <c r="F30" s="11">
        <f t="shared" si="4"/>
        <v>-47.749947596056487</v>
      </c>
      <c r="G30" s="11"/>
      <c r="H30" s="11">
        <f t="shared" si="5"/>
        <v>1.3720622866878907E+18</v>
      </c>
      <c r="I30" s="11">
        <f t="shared" si="3"/>
        <v>-7416552901015625</v>
      </c>
      <c r="J30" s="11">
        <f t="shared" si="3"/>
        <v>40089475140625</v>
      </c>
      <c r="K30" s="11">
        <f t="shared" si="3"/>
        <v>-216699865625</v>
      </c>
      <c r="L30" s="11">
        <f t="shared" si="3"/>
        <v>1171350625</v>
      </c>
      <c r="M30" s="11">
        <f t="shared" si="3"/>
        <v>-6331625</v>
      </c>
      <c r="N30" s="11">
        <f t="shared" si="3"/>
        <v>34225</v>
      </c>
      <c r="O30" s="11">
        <f t="shared" si="3"/>
        <v>-185</v>
      </c>
      <c r="P30" s="11">
        <f t="shared" si="7"/>
        <v>0</v>
      </c>
    </row>
    <row r="31" spans="1:16" x14ac:dyDescent="0.25">
      <c r="A31" s="11">
        <f t="shared" si="6"/>
        <v>-24</v>
      </c>
      <c r="B31">
        <v>-47.577269574071892</v>
      </c>
      <c r="E31" s="11">
        <f>A31-'Mastercurve bestimmen'!$B$2</f>
        <v>-184</v>
      </c>
      <c r="F31" s="11">
        <f t="shared" si="4"/>
        <v>-47.577269574071892</v>
      </c>
      <c r="G31" s="11"/>
      <c r="H31" s="11">
        <f t="shared" si="5"/>
        <v>1.3138403152321577E+18</v>
      </c>
      <c r="I31" s="11">
        <f t="shared" si="5"/>
        <v>-7140436495826944</v>
      </c>
      <c r="J31" s="11">
        <f t="shared" si="5"/>
        <v>38806720086016</v>
      </c>
      <c r="K31" s="11">
        <f t="shared" si="5"/>
        <v>-210906087424</v>
      </c>
      <c r="L31" s="11">
        <f t="shared" si="5"/>
        <v>1146228736</v>
      </c>
      <c r="M31" s="11">
        <f t="shared" si="5"/>
        <v>-6229504</v>
      </c>
      <c r="N31" s="11">
        <f t="shared" si="5"/>
        <v>33856</v>
      </c>
      <c r="O31" s="11">
        <f t="shared" si="5"/>
        <v>-184</v>
      </c>
      <c r="P31" s="11">
        <f t="shared" si="7"/>
        <v>0</v>
      </c>
    </row>
    <row r="32" spans="1:16" x14ac:dyDescent="0.25">
      <c r="A32" s="11">
        <f t="shared" si="6"/>
        <v>-23</v>
      </c>
      <c r="B32">
        <v>-47.400202933689542</v>
      </c>
      <c r="E32" s="11">
        <f>A32-'Mastercurve bestimmen'!$B$2</f>
        <v>-183</v>
      </c>
      <c r="F32" s="11">
        <f t="shared" si="4"/>
        <v>-47.400202933689542</v>
      </c>
      <c r="G32" s="11"/>
      <c r="H32" s="11">
        <f t="shared" si="5"/>
        <v>1.2577916805751606E+18</v>
      </c>
      <c r="I32" s="11">
        <f t="shared" si="5"/>
        <v>-6873178582377927</v>
      </c>
      <c r="J32" s="11">
        <f t="shared" si="5"/>
        <v>37558352909169</v>
      </c>
      <c r="K32" s="11">
        <f t="shared" si="5"/>
        <v>-205236901143</v>
      </c>
      <c r="L32" s="11">
        <f t="shared" si="5"/>
        <v>1121513121</v>
      </c>
      <c r="M32" s="11">
        <f t="shared" si="5"/>
        <v>-6128487</v>
      </c>
      <c r="N32" s="11">
        <f t="shared" si="5"/>
        <v>33489</v>
      </c>
      <c r="O32" s="11">
        <f t="shared" si="5"/>
        <v>-183</v>
      </c>
      <c r="P32" s="11">
        <f t="shared" si="7"/>
        <v>0</v>
      </c>
    </row>
    <row r="33" spans="1:16" x14ac:dyDescent="0.25">
      <c r="A33" s="11">
        <f t="shared" si="6"/>
        <v>-22</v>
      </c>
      <c r="B33">
        <v>-47.218473386259589</v>
      </c>
      <c r="E33" s="11">
        <f>A33-'Mastercurve bestimmen'!$B$2</f>
        <v>-182</v>
      </c>
      <c r="F33" s="11">
        <f t="shared" si="4"/>
        <v>-47.218473386259589</v>
      </c>
      <c r="G33" s="11"/>
      <c r="H33" s="11">
        <f t="shared" si="5"/>
        <v>1.2038464706947894E+18</v>
      </c>
      <c r="I33" s="11">
        <f t="shared" si="5"/>
        <v>-6614541047773568</v>
      </c>
      <c r="J33" s="11">
        <f t="shared" si="5"/>
        <v>36343632130624</v>
      </c>
      <c r="K33" s="11">
        <f t="shared" si="5"/>
        <v>-199690286432</v>
      </c>
      <c r="L33" s="11">
        <f t="shared" si="5"/>
        <v>1097199376</v>
      </c>
      <c r="M33" s="11">
        <f t="shared" si="5"/>
        <v>-6028568</v>
      </c>
      <c r="N33" s="11">
        <f t="shared" si="5"/>
        <v>33124</v>
      </c>
      <c r="O33" s="11">
        <f t="shared" si="5"/>
        <v>-182</v>
      </c>
      <c r="P33" s="11">
        <f t="shared" si="7"/>
        <v>0</v>
      </c>
    </row>
    <row r="34" spans="1:16" x14ac:dyDescent="0.25">
      <c r="A34" s="11">
        <f t="shared" si="6"/>
        <v>-21</v>
      </c>
      <c r="B34">
        <v>-47.031806643132171</v>
      </c>
      <c r="E34" s="11">
        <f>A34-'Mastercurve bestimmen'!$B$2</f>
        <v>-181</v>
      </c>
      <c r="F34" s="11">
        <f t="shared" si="4"/>
        <v>-47.031806643132171</v>
      </c>
      <c r="G34" s="11"/>
      <c r="H34" s="11">
        <f t="shared" si="5"/>
        <v>1.1519366578235007E+18</v>
      </c>
      <c r="I34" s="11">
        <f t="shared" si="5"/>
        <v>-6364290927201661</v>
      </c>
      <c r="J34" s="11">
        <f t="shared" si="5"/>
        <v>35161828327081</v>
      </c>
      <c r="K34" s="11">
        <f t="shared" si="5"/>
        <v>-194264244901</v>
      </c>
      <c r="L34" s="11">
        <f t="shared" si="5"/>
        <v>1073283121</v>
      </c>
      <c r="M34" s="11">
        <f t="shared" si="5"/>
        <v>-5929741</v>
      </c>
      <c r="N34" s="11">
        <f t="shared" si="5"/>
        <v>32761</v>
      </c>
      <c r="O34" s="11">
        <f t="shared" si="5"/>
        <v>-181</v>
      </c>
      <c r="P34" s="11">
        <f t="shared" si="7"/>
        <v>0</v>
      </c>
    </row>
    <row r="35" spans="1:16" x14ac:dyDescent="0.25">
      <c r="A35" s="11">
        <f t="shared" si="6"/>
        <v>-20</v>
      </c>
      <c r="B35">
        <v>-46.839928415657425</v>
      </c>
      <c r="E35" s="11">
        <f>A35-'Mastercurve bestimmen'!$B$2</f>
        <v>-180</v>
      </c>
      <c r="F35" s="11">
        <f t="shared" si="4"/>
        <v>-46.839928415657425</v>
      </c>
      <c r="G35" s="11"/>
      <c r="H35" s="11">
        <f t="shared" si="5"/>
        <v>1.1019960576E+18</v>
      </c>
      <c r="I35" s="11">
        <f t="shared" si="5"/>
        <v>-6122200320000000</v>
      </c>
      <c r="J35" s="11">
        <f t="shared" si="5"/>
        <v>34012224000000</v>
      </c>
      <c r="K35" s="11">
        <f t="shared" si="5"/>
        <v>-188956800000</v>
      </c>
      <c r="L35" s="11">
        <f t="shared" si="5"/>
        <v>1049760000</v>
      </c>
      <c r="M35" s="11">
        <f t="shared" si="5"/>
        <v>-5832000</v>
      </c>
      <c r="N35" s="11">
        <f t="shared" si="5"/>
        <v>32400</v>
      </c>
      <c r="O35" s="11">
        <f t="shared" si="5"/>
        <v>-180</v>
      </c>
      <c r="P35" s="11">
        <f t="shared" si="7"/>
        <v>0</v>
      </c>
    </row>
    <row r="36" spans="1:16" x14ac:dyDescent="0.25">
      <c r="A36" s="11">
        <f t="shared" si="6"/>
        <v>-19</v>
      </c>
      <c r="B36">
        <v>-46.642564415185497</v>
      </c>
      <c r="E36" s="11">
        <f>A36-'Mastercurve bestimmen'!$B$2</f>
        <v>-179</v>
      </c>
      <c r="F36" s="11">
        <f t="shared" si="4"/>
        <v>-46.642564415185497</v>
      </c>
      <c r="G36" s="11"/>
      <c r="H36" s="11">
        <f t="shared" si="5"/>
        <v>1.0539602888887137E+18</v>
      </c>
      <c r="I36" s="11">
        <f t="shared" si="5"/>
        <v>-5888046306640859</v>
      </c>
      <c r="J36" s="11">
        <f t="shared" si="5"/>
        <v>32894113444921</v>
      </c>
      <c r="K36" s="11">
        <f t="shared" si="5"/>
        <v>-183765996899</v>
      </c>
      <c r="L36" s="11">
        <f t="shared" si="5"/>
        <v>1026625681</v>
      </c>
      <c r="M36" s="11">
        <f t="shared" si="5"/>
        <v>-5735339</v>
      </c>
      <c r="N36" s="11">
        <f t="shared" si="5"/>
        <v>32041</v>
      </c>
      <c r="O36" s="11">
        <f t="shared" si="5"/>
        <v>-179</v>
      </c>
      <c r="P36" s="11">
        <f t="shared" si="7"/>
        <v>0</v>
      </c>
    </row>
    <row r="37" spans="1:16" x14ac:dyDescent="0.25">
      <c r="A37" s="11">
        <f t="shared" si="6"/>
        <v>-18</v>
      </c>
      <c r="B37">
        <v>-46.439440353066516</v>
      </c>
      <c r="E37" s="11">
        <f>A37-'Mastercurve bestimmen'!$B$2</f>
        <v>-178</v>
      </c>
      <c r="F37" s="11">
        <f t="shared" si="4"/>
        <v>-46.439440353066516</v>
      </c>
      <c r="G37" s="11"/>
      <c r="H37" s="11">
        <f t="shared" si="5"/>
        <v>1.0077667342597327E+18</v>
      </c>
      <c r="I37" s="11">
        <f t="shared" si="5"/>
        <v>-5661610866627712</v>
      </c>
      <c r="J37" s="11">
        <f t="shared" si="5"/>
        <v>31806802621504</v>
      </c>
      <c r="K37" s="11">
        <f t="shared" si="5"/>
        <v>-178689902368</v>
      </c>
      <c r="L37" s="11">
        <f t="shared" si="5"/>
        <v>1003875856</v>
      </c>
      <c r="M37" s="11">
        <f t="shared" si="5"/>
        <v>-5639752</v>
      </c>
      <c r="N37" s="11">
        <f t="shared" si="5"/>
        <v>31684</v>
      </c>
      <c r="O37" s="11">
        <f t="shared" si="5"/>
        <v>-178</v>
      </c>
      <c r="P37" s="11">
        <f t="shared" si="7"/>
        <v>0</v>
      </c>
    </row>
    <row r="38" spans="1:16" x14ac:dyDescent="0.25">
      <c r="A38" s="11">
        <f t="shared" si="6"/>
        <v>-17</v>
      </c>
      <c r="B38">
        <v>-46.230281940650642</v>
      </c>
      <c r="E38" s="11">
        <f>A38-'Mastercurve bestimmen'!$B$2</f>
        <v>-177</v>
      </c>
      <c r="F38" s="11">
        <f t="shared" si="4"/>
        <v>-46.230281940650642</v>
      </c>
      <c r="G38" s="11"/>
      <c r="H38" s="11">
        <f t="shared" si="5"/>
        <v>9.6335450112195008E+17</v>
      </c>
      <c r="I38" s="11">
        <f t="shared" si="5"/>
        <v>-5442680797299153</v>
      </c>
      <c r="J38" s="11">
        <f t="shared" si="5"/>
        <v>30749609024289</v>
      </c>
      <c r="K38" s="11">
        <f t="shared" si="5"/>
        <v>-173726604657</v>
      </c>
      <c r="L38" s="11">
        <f t="shared" si="5"/>
        <v>981506241</v>
      </c>
      <c r="M38" s="11">
        <f t="shared" si="5"/>
        <v>-5545233</v>
      </c>
      <c r="N38" s="11">
        <f t="shared" si="5"/>
        <v>31329</v>
      </c>
      <c r="O38" s="11">
        <f t="shared" si="5"/>
        <v>-177</v>
      </c>
      <c r="P38" s="11">
        <f t="shared" si="7"/>
        <v>0</v>
      </c>
    </row>
    <row r="39" spans="1:16" x14ac:dyDescent="0.25">
      <c r="A39" s="11">
        <f t="shared" si="6"/>
        <v>-16</v>
      </c>
      <c r="B39">
        <v>-46.014814889288004</v>
      </c>
      <c r="E39" s="11">
        <f>A39-'Mastercurve bestimmen'!$B$2</f>
        <v>-176</v>
      </c>
      <c r="F39" s="11">
        <f t="shared" si="4"/>
        <v>-46.014814889288004</v>
      </c>
      <c r="G39" s="11"/>
      <c r="H39" s="11">
        <f t="shared" si="5"/>
        <v>9.2066438350215578E+17</v>
      </c>
      <c r="I39" s="11">
        <f t="shared" si="5"/>
        <v>-5231047633534976</v>
      </c>
      <c r="J39" s="11">
        <f t="shared" si="5"/>
        <v>29721861554176</v>
      </c>
      <c r="K39" s="11">
        <f t="shared" si="5"/>
        <v>-168874213376</v>
      </c>
      <c r="L39" s="11">
        <f t="shared" si="5"/>
        <v>959512576</v>
      </c>
      <c r="M39" s="11">
        <f t="shared" si="5"/>
        <v>-5451776</v>
      </c>
      <c r="N39" s="11">
        <f t="shared" si="5"/>
        <v>30976</v>
      </c>
      <c r="O39" s="11">
        <f t="shared" si="5"/>
        <v>-176</v>
      </c>
      <c r="P39" s="11">
        <f t="shared" si="7"/>
        <v>0</v>
      </c>
    </row>
    <row r="40" spans="1:16" x14ac:dyDescent="0.25">
      <c r="A40" s="11">
        <f t="shared" si="6"/>
        <v>-15</v>
      </c>
      <c r="B40">
        <v>-45.792764910328742</v>
      </c>
      <c r="E40" s="11">
        <f>A40-'Mastercurve bestimmen'!$B$2</f>
        <v>-175</v>
      </c>
      <c r="F40" s="11">
        <f t="shared" si="4"/>
        <v>-45.792764910328742</v>
      </c>
      <c r="G40" s="11"/>
      <c r="H40" s="11">
        <f t="shared" si="5"/>
        <v>8.7963882446289062E+17</v>
      </c>
      <c r="I40" s="11">
        <f t="shared" si="5"/>
        <v>-5026507568359375</v>
      </c>
      <c r="J40" s="11">
        <f t="shared" si="5"/>
        <v>28722900390625</v>
      </c>
      <c r="K40" s="11">
        <f t="shared" si="5"/>
        <v>-164130859375</v>
      </c>
      <c r="L40" s="11">
        <f t="shared" si="5"/>
        <v>937890625</v>
      </c>
      <c r="M40" s="11">
        <f t="shared" si="5"/>
        <v>-5359375</v>
      </c>
      <c r="N40" s="11">
        <f t="shared" si="5"/>
        <v>30625</v>
      </c>
      <c r="O40" s="11">
        <f t="shared" si="5"/>
        <v>-175</v>
      </c>
      <c r="P40" s="11">
        <f t="shared" si="7"/>
        <v>0</v>
      </c>
    </row>
    <row r="41" spans="1:16" x14ac:dyDescent="0.25">
      <c r="A41" s="11">
        <f t="shared" si="6"/>
        <v>-14</v>
      </c>
      <c r="B41">
        <v>-45.563857715122992</v>
      </c>
      <c r="E41" s="11">
        <f>A41-'Mastercurve bestimmen'!$B$2</f>
        <v>-174</v>
      </c>
      <c r="F41" s="11">
        <f t="shared" si="4"/>
        <v>-45.563857715122992</v>
      </c>
      <c r="G41" s="11"/>
      <c r="H41" s="11">
        <f t="shared" si="5"/>
        <v>8.4022187915190298E+17</v>
      </c>
      <c r="I41" s="11">
        <f t="shared" si="5"/>
        <v>-4828861374436224</v>
      </c>
      <c r="J41" s="11">
        <f t="shared" si="5"/>
        <v>27752076864576</v>
      </c>
      <c r="K41" s="11">
        <f t="shared" si="5"/>
        <v>-159494694624</v>
      </c>
      <c r="L41" s="11">
        <f t="shared" si="5"/>
        <v>916636176</v>
      </c>
      <c r="M41" s="11">
        <f t="shared" si="5"/>
        <v>-5268024</v>
      </c>
      <c r="N41" s="11">
        <f t="shared" si="5"/>
        <v>30276</v>
      </c>
      <c r="O41" s="11">
        <f t="shared" si="5"/>
        <v>-174</v>
      </c>
      <c r="P41" s="11">
        <f t="shared" si="7"/>
        <v>0</v>
      </c>
    </row>
    <row r="42" spans="1:16" x14ac:dyDescent="0.25">
      <c r="A42" s="11">
        <f t="shared" si="6"/>
        <v>-13</v>
      </c>
      <c r="B42">
        <v>-45.327819015020907</v>
      </c>
      <c r="E42" s="11">
        <f>A42-'Mastercurve bestimmen'!$B$2</f>
        <v>-173</v>
      </c>
      <c r="F42" s="11">
        <f t="shared" si="4"/>
        <v>-45.327819015020907</v>
      </c>
      <c r="G42" s="11"/>
      <c r="H42" s="11">
        <f t="shared" si="5"/>
        <v>8.0235917847609165E+17</v>
      </c>
      <c r="I42" s="11">
        <f t="shared" si="5"/>
        <v>-4637914326451397</v>
      </c>
      <c r="J42" s="11">
        <f t="shared" si="5"/>
        <v>26808753332089</v>
      </c>
      <c r="K42" s="11">
        <f t="shared" si="5"/>
        <v>-154963892093</v>
      </c>
      <c r="L42" s="11">
        <f t="shared" si="5"/>
        <v>895745041</v>
      </c>
      <c r="M42" s="11">
        <f t="shared" si="5"/>
        <v>-5177717</v>
      </c>
      <c r="N42" s="11">
        <f t="shared" si="5"/>
        <v>29929</v>
      </c>
      <c r="O42" s="11">
        <f t="shared" si="5"/>
        <v>-173</v>
      </c>
      <c r="P42" s="11">
        <f t="shared" si="7"/>
        <v>0</v>
      </c>
    </row>
    <row r="43" spans="1:16" x14ac:dyDescent="0.25">
      <c r="A43" s="11">
        <f t="shared" si="6"/>
        <v>-12</v>
      </c>
      <c r="B43">
        <v>-45.084374521372624</v>
      </c>
      <c r="E43" s="11">
        <f>A43-'Mastercurve bestimmen'!$B$2</f>
        <v>-172</v>
      </c>
      <c r="F43" s="11">
        <f t="shared" si="4"/>
        <v>-45.084374521372624</v>
      </c>
      <c r="G43" s="11"/>
      <c r="H43" s="11">
        <f t="shared" si="5"/>
        <v>7.6599789339285914E+17</v>
      </c>
      <c r="I43" s="11">
        <f t="shared" si="5"/>
        <v>-4453476124377088</v>
      </c>
      <c r="J43" s="11">
        <f t="shared" si="5"/>
        <v>25892303048704</v>
      </c>
      <c r="K43" s="11">
        <f t="shared" si="5"/>
        <v>-150536645632</v>
      </c>
      <c r="L43" s="11">
        <f t="shared" si="5"/>
        <v>875213056</v>
      </c>
      <c r="M43" s="11">
        <f t="shared" si="5"/>
        <v>-5088448</v>
      </c>
      <c r="N43" s="11">
        <f t="shared" si="5"/>
        <v>29584</v>
      </c>
      <c r="O43" s="11">
        <f t="shared" si="5"/>
        <v>-172</v>
      </c>
      <c r="P43" s="11">
        <f t="shared" si="7"/>
        <v>0</v>
      </c>
    </row>
    <row r="44" spans="1:16" x14ac:dyDescent="0.25">
      <c r="A44" s="11">
        <f t="shared" si="6"/>
        <v>-11</v>
      </c>
      <c r="B44">
        <v>-44.833249945528287</v>
      </c>
      <c r="E44" s="11">
        <f>A44-'Mastercurve bestimmen'!$B$2</f>
        <v>-171</v>
      </c>
      <c r="F44" s="11">
        <f t="shared" si="4"/>
        <v>-44.833249945528287</v>
      </c>
      <c r="G44" s="11"/>
      <c r="H44" s="11">
        <f t="shared" si="5"/>
        <v>7.3108669981183859E+17</v>
      </c>
      <c r="I44" s="11">
        <f t="shared" si="5"/>
        <v>-4275360817613091</v>
      </c>
      <c r="J44" s="11">
        <f t="shared" si="5"/>
        <v>25002110044521</v>
      </c>
      <c r="K44" s="11">
        <f t="shared" si="5"/>
        <v>-146211169851</v>
      </c>
      <c r="L44" s="11">
        <f t="shared" si="5"/>
        <v>855036081</v>
      </c>
      <c r="M44" s="11">
        <f t="shared" si="5"/>
        <v>-5000211</v>
      </c>
      <c r="N44" s="11">
        <f t="shared" si="5"/>
        <v>29241</v>
      </c>
      <c r="O44" s="11">
        <f t="shared" si="5"/>
        <v>-171</v>
      </c>
      <c r="P44" s="11">
        <f t="shared" si="7"/>
        <v>0</v>
      </c>
    </row>
    <row r="45" spans="1:16" x14ac:dyDescent="0.25">
      <c r="A45" s="11">
        <f t="shared" si="6"/>
        <v>-10</v>
      </c>
      <c r="B45">
        <v>-44.574170998838028</v>
      </c>
      <c r="E45" s="11">
        <f>A45-'Mastercurve bestimmen'!$B$2</f>
        <v>-170</v>
      </c>
      <c r="F45" s="11">
        <f t="shared" si="4"/>
        <v>-44.574170998838028</v>
      </c>
      <c r="G45" s="11"/>
      <c r="H45" s="11">
        <f t="shared" si="5"/>
        <v>6.975757441E+17</v>
      </c>
      <c r="I45" s="11">
        <f t="shared" si="5"/>
        <v>-4103386730000000</v>
      </c>
      <c r="J45" s="11">
        <f t="shared" si="5"/>
        <v>24137569000000</v>
      </c>
      <c r="K45" s="11">
        <f t="shared" si="5"/>
        <v>-141985700000</v>
      </c>
      <c r="L45" s="11">
        <f t="shared" si="5"/>
        <v>835210000</v>
      </c>
      <c r="M45" s="11">
        <f t="shared" si="5"/>
        <v>-4913000</v>
      </c>
      <c r="N45" s="11">
        <f t="shared" si="5"/>
        <v>28900</v>
      </c>
      <c r="O45" s="11">
        <f t="shared" si="5"/>
        <v>-170</v>
      </c>
      <c r="P45" s="11">
        <f t="shared" si="7"/>
        <v>0</v>
      </c>
    </row>
    <row r="46" spans="1:16" x14ac:dyDescent="0.25">
      <c r="A46" s="11">
        <f t="shared" si="6"/>
        <v>-9</v>
      </c>
      <c r="B46">
        <v>-44.306863392651984</v>
      </c>
      <c r="E46" s="11">
        <f>A46-'Mastercurve bestimmen'!$B$2</f>
        <v>-169</v>
      </c>
      <c r="F46" s="11">
        <f t="shared" si="4"/>
        <v>-44.306863392651984</v>
      </c>
      <c r="G46" s="11"/>
      <c r="H46" s="11">
        <f t="shared" si="5"/>
        <v>6.654166091831799E+17</v>
      </c>
      <c r="I46" s="11">
        <f t="shared" si="5"/>
        <v>-3937376385699289</v>
      </c>
      <c r="J46" s="11">
        <f t="shared" si="5"/>
        <v>23298085122481</v>
      </c>
      <c r="K46" s="11">
        <f t="shared" si="5"/>
        <v>-137858491849</v>
      </c>
      <c r="L46" s="11">
        <f t="shared" si="5"/>
        <v>815730721</v>
      </c>
      <c r="M46" s="11">
        <f t="shared" si="5"/>
        <v>-4826809</v>
      </c>
      <c r="N46" s="11">
        <f t="shared" si="5"/>
        <v>28561</v>
      </c>
      <c r="O46" s="11">
        <f t="shared" si="5"/>
        <v>-169</v>
      </c>
      <c r="P46" s="11">
        <f t="shared" si="7"/>
        <v>0</v>
      </c>
    </row>
    <row r="47" spans="1:16" x14ac:dyDescent="0.25">
      <c r="A47" s="11">
        <f t="shared" si="6"/>
        <v>-8</v>
      </c>
      <c r="B47">
        <v>-44.031052838320306</v>
      </c>
      <c r="E47" s="11">
        <f>A47-'Mastercurve bestimmen'!$B$2</f>
        <v>-168</v>
      </c>
      <c r="F47" s="11">
        <f t="shared" si="4"/>
        <v>-44.031052838320306</v>
      </c>
      <c r="G47" s="11"/>
      <c r="H47" s="11">
        <f t="shared" si="5"/>
        <v>6.3456228123711898E+17</v>
      </c>
      <c r="I47" s="11">
        <f t="shared" si="5"/>
        <v>-3777156435935232</v>
      </c>
      <c r="J47" s="11">
        <f t="shared" si="5"/>
        <v>22483074023424</v>
      </c>
      <c r="K47" s="11">
        <f t="shared" si="5"/>
        <v>-133827821568</v>
      </c>
      <c r="L47" s="11">
        <f t="shared" si="5"/>
        <v>796594176</v>
      </c>
      <c r="M47" s="11">
        <f t="shared" si="5"/>
        <v>-4741632</v>
      </c>
      <c r="N47" s="11">
        <f t="shared" si="5"/>
        <v>28224</v>
      </c>
      <c r="O47" s="11">
        <f t="shared" si="5"/>
        <v>-168</v>
      </c>
      <c r="P47" s="11">
        <f t="shared" si="7"/>
        <v>0</v>
      </c>
    </row>
    <row r="48" spans="1:16" x14ac:dyDescent="0.25">
      <c r="A48" s="11">
        <f t="shared" si="6"/>
        <v>-7</v>
      </c>
      <c r="B48">
        <v>-43.746465047193141</v>
      </c>
      <c r="E48" s="11">
        <f>A48-'Mastercurve bestimmen'!$B$2</f>
        <v>-167</v>
      </c>
      <c r="F48" s="11">
        <f t="shared" si="4"/>
        <v>-43.746465047193141</v>
      </c>
      <c r="G48" s="11"/>
      <c r="H48" s="11">
        <f t="shared" ref="H48:O79" si="8">IF($H$12&gt;=H$14,$E48^H$14,0)</f>
        <v>6.049671169611351E+17</v>
      </c>
      <c r="I48" s="11">
        <f t="shared" si="8"/>
        <v>-3622557586593623</v>
      </c>
      <c r="J48" s="11">
        <f t="shared" si="8"/>
        <v>21691961596369</v>
      </c>
      <c r="K48" s="11">
        <f t="shared" si="8"/>
        <v>-129891985607</v>
      </c>
      <c r="L48" s="11">
        <f t="shared" si="8"/>
        <v>777796321</v>
      </c>
      <c r="M48" s="11">
        <f t="shared" si="8"/>
        <v>-4657463</v>
      </c>
      <c r="N48" s="11">
        <f t="shared" si="8"/>
        <v>27889</v>
      </c>
      <c r="O48" s="11">
        <f t="shared" si="8"/>
        <v>-167</v>
      </c>
      <c r="P48" s="11">
        <f t="shared" si="7"/>
        <v>0</v>
      </c>
    </row>
    <row r="49" spans="1:16" x14ac:dyDescent="0.25">
      <c r="A49" s="11">
        <f t="shared" si="6"/>
        <v>-6</v>
      </c>
      <c r="B49">
        <v>-43.45282573062061</v>
      </c>
      <c r="E49" s="11">
        <f>A49-'Mastercurve bestimmen'!$B$2</f>
        <v>-166</v>
      </c>
      <c r="F49" s="11">
        <f t="shared" si="4"/>
        <v>-43.45282573062061</v>
      </c>
      <c r="G49" s="11"/>
      <c r="H49" s="11">
        <f t="shared" si="8"/>
        <v>5.765868114275945E+17</v>
      </c>
      <c r="I49" s="11">
        <f t="shared" si="8"/>
        <v>-3473414526672256</v>
      </c>
      <c r="J49" s="11">
        <f t="shared" si="8"/>
        <v>20924183895616</v>
      </c>
      <c r="K49" s="11">
        <f t="shared" si="8"/>
        <v>-126049300576</v>
      </c>
      <c r="L49" s="11">
        <f t="shared" si="8"/>
        <v>759333136</v>
      </c>
      <c r="M49" s="11">
        <f t="shared" si="8"/>
        <v>-4574296</v>
      </c>
      <c r="N49" s="11">
        <f t="shared" si="8"/>
        <v>27556</v>
      </c>
      <c r="O49" s="11">
        <f t="shared" si="8"/>
        <v>-166</v>
      </c>
      <c r="P49" s="11">
        <f t="shared" si="7"/>
        <v>0</v>
      </c>
    </row>
    <row r="50" spans="1:16" x14ac:dyDescent="0.25">
      <c r="A50" s="11">
        <f t="shared" si="6"/>
        <v>-5</v>
      </c>
      <c r="B50">
        <v>-43.149860599952873</v>
      </c>
      <c r="E50" s="11">
        <f>A50-'Mastercurve bestimmen'!$B$2</f>
        <v>-165</v>
      </c>
      <c r="F50" s="11">
        <f t="shared" si="4"/>
        <v>-43.149860599952873</v>
      </c>
      <c r="G50" s="11"/>
      <c r="H50" s="11">
        <f t="shared" si="8"/>
        <v>5.4937836650039066E+17</v>
      </c>
      <c r="I50" s="11">
        <f t="shared" si="8"/>
        <v>-3329565857578125</v>
      </c>
      <c r="J50" s="11">
        <f t="shared" si="8"/>
        <v>20179187015625</v>
      </c>
      <c r="K50" s="11">
        <f t="shared" si="8"/>
        <v>-122298103125</v>
      </c>
      <c r="L50" s="11">
        <f t="shared" si="8"/>
        <v>741200625</v>
      </c>
      <c r="M50" s="11">
        <f t="shared" si="8"/>
        <v>-4492125</v>
      </c>
      <c r="N50" s="11">
        <f t="shared" si="8"/>
        <v>27225</v>
      </c>
      <c r="O50" s="11">
        <f t="shared" si="8"/>
        <v>-165</v>
      </c>
      <c r="P50" s="11">
        <f t="shared" si="7"/>
        <v>0</v>
      </c>
    </row>
    <row r="51" spans="1:16" x14ac:dyDescent="0.25">
      <c r="A51" s="11">
        <f t="shared" si="6"/>
        <v>-4</v>
      </c>
      <c r="B51">
        <v>-42.837295366540062</v>
      </c>
      <c r="E51" s="11">
        <f>A51-'Mastercurve bestimmen'!$B$2</f>
        <v>-164</v>
      </c>
      <c r="F51" s="11">
        <f t="shared" si="4"/>
        <v>-42.837295366540062</v>
      </c>
      <c r="G51" s="11"/>
      <c r="H51" s="11">
        <f t="shared" si="8"/>
        <v>5.2330005981567386E+17</v>
      </c>
      <c r="I51" s="11">
        <f t="shared" si="8"/>
        <v>-3190854023266304</v>
      </c>
      <c r="J51" s="11">
        <f t="shared" si="8"/>
        <v>19456426971136</v>
      </c>
      <c r="K51" s="11">
        <f t="shared" si="8"/>
        <v>-118636749824</v>
      </c>
      <c r="L51" s="11">
        <f t="shared" si="8"/>
        <v>723394816</v>
      </c>
      <c r="M51" s="11">
        <f t="shared" si="8"/>
        <v>-4410944</v>
      </c>
      <c r="N51" s="11">
        <f t="shared" si="8"/>
        <v>26896</v>
      </c>
      <c r="O51" s="11">
        <f t="shared" si="8"/>
        <v>-164</v>
      </c>
      <c r="P51" s="11">
        <f t="shared" si="7"/>
        <v>0</v>
      </c>
    </row>
    <row r="52" spans="1:16" x14ac:dyDescent="0.25">
      <c r="A52" s="11">
        <f t="shared" si="6"/>
        <v>-3</v>
      </c>
      <c r="B52">
        <v>-42.514855741732312</v>
      </c>
      <c r="E52" s="11">
        <f>A52-'Mastercurve bestimmen'!$B$2</f>
        <v>-163</v>
      </c>
      <c r="F52" s="11">
        <f t="shared" si="4"/>
        <v>-42.514855741732312</v>
      </c>
      <c r="G52" s="11"/>
      <c r="H52" s="11">
        <f t="shared" si="8"/>
        <v>4.9831141431812115E+17</v>
      </c>
      <c r="I52" s="11">
        <f t="shared" si="8"/>
        <v>-3057125241215467</v>
      </c>
      <c r="J52" s="11">
        <f t="shared" si="8"/>
        <v>18755369578009</v>
      </c>
      <c r="K52" s="11">
        <f t="shared" si="8"/>
        <v>-115063617043</v>
      </c>
      <c r="L52" s="11">
        <f t="shared" si="8"/>
        <v>705911761</v>
      </c>
      <c r="M52" s="11">
        <f t="shared" si="8"/>
        <v>-4330747</v>
      </c>
      <c r="N52" s="11">
        <f t="shared" si="8"/>
        <v>26569</v>
      </c>
      <c r="O52" s="11">
        <f t="shared" si="8"/>
        <v>-163</v>
      </c>
      <c r="P52" s="11">
        <f t="shared" si="7"/>
        <v>0</v>
      </c>
    </row>
    <row r="53" spans="1:16" x14ac:dyDescent="0.25">
      <c r="A53" s="11">
        <f t="shared" si="6"/>
        <v>-2</v>
      </c>
      <c r="B53">
        <v>-42.182267436879776</v>
      </c>
      <c r="E53" s="11">
        <f>A53-'Mastercurve bestimmen'!$B$2</f>
        <v>-162</v>
      </c>
      <c r="F53" s="11">
        <f t="shared" si="4"/>
        <v>-42.182267436879776</v>
      </c>
      <c r="G53" s="11"/>
      <c r="H53" s="11">
        <f t="shared" si="8"/>
        <v>4.743731683460713E+17</v>
      </c>
      <c r="I53" s="11">
        <f t="shared" si="8"/>
        <v>-2928229434235008</v>
      </c>
      <c r="J53" s="11">
        <f t="shared" si="8"/>
        <v>18075490334784</v>
      </c>
      <c r="K53" s="11">
        <f t="shared" si="8"/>
        <v>-111577100832</v>
      </c>
      <c r="L53" s="11">
        <f t="shared" si="8"/>
        <v>688747536</v>
      </c>
      <c r="M53" s="11">
        <f t="shared" si="8"/>
        <v>-4251528</v>
      </c>
      <c r="N53" s="11">
        <f t="shared" si="8"/>
        <v>26244</v>
      </c>
      <c r="O53" s="11">
        <f t="shared" si="8"/>
        <v>-162</v>
      </c>
      <c r="P53" s="11">
        <f t="shared" si="7"/>
        <v>0</v>
      </c>
    </row>
    <row r="54" spans="1:16" x14ac:dyDescent="0.25">
      <c r="A54" s="11">
        <f t="shared" si="6"/>
        <v>-1</v>
      </c>
      <c r="B54">
        <v>-41.839256163332585</v>
      </c>
      <c r="E54" s="11">
        <f>A54-'Mastercurve bestimmen'!$B$2</f>
        <v>-161</v>
      </c>
      <c r="F54" s="11">
        <f t="shared" si="4"/>
        <v>-41.839256163332585</v>
      </c>
      <c r="G54" s="11"/>
      <c r="H54" s="11">
        <f t="shared" si="8"/>
        <v>4.5144724625889408E+17</v>
      </c>
      <c r="I54" s="11">
        <f t="shared" si="8"/>
        <v>-2804020163098721</v>
      </c>
      <c r="J54" s="11">
        <f t="shared" si="8"/>
        <v>17416274304961</v>
      </c>
      <c r="K54" s="11">
        <f t="shared" si="8"/>
        <v>-108175616801</v>
      </c>
      <c r="L54" s="11">
        <f t="shared" si="8"/>
        <v>671898241</v>
      </c>
      <c r="M54" s="11">
        <f t="shared" si="8"/>
        <v>-4173281</v>
      </c>
      <c r="N54" s="11">
        <f t="shared" si="8"/>
        <v>25921</v>
      </c>
      <c r="O54" s="11">
        <f t="shared" si="8"/>
        <v>-161</v>
      </c>
      <c r="P54" s="11">
        <f t="shared" si="7"/>
        <v>0</v>
      </c>
    </row>
    <row r="55" spans="1:16" x14ac:dyDescent="0.25">
      <c r="A55" s="11">
        <f t="shared" si="6"/>
        <v>0</v>
      </c>
      <c r="B55">
        <v>-41.485547632440877</v>
      </c>
      <c r="E55" s="11">
        <f>A55-'Mastercurve bestimmen'!$B$2</f>
        <v>-160</v>
      </c>
      <c r="F55" s="11">
        <f t="shared" si="4"/>
        <v>-41.485547632440877</v>
      </c>
      <c r="G55" s="11"/>
      <c r="H55" s="11">
        <f t="shared" si="8"/>
        <v>4.294967296E+17</v>
      </c>
      <c r="I55" s="11">
        <f t="shared" si="8"/>
        <v>-2684354560000000</v>
      </c>
      <c r="J55" s="11">
        <f t="shared" si="8"/>
        <v>16777216000000</v>
      </c>
      <c r="K55" s="11">
        <f t="shared" si="8"/>
        <v>-104857600000</v>
      </c>
      <c r="L55" s="11">
        <f t="shared" si="8"/>
        <v>655360000</v>
      </c>
      <c r="M55" s="11">
        <f t="shared" si="8"/>
        <v>-4096000</v>
      </c>
      <c r="N55" s="11">
        <f t="shared" si="8"/>
        <v>25600</v>
      </c>
      <c r="O55" s="11">
        <f t="shared" si="8"/>
        <v>-160</v>
      </c>
      <c r="P55" s="11">
        <f t="shared" si="7"/>
        <v>0</v>
      </c>
    </row>
    <row r="56" spans="1:16" x14ac:dyDescent="0.25">
      <c r="A56" s="11">
        <f t="shared" si="6"/>
        <v>1</v>
      </c>
      <c r="B56">
        <v>-41.336015921897925</v>
      </c>
      <c r="E56" s="11">
        <f>A56-'Mastercurve bestimmen'!$B$2</f>
        <v>-159</v>
      </c>
      <c r="F56" s="11">
        <f t="shared" si="4"/>
        <v>-41.336015921897925</v>
      </c>
      <c r="G56" s="11"/>
      <c r="H56" s="11">
        <f t="shared" si="8"/>
        <v>4.0848582878893952E+17</v>
      </c>
      <c r="I56" s="11">
        <f t="shared" si="8"/>
        <v>-2569093262823519</v>
      </c>
      <c r="J56" s="11">
        <f t="shared" si="8"/>
        <v>16157819263041</v>
      </c>
      <c r="K56" s="11">
        <f t="shared" si="8"/>
        <v>-101621504799</v>
      </c>
      <c r="L56" s="11">
        <f t="shared" si="8"/>
        <v>639128961</v>
      </c>
      <c r="M56" s="11">
        <f t="shared" si="8"/>
        <v>-4019679</v>
      </c>
      <c r="N56" s="11">
        <f t="shared" si="8"/>
        <v>25281</v>
      </c>
      <c r="O56" s="11">
        <f t="shared" si="8"/>
        <v>-159</v>
      </c>
      <c r="P56" s="11">
        <f t="shared" si="7"/>
        <v>0</v>
      </c>
    </row>
    <row r="57" spans="1:16" x14ac:dyDescent="0.25">
      <c r="A57" s="11">
        <f t="shared" si="6"/>
        <v>2</v>
      </c>
      <c r="B57">
        <v>-41.176391198141658</v>
      </c>
      <c r="E57" s="11">
        <f>A57-'Mastercurve bestimmen'!$B$2</f>
        <v>-158</v>
      </c>
      <c r="F57" s="11">
        <f t="shared" si="4"/>
        <v>-41.176391198141658</v>
      </c>
      <c r="G57" s="11"/>
      <c r="H57" s="11">
        <f t="shared" si="8"/>
        <v>3.8837985533607962E+17</v>
      </c>
      <c r="I57" s="11">
        <f t="shared" si="8"/>
        <v>-2458100350228352</v>
      </c>
      <c r="J57" s="11">
        <f t="shared" si="8"/>
        <v>15557597153344</v>
      </c>
      <c r="K57" s="11">
        <f t="shared" si="8"/>
        <v>-98465804768</v>
      </c>
      <c r="L57" s="11">
        <f t="shared" si="8"/>
        <v>623201296</v>
      </c>
      <c r="M57" s="11">
        <f t="shared" si="8"/>
        <v>-3944312</v>
      </c>
      <c r="N57" s="11">
        <f t="shared" si="8"/>
        <v>24964</v>
      </c>
      <c r="O57" s="11">
        <f t="shared" si="8"/>
        <v>-158</v>
      </c>
      <c r="P57" s="11">
        <f t="shared" si="7"/>
        <v>0</v>
      </c>
    </row>
    <row r="58" spans="1:16" x14ac:dyDescent="0.25">
      <c r="A58" s="11">
        <f t="shared" si="6"/>
        <v>3</v>
      </c>
      <c r="B58">
        <v>-41.007551993953165</v>
      </c>
      <c r="E58" s="11">
        <f>A58-'Mastercurve bestimmen'!$B$2</f>
        <v>-157</v>
      </c>
      <c r="F58" s="11">
        <f t="shared" si="4"/>
        <v>-41.007551993953165</v>
      </c>
      <c r="G58" s="11"/>
      <c r="H58" s="11">
        <f t="shared" si="8"/>
        <v>3.6914519457338643E+17</v>
      </c>
      <c r="I58" s="11">
        <f t="shared" si="8"/>
        <v>-2351243277537493</v>
      </c>
      <c r="J58" s="11">
        <f t="shared" si="8"/>
        <v>14976071831449</v>
      </c>
      <c r="K58" s="11">
        <f t="shared" si="8"/>
        <v>-95388992557</v>
      </c>
      <c r="L58" s="11">
        <f t="shared" si="8"/>
        <v>607573201</v>
      </c>
      <c r="M58" s="11">
        <f t="shared" si="8"/>
        <v>-3869893</v>
      </c>
      <c r="N58" s="11">
        <f t="shared" si="8"/>
        <v>24649</v>
      </c>
      <c r="O58" s="11">
        <f t="shared" si="8"/>
        <v>-157</v>
      </c>
      <c r="P58" s="11">
        <f t="shared" si="7"/>
        <v>0</v>
      </c>
    </row>
    <row r="59" spans="1:16" x14ac:dyDescent="0.25">
      <c r="A59" s="11">
        <f t="shared" si="6"/>
        <v>4</v>
      </c>
      <c r="B59">
        <v>-40.830376842113509</v>
      </c>
      <c r="E59" s="11">
        <f>A59-'Mastercurve bestimmen'!$B$2</f>
        <v>-156</v>
      </c>
      <c r="F59" s="11">
        <f t="shared" si="4"/>
        <v>-40.830376842113509</v>
      </c>
      <c r="G59" s="11"/>
      <c r="H59" s="11">
        <f t="shared" si="8"/>
        <v>3.5074927889488282E+17</v>
      </c>
      <c r="I59" s="11">
        <f t="shared" si="8"/>
        <v>-2248392813428736</v>
      </c>
      <c r="J59" s="11">
        <f t="shared" si="8"/>
        <v>14412774445056</v>
      </c>
      <c r="K59" s="11">
        <f t="shared" si="8"/>
        <v>-92389579776</v>
      </c>
      <c r="L59" s="11">
        <f t="shared" si="8"/>
        <v>592240896</v>
      </c>
      <c r="M59" s="11">
        <f t="shared" si="8"/>
        <v>-3796416</v>
      </c>
      <c r="N59" s="11">
        <f t="shared" si="8"/>
        <v>24336</v>
      </c>
      <c r="O59" s="11">
        <f t="shared" si="8"/>
        <v>-156</v>
      </c>
      <c r="P59" s="11">
        <f t="shared" si="7"/>
        <v>0</v>
      </c>
    </row>
    <row r="60" spans="1:16" x14ac:dyDescent="0.25">
      <c r="A60" s="11">
        <f t="shared" si="6"/>
        <v>5</v>
      </c>
      <c r="B60">
        <v>-40.645744275403757</v>
      </c>
      <c r="E60" s="11">
        <f>A60-'Mastercurve bestimmen'!$B$2</f>
        <v>-155</v>
      </c>
      <c r="F60" s="11">
        <f t="shared" si="4"/>
        <v>-40.645744275403757</v>
      </c>
      <c r="G60" s="11"/>
      <c r="H60" s="11">
        <f t="shared" si="8"/>
        <v>3.3316056150039066E+17</v>
      </c>
      <c r="I60" s="11">
        <f t="shared" si="8"/>
        <v>-2149422977421875</v>
      </c>
      <c r="J60" s="11">
        <f t="shared" si="8"/>
        <v>13867245015625</v>
      </c>
      <c r="K60" s="11">
        <f t="shared" si="8"/>
        <v>-89466096875</v>
      </c>
      <c r="L60" s="11">
        <f t="shared" si="8"/>
        <v>577200625</v>
      </c>
      <c r="M60" s="11">
        <f t="shared" si="8"/>
        <v>-3723875</v>
      </c>
      <c r="N60" s="11">
        <f t="shared" si="8"/>
        <v>24025</v>
      </c>
      <c r="O60" s="11">
        <f t="shared" si="8"/>
        <v>-155</v>
      </c>
      <c r="P60" s="11">
        <f t="shared" si="7"/>
        <v>0</v>
      </c>
    </row>
    <row r="61" spans="1:16" x14ac:dyDescent="0.25">
      <c r="A61" s="11">
        <f t="shared" si="6"/>
        <v>6</v>
      </c>
      <c r="B61">
        <v>-40.454532826604961</v>
      </c>
      <c r="E61" s="11">
        <f>A61-'Mastercurve bestimmen'!$B$2</f>
        <v>-154</v>
      </c>
      <c r="F61" s="11">
        <f t="shared" si="4"/>
        <v>-40.454532826604961</v>
      </c>
      <c r="G61" s="11"/>
      <c r="H61" s="11">
        <f t="shared" si="8"/>
        <v>3.1634849063620634E+17</v>
      </c>
      <c r="I61" s="11">
        <f t="shared" si="8"/>
        <v>-2054210978157184</v>
      </c>
      <c r="J61" s="11">
        <f t="shared" si="8"/>
        <v>13339032325696</v>
      </c>
      <c r="K61" s="11">
        <f t="shared" si="8"/>
        <v>-86617093024</v>
      </c>
      <c r="L61" s="11">
        <f t="shared" si="8"/>
        <v>562448656</v>
      </c>
      <c r="M61" s="11">
        <f t="shared" si="8"/>
        <v>-3652264</v>
      </c>
      <c r="N61" s="11">
        <f t="shared" si="8"/>
        <v>23716</v>
      </c>
      <c r="O61" s="11">
        <f t="shared" si="8"/>
        <v>-154</v>
      </c>
      <c r="P61" s="11">
        <f t="shared" si="7"/>
        <v>0</v>
      </c>
    </row>
    <row r="62" spans="1:16" x14ac:dyDescent="0.25">
      <c r="A62" s="11">
        <f t="shared" si="6"/>
        <v>7</v>
      </c>
      <c r="B62">
        <v>-40.257621028498221</v>
      </c>
      <c r="E62" s="11">
        <f>A62-'Mastercurve bestimmen'!$B$2</f>
        <v>-153</v>
      </c>
      <c r="F62" s="11">
        <f t="shared" si="4"/>
        <v>-40.257621028498221</v>
      </c>
      <c r="G62" s="11"/>
      <c r="H62" s="11">
        <f t="shared" si="8"/>
        <v>3.0028348432640096E+17</v>
      </c>
      <c r="I62" s="11">
        <f t="shared" si="8"/>
        <v>-1962637152460137</v>
      </c>
      <c r="J62" s="11">
        <f t="shared" si="8"/>
        <v>12827693806929</v>
      </c>
      <c r="K62" s="11">
        <f t="shared" si="8"/>
        <v>-83841135993</v>
      </c>
      <c r="L62" s="11">
        <f t="shared" si="8"/>
        <v>547981281</v>
      </c>
      <c r="M62" s="11">
        <f t="shared" si="8"/>
        <v>-3581577</v>
      </c>
      <c r="N62" s="11">
        <f t="shared" si="8"/>
        <v>23409</v>
      </c>
      <c r="O62" s="11">
        <f t="shared" si="8"/>
        <v>-153</v>
      </c>
      <c r="P62" s="11">
        <f t="shared" si="7"/>
        <v>0</v>
      </c>
    </row>
    <row r="63" spans="1:16" x14ac:dyDescent="0.25">
      <c r="A63" s="11">
        <f t="shared" si="6"/>
        <v>8</v>
      </c>
      <c r="B63">
        <v>-40.055887413864582</v>
      </c>
      <c r="E63" s="11">
        <f>A63-'Mastercurve bestimmen'!$B$2</f>
        <v>-152</v>
      </c>
      <c r="F63" s="11">
        <f t="shared" si="4"/>
        <v>-40.055887413864582</v>
      </c>
      <c r="G63" s="11"/>
      <c r="H63" s="11">
        <f t="shared" si="8"/>
        <v>2.8493690558847386E+17</v>
      </c>
      <c r="I63" s="11">
        <f t="shared" si="8"/>
        <v>-1874584905187328</v>
      </c>
      <c r="J63" s="11">
        <f t="shared" si="8"/>
        <v>12332795428864</v>
      </c>
      <c r="K63" s="11">
        <f t="shared" si="8"/>
        <v>-81136812032</v>
      </c>
      <c r="L63" s="11">
        <f t="shared" si="8"/>
        <v>533794816</v>
      </c>
      <c r="M63" s="11">
        <f t="shared" si="8"/>
        <v>-3511808</v>
      </c>
      <c r="N63" s="11">
        <f t="shared" si="8"/>
        <v>23104</v>
      </c>
      <c r="O63" s="11">
        <f t="shared" si="8"/>
        <v>-152</v>
      </c>
      <c r="P63" s="11">
        <f t="shared" si="7"/>
        <v>0</v>
      </c>
    </row>
    <row r="64" spans="1:16" x14ac:dyDescent="0.25">
      <c r="A64" s="11">
        <f t="shared" si="6"/>
        <v>9</v>
      </c>
      <c r="B64">
        <v>-39.850210515485131</v>
      </c>
      <c r="E64" s="11">
        <f>A64-'Mastercurve bestimmen'!$B$2</f>
        <v>-151</v>
      </c>
      <c r="F64" s="11">
        <f t="shared" si="4"/>
        <v>-39.850210515485131</v>
      </c>
      <c r="G64" s="11"/>
      <c r="H64" s="11">
        <f t="shared" si="8"/>
        <v>2.702810381271312E+17</v>
      </c>
      <c r="I64" s="11">
        <f t="shared" si="8"/>
        <v>-1789940649848551</v>
      </c>
      <c r="J64" s="11">
        <f t="shared" si="8"/>
        <v>11853911588401</v>
      </c>
      <c r="K64" s="11">
        <f t="shared" si="8"/>
        <v>-78502725751</v>
      </c>
      <c r="L64" s="11">
        <f t="shared" si="8"/>
        <v>519885601</v>
      </c>
      <c r="M64" s="11">
        <f t="shared" si="8"/>
        <v>-3442951</v>
      </c>
      <c r="N64" s="11">
        <f t="shared" si="8"/>
        <v>22801</v>
      </c>
      <c r="O64" s="11">
        <f t="shared" si="8"/>
        <v>-151</v>
      </c>
      <c r="P64" s="11">
        <f t="shared" si="7"/>
        <v>0</v>
      </c>
    </row>
    <row r="65" spans="1:16" x14ac:dyDescent="0.25">
      <c r="A65" s="11">
        <f t="shared" si="6"/>
        <v>10</v>
      </c>
      <c r="B65">
        <v>-39.641468866140912</v>
      </c>
      <c r="E65" s="11">
        <f>A65-'Mastercurve bestimmen'!$B$2</f>
        <v>-150</v>
      </c>
      <c r="F65" s="11">
        <f t="shared" si="4"/>
        <v>-39.641468866140912</v>
      </c>
      <c r="G65" s="11"/>
      <c r="H65" s="11">
        <f t="shared" si="8"/>
        <v>2.562890625E+17</v>
      </c>
      <c r="I65" s="11">
        <f t="shared" si="8"/>
        <v>-1708593750000000</v>
      </c>
      <c r="J65" s="11">
        <f t="shared" si="8"/>
        <v>11390625000000</v>
      </c>
      <c r="K65" s="11">
        <f t="shared" si="8"/>
        <v>-75937500000</v>
      </c>
      <c r="L65" s="11">
        <f t="shared" si="8"/>
        <v>506250000</v>
      </c>
      <c r="M65" s="11">
        <f t="shared" si="8"/>
        <v>-3375000</v>
      </c>
      <c r="N65" s="11">
        <f t="shared" si="8"/>
        <v>22500</v>
      </c>
      <c r="O65" s="11">
        <f t="shared" si="8"/>
        <v>-150</v>
      </c>
      <c r="P65" s="11">
        <f t="shared" si="7"/>
        <v>0</v>
      </c>
    </row>
    <row r="66" spans="1:16" x14ac:dyDescent="0.25">
      <c r="A66" s="11">
        <f t="shared" si="6"/>
        <v>11</v>
      </c>
      <c r="B66">
        <v>-39.430540998613012</v>
      </c>
      <c r="E66" s="11">
        <f>A66-'Mastercurve bestimmen'!$B$2</f>
        <v>-149</v>
      </c>
      <c r="F66" s="11">
        <f t="shared" si="4"/>
        <v>-39.430540998613012</v>
      </c>
      <c r="G66" s="11"/>
      <c r="H66" s="11">
        <f t="shared" si="8"/>
        <v>2.429350327491288E+17</v>
      </c>
      <c r="I66" s="11">
        <f t="shared" si="8"/>
        <v>-1630436461403549</v>
      </c>
      <c r="J66" s="11">
        <f t="shared" si="8"/>
        <v>10942526586601</v>
      </c>
      <c r="K66" s="11">
        <f t="shared" si="8"/>
        <v>-73439775749</v>
      </c>
      <c r="L66" s="11">
        <f t="shared" si="8"/>
        <v>492884401</v>
      </c>
      <c r="M66" s="11">
        <f t="shared" si="8"/>
        <v>-3307949</v>
      </c>
      <c r="N66" s="11">
        <f t="shared" si="8"/>
        <v>22201</v>
      </c>
      <c r="O66" s="11">
        <f t="shared" si="8"/>
        <v>-149</v>
      </c>
      <c r="P66" s="11">
        <f t="shared" si="7"/>
        <v>0</v>
      </c>
    </row>
    <row r="67" spans="1:16" x14ac:dyDescent="0.25">
      <c r="A67" s="11">
        <f t="shared" si="6"/>
        <v>12</v>
      </c>
      <c r="B67">
        <v>-39.218305445682489</v>
      </c>
      <c r="E67" s="11">
        <f>A67-'Mastercurve bestimmen'!$B$2</f>
        <v>-148</v>
      </c>
      <c r="F67" s="11">
        <f t="shared" si="4"/>
        <v>-39.218305445682489</v>
      </c>
      <c r="G67" s="11"/>
      <c r="H67" s="11">
        <f t="shared" si="8"/>
        <v>2.3019385349216666E+17</v>
      </c>
      <c r="I67" s="11">
        <f t="shared" si="8"/>
        <v>-1555363874947072</v>
      </c>
      <c r="J67" s="11">
        <f t="shared" si="8"/>
        <v>10509215371264</v>
      </c>
      <c r="K67" s="11">
        <f t="shared" si="8"/>
        <v>-71008211968</v>
      </c>
      <c r="L67" s="11">
        <f t="shared" si="8"/>
        <v>479785216</v>
      </c>
      <c r="M67" s="11">
        <f t="shared" si="8"/>
        <v>-3241792</v>
      </c>
      <c r="N67" s="11">
        <f t="shared" si="8"/>
        <v>21904</v>
      </c>
      <c r="O67" s="11">
        <f t="shared" si="8"/>
        <v>-148</v>
      </c>
      <c r="P67" s="11">
        <f t="shared" si="7"/>
        <v>0</v>
      </c>
    </row>
    <row r="68" spans="1:16" x14ac:dyDescent="0.25">
      <c r="A68" s="11">
        <f t="shared" si="6"/>
        <v>13</v>
      </c>
      <c r="B68">
        <v>-39.005640740130431</v>
      </c>
      <c r="E68" s="11">
        <f>A68-'Mastercurve bestimmen'!$B$2</f>
        <v>-147</v>
      </c>
      <c r="F68" s="11">
        <f t="shared" si="4"/>
        <v>-39.005640740130431</v>
      </c>
      <c r="G68" s="11"/>
      <c r="H68" s="11">
        <f t="shared" si="8"/>
        <v>2.1804125746715216E+17</v>
      </c>
      <c r="I68" s="11">
        <f t="shared" si="8"/>
        <v>-1483273860320763</v>
      </c>
      <c r="J68" s="11">
        <f t="shared" si="8"/>
        <v>10090298369529</v>
      </c>
      <c r="K68" s="11">
        <f t="shared" si="8"/>
        <v>-68641485507</v>
      </c>
      <c r="L68" s="11">
        <f t="shared" si="8"/>
        <v>466948881</v>
      </c>
      <c r="M68" s="11">
        <f t="shared" si="8"/>
        <v>-3176523</v>
      </c>
      <c r="N68" s="11">
        <f t="shared" si="8"/>
        <v>21609</v>
      </c>
      <c r="O68" s="11">
        <f t="shared" si="8"/>
        <v>-147</v>
      </c>
      <c r="P68" s="11">
        <f t="shared" si="7"/>
        <v>0</v>
      </c>
    </row>
    <row r="69" spans="1:16" x14ac:dyDescent="0.25">
      <c r="A69" s="11">
        <f t="shared" si="6"/>
        <v>14</v>
      </c>
      <c r="B69">
        <v>-38.793425414737875</v>
      </c>
      <c r="E69" s="11">
        <f>A69-'Mastercurve bestimmen'!$B$2</f>
        <v>-146</v>
      </c>
      <c r="F69" s="11">
        <f t="shared" si="4"/>
        <v>-38.793425414737875</v>
      </c>
      <c r="G69" s="11"/>
      <c r="H69" s="11">
        <f t="shared" si="8"/>
        <v>2.0645378352488474E+17</v>
      </c>
      <c r="I69" s="11">
        <f t="shared" si="8"/>
        <v>-1414067010444416</v>
      </c>
      <c r="J69" s="11">
        <f t="shared" si="8"/>
        <v>9685390482496</v>
      </c>
      <c r="K69" s="11">
        <f t="shared" si="8"/>
        <v>-66338290976</v>
      </c>
      <c r="L69" s="11">
        <f t="shared" si="8"/>
        <v>454371856</v>
      </c>
      <c r="M69" s="11">
        <f t="shared" si="8"/>
        <v>-3112136</v>
      </c>
      <c r="N69" s="11">
        <f t="shared" si="8"/>
        <v>21316</v>
      </c>
      <c r="O69" s="11">
        <f t="shared" si="8"/>
        <v>-146</v>
      </c>
      <c r="P69" s="11">
        <f t="shared" si="7"/>
        <v>0</v>
      </c>
    </row>
    <row r="70" spans="1:16" x14ac:dyDescent="0.25">
      <c r="A70" s="11">
        <f t="shared" si="6"/>
        <v>15</v>
      </c>
      <c r="B70">
        <v>-38.582538002285915</v>
      </c>
      <c r="E70" s="11">
        <f>A70-'Mastercurve bestimmen'!$B$2</f>
        <v>-145</v>
      </c>
      <c r="F70" s="11">
        <f t="shared" si="4"/>
        <v>-38.582538002285915</v>
      </c>
      <c r="G70" s="11"/>
      <c r="H70" s="11">
        <f t="shared" si="8"/>
        <v>1.9540875506289062E+17</v>
      </c>
      <c r="I70" s="11">
        <f t="shared" si="8"/>
        <v>-1347646586640625</v>
      </c>
      <c r="J70" s="11">
        <f t="shared" si="8"/>
        <v>9294114390625</v>
      </c>
      <c r="K70" s="11">
        <f t="shared" si="8"/>
        <v>-64097340625</v>
      </c>
      <c r="L70" s="11">
        <f t="shared" si="8"/>
        <v>442050625</v>
      </c>
      <c r="M70" s="11">
        <f t="shared" si="8"/>
        <v>-3048625</v>
      </c>
      <c r="N70" s="11">
        <f t="shared" si="8"/>
        <v>21025</v>
      </c>
      <c r="O70" s="11">
        <f t="shared" si="8"/>
        <v>-145</v>
      </c>
      <c r="P70" s="11">
        <f t="shared" si="7"/>
        <v>0</v>
      </c>
    </row>
    <row r="71" spans="1:16" x14ac:dyDescent="0.25">
      <c r="A71" s="11">
        <f t="shared" si="6"/>
        <v>16</v>
      </c>
      <c r="B71">
        <v>-38.373857035555602</v>
      </c>
      <c r="E71" s="11">
        <f>A71-'Mastercurve bestimmen'!$B$2</f>
        <v>-144</v>
      </c>
      <c r="F71" s="11">
        <f t="shared" si="4"/>
        <v>-38.373857035555602</v>
      </c>
      <c r="G71" s="11"/>
      <c r="H71" s="11">
        <f t="shared" si="8"/>
        <v>1.8488425889503642E+17</v>
      </c>
      <c r="I71" s="11">
        <f t="shared" si="8"/>
        <v>-1283918464548864</v>
      </c>
      <c r="J71" s="11">
        <f t="shared" si="8"/>
        <v>8916100448256</v>
      </c>
      <c r="K71" s="11">
        <f t="shared" si="8"/>
        <v>-61917364224</v>
      </c>
      <c r="L71" s="11">
        <f t="shared" si="8"/>
        <v>429981696</v>
      </c>
      <c r="M71" s="11">
        <f t="shared" si="8"/>
        <v>-2985984</v>
      </c>
      <c r="N71" s="11">
        <f t="shared" si="8"/>
        <v>20736</v>
      </c>
      <c r="O71" s="11">
        <f t="shared" si="8"/>
        <v>-144</v>
      </c>
      <c r="P71" s="11">
        <f t="shared" si="7"/>
        <v>0</v>
      </c>
    </row>
    <row r="72" spans="1:16" x14ac:dyDescent="0.25">
      <c r="A72" s="11">
        <f t="shared" si="6"/>
        <v>17</v>
      </c>
      <c r="B72">
        <v>-38.168261047328016</v>
      </c>
      <c r="E72" s="11">
        <f>A72-'Mastercurve bestimmen'!$B$2</f>
        <v>-143</v>
      </c>
      <c r="F72" s="11">
        <f t="shared" si="4"/>
        <v>-38.168261047328016</v>
      </c>
      <c r="G72" s="11"/>
      <c r="H72" s="11">
        <f t="shared" si="8"/>
        <v>1.748591245508832E+17</v>
      </c>
      <c r="I72" s="11">
        <f t="shared" si="8"/>
        <v>-1222791080775407</v>
      </c>
      <c r="J72" s="11">
        <f t="shared" si="8"/>
        <v>8550986578849</v>
      </c>
      <c r="K72" s="11">
        <f t="shared" si="8"/>
        <v>-59797108943</v>
      </c>
      <c r="L72" s="11">
        <f t="shared" si="8"/>
        <v>418161601</v>
      </c>
      <c r="M72" s="11">
        <f t="shared" si="8"/>
        <v>-2924207</v>
      </c>
      <c r="N72" s="11">
        <f t="shared" si="8"/>
        <v>20449</v>
      </c>
      <c r="O72" s="11">
        <f t="shared" si="8"/>
        <v>-143</v>
      </c>
      <c r="P72" s="11">
        <f t="shared" si="7"/>
        <v>0</v>
      </c>
    </row>
    <row r="73" spans="1:16" x14ac:dyDescent="0.25">
      <c r="A73" s="11">
        <f t="shared" si="6"/>
        <v>18</v>
      </c>
      <c r="B73">
        <v>-37.966628570384223</v>
      </c>
      <c r="E73" s="11">
        <f>A73-'Mastercurve bestimmen'!$B$2</f>
        <v>-142</v>
      </c>
      <c r="F73" s="11">
        <f t="shared" si="4"/>
        <v>-37.966628570384223</v>
      </c>
      <c r="G73" s="11"/>
      <c r="H73" s="11">
        <f t="shared" si="8"/>
        <v>1.6531290399891482E+17</v>
      </c>
      <c r="I73" s="11">
        <f t="shared" si="8"/>
        <v>-1164175380274048</v>
      </c>
      <c r="J73" s="11">
        <f t="shared" si="8"/>
        <v>8198418170944</v>
      </c>
      <c r="K73" s="11">
        <f t="shared" si="8"/>
        <v>-57735339232</v>
      </c>
      <c r="L73" s="11">
        <f t="shared" si="8"/>
        <v>406586896</v>
      </c>
      <c r="M73" s="11">
        <f t="shared" si="8"/>
        <v>-2863288</v>
      </c>
      <c r="N73" s="11">
        <f t="shared" si="8"/>
        <v>20164</v>
      </c>
      <c r="O73" s="11">
        <f t="shared" si="8"/>
        <v>-142</v>
      </c>
      <c r="P73" s="11">
        <f t="shared" si="7"/>
        <v>0</v>
      </c>
    </row>
    <row r="74" spans="1:16" x14ac:dyDescent="0.25">
      <c r="A74" s="11">
        <f t="shared" si="6"/>
        <v>19</v>
      </c>
      <c r="B74">
        <v>-37.769838137505289</v>
      </c>
      <c r="E74" s="11">
        <f>A74-'Mastercurve bestimmen'!$B$2</f>
        <v>-141</v>
      </c>
      <c r="F74" s="11">
        <f t="shared" si="4"/>
        <v>-37.769838137505289</v>
      </c>
      <c r="G74" s="11"/>
      <c r="H74" s="11">
        <f t="shared" si="8"/>
        <v>1.5622585178781392E+17</v>
      </c>
      <c r="I74" s="11">
        <f t="shared" si="8"/>
        <v>-1107984764452581</v>
      </c>
      <c r="J74" s="11">
        <f t="shared" si="8"/>
        <v>7858047974841</v>
      </c>
      <c r="K74" s="11">
        <f t="shared" si="8"/>
        <v>-55730836701</v>
      </c>
      <c r="L74" s="11">
        <f t="shared" si="8"/>
        <v>395254161</v>
      </c>
      <c r="M74" s="11">
        <f t="shared" si="8"/>
        <v>-2803221</v>
      </c>
      <c r="N74" s="11">
        <f t="shared" si="8"/>
        <v>19881</v>
      </c>
      <c r="O74" s="11">
        <f t="shared" si="8"/>
        <v>-141</v>
      </c>
      <c r="P74" s="11">
        <f t="shared" si="7"/>
        <v>0</v>
      </c>
    </row>
    <row r="75" spans="1:16" x14ac:dyDescent="0.25">
      <c r="A75" s="11">
        <f t="shared" si="6"/>
        <v>20</v>
      </c>
      <c r="B75">
        <v>-37.578768281472286</v>
      </c>
      <c r="E75" s="11">
        <f>A75-'Mastercurve bestimmen'!$B$2</f>
        <v>-140</v>
      </c>
      <c r="F75" s="11">
        <f t="shared" si="4"/>
        <v>-37.578768281472286</v>
      </c>
      <c r="G75" s="11"/>
      <c r="H75" s="11">
        <f t="shared" si="8"/>
        <v>1.475789056E+17</v>
      </c>
      <c r="I75" s="11">
        <f t="shared" si="8"/>
        <v>-1054135040000000</v>
      </c>
      <c r="J75" s="11">
        <f t="shared" si="8"/>
        <v>7529536000000</v>
      </c>
      <c r="K75" s="11">
        <f t="shared" si="8"/>
        <v>-53782400000</v>
      </c>
      <c r="L75" s="11">
        <f t="shared" si="8"/>
        <v>384160000</v>
      </c>
      <c r="M75" s="11">
        <f t="shared" si="8"/>
        <v>-2744000</v>
      </c>
      <c r="N75" s="11">
        <f t="shared" si="8"/>
        <v>19600</v>
      </c>
      <c r="O75" s="11">
        <f t="shared" si="8"/>
        <v>-140</v>
      </c>
      <c r="P75" s="11">
        <f t="shared" si="7"/>
        <v>0</v>
      </c>
    </row>
    <row r="76" spans="1:16" x14ac:dyDescent="0.25">
      <c r="A76" s="11">
        <f t="shared" si="6"/>
        <v>21</v>
      </c>
      <c r="B76">
        <v>-37.394297535066272</v>
      </c>
      <c r="E76" s="11">
        <f>A76-'Mastercurve bestimmen'!$B$2</f>
        <v>-139</v>
      </c>
      <c r="F76" s="11">
        <f t="shared" si="4"/>
        <v>-37.394297535066272</v>
      </c>
      <c r="G76" s="11"/>
      <c r="H76" s="11">
        <f t="shared" si="8"/>
        <v>1.3935366721168368E+17</v>
      </c>
      <c r="I76" s="11">
        <f t="shared" si="8"/>
        <v>-1002544368429379</v>
      </c>
      <c r="J76" s="11">
        <f t="shared" si="8"/>
        <v>7212549413161</v>
      </c>
      <c r="K76" s="11">
        <f t="shared" si="8"/>
        <v>-51888844699</v>
      </c>
      <c r="L76" s="11">
        <f t="shared" si="8"/>
        <v>373301041</v>
      </c>
      <c r="M76" s="11">
        <f t="shared" si="8"/>
        <v>-2685619</v>
      </c>
      <c r="N76" s="11">
        <f t="shared" si="8"/>
        <v>19321</v>
      </c>
      <c r="O76" s="11">
        <f t="shared" si="8"/>
        <v>-139</v>
      </c>
      <c r="P76" s="11">
        <f t="shared" si="7"/>
        <v>0</v>
      </c>
    </row>
    <row r="77" spans="1:16" x14ac:dyDescent="0.25">
      <c r="A77" s="11">
        <f t="shared" si="6"/>
        <v>22</v>
      </c>
      <c r="B77">
        <v>-37.217304431068328</v>
      </c>
      <c r="E77" s="11">
        <f>A77-'Mastercurve bestimmen'!$B$2</f>
        <v>-138</v>
      </c>
      <c r="F77" s="11">
        <f t="shared" si="4"/>
        <v>-37.217304431068328</v>
      </c>
      <c r="G77" s="11"/>
      <c r="H77" s="11">
        <f t="shared" si="8"/>
        <v>1.315323838537321E+17</v>
      </c>
      <c r="I77" s="11">
        <f t="shared" si="8"/>
        <v>-953133216331392</v>
      </c>
      <c r="J77" s="11">
        <f t="shared" si="8"/>
        <v>6906762437184</v>
      </c>
      <c r="K77" s="11">
        <f t="shared" si="8"/>
        <v>-50049003168</v>
      </c>
      <c r="L77" s="11">
        <f t="shared" si="8"/>
        <v>362673936</v>
      </c>
      <c r="M77" s="11">
        <f t="shared" si="8"/>
        <v>-2628072</v>
      </c>
      <c r="N77" s="11">
        <f t="shared" si="8"/>
        <v>19044</v>
      </c>
      <c r="O77" s="11">
        <f t="shared" si="8"/>
        <v>-138</v>
      </c>
      <c r="P77" s="11">
        <f t="shared" si="7"/>
        <v>0</v>
      </c>
    </row>
    <row r="78" spans="1:16" x14ac:dyDescent="0.25">
      <c r="A78" s="11">
        <f t="shared" si="6"/>
        <v>23</v>
      </c>
      <c r="B78">
        <v>-37.048667502259519</v>
      </c>
      <c r="E78" s="11">
        <f>A78-'Mastercurve bestimmen'!$B$2</f>
        <v>-137</v>
      </c>
      <c r="F78" s="11">
        <f t="shared" si="4"/>
        <v>-37.048667502259519</v>
      </c>
      <c r="G78" s="11"/>
      <c r="H78" s="11">
        <f t="shared" si="8"/>
        <v>1.2409792996768032E+17</v>
      </c>
      <c r="I78" s="11">
        <f t="shared" si="8"/>
        <v>-905824306333433</v>
      </c>
      <c r="J78" s="11">
        <f t="shared" si="8"/>
        <v>6611856250609</v>
      </c>
      <c r="K78" s="11">
        <f t="shared" si="8"/>
        <v>-48261724457</v>
      </c>
      <c r="L78" s="11">
        <f t="shared" si="8"/>
        <v>352275361</v>
      </c>
      <c r="M78" s="11">
        <f t="shared" si="8"/>
        <v>-2571353</v>
      </c>
      <c r="N78" s="11">
        <f t="shared" si="8"/>
        <v>18769</v>
      </c>
      <c r="O78" s="11">
        <f t="shared" si="8"/>
        <v>-137</v>
      </c>
      <c r="P78" s="11">
        <f t="shared" si="7"/>
        <v>0</v>
      </c>
    </row>
    <row r="79" spans="1:16" x14ac:dyDescent="0.25">
      <c r="A79" s="11">
        <f t="shared" si="6"/>
        <v>24</v>
      </c>
      <c r="B79">
        <v>-36.889265281420904</v>
      </c>
      <c r="E79" s="11">
        <f>A79-'Mastercurve bestimmen'!$B$2</f>
        <v>-136</v>
      </c>
      <c r="F79" s="11">
        <f t="shared" si="4"/>
        <v>-36.889265281420904</v>
      </c>
      <c r="G79" s="11"/>
      <c r="H79" s="11">
        <f t="shared" si="8"/>
        <v>1.1703378935126426E+17</v>
      </c>
      <c r="I79" s="11">
        <f t="shared" si="8"/>
        <v>-860542568759296</v>
      </c>
      <c r="J79" s="11">
        <f t="shared" si="8"/>
        <v>6327518887936</v>
      </c>
      <c r="K79" s="11">
        <f t="shared" si="8"/>
        <v>-46525874176</v>
      </c>
      <c r="L79" s="11">
        <f t="shared" si="8"/>
        <v>342102016</v>
      </c>
      <c r="M79" s="11">
        <f t="shared" si="8"/>
        <v>-2515456</v>
      </c>
      <c r="N79" s="11">
        <f t="shared" si="8"/>
        <v>18496</v>
      </c>
      <c r="O79" s="11">
        <f t="shared" ref="I79:O116" si="9">IF($H$12&gt;=O$14,$E79^O$14,0)</f>
        <v>-136</v>
      </c>
      <c r="P79" s="11">
        <f t="shared" si="7"/>
        <v>0</v>
      </c>
    </row>
    <row r="80" spans="1:16" x14ac:dyDescent="0.25">
      <c r="A80" s="11">
        <f t="shared" si="6"/>
        <v>25</v>
      </c>
      <c r="B80">
        <v>-36.73997630133357</v>
      </c>
      <c r="E80" s="11">
        <f>A80-'Mastercurve bestimmen'!$B$2</f>
        <v>-135</v>
      </c>
      <c r="F80" s="11">
        <f t="shared" ref="F80:F143" si="10">B80</f>
        <v>-36.73997630133357</v>
      </c>
      <c r="G80" s="11"/>
      <c r="H80" s="11">
        <f t="shared" ref="H80:H143" si="11">IF($H$12&gt;=H$14,$E80^H$14,0)</f>
        <v>1.1032403768789062E+17</v>
      </c>
      <c r="I80" s="11">
        <f t="shared" si="9"/>
        <v>-817215093984375</v>
      </c>
      <c r="J80" s="11">
        <f t="shared" si="9"/>
        <v>6053445140625</v>
      </c>
      <c r="K80" s="11">
        <f t="shared" si="9"/>
        <v>-44840334375</v>
      </c>
      <c r="L80" s="11">
        <f t="shared" si="9"/>
        <v>332150625</v>
      </c>
      <c r="M80" s="11">
        <f t="shared" si="9"/>
        <v>-2460375</v>
      </c>
      <c r="N80" s="11">
        <f t="shared" si="9"/>
        <v>18225</v>
      </c>
      <c r="O80" s="11">
        <f t="shared" si="9"/>
        <v>-135</v>
      </c>
      <c r="P80" s="11">
        <f t="shared" si="7"/>
        <v>0</v>
      </c>
    </row>
    <row r="81" spans="1:16" x14ac:dyDescent="0.25">
      <c r="A81" s="11">
        <f t="shared" ref="A81:A144" si="12">A80+1</f>
        <v>26</v>
      </c>
      <c r="B81">
        <v>-36.601377050426386</v>
      </c>
      <c r="E81" s="11">
        <f>A81-'Mastercurve bestimmen'!$B$2</f>
        <v>-134</v>
      </c>
      <c r="F81" s="11">
        <f t="shared" si="10"/>
        <v>-36.601377050426386</v>
      </c>
      <c r="G81" s="11"/>
      <c r="H81" s="11">
        <f t="shared" si="11"/>
        <v>1.039533254545001E+17</v>
      </c>
      <c r="I81" s="11">
        <f t="shared" si="9"/>
        <v>-775771085481344</v>
      </c>
      <c r="J81" s="11">
        <f t="shared" si="9"/>
        <v>5789336458816</v>
      </c>
      <c r="K81" s="11">
        <f t="shared" si="9"/>
        <v>-43204003424</v>
      </c>
      <c r="L81" s="11">
        <f t="shared" si="9"/>
        <v>322417936</v>
      </c>
      <c r="M81" s="11">
        <f t="shared" si="9"/>
        <v>-2406104</v>
      </c>
      <c r="N81" s="11">
        <f t="shared" si="9"/>
        <v>17956</v>
      </c>
      <c r="O81" s="11">
        <f t="shared" si="9"/>
        <v>-134</v>
      </c>
      <c r="P81" s="11">
        <f t="shared" ref="P81:P144" si="13">P80</f>
        <v>0</v>
      </c>
    </row>
    <row r="82" spans="1:16" x14ac:dyDescent="0.25">
      <c r="A82" s="11">
        <f t="shared" si="12"/>
        <v>27</v>
      </c>
      <c r="B82">
        <v>-36.472835839719551</v>
      </c>
      <c r="E82" s="11">
        <f>A82-'Mastercurve bestimmen'!$B$2</f>
        <v>-133</v>
      </c>
      <c r="F82" s="11">
        <f t="shared" si="10"/>
        <v>-36.472835839719551</v>
      </c>
      <c r="G82" s="11"/>
      <c r="H82" s="11">
        <f t="shared" si="11"/>
        <v>9.790686120231984E+16</v>
      </c>
      <c r="I82" s="11">
        <f t="shared" si="9"/>
        <v>-736141813551277</v>
      </c>
      <c r="J82" s="11">
        <f t="shared" si="9"/>
        <v>5534900853769</v>
      </c>
      <c r="K82" s="11">
        <f t="shared" si="9"/>
        <v>-41615795893</v>
      </c>
      <c r="L82" s="11">
        <f t="shared" si="9"/>
        <v>312900721</v>
      </c>
      <c r="M82" s="11">
        <f t="shared" si="9"/>
        <v>-2352637</v>
      </c>
      <c r="N82" s="11">
        <f t="shared" si="9"/>
        <v>17689</v>
      </c>
      <c r="O82" s="11">
        <f t="shared" si="9"/>
        <v>-133</v>
      </c>
      <c r="P82" s="11">
        <f t="shared" si="13"/>
        <v>0</v>
      </c>
    </row>
    <row r="83" spans="1:16" x14ac:dyDescent="0.25">
      <c r="A83" s="11">
        <f t="shared" si="12"/>
        <v>28</v>
      </c>
      <c r="B83">
        <v>-36.353418935881052</v>
      </c>
      <c r="E83" s="11">
        <f>A83-'Mastercurve bestimmen'!$B$2</f>
        <v>-132</v>
      </c>
      <c r="F83" s="11">
        <f t="shared" si="10"/>
        <v>-36.353418935881052</v>
      </c>
      <c r="G83" s="11"/>
      <c r="H83" s="11">
        <f t="shared" si="11"/>
        <v>9.2170395205042176E+16</v>
      </c>
      <c r="I83" s="11">
        <f t="shared" si="9"/>
        <v>-698260569735168</v>
      </c>
      <c r="J83" s="11">
        <f t="shared" si="9"/>
        <v>5289852801024</v>
      </c>
      <c r="K83" s="11">
        <f t="shared" si="9"/>
        <v>-40074642432</v>
      </c>
      <c r="L83" s="11">
        <f t="shared" si="9"/>
        <v>303595776</v>
      </c>
      <c r="M83" s="11">
        <f t="shared" si="9"/>
        <v>-2299968</v>
      </c>
      <c r="N83" s="11">
        <f t="shared" si="9"/>
        <v>17424</v>
      </c>
      <c r="O83" s="11">
        <f t="shared" si="9"/>
        <v>-132</v>
      </c>
      <c r="P83" s="11">
        <f t="shared" si="13"/>
        <v>0</v>
      </c>
    </row>
    <row r="84" spans="1:16" x14ac:dyDescent="0.25">
      <c r="A84" s="11">
        <f t="shared" si="12"/>
        <v>29</v>
      </c>
      <c r="B84">
        <v>-36.242192605578893</v>
      </c>
      <c r="E84" s="11">
        <f>A84-'Mastercurve bestimmen'!$B$2</f>
        <v>-131</v>
      </c>
      <c r="F84" s="11">
        <f t="shared" si="10"/>
        <v>-36.242192605578893</v>
      </c>
      <c r="G84" s="11"/>
      <c r="H84" s="11">
        <f t="shared" si="11"/>
        <v>8.673020346900624E+16</v>
      </c>
      <c r="I84" s="11">
        <f t="shared" si="9"/>
        <v>-662062621900811</v>
      </c>
      <c r="J84" s="11">
        <f t="shared" si="9"/>
        <v>5053913144281</v>
      </c>
      <c r="K84" s="11">
        <f t="shared" si="9"/>
        <v>-38579489651</v>
      </c>
      <c r="L84" s="11">
        <f t="shared" si="9"/>
        <v>294499921</v>
      </c>
      <c r="M84" s="11">
        <f t="shared" si="9"/>
        <v>-2248091</v>
      </c>
      <c r="N84" s="11">
        <f t="shared" si="9"/>
        <v>17161</v>
      </c>
      <c r="O84" s="11">
        <f t="shared" si="9"/>
        <v>-131</v>
      </c>
      <c r="P84" s="11">
        <f t="shared" si="13"/>
        <v>0</v>
      </c>
    </row>
    <row r="85" spans="1:16" x14ac:dyDescent="0.25">
      <c r="A85" s="11">
        <f t="shared" si="12"/>
        <v>30</v>
      </c>
      <c r="B85">
        <v>-36.138223115481082</v>
      </c>
      <c r="E85" s="11">
        <f>A85-'Mastercurve bestimmen'!$B$2</f>
        <v>-130</v>
      </c>
      <c r="F85" s="11">
        <f t="shared" si="10"/>
        <v>-36.138223115481082</v>
      </c>
      <c r="G85" s="11"/>
      <c r="H85" s="11">
        <f t="shared" si="11"/>
        <v>8.15730721E+16</v>
      </c>
      <c r="I85" s="11">
        <f t="shared" si="9"/>
        <v>-627485170000000</v>
      </c>
      <c r="J85" s="11">
        <f t="shared" si="9"/>
        <v>4826809000000</v>
      </c>
      <c r="K85" s="11">
        <f t="shared" si="9"/>
        <v>-37129300000</v>
      </c>
      <c r="L85" s="11">
        <f t="shared" si="9"/>
        <v>285610000</v>
      </c>
      <c r="M85" s="11">
        <f t="shared" si="9"/>
        <v>-2197000</v>
      </c>
      <c r="N85" s="11">
        <f t="shared" si="9"/>
        <v>16900</v>
      </c>
      <c r="O85" s="11">
        <f t="shared" si="9"/>
        <v>-130</v>
      </c>
      <c r="P85" s="11">
        <f t="shared" si="13"/>
        <v>0</v>
      </c>
    </row>
    <row r="86" spans="1:16" x14ac:dyDescent="0.25">
      <c r="A86" s="11">
        <f t="shared" si="12"/>
        <v>31</v>
      </c>
      <c r="B86">
        <v>-36.040576732255616</v>
      </c>
      <c r="E86" s="11">
        <f>A86-'Mastercurve bestimmen'!$B$2</f>
        <v>-129</v>
      </c>
      <c r="F86" s="11">
        <f t="shared" si="10"/>
        <v>-36.040576732255616</v>
      </c>
      <c r="G86" s="11"/>
      <c r="H86" s="11">
        <f t="shared" si="11"/>
        <v>7.668628202134016E+16</v>
      </c>
      <c r="I86" s="11">
        <f t="shared" si="9"/>
        <v>-594467302491009</v>
      </c>
      <c r="J86" s="11">
        <f t="shared" si="9"/>
        <v>4608273662721</v>
      </c>
      <c r="K86" s="11">
        <f t="shared" si="9"/>
        <v>-35723051649</v>
      </c>
      <c r="L86" s="11">
        <f t="shared" si="9"/>
        <v>276922881</v>
      </c>
      <c r="M86" s="11">
        <f t="shared" si="9"/>
        <v>-2146689</v>
      </c>
      <c r="N86" s="11">
        <f t="shared" si="9"/>
        <v>16641</v>
      </c>
      <c r="O86" s="11">
        <f t="shared" si="9"/>
        <v>-129</v>
      </c>
      <c r="P86" s="11">
        <f t="shared" si="13"/>
        <v>0</v>
      </c>
    </row>
    <row r="87" spans="1:16" x14ac:dyDescent="0.25">
      <c r="A87" s="11">
        <f t="shared" si="12"/>
        <v>32</v>
      </c>
      <c r="B87">
        <v>-35.948319722570488</v>
      </c>
      <c r="E87" s="11">
        <f>A87-'Mastercurve bestimmen'!$B$2</f>
        <v>-128</v>
      </c>
      <c r="F87" s="11">
        <f t="shared" si="10"/>
        <v>-35.948319722570488</v>
      </c>
      <c r="G87" s="11"/>
      <c r="H87" s="11">
        <f t="shared" si="11"/>
        <v>7.2057594037927936E+16</v>
      </c>
      <c r="I87" s="11">
        <f t="shared" si="9"/>
        <v>-562949953421312</v>
      </c>
      <c r="J87" s="11">
        <f t="shared" si="9"/>
        <v>4398046511104</v>
      </c>
      <c r="K87" s="11">
        <f t="shared" si="9"/>
        <v>-34359738368</v>
      </c>
      <c r="L87" s="11">
        <f t="shared" si="9"/>
        <v>268435456</v>
      </c>
      <c r="M87" s="11">
        <f t="shared" si="9"/>
        <v>-2097152</v>
      </c>
      <c r="N87" s="11">
        <f t="shared" si="9"/>
        <v>16384</v>
      </c>
      <c r="O87" s="11">
        <f t="shared" si="9"/>
        <v>-128</v>
      </c>
      <c r="P87" s="11">
        <f t="shared" si="13"/>
        <v>0</v>
      </c>
    </row>
    <row r="88" spans="1:16" x14ac:dyDescent="0.25">
      <c r="A88" s="11">
        <f t="shared" si="12"/>
        <v>33</v>
      </c>
      <c r="B88">
        <v>-35.86051835309371</v>
      </c>
      <c r="E88" s="11">
        <f>A88-'Mastercurve bestimmen'!$B$2</f>
        <v>-127</v>
      </c>
      <c r="F88" s="11">
        <f t="shared" si="10"/>
        <v>-35.86051835309371</v>
      </c>
      <c r="G88" s="11"/>
      <c r="H88" s="11">
        <f t="shared" si="11"/>
        <v>6.767523424101888E+16</v>
      </c>
      <c r="I88" s="11">
        <f t="shared" si="9"/>
        <v>-532875860165503</v>
      </c>
      <c r="J88" s="11">
        <f t="shared" si="9"/>
        <v>4195872914689</v>
      </c>
      <c r="K88" s="11">
        <f t="shared" si="9"/>
        <v>-33038369407</v>
      </c>
      <c r="L88" s="11">
        <f t="shared" si="9"/>
        <v>260144641</v>
      </c>
      <c r="M88" s="11">
        <f t="shared" si="9"/>
        <v>-2048383</v>
      </c>
      <c r="N88" s="11">
        <f t="shared" si="9"/>
        <v>16129</v>
      </c>
      <c r="O88" s="11">
        <f t="shared" si="9"/>
        <v>-127</v>
      </c>
      <c r="P88" s="11">
        <f t="shared" si="13"/>
        <v>0</v>
      </c>
    </row>
    <row r="89" spans="1:16" x14ac:dyDescent="0.25">
      <c r="A89" s="11">
        <f t="shared" si="12"/>
        <v>34</v>
      </c>
      <c r="B89">
        <v>-35.776238890493282</v>
      </c>
      <c r="E89" s="11">
        <f>A89-'Mastercurve bestimmen'!$B$2</f>
        <v>-126</v>
      </c>
      <c r="F89" s="11">
        <f t="shared" si="10"/>
        <v>-35.776238890493282</v>
      </c>
      <c r="G89" s="11"/>
      <c r="H89" s="11">
        <f t="shared" si="11"/>
        <v>6.3527879748485376E+16</v>
      </c>
      <c r="I89" s="11">
        <f t="shared" si="9"/>
        <v>-504189521813376</v>
      </c>
      <c r="J89" s="11">
        <f t="shared" si="9"/>
        <v>4001504141376</v>
      </c>
      <c r="K89" s="11">
        <f t="shared" si="9"/>
        <v>-31757969376</v>
      </c>
      <c r="L89" s="11">
        <f t="shared" si="9"/>
        <v>252047376</v>
      </c>
      <c r="M89" s="11">
        <f t="shared" si="9"/>
        <v>-2000376</v>
      </c>
      <c r="N89" s="11">
        <f t="shared" si="9"/>
        <v>15876</v>
      </c>
      <c r="O89" s="11">
        <f t="shared" si="9"/>
        <v>-126</v>
      </c>
      <c r="P89" s="11">
        <f t="shared" si="13"/>
        <v>0</v>
      </c>
    </row>
    <row r="90" spans="1:16" x14ac:dyDescent="0.25">
      <c r="A90" s="11">
        <f t="shared" si="12"/>
        <v>35</v>
      </c>
      <c r="B90">
        <v>-35.694547601437208</v>
      </c>
      <c r="E90" s="11">
        <f>A90-'Mastercurve bestimmen'!$B$2</f>
        <v>-125</v>
      </c>
      <c r="F90" s="11">
        <f t="shared" si="10"/>
        <v>-35.694547601437208</v>
      </c>
      <c r="G90" s="11"/>
      <c r="H90" s="11">
        <f t="shared" si="11"/>
        <v>5.9604644775390624E+16</v>
      </c>
      <c r="I90" s="11">
        <f t="shared" si="9"/>
        <v>-476837158203125</v>
      </c>
      <c r="J90" s="11">
        <f t="shared" si="9"/>
        <v>3814697265625</v>
      </c>
      <c r="K90" s="11">
        <f t="shared" si="9"/>
        <v>-30517578125</v>
      </c>
      <c r="L90" s="11">
        <f t="shared" si="9"/>
        <v>244140625</v>
      </c>
      <c r="M90" s="11">
        <f t="shared" si="9"/>
        <v>-1953125</v>
      </c>
      <c r="N90" s="11">
        <f t="shared" si="9"/>
        <v>15625</v>
      </c>
      <c r="O90" s="11">
        <f t="shared" si="9"/>
        <v>-125</v>
      </c>
      <c r="P90" s="11">
        <f t="shared" si="13"/>
        <v>0</v>
      </c>
    </row>
    <row r="91" spans="1:16" x14ac:dyDescent="0.25">
      <c r="A91" s="11">
        <f t="shared" si="12"/>
        <v>36</v>
      </c>
      <c r="B91">
        <v>-35.614510752593475</v>
      </c>
      <c r="E91" s="11">
        <f>A91-'Mastercurve bestimmen'!$B$2</f>
        <v>-124</v>
      </c>
      <c r="F91" s="11">
        <f t="shared" si="10"/>
        <v>-35.614510752593475</v>
      </c>
      <c r="G91" s="11"/>
      <c r="H91" s="11">
        <f t="shared" si="11"/>
        <v>5.5895067029733376E+16</v>
      </c>
      <c r="I91" s="11">
        <f t="shared" si="9"/>
        <v>-450766669594624</v>
      </c>
      <c r="J91" s="11">
        <f t="shared" si="9"/>
        <v>3635215077376</v>
      </c>
      <c r="K91" s="11">
        <f t="shared" si="9"/>
        <v>-29316250624</v>
      </c>
      <c r="L91" s="11">
        <f t="shared" si="9"/>
        <v>236421376</v>
      </c>
      <c r="M91" s="11">
        <f t="shared" si="9"/>
        <v>-1906624</v>
      </c>
      <c r="N91" s="11">
        <f t="shared" si="9"/>
        <v>15376</v>
      </c>
      <c r="O91" s="11">
        <f t="shared" si="9"/>
        <v>-124</v>
      </c>
      <c r="P91" s="11">
        <f t="shared" si="13"/>
        <v>0</v>
      </c>
    </row>
    <row r="92" spans="1:16" x14ac:dyDescent="0.25">
      <c r="A92" s="11">
        <f t="shared" si="12"/>
        <v>37</v>
      </c>
      <c r="B92">
        <v>-35.5351946106301</v>
      </c>
      <c r="E92" s="11">
        <f>A92-'Mastercurve bestimmen'!$B$2</f>
        <v>-123</v>
      </c>
      <c r="F92" s="11">
        <f t="shared" si="10"/>
        <v>-35.5351946106301</v>
      </c>
      <c r="G92" s="11"/>
      <c r="H92" s="11">
        <f t="shared" si="11"/>
        <v>5.238909442826288E+16</v>
      </c>
      <c r="I92" s="11">
        <f t="shared" si="9"/>
        <v>-425927596977747</v>
      </c>
      <c r="J92" s="11">
        <f t="shared" si="9"/>
        <v>3462825991689</v>
      </c>
      <c r="K92" s="11">
        <f t="shared" si="9"/>
        <v>-28153056843</v>
      </c>
      <c r="L92" s="11">
        <f t="shared" si="9"/>
        <v>228886641</v>
      </c>
      <c r="M92" s="11">
        <f t="shared" si="9"/>
        <v>-1860867</v>
      </c>
      <c r="N92" s="11">
        <f t="shared" si="9"/>
        <v>15129</v>
      </c>
      <c r="O92" s="11">
        <f t="shared" si="9"/>
        <v>-123</v>
      </c>
      <c r="P92" s="11">
        <f t="shared" si="13"/>
        <v>0</v>
      </c>
    </row>
    <row r="93" spans="1:16" x14ac:dyDescent="0.25">
      <c r="A93" s="11">
        <f t="shared" si="12"/>
        <v>38</v>
      </c>
      <c r="B93">
        <v>-35.455665442215079</v>
      </c>
      <c r="E93" s="11">
        <f>A93-'Mastercurve bestimmen'!$B$2</f>
        <v>-122</v>
      </c>
      <c r="F93" s="11">
        <f t="shared" si="10"/>
        <v>-35.455665442215079</v>
      </c>
      <c r="G93" s="11"/>
      <c r="H93" s="11">
        <f t="shared" si="11"/>
        <v>4.9077072127303936E+16</v>
      </c>
      <c r="I93" s="11">
        <f t="shared" si="9"/>
        <v>-402271083010688</v>
      </c>
      <c r="J93" s="11">
        <f t="shared" si="9"/>
        <v>3297303959104</v>
      </c>
      <c r="K93" s="11">
        <f t="shared" si="9"/>
        <v>-27027081632</v>
      </c>
      <c r="L93" s="11">
        <f t="shared" si="9"/>
        <v>221533456</v>
      </c>
      <c r="M93" s="11">
        <f t="shared" si="9"/>
        <v>-1815848</v>
      </c>
      <c r="N93" s="11">
        <f t="shared" si="9"/>
        <v>14884</v>
      </c>
      <c r="O93" s="11">
        <f t="shared" si="9"/>
        <v>-122</v>
      </c>
      <c r="P93" s="11">
        <f t="shared" si="13"/>
        <v>0</v>
      </c>
    </row>
    <row r="94" spans="1:16" x14ac:dyDescent="0.25">
      <c r="A94" s="11">
        <f t="shared" si="12"/>
        <v>39</v>
      </c>
      <c r="B94">
        <v>-35.37498951401642</v>
      </c>
      <c r="E94" s="11">
        <f>A94-'Mastercurve bestimmen'!$B$2</f>
        <v>-121</v>
      </c>
      <c r="F94" s="11">
        <f t="shared" si="10"/>
        <v>-35.37498951401642</v>
      </c>
      <c r="G94" s="11"/>
      <c r="H94" s="11">
        <f t="shared" si="11"/>
        <v>4.594972986357216E+16</v>
      </c>
      <c r="I94" s="11">
        <f t="shared" si="9"/>
        <v>-379749833583241</v>
      </c>
      <c r="J94" s="11">
        <f t="shared" si="9"/>
        <v>3138428376721</v>
      </c>
      <c r="K94" s="11">
        <f t="shared" si="9"/>
        <v>-25937424601</v>
      </c>
      <c r="L94" s="11">
        <f t="shared" si="9"/>
        <v>214358881</v>
      </c>
      <c r="M94" s="11">
        <f t="shared" si="9"/>
        <v>-1771561</v>
      </c>
      <c r="N94" s="11">
        <f t="shared" si="9"/>
        <v>14641</v>
      </c>
      <c r="O94" s="11">
        <f t="shared" si="9"/>
        <v>-121</v>
      </c>
      <c r="P94" s="11">
        <f t="shared" si="13"/>
        <v>0</v>
      </c>
    </row>
    <row r="95" spans="1:16" x14ac:dyDescent="0.25">
      <c r="A95" s="11">
        <f t="shared" si="12"/>
        <v>40</v>
      </c>
      <c r="B95">
        <v>-35.292233092702105</v>
      </c>
      <c r="E95" s="11">
        <f>A95-'Mastercurve bestimmen'!$B$2</f>
        <v>-120</v>
      </c>
      <c r="F95" s="11">
        <f t="shared" si="10"/>
        <v>-35.292233092702105</v>
      </c>
      <c r="G95" s="11"/>
      <c r="H95" s="11">
        <f t="shared" si="11"/>
        <v>4.29981696E+16</v>
      </c>
      <c r="I95" s="11">
        <f t="shared" si="9"/>
        <v>-358318080000000</v>
      </c>
      <c r="J95" s="11">
        <f t="shared" si="9"/>
        <v>2985984000000</v>
      </c>
      <c r="K95" s="11">
        <f t="shared" si="9"/>
        <v>-24883200000</v>
      </c>
      <c r="L95" s="11">
        <f t="shared" si="9"/>
        <v>207360000</v>
      </c>
      <c r="M95" s="11">
        <f t="shared" si="9"/>
        <v>-1728000</v>
      </c>
      <c r="N95" s="11">
        <f t="shared" si="9"/>
        <v>14400</v>
      </c>
      <c r="O95" s="11">
        <f t="shared" si="9"/>
        <v>-120</v>
      </c>
      <c r="P95" s="11">
        <f t="shared" si="13"/>
        <v>0</v>
      </c>
    </row>
    <row r="96" spans="1:16" x14ac:dyDescent="0.25">
      <c r="A96" s="11">
        <f t="shared" si="12"/>
        <v>41</v>
      </c>
      <c r="B96">
        <v>-35.206462444940158</v>
      </c>
      <c r="E96" s="11">
        <f>A96-'Mastercurve bestimmen'!$B$2</f>
        <v>-119</v>
      </c>
      <c r="F96" s="11">
        <f t="shared" si="10"/>
        <v>-35.206462444940158</v>
      </c>
      <c r="G96" s="11"/>
      <c r="H96" s="11">
        <f t="shared" si="11"/>
        <v>4.021385347163424E+16</v>
      </c>
      <c r="I96" s="11">
        <f t="shared" si="9"/>
        <v>-337931541778439</v>
      </c>
      <c r="J96" s="11">
        <f t="shared" si="9"/>
        <v>2839760855281</v>
      </c>
      <c r="K96" s="11">
        <f t="shared" si="9"/>
        <v>-23863536599</v>
      </c>
      <c r="L96" s="11">
        <f t="shared" si="9"/>
        <v>200533921</v>
      </c>
      <c r="M96" s="11">
        <f t="shared" si="9"/>
        <v>-1685159</v>
      </c>
      <c r="N96" s="11">
        <f t="shared" si="9"/>
        <v>14161</v>
      </c>
      <c r="O96" s="11">
        <f t="shared" si="9"/>
        <v>-119</v>
      </c>
      <c r="P96" s="11">
        <f t="shared" si="13"/>
        <v>0</v>
      </c>
    </row>
    <row r="97" spans="1:16" x14ac:dyDescent="0.25">
      <c r="A97" s="11">
        <f t="shared" si="12"/>
        <v>42</v>
      </c>
      <c r="B97">
        <v>-35.116743837398559</v>
      </c>
      <c r="E97" s="11">
        <f>A97-'Mastercurve bestimmen'!$B$2</f>
        <v>-118</v>
      </c>
      <c r="F97" s="11">
        <f t="shared" si="10"/>
        <v>-35.116743837398559</v>
      </c>
      <c r="G97" s="11"/>
      <c r="H97" s="11">
        <f t="shared" si="11"/>
        <v>3.7588592026706176E+16</v>
      </c>
      <c r="I97" s="11">
        <f t="shared" si="9"/>
        <v>-318547390056832</v>
      </c>
      <c r="J97" s="11">
        <f t="shared" si="9"/>
        <v>2699554153024</v>
      </c>
      <c r="K97" s="11">
        <f t="shared" si="9"/>
        <v>-22877577568</v>
      </c>
      <c r="L97" s="11">
        <f t="shared" si="9"/>
        <v>193877776</v>
      </c>
      <c r="M97" s="11">
        <f t="shared" si="9"/>
        <v>-1643032</v>
      </c>
      <c r="N97" s="11">
        <f t="shared" si="9"/>
        <v>13924</v>
      </c>
      <c r="O97" s="11">
        <f t="shared" si="9"/>
        <v>-118</v>
      </c>
      <c r="P97" s="11">
        <f t="shared" si="13"/>
        <v>0</v>
      </c>
    </row>
    <row r="98" spans="1:16" x14ac:dyDescent="0.25">
      <c r="A98" s="11">
        <f t="shared" si="12"/>
        <v>43</v>
      </c>
      <c r="B98">
        <v>-35.022143536745325</v>
      </c>
      <c r="E98" s="11">
        <f>A98-'Mastercurve bestimmen'!$B$2</f>
        <v>-117</v>
      </c>
      <c r="F98" s="11">
        <f t="shared" si="10"/>
        <v>-35.022143536745325</v>
      </c>
      <c r="G98" s="11"/>
      <c r="H98" s="11">
        <f t="shared" si="11"/>
        <v>3.511453275801584E+16</v>
      </c>
      <c r="I98" s="11">
        <f t="shared" si="9"/>
        <v>-300124211606973</v>
      </c>
      <c r="J98" s="11">
        <f t="shared" si="9"/>
        <v>2565164201769</v>
      </c>
      <c r="K98" s="11">
        <f t="shared" si="9"/>
        <v>-21924480357</v>
      </c>
      <c r="L98" s="11">
        <f t="shared" si="9"/>
        <v>187388721</v>
      </c>
      <c r="M98" s="11">
        <f t="shared" si="9"/>
        <v>-1601613</v>
      </c>
      <c r="N98" s="11">
        <f t="shared" si="9"/>
        <v>13689</v>
      </c>
      <c r="O98" s="11">
        <f t="shared" si="9"/>
        <v>-117</v>
      </c>
      <c r="P98" s="11">
        <f t="shared" si="13"/>
        <v>0</v>
      </c>
    </row>
    <row r="99" spans="1:16" x14ac:dyDescent="0.25">
      <c r="A99" s="11">
        <f t="shared" si="12"/>
        <v>44</v>
      </c>
      <c r="B99">
        <v>-34.921727809648452</v>
      </c>
      <c r="E99" s="11">
        <f>A99-'Mastercurve bestimmen'!$B$2</f>
        <v>-116</v>
      </c>
      <c r="F99" s="11">
        <f t="shared" si="10"/>
        <v>-34.921727809648452</v>
      </c>
      <c r="G99" s="11"/>
      <c r="H99" s="11">
        <f t="shared" si="11"/>
        <v>3.2784148919812096E+16</v>
      </c>
      <c r="I99" s="11">
        <f t="shared" si="9"/>
        <v>-282621973446656</v>
      </c>
      <c r="J99" s="11">
        <f t="shared" si="9"/>
        <v>2436396322816</v>
      </c>
      <c r="K99" s="11">
        <f t="shared" si="9"/>
        <v>-21003416576</v>
      </c>
      <c r="L99" s="11">
        <f t="shared" si="9"/>
        <v>181063936</v>
      </c>
      <c r="M99" s="11">
        <f t="shared" si="9"/>
        <v>-1560896</v>
      </c>
      <c r="N99" s="11">
        <f t="shared" si="9"/>
        <v>13456</v>
      </c>
      <c r="O99" s="11">
        <f t="shared" si="9"/>
        <v>-116</v>
      </c>
      <c r="P99" s="11">
        <f t="shared" si="13"/>
        <v>0</v>
      </c>
    </row>
    <row r="100" spans="1:16" x14ac:dyDescent="0.25">
      <c r="A100" s="11">
        <f t="shared" si="12"/>
        <v>45</v>
      </c>
      <c r="B100">
        <v>-34.814562922775941</v>
      </c>
      <c r="E100" s="11">
        <f>A100-'Mastercurve bestimmen'!$B$2</f>
        <v>-115</v>
      </c>
      <c r="F100" s="11">
        <f t="shared" si="10"/>
        <v>-34.814562922775941</v>
      </c>
      <c r="G100" s="11"/>
      <c r="H100" s="11">
        <f t="shared" si="11"/>
        <v>3.0590228625390624E+16</v>
      </c>
      <c r="I100" s="11">
        <f t="shared" si="9"/>
        <v>-266001988046875</v>
      </c>
      <c r="J100" s="11">
        <f t="shared" si="9"/>
        <v>2313060765625</v>
      </c>
      <c r="K100" s="11">
        <f t="shared" si="9"/>
        <v>-20113571875</v>
      </c>
      <c r="L100" s="11">
        <f t="shared" si="9"/>
        <v>174900625</v>
      </c>
      <c r="M100" s="11">
        <f t="shared" si="9"/>
        <v>-1520875</v>
      </c>
      <c r="N100" s="11">
        <f t="shared" si="9"/>
        <v>13225</v>
      </c>
      <c r="O100" s="11">
        <f t="shared" si="9"/>
        <v>-115</v>
      </c>
      <c r="P100" s="11">
        <f t="shared" si="13"/>
        <v>0</v>
      </c>
    </row>
    <row r="101" spans="1:16" x14ac:dyDescent="0.25">
      <c r="A101" s="11">
        <f t="shared" si="12"/>
        <v>46</v>
      </c>
      <c r="B101">
        <v>-34.699715142795796</v>
      </c>
      <c r="E101" s="11">
        <f>A101-'Mastercurve bestimmen'!$B$2</f>
        <v>-114</v>
      </c>
      <c r="F101" s="11">
        <f t="shared" si="10"/>
        <v>-34.699715142795796</v>
      </c>
      <c r="G101" s="11"/>
      <c r="H101" s="11">
        <f t="shared" si="11"/>
        <v>2.8525864220672256E+16</v>
      </c>
      <c r="I101" s="11">
        <f t="shared" si="9"/>
        <v>-250226879128704</v>
      </c>
      <c r="J101" s="11">
        <f t="shared" si="9"/>
        <v>2194972623936</v>
      </c>
      <c r="K101" s="11">
        <f t="shared" si="9"/>
        <v>-19254145824</v>
      </c>
      <c r="L101" s="11">
        <f t="shared" si="9"/>
        <v>168896016</v>
      </c>
      <c r="M101" s="11">
        <f t="shared" si="9"/>
        <v>-1481544</v>
      </c>
      <c r="N101" s="11">
        <f t="shared" si="9"/>
        <v>12996</v>
      </c>
      <c r="O101" s="11">
        <f t="shared" si="9"/>
        <v>-114</v>
      </c>
      <c r="P101" s="11">
        <f t="shared" si="13"/>
        <v>0</v>
      </c>
    </row>
    <row r="102" spans="1:16" x14ac:dyDescent="0.25">
      <c r="A102" s="11">
        <f t="shared" si="12"/>
        <v>47</v>
      </c>
      <c r="B102">
        <v>-34.576250736376011</v>
      </c>
      <c r="E102" s="11">
        <f>A102-'Mastercurve bestimmen'!$B$2</f>
        <v>-113</v>
      </c>
      <c r="F102" s="11">
        <f t="shared" si="10"/>
        <v>-34.576250736376011</v>
      </c>
      <c r="G102" s="11"/>
      <c r="H102" s="11">
        <f t="shared" si="11"/>
        <v>2.658444192906432E+16</v>
      </c>
      <c r="I102" s="11">
        <f t="shared" si="9"/>
        <v>-235260548044817</v>
      </c>
      <c r="J102" s="11">
        <f t="shared" si="9"/>
        <v>2081951752609</v>
      </c>
      <c r="K102" s="11">
        <f t="shared" si="9"/>
        <v>-18424351793</v>
      </c>
      <c r="L102" s="11">
        <f t="shared" si="9"/>
        <v>163047361</v>
      </c>
      <c r="M102" s="11">
        <f t="shared" si="9"/>
        <v>-1442897</v>
      </c>
      <c r="N102" s="11">
        <f t="shared" si="9"/>
        <v>12769</v>
      </c>
      <c r="O102" s="11">
        <f t="shared" si="9"/>
        <v>-113</v>
      </c>
      <c r="P102" s="11">
        <f t="shared" si="13"/>
        <v>0</v>
      </c>
    </row>
    <row r="103" spans="1:16" x14ac:dyDescent="0.25">
      <c r="A103" s="11">
        <f t="shared" si="12"/>
        <v>48</v>
      </c>
      <c r="B103">
        <v>-34.443235970184595</v>
      </c>
      <c r="E103" s="11">
        <f>A103-'Mastercurve bestimmen'!$B$2</f>
        <v>-112</v>
      </c>
      <c r="F103" s="11">
        <f t="shared" si="10"/>
        <v>-34.443235970184595</v>
      </c>
      <c r="G103" s="11"/>
      <c r="H103" s="11">
        <f t="shared" si="11"/>
        <v>2.4759631762948096E+16</v>
      </c>
      <c r="I103" s="11">
        <f t="shared" si="9"/>
        <v>-221068140740608</v>
      </c>
      <c r="J103" s="11">
        <f t="shared" si="9"/>
        <v>1973822685184</v>
      </c>
      <c r="K103" s="11">
        <f t="shared" si="9"/>
        <v>-17623416832</v>
      </c>
      <c r="L103" s="11">
        <f t="shared" si="9"/>
        <v>157351936</v>
      </c>
      <c r="M103" s="11">
        <f t="shared" si="9"/>
        <v>-1404928</v>
      </c>
      <c r="N103" s="11">
        <f t="shared" si="9"/>
        <v>12544</v>
      </c>
      <c r="O103" s="11">
        <f t="shared" si="9"/>
        <v>-112</v>
      </c>
      <c r="P103" s="11">
        <f t="shared" si="13"/>
        <v>0</v>
      </c>
    </row>
    <row r="104" spans="1:16" x14ac:dyDescent="0.25">
      <c r="A104" s="11">
        <f t="shared" si="12"/>
        <v>49</v>
      </c>
      <c r="B104">
        <v>-34.299737110889545</v>
      </c>
      <c r="E104" s="11">
        <f>A104-'Mastercurve bestimmen'!$B$2</f>
        <v>-111</v>
      </c>
      <c r="F104" s="11">
        <f t="shared" si="10"/>
        <v>-34.299737110889545</v>
      </c>
      <c r="G104" s="11"/>
      <c r="H104" s="11">
        <f t="shared" si="11"/>
        <v>2.304537769717568E+16</v>
      </c>
      <c r="I104" s="11">
        <f t="shared" si="9"/>
        <v>-207616015289871</v>
      </c>
      <c r="J104" s="11">
        <f t="shared" si="9"/>
        <v>1870414552161</v>
      </c>
      <c r="K104" s="11">
        <f t="shared" si="9"/>
        <v>-16850581551</v>
      </c>
      <c r="L104" s="11">
        <f t="shared" si="9"/>
        <v>151807041</v>
      </c>
      <c r="M104" s="11">
        <f t="shared" si="9"/>
        <v>-1367631</v>
      </c>
      <c r="N104" s="11">
        <f t="shared" si="9"/>
        <v>12321</v>
      </c>
      <c r="O104" s="11">
        <f t="shared" si="9"/>
        <v>-111</v>
      </c>
      <c r="P104" s="11">
        <f t="shared" si="13"/>
        <v>0</v>
      </c>
    </row>
    <row r="105" spans="1:16" x14ac:dyDescent="0.25">
      <c r="A105" s="11">
        <f t="shared" si="12"/>
        <v>50</v>
      </c>
      <c r="B105">
        <v>-34.144820425158862</v>
      </c>
      <c r="E105" s="11">
        <f>A105-'Mastercurve bestimmen'!$B$2</f>
        <v>-110</v>
      </c>
      <c r="F105" s="11">
        <f t="shared" si="10"/>
        <v>-34.144820425158862</v>
      </c>
      <c r="G105" s="11"/>
      <c r="H105" s="11">
        <f t="shared" si="11"/>
        <v>2.14358881E+16</v>
      </c>
      <c r="I105" s="11">
        <f t="shared" si="9"/>
        <v>-194871710000000</v>
      </c>
      <c r="J105" s="11">
        <f t="shared" si="9"/>
        <v>1771561000000</v>
      </c>
      <c r="K105" s="11">
        <f t="shared" si="9"/>
        <v>-16105100000</v>
      </c>
      <c r="L105" s="11">
        <f t="shared" si="9"/>
        <v>146410000</v>
      </c>
      <c r="M105" s="11">
        <f t="shared" si="9"/>
        <v>-1331000</v>
      </c>
      <c r="N105" s="11">
        <f t="shared" si="9"/>
        <v>12100</v>
      </c>
      <c r="O105" s="11">
        <f t="shared" si="9"/>
        <v>-110</v>
      </c>
      <c r="P105" s="11">
        <f t="shared" si="13"/>
        <v>0</v>
      </c>
    </row>
    <row r="106" spans="1:16" x14ac:dyDescent="0.25">
      <c r="A106" s="11">
        <f t="shared" si="12"/>
        <v>51</v>
      </c>
      <c r="B106">
        <v>-33.977795015548281</v>
      </c>
      <c r="E106" s="11">
        <f>A106-'Mastercurve bestimmen'!$B$2</f>
        <v>-109</v>
      </c>
      <c r="F106" s="11">
        <f t="shared" si="10"/>
        <v>-33.977795015548281</v>
      </c>
      <c r="G106" s="11"/>
      <c r="H106" s="11">
        <f t="shared" si="11"/>
        <v>1.992562641690192E+16</v>
      </c>
      <c r="I106" s="11">
        <f t="shared" si="9"/>
        <v>-182803912081669</v>
      </c>
      <c r="J106" s="11">
        <f t="shared" si="9"/>
        <v>1677100110841</v>
      </c>
      <c r="K106" s="11">
        <f t="shared" si="9"/>
        <v>-15386239549</v>
      </c>
      <c r="L106" s="11">
        <f t="shared" si="9"/>
        <v>141158161</v>
      </c>
      <c r="M106" s="11">
        <f t="shared" si="9"/>
        <v>-1295029</v>
      </c>
      <c r="N106" s="11">
        <f t="shared" si="9"/>
        <v>11881</v>
      </c>
      <c r="O106" s="11">
        <f t="shared" si="9"/>
        <v>-109</v>
      </c>
      <c r="P106" s="11">
        <f t="shared" si="13"/>
        <v>0</v>
      </c>
    </row>
    <row r="107" spans="1:16" x14ac:dyDescent="0.25">
      <c r="A107" s="11">
        <f t="shared" si="12"/>
        <v>52</v>
      </c>
      <c r="B107">
        <v>-33.798941328164396</v>
      </c>
      <c r="E107" s="11">
        <f>A107-'Mastercurve bestimmen'!$B$2</f>
        <v>-108</v>
      </c>
      <c r="F107" s="11">
        <f t="shared" si="10"/>
        <v>-33.798941328164396</v>
      </c>
      <c r="G107" s="11"/>
      <c r="H107" s="11">
        <f t="shared" si="11"/>
        <v>1.8509302102818816E+16</v>
      </c>
      <c r="I107" s="11">
        <f t="shared" si="9"/>
        <v>-171382426877952</v>
      </c>
      <c r="J107" s="11">
        <f t="shared" si="9"/>
        <v>1586874322944</v>
      </c>
      <c r="K107" s="11">
        <f t="shared" si="9"/>
        <v>-14693280768</v>
      </c>
      <c r="L107" s="11">
        <f t="shared" si="9"/>
        <v>136048896</v>
      </c>
      <c r="M107" s="11">
        <f t="shared" si="9"/>
        <v>-1259712</v>
      </c>
      <c r="N107" s="11">
        <f t="shared" si="9"/>
        <v>11664</v>
      </c>
      <c r="O107" s="11">
        <f t="shared" si="9"/>
        <v>-108</v>
      </c>
      <c r="P107" s="11">
        <f t="shared" si="13"/>
        <v>0</v>
      </c>
    </row>
    <row r="108" spans="1:16" x14ac:dyDescent="0.25">
      <c r="A108" s="11">
        <f t="shared" si="12"/>
        <v>53</v>
      </c>
      <c r="B108">
        <v>-33.608782645001547</v>
      </c>
      <c r="E108" s="11">
        <f>A108-'Mastercurve bestimmen'!$B$2</f>
        <v>-107</v>
      </c>
      <c r="F108" s="11">
        <f t="shared" si="10"/>
        <v>-33.608782645001547</v>
      </c>
      <c r="G108" s="11"/>
      <c r="H108" s="11">
        <f t="shared" si="11"/>
        <v>1.71818617983192E+16</v>
      </c>
      <c r="I108" s="11">
        <f t="shared" si="9"/>
        <v>-160578147647843</v>
      </c>
      <c r="J108" s="11">
        <f t="shared" si="9"/>
        <v>1500730351849</v>
      </c>
      <c r="K108" s="11">
        <f t="shared" si="9"/>
        <v>-14025517307</v>
      </c>
      <c r="L108" s="11">
        <f t="shared" si="9"/>
        <v>131079601</v>
      </c>
      <c r="M108" s="11">
        <f t="shared" si="9"/>
        <v>-1225043</v>
      </c>
      <c r="N108" s="11">
        <f t="shared" si="9"/>
        <v>11449</v>
      </c>
      <c r="O108" s="11">
        <f t="shared" si="9"/>
        <v>-107</v>
      </c>
      <c r="P108" s="11">
        <f t="shared" si="13"/>
        <v>0</v>
      </c>
    </row>
    <row r="109" spans="1:16" x14ac:dyDescent="0.25">
      <c r="A109" s="11">
        <f t="shared" si="12"/>
        <v>54</v>
      </c>
      <c r="B109">
        <v>-33.407842248054067</v>
      </c>
      <c r="E109" s="11">
        <f>A109-'Mastercurve bestimmen'!$B$2</f>
        <v>-106</v>
      </c>
      <c r="F109" s="11">
        <f t="shared" si="10"/>
        <v>-33.407842248054067</v>
      </c>
      <c r="G109" s="11"/>
      <c r="H109" s="11">
        <f t="shared" si="11"/>
        <v>1.5938480745308416E+16</v>
      </c>
      <c r="I109" s="11">
        <f t="shared" si="9"/>
        <v>-150363025899136</v>
      </c>
      <c r="J109" s="11">
        <f t="shared" si="9"/>
        <v>1418519112256</v>
      </c>
      <c r="K109" s="11">
        <f t="shared" si="9"/>
        <v>-13382255776</v>
      </c>
      <c r="L109" s="11">
        <f t="shared" si="9"/>
        <v>126247696</v>
      </c>
      <c r="M109" s="11">
        <f t="shared" si="9"/>
        <v>-1191016</v>
      </c>
      <c r="N109" s="11">
        <f t="shared" si="9"/>
        <v>11236</v>
      </c>
      <c r="O109" s="11">
        <f t="shared" si="9"/>
        <v>-106</v>
      </c>
      <c r="P109" s="11">
        <f t="shared" si="13"/>
        <v>0</v>
      </c>
    </row>
    <row r="110" spans="1:16" x14ac:dyDescent="0.25">
      <c r="A110" s="11">
        <f t="shared" si="12"/>
        <v>55</v>
      </c>
      <c r="B110">
        <v>-33.196643419316295</v>
      </c>
      <c r="E110" s="11">
        <f>A110-'Mastercurve bestimmen'!$B$2</f>
        <v>-105</v>
      </c>
      <c r="F110" s="11">
        <f t="shared" si="10"/>
        <v>-33.196643419316295</v>
      </c>
      <c r="G110" s="11"/>
      <c r="H110" s="11">
        <f t="shared" si="11"/>
        <v>1.4774554437890624E+16</v>
      </c>
      <c r="I110" s="11">
        <f t="shared" si="9"/>
        <v>-140710042265625</v>
      </c>
      <c r="J110" s="11">
        <f t="shared" si="9"/>
        <v>1340095640625</v>
      </c>
      <c r="K110" s="11">
        <f t="shared" si="9"/>
        <v>-12762815625</v>
      </c>
      <c r="L110" s="11">
        <f t="shared" si="9"/>
        <v>121550625</v>
      </c>
      <c r="M110" s="11">
        <f t="shared" si="9"/>
        <v>-1157625</v>
      </c>
      <c r="N110" s="11">
        <f t="shared" si="9"/>
        <v>11025</v>
      </c>
      <c r="O110" s="11">
        <f t="shared" si="9"/>
        <v>-105</v>
      </c>
      <c r="P110" s="11">
        <f t="shared" si="13"/>
        <v>0</v>
      </c>
    </row>
    <row r="111" spans="1:16" x14ac:dyDescent="0.25">
      <c r="A111" s="11">
        <f t="shared" si="12"/>
        <v>56</v>
      </c>
      <c r="B111">
        <v>-32.975709440782552</v>
      </c>
      <c r="E111" s="11">
        <f>A111-'Mastercurve bestimmen'!$B$2</f>
        <v>-104</v>
      </c>
      <c r="F111" s="11">
        <f t="shared" si="10"/>
        <v>-32.975709440782552</v>
      </c>
      <c r="G111" s="11"/>
      <c r="H111" s="11">
        <f t="shared" si="11"/>
        <v>1.3685690504052736E+16</v>
      </c>
      <c r="I111" s="11">
        <f t="shared" si="9"/>
        <v>-131593177923584</v>
      </c>
      <c r="J111" s="11">
        <f t="shared" si="9"/>
        <v>1265319018496</v>
      </c>
      <c r="K111" s="11">
        <f t="shared" si="9"/>
        <v>-12166529024</v>
      </c>
      <c r="L111" s="11">
        <f t="shared" si="9"/>
        <v>116985856</v>
      </c>
      <c r="M111" s="11">
        <f t="shared" si="9"/>
        <v>-1124864</v>
      </c>
      <c r="N111" s="11">
        <f t="shared" si="9"/>
        <v>10816</v>
      </c>
      <c r="O111" s="11">
        <f t="shared" si="9"/>
        <v>-104</v>
      </c>
      <c r="P111" s="11">
        <f t="shared" si="13"/>
        <v>0</v>
      </c>
    </row>
    <row r="112" spans="1:16" x14ac:dyDescent="0.25">
      <c r="A112" s="11">
        <f t="shared" si="12"/>
        <v>57</v>
      </c>
      <c r="B112">
        <v>-32.745563594447191</v>
      </c>
      <c r="E112" s="11">
        <f>A112-'Mastercurve bestimmen'!$B$2</f>
        <v>-103</v>
      </c>
      <c r="F112" s="11">
        <f t="shared" si="10"/>
        <v>-32.745563594447191</v>
      </c>
      <c r="G112" s="11"/>
      <c r="H112" s="11">
        <f t="shared" si="11"/>
        <v>1.266770081387616E+16</v>
      </c>
      <c r="I112" s="11">
        <f t="shared" si="9"/>
        <v>-122987386542487</v>
      </c>
      <c r="J112" s="11">
        <f t="shared" si="9"/>
        <v>1194052296529</v>
      </c>
      <c r="K112" s="11">
        <f t="shared" si="9"/>
        <v>-11592740743</v>
      </c>
      <c r="L112" s="11">
        <f t="shared" si="9"/>
        <v>112550881</v>
      </c>
      <c r="M112" s="11">
        <f t="shared" si="9"/>
        <v>-1092727</v>
      </c>
      <c r="N112" s="11">
        <f t="shared" si="9"/>
        <v>10609</v>
      </c>
      <c r="O112" s="11">
        <f t="shared" si="9"/>
        <v>-103</v>
      </c>
      <c r="P112" s="11">
        <f t="shared" si="13"/>
        <v>0</v>
      </c>
    </row>
    <row r="113" spans="1:16" x14ac:dyDescent="0.25">
      <c r="A113" s="11">
        <f t="shared" si="12"/>
        <v>58</v>
      </c>
      <c r="B113">
        <v>-32.506729162304524</v>
      </c>
      <c r="E113" s="11">
        <f>A113-'Mastercurve bestimmen'!$B$2</f>
        <v>-102</v>
      </c>
      <c r="F113" s="11">
        <f t="shared" si="10"/>
        <v>-32.506729162304524</v>
      </c>
      <c r="G113" s="11"/>
      <c r="H113" s="11">
        <f t="shared" si="11"/>
        <v>1.1716593810022656E+16</v>
      </c>
      <c r="I113" s="11">
        <f t="shared" si="9"/>
        <v>-114868566764928</v>
      </c>
      <c r="J113" s="11">
        <f t="shared" si="9"/>
        <v>1126162419264</v>
      </c>
      <c r="K113" s="11">
        <f t="shared" si="9"/>
        <v>-11040808032</v>
      </c>
      <c r="L113" s="11">
        <f t="shared" si="9"/>
        <v>108243216</v>
      </c>
      <c r="M113" s="11">
        <f t="shared" si="9"/>
        <v>-1061208</v>
      </c>
      <c r="N113" s="11">
        <f t="shared" si="9"/>
        <v>10404</v>
      </c>
      <c r="O113" s="11">
        <f t="shared" si="9"/>
        <v>-102</v>
      </c>
      <c r="P113" s="11">
        <f t="shared" si="13"/>
        <v>0</v>
      </c>
    </row>
    <row r="114" spans="1:16" x14ac:dyDescent="0.25">
      <c r="A114" s="11">
        <f t="shared" si="12"/>
        <v>59</v>
      </c>
      <c r="B114">
        <v>-32.259729426348891</v>
      </c>
      <c r="E114" s="11">
        <f>A114-'Mastercurve bestimmen'!$B$2</f>
        <v>-101</v>
      </c>
      <c r="F114" s="11">
        <f t="shared" si="10"/>
        <v>-32.259729426348891</v>
      </c>
      <c r="G114" s="11"/>
      <c r="H114" s="11">
        <f t="shared" si="11"/>
        <v>1.08285670562808E+16</v>
      </c>
      <c r="I114" s="11">
        <f t="shared" si="9"/>
        <v>-107213535210701</v>
      </c>
      <c r="J114" s="11">
        <f t="shared" si="9"/>
        <v>1061520150601</v>
      </c>
      <c r="K114" s="11">
        <f t="shared" si="9"/>
        <v>-10510100501</v>
      </c>
      <c r="L114" s="11">
        <f t="shared" si="9"/>
        <v>104060401</v>
      </c>
      <c r="M114" s="11">
        <f t="shared" si="9"/>
        <v>-1030301</v>
      </c>
      <c r="N114" s="11">
        <f t="shared" si="9"/>
        <v>10201</v>
      </c>
      <c r="O114" s="11">
        <f t="shared" si="9"/>
        <v>-101</v>
      </c>
      <c r="P114" s="11">
        <f t="shared" si="13"/>
        <v>0</v>
      </c>
    </row>
    <row r="115" spans="1:16" x14ac:dyDescent="0.25">
      <c r="A115" s="11">
        <f t="shared" si="12"/>
        <v>60</v>
      </c>
      <c r="B115">
        <v>-32.005087668574625</v>
      </c>
      <c r="E115" s="11">
        <f>A115-'Mastercurve bestimmen'!$B$2</f>
        <v>-100</v>
      </c>
      <c r="F115" s="11">
        <f t="shared" si="10"/>
        <v>-32.005087668574625</v>
      </c>
      <c r="G115" s="11"/>
      <c r="H115" s="11">
        <f t="shared" si="11"/>
        <v>1E+16</v>
      </c>
      <c r="I115" s="11">
        <f t="shared" si="9"/>
        <v>-100000000000000</v>
      </c>
      <c r="J115" s="11">
        <f t="shared" si="9"/>
        <v>1000000000000</v>
      </c>
      <c r="K115" s="11">
        <f t="shared" si="9"/>
        <v>-10000000000</v>
      </c>
      <c r="L115" s="11">
        <f t="shared" si="9"/>
        <v>100000000</v>
      </c>
      <c r="M115" s="11">
        <f t="shared" si="9"/>
        <v>-1000000</v>
      </c>
      <c r="N115" s="11">
        <f t="shared" si="9"/>
        <v>10000</v>
      </c>
      <c r="O115" s="11">
        <f t="shared" si="9"/>
        <v>-100</v>
      </c>
      <c r="P115" s="11">
        <f t="shared" si="13"/>
        <v>0</v>
      </c>
    </row>
    <row r="116" spans="1:16" x14ac:dyDescent="0.25">
      <c r="A116" s="11">
        <f t="shared" si="12"/>
        <v>61</v>
      </c>
      <c r="B116">
        <v>-31.743327170976066</v>
      </c>
      <c r="E116" s="11">
        <f>A116-'Mastercurve bestimmen'!$B$2</f>
        <v>-99</v>
      </c>
      <c r="F116" s="11">
        <f t="shared" si="10"/>
        <v>-31.743327170976066</v>
      </c>
      <c r="G116" s="11"/>
      <c r="H116" s="11">
        <f t="shared" si="11"/>
        <v>9227446944279200</v>
      </c>
      <c r="I116" s="11">
        <f t="shared" si="9"/>
        <v>-93206534790699</v>
      </c>
      <c r="J116" s="11">
        <f t="shared" si="9"/>
        <v>941480149401</v>
      </c>
      <c r="K116" s="11">
        <f t="shared" ref="I116:O152" si="14">IF($H$12&gt;=K$14,$E116^K$14,0)</f>
        <v>-9509900499</v>
      </c>
      <c r="L116" s="11">
        <f t="shared" si="14"/>
        <v>96059601</v>
      </c>
      <c r="M116" s="11">
        <f t="shared" si="14"/>
        <v>-970299</v>
      </c>
      <c r="N116" s="11">
        <f t="shared" si="14"/>
        <v>9801</v>
      </c>
      <c r="O116" s="11">
        <f t="shared" si="14"/>
        <v>-99</v>
      </c>
      <c r="P116" s="11">
        <f t="shared" si="13"/>
        <v>0</v>
      </c>
    </row>
    <row r="117" spans="1:16" x14ac:dyDescent="0.25">
      <c r="A117" s="11">
        <f t="shared" si="12"/>
        <v>62</v>
      </c>
      <c r="B117">
        <v>-31.474971215547537</v>
      </c>
      <c r="E117" s="11">
        <f>A117-'Mastercurve bestimmen'!$B$2</f>
        <v>-98</v>
      </c>
      <c r="F117" s="11">
        <f t="shared" si="10"/>
        <v>-31.474971215547537</v>
      </c>
      <c r="G117" s="11"/>
      <c r="H117" s="11">
        <f t="shared" si="11"/>
        <v>8507630225817856</v>
      </c>
      <c r="I117" s="11">
        <f t="shared" si="14"/>
        <v>-86812553324672</v>
      </c>
      <c r="J117" s="11">
        <f t="shared" si="14"/>
        <v>885842380864</v>
      </c>
      <c r="K117" s="11">
        <f t="shared" si="14"/>
        <v>-9039207968</v>
      </c>
      <c r="L117" s="11">
        <f t="shared" si="14"/>
        <v>92236816</v>
      </c>
      <c r="M117" s="11">
        <f t="shared" si="14"/>
        <v>-941192</v>
      </c>
      <c r="N117" s="11">
        <f t="shared" si="14"/>
        <v>9604</v>
      </c>
      <c r="O117" s="11">
        <f t="shared" si="14"/>
        <v>-98</v>
      </c>
      <c r="P117" s="11">
        <f t="shared" si="13"/>
        <v>0</v>
      </c>
    </row>
    <row r="118" spans="1:16" x14ac:dyDescent="0.25">
      <c r="A118" s="11">
        <f t="shared" si="12"/>
        <v>63</v>
      </c>
      <c r="B118">
        <v>-31.200543084283382</v>
      </c>
      <c r="E118" s="11">
        <f>A118-'Mastercurve bestimmen'!$B$2</f>
        <v>-97</v>
      </c>
      <c r="F118" s="11">
        <f t="shared" si="10"/>
        <v>-31.200543084283382</v>
      </c>
      <c r="G118" s="11"/>
      <c r="H118" s="11">
        <f t="shared" si="11"/>
        <v>7837433594376961</v>
      </c>
      <c r="I118" s="11">
        <f t="shared" si="14"/>
        <v>-80798284478113</v>
      </c>
      <c r="J118" s="11">
        <f t="shared" si="14"/>
        <v>832972004929</v>
      </c>
      <c r="K118" s="11">
        <f t="shared" si="14"/>
        <v>-8587340257</v>
      </c>
      <c r="L118" s="11">
        <f t="shared" si="14"/>
        <v>88529281</v>
      </c>
      <c r="M118" s="11">
        <f t="shared" si="14"/>
        <v>-912673</v>
      </c>
      <c r="N118" s="11">
        <f t="shared" si="14"/>
        <v>9409</v>
      </c>
      <c r="O118" s="11">
        <f t="shared" si="14"/>
        <v>-97</v>
      </c>
      <c r="P118" s="11">
        <f t="shared" si="13"/>
        <v>0</v>
      </c>
    </row>
    <row r="119" spans="1:16" x14ac:dyDescent="0.25">
      <c r="A119" s="11">
        <f t="shared" si="12"/>
        <v>64</v>
      </c>
      <c r="B119">
        <v>-30.920566059177922</v>
      </c>
      <c r="E119" s="11">
        <f>A119-'Mastercurve bestimmen'!$B$2</f>
        <v>-96</v>
      </c>
      <c r="F119" s="11">
        <f t="shared" si="10"/>
        <v>-30.920566059177922</v>
      </c>
      <c r="G119" s="11"/>
      <c r="H119" s="11">
        <f t="shared" si="11"/>
        <v>7213895789838336</v>
      </c>
      <c r="I119" s="11">
        <f t="shared" si="14"/>
        <v>-75144747810816</v>
      </c>
      <c r="J119" s="11">
        <f t="shared" si="14"/>
        <v>782757789696</v>
      </c>
      <c r="K119" s="11">
        <f t="shared" si="14"/>
        <v>-8153726976</v>
      </c>
      <c r="L119" s="11">
        <f t="shared" si="14"/>
        <v>84934656</v>
      </c>
      <c r="M119" s="11">
        <f t="shared" si="14"/>
        <v>-884736</v>
      </c>
      <c r="N119" s="11">
        <f t="shared" si="14"/>
        <v>9216</v>
      </c>
      <c r="O119" s="11">
        <f t="shared" si="14"/>
        <v>-96</v>
      </c>
      <c r="P119" s="11">
        <f t="shared" si="13"/>
        <v>0</v>
      </c>
    </row>
    <row r="120" spans="1:16" x14ac:dyDescent="0.25">
      <c r="A120" s="11">
        <f t="shared" si="12"/>
        <v>65</v>
      </c>
      <c r="B120">
        <v>-30.635563422225502</v>
      </c>
      <c r="E120" s="11">
        <f>A120-'Mastercurve bestimmen'!$B$2</f>
        <v>-95</v>
      </c>
      <c r="F120" s="11">
        <f t="shared" si="10"/>
        <v>-30.635563422225502</v>
      </c>
      <c r="G120" s="11"/>
      <c r="H120" s="11">
        <f t="shared" si="11"/>
        <v>6634204312890625</v>
      </c>
      <c r="I120" s="11">
        <f t="shared" si="14"/>
        <v>-69833729609375</v>
      </c>
      <c r="J120" s="11">
        <f t="shared" si="14"/>
        <v>735091890625</v>
      </c>
      <c r="K120" s="11">
        <f t="shared" si="14"/>
        <v>-7737809375</v>
      </c>
      <c r="L120" s="11">
        <f t="shared" si="14"/>
        <v>81450625</v>
      </c>
      <c r="M120" s="11">
        <f t="shared" si="14"/>
        <v>-857375</v>
      </c>
      <c r="N120" s="11">
        <f t="shared" si="14"/>
        <v>9025</v>
      </c>
      <c r="O120" s="11">
        <f t="shared" si="14"/>
        <v>-95</v>
      </c>
      <c r="P120" s="11">
        <f t="shared" si="13"/>
        <v>0</v>
      </c>
    </row>
    <row r="121" spans="1:16" x14ac:dyDescent="0.25">
      <c r="A121" s="11">
        <f t="shared" si="12"/>
        <v>66</v>
      </c>
      <c r="B121">
        <v>-30.346058455420447</v>
      </c>
      <c r="E121" s="11">
        <f>A121-'Mastercurve bestimmen'!$B$2</f>
        <v>-94</v>
      </c>
      <c r="F121" s="11">
        <f t="shared" si="10"/>
        <v>-30.346058455420447</v>
      </c>
      <c r="G121" s="11"/>
      <c r="H121" s="11">
        <f t="shared" si="11"/>
        <v>6095689385410816</v>
      </c>
      <c r="I121" s="11">
        <f t="shared" si="14"/>
        <v>-64847759419264</v>
      </c>
      <c r="J121" s="11">
        <f t="shared" si="14"/>
        <v>689869781056</v>
      </c>
      <c r="K121" s="11">
        <f t="shared" si="14"/>
        <v>-7339040224</v>
      </c>
      <c r="L121" s="11">
        <f t="shared" si="14"/>
        <v>78074896</v>
      </c>
      <c r="M121" s="11">
        <f t="shared" si="14"/>
        <v>-830584</v>
      </c>
      <c r="N121" s="11">
        <f t="shared" si="14"/>
        <v>8836</v>
      </c>
      <c r="O121" s="11">
        <f t="shared" si="14"/>
        <v>-94</v>
      </c>
      <c r="P121" s="11">
        <f t="shared" si="13"/>
        <v>0</v>
      </c>
    </row>
    <row r="122" spans="1:16" x14ac:dyDescent="0.25">
      <c r="A122" s="11">
        <f t="shared" si="12"/>
        <v>67</v>
      </c>
      <c r="B122">
        <v>-30.052574440757095</v>
      </c>
      <c r="E122" s="11">
        <f>A122-'Mastercurve bestimmen'!$B$2</f>
        <v>-93</v>
      </c>
      <c r="F122" s="11">
        <f t="shared" si="10"/>
        <v>-30.052574440757095</v>
      </c>
      <c r="G122" s="11"/>
      <c r="H122" s="11">
        <f t="shared" si="11"/>
        <v>5595818096650401</v>
      </c>
      <c r="I122" s="11">
        <f t="shared" si="14"/>
        <v>-60170087060757</v>
      </c>
      <c r="J122" s="11">
        <f t="shared" si="14"/>
        <v>646990183449</v>
      </c>
      <c r="K122" s="11">
        <f t="shared" si="14"/>
        <v>-6956883693</v>
      </c>
      <c r="L122" s="11">
        <f t="shared" si="14"/>
        <v>74805201</v>
      </c>
      <c r="M122" s="11">
        <f t="shared" si="14"/>
        <v>-804357</v>
      </c>
      <c r="N122" s="11">
        <f t="shared" si="14"/>
        <v>8649</v>
      </c>
      <c r="O122" s="11">
        <f t="shared" si="14"/>
        <v>-93</v>
      </c>
      <c r="P122" s="11">
        <f t="shared" si="13"/>
        <v>0</v>
      </c>
    </row>
    <row r="123" spans="1:16" x14ac:dyDescent="0.25">
      <c r="A123" s="11">
        <f t="shared" si="12"/>
        <v>68</v>
      </c>
      <c r="B123">
        <v>-29.755634660229774</v>
      </c>
      <c r="E123" s="11">
        <f>A123-'Mastercurve bestimmen'!$B$2</f>
        <v>-92</v>
      </c>
      <c r="F123" s="11">
        <f t="shared" si="10"/>
        <v>-29.755634660229774</v>
      </c>
      <c r="G123" s="11"/>
      <c r="H123" s="11">
        <f t="shared" si="11"/>
        <v>5132188731375616</v>
      </c>
      <c r="I123" s="11">
        <f t="shared" si="14"/>
        <v>-55784660123648</v>
      </c>
      <c r="J123" s="11">
        <f t="shared" si="14"/>
        <v>606355001344</v>
      </c>
      <c r="K123" s="11">
        <f t="shared" si="14"/>
        <v>-6590815232</v>
      </c>
      <c r="L123" s="11">
        <f t="shared" si="14"/>
        <v>71639296</v>
      </c>
      <c r="M123" s="11">
        <f t="shared" si="14"/>
        <v>-778688</v>
      </c>
      <c r="N123" s="11">
        <f t="shared" si="14"/>
        <v>8464</v>
      </c>
      <c r="O123" s="11">
        <f t="shared" si="14"/>
        <v>-92</v>
      </c>
      <c r="P123" s="11">
        <f t="shared" si="13"/>
        <v>0</v>
      </c>
    </row>
    <row r="124" spans="1:16" x14ac:dyDescent="0.25">
      <c r="A124" s="11">
        <f t="shared" si="12"/>
        <v>69</v>
      </c>
      <c r="B124">
        <v>-29.455762395832828</v>
      </c>
      <c r="E124" s="11">
        <f>A124-'Mastercurve bestimmen'!$B$2</f>
        <v>-91</v>
      </c>
      <c r="F124" s="11">
        <f t="shared" si="10"/>
        <v>-29.455762395832828</v>
      </c>
      <c r="G124" s="11"/>
      <c r="H124" s="11">
        <f t="shared" si="11"/>
        <v>4702525276151521</v>
      </c>
      <c r="I124" s="11">
        <f t="shared" si="14"/>
        <v>-51676101935731</v>
      </c>
      <c r="J124" s="11">
        <f t="shared" si="14"/>
        <v>567869252041</v>
      </c>
      <c r="K124" s="11">
        <f t="shared" si="14"/>
        <v>-6240321451</v>
      </c>
      <c r="L124" s="11">
        <f t="shared" si="14"/>
        <v>68574961</v>
      </c>
      <c r="M124" s="11">
        <f t="shared" si="14"/>
        <v>-753571</v>
      </c>
      <c r="N124" s="11">
        <f t="shared" si="14"/>
        <v>8281</v>
      </c>
      <c r="O124" s="11">
        <f t="shared" si="14"/>
        <v>-91</v>
      </c>
      <c r="P124" s="11">
        <f t="shared" si="13"/>
        <v>0</v>
      </c>
    </row>
    <row r="125" spans="1:16" x14ac:dyDescent="0.25">
      <c r="A125" s="11">
        <f t="shared" si="12"/>
        <v>70</v>
      </c>
      <c r="B125">
        <v>-29.15348092956058</v>
      </c>
      <c r="E125" s="11">
        <f>A125-'Mastercurve bestimmen'!$B$2</f>
        <v>-90</v>
      </c>
      <c r="F125" s="11">
        <f t="shared" si="10"/>
        <v>-29.15348092956058</v>
      </c>
      <c r="G125" s="11"/>
      <c r="H125" s="11">
        <f t="shared" si="11"/>
        <v>4304672100000000</v>
      </c>
      <c r="I125" s="11">
        <f t="shared" si="14"/>
        <v>-47829690000000</v>
      </c>
      <c r="J125" s="11">
        <f t="shared" si="14"/>
        <v>531441000000</v>
      </c>
      <c r="K125" s="11">
        <f t="shared" si="14"/>
        <v>-5904900000</v>
      </c>
      <c r="L125" s="11">
        <f t="shared" si="14"/>
        <v>65610000</v>
      </c>
      <c r="M125" s="11">
        <f t="shared" si="14"/>
        <v>-729000</v>
      </c>
      <c r="N125" s="11">
        <f t="shared" si="14"/>
        <v>8100</v>
      </c>
      <c r="O125" s="11">
        <f t="shared" si="14"/>
        <v>-90</v>
      </c>
      <c r="P125" s="11">
        <f t="shared" si="13"/>
        <v>0</v>
      </c>
    </row>
    <row r="126" spans="1:16" x14ac:dyDescent="0.25">
      <c r="A126" s="11">
        <f t="shared" si="12"/>
        <v>71</v>
      </c>
      <c r="B126">
        <v>-28.849313543407359</v>
      </c>
      <c r="E126" s="11">
        <f>A126-'Mastercurve bestimmen'!$B$2</f>
        <v>-89</v>
      </c>
      <c r="F126" s="11">
        <f t="shared" si="10"/>
        <v>-28.849313543407359</v>
      </c>
      <c r="G126" s="11"/>
      <c r="H126" s="11">
        <f t="shared" si="11"/>
        <v>3936588805702081</v>
      </c>
      <c r="I126" s="11">
        <f t="shared" si="14"/>
        <v>-44231334895529</v>
      </c>
      <c r="J126" s="11">
        <f t="shared" si="14"/>
        <v>496981290961</v>
      </c>
      <c r="K126" s="11">
        <f t="shared" si="14"/>
        <v>-5584059449</v>
      </c>
      <c r="L126" s="11">
        <f t="shared" si="14"/>
        <v>62742241</v>
      </c>
      <c r="M126" s="11">
        <f t="shared" si="14"/>
        <v>-704969</v>
      </c>
      <c r="N126" s="11">
        <f t="shared" si="14"/>
        <v>7921</v>
      </c>
      <c r="O126" s="11">
        <f t="shared" si="14"/>
        <v>-89</v>
      </c>
      <c r="P126" s="11">
        <f t="shared" si="13"/>
        <v>0</v>
      </c>
    </row>
    <row r="127" spans="1:16" x14ac:dyDescent="0.25">
      <c r="A127" s="11">
        <f t="shared" si="12"/>
        <v>72</v>
      </c>
      <c r="B127">
        <v>-28.543783519367508</v>
      </c>
      <c r="E127" s="11">
        <f>A127-'Mastercurve bestimmen'!$B$2</f>
        <v>-88</v>
      </c>
      <c r="F127" s="11">
        <f t="shared" si="10"/>
        <v>-28.543783519367508</v>
      </c>
      <c r="G127" s="11"/>
      <c r="H127" s="11">
        <f t="shared" si="11"/>
        <v>3596345248055296</v>
      </c>
      <c r="I127" s="11">
        <f t="shared" si="14"/>
        <v>-40867559636992</v>
      </c>
      <c r="J127" s="11">
        <f t="shared" si="14"/>
        <v>464404086784</v>
      </c>
      <c r="K127" s="11">
        <f t="shared" si="14"/>
        <v>-5277319168</v>
      </c>
      <c r="L127" s="11">
        <f t="shared" si="14"/>
        <v>59969536</v>
      </c>
      <c r="M127" s="11">
        <f t="shared" si="14"/>
        <v>-681472</v>
      </c>
      <c r="N127" s="11">
        <f t="shared" si="14"/>
        <v>7744</v>
      </c>
      <c r="O127" s="11">
        <f t="shared" si="14"/>
        <v>-88</v>
      </c>
      <c r="P127" s="11">
        <f t="shared" si="13"/>
        <v>0</v>
      </c>
    </row>
    <row r="128" spans="1:16" x14ac:dyDescent="0.25">
      <c r="A128" s="11">
        <f t="shared" si="12"/>
        <v>73</v>
      </c>
      <c r="B128">
        <v>-28.237414139435359</v>
      </c>
      <c r="E128" s="11">
        <f>A128-'Mastercurve bestimmen'!$B$2</f>
        <v>-87</v>
      </c>
      <c r="F128" s="11">
        <f t="shared" si="10"/>
        <v>-28.237414139435359</v>
      </c>
      <c r="G128" s="11"/>
      <c r="H128" s="11">
        <f t="shared" si="11"/>
        <v>3282116715437121</v>
      </c>
      <c r="I128" s="11">
        <f t="shared" si="14"/>
        <v>-37725479487783</v>
      </c>
      <c r="J128" s="11">
        <f t="shared" si="14"/>
        <v>433626201009</v>
      </c>
      <c r="K128" s="11">
        <f t="shared" si="14"/>
        <v>-4984209207</v>
      </c>
      <c r="L128" s="11">
        <f t="shared" si="14"/>
        <v>57289761</v>
      </c>
      <c r="M128" s="11">
        <f t="shared" si="14"/>
        <v>-658503</v>
      </c>
      <c r="N128" s="11">
        <f t="shared" si="14"/>
        <v>7569</v>
      </c>
      <c r="O128" s="11">
        <f t="shared" si="14"/>
        <v>-87</v>
      </c>
      <c r="P128" s="11">
        <f t="shared" si="13"/>
        <v>0</v>
      </c>
    </row>
    <row r="129" spans="1:16" x14ac:dyDescent="0.25">
      <c r="A129" s="11">
        <f t="shared" si="12"/>
        <v>74</v>
      </c>
      <c r="B129">
        <v>-27.930728685605242</v>
      </c>
      <c r="E129" s="11">
        <f>A129-'Mastercurve bestimmen'!$B$2</f>
        <v>-86</v>
      </c>
      <c r="F129" s="11">
        <f t="shared" si="10"/>
        <v>-27.930728685605242</v>
      </c>
      <c r="G129" s="11"/>
      <c r="H129" s="11">
        <f t="shared" si="11"/>
        <v>2992179271065856</v>
      </c>
      <c r="I129" s="11">
        <f t="shared" si="14"/>
        <v>-34792782221696</v>
      </c>
      <c r="J129" s="11">
        <f t="shared" si="14"/>
        <v>404567235136</v>
      </c>
      <c r="K129" s="11">
        <f t="shared" si="14"/>
        <v>-4704270176</v>
      </c>
      <c r="L129" s="11">
        <f t="shared" si="14"/>
        <v>54700816</v>
      </c>
      <c r="M129" s="11">
        <f t="shared" si="14"/>
        <v>-636056</v>
      </c>
      <c r="N129" s="11">
        <f t="shared" si="14"/>
        <v>7396</v>
      </c>
      <c r="O129" s="11">
        <f t="shared" si="14"/>
        <v>-86</v>
      </c>
      <c r="P129" s="11">
        <f t="shared" si="13"/>
        <v>0</v>
      </c>
    </row>
    <row r="130" spans="1:16" x14ac:dyDescent="0.25">
      <c r="A130" s="11">
        <f t="shared" si="12"/>
        <v>75</v>
      </c>
      <c r="B130">
        <v>-27.624250439871496</v>
      </c>
      <c r="E130" s="11">
        <f>A130-'Mastercurve bestimmen'!$B$2</f>
        <v>-85</v>
      </c>
      <c r="F130" s="11">
        <f t="shared" si="10"/>
        <v>-27.624250439871496</v>
      </c>
      <c r="G130" s="11"/>
      <c r="H130" s="11">
        <f t="shared" si="11"/>
        <v>2724905250390625</v>
      </c>
      <c r="I130" s="11">
        <f t="shared" si="14"/>
        <v>-32057708828125</v>
      </c>
      <c r="J130" s="11">
        <f t="shared" si="14"/>
        <v>377149515625</v>
      </c>
      <c r="K130" s="11">
        <f t="shared" si="14"/>
        <v>-4437053125</v>
      </c>
      <c r="L130" s="11">
        <f t="shared" si="14"/>
        <v>52200625</v>
      </c>
      <c r="M130" s="11">
        <f t="shared" si="14"/>
        <v>-614125</v>
      </c>
      <c r="N130" s="11">
        <f t="shared" si="14"/>
        <v>7225</v>
      </c>
      <c r="O130" s="11">
        <f t="shared" si="14"/>
        <v>-85</v>
      </c>
      <c r="P130" s="11">
        <f t="shared" si="13"/>
        <v>0</v>
      </c>
    </row>
    <row r="131" spans="1:16" x14ac:dyDescent="0.25">
      <c r="A131" s="11">
        <f t="shared" si="12"/>
        <v>76</v>
      </c>
      <c r="B131">
        <v>-27.318502684228442</v>
      </c>
      <c r="E131" s="11">
        <f>A131-'Mastercurve bestimmen'!$B$2</f>
        <v>-84</v>
      </c>
      <c r="F131" s="11">
        <f t="shared" si="10"/>
        <v>-27.318502684228442</v>
      </c>
      <c r="G131" s="11"/>
      <c r="H131" s="11">
        <f t="shared" si="11"/>
        <v>2478758911082496</v>
      </c>
      <c r="I131" s="11">
        <f t="shared" si="14"/>
        <v>-29509034655744</v>
      </c>
      <c r="J131" s="11">
        <f t="shared" si="14"/>
        <v>351298031616</v>
      </c>
      <c r="K131" s="11">
        <f t="shared" si="14"/>
        <v>-4182119424</v>
      </c>
      <c r="L131" s="11">
        <f t="shared" si="14"/>
        <v>49787136</v>
      </c>
      <c r="M131" s="11">
        <f t="shared" si="14"/>
        <v>-592704</v>
      </c>
      <c r="N131" s="11">
        <f t="shared" si="14"/>
        <v>7056</v>
      </c>
      <c r="O131" s="11">
        <f t="shared" si="14"/>
        <v>-84</v>
      </c>
      <c r="P131" s="11">
        <f t="shared" si="13"/>
        <v>0</v>
      </c>
    </row>
    <row r="132" spans="1:16" x14ac:dyDescent="0.25">
      <c r="A132" s="11">
        <f t="shared" si="12"/>
        <v>77</v>
      </c>
      <c r="B132">
        <v>-27.014008700670427</v>
      </c>
      <c r="E132" s="11">
        <f>A132-'Mastercurve bestimmen'!$B$2</f>
        <v>-83</v>
      </c>
      <c r="F132" s="11">
        <f t="shared" si="10"/>
        <v>-27.014008700670427</v>
      </c>
      <c r="G132" s="11"/>
      <c r="H132" s="11">
        <f t="shared" si="11"/>
        <v>2252292232139041</v>
      </c>
      <c r="I132" s="11">
        <f t="shared" si="14"/>
        <v>-27136050989627</v>
      </c>
      <c r="J132" s="11">
        <f t="shared" si="14"/>
        <v>326940373369</v>
      </c>
      <c r="K132" s="11">
        <f t="shared" si="14"/>
        <v>-3939040643</v>
      </c>
      <c r="L132" s="11">
        <f t="shared" si="14"/>
        <v>47458321</v>
      </c>
      <c r="M132" s="11">
        <f t="shared" si="14"/>
        <v>-571787</v>
      </c>
      <c r="N132" s="11">
        <f t="shared" si="14"/>
        <v>6889</v>
      </c>
      <c r="O132" s="11">
        <f t="shared" si="14"/>
        <v>-83</v>
      </c>
      <c r="P132" s="11">
        <f t="shared" si="13"/>
        <v>0</v>
      </c>
    </row>
    <row r="133" spans="1:16" x14ac:dyDescent="0.25">
      <c r="A133" s="11">
        <f t="shared" si="12"/>
        <v>78</v>
      </c>
      <c r="B133">
        <v>-26.711291771191775</v>
      </c>
      <c r="E133" s="11">
        <f>A133-'Mastercurve bestimmen'!$B$2</f>
        <v>-82</v>
      </c>
      <c r="F133" s="11">
        <f t="shared" si="10"/>
        <v>-26.711291771191775</v>
      </c>
      <c r="G133" s="11"/>
      <c r="H133" s="11">
        <f t="shared" si="11"/>
        <v>2044140858654976</v>
      </c>
      <c r="I133" s="11">
        <f t="shared" si="14"/>
        <v>-24928547056768</v>
      </c>
      <c r="J133" s="11">
        <f t="shared" si="14"/>
        <v>304006671424</v>
      </c>
      <c r="K133" s="11">
        <f t="shared" si="14"/>
        <v>-3707398432</v>
      </c>
      <c r="L133" s="11">
        <f t="shared" si="14"/>
        <v>45212176</v>
      </c>
      <c r="M133" s="11">
        <f t="shared" si="14"/>
        <v>-551368</v>
      </c>
      <c r="N133" s="11">
        <f t="shared" si="14"/>
        <v>6724</v>
      </c>
      <c r="O133" s="11">
        <f t="shared" si="14"/>
        <v>-82</v>
      </c>
      <c r="P133" s="11">
        <f t="shared" si="13"/>
        <v>0</v>
      </c>
    </row>
    <row r="134" spans="1:16" x14ac:dyDescent="0.25">
      <c r="A134" s="11">
        <f t="shared" si="12"/>
        <v>79</v>
      </c>
      <c r="B134">
        <v>-26.410875177786821</v>
      </c>
      <c r="E134" s="11">
        <f>A134-'Mastercurve bestimmen'!$B$2</f>
        <v>-81</v>
      </c>
      <c r="F134" s="11">
        <f t="shared" si="10"/>
        <v>-26.410875177786821</v>
      </c>
      <c r="G134" s="11"/>
      <c r="H134" s="11">
        <f t="shared" si="11"/>
        <v>1853020188851841</v>
      </c>
      <c r="I134" s="11">
        <f t="shared" si="14"/>
        <v>-22876792454961</v>
      </c>
      <c r="J134" s="11">
        <f t="shared" si="14"/>
        <v>282429536481</v>
      </c>
      <c r="K134" s="11">
        <f t="shared" si="14"/>
        <v>-3486784401</v>
      </c>
      <c r="L134" s="11">
        <f t="shared" si="14"/>
        <v>43046721</v>
      </c>
      <c r="M134" s="11">
        <f t="shared" si="14"/>
        <v>-531441</v>
      </c>
      <c r="N134" s="11">
        <f t="shared" si="14"/>
        <v>6561</v>
      </c>
      <c r="O134" s="11">
        <f t="shared" si="14"/>
        <v>-81</v>
      </c>
      <c r="P134" s="11">
        <f t="shared" si="13"/>
        <v>0</v>
      </c>
    </row>
    <row r="135" spans="1:16" x14ac:dyDescent="0.25">
      <c r="A135" s="11">
        <f t="shared" si="12"/>
        <v>80</v>
      </c>
      <c r="B135">
        <v>-26.113282202449902</v>
      </c>
      <c r="E135" s="11">
        <f>A135-'Mastercurve bestimmen'!$B$2</f>
        <v>-80</v>
      </c>
      <c r="F135" s="11">
        <f t="shared" si="10"/>
        <v>-26.113282202449902</v>
      </c>
      <c r="G135" s="11"/>
      <c r="H135" s="11">
        <f t="shared" si="11"/>
        <v>1677721600000000</v>
      </c>
      <c r="I135" s="11">
        <f t="shared" si="14"/>
        <v>-20971520000000</v>
      </c>
      <c r="J135" s="11">
        <f t="shared" si="14"/>
        <v>262144000000</v>
      </c>
      <c r="K135" s="11">
        <f t="shared" si="14"/>
        <v>-3276800000</v>
      </c>
      <c r="L135" s="11">
        <f t="shared" si="14"/>
        <v>40960000</v>
      </c>
      <c r="M135" s="11">
        <f t="shared" si="14"/>
        <v>-512000</v>
      </c>
      <c r="N135" s="11">
        <f t="shared" si="14"/>
        <v>6400</v>
      </c>
      <c r="O135" s="11">
        <f t="shared" si="14"/>
        <v>-80</v>
      </c>
      <c r="P135" s="11">
        <f t="shared" si="13"/>
        <v>0</v>
      </c>
    </row>
    <row r="136" spans="1:16" x14ac:dyDescent="0.25">
      <c r="A136" s="11">
        <f t="shared" si="12"/>
        <v>81</v>
      </c>
      <c r="B136">
        <v>-25.81891881810418</v>
      </c>
      <c r="E136" s="11">
        <f>A136-'Mastercurve bestimmen'!$B$2</f>
        <v>-79</v>
      </c>
      <c r="F136" s="11">
        <f t="shared" si="10"/>
        <v>-25.81891881810418</v>
      </c>
      <c r="G136" s="11"/>
      <c r="H136" s="11">
        <f t="shared" si="11"/>
        <v>1517108809906561</v>
      </c>
      <c r="I136" s="11">
        <f t="shared" si="14"/>
        <v>-19203908986159</v>
      </c>
      <c r="J136" s="11">
        <f t="shared" si="14"/>
        <v>243087455521</v>
      </c>
      <c r="K136" s="11">
        <f t="shared" si="14"/>
        <v>-3077056399</v>
      </c>
      <c r="L136" s="11">
        <f t="shared" si="14"/>
        <v>38950081</v>
      </c>
      <c r="M136" s="11">
        <f t="shared" si="14"/>
        <v>-493039</v>
      </c>
      <c r="N136" s="11">
        <f t="shared" si="14"/>
        <v>6241</v>
      </c>
      <c r="O136" s="11">
        <f t="shared" si="14"/>
        <v>-79</v>
      </c>
      <c r="P136" s="11">
        <f t="shared" si="13"/>
        <v>0</v>
      </c>
    </row>
    <row r="137" spans="1:16" x14ac:dyDescent="0.25">
      <c r="A137" s="11">
        <f t="shared" si="12"/>
        <v>82</v>
      </c>
      <c r="B137">
        <v>-25.527721761388143</v>
      </c>
      <c r="E137" s="11">
        <f>A137-'Mastercurve bestimmen'!$B$2</f>
        <v>-78</v>
      </c>
      <c r="F137" s="11">
        <f t="shared" si="10"/>
        <v>-25.527721761388143</v>
      </c>
      <c r="G137" s="11"/>
      <c r="H137" s="11">
        <f t="shared" si="11"/>
        <v>1370114370683136</v>
      </c>
      <c r="I137" s="11">
        <f t="shared" si="14"/>
        <v>-17565568854912</v>
      </c>
      <c r="J137" s="11">
        <f t="shared" si="14"/>
        <v>225199600704</v>
      </c>
      <c r="K137" s="11">
        <f t="shared" si="14"/>
        <v>-2887174368</v>
      </c>
      <c r="L137" s="11">
        <f t="shared" si="14"/>
        <v>37015056</v>
      </c>
      <c r="M137" s="11">
        <f t="shared" si="14"/>
        <v>-474552</v>
      </c>
      <c r="N137" s="11">
        <f t="shared" si="14"/>
        <v>6084</v>
      </c>
      <c r="O137" s="11">
        <f t="shared" si="14"/>
        <v>-78</v>
      </c>
      <c r="P137" s="11">
        <f t="shared" si="13"/>
        <v>0</v>
      </c>
    </row>
    <row r="138" spans="1:16" x14ac:dyDescent="0.25">
      <c r="A138" s="11">
        <f t="shared" si="12"/>
        <v>83</v>
      </c>
      <c r="B138">
        <v>-25.239510459869109</v>
      </c>
      <c r="E138" s="11">
        <f>A138-'Mastercurve bestimmen'!$B$2</f>
        <v>-77</v>
      </c>
      <c r="F138" s="11">
        <f t="shared" si="10"/>
        <v>-25.239510459869109</v>
      </c>
      <c r="G138" s="11"/>
      <c r="H138" s="11">
        <f t="shared" si="11"/>
        <v>1235736291547681</v>
      </c>
      <c r="I138" s="11">
        <f t="shared" si="14"/>
        <v>-16048523266853</v>
      </c>
      <c r="J138" s="11">
        <f t="shared" si="14"/>
        <v>208422380089</v>
      </c>
      <c r="K138" s="11">
        <f t="shared" si="14"/>
        <v>-2706784157</v>
      </c>
      <c r="L138" s="11">
        <f t="shared" si="14"/>
        <v>35153041</v>
      </c>
      <c r="M138" s="11">
        <f t="shared" si="14"/>
        <v>-456533</v>
      </c>
      <c r="N138" s="11">
        <f t="shared" si="14"/>
        <v>5929</v>
      </c>
      <c r="O138" s="11">
        <f t="shared" si="14"/>
        <v>-77</v>
      </c>
      <c r="P138" s="11">
        <f t="shared" si="13"/>
        <v>0</v>
      </c>
    </row>
    <row r="139" spans="1:16" x14ac:dyDescent="0.25">
      <c r="A139" s="11">
        <f t="shared" si="12"/>
        <v>84</v>
      </c>
      <c r="B139">
        <v>-24.954104341114409</v>
      </c>
      <c r="E139" s="11">
        <f>A139-'Mastercurve bestimmen'!$B$2</f>
        <v>-76</v>
      </c>
      <c r="F139" s="11">
        <f t="shared" si="10"/>
        <v>-24.954104341114409</v>
      </c>
      <c r="G139" s="11"/>
      <c r="H139" s="11">
        <f t="shared" si="11"/>
        <v>1113034787454976</v>
      </c>
      <c r="I139" s="11">
        <f t="shared" si="14"/>
        <v>-14645194571776</v>
      </c>
      <c r="J139" s="11">
        <f t="shared" si="14"/>
        <v>192699928576</v>
      </c>
      <c r="K139" s="11">
        <f t="shared" si="14"/>
        <v>-2535525376</v>
      </c>
      <c r="L139" s="11">
        <f t="shared" si="14"/>
        <v>33362176</v>
      </c>
      <c r="M139" s="11">
        <f t="shared" si="14"/>
        <v>-438976</v>
      </c>
      <c r="N139" s="11">
        <f t="shared" si="14"/>
        <v>5776</v>
      </c>
      <c r="O139" s="11">
        <f t="shared" si="14"/>
        <v>-76</v>
      </c>
      <c r="P139" s="11">
        <f t="shared" si="13"/>
        <v>0</v>
      </c>
    </row>
    <row r="140" spans="1:16" x14ac:dyDescent="0.25">
      <c r="A140" s="11">
        <f t="shared" si="12"/>
        <v>85</v>
      </c>
      <c r="B140">
        <v>-24.671322832691349</v>
      </c>
      <c r="E140" s="11">
        <f>A140-'Mastercurve bestimmen'!$B$2</f>
        <v>-75</v>
      </c>
      <c r="F140" s="11">
        <f t="shared" si="10"/>
        <v>-24.671322832691349</v>
      </c>
      <c r="G140" s="11"/>
      <c r="H140" s="11">
        <f t="shared" si="11"/>
        <v>1001129150390625</v>
      </c>
      <c r="I140" s="11">
        <f t="shared" si="14"/>
        <v>-13348388671875</v>
      </c>
      <c r="J140" s="11">
        <f t="shared" si="14"/>
        <v>177978515625</v>
      </c>
      <c r="K140" s="11">
        <f t="shared" si="14"/>
        <v>-2373046875</v>
      </c>
      <c r="L140" s="11">
        <f t="shared" si="14"/>
        <v>31640625</v>
      </c>
      <c r="M140" s="11">
        <f t="shared" si="14"/>
        <v>-421875</v>
      </c>
      <c r="N140" s="11">
        <f t="shared" si="14"/>
        <v>5625</v>
      </c>
      <c r="O140" s="11">
        <f t="shared" si="14"/>
        <v>-75</v>
      </c>
      <c r="P140" s="11">
        <f t="shared" si="13"/>
        <v>0</v>
      </c>
    </row>
    <row r="141" spans="1:16" x14ac:dyDescent="0.25">
      <c r="A141" s="11">
        <f t="shared" si="12"/>
        <v>86</v>
      </c>
      <c r="B141">
        <v>-24.39098536216726</v>
      </c>
      <c r="E141" s="11">
        <f>A141-'Mastercurve bestimmen'!$B$2</f>
        <v>-74</v>
      </c>
      <c r="F141" s="11">
        <f t="shared" si="10"/>
        <v>-24.39098536216726</v>
      </c>
      <c r="G141" s="11"/>
      <c r="H141" s="11">
        <f t="shared" si="11"/>
        <v>899194740203776</v>
      </c>
      <c r="I141" s="11">
        <f t="shared" si="14"/>
        <v>-12151280273024</v>
      </c>
      <c r="J141" s="11">
        <f t="shared" si="14"/>
        <v>164206490176</v>
      </c>
      <c r="K141" s="11">
        <f t="shared" si="14"/>
        <v>-2219006624</v>
      </c>
      <c r="L141" s="11">
        <f t="shared" si="14"/>
        <v>29986576</v>
      </c>
      <c r="M141" s="11">
        <f t="shared" si="14"/>
        <v>-405224</v>
      </c>
      <c r="N141" s="11">
        <f t="shared" si="14"/>
        <v>5476</v>
      </c>
      <c r="O141" s="11">
        <f t="shared" si="14"/>
        <v>-74</v>
      </c>
      <c r="P141" s="11">
        <f t="shared" si="13"/>
        <v>0</v>
      </c>
    </row>
    <row r="142" spans="1:16" x14ac:dyDescent="0.25">
      <c r="A142" s="11">
        <f t="shared" si="12"/>
        <v>87</v>
      </c>
      <c r="B142">
        <v>-24.11291135710945</v>
      </c>
      <c r="E142" s="11">
        <f>A142-'Mastercurve bestimmen'!$B$2</f>
        <v>-73</v>
      </c>
      <c r="F142" s="11">
        <f t="shared" si="10"/>
        <v>-24.11291135710945</v>
      </c>
      <c r="G142" s="11"/>
      <c r="H142" s="11">
        <f t="shared" si="11"/>
        <v>806460091894081</v>
      </c>
      <c r="I142" s="11">
        <f t="shared" si="14"/>
        <v>-11047398519097</v>
      </c>
      <c r="J142" s="11">
        <f t="shared" si="14"/>
        <v>151334226289</v>
      </c>
      <c r="K142" s="11">
        <f t="shared" si="14"/>
        <v>-2073071593</v>
      </c>
      <c r="L142" s="11">
        <f t="shared" si="14"/>
        <v>28398241</v>
      </c>
      <c r="M142" s="11">
        <f t="shared" si="14"/>
        <v>-389017</v>
      </c>
      <c r="N142" s="11">
        <f t="shared" si="14"/>
        <v>5329</v>
      </c>
      <c r="O142" s="11">
        <f t="shared" si="14"/>
        <v>-73</v>
      </c>
      <c r="P142" s="11">
        <f t="shared" si="13"/>
        <v>0</v>
      </c>
    </row>
    <row r="143" spans="1:16" x14ac:dyDescent="0.25">
      <c r="A143" s="11">
        <f t="shared" si="12"/>
        <v>88</v>
      </c>
      <c r="B143">
        <v>-23.836920245085256</v>
      </c>
      <c r="E143" s="11">
        <f>A143-'Mastercurve bestimmen'!$B$2</f>
        <v>-72</v>
      </c>
      <c r="F143" s="11">
        <f t="shared" si="10"/>
        <v>-23.836920245085256</v>
      </c>
      <c r="G143" s="11"/>
      <c r="H143" s="11">
        <f t="shared" si="11"/>
        <v>722204136308736</v>
      </c>
      <c r="I143" s="11">
        <f t="shared" si="14"/>
        <v>-10030613004288</v>
      </c>
      <c r="J143" s="11">
        <f t="shared" si="14"/>
        <v>139314069504</v>
      </c>
      <c r="K143" s="11">
        <f t="shared" si="14"/>
        <v>-1934917632</v>
      </c>
      <c r="L143" s="11">
        <f t="shared" si="14"/>
        <v>26873856</v>
      </c>
      <c r="M143" s="11">
        <f t="shared" si="14"/>
        <v>-373248</v>
      </c>
      <c r="N143" s="11">
        <f t="shared" si="14"/>
        <v>5184</v>
      </c>
      <c r="O143" s="11">
        <f t="shared" si="14"/>
        <v>-72</v>
      </c>
      <c r="P143" s="11">
        <f t="shared" si="13"/>
        <v>0</v>
      </c>
    </row>
    <row r="144" spans="1:16" x14ac:dyDescent="0.25">
      <c r="A144" s="11">
        <f t="shared" si="12"/>
        <v>89</v>
      </c>
      <c r="B144">
        <v>-23.562831453661985</v>
      </c>
      <c r="E144" s="11">
        <f>A144-'Mastercurve bestimmen'!$B$2</f>
        <v>-71</v>
      </c>
      <c r="F144" s="11">
        <f t="shared" ref="F144:F207" si="15">B144</f>
        <v>-23.562831453661985</v>
      </c>
      <c r="G144" s="11"/>
      <c r="H144" s="11">
        <f t="shared" ref="H144:H207" si="16">IF($H$12&gt;=H$14,$E144^H$14,0)</f>
        <v>645753531245761</v>
      </c>
      <c r="I144" s="11">
        <f t="shared" si="14"/>
        <v>-9095120158391</v>
      </c>
      <c r="J144" s="11">
        <f t="shared" si="14"/>
        <v>128100283921</v>
      </c>
      <c r="K144" s="11">
        <f t="shared" si="14"/>
        <v>-1804229351</v>
      </c>
      <c r="L144" s="11">
        <f t="shared" si="14"/>
        <v>25411681</v>
      </c>
      <c r="M144" s="11">
        <f t="shared" si="14"/>
        <v>-357911</v>
      </c>
      <c r="N144" s="11">
        <f t="shared" si="14"/>
        <v>5041</v>
      </c>
      <c r="O144" s="11">
        <f t="shared" si="14"/>
        <v>-71</v>
      </c>
      <c r="P144" s="11">
        <f t="shared" si="13"/>
        <v>0</v>
      </c>
    </row>
    <row r="145" spans="1:16" x14ac:dyDescent="0.25">
      <c r="A145" s="11">
        <f t="shared" ref="A145:A208" si="17">A144+1</f>
        <v>90</v>
      </c>
      <c r="B145">
        <v>-23.290464410406962</v>
      </c>
      <c r="E145" s="11">
        <f>A145-'Mastercurve bestimmen'!$B$2</f>
        <v>-70</v>
      </c>
      <c r="F145" s="11">
        <f t="shared" si="15"/>
        <v>-23.290464410406962</v>
      </c>
      <c r="G145" s="11"/>
      <c r="H145" s="11">
        <f t="shared" si="16"/>
        <v>576480100000000</v>
      </c>
      <c r="I145" s="11">
        <f t="shared" si="14"/>
        <v>-8235430000000</v>
      </c>
      <c r="J145" s="11">
        <f t="shared" si="14"/>
        <v>117649000000</v>
      </c>
      <c r="K145" s="11">
        <f t="shared" si="14"/>
        <v>-1680700000</v>
      </c>
      <c r="L145" s="11">
        <f t="shared" si="14"/>
        <v>24010000</v>
      </c>
      <c r="M145" s="11">
        <f t="shared" si="14"/>
        <v>-343000</v>
      </c>
      <c r="N145" s="11">
        <f t="shared" si="14"/>
        <v>4900</v>
      </c>
      <c r="O145" s="11">
        <f t="shared" si="14"/>
        <v>-70</v>
      </c>
      <c r="P145" s="11">
        <f t="shared" ref="P145:P208" si="18">P144</f>
        <v>0</v>
      </c>
    </row>
    <row r="146" spans="1:16" x14ac:dyDescent="0.25">
      <c r="A146" s="11">
        <f t="shared" si="17"/>
        <v>91</v>
      </c>
      <c r="B146">
        <v>-23.019638542887506</v>
      </c>
      <c r="E146" s="11">
        <f>A146-'Mastercurve bestimmen'!$B$2</f>
        <v>-69</v>
      </c>
      <c r="F146" s="11">
        <f t="shared" si="15"/>
        <v>-23.019638542887506</v>
      </c>
      <c r="G146" s="11"/>
      <c r="H146" s="11">
        <f t="shared" si="16"/>
        <v>513798374428641</v>
      </c>
      <c r="I146" s="11">
        <f t="shared" si="14"/>
        <v>-7446353252589</v>
      </c>
      <c r="J146" s="11">
        <f t="shared" si="14"/>
        <v>107918163081</v>
      </c>
      <c r="K146" s="11">
        <f t="shared" si="14"/>
        <v>-1564031349</v>
      </c>
      <c r="L146" s="11">
        <f t="shared" si="14"/>
        <v>22667121</v>
      </c>
      <c r="M146" s="11">
        <f t="shared" si="14"/>
        <v>-328509</v>
      </c>
      <c r="N146" s="11">
        <f t="shared" si="14"/>
        <v>4761</v>
      </c>
      <c r="O146" s="11">
        <f t="shared" si="14"/>
        <v>-69</v>
      </c>
      <c r="P146" s="11">
        <f t="shared" si="18"/>
        <v>0</v>
      </c>
    </row>
    <row r="147" spans="1:16" x14ac:dyDescent="0.25">
      <c r="A147" s="11">
        <f t="shared" si="17"/>
        <v>92</v>
      </c>
      <c r="B147">
        <v>-22.750173278670943</v>
      </c>
      <c r="E147" s="11">
        <f>A147-'Mastercurve bestimmen'!$B$2</f>
        <v>-68</v>
      </c>
      <c r="F147" s="11">
        <f t="shared" si="15"/>
        <v>-22.750173278670943</v>
      </c>
      <c r="G147" s="11"/>
      <c r="H147" s="11">
        <f t="shared" si="16"/>
        <v>457163239653376</v>
      </c>
      <c r="I147" s="11">
        <f t="shared" si="14"/>
        <v>-6722988818432</v>
      </c>
      <c r="J147" s="11">
        <f t="shared" si="14"/>
        <v>98867482624</v>
      </c>
      <c r="K147" s="11">
        <f t="shared" si="14"/>
        <v>-1453933568</v>
      </c>
      <c r="L147" s="11">
        <f t="shared" si="14"/>
        <v>21381376</v>
      </c>
      <c r="M147" s="11">
        <f t="shared" si="14"/>
        <v>-314432</v>
      </c>
      <c r="N147" s="11">
        <f t="shared" si="14"/>
        <v>4624</v>
      </c>
      <c r="O147" s="11">
        <f t="shared" si="14"/>
        <v>-68</v>
      </c>
      <c r="P147" s="11">
        <f t="shared" si="18"/>
        <v>0</v>
      </c>
    </row>
    <row r="148" spans="1:16" x14ac:dyDescent="0.25">
      <c r="A148" s="11">
        <f t="shared" si="17"/>
        <v>93</v>
      </c>
      <c r="B148">
        <v>-22.481888045324585</v>
      </c>
      <c r="E148" s="11">
        <f>A148-'Mastercurve bestimmen'!$B$2</f>
        <v>-67</v>
      </c>
      <c r="F148" s="11">
        <f t="shared" si="15"/>
        <v>-22.481888045324585</v>
      </c>
      <c r="G148" s="11"/>
      <c r="H148" s="11">
        <f t="shared" si="16"/>
        <v>406067677556641</v>
      </c>
      <c r="I148" s="11">
        <f t="shared" si="14"/>
        <v>-6060711605323</v>
      </c>
      <c r="J148" s="11">
        <f t="shared" si="14"/>
        <v>90458382169</v>
      </c>
      <c r="K148" s="11">
        <f t="shared" si="14"/>
        <v>-1350125107</v>
      </c>
      <c r="L148" s="11">
        <f t="shared" si="14"/>
        <v>20151121</v>
      </c>
      <c r="M148" s="11">
        <f t="shared" si="14"/>
        <v>-300763</v>
      </c>
      <c r="N148" s="11">
        <f t="shared" si="14"/>
        <v>4489</v>
      </c>
      <c r="O148" s="11">
        <f t="shared" si="14"/>
        <v>-67</v>
      </c>
      <c r="P148" s="11">
        <f t="shared" si="18"/>
        <v>0</v>
      </c>
    </row>
    <row r="149" spans="1:16" x14ac:dyDescent="0.25">
      <c r="A149" s="11">
        <f t="shared" si="17"/>
        <v>94</v>
      </c>
      <c r="B149">
        <v>-22.214602270415757</v>
      </c>
      <c r="E149" s="11">
        <f>A149-'Mastercurve bestimmen'!$B$2</f>
        <v>-66</v>
      </c>
      <c r="F149" s="11">
        <f t="shared" si="15"/>
        <v>-22.214602270415757</v>
      </c>
      <c r="G149" s="11"/>
      <c r="H149" s="11">
        <f t="shared" si="16"/>
        <v>360040606269696</v>
      </c>
      <c r="I149" s="11">
        <f t="shared" si="14"/>
        <v>-5455160701056</v>
      </c>
      <c r="J149" s="11">
        <f t="shared" si="14"/>
        <v>82653950016</v>
      </c>
      <c r="K149" s="11">
        <f t="shared" si="14"/>
        <v>-1252332576</v>
      </c>
      <c r="L149" s="11">
        <f t="shared" si="14"/>
        <v>18974736</v>
      </c>
      <c r="M149" s="11">
        <f t="shared" si="14"/>
        <v>-287496</v>
      </c>
      <c r="N149" s="11">
        <f t="shared" si="14"/>
        <v>4356</v>
      </c>
      <c r="O149" s="11">
        <f t="shared" si="14"/>
        <v>-66</v>
      </c>
      <c r="P149" s="11">
        <f t="shared" si="18"/>
        <v>0</v>
      </c>
    </row>
    <row r="150" spans="1:16" x14ac:dyDescent="0.25">
      <c r="A150" s="11">
        <f t="shared" si="17"/>
        <v>95</v>
      </c>
      <c r="B150">
        <v>-21.948135381511779</v>
      </c>
      <c r="E150" s="11">
        <f>A150-'Mastercurve bestimmen'!$B$2</f>
        <v>-65</v>
      </c>
      <c r="F150" s="11">
        <f t="shared" si="15"/>
        <v>-21.948135381511779</v>
      </c>
      <c r="G150" s="11"/>
      <c r="H150" s="11">
        <f t="shared" si="16"/>
        <v>318644812890625</v>
      </c>
      <c r="I150" s="11">
        <f t="shared" si="14"/>
        <v>-4902227890625</v>
      </c>
      <c r="J150" s="11">
        <f t="shared" si="14"/>
        <v>75418890625</v>
      </c>
      <c r="K150" s="11">
        <f t="shared" si="14"/>
        <v>-1160290625</v>
      </c>
      <c r="L150" s="11">
        <f t="shared" si="14"/>
        <v>17850625</v>
      </c>
      <c r="M150" s="11">
        <f t="shared" si="14"/>
        <v>-274625</v>
      </c>
      <c r="N150" s="11">
        <f t="shared" si="14"/>
        <v>4225</v>
      </c>
      <c r="O150" s="11">
        <f t="shared" si="14"/>
        <v>-65</v>
      </c>
      <c r="P150" s="11">
        <f t="shared" si="18"/>
        <v>0</v>
      </c>
    </row>
    <row r="151" spans="1:16" x14ac:dyDescent="0.25">
      <c r="A151" s="11">
        <f t="shared" si="17"/>
        <v>96</v>
      </c>
      <c r="B151">
        <v>-21.682306806179962</v>
      </c>
      <c r="E151" s="11">
        <f>A151-'Mastercurve bestimmen'!$B$2</f>
        <v>-64</v>
      </c>
      <c r="F151" s="11">
        <f t="shared" si="15"/>
        <v>-21.682306806179962</v>
      </c>
      <c r="G151" s="11"/>
      <c r="H151" s="11">
        <f t="shared" si="16"/>
        <v>281474976710656</v>
      </c>
      <c r="I151" s="11">
        <f t="shared" si="14"/>
        <v>-4398046511104</v>
      </c>
      <c r="J151" s="11">
        <f t="shared" si="14"/>
        <v>68719476736</v>
      </c>
      <c r="K151" s="11">
        <f t="shared" si="14"/>
        <v>-1073741824</v>
      </c>
      <c r="L151" s="11">
        <f t="shared" si="14"/>
        <v>16777216</v>
      </c>
      <c r="M151" s="11">
        <f t="shared" si="14"/>
        <v>-262144</v>
      </c>
      <c r="N151" s="11">
        <f t="shared" si="14"/>
        <v>4096</v>
      </c>
      <c r="O151" s="11">
        <f t="shared" si="14"/>
        <v>-64</v>
      </c>
      <c r="P151" s="11">
        <f t="shared" si="18"/>
        <v>0</v>
      </c>
    </row>
    <row r="152" spans="1:16" x14ac:dyDescent="0.25">
      <c r="A152" s="11">
        <f t="shared" si="17"/>
        <v>97</v>
      </c>
      <c r="B152">
        <v>-21.416935971987645</v>
      </c>
      <c r="E152" s="11">
        <f>A152-'Mastercurve bestimmen'!$B$2</f>
        <v>-63</v>
      </c>
      <c r="F152" s="11">
        <f t="shared" si="15"/>
        <v>-21.416935971987645</v>
      </c>
      <c r="G152" s="11"/>
      <c r="H152" s="11">
        <f t="shared" si="16"/>
        <v>248155780267521</v>
      </c>
      <c r="I152" s="11">
        <f t="shared" si="14"/>
        <v>-3938980639167</v>
      </c>
      <c r="J152" s="11">
        <f t="shared" si="14"/>
        <v>62523502209</v>
      </c>
      <c r="K152" s="11">
        <f t="shared" si="14"/>
        <v>-992436543</v>
      </c>
      <c r="L152" s="11">
        <f t="shared" si="14"/>
        <v>15752961</v>
      </c>
      <c r="M152" s="11">
        <f t="shared" si="14"/>
        <v>-250047</v>
      </c>
      <c r="N152" s="11">
        <f t="shared" ref="I152:O189" si="19">IF($H$12&gt;=N$14,$E152^N$14,0)</f>
        <v>3969</v>
      </c>
      <c r="O152" s="11">
        <f t="shared" si="19"/>
        <v>-63</v>
      </c>
      <c r="P152" s="11">
        <f t="shared" si="18"/>
        <v>0</v>
      </c>
    </row>
    <row r="153" spans="1:16" x14ac:dyDescent="0.25">
      <c r="A153" s="11">
        <f t="shared" si="17"/>
        <v>98</v>
      </c>
      <c r="B153">
        <v>-21.151842306502136</v>
      </c>
      <c r="E153" s="11">
        <f>A153-'Mastercurve bestimmen'!$B$2</f>
        <v>-62</v>
      </c>
      <c r="F153" s="11">
        <f t="shared" si="15"/>
        <v>-21.151842306502136</v>
      </c>
      <c r="G153" s="11"/>
      <c r="H153" s="11">
        <f t="shared" si="16"/>
        <v>218340105584896</v>
      </c>
      <c r="I153" s="11">
        <f t="shared" si="19"/>
        <v>-3521614606208</v>
      </c>
      <c r="J153" s="11">
        <f t="shared" si="19"/>
        <v>56800235584</v>
      </c>
      <c r="K153" s="11">
        <f t="shared" si="19"/>
        <v>-916132832</v>
      </c>
      <c r="L153" s="11">
        <f t="shared" si="19"/>
        <v>14776336</v>
      </c>
      <c r="M153" s="11">
        <f t="shared" si="19"/>
        <v>-238328</v>
      </c>
      <c r="N153" s="11">
        <f t="shared" si="19"/>
        <v>3844</v>
      </c>
      <c r="O153" s="11">
        <f t="shared" si="19"/>
        <v>-62</v>
      </c>
      <c r="P153" s="11">
        <f t="shared" si="18"/>
        <v>0</v>
      </c>
    </row>
    <row r="154" spans="1:16" x14ac:dyDescent="0.25">
      <c r="A154" s="11">
        <f t="shared" si="17"/>
        <v>99</v>
      </c>
      <c r="B154">
        <v>-20.88684523729075</v>
      </c>
      <c r="E154" s="11">
        <f>A154-'Mastercurve bestimmen'!$B$2</f>
        <v>-61</v>
      </c>
      <c r="F154" s="11">
        <f t="shared" si="15"/>
        <v>-20.88684523729075</v>
      </c>
      <c r="G154" s="11"/>
      <c r="H154" s="11">
        <f t="shared" si="16"/>
        <v>191707312997281</v>
      </c>
      <c r="I154" s="11">
        <f t="shared" si="19"/>
        <v>-3142742836021</v>
      </c>
      <c r="J154" s="11">
        <f t="shared" si="19"/>
        <v>51520374361</v>
      </c>
      <c r="K154" s="11">
        <f t="shared" si="19"/>
        <v>-844596301</v>
      </c>
      <c r="L154" s="11">
        <f t="shared" si="19"/>
        <v>13845841</v>
      </c>
      <c r="M154" s="11">
        <f t="shared" si="19"/>
        <v>-226981</v>
      </c>
      <c r="N154" s="11">
        <f t="shared" si="19"/>
        <v>3721</v>
      </c>
      <c r="O154" s="11">
        <f t="shared" si="19"/>
        <v>-61</v>
      </c>
      <c r="P154" s="11">
        <f t="shared" si="18"/>
        <v>0</v>
      </c>
    </row>
    <row r="155" spans="1:16" x14ac:dyDescent="0.25">
      <c r="A155" s="11">
        <f t="shared" si="17"/>
        <v>100</v>
      </c>
      <c r="B155">
        <v>-20.621764191920821</v>
      </c>
      <c r="E155" s="11">
        <f>A155-'Mastercurve bestimmen'!$B$2</f>
        <v>-60</v>
      </c>
      <c r="F155" s="11">
        <f t="shared" si="15"/>
        <v>-20.621764191920821</v>
      </c>
      <c r="G155" s="11"/>
      <c r="H155" s="11">
        <f t="shared" si="16"/>
        <v>167961600000000</v>
      </c>
      <c r="I155" s="11">
        <f t="shared" si="19"/>
        <v>-2799360000000</v>
      </c>
      <c r="J155" s="11">
        <f t="shared" si="19"/>
        <v>46656000000</v>
      </c>
      <c r="K155" s="11">
        <f t="shared" si="19"/>
        <v>-777600000</v>
      </c>
      <c r="L155" s="11">
        <f t="shared" si="19"/>
        <v>12960000</v>
      </c>
      <c r="M155" s="11">
        <f t="shared" si="19"/>
        <v>-216000</v>
      </c>
      <c r="N155" s="11">
        <f t="shared" si="19"/>
        <v>3600</v>
      </c>
      <c r="O155" s="11">
        <f t="shared" si="19"/>
        <v>-60</v>
      </c>
      <c r="P155" s="11">
        <f t="shared" si="18"/>
        <v>0</v>
      </c>
    </row>
    <row r="156" spans="1:16" x14ac:dyDescent="0.25">
      <c r="A156" s="11">
        <f t="shared" si="17"/>
        <v>101</v>
      </c>
      <c r="B156">
        <v>-20.35641859795966</v>
      </c>
      <c r="E156" s="11">
        <f>A156-'Mastercurve bestimmen'!$B$2</f>
        <v>-59</v>
      </c>
      <c r="F156" s="11">
        <f t="shared" si="15"/>
        <v>-20.35641859795966</v>
      </c>
      <c r="G156" s="11"/>
      <c r="H156" s="11">
        <f t="shared" si="16"/>
        <v>146830437604321</v>
      </c>
      <c r="I156" s="11">
        <f t="shared" si="19"/>
        <v>-2488651484819</v>
      </c>
      <c r="J156" s="11">
        <f t="shared" si="19"/>
        <v>42180533641</v>
      </c>
      <c r="K156" s="11">
        <f t="shared" si="19"/>
        <v>-714924299</v>
      </c>
      <c r="L156" s="11">
        <f t="shared" si="19"/>
        <v>12117361</v>
      </c>
      <c r="M156" s="11">
        <f t="shared" si="19"/>
        <v>-205379</v>
      </c>
      <c r="N156" s="11">
        <f t="shared" si="19"/>
        <v>3481</v>
      </c>
      <c r="O156" s="11">
        <f t="shared" si="19"/>
        <v>-59</v>
      </c>
      <c r="P156" s="11">
        <f t="shared" si="18"/>
        <v>0</v>
      </c>
    </row>
    <row r="157" spans="1:16" x14ac:dyDescent="0.25">
      <c r="A157" s="11">
        <f t="shared" si="17"/>
        <v>102</v>
      </c>
      <c r="B157">
        <v>-20.090627882974587</v>
      </c>
      <c r="E157" s="11">
        <f>A157-'Mastercurve bestimmen'!$B$2</f>
        <v>-58</v>
      </c>
      <c r="F157" s="11">
        <f t="shared" si="15"/>
        <v>-20.090627882974587</v>
      </c>
      <c r="G157" s="11"/>
      <c r="H157" s="11">
        <f t="shared" si="16"/>
        <v>128063081718016</v>
      </c>
      <c r="I157" s="11">
        <f t="shared" si="19"/>
        <v>-2207984167552</v>
      </c>
      <c r="J157" s="11">
        <f t="shared" si="19"/>
        <v>38068692544</v>
      </c>
      <c r="K157" s="11">
        <f t="shared" si="19"/>
        <v>-656356768</v>
      </c>
      <c r="L157" s="11">
        <f t="shared" si="19"/>
        <v>11316496</v>
      </c>
      <c r="M157" s="11">
        <f t="shared" si="19"/>
        <v>-195112</v>
      </c>
      <c r="N157" s="11">
        <f t="shared" si="19"/>
        <v>3364</v>
      </c>
      <c r="O157" s="11">
        <f t="shared" si="19"/>
        <v>-58</v>
      </c>
      <c r="P157" s="11">
        <f t="shared" si="18"/>
        <v>0</v>
      </c>
    </row>
    <row r="158" spans="1:16" x14ac:dyDescent="0.25">
      <c r="A158" s="11">
        <f t="shared" si="17"/>
        <v>103</v>
      </c>
      <c r="B158">
        <v>-19.82421147453293</v>
      </c>
      <c r="E158" s="11">
        <f>A158-'Mastercurve bestimmen'!$B$2</f>
        <v>-57</v>
      </c>
      <c r="F158" s="11">
        <f t="shared" si="15"/>
        <v>-19.82421147453293</v>
      </c>
      <c r="G158" s="11"/>
      <c r="H158" s="11">
        <f t="shared" si="16"/>
        <v>111429157112001</v>
      </c>
      <c r="I158" s="11">
        <f t="shared" si="19"/>
        <v>-1954897493193</v>
      </c>
      <c r="J158" s="11">
        <f t="shared" si="19"/>
        <v>34296447249</v>
      </c>
      <c r="K158" s="11">
        <f t="shared" si="19"/>
        <v>-601692057</v>
      </c>
      <c r="L158" s="11">
        <f t="shared" si="19"/>
        <v>10556001</v>
      </c>
      <c r="M158" s="11">
        <f t="shared" si="19"/>
        <v>-185193</v>
      </c>
      <c r="N158" s="11">
        <f t="shared" si="19"/>
        <v>3249</v>
      </c>
      <c r="O158" s="11">
        <f t="shared" si="19"/>
        <v>-57</v>
      </c>
      <c r="P158" s="11">
        <f t="shared" si="18"/>
        <v>0</v>
      </c>
    </row>
    <row r="159" spans="1:16" x14ac:dyDescent="0.25">
      <c r="A159" s="11">
        <f t="shared" si="17"/>
        <v>104</v>
      </c>
      <c r="B159">
        <v>-19.556988800201999</v>
      </c>
      <c r="E159" s="11">
        <f>A159-'Mastercurve bestimmen'!$B$2</f>
        <v>-56</v>
      </c>
      <c r="F159" s="11">
        <f t="shared" si="15"/>
        <v>-19.556988800201999</v>
      </c>
      <c r="G159" s="11"/>
      <c r="H159" s="11">
        <f t="shared" si="16"/>
        <v>96717311574016</v>
      </c>
      <c r="I159" s="11">
        <f t="shared" si="19"/>
        <v>-1727094849536</v>
      </c>
      <c r="J159" s="11">
        <f t="shared" si="19"/>
        <v>30840979456</v>
      </c>
      <c r="K159" s="11">
        <f t="shared" si="19"/>
        <v>-550731776</v>
      </c>
      <c r="L159" s="11">
        <f t="shared" si="19"/>
        <v>9834496</v>
      </c>
      <c r="M159" s="11">
        <f t="shared" si="19"/>
        <v>-175616</v>
      </c>
      <c r="N159" s="11">
        <f t="shared" si="19"/>
        <v>3136</v>
      </c>
      <c r="O159" s="11">
        <f t="shared" si="19"/>
        <v>-56</v>
      </c>
      <c r="P159" s="11">
        <f t="shared" si="18"/>
        <v>0</v>
      </c>
    </row>
    <row r="160" spans="1:16" x14ac:dyDescent="0.25">
      <c r="A160" s="11">
        <f t="shared" si="17"/>
        <v>105</v>
      </c>
      <c r="B160">
        <v>-19.288779287549126</v>
      </c>
      <c r="E160" s="11">
        <f>A160-'Mastercurve bestimmen'!$B$2</f>
        <v>-55</v>
      </c>
      <c r="F160" s="11">
        <f t="shared" si="15"/>
        <v>-19.288779287549126</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-19.019402364141619</v>
      </c>
      <c r="E161" s="11">
        <f>A161-'Mastercurve bestimmen'!$B$2</f>
        <v>-54</v>
      </c>
      <c r="F161" s="11">
        <f t="shared" si="15"/>
        <v>-19.019402364141619</v>
      </c>
      <c r="G161" s="11"/>
      <c r="H161" s="11">
        <f t="shared" si="16"/>
        <v>72301961339136</v>
      </c>
      <c r="I161" s="11">
        <f t="shared" si="19"/>
        <v>-1338925209984</v>
      </c>
      <c r="J161" s="11">
        <f t="shared" si="19"/>
        <v>24794911296</v>
      </c>
      <c r="K161" s="11">
        <f t="shared" si="19"/>
        <v>-459165024</v>
      </c>
      <c r="L161" s="11">
        <f t="shared" si="19"/>
        <v>8503056</v>
      </c>
      <c r="M161" s="11">
        <f t="shared" si="19"/>
        <v>-157464</v>
      </c>
      <c r="N161" s="11">
        <f t="shared" si="19"/>
        <v>2916</v>
      </c>
      <c r="O161" s="11">
        <f t="shared" si="19"/>
        <v>-54</v>
      </c>
      <c r="P161" s="11">
        <f t="shared" si="18"/>
        <v>0</v>
      </c>
    </row>
    <row r="162" spans="1:16" x14ac:dyDescent="0.25">
      <c r="A162" s="11">
        <f t="shared" si="17"/>
        <v>107</v>
      </c>
      <c r="B162">
        <v>-18.748677457546805</v>
      </c>
      <c r="E162" s="11">
        <f>A162-'Mastercurve bestimmen'!$B$2</f>
        <v>-53</v>
      </c>
      <c r="F162" s="11">
        <f t="shared" si="15"/>
        <v>-18.748677457546805</v>
      </c>
      <c r="G162" s="11"/>
      <c r="H162" s="11">
        <f t="shared" si="16"/>
        <v>62259690411361</v>
      </c>
      <c r="I162" s="11">
        <f t="shared" si="19"/>
        <v>-1174711139837</v>
      </c>
      <c r="J162" s="11">
        <f t="shared" si="19"/>
        <v>22164361129</v>
      </c>
      <c r="K162" s="11">
        <f t="shared" si="19"/>
        <v>-418195493</v>
      </c>
      <c r="L162" s="11">
        <f t="shared" si="19"/>
        <v>7890481</v>
      </c>
      <c r="M162" s="11">
        <f t="shared" si="19"/>
        <v>-148877</v>
      </c>
      <c r="N162" s="11">
        <f t="shared" si="19"/>
        <v>2809</v>
      </c>
      <c r="O162" s="11">
        <f t="shared" si="19"/>
        <v>-53</v>
      </c>
      <c r="P162" s="11">
        <f t="shared" si="18"/>
        <v>0</v>
      </c>
    </row>
    <row r="163" spans="1:16" x14ac:dyDescent="0.25">
      <c r="A163" s="11">
        <f t="shared" si="17"/>
        <v>108</v>
      </c>
      <c r="B163">
        <v>-18.476423995332002</v>
      </c>
      <c r="E163" s="11">
        <f>A163-'Mastercurve bestimmen'!$B$2</f>
        <v>-52</v>
      </c>
      <c r="F163" s="11">
        <f t="shared" si="15"/>
        <v>-18.476423995332002</v>
      </c>
      <c r="G163" s="11"/>
      <c r="H163" s="11">
        <f t="shared" si="16"/>
        <v>53459728531456</v>
      </c>
      <c r="I163" s="11">
        <f t="shared" si="19"/>
        <v>-1028071702528</v>
      </c>
      <c r="J163" s="11">
        <f t="shared" si="19"/>
        <v>19770609664</v>
      </c>
      <c r="K163" s="11">
        <f t="shared" si="19"/>
        <v>-380204032</v>
      </c>
      <c r="L163" s="11">
        <f t="shared" si="19"/>
        <v>7311616</v>
      </c>
      <c r="M163" s="11">
        <f t="shared" si="19"/>
        <v>-140608</v>
      </c>
      <c r="N163" s="11">
        <f t="shared" si="19"/>
        <v>2704</v>
      </c>
      <c r="O163" s="11">
        <f t="shared" si="19"/>
        <v>-52</v>
      </c>
      <c r="P163" s="11">
        <f t="shared" si="18"/>
        <v>0</v>
      </c>
    </row>
    <row r="164" spans="1:16" x14ac:dyDescent="0.25">
      <c r="A164" s="11">
        <f t="shared" si="17"/>
        <v>109</v>
      </c>
      <c r="B164">
        <v>-18.202461405064533</v>
      </c>
      <c r="E164" s="11">
        <f>A164-'Mastercurve bestimmen'!$B$2</f>
        <v>-51</v>
      </c>
      <c r="F164" s="11">
        <f t="shared" si="15"/>
        <v>-18.202461405064533</v>
      </c>
      <c r="G164" s="11"/>
      <c r="H164" s="11">
        <f t="shared" si="16"/>
        <v>45767944570401</v>
      </c>
      <c r="I164" s="11">
        <f t="shared" si="19"/>
        <v>-897410677851</v>
      </c>
      <c r="J164" s="11">
        <f t="shared" si="19"/>
        <v>17596287801</v>
      </c>
      <c r="K164" s="11">
        <f t="shared" si="19"/>
        <v>-345025251</v>
      </c>
      <c r="L164" s="11">
        <f t="shared" si="19"/>
        <v>6765201</v>
      </c>
      <c r="M164" s="11">
        <f t="shared" si="19"/>
        <v>-132651</v>
      </c>
      <c r="N164" s="11">
        <f t="shared" si="19"/>
        <v>2601</v>
      </c>
      <c r="O164" s="11">
        <f t="shared" si="19"/>
        <v>-51</v>
      </c>
      <c r="P164" s="11">
        <f t="shared" si="18"/>
        <v>0</v>
      </c>
    </row>
    <row r="165" spans="1:16" x14ac:dyDescent="0.25">
      <c r="A165" s="11">
        <f t="shared" si="17"/>
        <v>110</v>
      </c>
      <c r="B165">
        <v>-17.926609114311717</v>
      </c>
      <c r="E165" s="11">
        <f>A165-'Mastercurve bestimmen'!$B$2</f>
        <v>-50</v>
      </c>
      <c r="F165" s="11">
        <f t="shared" si="15"/>
        <v>-17.926609114311717</v>
      </c>
      <c r="G165" s="11"/>
      <c r="H165" s="11">
        <f t="shared" si="16"/>
        <v>39062500000000</v>
      </c>
      <c r="I165" s="11">
        <f t="shared" si="19"/>
        <v>-781250000000</v>
      </c>
      <c r="J165" s="11">
        <f t="shared" si="19"/>
        <v>15625000000</v>
      </c>
      <c r="K165" s="11">
        <f t="shared" si="19"/>
        <v>-312500000</v>
      </c>
      <c r="L165" s="11">
        <f t="shared" si="19"/>
        <v>6250000</v>
      </c>
      <c r="M165" s="11">
        <f t="shared" si="19"/>
        <v>-125000</v>
      </c>
      <c r="N165" s="11">
        <f t="shared" si="19"/>
        <v>2500</v>
      </c>
      <c r="O165" s="11">
        <f t="shared" si="19"/>
        <v>-50</v>
      </c>
      <c r="P165" s="11">
        <f t="shared" si="18"/>
        <v>0</v>
      </c>
    </row>
    <row r="166" spans="1:16" x14ac:dyDescent="0.25">
      <c r="A166" s="11">
        <f t="shared" si="17"/>
        <v>111</v>
      </c>
      <c r="B166">
        <v>-17.648686550640875</v>
      </c>
      <c r="E166" s="11">
        <f>A166-'Mastercurve bestimmen'!$B$2</f>
        <v>-49</v>
      </c>
      <c r="F166" s="11">
        <f t="shared" si="15"/>
        <v>-17.648686550640875</v>
      </c>
      <c r="G166" s="11"/>
      <c r="H166" s="11">
        <f t="shared" si="16"/>
        <v>33232930569601</v>
      </c>
      <c r="I166" s="11">
        <f t="shared" si="19"/>
        <v>-678223072849</v>
      </c>
      <c r="J166" s="11">
        <f t="shared" si="19"/>
        <v>13841287201</v>
      </c>
      <c r="K166" s="11">
        <f t="shared" si="19"/>
        <v>-282475249</v>
      </c>
      <c r="L166" s="11">
        <f t="shared" si="19"/>
        <v>5764801</v>
      </c>
      <c r="M166" s="11">
        <f t="shared" si="19"/>
        <v>-117649</v>
      </c>
      <c r="N166" s="11">
        <f t="shared" si="19"/>
        <v>2401</v>
      </c>
      <c r="O166" s="11">
        <f t="shared" si="19"/>
        <v>-49</v>
      </c>
      <c r="P166" s="11">
        <f t="shared" si="18"/>
        <v>0</v>
      </c>
    </row>
    <row r="167" spans="1:16" x14ac:dyDescent="0.25">
      <c r="A167" s="11">
        <f t="shared" si="17"/>
        <v>112</v>
      </c>
      <c r="B167">
        <v>-17.368513141619324</v>
      </c>
      <c r="E167" s="11">
        <f>A167-'Mastercurve bestimmen'!$B$2</f>
        <v>-48</v>
      </c>
      <c r="F167" s="11">
        <f t="shared" si="15"/>
        <v>-17.368513141619324</v>
      </c>
      <c r="G167" s="11"/>
      <c r="H167" s="11">
        <f t="shared" si="16"/>
        <v>28179280429056</v>
      </c>
      <c r="I167" s="11">
        <f t="shared" si="19"/>
        <v>-587068342272</v>
      </c>
      <c r="J167" s="11">
        <f t="shared" si="19"/>
        <v>12230590464</v>
      </c>
      <c r="K167" s="11">
        <f t="shared" si="19"/>
        <v>-254803968</v>
      </c>
      <c r="L167" s="11">
        <f t="shared" si="19"/>
        <v>5308416</v>
      </c>
      <c r="M167" s="11">
        <f t="shared" si="19"/>
        <v>-110592</v>
      </c>
      <c r="N167" s="11">
        <f t="shared" si="19"/>
        <v>2304</v>
      </c>
      <c r="O167" s="11">
        <f t="shared" si="19"/>
        <v>-48</v>
      </c>
      <c r="P167" s="11">
        <f t="shared" si="18"/>
        <v>0</v>
      </c>
    </row>
    <row r="168" spans="1:16" x14ac:dyDescent="0.25">
      <c r="A168" s="11">
        <f t="shared" si="17"/>
        <v>113</v>
      </c>
      <c r="B168">
        <v>-17.085908314814386</v>
      </c>
      <c r="E168" s="11">
        <f>A168-'Mastercurve bestimmen'!$B$2</f>
        <v>-47</v>
      </c>
      <c r="F168" s="11">
        <f t="shared" si="15"/>
        <v>-17.085908314814386</v>
      </c>
      <c r="G168" s="11"/>
      <c r="H168" s="11">
        <f t="shared" si="16"/>
        <v>23811286661761</v>
      </c>
      <c r="I168" s="11">
        <f t="shared" si="19"/>
        <v>-506623120463</v>
      </c>
      <c r="J168" s="11">
        <f t="shared" si="19"/>
        <v>10779215329</v>
      </c>
      <c r="K168" s="11">
        <f t="shared" si="19"/>
        <v>-229345007</v>
      </c>
      <c r="L168" s="11">
        <f t="shared" si="19"/>
        <v>4879681</v>
      </c>
      <c r="M168" s="11">
        <f t="shared" si="19"/>
        <v>-103823</v>
      </c>
      <c r="N168" s="11">
        <f t="shared" si="19"/>
        <v>2209</v>
      </c>
      <c r="O168" s="11">
        <f t="shared" si="19"/>
        <v>-47</v>
      </c>
      <c r="P168" s="11">
        <f t="shared" si="18"/>
        <v>0</v>
      </c>
    </row>
    <row r="169" spans="1:16" x14ac:dyDescent="0.25">
      <c r="A169" s="11">
        <f t="shared" si="17"/>
        <v>114</v>
      </c>
      <c r="B169">
        <v>-16.800691497793384</v>
      </c>
      <c r="E169" s="11">
        <f>A169-'Mastercurve bestimmen'!$B$2</f>
        <v>-46</v>
      </c>
      <c r="F169" s="11">
        <f t="shared" si="15"/>
        <v>-16.800691497793384</v>
      </c>
      <c r="G169" s="11"/>
      <c r="H169" s="11">
        <f t="shared" si="16"/>
        <v>20047612231936</v>
      </c>
      <c r="I169" s="11">
        <f t="shared" si="19"/>
        <v>-435817657216</v>
      </c>
      <c r="J169" s="11">
        <f t="shared" si="19"/>
        <v>9474296896</v>
      </c>
      <c r="K169" s="11">
        <f t="shared" si="19"/>
        <v>-205962976</v>
      </c>
      <c r="L169" s="11">
        <f t="shared" si="19"/>
        <v>4477456</v>
      </c>
      <c r="M169" s="11">
        <f t="shared" si="19"/>
        <v>-97336</v>
      </c>
      <c r="N169" s="11">
        <f t="shared" si="19"/>
        <v>2116</v>
      </c>
      <c r="O169" s="11">
        <f t="shared" si="19"/>
        <v>-46</v>
      </c>
      <c r="P169" s="11">
        <f t="shared" si="18"/>
        <v>0</v>
      </c>
    </row>
    <row r="170" spans="1:16" x14ac:dyDescent="0.25">
      <c r="A170" s="11">
        <f t="shared" si="17"/>
        <v>115</v>
      </c>
      <c r="B170">
        <v>-16.512682118123635</v>
      </c>
      <c r="E170" s="11">
        <f>A170-'Mastercurve bestimmen'!$B$2</f>
        <v>-45</v>
      </c>
      <c r="F170" s="11">
        <f t="shared" si="15"/>
        <v>-16.512682118123635</v>
      </c>
      <c r="G170" s="11"/>
      <c r="H170" s="11">
        <f t="shared" si="16"/>
        <v>16815125390625</v>
      </c>
      <c r="I170" s="11">
        <f t="shared" si="19"/>
        <v>-373669453125</v>
      </c>
      <c r="J170" s="11">
        <f t="shared" si="19"/>
        <v>8303765625</v>
      </c>
      <c r="K170" s="11">
        <f t="shared" si="19"/>
        <v>-184528125</v>
      </c>
      <c r="L170" s="11">
        <f t="shared" si="19"/>
        <v>4100625</v>
      </c>
      <c r="M170" s="11">
        <f t="shared" si="19"/>
        <v>-91125</v>
      </c>
      <c r="N170" s="11">
        <f t="shared" si="19"/>
        <v>2025</v>
      </c>
      <c r="O170" s="11">
        <f t="shared" si="19"/>
        <v>-45</v>
      </c>
      <c r="P170" s="11">
        <f t="shared" si="18"/>
        <v>0</v>
      </c>
    </row>
    <row r="171" spans="1:16" x14ac:dyDescent="0.25">
      <c r="A171" s="11">
        <f t="shared" si="17"/>
        <v>116</v>
      </c>
      <c r="B171">
        <v>-16.221699603372457</v>
      </c>
      <c r="E171" s="11">
        <f>A171-'Mastercurve bestimmen'!$B$2</f>
        <v>-44</v>
      </c>
      <c r="F171" s="11">
        <f t="shared" si="15"/>
        <v>-16.221699603372457</v>
      </c>
      <c r="G171" s="11"/>
      <c r="H171" s="11">
        <f t="shared" si="16"/>
        <v>14048223625216</v>
      </c>
      <c r="I171" s="11">
        <f t="shared" si="19"/>
        <v>-319277809664</v>
      </c>
      <c r="J171" s="11">
        <f t="shared" si="19"/>
        <v>7256313856</v>
      </c>
      <c r="K171" s="11">
        <f t="shared" si="19"/>
        <v>-164916224</v>
      </c>
      <c r="L171" s="11">
        <f t="shared" si="19"/>
        <v>3748096</v>
      </c>
      <c r="M171" s="11">
        <f t="shared" si="19"/>
        <v>-85184</v>
      </c>
      <c r="N171" s="11">
        <f t="shared" si="19"/>
        <v>1936</v>
      </c>
      <c r="O171" s="11">
        <f t="shared" si="19"/>
        <v>-44</v>
      </c>
      <c r="P171" s="11">
        <f t="shared" si="18"/>
        <v>0</v>
      </c>
    </row>
    <row r="172" spans="1:16" x14ac:dyDescent="0.25">
      <c r="A172" s="11">
        <f t="shared" si="17"/>
        <v>117</v>
      </c>
      <c r="B172">
        <v>-15.927563381107175</v>
      </c>
      <c r="E172" s="11">
        <f>A172-'Mastercurve bestimmen'!$B$2</f>
        <v>-43</v>
      </c>
      <c r="F172" s="11">
        <f t="shared" si="15"/>
        <v>-15.927563381107175</v>
      </c>
      <c r="G172" s="11"/>
      <c r="H172" s="11">
        <f t="shared" si="16"/>
        <v>11688200277601</v>
      </c>
      <c r="I172" s="11">
        <f t="shared" si="19"/>
        <v>-271818611107</v>
      </c>
      <c r="J172" s="11">
        <f t="shared" si="19"/>
        <v>6321363049</v>
      </c>
      <c r="K172" s="11">
        <f t="shared" si="19"/>
        <v>-147008443</v>
      </c>
      <c r="L172" s="11">
        <f t="shared" si="19"/>
        <v>3418801</v>
      </c>
      <c r="M172" s="11">
        <f t="shared" si="19"/>
        <v>-79507</v>
      </c>
      <c r="N172" s="11">
        <f t="shared" si="19"/>
        <v>1849</v>
      </c>
      <c r="O172" s="11">
        <f t="shared" si="19"/>
        <v>-43</v>
      </c>
      <c r="P172" s="11">
        <f t="shared" si="18"/>
        <v>0</v>
      </c>
    </row>
    <row r="173" spans="1:16" x14ac:dyDescent="0.25">
      <c r="A173" s="11">
        <f t="shared" si="17"/>
        <v>118</v>
      </c>
      <c r="B173">
        <v>-15.630092878895105</v>
      </c>
      <c r="E173" s="11">
        <f>A173-'Mastercurve bestimmen'!$B$2</f>
        <v>-42</v>
      </c>
      <c r="F173" s="11">
        <f t="shared" si="15"/>
        <v>-15.630092878895105</v>
      </c>
      <c r="G173" s="11"/>
      <c r="H173" s="11">
        <f t="shared" si="16"/>
        <v>9682651996416</v>
      </c>
      <c r="I173" s="11">
        <f t="shared" si="19"/>
        <v>-230539333248</v>
      </c>
      <c r="J173" s="11">
        <f t="shared" si="19"/>
        <v>5489031744</v>
      </c>
      <c r="K173" s="11">
        <f t="shared" si="19"/>
        <v>-130691232</v>
      </c>
      <c r="L173" s="11">
        <f t="shared" si="19"/>
        <v>3111696</v>
      </c>
      <c r="M173" s="11">
        <f t="shared" si="19"/>
        <v>-74088</v>
      </c>
      <c r="N173" s="11">
        <f t="shared" si="19"/>
        <v>1764</v>
      </c>
      <c r="O173" s="11">
        <f t="shared" si="19"/>
        <v>-42</v>
      </c>
      <c r="P173" s="11">
        <f t="shared" si="18"/>
        <v>0</v>
      </c>
    </row>
    <row r="174" spans="1:16" x14ac:dyDescent="0.25">
      <c r="A174" s="11">
        <f t="shared" si="17"/>
        <v>119</v>
      </c>
      <c r="B174">
        <v>-15.329107524303573</v>
      </c>
      <c r="E174" s="11">
        <f>A174-'Mastercurve bestimmen'!$B$2</f>
        <v>-41</v>
      </c>
      <c r="F174" s="11">
        <f t="shared" si="15"/>
        <v>-15.329107524303573</v>
      </c>
      <c r="G174" s="11"/>
      <c r="H174" s="11">
        <f t="shared" si="16"/>
        <v>7984925229121</v>
      </c>
      <c r="I174" s="11">
        <f t="shared" si="19"/>
        <v>-194754273881</v>
      </c>
      <c r="J174" s="11">
        <f t="shared" si="19"/>
        <v>4750104241</v>
      </c>
      <c r="K174" s="11">
        <f t="shared" si="19"/>
        <v>-115856201</v>
      </c>
      <c r="L174" s="11">
        <f t="shared" si="19"/>
        <v>2825761</v>
      </c>
      <c r="M174" s="11">
        <f t="shared" si="19"/>
        <v>-68921</v>
      </c>
      <c r="N174" s="11">
        <f t="shared" si="19"/>
        <v>1681</v>
      </c>
      <c r="O174" s="11">
        <f t="shared" si="19"/>
        <v>-41</v>
      </c>
      <c r="P174" s="11">
        <f t="shared" si="18"/>
        <v>0</v>
      </c>
    </row>
    <row r="175" spans="1:16" x14ac:dyDescent="0.25">
      <c r="A175" s="11">
        <f t="shared" si="17"/>
        <v>120</v>
      </c>
      <c r="B175">
        <v>-15.024426744899896</v>
      </c>
      <c r="E175" s="11">
        <f>A175-'Mastercurve bestimmen'!$B$2</f>
        <v>-40</v>
      </c>
      <c r="F175" s="11">
        <f t="shared" si="15"/>
        <v>-15.024426744899896</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-14.715869968251393</v>
      </c>
      <c r="E176" s="11">
        <f>A176-'Mastercurve bestimmen'!$B$2</f>
        <v>-39</v>
      </c>
      <c r="F176" s="11">
        <f t="shared" si="15"/>
        <v>-14.715869968251393</v>
      </c>
      <c r="G176" s="11"/>
      <c r="H176" s="11">
        <f t="shared" si="16"/>
        <v>5352009260481</v>
      </c>
      <c r="I176" s="11">
        <f t="shared" si="19"/>
        <v>-137231006679</v>
      </c>
      <c r="J176" s="11">
        <f t="shared" si="19"/>
        <v>3518743761</v>
      </c>
      <c r="K176" s="11">
        <f t="shared" si="19"/>
        <v>-90224199</v>
      </c>
      <c r="L176" s="11">
        <f t="shared" si="19"/>
        <v>2313441</v>
      </c>
      <c r="M176" s="11">
        <f t="shared" si="19"/>
        <v>-59319</v>
      </c>
      <c r="N176" s="11">
        <f t="shared" si="19"/>
        <v>1521</v>
      </c>
      <c r="O176" s="11">
        <f t="shared" si="19"/>
        <v>-39</v>
      </c>
      <c r="P176" s="11">
        <f t="shared" si="18"/>
        <v>0</v>
      </c>
    </row>
    <row r="177" spans="1:16" x14ac:dyDescent="0.25">
      <c r="A177" s="11">
        <f t="shared" si="17"/>
        <v>122</v>
      </c>
      <c r="B177">
        <v>-14.403256621925387</v>
      </c>
      <c r="E177" s="11">
        <f>A177-'Mastercurve bestimmen'!$B$2</f>
        <v>-38</v>
      </c>
      <c r="F177" s="11">
        <f t="shared" si="15"/>
        <v>-14.403256621925387</v>
      </c>
      <c r="G177" s="11"/>
      <c r="H177" s="11">
        <f t="shared" si="16"/>
        <v>4347792138496</v>
      </c>
      <c r="I177" s="11">
        <f t="shared" si="19"/>
        <v>-114415582592</v>
      </c>
      <c r="J177" s="11">
        <f t="shared" si="19"/>
        <v>3010936384</v>
      </c>
      <c r="K177" s="11">
        <f t="shared" si="19"/>
        <v>-79235168</v>
      </c>
      <c r="L177" s="11">
        <f t="shared" si="19"/>
        <v>2085136</v>
      </c>
      <c r="M177" s="11">
        <f t="shared" si="19"/>
        <v>-54872</v>
      </c>
      <c r="N177" s="11">
        <f t="shared" si="19"/>
        <v>1444</v>
      </c>
      <c r="O177" s="11">
        <f t="shared" si="19"/>
        <v>-38</v>
      </c>
      <c r="P177" s="11">
        <f t="shared" si="18"/>
        <v>0</v>
      </c>
    </row>
    <row r="178" spans="1:16" x14ac:dyDescent="0.25">
      <c r="A178" s="11">
        <f t="shared" si="17"/>
        <v>123</v>
      </c>
      <c r="B178">
        <v>-14.086406133489197</v>
      </c>
      <c r="E178" s="11">
        <f>A178-'Mastercurve bestimmen'!$B$2</f>
        <v>-37</v>
      </c>
      <c r="F178" s="11">
        <f t="shared" si="15"/>
        <v>-14.086406133489197</v>
      </c>
      <c r="G178" s="11"/>
      <c r="H178" s="11">
        <f t="shared" si="16"/>
        <v>3512479453921</v>
      </c>
      <c r="I178" s="11">
        <f t="shared" si="19"/>
        <v>-94931877133</v>
      </c>
      <c r="J178" s="11">
        <f t="shared" si="19"/>
        <v>2565726409</v>
      </c>
      <c r="K178" s="11">
        <f t="shared" si="19"/>
        <v>-69343957</v>
      </c>
      <c r="L178" s="11">
        <f t="shared" si="19"/>
        <v>1874161</v>
      </c>
      <c r="M178" s="11">
        <f t="shared" si="19"/>
        <v>-50653</v>
      </c>
      <c r="N178" s="11">
        <f t="shared" si="19"/>
        <v>1369</v>
      </c>
      <c r="O178" s="11">
        <f t="shared" si="19"/>
        <v>-37</v>
      </c>
      <c r="P178" s="11">
        <f t="shared" si="18"/>
        <v>0</v>
      </c>
    </row>
    <row r="179" spans="1:16" x14ac:dyDescent="0.25">
      <c r="A179" s="11">
        <f t="shared" si="17"/>
        <v>124</v>
      </c>
      <c r="B179">
        <v>-13.765137930510141</v>
      </c>
      <c r="E179" s="11">
        <f>A179-'Mastercurve bestimmen'!$B$2</f>
        <v>-36</v>
      </c>
      <c r="F179" s="11">
        <f t="shared" si="15"/>
        <v>-13.765137930510141</v>
      </c>
      <c r="G179" s="11"/>
      <c r="H179" s="11">
        <f t="shared" si="16"/>
        <v>2821109907456</v>
      </c>
      <c r="I179" s="11">
        <f t="shared" si="19"/>
        <v>-78364164096</v>
      </c>
      <c r="J179" s="11">
        <f t="shared" si="19"/>
        <v>2176782336</v>
      </c>
      <c r="K179" s="11">
        <f t="shared" si="19"/>
        <v>-60466176</v>
      </c>
      <c r="L179" s="11">
        <f t="shared" si="19"/>
        <v>1679616</v>
      </c>
      <c r="M179" s="11">
        <f t="shared" si="19"/>
        <v>-46656</v>
      </c>
      <c r="N179" s="11">
        <f t="shared" si="19"/>
        <v>1296</v>
      </c>
      <c r="O179" s="11">
        <f t="shared" si="19"/>
        <v>-36</v>
      </c>
      <c r="P179" s="11">
        <f t="shared" si="18"/>
        <v>0</v>
      </c>
    </row>
    <row r="180" spans="1:16" x14ac:dyDescent="0.25">
      <c r="A180" s="11">
        <f t="shared" si="17"/>
        <v>125</v>
      </c>
      <c r="B180">
        <v>-13.439271440555542</v>
      </c>
      <c r="E180" s="11">
        <f>A180-'Mastercurve bestimmen'!$B$2</f>
        <v>-35</v>
      </c>
      <c r="F180" s="11">
        <f t="shared" si="15"/>
        <v>-13.439271440555542</v>
      </c>
      <c r="G180" s="11"/>
      <c r="H180" s="11">
        <f t="shared" si="16"/>
        <v>2251875390625</v>
      </c>
      <c r="I180" s="11">
        <f t="shared" si="19"/>
        <v>-64339296875</v>
      </c>
      <c r="J180" s="11">
        <f t="shared" si="19"/>
        <v>1838265625</v>
      </c>
      <c r="K180" s="11">
        <f t="shared" si="19"/>
        <v>-52521875</v>
      </c>
      <c r="L180" s="11">
        <f t="shared" si="19"/>
        <v>1500625</v>
      </c>
      <c r="M180" s="11">
        <f t="shared" si="19"/>
        <v>-42875</v>
      </c>
      <c r="N180" s="11">
        <f t="shared" si="19"/>
        <v>1225</v>
      </c>
      <c r="O180" s="11">
        <f t="shared" si="19"/>
        <v>-35</v>
      </c>
      <c r="P180" s="11">
        <f t="shared" si="18"/>
        <v>0</v>
      </c>
    </row>
    <row r="181" spans="1:16" x14ac:dyDescent="0.25">
      <c r="A181" s="11">
        <f t="shared" si="17"/>
        <v>126</v>
      </c>
      <c r="B181">
        <v>-13.108678943071537</v>
      </c>
      <c r="E181" s="11">
        <f>A181-'Mastercurve bestimmen'!$B$2</f>
        <v>-34</v>
      </c>
      <c r="F181" s="11">
        <f t="shared" si="15"/>
        <v>-13.108678943071537</v>
      </c>
      <c r="G181" s="11"/>
      <c r="H181" s="11">
        <f t="shared" si="16"/>
        <v>1785793904896</v>
      </c>
      <c r="I181" s="11">
        <f t="shared" si="19"/>
        <v>-52523350144</v>
      </c>
      <c r="J181" s="11">
        <f t="shared" si="19"/>
        <v>1544804416</v>
      </c>
      <c r="K181" s="11">
        <f t="shared" si="19"/>
        <v>-45435424</v>
      </c>
      <c r="L181" s="11">
        <f t="shared" si="19"/>
        <v>1336336</v>
      </c>
      <c r="M181" s="11">
        <f t="shared" si="19"/>
        <v>-39304</v>
      </c>
      <c r="N181" s="11">
        <f t="shared" si="19"/>
        <v>1156</v>
      </c>
      <c r="O181" s="11">
        <f t="shared" si="19"/>
        <v>-34</v>
      </c>
      <c r="P181" s="11">
        <f t="shared" si="18"/>
        <v>0</v>
      </c>
    </row>
    <row r="182" spans="1:16" x14ac:dyDescent="0.25">
      <c r="A182" s="11">
        <f t="shared" si="17"/>
        <v>127</v>
      </c>
      <c r="B182">
        <v>-12.773444125019545</v>
      </c>
      <c r="E182" s="11">
        <f>A182-'Mastercurve bestimmen'!$B$2</f>
        <v>-33</v>
      </c>
      <c r="F182" s="11">
        <f t="shared" si="15"/>
        <v>-12.773444125019545</v>
      </c>
      <c r="G182" s="11"/>
      <c r="H182" s="11">
        <f t="shared" si="16"/>
        <v>1406408618241</v>
      </c>
      <c r="I182" s="11">
        <f t="shared" si="19"/>
        <v>-42618442977</v>
      </c>
      <c r="J182" s="11">
        <f t="shared" si="19"/>
        <v>1291467969</v>
      </c>
      <c r="K182" s="11">
        <f t="shared" si="19"/>
        <v>-39135393</v>
      </c>
      <c r="L182" s="11">
        <f t="shared" si="19"/>
        <v>1185921</v>
      </c>
      <c r="M182" s="11">
        <f t="shared" si="19"/>
        <v>-35937</v>
      </c>
      <c r="N182" s="11">
        <f t="shared" si="19"/>
        <v>1089</v>
      </c>
      <c r="O182" s="11">
        <f t="shared" si="19"/>
        <v>-33</v>
      </c>
      <c r="P182" s="11">
        <f t="shared" si="18"/>
        <v>0</v>
      </c>
    </row>
    <row r="183" spans="1:16" x14ac:dyDescent="0.25">
      <c r="A183" s="11">
        <f t="shared" si="17"/>
        <v>128</v>
      </c>
      <c r="B183">
        <v>-12.4337035252398</v>
      </c>
      <c r="E183" s="11">
        <f>A183-'Mastercurve bestimmen'!$B$2</f>
        <v>-32</v>
      </c>
      <c r="F183" s="11">
        <f t="shared" si="15"/>
        <v>-12.4337035252398</v>
      </c>
      <c r="G183" s="11"/>
      <c r="H183" s="11">
        <f t="shared" si="16"/>
        <v>1099511627776</v>
      </c>
      <c r="I183" s="11">
        <f t="shared" si="19"/>
        <v>-34359738368</v>
      </c>
      <c r="J183" s="11">
        <f t="shared" si="19"/>
        <v>1073741824</v>
      </c>
      <c r="K183" s="11">
        <f t="shared" si="19"/>
        <v>-33554432</v>
      </c>
      <c r="L183" s="11">
        <f t="shared" si="19"/>
        <v>1048576</v>
      </c>
      <c r="M183" s="11">
        <f t="shared" si="19"/>
        <v>-32768</v>
      </c>
      <c r="N183" s="11">
        <f t="shared" si="19"/>
        <v>1024</v>
      </c>
      <c r="O183" s="11">
        <f t="shared" si="19"/>
        <v>-32</v>
      </c>
      <c r="P183" s="11">
        <f t="shared" si="18"/>
        <v>0</v>
      </c>
    </row>
    <row r="184" spans="1:16" x14ac:dyDescent="0.25">
      <c r="A184" s="11">
        <f t="shared" si="17"/>
        <v>129</v>
      </c>
      <c r="B184">
        <v>-12.089593682572534</v>
      </c>
      <c r="E184" s="11">
        <f>A184-'Mastercurve bestimmen'!$B$2</f>
        <v>-31</v>
      </c>
      <c r="F184" s="11">
        <f t="shared" si="15"/>
        <v>-12.089593682572534</v>
      </c>
      <c r="G184" s="11"/>
      <c r="H184" s="11">
        <f t="shared" si="16"/>
        <v>852891037441</v>
      </c>
      <c r="I184" s="11">
        <f t="shared" si="19"/>
        <v>-27512614111</v>
      </c>
      <c r="J184" s="11">
        <f t="shared" si="19"/>
        <v>887503681</v>
      </c>
      <c r="K184" s="11">
        <f t="shared" si="19"/>
        <v>-28629151</v>
      </c>
      <c r="L184" s="11">
        <f t="shared" si="19"/>
        <v>923521</v>
      </c>
      <c r="M184" s="11">
        <f t="shared" si="19"/>
        <v>-29791</v>
      </c>
      <c r="N184" s="11">
        <f t="shared" si="19"/>
        <v>961</v>
      </c>
      <c r="O184" s="11">
        <f t="shared" si="19"/>
        <v>-31</v>
      </c>
      <c r="P184" s="11">
        <f t="shared" si="18"/>
        <v>0</v>
      </c>
    </row>
    <row r="185" spans="1:16" x14ac:dyDescent="0.25">
      <c r="A185" s="11">
        <f t="shared" si="17"/>
        <v>130</v>
      </c>
      <c r="B185">
        <v>-11.741251135857986</v>
      </c>
      <c r="E185" s="11">
        <f>A185-'Mastercurve bestimmen'!$B$2</f>
        <v>-30</v>
      </c>
      <c r="F185" s="11">
        <f t="shared" si="15"/>
        <v>-11.741251135857986</v>
      </c>
      <c r="G185" s="11"/>
      <c r="H185" s="11">
        <f t="shared" si="16"/>
        <v>656100000000</v>
      </c>
      <c r="I185" s="11">
        <f t="shared" si="19"/>
        <v>-21870000000</v>
      </c>
      <c r="J185" s="11">
        <f t="shared" si="19"/>
        <v>729000000</v>
      </c>
      <c r="K185" s="11">
        <f t="shared" si="19"/>
        <v>-24300000</v>
      </c>
      <c r="L185" s="11">
        <f t="shared" si="19"/>
        <v>810000</v>
      </c>
      <c r="M185" s="11">
        <f t="shared" si="19"/>
        <v>-27000</v>
      </c>
      <c r="N185" s="11">
        <f t="shared" si="19"/>
        <v>900</v>
      </c>
      <c r="O185" s="11">
        <f t="shared" si="19"/>
        <v>-30</v>
      </c>
      <c r="P185" s="11">
        <f t="shared" si="18"/>
        <v>0</v>
      </c>
    </row>
    <row r="186" spans="1:16" x14ac:dyDescent="0.25">
      <c r="A186" s="11">
        <f t="shared" si="17"/>
        <v>131</v>
      </c>
      <c r="B186">
        <v>-11.388812423936388</v>
      </c>
      <c r="E186" s="11">
        <f>A186-'Mastercurve bestimmen'!$B$2</f>
        <v>-29</v>
      </c>
      <c r="F186" s="11">
        <f t="shared" si="15"/>
        <v>-11.388812423936388</v>
      </c>
      <c r="G186" s="11"/>
      <c r="H186" s="11">
        <f t="shared" si="16"/>
        <v>500246412961</v>
      </c>
      <c r="I186" s="11">
        <f t="shared" si="19"/>
        <v>-17249876309</v>
      </c>
      <c r="J186" s="11">
        <f t="shared" si="19"/>
        <v>594823321</v>
      </c>
      <c r="K186" s="11">
        <f t="shared" si="19"/>
        <v>-20511149</v>
      </c>
      <c r="L186" s="11">
        <f t="shared" si="19"/>
        <v>707281</v>
      </c>
      <c r="M186" s="11">
        <f t="shared" si="19"/>
        <v>-24389</v>
      </c>
      <c r="N186" s="11">
        <f t="shared" si="19"/>
        <v>841</v>
      </c>
      <c r="O186" s="11">
        <f t="shared" si="19"/>
        <v>-29</v>
      </c>
      <c r="P186" s="11">
        <f t="shared" si="18"/>
        <v>0</v>
      </c>
    </row>
    <row r="187" spans="1:16" x14ac:dyDescent="0.25">
      <c r="A187" s="11">
        <f t="shared" si="17"/>
        <v>132</v>
      </c>
      <c r="B187">
        <v>-11.032414085647977</v>
      </c>
      <c r="E187" s="11">
        <f>A187-'Mastercurve bestimmen'!$B$2</f>
        <v>-28</v>
      </c>
      <c r="F187" s="11">
        <f t="shared" si="15"/>
        <v>-11.032414085647977</v>
      </c>
      <c r="G187" s="11"/>
      <c r="H187" s="11">
        <f t="shared" si="16"/>
        <v>377801998336</v>
      </c>
      <c r="I187" s="11">
        <f t="shared" si="19"/>
        <v>-13492928512</v>
      </c>
      <c r="J187" s="11">
        <f t="shared" si="19"/>
        <v>481890304</v>
      </c>
      <c r="K187" s="11">
        <f t="shared" si="19"/>
        <v>-17210368</v>
      </c>
      <c r="L187" s="11">
        <f t="shared" si="19"/>
        <v>614656</v>
      </c>
      <c r="M187" s="11">
        <f t="shared" si="19"/>
        <v>-21952</v>
      </c>
      <c r="N187" s="11">
        <f t="shared" si="19"/>
        <v>784</v>
      </c>
      <c r="O187" s="11">
        <f t="shared" si="19"/>
        <v>-28</v>
      </c>
      <c r="P187" s="11">
        <f t="shared" si="18"/>
        <v>0</v>
      </c>
    </row>
    <row r="188" spans="1:16" x14ac:dyDescent="0.25">
      <c r="A188" s="11">
        <f t="shared" si="17"/>
        <v>133</v>
      </c>
      <c r="B188">
        <v>-10.672192659832989</v>
      </c>
      <c r="E188" s="11">
        <f>A188-'Mastercurve bestimmen'!$B$2</f>
        <v>-27</v>
      </c>
      <c r="F188" s="11">
        <f t="shared" si="15"/>
        <v>-10.672192659832989</v>
      </c>
      <c r="G188" s="11"/>
      <c r="H188" s="11">
        <f t="shared" si="16"/>
        <v>282429536481</v>
      </c>
      <c r="I188" s="11">
        <f t="shared" si="19"/>
        <v>-10460353203</v>
      </c>
      <c r="J188" s="11">
        <f t="shared" si="19"/>
        <v>387420489</v>
      </c>
      <c r="K188" s="11">
        <f t="shared" si="19"/>
        <v>-14348907</v>
      </c>
      <c r="L188" s="11">
        <f t="shared" si="19"/>
        <v>531441</v>
      </c>
      <c r="M188" s="11">
        <f t="shared" si="19"/>
        <v>-19683</v>
      </c>
      <c r="N188" s="11">
        <f t="shared" si="19"/>
        <v>729</v>
      </c>
      <c r="O188" s="11">
        <f t="shared" si="19"/>
        <v>-27</v>
      </c>
      <c r="P188" s="11">
        <f t="shared" si="18"/>
        <v>0</v>
      </c>
    </row>
    <row r="189" spans="1:16" x14ac:dyDescent="0.25">
      <c r="A189" s="11">
        <f t="shared" si="17"/>
        <v>134</v>
      </c>
      <c r="B189">
        <v>-10.308284685331655</v>
      </c>
      <c r="E189" s="11">
        <f>A189-'Mastercurve bestimmen'!$B$2</f>
        <v>-26</v>
      </c>
      <c r="F189" s="11">
        <f t="shared" si="15"/>
        <v>-10.308284685331655</v>
      </c>
      <c r="G189" s="11"/>
      <c r="H189" s="11">
        <f t="shared" si="16"/>
        <v>208827064576</v>
      </c>
      <c r="I189" s="11">
        <f t="shared" si="19"/>
        <v>-8031810176</v>
      </c>
      <c r="J189" s="11">
        <f t="shared" ref="I189:O215" si="20">IF($H$12&gt;=J$14,$E189^J$14,0)</f>
        <v>308915776</v>
      </c>
      <c r="K189" s="11">
        <f t="shared" si="20"/>
        <v>-11881376</v>
      </c>
      <c r="L189" s="11">
        <f t="shared" si="20"/>
        <v>456976</v>
      </c>
      <c r="M189" s="11">
        <f t="shared" si="20"/>
        <v>-17576</v>
      </c>
      <c r="N189" s="11">
        <f t="shared" si="20"/>
        <v>676</v>
      </c>
      <c r="O189" s="11">
        <f t="shared" si="20"/>
        <v>-26</v>
      </c>
      <c r="P189" s="11">
        <f t="shared" si="18"/>
        <v>0</v>
      </c>
    </row>
    <row r="190" spans="1:16" x14ac:dyDescent="0.25">
      <c r="A190" s="11">
        <f t="shared" si="17"/>
        <v>135</v>
      </c>
      <c r="B190">
        <v>-9.9408267009842124</v>
      </c>
      <c r="E190" s="11">
        <f>A190-'Mastercurve bestimmen'!$B$2</f>
        <v>-25</v>
      </c>
      <c r="F190" s="11">
        <f t="shared" si="15"/>
        <v>-9.9408267009842124</v>
      </c>
      <c r="G190" s="11"/>
      <c r="H190" s="11">
        <f t="shared" si="16"/>
        <v>152587890625</v>
      </c>
      <c r="I190" s="11">
        <f t="shared" si="20"/>
        <v>-6103515625</v>
      </c>
      <c r="J190" s="11">
        <f t="shared" si="20"/>
        <v>244140625</v>
      </c>
      <c r="K190" s="11">
        <f t="shared" si="20"/>
        <v>-9765625</v>
      </c>
      <c r="L190" s="11">
        <f t="shared" si="20"/>
        <v>390625</v>
      </c>
      <c r="M190" s="11">
        <f t="shared" si="20"/>
        <v>-15625</v>
      </c>
      <c r="N190" s="11">
        <f t="shared" si="20"/>
        <v>625</v>
      </c>
      <c r="O190" s="11">
        <f t="shared" si="20"/>
        <v>-25</v>
      </c>
      <c r="P190" s="11">
        <f t="shared" si="18"/>
        <v>0</v>
      </c>
    </row>
    <row r="191" spans="1:16" x14ac:dyDescent="0.25">
      <c r="A191" s="11">
        <f t="shared" si="17"/>
        <v>136</v>
      </c>
      <c r="B191">
        <v>-9.5699552456308972</v>
      </c>
      <c r="E191" s="11">
        <f>A191-'Mastercurve bestimmen'!$B$2</f>
        <v>-24</v>
      </c>
      <c r="F191" s="11">
        <f t="shared" si="15"/>
        <v>-9.5699552456308972</v>
      </c>
      <c r="G191" s="11"/>
      <c r="H191" s="11">
        <f t="shared" si="16"/>
        <v>110075314176</v>
      </c>
      <c r="I191" s="11">
        <f t="shared" si="20"/>
        <v>-4586471424</v>
      </c>
      <c r="J191" s="11">
        <f t="shared" si="20"/>
        <v>191102976</v>
      </c>
      <c r="K191" s="11">
        <f t="shared" si="20"/>
        <v>-7962624</v>
      </c>
      <c r="L191" s="11">
        <f t="shared" si="20"/>
        <v>331776</v>
      </c>
      <c r="M191" s="11">
        <f t="shared" si="20"/>
        <v>-13824</v>
      </c>
      <c r="N191" s="11">
        <f t="shared" si="20"/>
        <v>576</v>
      </c>
      <c r="O191" s="11">
        <f t="shared" si="20"/>
        <v>-24</v>
      </c>
      <c r="P191" s="11">
        <f t="shared" si="18"/>
        <v>0</v>
      </c>
    </row>
    <row r="192" spans="1:16" x14ac:dyDescent="0.25">
      <c r="A192" s="11">
        <f t="shared" si="17"/>
        <v>137</v>
      </c>
      <c r="B192">
        <v>-9.1958068581119399</v>
      </c>
      <c r="E192" s="11">
        <f>A192-'Mastercurve bestimmen'!$B$2</f>
        <v>-23</v>
      </c>
      <c r="F192" s="11">
        <f t="shared" si="15"/>
        <v>-9.1958068581119399</v>
      </c>
      <c r="G192" s="11"/>
      <c r="H192" s="11">
        <f t="shared" si="16"/>
        <v>78310985281</v>
      </c>
      <c r="I192" s="11">
        <f t="shared" si="20"/>
        <v>-3404825447</v>
      </c>
      <c r="J192" s="11">
        <f t="shared" si="20"/>
        <v>148035889</v>
      </c>
      <c r="K192" s="11">
        <f t="shared" si="20"/>
        <v>-6436343</v>
      </c>
      <c r="L192" s="11">
        <f t="shared" si="20"/>
        <v>279841</v>
      </c>
      <c r="M192" s="11">
        <f t="shared" si="20"/>
        <v>-12167</v>
      </c>
      <c r="N192" s="11">
        <f t="shared" si="20"/>
        <v>529</v>
      </c>
      <c r="O192" s="11">
        <f t="shared" si="20"/>
        <v>-23</v>
      </c>
      <c r="P192" s="11">
        <f t="shared" si="18"/>
        <v>0</v>
      </c>
    </row>
    <row r="193" spans="1:16" x14ac:dyDescent="0.25">
      <c r="A193" s="11">
        <f t="shared" si="17"/>
        <v>138</v>
      </c>
      <c r="B193">
        <v>-8.81851807726758</v>
      </c>
      <c r="E193" s="11">
        <f>A193-'Mastercurve bestimmen'!$B$2</f>
        <v>-22</v>
      </c>
      <c r="F193" s="11">
        <f t="shared" si="15"/>
        <v>-8.81851807726758</v>
      </c>
      <c r="G193" s="11"/>
      <c r="H193" s="11">
        <f t="shared" si="16"/>
        <v>54875873536</v>
      </c>
      <c r="I193" s="11">
        <f t="shared" si="20"/>
        <v>-2494357888</v>
      </c>
      <c r="J193" s="11">
        <f t="shared" si="20"/>
        <v>113379904</v>
      </c>
      <c r="K193" s="11">
        <f t="shared" si="20"/>
        <v>-5153632</v>
      </c>
      <c r="L193" s="11">
        <f t="shared" si="20"/>
        <v>234256</v>
      </c>
      <c r="M193" s="11">
        <f t="shared" si="20"/>
        <v>-10648</v>
      </c>
      <c r="N193" s="11">
        <f t="shared" si="20"/>
        <v>484</v>
      </c>
      <c r="O193" s="11">
        <f t="shared" si="20"/>
        <v>-22</v>
      </c>
      <c r="P193" s="11">
        <f t="shared" si="18"/>
        <v>0</v>
      </c>
    </row>
    <row r="194" spans="1:16" x14ac:dyDescent="0.25">
      <c r="A194" s="11">
        <f t="shared" si="17"/>
        <v>139</v>
      </c>
      <c r="B194">
        <v>-8.4382254419380516</v>
      </c>
      <c r="E194" s="11">
        <f>A194-'Mastercurve bestimmen'!$B$2</f>
        <v>-21</v>
      </c>
      <c r="F194" s="11">
        <f t="shared" si="15"/>
        <v>-8.4382254419380516</v>
      </c>
      <c r="G194" s="11"/>
      <c r="H194" s="11">
        <f t="shared" si="16"/>
        <v>37822859361</v>
      </c>
      <c r="I194" s="11">
        <f t="shared" si="20"/>
        <v>-1801088541</v>
      </c>
      <c r="J194" s="11">
        <f t="shared" si="20"/>
        <v>85766121</v>
      </c>
      <c r="K194" s="11">
        <f t="shared" si="20"/>
        <v>-4084101</v>
      </c>
      <c r="L194" s="11">
        <f t="shared" si="20"/>
        <v>194481</v>
      </c>
      <c r="M194" s="11">
        <f t="shared" si="20"/>
        <v>-9261</v>
      </c>
      <c r="N194" s="11">
        <f t="shared" si="20"/>
        <v>441</v>
      </c>
      <c r="O194" s="11">
        <f t="shared" si="20"/>
        <v>-21</v>
      </c>
      <c r="P194" s="11">
        <f t="shared" si="18"/>
        <v>0</v>
      </c>
    </row>
    <row r="195" spans="1:16" x14ac:dyDescent="0.25">
      <c r="A195" s="11">
        <f t="shared" si="17"/>
        <v>140</v>
      </c>
      <c r="B195">
        <v>-8.0550654909635906</v>
      </c>
      <c r="E195" s="11">
        <f>A195-'Mastercurve bestimmen'!$B$2</f>
        <v>-20</v>
      </c>
      <c r="F195" s="11">
        <f t="shared" si="15"/>
        <v>-8.0550654909635906</v>
      </c>
      <c r="G195" s="11"/>
      <c r="H195" s="11">
        <f t="shared" si="16"/>
        <v>25600000000</v>
      </c>
      <c r="I195" s="11">
        <f t="shared" si="20"/>
        <v>-1280000000</v>
      </c>
      <c r="J195" s="11">
        <f t="shared" si="20"/>
        <v>64000000</v>
      </c>
      <c r="K195" s="11">
        <f t="shared" si="20"/>
        <v>-3200000</v>
      </c>
      <c r="L195" s="11">
        <f t="shared" si="20"/>
        <v>160000</v>
      </c>
      <c r="M195" s="11">
        <f t="shared" si="20"/>
        <v>-8000</v>
      </c>
      <c r="N195" s="11">
        <f t="shared" si="20"/>
        <v>400</v>
      </c>
      <c r="O195" s="11">
        <f t="shared" si="20"/>
        <v>-20</v>
      </c>
      <c r="P195" s="11">
        <f t="shared" si="18"/>
        <v>0</v>
      </c>
    </row>
    <row r="196" spans="1:16" x14ac:dyDescent="0.25">
      <c r="A196" s="11">
        <f t="shared" si="17"/>
        <v>141</v>
      </c>
      <c r="B196">
        <v>-7.6691747631844276</v>
      </c>
      <c r="E196" s="11">
        <f>A196-'Mastercurve bestimmen'!$B$2</f>
        <v>-19</v>
      </c>
      <c r="F196" s="11">
        <f t="shared" si="15"/>
        <v>-7.6691747631844276</v>
      </c>
      <c r="G196" s="11"/>
      <c r="H196" s="11">
        <f t="shared" si="16"/>
        <v>16983563041</v>
      </c>
      <c r="I196" s="11">
        <f t="shared" si="20"/>
        <v>-893871739</v>
      </c>
      <c r="J196" s="11">
        <f t="shared" si="20"/>
        <v>47045881</v>
      </c>
      <c r="K196" s="11">
        <f t="shared" si="20"/>
        <v>-2476099</v>
      </c>
      <c r="L196" s="11">
        <f t="shared" si="20"/>
        <v>130321</v>
      </c>
      <c r="M196" s="11">
        <f t="shared" si="20"/>
        <v>-6859</v>
      </c>
      <c r="N196" s="11">
        <f t="shared" si="20"/>
        <v>361</v>
      </c>
      <c r="O196" s="11">
        <f t="shared" si="20"/>
        <v>-19</v>
      </c>
      <c r="P196" s="11">
        <f t="shared" si="18"/>
        <v>0</v>
      </c>
    </row>
    <row r="197" spans="1:16" x14ac:dyDescent="0.25">
      <c r="A197" s="11">
        <f t="shared" si="17"/>
        <v>142</v>
      </c>
      <c r="B197">
        <v>-7.280689797440802</v>
      </c>
      <c r="E197" s="11">
        <f>A197-'Mastercurve bestimmen'!$B$2</f>
        <v>-18</v>
      </c>
      <c r="F197" s="11">
        <f t="shared" si="15"/>
        <v>-7.280689797440802</v>
      </c>
      <c r="G197" s="11"/>
      <c r="H197" s="11">
        <f t="shared" si="16"/>
        <v>11019960576</v>
      </c>
      <c r="I197" s="11">
        <f t="shared" si="20"/>
        <v>-612220032</v>
      </c>
      <c r="J197" s="11">
        <f t="shared" si="20"/>
        <v>34012224</v>
      </c>
      <c r="K197" s="11">
        <f t="shared" si="20"/>
        <v>-1889568</v>
      </c>
      <c r="L197" s="11">
        <f t="shared" si="20"/>
        <v>104976</v>
      </c>
      <c r="M197" s="11">
        <f t="shared" si="20"/>
        <v>-5832</v>
      </c>
      <c r="N197" s="11">
        <f t="shared" si="20"/>
        <v>324</v>
      </c>
      <c r="O197" s="11">
        <f t="shared" si="20"/>
        <v>-18</v>
      </c>
      <c r="P197" s="11">
        <f t="shared" si="18"/>
        <v>0</v>
      </c>
    </row>
    <row r="198" spans="1:16" x14ac:dyDescent="0.25">
      <c r="A198" s="11">
        <f t="shared" si="17"/>
        <v>143</v>
      </c>
      <c r="B198">
        <v>-6.8897471325729462</v>
      </c>
      <c r="E198" s="11">
        <f>A198-'Mastercurve bestimmen'!$B$2</f>
        <v>-17</v>
      </c>
      <c r="F198" s="11">
        <f t="shared" si="15"/>
        <v>-6.8897471325729462</v>
      </c>
      <c r="G198" s="11"/>
      <c r="H198" s="11">
        <f t="shared" si="16"/>
        <v>6975757441</v>
      </c>
      <c r="I198" s="11">
        <f t="shared" si="20"/>
        <v>-410338673</v>
      </c>
      <c r="J198" s="11">
        <f t="shared" si="20"/>
        <v>24137569</v>
      </c>
      <c r="K198" s="11">
        <f t="shared" si="20"/>
        <v>-1419857</v>
      </c>
      <c r="L198" s="11">
        <f t="shared" si="20"/>
        <v>83521</v>
      </c>
      <c r="M198" s="11">
        <f t="shared" si="20"/>
        <v>-4913</v>
      </c>
      <c r="N198" s="11">
        <f t="shared" si="20"/>
        <v>289</v>
      </c>
      <c r="O198" s="11">
        <f t="shared" si="20"/>
        <v>-17</v>
      </c>
      <c r="P198" s="11">
        <f t="shared" si="18"/>
        <v>0</v>
      </c>
    </row>
    <row r="199" spans="1:16" x14ac:dyDescent="0.25">
      <c r="A199" s="11">
        <f t="shared" si="17"/>
        <v>144</v>
      </c>
      <c r="B199">
        <v>-6.4964833074210961</v>
      </c>
      <c r="E199" s="11">
        <f>A199-'Mastercurve bestimmen'!$B$2</f>
        <v>-16</v>
      </c>
      <c r="F199" s="11">
        <f t="shared" si="15"/>
        <v>-6.4964833074210961</v>
      </c>
      <c r="G199" s="11"/>
      <c r="H199" s="11">
        <f t="shared" si="16"/>
        <v>4294967296</v>
      </c>
      <c r="I199" s="11">
        <f t="shared" si="20"/>
        <v>-268435456</v>
      </c>
      <c r="J199" s="11">
        <f t="shared" si="20"/>
        <v>16777216</v>
      </c>
      <c r="K199" s="11">
        <f t="shared" si="20"/>
        <v>-1048576</v>
      </c>
      <c r="L199" s="11">
        <f t="shared" si="20"/>
        <v>65536</v>
      </c>
      <c r="M199" s="11">
        <f t="shared" si="20"/>
        <v>-4096</v>
      </c>
      <c r="N199" s="11">
        <f t="shared" si="20"/>
        <v>256</v>
      </c>
      <c r="O199" s="11">
        <f t="shared" si="20"/>
        <v>-16</v>
      </c>
      <c r="P199" s="11">
        <f t="shared" si="18"/>
        <v>0</v>
      </c>
    </row>
    <row r="200" spans="1:16" x14ac:dyDescent="0.25">
      <c r="A200" s="11">
        <f t="shared" si="17"/>
        <v>145</v>
      </c>
      <c r="B200">
        <v>-6.1010348608254867</v>
      </c>
      <c r="E200" s="11">
        <f>A200-'Mastercurve bestimmen'!$B$2</f>
        <v>-15</v>
      </c>
      <c r="F200" s="11">
        <f t="shared" si="15"/>
        <v>-6.1010348608254867</v>
      </c>
      <c r="G200" s="11"/>
      <c r="H200" s="11">
        <f t="shared" si="16"/>
        <v>2562890625</v>
      </c>
      <c r="I200" s="11">
        <f t="shared" si="20"/>
        <v>-170859375</v>
      </c>
      <c r="J200" s="11">
        <f t="shared" si="20"/>
        <v>11390625</v>
      </c>
      <c r="K200" s="11">
        <f t="shared" si="20"/>
        <v>-759375</v>
      </c>
      <c r="L200" s="11">
        <f t="shared" si="20"/>
        <v>50625</v>
      </c>
      <c r="M200" s="11">
        <f t="shared" si="20"/>
        <v>-3375</v>
      </c>
      <c r="N200" s="11">
        <f t="shared" si="20"/>
        <v>225</v>
      </c>
      <c r="O200" s="11">
        <f t="shared" si="20"/>
        <v>-15</v>
      </c>
      <c r="P200" s="11">
        <f t="shared" si="18"/>
        <v>0</v>
      </c>
    </row>
    <row r="201" spans="1:16" x14ac:dyDescent="0.25">
      <c r="A201" s="11">
        <f t="shared" si="17"/>
        <v>146</v>
      </c>
      <c r="B201">
        <v>-5.703538331626353</v>
      </c>
      <c r="E201" s="11">
        <f>A201-'Mastercurve bestimmen'!$B$2</f>
        <v>-14</v>
      </c>
      <c r="F201" s="11">
        <f t="shared" si="15"/>
        <v>-5.703538331626353</v>
      </c>
      <c r="G201" s="11"/>
      <c r="H201" s="11">
        <f t="shared" si="16"/>
        <v>1475789056</v>
      </c>
      <c r="I201" s="11">
        <f t="shared" si="20"/>
        <v>-105413504</v>
      </c>
      <c r="J201" s="11">
        <f t="shared" si="20"/>
        <v>7529536</v>
      </c>
      <c r="K201" s="11">
        <f t="shared" si="20"/>
        <v>-537824</v>
      </c>
      <c r="L201" s="11">
        <f t="shared" si="20"/>
        <v>38416</v>
      </c>
      <c r="M201" s="11">
        <f t="shared" si="20"/>
        <v>-2744</v>
      </c>
      <c r="N201" s="11">
        <f t="shared" si="20"/>
        <v>196</v>
      </c>
      <c r="O201" s="11">
        <f t="shared" si="20"/>
        <v>-14</v>
      </c>
      <c r="P201" s="11">
        <f t="shared" si="18"/>
        <v>0</v>
      </c>
    </row>
    <row r="202" spans="1:16" x14ac:dyDescent="0.25">
      <c r="A202" s="11">
        <f t="shared" si="17"/>
        <v>147</v>
      </c>
      <c r="B202">
        <v>-5.304130258663931</v>
      </c>
      <c r="E202" s="11">
        <f>A202-'Mastercurve bestimmen'!$B$2</f>
        <v>-13</v>
      </c>
      <c r="F202" s="11">
        <f t="shared" si="15"/>
        <v>-5.304130258663931</v>
      </c>
      <c r="G202" s="11"/>
      <c r="H202" s="11">
        <f t="shared" si="16"/>
        <v>815730721</v>
      </c>
      <c r="I202" s="11">
        <f t="shared" si="20"/>
        <v>-62748517</v>
      </c>
      <c r="J202" s="11">
        <f t="shared" si="20"/>
        <v>4826809</v>
      </c>
      <c r="K202" s="11">
        <f t="shared" si="20"/>
        <v>-371293</v>
      </c>
      <c r="L202" s="11">
        <f t="shared" si="20"/>
        <v>28561</v>
      </c>
      <c r="M202" s="11">
        <f t="shared" si="20"/>
        <v>-2197</v>
      </c>
      <c r="N202" s="11">
        <f t="shared" si="20"/>
        <v>169</v>
      </c>
      <c r="O202" s="11">
        <f t="shared" si="20"/>
        <v>-13</v>
      </c>
      <c r="P202" s="11">
        <f t="shared" si="18"/>
        <v>0</v>
      </c>
    </row>
    <row r="203" spans="1:16" x14ac:dyDescent="0.25">
      <c r="A203" s="11">
        <f t="shared" si="17"/>
        <v>148</v>
      </c>
      <c r="B203">
        <v>-4.9029471807784528</v>
      </c>
      <c r="E203" s="11">
        <f>A203-'Mastercurve bestimmen'!$B$2</f>
        <v>-12</v>
      </c>
      <c r="F203" s="11">
        <f t="shared" si="15"/>
        <v>-4.9029471807784528</v>
      </c>
      <c r="G203" s="11"/>
      <c r="H203" s="11">
        <f t="shared" si="16"/>
        <v>429981696</v>
      </c>
      <c r="I203" s="11">
        <f t="shared" si="20"/>
        <v>-35831808</v>
      </c>
      <c r="J203" s="11">
        <f t="shared" si="20"/>
        <v>2985984</v>
      </c>
      <c r="K203" s="11">
        <f t="shared" si="20"/>
        <v>-248832</v>
      </c>
      <c r="L203" s="11">
        <f t="shared" si="20"/>
        <v>20736</v>
      </c>
      <c r="M203" s="11">
        <f t="shared" si="20"/>
        <v>-1728</v>
      </c>
      <c r="N203" s="11">
        <f t="shared" si="20"/>
        <v>144</v>
      </c>
      <c r="O203" s="11">
        <f t="shared" si="20"/>
        <v>-12</v>
      </c>
      <c r="P203" s="11">
        <f t="shared" si="18"/>
        <v>0</v>
      </c>
    </row>
    <row r="204" spans="1:16" x14ac:dyDescent="0.25">
      <c r="A204" s="11">
        <f t="shared" si="17"/>
        <v>149</v>
      </c>
      <c r="B204">
        <v>-4.5001256368101554</v>
      </c>
      <c r="E204" s="11">
        <f>A204-'Mastercurve bestimmen'!$B$2</f>
        <v>-11</v>
      </c>
      <c r="F204" s="11">
        <f t="shared" si="15"/>
        <v>-4.5001256368101554</v>
      </c>
      <c r="G204" s="11"/>
      <c r="H204" s="11">
        <f t="shared" si="16"/>
        <v>214358881</v>
      </c>
      <c r="I204" s="11">
        <f t="shared" si="20"/>
        <v>-19487171</v>
      </c>
      <c r="J204" s="11">
        <f t="shared" si="20"/>
        <v>1771561</v>
      </c>
      <c r="K204" s="11">
        <f t="shared" si="20"/>
        <v>-161051</v>
      </c>
      <c r="L204" s="11">
        <f t="shared" si="20"/>
        <v>14641</v>
      </c>
      <c r="M204" s="11">
        <f t="shared" si="20"/>
        <v>-1331</v>
      </c>
      <c r="N204" s="11">
        <f t="shared" si="20"/>
        <v>121</v>
      </c>
      <c r="O204" s="11">
        <f t="shared" si="20"/>
        <v>-11</v>
      </c>
      <c r="P204" s="11">
        <f t="shared" si="18"/>
        <v>0</v>
      </c>
    </row>
    <row r="205" spans="1:16" x14ac:dyDescent="0.25">
      <c r="A205" s="11">
        <f t="shared" si="17"/>
        <v>150</v>
      </c>
      <c r="B205">
        <v>-4.0958021655992747</v>
      </c>
      <c r="E205" s="11">
        <f>A205-'Mastercurve bestimmen'!$B$2</f>
        <v>-10</v>
      </c>
      <c r="F205" s="11">
        <f t="shared" si="15"/>
        <v>-4.0958021655992747</v>
      </c>
      <c r="G205" s="11"/>
      <c r="H205" s="11">
        <f t="shared" si="16"/>
        <v>100000000</v>
      </c>
      <c r="I205" s="11">
        <f t="shared" si="20"/>
        <v>-10000000</v>
      </c>
      <c r="J205" s="11">
        <f t="shared" si="20"/>
        <v>1000000</v>
      </c>
      <c r="K205" s="11">
        <f t="shared" si="20"/>
        <v>-100000</v>
      </c>
      <c r="L205" s="11">
        <f t="shared" si="20"/>
        <v>10000</v>
      </c>
      <c r="M205" s="11">
        <f t="shared" si="20"/>
        <v>-1000</v>
      </c>
      <c r="N205" s="11">
        <f t="shared" si="20"/>
        <v>100</v>
      </c>
      <c r="O205" s="11">
        <f t="shared" si="20"/>
        <v>-10</v>
      </c>
      <c r="P205" s="11">
        <f t="shared" si="18"/>
        <v>0</v>
      </c>
    </row>
    <row r="206" spans="1:16" x14ac:dyDescent="0.25">
      <c r="A206" s="11">
        <f t="shared" si="17"/>
        <v>151</v>
      </c>
      <c r="B206">
        <v>-3.6901133059860434</v>
      </c>
      <c r="E206" s="11">
        <f>A206-'Mastercurve bestimmen'!$B$2</f>
        <v>-9</v>
      </c>
      <c r="F206" s="11">
        <f t="shared" si="15"/>
        <v>-3.6901133059860434</v>
      </c>
      <c r="G206" s="11"/>
      <c r="H206" s="11">
        <f t="shared" si="16"/>
        <v>43046721</v>
      </c>
      <c r="I206" s="11">
        <f t="shared" si="20"/>
        <v>-4782969</v>
      </c>
      <c r="J206" s="11">
        <f t="shared" si="20"/>
        <v>531441</v>
      </c>
      <c r="K206" s="11">
        <f t="shared" si="20"/>
        <v>-59049</v>
      </c>
      <c r="L206" s="11">
        <f t="shared" si="20"/>
        <v>6561</v>
      </c>
      <c r="M206" s="11">
        <f t="shared" si="20"/>
        <v>-729</v>
      </c>
      <c r="N206" s="11">
        <f t="shared" si="20"/>
        <v>81</v>
      </c>
      <c r="O206" s="11">
        <f t="shared" si="20"/>
        <v>-9</v>
      </c>
      <c r="P206" s="11">
        <f t="shared" si="18"/>
        <v>0</v>
      </c>
    </row>
    <row r="207" spans="1:16" x14ac:dyDescent="0.25">
      <c r="A207" s="11">
        <f t="shared" si="17"/>
        <v>152</v>
      </c>
      <c r="B207">
        <v>-3.2831955968106974</v>
      </c>
      <c r="E207" s="11">
        <f>A207-'Mastercurve bestimmen'!$B$2</f>
        <v>-8</v>
      </c>
      <c r="F207" s="11">
        <f t="shared" si="15"/>
        <v>-3.2831955968106974</v>
      </c>
      <c r="G207" s="11"/>
      <c r="H207" s="11">
        <f t="shared" si="16"/>
        <v>16777216</v>
      </c>
      <c r="I207" s="11">
        <f t="shared" si="20"/>
        <v>-2097152</v>
      </c>
      <c r="J207" s="11">
        <f t="shared" si="20"/>
        <v>262144</v>
      </c>
      <c r="K207" s="11">
        <f t="shared" si="20"/>
        <v>-32768</v>
      </c>
      <c r="L207" s="11">
        <f t="shared" si="20"/>
        <v>4096</v>
      </c>
      <c r="M207" s="11">
        <f t="shared" si="20"/>
        <v>-512</v>
      </c>
      <c r="N207" s="11">
        <f t="shared" si="20"/>
        <v>64</v>
      </c>
      <c r="O207" s="11">
        <f t="shared" si="20"/>
        <v>-8</v>
      </c>
      <c r="P207" s="11">
        <f t="shared" si="18"/>
        <v>0</v>
      </c>
    </row>
    <row r="208" spans="1:16" x14ac:dyDescent="0.25">
      <c r="A208" s="11">
        <f t="shared" si="17"/>
        <v>153</v>
      </c>
      <c r="B208">
        <v>-2.8751855769134718</v>
      </c>
      <c r="E208" s="11">
        <f>A208-'Mastercurve bestimmen'!$B$2</f>
        <v>-7</v>
      </c>
      <c r="F208" s="11">
        <f t="shared" ref="F208:F215" si="21">B208</f>
        <v>-2.8751855769134718</v>
      </c>
      <c r="G208" s="11"/>
      <c r="H208" s="11">
        <f t="shared" ref="H208:H215" si="22">IF($H$12&gt;=H$14,$E208^H$14,0)</f>
        <v>5764801</v>
      </c>
      <c r="I208" s="11">
        <f t="shared" si="20"/>
        <v>-823543</v>
      </c>
      <c r="J208" s="11">
        <f t="shared" si="20"/>
        <v>117649</v>
      </c>
      <c r="K208" s="11">
        <f t="shared" si="20"/>
        <v>-16807</v>
      </c>
      <c r="L208" s="11">
        <f t="shared" si="20"/>
        <v>2401</v>
      </c>
      <c r="M208" s="11">
        <f t="shared" si="20"/>
        <v>-343</v>
      </c>
      <c r="N208" s="11">
        <f t="shared" si="20"/>
        <v>49</v>
      </c>
      <c r="O208" s="11">
        <f t="shared" si="20"/>
        <v>-7</v>
      </c>
      <c r="P208" s="11">
        <f t="shared" si="18"/>
        <v>0</v>
      </c>
    </row>
    <row r="209" spans="1:16" x14ac:dyDescent="0.25">
      <c r="A209" s="11">
        <f t="shared" ref="A209:A215" si="23">A208+1</f>
        <v>154</v>
      </c>
      <c r="B209">
        <v>-2.4662197851346019</v>
      </c>
      <c r="E209" s="11">
        <f>A209-'Mastercurve bestimmen'!$B$2</f>
        <v>-6</v>
      </c>
      <c r="F209" s="11">
        <f t="shared" si="21"/>
        <v>-2.4662197851346019</v>
      </c>
      <c r="G209" s="11"/>
      <c r="H209" s="11">
        <f t="shared" si="22"/>
        <v>1679616</v>
      </c>
      <c r="I209" s="11">
        <f t="shared" si="20"/>
        <v>-279936</v>
      </c>
      <c r="J209" s="11">
        <f t="shared" si="20"/>
        <v>46656</v>
      </c>
      <c r="K209" s="11">
        <f t="shared" si="20"/>
        <v>-7776</v>
      </c>
      <c r="L209" s="11">
        <f t="shared" si="20"/>
        <v>1296</v>
      </c>
      <c r="M209" s="11">
        <f t="shared" si="20"/>
        <v>-216</v>
      </c>
      <c r="N209" s="11">
        <f t="shared" si="20"/>
        <v>36</v>
      </c>
      <c r="O209" s="11">
        <f t="shared" si="20"/>
        <v>-6</v>
      </c>
      <c r="P209" s="11">
        <f t="shared" ref="P209:P215" si="24">P208</f>
        <v>0</v>
      </c>
    </row>
    <row r="210" spans="1:16" x14ac:dyDescent="0.25">
      <c r="A210" s="11">
        <f t="shared" si="23"/>
        <v>155</v>
      </c>
      <c r="B210">
        <v>-2.0564347603143225</v>
      </c>
      <c r="E210" s="11">
        <f>A210-'Mastercurve bestimmen'!$B$2</f>
        <v>-5</v>
      </c>
      <c r="F210" s="11">
        <f t="shared" si="21"/>
        <v>-2.0564347603143225</v>
      </c>
      <c r="G210" s="11"/>
      <c r="H210" s="11">
        <f t="shared" si="22"/>
        <v>390625</v>
      </c>
      <c r="I210" s="11">
        <f t="shared" si="20"/>
        <v>-78125</v>
      </c>
      <c r="J210" s="11">
        <f t="shared" si="20"/>
        <v>15625</v>
      </c>
      <c r="K210" s="11">
        <f t="shared" si="20"/>
        <v>-3125</v>
      </c>
      <c r="L210" s="11">
        <f t="shared" si="20"/>
        <v>625</v>
      </c>
      <c r="M210" s="11">
        <f t="shared" si="20"/>
        <v>-125</v>
      </c>
      <c r="N210" s="11">
        <f t="shared" si="20"/>
        <v>25</v>
      </c>
      <c r="O210" s="11">
        <f t="shared" si="20"/>
        <v>-5</v>
      </c>
      <c r="P210" s="11">
        <f t="shared" si="24"/>
        <v>0</v>
      </c>
    </row>
    <row r="211" spans="1:16" x14ac:dyDescent="0.25">
      <c r="A211" s="11">
        <f t="shared" si="23"/>
        <v>156</v>
      </c>
      <c r="B211">
        <v>-1.6459670412928675</v>
      </c>
      <c r="E211" s="11">
        <f>A211-'Mastercurve bestimmen'!$B$2</f>
        <v>-4</v>
      </c>
      <c r="F211" s="11">
        <f t="shared" si="21"/>
        <v>-1.6459670412928675</v>
      </c>
      <c r="G211" s="11"/>
      <c r="H211" s="11">
        <f t="shared" si="22"/>
        <v>65536</v>
      </c>
      <c r="I211" s="11">
        <f t="shared" si="20"/>
        <v>-16384</v>
      </c>
      <c r="J211" s="11">
        <f t="shared" si="20"/>
        <v>4096</v>
      </c>
      <c r="K211" s="11">
        <f t="shared" si="20"/>
        <v>-1024</v>
      </c>
      <c r="L211" s="11">
        <f t="shared" si="20"/>
        <v>256</v>
      </c>
      <c r="M211" s="11">
        <f t="shared" si="20"/>
        <v>-64</v>
      </c>
      <c r="N211" s="11">
        <f t="shared" si="20"/>
        <v>16</v>
      </c>
      <c r="O211" s="11">
        <f t="shared" si="20"/>
        <v>-4</v>
      </c>
      <c r="P211" s="11">
        <f t="shared" si="24"/>
        <v>0</v>
      </c>
    </row>
    <row r="212" spans="1:16" x14ac:dyDescent="0.25">
      <c r="A212" s="11">
        <f t="shared" si="23"/>
        <v>157</v>
      </c>
      <c r="B212">
        <v>-1.234953166910473</v>
      </c>
      <c r="E212" s="11">
        <f>A212-'Mastercurve bestimmen'!$B$2</f>
        <v>-3</v>
      </c>
      <c r="F212" s="11">
        <f t="shared" si="21"/>
        <v>-1.234953166910473</v>
      </c>
      <c r="G212" s="11"/>
      <c r="H212" s="11">
        <f t="shared" si="22"/>
        <v>6561</v>
      </c>
      <c r="I212" s="11">
        <f t="shared" si="20"/>
        <v>-2187</v>
      </c>
      <c r="J212" s="11">
        <f t="shared" si="20"/>
        <v>729</v>
      </c>
      <c r="K212" s="11">
        <f t="shared" si="20"/>
        <v>-243</v>
      </c>
      <c r="L212" s="11">
        <f t="shared" si="20"/>
        <v>81</v>
      </c>
      <c r="M212" s="11">
        <f t="shared" si="20"/>
        <v>-27</v>
      </c>
      <c r="N212" s="11">
        <f t="shared" si="20"/>
        <v>9</v>
      </c>
      <c r="O212" s="11">
        <f t="shared" si="20"/>
        <v>-3</v>
      </c>
      <c r="P212" s="11">
        <f t="shared" si="24"/>
        <v>0</v>
      </c>
    </row>
    <row r="213" spans="1:16" x14ac:dyDescent="0.25">
      <c r="A213" s="11">
        <f t="shared" si="23"/>
        <v>158</v>
      </c>
      <c r="B213">
        <v>-0.82352967600737359</v>
      </c>
      <c r="E213" s="11">
        <f>A213-'Mastercurve bestimmen'!$B$2</f>
        <v>-2</v>
      </c>
      <c r="F213" s="11">
        <f t="shared" si="21"/>
        <v>-0.82352967600737359</v>
      </c>
      <c r="G213" s="11"/>
      <c r="H213" s="11">
        <f t="shared" si="22"/>
        <v>256</v>
      </c>
      <c r="I213" s="11">
        <f t="shared" si="20"/>
        <v>-128</v>
      </c>
      <c r="J213" s="11">
        <f t="shared" si="20"/>
        <v>64</v>
      </c>
      <c r="K213" s="11">
        <f t="shared" si="20"/>
        <v>-32</v>
      </c>
      <c r="L213" s="11">
        <f t="shared" si="20"/>
        <v>16</v>
      </c>
      <c r="M213" s="11">
        <f t="shared" si="20"/>
        <v>-8</v>
      </c>
      <c r="N213" s="11">
        <f t="shared" si="20"/>
        <v>4</v>
      </c>
      <c r="O213" s="11">
        <f t="shared" si="20"/>
        <v>-2</v>
      </c>
      <c r="P213" s="11">
        <f t="shared" si="24"/>
        <v>0</v>
      </c>
    </row>
    <row r="214" spans="1:16" x14ac:dyDescent="0.25">
      <c r="A214" s="11">
        <f t="shared" si="23"/>
        <v>159</v>
      </c>
      <c r="B214">
        <v>-0.41183310742380425</v>
      </c>
      <c r="E214" s="11">
        <f>A214-'Mastercurve bestimmen'!$B$2</f>
        <v>-1</v>
      </c>
      <c r="F214" s="11">
        <f t="shared" si="21"/>
        <v>-0.41183310742380425</v>
      </c>
      <c r="G214" s="11"/>
      <c r="H214" s="11">
        <f t="shared" si="22"/>
        <v>1</v>
      </c>
      <c r="I214" s="11">
        <f t="shared" si="20"/>
        <v>-1</v>
      </c>
      <c r="J214" s="11">
        <f t="shared" si="20"/>
        <v>1</v>
      </c>
      <c r="K214" s="11">
        <f t="shared" si="20"/>
        <v>-1</v>
      </c>
      <c r="L214" s="11">
        <f t="shared" si="20"/>
        <v>1</v>
      </c>
      <c r="M214" s="11">
        <f t="shared" si="20"/>
        <v>-1</v>
      </c>
      <c r="N214" s="11">
        <f t="shared" si="20"/>
        <v>1</v>
      </c>
      <c r="O214" s="11">
        <f t="shared" si="20"/>
        <v>-1</v>
      </c>
      <c r="P214" s="11">
        <f t="shared" si="24"/>
        <v>0</v>
      </c>
    </row>
    <row r="215" spans="1:16" x14ac:dyDescent="0.25">
      <c r="A215" s="11">
        <f t="shared" si="23"/>
        <v>160</v>
      </c>
      <c r="B215">
        <v>0</v>
      </c>
      <c r="E215" s="11">
        <f>A215-'Mastercurve bestimmen'!$B$2</f>
        <v>0</v>
      </c>
      <c r="F215" s="11">
        <f t="shared" si="21"/>
        <v>0</v>
      </c>
      <c r="G215" s="11"/>
      <c r="H215" s="11">
        <f t="shared" si="22"/>
        <v>0</v>
      </c>
      <c r="I215" s="11">
        <f t="shared" si="20"/>
        <v>0</v>
      </c>
      <c r="J215" s="11">
        <f t="shared" si="20"/>
        <v>0</v>
      </c>
      <c r="K215" s="11">
        <f t="shared" si="20"/>
        <v>0</v>
      </c>
      <c r="L215" s="11">
        <f t="shared" si="20"/>
        <v>0</v>
      </c>
      <c r="M215" s="11">
        <f t="shared" si="20"/>
        <v>0</v>
      </c>
      <c r="N215" s="11">
        <f t="shared" si="20"/>
        <v>0</v>
      </c>
      <c r="O215" s="11">
        <f t="shared" si="20"/>
        <v>0</v>
      </c>
      <c r="P215" s="11">
        <f t="shared" si="24"/>
        <v>0</v>
      </c>
    </row>
    <row r="216" spans="1:16" x14ac:dyDescent="0.25">
      <c r="G216" s="11"/>
      <c r="H216" s="13">
        <v>1</v>
      </c>
      <c r="I216" s="97" t="s">
        <v>137</v>
      </c>
      <c r="J216" s="97" t="s">
        <v>138</v>
      </c>
      <c r="K216" s="97" t="s">
        <v>139</v>
      </c>
      <c r="L216" s="97" t="s">
        <v>140</v>
      </c>
      <c r="M216" s="97" t="s">
        <v>141</v>
      </c>
      <c r="N216" s="97" t="s">
        <v>142</v>
      </c>
      <c r="O216" s="97" t="s">
        <v>143</v>
      </c>
      <c r="P216" s="97" t="s">
        <v>144</v>
      </c>
    </row>
    <row r="217" spans="1:16" x14ac:dyDescent="0.25">
      <c r="G217" s="35" t="s">
        <v>145</v>
      </c>
      <c r="H217" s="98">
        <f t="array" ref="H217:P219">LINEST(F15:F215,H15:P215,FALSE,TRUE)</f>
        <v>0</v>
      </c>
      <c r="I217" s="98">
        <v>0.25229409235585415</v>
      </c>
      <c r="J217" s="98">
        <v>-2.1279925652768761E-2</v>
      </c>
      <c r="K217" s="98">
        <v>-9.8621384284693124E-4</v>
      </c>
      <c r="L217" s="98">
        <v>-2.0071790963070958E-5</v>
      </c>
      <c r="M217" s="98">
        <v>-2.1469487091422046E-7</v>
      </c>
      <c r="N217" s="98">
        <v>-1.2472439537554644E-9</v>
      </c>
      <c r="O217" s="98">
        <v>-3.7214198368059006E-12</v>
      </c>
      <c r="P217" s="98">
        <v>-4.4671646722082778E-15</v>
      </c>
    </row>
    <row r="218" spans="1:16" x14ac:dyDescent="0.25">
      <c r="G218" s="11"/>
      <c r="H218" s="11">
        <v>0</v>
      </c>
      <c r="I218" s="11">
        <v>1.5892157278961119E-2</v>
      </c>
      <c r="J218" s="11">
        <v>1.5760920093715097E-3</v>
      </c>
      <c r="K218" s="3">
        <v>5.9801454874739633E-5</v>
      </c>
      <c r="L218" s="3">
        <v>1.1400174098095376E-6</v>
      </c>
      <c r="M218" s="3">
        <v>1.2002211034824147E-8</v>
      </c>
      <c r="N218" s="3">
        <v>7.0807079906800068E-11</v>
      </c>
      <c r="O218" s="11">
        <v>2.1920778517709124E-13</v>
      </c>
      <c r="P218" s="11">
        <v>2.771585161771538E-16</v>
      </c>
    </row>
    <row r="219" spans="1:16" x14ac:dyDescent="0.25">
      <c r="G219" s="11"/>
      <c r="H219" s="11">
        <v>0.9999561637509865</v>
      </c>
      <c r="I219" s="11">
        <v>0.21702277676294093</v>
      </c>
      <c r="J219" s="11" t="e">
        <v>#N/A</v>
      </c>
      <c r="K219" s="11" t="e">
        <v>#N/A</v>
      </c>
      <c r="L219" s="11" t="e">
        <v>#N/A</v>
      </c>
      <c r="M219" s="11" t="e">
        <v>#N/A</v>
      </c>
      <c r="N219" s="11" t="e">
        <v>#N/A</v>
      </c>
      <c r="O219" s="11" t="e">
        <v>#N/A</v>
      </c>
      <c r="P219" s="11" t="e">
        <v>#N/A</v>
      </c>
    </row>
    <row r="222" spans="1:16" x14ac:dyDescent="0.25">
      <c r="E222">
        <f>E15</f>
        <v>-200</v>
      </c>
      <c r="F222">
        <f>$H$217*0+E222*$I$217+E222^2*$J$217+E222^3*$K$217+E222^4*$L$217+E222^5*$M$217+E222^6*$N$217+E222^7*$O$217+E222^8*$P$217</f>
        <v>-49.832640256840023</v>
      </c>
      <c r="G222">
        <f>F15</f>
        <v>-50</v>
      </c>
    </row>
    <row r="223" spans="1:16" x14ac:dyDescent="0.25">
      <c r="E223" s="11">
        <f t="shared" ref="E223:E286" si="25">E16</f>
        <v>-199</v>
      </c>
      <c r="F223" s="11">
        <f t="shared" ref="F223:F286" si="26">$H$217*0+E223*$I$217+E223^2*$J$217+E223^3*$K$217+E223^4*$L$217+E223^5*$M$217+E223^6*$N$217+E223^7*$O$217+E223^8*$P$217</f>
        <v>-49.727598750967445</v>
      </c>
      <c r="G223" s="11">
        <f t="shared" ref="G223:G286" si="27">F16</f>
        <v>-49.86023661599851</v>
      </c>
    </row>
    <row r="224" spans="1:16" x14ac:dyDescent="0.25">
      <c r="E224" s="11">
        <f t="shared" si="25"/>
        <v>-198</v>
      </c>
      <c r="F224" s="11">
        <f t="shared" si="26"/>
        <v>-49.624823880156328</v>
      </c>
      <c r="G224" s="11">
        <f t="shared" si="27"/>
        <v>-49.720198943347164</v>
      </c>
    </row>
    <row r="225" spans="5:7" x14ac:dyDescent="0.25">
      <c r="E225" s="11">
        <f t="shared" si="25"/>
        <v>-197</v>
      </c>
      <c r="F225" s="11">
        <f t="shared" si="26"/>
        <v>-49.522300041035123</v>
      </c>
      <c r="G225" s="11">
        <f t="shared" si="27"/>
        <v>-49.579612693396101</v>
      </c>
    </row>
    <row r="226" spans="5:7" x14ac:dyDescent="0.25">
      <c r="E226" s="11">
        <f t="shared" si="25"/>
        <v>-196</v>
      </c>
      <c r="F226" s="11">
        <f t="shared" si="26"/>
        <v>-49.418264630312478</v>
      </c>
      <c r="G226" s="11">
        <f t="shared" si="27"/>
        <v>-49.438203577495457</v>
      </c>
    </row>
    <row r="227" spans="5:7" x14ac:dyDescent="0.25">
      <c r="E227" s="11">
        <f t="shared" si="25"/>
        <v>-195</v>
      </c>
      <c r="F227" s="11">
        <f t="shared" si="26"/>
        <v>-49.311190985315989</v>
      </c>
      <c r="G227" s="11">
        <f t="shared" si="27"/>
        <v>-49.295697306995372</v>
      </c>
    </row>
    <row r="228" spans="5:7" x14ac:dyDescent="0.25">
      <c r="E228" s="11">
        <f t="shared" si="25"/>
        <v>-194</v>
      </c>
      <c r="F228" s="11">
        <f t="shared" si="26"/>
        <v>-49.199772022562684</v>
      </c>
      <c r="G228" s="11">
        <f t="shared" si="27"/>
        <v>-49.151819593245996</v>
      </c>
    </row>
    <row r="229" spans="5:7" x14ac:dyDescent="0.25">
      <c r="E229" s="11">
        <f t="shared" si="25"/>
        <v>-193</v>
      </c>
      <c r="F229" s="11">
        <f t="shared" si="26"/>
        <v>-49.082904558092196</v>
      </c>
      <c r="G229" s="11">
        <f t="shared" si="27"/>
        <v>-49.00629614759746</v>
      </c>
    </row>
    <row r="230" spans="5:7" x14ac:dyDescent="0.25">
      <c r="E230" s="11">
        <f t="shared" si="25"/>
        <v>-192</v>
      </c>
      <c r="F230" s="11">
        <f t="shared" si="26"/>
        <v>-48.959674292789714</v>
      </c>
      <c r="G230" s="11">
        <f t="shared" si="27"/>
        <v>-48.85885268139991</v>
      </c>
    </row>
    <row r="231" spans="5:7" x14ac:dyDescent="0.25">
      <c r="E231" s="11">
        <f t="shared" si="25"/>
        <v>-191</v>
      </c>
      <c r="F231" s="11">
        <f t="shared" si="26"/>
        <v>-48.82934144653791</v>
      </c>
      <c r="G231" s="11">
        <f t="shared" si="27"/>
        <v>-48.709214906003496</v>
      </c>
    </row>
    <row r="232" spans="5:7" x14ac:dyDescent="0.25">
      <c r="E232" s="11">
        <f t="shared" si="25"/>
        <v>-190</v>
      </c>
      <c r="F232" s="11">
        <f t="shared" si="26"/>
        <v>-48.691327025085229</v>
      </c>
      <c r="G232" s="11">
        <f t="shared" si="27"/>
        <v>-48.557108532758335</v>
      </c>
    </row>
    <row r="233" spans="5:7" x14ac:dyDescent="0.25">
      <c r="E233" s="11">
        <f t="shared" si="25"/>
        <v>-189</v>
      </c>
      <c r="F233" s="11">
        <f t="shared" si="26"/>
        <v>-48.545199703830804</v>
      </c>
      <c r="G233" s="11">
        <f t="shared" si="27"/>
        <v>-48.402259273014593</v>
      </c>
    </row>
    <row r="234" spans="5:7" x14ac:dyDescent="0.25">
      <c r="E234" s="11">
        <f t="shared" si="25"/>
        <v>-188</v>
      </c>
      <c r="F234" s="11">
        <f t="shared" si="26"/>
        <v>-48.390663312623474</v>
      </c>
      <c r="G234" s="11">
        <f t="shared" si="27"/>
        <v>-48.244392838122387</v>
      </c>
    </row>
    <row r="235" spans="5:7" x14ac:dyDescent="0.25">
      <c r="E235" s="11">
        <f t="shared" si="25"/>
        <v>-187</v>
      </c>
      <c r="F235" s="11">
        <f t="shared" si="26"/>
        <v>-48.227544906008006</v>
      </c>
      <c r="G235" s="11">
        <f t="shared" si="27"/>
        <v>-48.083234939431883</v>
      </c>
    </row>
    <row r="236" spans="5:7" x14ac:dyDescent="0.25">
      <c r="E236" s="11">
        <f t="shared" si="25"/>
        <v>-186</v>
      </c>
      <c r="F236" s="11">
        <f t="shared" si="26"/>
        <v>-48.055783403793612</v>
      </c>
      <c r="G236" s="11">
        <f t="shared" si="27"/>
        <v>-47.918511288293196</v>
      </c>
    </row>
    <row r="237" spans="5:7" x14ac:dyDescent="0.25">
      <c r="E237" s="11">
        <f t="shared" si="25"/>
        <v>-185</v>
      </c>
      <c r="F237" s="11">
        <f t="shared" si="26"/>
        <v>-47.875418786447881</v>
      </c>
      <c r="G237" s="11">
        <f t="shared" si="27"/>
        <v>-47.749947596056487</v>
      </c>
    </row>
    <row r="238" spans="5:7" x14ac:dyDescent="0.25">
      <c r="E238" s="11">
        <f t="shared" si="25"/>
        <v>-184</v>
      </c>
      <c r="F238" s="11">
        <f t="shared" si="26"/>
        <v>-47.68658183043317</v>
      </c>
      <c r="G238" s="11">
        <f t="shared" si="27"/>
        <v>-47.577269574071892</v>
      </c>
    </row>
    <row r="239" spans="5:7" x14ac:dyDescent="0.25">
      <c r="E239" s="11">
        <f t="shared" si="25"/>
        <v>-183</v>
      </c>
      <c r="F239" s="11">
        <f t="shared" si="26"/>
        <v>-47.489484368679769</v>
      </c>
      <c r="G239" s="11">
        <f t="shared" si="27"/>
        <v>-47.400202933689542</v>
      </c>
    </row>
    <row r="240" spans="5:7" x14ac:dyDescent="0.25">
      <c r="E240" s="11">
        <f t="shared" si="25"/>
        <v>-182</v>
      </c>
      <c r="F240" s="11">
        <f t="shared" si="26"/>
        <v>-47.284410061537528</v>
      </c>
      <c r="G240" s="11">
        <f t="shared" si="27"/>
        <v>-47.218473386259589</v>
      </c>
    </row>
    <row r="241" spans="5:7" x14ac:dyDescent="0.25">
      <c r="E241" s="11">
        <f t="shared" si="25"/>
        <v>-181</v>
      </c>
      <c r="F241" s="11">
        <f t="shared" si="26"/>
        <v>-47.071705663583089</v>
      </c>
      <c r="G241" s="11">
        <f t="shared" si="27"/>
        <v>-47.031806643132171</v>
      </c>
    </row>
    <row r="242" spans="5:7" x14ac:dyDescent="0.25">
      <c r="E242" s="11">
        <f t="shared" si="25"/>
        <v>-180</v>
      </c>
      <c r="F242" s="11">
        <f t="shared" si="26"/>
        <v>-46.85177277224102</v>
      </c>
      <c r="G242" s="11">
        <f t="shared" si="27"/>
        <v>-46.839928415657425</v>
      </c>
    </row>
    <row r="243" spans="5:7" x14ac:dyDescent="0.25">
      <c r="E243" s="11">
        <f t="shared" si="25"/>
        <v>-179</v>
      </c>
      <c r="F243" s="11">
        <f t="shared" si="26"/>
        <v>-46.625060043842495</v>
      </c>
      <c r="G243" s="11">
        <f t="shared" si="27"/>
        <v>-46.642564415185497</v>
      </c>
    </row>
    <row r="244" spans="5:7" x14ac:dyDescent="0.25">
      <c r="E244" s="11">
        <f t="shared" si="25"/>
        <v>-178</v>
      </c>
      <c r="F244" s="11">
        <f t="shared" si="26"/>
        <v>-46.392055863403584</v>
      </c>
      <c r="G244" s="11">
        <f t="shared" si="27"/>
        <v>-46.439440353066516</v>
      </c>
    </row>
    <row r="245" spans="5:7" x14ac:dyDescent="0.25">
      <c r="E245" s="11">
        <f t="shared" si="25"/>
        <v>-177</v>
      </c>
      <c r="F245" s="11">
        <f t="shared" si="26"/>
        <v>-46.153281454182434</v>
      </c>
      <c r="G245" s="11">
        <f t="shared" si="27"/>
        <v>-46.230281940650642</v>
      </c>
    </row>
    <row r="246" spans="5:7" x14ac:dyDescent="0.25">
      <c r="E246" s="11">
        <f t="shared" si="25"/>
        <v>-176</v>
      </c>
      <c r="F246" s="11">
        <f t="shared" si="26"/>
        <v>-45.909284413649402</v>
      </c>
      <c r="G246" s="11">
        <f t="shared" si="27"/>
        <v>-46.014814889288004</v>
      </c>
    </row>
    <row r="247" spans="5:7" x14ac:dyDescent="0.25">
      <c r="E247" s="11">
        <f t="shared" si="25"/>
        <v>-175</v>
      </c>
      <c r="F247" s="11">
        <f t="shared" si="26"/>
        <v>-45.660632662197258</v>
      </c>
      <c r="G247" s="11">
        <f t="shared" si="27"/>
        <v>-45.792764910328742</v>
      </c>
    </row>
    <row r="248" spans="5:7" x14ac:dyDescent="0.25">
      <c r="E248" s="11">
        <f t="shared" si="25"/>
        <v>-174</v>
      </c>
      <c r="F248" s="11">
        <f t="shared" si="26"/>
        <v>-45.407908791701175</v>
      </c>
      <c r="G248" s="11">
        <f t="shared" si="27"/>
        <v>-45.563857715122992</v>
      </c>
    </row>
    <row r="249" spans="5:7" x14ac:dyDescent="0.25">
      <c r="E249" s="11">
        <f t="shared" si="25"/>
        <v>-173</v>
      </c>
      <c r="F249" s="11">
        <f t="shared" si="26"/>
        <v>-45.151704800604421</v>
      </c>
      <c r="G249" s="11">
        <f t="shared" si="27"/>
        <v>-45.327819015020907</v>
      </c>
    </row>
    <row r="250" spans="5:7" x14ac:dyDescent="0.25">
      <c r="E250" s="11">
        <f t="shared" si="25"/>
        <v>-172</v>
      </c>
      <c r="F250" s="11">
        <f t="shared" si="26"/>
        <v>-44.89261720289096</v>
      </c>
      <c r="G250" s="11">
        <f t="shared" si="27"/>
        <v>-45.084374521372624</v>
      </c>
    </row>
    <row r="251" spans="5:7" x14ac:dyDescent="0.25">
      <c r="E251" s="11">
        <f t="shared" si="25"/>
        <v>-171</v>
      </c>
      <c r="F251" s="11">
        <f t="shared" si="26"/>
        <v>-44.631242498084248</v>
      </c>
      <c r="G251" s="11">
        <f t="shared" si="27"/>
        <v>-44.833249945528287</v>
      </c>
    </row>
    <row r="252" spans="5:7" x14ac:dyDescent="0.25">
      <c r="E252" s="11">
        <f t="shared" si="25"/>
        <v>-170</v>
      </c>
      <c r="F252" s="11">
        <f t="shared" si="26"/>
        <v>-44.368172989957202</v>
      </c>
      <c r="G252" s="11">
        <f t="shared" si="27"/>
        <v>-44.574170998838028</v>
      </c>
    </row>
    <row r="253" spans="5:7" x14ac:dyDescent="0.25">
      <c r="E253" s="11">
        <f t="shared" si="25"/>
        <v>-169</v>
      </c>
      <c r="F253" s="11">
        <f t="shared" si="26"/>
        <v>-44.103992941537399</v>
      </c>
      <c r="G253" s="11">
        <f t="shared" si="27"/>
        <v>-44.306863392651984</v>
      </c>
    </row>
    <row r="254" spans="5:7" x14ac:dyDescent="0.25">
      <c r="E254" s="11">
        <f t="shared" si="25"/>
        <v>-168</v>
      </c>
      <c r="F254" s="11">
        <f t="shared" si="26"/>
        <v>-43.839275054248446</v>
      </c>
      <c r="G254" s="11">
        <f t="shared" si="27"/>
        <v>-44.031052838320306</v>
      </c>
    </row>
    <row r="255" spans="5:7" x14ac:dyDescent="0.25">
      <c r="E255" s="11">
        <f t="shared" si="25"/>
        <v>-167</v>
      </c>
      <c r="F255" s="11">
        <f t="shared" si="26"/>
        <v>-43.574577259314992</v>
      </c>
      <c r="G255" s="11">
        <f t="shared" si="27"/>
        <v>-43.746465047193141</v>
      </c>
    </row>
    <row r="256" spans="5:7" x14ac:dyDescent="0.25">
      <c r="E256" s="11">
        <f t="shared" si="25"/>
        <v>-166</v>
      </c>
      <c r="F256" s="11">
        <f t="shared" si="26"/>
        <v>-43.310439809627042</v>
      </c>
      <c r="G256" s="11">
        <f t="shared" si="27"/>
        <v>-43.45282573062061</v>
      </c>
    </row>
    <row r="257" spans="5:7" x14ac:dyDescent="0.25">
      <c r="E257" s="11">
        <f t="shared" si="25"/>
        <v>-165</v>
      </c>
      <c r="F257" s="11">
        <f t="shared" si="26"/>
        <v>-43.047382660430685</v>
      </c>
      <c r="G257" s="11">
        <f t="shared" si="27"/>
        <v>-43.149860599952873</v>
      </c>
    </row>
    <row r="258" spans="5:7" x14ac:dyDescent="0.25">
      <c r="E258" s="11">
        <f t="shared" si="25"/>
        <v>-164</v>
      </c>
      <c r="F258" s="11">
        <f t="shared" si="26"/>
        <v>-42.785903127481561</v>
      </c>
      <c r="G258" s="11">
        <f t="shared" si="27"/>
        <v>-42.837295366540062</v>
      </c>
    </row>
    <row r="259" spans="5:7" x14ac:dyDescent="0.25">
      <c r="E259" s="11">
        <f t="shared" si="25"/>
        <v>-163</v>
      </c>
      <c r="F259" s="11">
        <f t="shared" si="26"/>
        <v>-42.526473811417418</v>
      </c>
      <c r="G259" s="11">
        <f t="shared" si="27"/>
        <v>-42.514855741732312</v>
      </c>
    </row>
    <row r="260" spans="5:7" x14ac:dyDescent="0.25">
      <c r="E260" s="11">
        <f t="shared" si="25"/>
        <v>-162</v>
      </c>
      <c r="F260" s="11">
        <f t="shared" si="26"/>
        <v>-42.269540777253496</v>
      </c>
      <c r="G260" s="11">
        <f t="shared" si="27"/>
        <v>-42.182267436879776</v>
      </c>
    </row>
    <row r="261" spans="5:7" x14ac:dyDescent="0.25">
      <c r="E261" s="11">
        <f t="shared" si="25"/>
        <v>-161</v>
      </c>
      <c r="F261" s="11">
        <f t="shared" si="26"/>
        <v>-42.015521978234574</v>
      </c>
      <c r="G261" s="11">
        <f t="shared" si="27"/>
        <v>-41.839256163332585</v>
      </c>
    </row>
    <row r="262" spans="5:7" x14ac:dyDescent="0.25">
      <c r="E262" s="11">
        <f t="shared" si="25"/>
        <v>-160</v>
      </c>
      <c r="F262" s="11">
        <f t="shared" si="26"/>
        <v>-41.764805913180453</v>
      </c>
      <c r="G262" s="11">
        <f t="shared" si="27"/>
        <v>-41.485547632440877</v>
      </c>
    </row>
    <row r="263" spans="5:7" x14ac:dyDescent="0.25">
      <c r="E263" s="11">
        <f t="shared" si="25"/>
        <v>-159</v>
      </c>
      <c r="F263" s="11">
        <f t="shared" si="26"/>
        <v>-41.51775050700121</v>
      </c>
      <c r="G263" s="11">
        <f t="shared" si="27"/>
        <v>-41.336015921897925</v>
      </c>
    </row>
    <row r="264" spans="5:7" x14ac:dyDescent="0.25">
      <c r="E264" s="11">
        <f t="shared" si="25"/>
        <v>-158</v>
      </c>
      <c r="F264" s="11">
        <f t="shared" si="26"/>
        <v>-41.274682203900966</v>
      </c>
      <c r="G264" s="11">
        <f t="shared" si="27"/>
        <v>-41.176391198141658</v>
      </c>
    </row>
    <row r="265" spans="5:7" x14ac:dyDescent="0.25">
      <c r="E265" s="11">
        <f t="shared" si="25"/>
        <v>-157</v>
      </c>
      <c r="F265" s="11">
        <f t="shared" si="26"/>
        <v>-41.035895263197517</v>
      </c>
      <c r="G265" s="11">
        <f t="shared" si="27"/>
        <v>-41.007551993953165</v>
      </c>
    </row>
    <row r="266" spans="5:7" x14ac:dyDescent="0.25">
      <c r="E266" s="11">
        <f t="shared" si="25"/>
        <v>-156</v>
      </c>
      <c r="F266" s="11">
        <f t="shared" si="26"/>
        <v>-40.80165124775931</v>
      </c>
      <c r="G266" s="11">
        <f t="shared" si="27"/>
        <v>-40.830376842113509</v>
      </c>
    </row>
    <row r="267" spans="5:7" x14ac:dyDescent="0.25">
      <c r="E267" s="11">
        <f t="shared" si="25"/>
        <v>-155</v>
      </c>
      <c r="F267" s="11">
        <f t="shared" si="26"/>
        <v>-40.572178695287676</v>
      </c>
      <c r="G267" s="11">
        <f t="shared" si="27"/>
        <v>-40.645744275403757</v>
      </c>
    </row>
    <row r="268" spans="5:7" x14ac:dyDescent="0.25">
      <c r="E268" s="11">
        <f t="shared" si="25"/>
        <v>-154</v>
      </c>
      <c r="F268" s="11">
        <f t="shared" si="26"/>
        <v>-40.347672962762999</v>
      </c>
      <c r="G268" s="11">
        <f t="shared" si="27"/>
        <v>-40.454532826604961</v>
      </c>
    </row>
    <row r="269" spans="5:7" x14ac:dyDescent="0.25">
      <c r="E269" s="11">
        <f t="shared" si="25"/>
        <v>-153</v>
      </c>
      <c r="F269" s="11">
        <f t="shared" si="26"/>
        <v>-40.128296234754316</v>
      </c>
      <c r="G269" s="11">
        <f t="shared" si="27"/>
        <v>-40.257621028498221</v>
      </c>
    </row>
    <row r="270" spans="5:7" x14ac:dyDescent="0.25">
      <c r="E270" s="11">
        <f t="shared" si="25"/>
        <v>-152</v>
      </c>
      <c r="F270" s="11">
        <f t="shared" si="26"/>
        <v>-39.91417768618021</v>
      </c>
      <c r="G270" s="11">
        <f t="shared" si="27"/>
        <v>-40.055887413864582</v>
      </c>
    </row>
    <row r="271" spans="5:7" x14ac:dyDescent="0.25">
      <c r="E271" s="11">
        <f t="shared" si="25"/>
        <v>-151</v>
      </c>
      <c r="F271" s="11">
        <f t="shared" si="26"/>
        <v>-39.70541379058659</v>
      </c>
      <c r="G271" s="11">
        <f t="shared" si="27"/>
        <v>-39.850210515485131</v>
      </c>
    </row>
    <row r="272" spans="5:7" x14ac:dyDescent="0.25">
      <c r="E272" s="11">
        <f t="shared" si="25"/>
        <v>-150</v>
      </c>
      <c r="F272" s="11">
        <f t="shared" si="26"/>
        <v>-39.502068764972819</v>
      </c>
      <c r="G272" s="11">
        <f t="shared" si="27"/>
        <v>-39.641468866140912</v>
      </c>
    </row>
    <row r="273" spans="5:7" x14ac:dyDescent="0.25">
      <c r="E273" s="11">
        <f t="shared" si="25"/>
        <v>-149</v>
      </c>
      <c r="F273" s="11">
        <f t="shared" si="26"/>
        <v>-39.304175142470058</v>
      </c>
      <c r="G273" s="11">
        <f t="shared" si="27"/>
        <v>-39.430540998613012</v>
      </c>
    </row>
    <row r="274" spans="5:7" x14ac:dyDescent="0.25">
      <c r="E274" s="11">
        <f t="shared" si="25"/>
        <v>-148</v>
      </c>
      <c r="F274" s="11">
        <f t="shared" si="26"/>
        <v>-39.111734464340771</v>
      </c>
      <c r="G274" s="11">
        <f t="shared" si="27"/>
        <v>-39.218305445682489</v>
      </c>
    </row>
    <row r="275" spans="5:7" x14ac:dyDescent="0.25">
      <c r="E275" s="11">
        <f t="shared" si="25"/>
        <v>-147</v>
      </c>
      <c r="F275" s="11">
        <f t="shared" si="26"/>
        <v>-38.924718082971708</v>
      </c>
      <c r="G275" s="11">
        <f t="shared" si="27"/>
        <v>-39.005640740130431</v>
      </c>
    </row>
    <row r="276" spans="5:7" x14ac:dyDescent="0.25">
      <c r="E276" s="11">
        <f t="shared" si="25"/>
        <v>-146</v>
      </c>
      <c r="F276" s="11">
        <f t="shared" si="26"/>
        <v>-38.743068067649006</v>
      </c>
      <c r="G276" s="11">
        <f t="shared" si="27"/>
        <v>-38.793425414737875</v>
      </c>
    </row>
    <row r="277" spans="5:7" x14ac:dyDescent="0.25">
      <c r="E277" s="11">
        <f t="shared" si="25"/>
        <v>-145</v>
      </c>
      <c r="F277" s="11">
        <f t="shared" si="26"/>
        <v>-38.566698205157309</v>
      </c>
      <c r="G277" s="11">
        <f t="shared" si="27"/>
        <v>-38.582538002285915</v>
      </c>
    </row>
    <row r="278" spans="5:7" x14ac:dyDescent="0.25">
      <c r="E278" s="11">
        <f t="shared" si="25"/>
        <v>-144</v>
      </c>
      <c r="F278" s="11">
        <f t="shared" si="26"/>
        <v>-38.395495087360928</v>
      </c>
      <c r="G278" s="11">
        <f t="shared" si="27"/>
        <v>-38.373857035555602</v>
      </c>
    </row>
    <row r="279" spans="5:7" x14ac:dyDescent="0.25">
      <c r="E279" s="11">
        <f t="shared" si="25"/>
        <v>-143</v>
      </c>
      <c r="F279" s="11">
        <f t="shared" si="26"/>
        <v>-38.229319278166031</v>
      </c>
      <c r="G279" s="11">
        <f t="shared" si="27"/>
        <v>-38.168261047328016</v>
      </c>
    </row>
    <row r="280" spans="5:7" x14ac:dyDescent="0.25">
      <c r="E280" s="11">
        <f t="shared" si="25"/>
        <v>-142</v>
      </c>
      <c r="F280" s="11">
        <f t="shared" si="26"/>
        <v>-38.068006552412726</v>
      </c>
      <c r="G280" s="11">
        <f t="shared" si="27"/>
        <v>-37.966628570384223</v>
      </c>
    </row>
    <row r="281" spans="5:7" x14ac:dyDescent="0.25">
      <c r="E281" s="11">
        <f t="shared" si="25"/>
        <v>-141</v>
      </c>
      <c r="F281" s="11">
        <f t="shared" si="26"/>
        <v>-37.911369199382875</v>
      </c>
      <c r="G281" s="11">
        <f t="shared" si="27"/>
        <v>-37.769838137505289</v>
      </c>
    </row>
    <row r="282" spans="5:7" x14ac:dyDescent="0.25">
      <c r="E282" s="11">
        <f t="shared" si="25"/>
        <v>-140</v>
      </c>
      <c r="F282" s="11">
        <f t="shared" si="26"/>
        <v>-37.759197383880178</v>
      </c>
      <c r="G282" s="11">
        <f t="shared" si="27"/>
        <v>-37.578768281472286</v>
      </c>
    </row>
    <row r="283" spans="5:7" x14ac:dyDescent="0.25">
      <c r="E283" s="11">
        <f t="shared" si="25"/>
        <v>-139</v>
      </c>
      <c r="F283" s="11">
        <f t="shared" si="26"/>
        <v>-37.61126055796808</v>
      </c>
      <c r="G283" s="11">
        <f t="shared" si="27"/>
        <v>-37.394297535066272</v>
      </c>
    </row>
    <row r="284" spans="5:7" x14ac:dyDescent="0.25">
      <c r="E284" s="11">
        <f t="shared" si="25"/>
        <v>-138</v>
      </c>
      <c r="F284" s="11">
        <f t="shared" si="26"/>
        <v>-37.467308916597517</v>
      </c>
      <c r="G284" s="11">
        <f t="shared" si="27"/>
        <v>-37.217304431068328</v>
      </c>
    </row>
    <row r="285" spans="5:7" x14ac:dyDescent="0.25">
      <c r="E285" s="11">
        <f t="shared" si="25"/>
        <v>-137</v>
      </c>
      <c r="F285" s="11">
        <f t="shared" si="26"/>
        <v>-37.327074890616245</v>
      </c>
      <c r="G285" s="11">
        <f t="shared" si="27"/>
        <v>-37.048667502259519</v>
      </c>
    </row>
    <row r="286" spans="5:7" x14ac:dyDescent="0.25">
      <c r="E286" s="11">
        <f t="shared" si="25"/>
        <v>-136</v>
      </c>
      <c r="F286" s="11">
        <f t="shared" si="26"/>
        <v>-37.190274670769099</v>
      </c>
      <c r="G286" s="11">
        <f t="shared" si="27"/>
        <v>-36.889265281420904</v>
      </c>
    </row>
    <row r="287" spans="5:7" x14ac:dyDescent="0.25">
      <c r="E287" s="11">
        <f t="shared" ref="E287:E350" si="28">E80</f>
        <v>-135</v>
      </c>
      <c r="F287" s="11">
        <f t="shared" ref="F287:F350" si="29">$H$217*0+E287*$I$217+E287^2*$J$217+E287^3*$K$217+E287^4*$L$217+E287^5*$M$217+E287^6*$N$217+E287^7*$O$217+E287^8*$P$217</f>
        <v>-37.056609756491923</v>
      </c>
      <c r="G287" s="11">
        <f t="shared" ref="G287:G350" si="30">F80</f>
        <v>-36.73997630133357</v>
      </c>
    </row>
    <row r="288" spans="5:7" x14ac:dyDescent="0.25">
      <c r="E288" s="11">
        <f t="shared" si="28"/>
        <v>-134</v>
      </c>
      <c r="F288" s="11">
        <f t="shared" si="29"/>
        <v>-36.925768523519594</v>
      </c>
      <c r="G288" s="11">
        <f t="shared" si="30"/>
        <v>-36.601377050426386</v>
      </c>
    </row>
    <row r="289" spans="5:7" x14ac:dyDescent="0.25">
      <c r="E289" s="11">
        <f t="shared" si="28"/>
        <v>-133</v>
      </c>
      <c r="F289" s="11">
        <f t="shared" si="29"/>
        <v>-36.797427804438541</v>
      </c>
      <c r="G289" s="11">
        <f t="shared" si="30"/>
        <v>-36.472835839719551</v>
      </c>
    </row>
    <row r="290" spans="5:7" x14ac:dyDescent="0.25">
      <c r="E290" s="11">
        <f t="shared" si="28"/>
        <v>-132</v>
      </c>
      <c r="F290" s="11">
        <f t="shared" si="29"/>
        <v>-36.671254476566446</v>
      </c>
      <c r="G290" s="11">
        <f t="shared" si="30"/>
        <v>-36.353418935881052</v>
      </c>
    </row>
    <row r="291" spans="5:7" x14ac:dyDescent="0.25">
      <c r="E291" s="11">
        <f t="shared" si="28"/>
        <v>-131</v>
      </c>
      <c r="F291" s="11">
        <f t="shared" si="29"/>
        <v>-36.546907051665755</v>
      </c>
      <c r="G291" s="11">
        <f t="shared" si="30"/>
        <v>-36.242192605578893</v>
      </c>
    </row>
    <row r="292" spans="5:7" x14ac:dyDescent="0.25">
      <c r="E292" s="11">
        <f t="shared" si="28"/>
        <v>-130</v>
      </c>
      <c r="F292" s="11">
        <f t="shared" si="29"/>
        <v>-36.424037262231707</v>
      </c>
      <c r="G292" s="11">
        <f t="shared" si="30"/>
        <v>-36.138223115481082</v>
      </c>
    </row>
    <row r="293" spans="5:7" x14ac:dyDescent="0.25">
      <c r="E293" s="11">
        <f t="shared" si="28"/>
        <v>-129</v>
      </c>
      <c r="F293" s="11">
        <f t="shared" si="29"/>
        <v>-36.302291639196767</v>
      </c>
      <c r="G293" s="11">
        <f t="shared" si="30"/>
        <v>-36.040576732255616</v>
      </c>
    </row>
    <row r="294" spans="5:7" x14ac:dyDescent="0.25">
      <c r="E294" s="11">
        <f t="shared" si="28"/>
        <v>-128</v>
      </c>
      <c r="F294" s="11">
        <f t="shared" si="29"/>
        <v>-36.181313076177332</v>
      </c>
      <c r="G294" s="11">
        <f t="shared" si="30"/>
        <v>-35.948319722570488</v>
      </c>
    </row>
    <row r="295" spans="5:7" x14ac:dyDescent="0.25">
      <c r="E295" s="11">
        <f t="shared" si="28"/>
        <v>-127</v>
      </c>
      <c r="F295" s="11">
        <f t="shared" si="29"/>
        <v>-36.060742375480515</v>
      </c>
      <c r="G295" s="11">
        <f t="shared" si="30"/>
        <v>-35.86051835309371</v>
      </c>
    </row>
    <row r="296" spans="5:7" x14ac:dyDescent="0.25">
      <c r="E296" s="11">
        <f t="shared" si="28"/>
        <v>-126</v>
      </c>
      <c r="F296" s="11">
        <f t="shared" si="29"/>
        <v>-35.940219771301486</v>
      </c>
      <c r="G296" s="11">
        <f t="shared" si="30"/>
        <v>-35.776238890493282</v>
      </c>
    </row>
    <row r="297" spans="5:7" x14ac:dyDescent="0.25">
      <c r="E297" s="11">
        <f t="shared" si="28"/>
        <v>-125</v>
      </c>
      <c r="F297" s="11">
        <f t="shared" si="29"/>
        <v>-35.819386425734308</v>
      </c>
      <c r="G297" s="11">
        <f t="shared" si="30"/>
        <v>-35.694547601437208</v>
      </c>
    </row>
    <row r="298" spans="5:7" x14ac:dyDescent="0.25">
      <c r="E298" s="11">
        <f t="shared" si="28"/>
        <v>-124</v>
      </c>
      <c r="F298" s="11">
        <f t="shared" si="29"/>
        <v>-35.6978858933889</v>
      </c>
      <c r="G298" s="11">
        <f t="shared" si="30"/>
        <v>-35.614510752593475</v>
      </c>
    </row>
    <row r="299" spans="5:7" x14ac:dyDescent="0.25">
      <c r="E299" s="11">
        <f t="shared" si="28"/>
        <v>-123</v>
      </c>
      <c r="F299" s="11">
        <f t="shared" si="29"/>
        <v>-35.575365550576947</v>
      </c>
      <c r="G299" s="11">
        <f t="shared" si="30"/>
        <v>-35.5351946106301</v>
      </c>
    </row>
    <row r="300" spans="5:7" x14ac:dyDescent="0.25">
      <c r="E300" s="11">
        <f t="shared" si="28"/>
        <v>-122</v>
      </c>
      <c r="F300" s="11">
        <f t="shared" si="29"/>
        <v>-35.451477985210744</v>
      </c>
      <c r="G300" s="11">
        <f t="shared" si="30"/>
        <v>-35.455665442215079</v>
      </c>
    </row>
    <row r="301" spans="5:7" x14ac:dyDescent="0.25">
      <c r="E301" s="11">
        <f t="shared" si="28"/>
        <v>-121</v>
      </c>
      <c r="F301" s="11">
        <f t="shared" si="29"/>
        <v>-35.325882343769365</v>
      </c>
      <c r="G301" s="11">
        <f t="shared" si="30"/>
        <v>-35.37498951401642</v>
      </c>
    </row>
    <row r="302" spans="5:7" x14ac:dyDescent="0.25">
      <c r="E302" s="11">
        <f t="shared" si="28"/>
        <v>-120</v>
      </c>
      <c r="F302" s="11">
        <f t="shared" si="29"/>
        <v>-35.198245631831497</v>
      </c>
      <c r="G302" s="11">
        <f t="shared" si="30"/>
        <v>-35.292233092702105</v>
      </c>
    </row>
    <row r="303" spans="5:7" x14ac:dyDescent="0.25">
      <c r="E303" s="11">
        <f t="shared" si="28"/>
        <v>-119</v>
      </c>
      <c r="F303" s="11">
        <f t="shared" si="29"/>
        <v>-35.068243964851774</v>
      </c>
      <c r="G303" s="11">
        <f t="shared" si="30"/>
        <v>-35.206462444940158</v>
      </c>
    </row>
    <row r="304" spans="5:7" x14ac:dyDescent="0.25">
      <c r="E304" s="11">
        <f t="shared" si="28"/>
        <v>-118</v>
      </c>
      <c r="F304" s="11">
        <f t="shared" si="29"/>
        <v>-34.935563766081714</v>
      </c>
      <c r="G304" s="11">
        <f t="shared" si="30"/>
        <v>-35.116743837398559</v>
      </c>
    </row>
    <row r="305" spans="5:7" x14ac:dyDescent="0.25">
      <c r="E305" s="11">
        <f t="shared" si="28"/>
        <v>-117</v>
      </c>
      <c r="F305" s="11">
        <f t="shared" si="29"/>
        <v>-34.799902908668145</v>
      </c>
      <c r="G305" s="11">
        <f t="shared" si="30"/>
        <v>-35.022143536745325</v>
      </c>
    </row>
    <row r="306" spans="5:7" x14ac:dyDescent="0.25">
      <c r="E306" s="11">
        <f t="shared" si="28"/>
        <v>-116</v>
      </c>
      <c r="F306" s="11">
        <f t="shared" si="29"/>
        <v>-34.660971799158403</v>
      </c>
      <c r="G306" s="11">
        <f t="shared" si="30"/>
        <v>-34.921727809648452</v>
      </c>
    </row>
    <row r="307" spans="5:7" x14ac:dyDescent="0.25">
      <c r="E307" s="11">
        <f t="shared" si="28"/>
        <v>-115</v>
      </c>
      <c r="F307" s="11">
        <f t="shared" si="29"/>
        <v>-34.518494399845196</v>
      </c>
      <c r="G307" s="11">
        <f t="shared" si="30"/>
        <v>-34.814562922775941</v>
      </c>
    </row>
    <row r="308" spans="5:7" x14ac:dyDescent="0.25">
      <c r="E308" s="11">
        <f t="shared" si="28"/>
        <v>-114</v>
      </c>
      <c r="F308" s="11">
        <f t="shared" si="29"/>
        <v>-34.372209187515594</v>
      </c>
      <c r="G308" s="11">
        <f t="shared" si="30"/>
        <v>-34.699715142795796</v>
      </c>
    </row>
    <row r="309" spans="5:7" x14ac:dyDescent="0.25">
      <c r="E309" s="11">
        <f t="shared" si="28"/>
        <v>-113</v>
      </c>
      <c r="F309" s="11">
        <f t="shared" si="29"/>
        <v>-34.221870046400838</v>
      </c>
      <c r="G309" s="11">
        <f t="shared" si="30"/>
        <v>-34.576250736376011</v>
      </c>
    </row>
    <row r="310" spans="5:7" x14ac:dyDescent="0.25">
      <c r="E310" s="11">
        <f t="shared" si="28"/>
        <v>-112</v>
      </c>
      <c r="F310" s="11">
        <f t="shared" si="29"/>
        <v>-34.067247093263035</v>
      </c>
      <c r="G310" s="11">
        <f t="shared" si="30"/>
        <v>-34.443235970184595</v>
      </c>
    </row>
    <row r="311" spans="5:7" x14ac:dyDescent="0.25">
      <c r="E311" s="11">
        <f t="shared" si="28"/>
        <v>-111</v>
      </c>
      <c r="F311" s="11">
        <f t="shared" si="29"/>
        <v>-33.908127432763266</v>
      </c>
      <c r="G311" s="11">
        <f t="shared" si="30"/>
        <v>-34.299737110889545</v>
      </c>
    </row>
    <row r="312" spans="5:7" x14ac:dyDescent="0.25">
      <c r="E312" s="11">
        <f t="shared" si="28"/>
        <v>-110</v>
      </c>
      <c r="F312" s="11">
        <f t="shared" si="29"/>
        <v>-33.744315841415158</v>
      </c>
      <c r="G312" s="11">
        <f t="shared" si="30"/>
        <v>-34.144820425158862</v>
      </c>
    </row>
    <row r="313" spans="5:7" x14ac:dyDescent="0.25">
      <c r="E313" s="11">
        <f t="shared" si="28"/>
        <v>-109</v>
      </c>
      <c r="F313" s="11">
        <f t="shared" si="29"/>
        <v>-33.575635378617619</v>
      </c>
      <c r="G313" s="11">
        <f t="shared" si="30"/>
        <v>-33.977795015548281</v>
      </c>
    </row>
    <row r="314" spans="5:7" x14ac:dyDescent="0.25">
      <c r="E314" s="11">
        <f t="shared" si="28"/>
        <v>-108</v>
      </c>
      <c r="F314" s="11">
        <f t="shared" si="29"/>
        <v>-33.401927923451524</v>
      </c>
      <c r="G314" s="11">
        <f t="shared" si="30"/>
        <v>-33.798941328164396</v>
      </c>
    </row>
    <row r="315" spans="5:7" x14ac:dyDescent="0.25">
      <c r="E315" s="11">
        <f t="shared" si="28"/>
        <v>-107</v>
      </c>
      <c r="F315" s="11">
        <f t="shared" si="29"/>
        <v>-33.223054636072504</v>
      </c>
      <c r="G315" s="11">
        <f t="shared" si="30"/>
        <v>-33.608782645001547</v>
      </c>
    </row>
    <row r="316" spans="5:7" x14ac:dyDescent="0.25">
      <c r="E316" s="11">
        <f t="shared" si="28"/>
        <v>-106</v>
      </c>
      <c r="F316" s="11">
        <f t="shared" si="29"/>
        <v>-33.038896342752707</v>
      </c>
      <c r="G316" s="11">
        <f t="shared" si="30"/>
        <v>-33.407842248054067</v>
      </c>
    </row>
    <row r="317" spans="5:7" x14ac:dyDescent="0.25">
      <c r="E317" s="11">
        <f t="shared" si="28"/>
        <v>-105</v>
      </c>
      <c r="F317" s="11">
        <f t="shared" si="29"/>
        <v>-32.84935384377404</v>
      </c>
      <c r="G317" s="11">
        <f t="shared" si="30"/>
        <v>-33.196643419316295</v>
      </c>
    </row>
    <row r="318" spans="5:7" x14ac:dyDescent="0.25">
      <c r="E318" s="11">
        <f t="shared" si="28"/>
        <v>-104</v>
      </c>
      <c r="F318" s="11">
        <f t="shared" si="29"/>
        <v>-32.654348143570708</v>
      </c>
      <c r="G318" s="11">
        <f t="shared" si="30"/>
        <v>-32.975709440782552</v>
      </c>
    </row>
    <row r="319" spans="5:7" x14ac:dyDescent="0.25">
      <c r="E319" s="11">
        <f t="shared" si="28"/>
        <v>-103</v>
      </c>
      <c r="F319" s="11">
        <f t="shared" si="29"/>
        <v>-32.453820602691501</v>
      </c>
      <c r="G319" s="11">
        <f t="shared" si="30"/>
        <v>-32.745563594447191</v>
      </c>
    </row>
    <row r="320" spans="5:7" x14ac:dyDescent="0.25">
      <c r="E320" s="11">
        <f t="shared" si="28"/>
        <v>-102</v>
      </c>
      <c r="F320" s="11">
        <f t="shared" si="29"/>
        <v>-32.24773301133812</v>
      </c>
      <c r="G320" s="11">
        <f t="shared" si="30"/>
        <v>-32.506729162304524</v>
      </c>
    </row>
    <row r="321" spans="5:7" x14ac:dyDescent="0.25">
      <c r="E321" s="11">
        <f t="shared" si="28"/>
        <v>-101</v>
      </c>
      <c r="F321" s="11">
        <f t="shared" si="29"/>
        <v>-32.036067584413239</v>
      </c>
      <c r="G321" s="11">
        <f t="shared" si="30"/>
        <v>-32.259729426348891</v>
      </c>
    </row>
    <row r="322" spans="5:7" x14ac:dyDescent="0.25">
      <c r="E322" s="11">
        <f t="shared" si="28"/>
        <v>-100</v>
      </c>
      <c r="F322" s="11">
        <f t="shared" si="29"/>
        <v>-31.818826878189803</v>
      </c>
      <c r="G322" s="11">
        <f t="shared" si="30"/>
        <v>-32.005087668574625</v>
      </c>
    </row>
    <row r="323" spans="5:7" x14ac:dyDescent="0.25">
      <c r="E323" s="11">
        <f t="shared" si="28"/>
        <v>-99</v>
      </c>
      <c r="F323" s="11">
        <f t="shared" si="29"/>
        <v>-31.596033628900045</v>
      </c>
      <c r="G323" s="11">
        <f t="shared" si="30"/>
        <v>-31.743327170976066</v>
      </c>
    </row>
    <row r="324" spans="5:7" x14ac:dyDescent="0.25">
      <c r="E324" s="11">
        <f t="shared" si="28"/>
        <v>-98</v>
      </c>
      <c r="F324" s="11">
        <f t="shared" si="29"/>
        <v>-31.367730513711493</v>
      </c>
      <c r="G324" s="11">
        <f t="shared" si="30"/>
        <v>-31.474971215547537</v>
      </c>
    </row>
    <row r="325" spans="5:7" x14ac:dyDescent="0.25">
      <c r="E325" s="11">
        <f t="shared" si="28"/>
        <v>-97</v>
      </c>
      <c r="F325" s="11">
        <f t="shared" si="29"/>
        <v>-31.133979834753006</v>
      </c>
      <c r="G325" s="11">
        <f t="shared" si="30"/>
        <v>-31.200543084283382</v>
      </c>
    </row>
    <row r="326" spans="5:7" x14ac:dyDescent="0.25">
      <c r="E326" s="11">
        <f t="shared" si="28"/>
        <v>-96</v>
      </c>
      <c r="F326" s="11">
        <f t="shared" si="29"/>
        <v>-30.89486312701743</v>
      </c>
      <c r="G326" s="11">
        <f t="shared" si="30"/>
        <v>-30.920566059177922</v>
      </c>
    </row>
    <row r="327" spans="5:7" x14ac:dyDescent="0.25">
      <c r="E327" s="11">
        <f t="shared" si="28"/>
        <v>-95</v>
      </c>
      <c r="F327" s="11">
        <f t="shared" si="29"/>
        <v>-30.650480691161693</v>
      </c>
      <c r="G327" s="11">
        <f t="shared" si="30"/>
        <v>-30.635563422225502</v>
      </c>
    </row>
    <row r="328" spans="5:7" x14ac:dyDescent="0.25">
      <c r="E328" s="11">
        <f t="shared" si="28"/>
        <v>-94</v>
      </c>
      <c r="F328" s="11">
        <f t="shared" si="29"/>
        <v>-30.400951052391473</v>
      </c>
      <c r="G328" s="11">
        <f t="shared" si="30"/>
        <v>-30.346058455420447</v>
      </c>
    </row>
    <row r="329" spans="5:7" x14ac:dyDescent="0.25">
      <c r="E329" s="11">
        <f t="shared" si="28"/>
        <v>-93</v>
      </c>
      <c r="F329" s="11">
        <f t="shared" si="29"/>
        <v>-30.14641034681371</v>
      </c>
      <c r="G329" s="11">
        <f t="shared" si="30"/>
        <v>-30.052574440757095</v>
      </c>
    </row>
    <row r="330" spans="5:7" x14ac:dyDescent="0.25">
      <c r="E330" s="11">
        <f t="shared" si="28"/>
        <v>-92</v>
      </c>
      <c r="F330" s="11">
        <f t="shared" si="29"/>
        <v>-29.887011636808072</v>
      </c>
      <c r="G330" s="11">
        <f t="shared" si="30"/>
        <v>-29.755634660229774</v>
      </c>
    </row>
    <row r="331" spans="5:7" x14ac:dyDescent="0.25">
      <c r="E331" s="11">
        <f t="shared" si="28"/>
        <v>-91</v>
      </c>
      <c r="F331" s="11">
        <f t="shared" si="29"/>
        <v>-29.622924157146063</v>
      </c>
      <c r="G331" s="11">
        <f t="shared" si="30"/>
        <v>-29.455762395832828</v>
      </c>
    </row>
    <row r="332" spans="5:7" x14ac:dyDescent="0.25">
      <c r="E332" s="11">
        <f t="shared" si="28"/>
        <v>-90</v>
      </c>
      <c r="F332" s="11">
        <f t="shared" si="29"/>
        <v>-29.354332493787872</v>
      </c>
      <c r="G332" s="11">
        <f t="shared" si="30"/>
        <v>-29.15348092956058</v>
      </c>
    </row>
    <row r="333" spans="5:7" x14ac:dyDescent="0.25">
      <c r="E333" s="11">
        <f t="shared" si="28"/>
        <v>-89</v>
      </c>
      <c r="F333" s="11">
        <f t="shared" si="29"/>
        <v>-29.081435697435005</v>
      </c>
      <c r="G333" s="11">
        <f t="shared" si="30"/>
        <v>-28.849313543407359</v>
      </c>
    </row>
    <row r="334" spans="5:7" x14ac:dyDescent="0.25">
      <c r="E334" s="11">
        <f t="shared" si="28"/>
        <v>-88</v>
      </c>
      <c r="F334" s="11">
        <f t="shared" si="29"/>
        <v>-28.804446334128183</v>
      </c>
      <c r="G334" s="11">
        <f t="shared" si="30"/>
        <v>-28.543783519367508</v>
      </c>
    </row>
    <row r="335" spans="5:7" x14ac:dyDescent="0.25">
      <c r="E335" s="11">
        <f t="shared" si="28"/>
        <v>-87</v>
      </c>
      <c r="F335" s="11">
        <f t="shared" si="29"/>
        <v>-28.523589475336479</v>
      </c>
      <c r="G335" s="11">
        <f t="shared" si="30"/>
        <v>-28.237414139435359</v>
      </c>
    </row>
    <row r="336" spans="5:7" x14ac:dyDescent="0.25">
      <c r="E336" s="11">
        <f t="shared" si="28"/>
        <v>-86</v>
      </c>
      <c r="F336" s="11">
        <f t="shared" si="29"/>
        <v>-28.239101630176947</v>
      </c>
      <c r="G336" s="11">
        <f t="shared" si="30"/>
        <v>-27.930728685605242</v>
      </c>
    </row>
    <row r="337" spans="5:7" x14ac:dyDescent="0.25">
      <c r="E337" s="11">
        <f t="shared" si="28"/>
        <v>-85</v>
      </c>
      <c r="F337" s="11">
        <f t="shared" si="29"/>
        <v>-27.951229622583792</v>
      </c>
      <c r="G337" s="11">
        <f t="shared" si="30"/>
        <v>-27.624250439871496</v>
      </c>
    </row>
    <row r="338" spans="5:7" x14ac:dyDescent="0.25">
      <c r="E338" s="11">
        <f t="shared" si="28"/>
        <v>-84</v>
      </c>
      <c r="F338" s="11">
        <f t="shared" si="29"/>
        <v>-27.660229416414133</v>
      </c>
      <c r="G338" s="11">
        <f t="shared" si="30"/>
        <v>-27.318502684228442</v>
      </c>
    </row>
    <row r="339" spans="5:7" x14ac:dyDescent="0.25">
      <c r="E339" s="11">
        <f t="shared" si="28"/>
        <v>-83</v>
      </c>
      <c r="F339" s="11">
        <f t="shared" si="29"/>
        <v>-27.36636489167492</v>
      </c>
      <c r="G339" s="11">
        <f t="shared" si="30"/>
        <v>-27.014008700670427</v>
      </c>
    </row>
    <row r="340" spans="5:7" x14ac:dyDescent="0.25">
      <c r="E340" s="11">
        <f t="shared" si="28"/>
        <v>-82</v>
      </c>
      <c r="F340" s="11">
        <f t="shared" si="29"/>
        <v>-27.069906575224067</v>
      </c>
      <c r="G340" s="11">
        <f t="shared" si="30"/>
        <v>-26.711291771191775</v>
      </c>
    </row>
    <row r="341" spans="5:7" x14ac:dyDescent="0.25">
      <c r="E341" s="11">
        <f t="shared" si="28"/>
        <v>-81</v>
      </c>
      <c r="F341" s="11">
        <f t="shared" si="29"/>
        <v>-26.771130329478197</v>
      </c>
      <c r="G341" s="11">
        <f t="shared" si="30"/>
        <v>-26.410875177786821</v>
      </c>
    </row>
    <row r="342" spans="5:7" x14ac:dyDescent="0.25">
      <c r="E342" s="11">
        <f t="shared" si="28"/>
        <v>-80</v>
      </c>
      <c r="F342" s="11">
        <f t="shared" si="29"/>
        <v>-26.470316002849877</v>
      </c>
      <c r="G342" s="11">
        <f t="shared" si="30"/>
        <v>-26.113282202449902</v>
      </c>
    </row>
    <row r="343" spans="5:7" x14ac:dyDescent="0.25">
      <c r="E343" s="11">
        <f t="shared" si="28"/>
        <v>-79</v>
      </c>
      <c r="F343" s="11">
        <f t="shared" si="29"/>
        <v>-26.167746045805991</v>
      </c>
      <c r="G343" s="11">
        <f t="shared" si="30"/>
        <v>-25.81891881810418</v>
      </c>
    </row>
    <row r="344" spans="5:7" x14ac:dyDescent="0.25">
      <c r="E344" s="11">
        <f t="shared" si="28"/>
        <v>-78</v>
      </c>
      <c r="F344" s="11">
        <f t="shared" si="29"/>
        <v>-25.86370409662419</v>
      </c>
      <c r="G344" s="11">
        <f t="shared" si="30"/>
        <v>-25.527721761388143</v>
      </c>
    </row>
    <row r="345" spans="5:7" x14ac:dyDescent="0.25">
      <c r="E345" s="11">
        <f t="shared" si="28"/>
        <v>-77</v>
      </c>
      <c r="F345" s="11">
        <f t="shared" si="29"/>
        <v>-25.558473541107752</v>
      </c>
      <c r="G345" s="11">
        <f t="shared" si="30"/>
        <v>-25.239510459869109</v>
      </c>
    </row>
    <row r="346" spans="5:7" x14ac:dyDescent="0.25">
      <c r="E346" s="11">
        <f t="shared" si="28"/>
        <v>-76</v>
      </c>
      <c r="F346" s="11">
        <f t="shared" si="29"/>
        <v>-25.252336050689628</v>
      </c>
      <c r="G346" s="11">
        <f t="shared" si="30"/>
        <v>-24.954104341114409</v>
      </c>
    </row>
    <row r="347" spans="5:7" x14ac:dyDescent="0.25">
      <c r="E347" s="11">
        <f t="shared" si="28"/>
        <v>-75</v>
      </c>
      <c r="F347" s="11">
        <f t="shared" si="29"/>
        <v>-24.945570103547734</v>
      </c>
      <c r="G347" s="11">
        <f t="shared" si="30"/>
        <v>-24.671322832691349</v>
      </c>
    </row>
    <row r="348" spans="5:7" x14ac:dyDescent="0.25">
      <c r="E348" s="11">
        <f t="shared" si="28"/>
        <v>-74</v>
      </c>
      <c r="F348" s="11">
        <f t="shared" si="29"/>
        <v>-24.638449493526583</v>
      </c>
      <c r="G348" s="11">
        <f t="shared" si="30"/>
        <v>-24.39098536216726</v>
      </c>
    </row>
    <row r="349" spans="5:7" x14ac:dyDescent="0.25">
      <c r="E349" s="11">
        <f t="shared" si="28"/>
        <v>-73</v>
      </c>
      <c r="F349" s="11">
        <f t="shared" si="29"/>
        <v>-24.331241831840043</v>
      </c>
      <c r="G349" s="11">
        <f t="shared" si="30"/>
        <v>-24.11291135710945</v>
      </c>
    </row>
    <row r="350" spans="5:7" x14ac:dyDescent="0.25">
      <c r="E350" s="11">
        <f t="shared" si="28"/>
        <v>-72</v>
      </c>
      <c r="F350" s="11">
        <f t="shared" si="29"/>
        <v>-24.024207046717578</v>
      </c>
      <c r="G350" s="11">
        <f t="shared" si="30"/>
        <v>-23.836920245085256</v>
      </c>
    </row>
    <row r="351" spans="5:7" x14ac:dyDescent="0.25">
      <c r="E351" s="11">
        <f t="shared" ref="E351:E414" si="31">E144</f>
        <v>-71</v>
      </c>
      <c r="F351" s="11">
        <f t="shared" ref="F351:F414" si="32">$H$217*0+E351*$I$217+E351^2*$J$217+E351^3*$K$217+E351^4*$L$217+E351^5*$M$217+E351^6*$N$217+E351^7*$O$217+E351^8*$P$217</f>
        <v>-23.717595886325061</v>
      </c>
      <c r="G351" s="11">
        <f t="shared" ref="G351:G414" si="33">F144</f>
        <v>-23.562831453661985</v>
      </c>
    </row>
    <row r="352" spans="5:7" x14ac:dyDescent="0.25">
      <c r="E352" s="11">
        <f t="shared" si="31"/>
        <v>-70</v>
      </c>
      <c r="F352" s="11">
        <f t="shared" si="32"/>
        <v>-23.411648430484014</v>
      </c>
      <c r="G352" s="11">
        <f t="shared" si="33"/>
        <v>-23.290464410406962</v>
      </c>
    </row>
    <row r="353" spans="5:7" x14ac:dyDescent="0.25">
      <c r="E353" s="11">
        <f t="shared" si="31"/>
        <v>-69</v>
      </c>
      <c r="F353" s="11">
        <f t="shared" si="32"/>
        <v>-23.106592616880544</v>
      </c>
      <c r="G353" s="11">
        <f t="shared" si="33"/>
        <v>-23.019638542887506</v>
      </c>
    </row>
    <row r="354" spans="5:7" x14ac:dyDescent="0.25">
      <c r="E354" s="11">
        <f t="shared" si="31"/>
        <v>-68</v>
      </c>
      <c r="F354" s="11">
        <f t="shared" si="32"/>
        <v>-22.802642787647009</v>
      </c>
      <c r="G354" s="11">
        <f t="shared" si="33"/>
        <v>-22.750173278670943</v>
      </c>
    </row>
    <row r="355" spans="5:7" x14ac:dyDescent="0.25">
      <c r="E355" s="11">
        <f t="shared" si="31"/>
        <v>-67</v>
      </c>
      <c r="F355" s="11">
        <f t="shared" si="32"/>
        <v>-22.499998262370219</v>
      </c>
      <c r="G355" s="11">
        <f t="shared" si="33"/>
        <v>-22.481888045324585</v>
      </c>
    </row>
    <row r="356" spans="5:7" x14ac:dyDescent="0.25">
      <c r="E356" s="11">
        <f t="shared" si="31"/>
        <v>-66</v>
      </c>
      <c r="F356" s="11">
        <f t="shared" si="32"/>
        <v>-22.198841943766823</v>
      </c>
      <c r="G356" s="11">
        <f t="shared" si="33"/>
        <v>-22.214602270415757</v>
      </c>
    </row>
    <row r="357" spans="5:7" x14ac:dyDescent="0.25">
      <c r="E357" s="11">
        <f t="shared" si="31"/>
        <v>-65</v>
      </c>
      <c r="F357" s="11">
        <f t="shared" si="32"/>
        <v>-21.899338962441707</v>
      </c>
      <c r="G357" s="11">
        <f t="shared" si="33"/>
        <v>-21.948135381511779</v>
      </c>
    </row>
    <row r="358" spans="5:7" x14ac:dyDescent="0.25">
      <c r="E358" s="11">
        <f t="shared" si="31"/>
        <v>-64</v>
      </c>
      <c r="F358" s="11">
        <f t="shared" si="32"/>
        <v>-21.601635367329806</v>
      </c>
      <c r="G358" s="11">
        <f t="shared" si="33"/>
        <v>-21.682306806179962</v>
      </c>
    </row>
    <row r="359" spans="5:7" x14ac:dyDescent="0.25">
      <c r="E359" s="11">
        <f t="shared" si="31"/>
        <v>-63</v>
      </c>
      <c r="F359" s="11">
        <f t="shared" si="32"/>
        <v>-21.305856868597036</v>
      </c>
      <c r="G359" s="11">
        <f t="shared" si="33"/>
        <v>-21.416935971987645</v>
      </c>
    </row>
    <row r="360" spans="5:7" x14ac:dyDescent="0.25">
      <c r="E360" s="11">
        <f t="shared" si="31"/>
        <v>-62</v>
      </c>
      <c r="F360" s="11">
        <f t="shared" si="32"/>
        <v>-21.012107639960703</v>
      </c>
      <c r="G360" s="11">
        <f t="shared" si="33"/>
        <v>-21.151842306502136</v>
      </c>
    </row>
    <row r="361" spans="5:7" x14ac:dyDescent="0.25">
      <c r="E361" s="11">
        <f t="shared" si="31"/>
        <v>-61</v>
      </c>
      <c r="F361" s="11">
        <f t="shared" si="32"/>
        <v>-20.720469187567193</v>
      </c>
      <c r="G361" s="11">
        <f t="shared" si="33"/>
        <v>-20.88684523729075</v>
      </c>
    </row>
    <row r="362" spans="5:7" x14ac:dyDescent="0.25">
      <c r="E362" s="11">
        <f t="shared" si="31"/>
        <v>-60</v>
      </c>
      <c r="F362" s="11">
        <f t="shared" si="32"/>
        <v>-20.430999292744975</v>
      </c>
      <c r="G362" s="11">
        <f t="shared" si="33"/>
        <v>-20.621764191920821</v>
      </c>
    </row>
    <row r="363" spans="5:7" x14ac:dyDescent="0.25">
      <c r="E363" s="11">
        <f t="shared" si="31"/>
        <v>-59</v>
      </c>
      <c r="F363" s="11">
        <f t="shared" si="32"/>
        <v>-20.143731036132685</v>
      </c>
      <c r="G363" s="11">
        <f t="shared" si="33"/>
        <v>-20.35641859795966</v>
      </c>
    </row>
    <row r="364" spans="5:7" x14ac:dyDescent="0.25">
      <c r="E364" s="11">
        <f t="shared" si="31"/>
        <v>-58</v>
      </c>
      <c r="F364" s="11">
        <f t="shared" si="32"/>
        <v>-19.858671910860075</v>
      </c>
      <c r="G364" s="11">
        <f t="shared" si="33"/>
        <v>-20.090627882974587</v>
      </c>
    </row>
    <row r="365" spans="5:7" x14ac:dyDescent="0.25">
      <c r="E365" s="11">
        <f t="shared" si="31"/>
        <v>-57</v>
      </c>
      <c r="F365" s="11">
        <f t="shared" si="32"/>
        <v>-19.57580303264146</v>
      </c>
      <c r="G365" s="11">
        <f t="shared" si="33"/>
        <v>-19.82421147453293</v>
      </c>
    </row>
    <row r="366" spans="5:7" x14ac:dyDescent="0.25">
      <c r="E366" s="11">
        <f t="shared" si="31"/>
        <v>-56</v>
      </c>
      <c r="F366" s="11">
        <f t="shared" si="32"/>
        <v>-19.295078454820427</v>
      </c>
      <c r="G366" s="11">
        <f t="shared" si="33"/>
        <v>-19.556988800201999</v>
      </c>
    </row>
    <row r="367" spans="5:7" x14ac:dyDescent="0.25">
      <c r="E367" s="11">
        <f t="shared" si="31"/>
        <v>-55</v>
      </c>
      <c r="F367" s="11">
        <f t="shared" si="32"/>
        <v>-19.016424596584997</v>
      </c>
      <c r="G367" s="11">
        <f t="shared" si="33"/>
        <v>-19.288779287549126</v>
      </c>
    </row>
    <row r="368" spans="5:7" x14ac:dyDescent="0.25">
      <c r="E368" s="11">
        <f t="shared" si="31"/>
        <v>-54</v>
      </c>
      <c r="F368" s="11">
        <f t="shared" si="32"/>
        <v>-18.739739792752655</v>
      </c>
      <c r="G368" s="11">
        <f t="shared" si="33"/>
        <v>-19.019402364141619</v>
      </c>
    </row>
    <row r="369" spans="5:7" x14ac:dyDescent="0.25">
      <c r="E369" s="11">
        <f t="shared" si="31"/>
        <v>-53</v>
      </c>
      <c r="F369" s="11">
        <f t="shared" si="32"/>
        <v>-18.464893973704331</v>
      </c>
      <c r="G369" s="11">
        <f t="shared" si="33"/>
        <v>-18.748677457546805</v>
      </c>
    </row>
    <row r="370" spans="5:7" x14ac:dyDescent="0.25">
      <c r="E370" s="11">
        <f t="shared" si="31"/>
        <v>-52</v>
      </c>
      <c r="F370" s="11">
        <f t="shared" si="32"/>
        <v>-18.191728484227141</v>
      </c>
      <c r="G370" s="11">
        <f t="shared" si="33"/>
        <v>-18.476423995332002</v>
      </c>
    </row>
    <row r="371" spans="5:7" x14ac:dyDescent="0.25">
      <c r="E371" s="11">
        <f t="shared" si="31"/>
        <v>-51</v>
      </c>
      <c r="F371" s="11">
        <f t="shared" si="32"/>
        <v>-17.920056050205552</v>
      </c>
      <c r="G371" s="11">
        <f t="shared" si="33"/>
        <v>-18.202461405064533</v>
      </c>
    </row>
    <row r="372" spans="5:7" x14ac:dyDescent="0.25">
      <c r="E372" s="11">
        <f t="shared" si="31"/>
        <v>-50</v>
      </c>
      <c r="F372" s="11">
        <f t="shared" si="32"/>
        <v>-17.649660902280448</v>
      </c>
      <c r="G372" s="11">
        <f t="shared" si="33"/>
        <v>-17.926609114311717</v>
      </c>
    </row>
    <row r="373" spans="5:7" x14ac:dyDescent="0.25">
      <c r="E373" s="11">
        <f t="shared" si="31"/>
        <v>-49</v>
      </c>
      <c r="F373" s="11">
        <f t="shared" si="32"/>
        <v>-17.380299065776072</v>
      </c>
      <c r="G373" s="11">
        <f t="shared" si="33"/>
        <v>-17.648686550640875</v>
      </c>
    </row>
    <row r="374" spans="5:7" x14ac:dyDescent="0.25">
      <c r="E374" s="11">
        <f t="shared" si="31"/>
        <v>-48</v>
      </c>
      <c r="F374" s="11">
        <f t="shared" si="32"/>
        <v>-17.111698826374926</v>
      </c>
      <c r="G374" s="11">
        <f t="shared" si="33"/>
        <v>-17.368513141619324</v>
      </c>
    </row>
    <row r="375" spans="5:7" x14ac:dyDescent="0.25">
      <c r="E375" s="11">
        <f t="shared" si="31"/>
        <v>-47</v>
      </c>
      <c r="F375" s="11">
        <f t="shared" si="32"/>
        <v>-16.843561381200661</v>
      </c>
      <c r="G375" s="11">
        <f t="shared" si="33"/>
        <v>-17.085908314814386</v>
      </c>
    </row>
    <row r="376" spans="5:7" x14ac:dyDescent="0.25">
      <c r="E376" s="11">
        <f t="shared" si="31"/>
        <v>-46</v>
      </c>
      <c r="F376" s="11">
        <f t="shared" si="32"/>
        <v>-16.57556168514915</v>
      </c>
      <c r="G376" s="11">
        <f t="shared" si="33"/>
        <v>-16.800691497793384</v>
      </c>
    </row>
    <row r="377" spans="5:7" x14ac:dyDescent="0.25">
      <c r="E377" s="11">
        <f t="shared" si="31"/>
        <v>-45</v>
      </c>
      <c r="F377" s="11">
        <f t="shared" si="32"/>
        <v>-16.307349502487966</v>
      </c>
      <c r="G377" s="11">
        <f t="shared" si="33"/>
        <v>-16.512682118123635</v>
      </c>
    </row>
    <row r="378" spans="5:7" x14ac:dyDescent="0.25">
      <c r="E378" s="11">
        <f t="shared" si="31"/>
        <v>-44</v>
      </c>
      <c r="F378" s="11">
        <f t="shared" si="32"/>
        <v>-16.038550673924941</v>
      </c>
      <c r="G378" s="11">
        <f t="shared" si="33"/>
        <v>-16.221699603372457</v>
      </c>
    </row>
    <row r="379" spans="5:7" x14ac:dyDescent="0.25">
      <c r="E379" s="11">
        <f t="shared" si="31"/>
        <v>-43</v>
      </c>
      <c r="F379" s="11">
        <f t="shared" si="32"/>
        <v>-15.768768609526251</v>
      </c>
      <c r="G379" s="11">
        <f t="shared" si="33"/>
        <v>-15.927563381107175</v>
      </c>
    </row>
    <row r="380" spans="5:7" x14ac:dyDescent="0.25">
      <c r="E380" s="11">
        <f t="shared" si="31"/>
        <v>-42</v>
      </c>
      <c r="F380" s="11">
        <f t="shared" si="32"/>
        <v>-15.497586018044519</v>
      </c>
      <c r="G380" s="11">
        <f t="shared" si="33"/>
        <v>-15.630092878895105</v>
      </c>
    </row>
    <row r="381" spans="5:7" x14ac:dyDescent="0.25">
      <c r="E381" s="11">
        <f t="shared" si="31"/>
        <v>-41</v>
      </c>
      <c r="F381" s="11">
        <f t="shared" si="32"/>
        <v>-15.22456688339804</v>
      </c>
      <c r="G381" s="11">
        <f t="shared" si="33"/>
        <v>-15.329107524303573</v>
      </c>
    </row>
    <row r="382" spans="5:7" x14ac:dyDescent="0.25">
      <c r="E382" s="11">
        <f t="shared" si="31"/>
        <v>-40</v>
      </c>
      <c r="F382" s="11">
        <f t="shared" si="32"/>
        <v>-14.949258699221945</v>
      </c>
      <c r="G382" s="11">
        <f t="shared" si="33"/>
        <v>-15.024426744899896</v>
      </c>
    </row>
    <row r="383" spans="5:7" x14ac:dyDescent="0.25">
      <c r="E383" s="11">
        <f t="shared" si="31"/>
        <v>-39</v>
      </c>
      <c r="F383" s="11">
        <f t="shared" si="32"/>
        <v>-14.671194972592073</v>
      </c>
      <c r="G383" s="11">
        <f t="shared" si="33"/>
        <v>-14.715869968251393</v>
      </c>
    </row>
    <row r="384" spans="5:7" x14ac:dyDescent="0.25">
      <c r="E384" s="11">
        <f t="shared" si="31"/>
        <v>-38</v>
      </c>
      <c r="F384" s="11">
        <f t="shared" si="32"/>
        <v>-14.389898008203058</v>
      </c>
      <c r="G384" s="11">
        <f t="shared" si="33"/>
        <v>-14.403256621925387</v>
      </c>
    </row>
    <row r="385" spans="5:7" x14ac:dyDescent="0.25">
      <c r="E385" s="11">
        <f t="shared" si="31"/>
        <v>-37</v>
      </c>
      <c r="F385" s="11">
        <f t="shared" si="32"/>
        <v>-14.104881984461617</v>
      </c>
      <c r="G385" s="11">
        <f t="shared" si="33"/>
        <v>-14.086406133489197</v>
      </c>
    </row>
    <row r="386" spans="5:7" x14ac:dyDescent="0.25">
      <c r="E386" s="11">
        <f t="shared" si="31"/>
        <v>-36</v>
      </c>
      <c r="F386" s="11">
        <f t="shared" si="32"/>
        <v>-13.81565633313663</v>
      </c>
      <c r="G386" s="11">
        <f t="shared" si="33"/>
        <v>-13.765137930510141</v>
      </c>
    </row>
    <row r="387" spans="5:7" x14ac:dyDescent="0.25">
      <c r="E387" s="11">
        <f t="shared" si="31"/>
        <v>-35</v>
      </c>
      <c r="F387" s="11">
        <f t="shared" si="32"/>
        <v>-13.521729434387188</v>
      </c>
      <c r="G387" s="11">
        <f t="shared" si="33"/>
        <v>-13.439271440555542</v>
      </c>
    </row>
    <row r="388" spans="5:7" x14ac:dyDescent="0.25">
      <c r="E388" s="11">
        <f t="shared" si="31"/>
        <v>-34</v>
      </c>
      <c r="F388" s="11">
        <f t="shared" si="32"/>
        <v>-13.222612639170611</v>
      </c>
      <c r="G388" s="11">
        <f t="shared" si="33"/>
        <v>-13.108678943071537</v>
      </c>
    </row>
    <row r="389" spans="5:7" x14ac:dyDescent="0.25">
      <c r="E389" s="11">
        <f t="shared" si="31"/>
        <v>-33</v>
      </c>
      <c r="F389" s="11">
        <f t="shared" si="32"/>
        <v>-12.917824631211795</v>
      </c>
      <c r="G389" s="11">
        <f t="shared" si="33"/>
        <v>-12.773444125019545</v>
      </c>
    </row>
    <row r="390" spans="5:7" x14ac:dyDescent="0.25">
      <c r="E390" s="11">
        <f t="shared" si="31"/>
        <v>-32</v>
      </c>
      <c r="F390" s="11">
        <f t="shared" si="32"/>
        <v>-12.606896140895916</v>
      </c>
      <c r="G390" s="11">
        <f t="shared" si="33"/>
        <v>-12.4337035252398</v>
      </c>
    </row>
    <row r="391" spans="5:7" x14ac:dyDescent="0.25">
      <c r="E391" s="11">
        <f t="shared" si="31"/>
        <v>-31</v>
      </c>
      <c r="F391" s="11">
        <f t="shared" si="32"/>
        <v>-12.289375023626462</v>
      </c>
      <c r="G391" s="11">
        <f t="shared" si="33"/>
        <v>-12.089593682572534</v>
      </c>
    </row>
    <row r="392" spans="5:7" x14ac:dyDescent="0.25">
      <c r="E392" s="11">
        <f t="shared" si="31"/>
        <v>-30</v>
      </c>
      <c r="F392" s="11">
        <f t="shared" si="32"/>
        <v>-11.964831715370508</v>
      </c>
      <c r="G392" s="11">
        <f t="shared" si="33"/>
        <v>-11.741251135857986</v>
      </c>
    </row>
    <row r="393" spans="5:7" x14ac:dyDescent="0.25">
      <c r="E393" s="11">
        <f t="shared" si="31"/>
        <v>-29</v>
      </c>
      <c r="F393" s="11">
        <f t="shared" si="32"/>
        <v>-11.632865078293548</v>
      </c>
      <c r="G393" s="11">
        <f t="shared" si="33"/>
        <v>-11.388812423936388</v>
      </c>
    </row>
    <row r="394" spans="5:7" x14ac:dyDescent="0.25">
      <c r="E394" s="11">
        <f t="shared" si="31"/>
        <v>-28</v>
      </c>
      <c r="F394" s="11">
        <f t="shared" si="32"/>
        <v>-11.293108649566182</v>
      </c>
      <c r="G394" s="11">
        <f t="shared" si="33"/>
        <v>-11.032414085647977</v>
      </c>
    </row>
    <row r="395" spans="5:7" x14ac:dyDescent="0.25">
      <c r="E395" s="11">
        <f t="shared" si="31"/>
        <v>-27</v>
      </c>
      <c r="F395" s="11">
        <f t="shared" si="32"/>
        <v>-10.945237306604932</v>
      </c>
      <c r="G395" s="11">
        <f t="shared" si="33"/>
        <v>-10.672192659832989</v>
      </c>
    </row>
    <row r="396" spans="5:7" x14ac:dyDescent="0.25">
      <c r="E396" s="11">
        <f t="shared" si="31"/>
        <v>-26</v>
      </c>
      <c r="F396" s="11">
        <f t="shared" si="32"/>
        <v>-10.588974362189953</v>
      </c>
      <c r="G396" s="11">
        <f t="shared" si="33"/>
        <v>-10.308284685331655</v>
      </c>
    </row>
    <row r="397" spans="5:7" x14ac:dyDescent="0.25">
      <c r="E397" s="11">
        <f t="shared" si="31"/>
        <v>-25</v>
      </c>
      <c r="F397" s="11">
        <f t="shared" si="32"/>
        <v>-10.224099103082045</v>
      </c>
      <c r="G397" s="11">
        <f t="shared" si="33"/>
        <v>-9.9408267009842124</v>
      </c>
    </row>
    <row r="398" spans="5:7" x14ac:dyDescent="0.25">
      <c r="E398" s="11">
        <f t="shared" si="31"/>
        <v>-24</v>
      </c>
      <c r="F398" s="11">
        <f t="shared" si="32"/>
        <v>-9.8504547859419098</v>
      </c>
      <c r="G398" s="11">
        <f t="shared" si="33"/>
        <v>-9.5699552456308972</v>
      </c>
    </row>
    <row r="399" spans="5:7" x14ac:dyDescent="0.25">
      <c r="E399" s="11">
        <f t="shared" si="31"/>
        <v>-23</v>
      </c>
      <c r="F399" s="11">
        <f t="shared" si="32"/>
        <v>-9.4679571045344311</v>
      </c>
      <c r="G399" s="11">
        <f t="shared" si="33"/>
        <v>-9.1958068581119399</v>
      </c>
    </row>
    <row r="400" spans="5:7" x14ac:dyDescent="0.25">
      <c r="E400" s="11">
        <f t="shared" si="31"/>
        <v>-22</v>
      </c>
      <c r="F400" s="11">
        <f t="shared" si="32"/>
        <v>-9.0766031423809981</v>
      </c>
      <c r="G400" s="11">
        <f t="shared" si="33"/>
        <v>-8.81851807726758</v>
      </c>
    </row>
    <row r="401" spans="5:7" x14ac:dyDescent="0.25">
      <c r="E401" s="11">
        <f t="shared" si="31"/>
        <v>-21</v>
      </c>
      <c r="F401" s="11">
        <f t="shared" si="32"/>
        <v>-8.6764808252030221</v>
      </c>
      <c r="G401" s="11">
        <f t="shared" si="33"/>
        <v>-8.4382254419380516</v>
      </c>
    </row>
    <row r="402" spans="5:7" x14ac:dyDescent="0.25">
      <c r="E402" s="11">
        <f t="shared" si="31"/>
        <v>-20</v>
      </c>
      <c r="F402" s="11">
        <f t="shared" si="32"/>
        <v>-8.2677788876798299</v>
      </c>
      <c r="G402" s="11">
        <f t="shared" si="33"/>
        <v>-8.0550654909635906</v>
      </c>
    </row>
    <row r="403" spans="5:7" x14ac:dyDescent="0.25">
      <c r="E403" s="11">
        <f t="shared" si="31"/>
        <v>-19</v>
      </c>
      <c r="F403" s="11">
        <f t="shared" si="32"/>
        <v>-7.8507973692242903</v>
      </c>
      <c r="G403" s="11">
        <f t="shared" si="33"/>
        <v>-7.6691747631844276</v>
      </c>
    </row>
    <row r="404" spans="5:7" x14ac:dyDescent="0.25">
      <c r="E404" s="11">
        <f t="shared" si="31"/>
        <v>-18</v>
      </c>
      <c r="F404" s="11">
        <f t="shared" si="32"/>
        <v>-7.425958653659622</v>
      </c>
      <c r="G404" s="11">
        <f t="shared" si="33"/>
        <v>-7.280689797440802</v>
      </c>
    </row>
    <row r="405" spans="5:7" x14ac:dyDescent="0.25">
      <c r="E405" s="11">
        <f t="shared" si="31"/>
        <v>-17</v>
      </c>
      <c r="F405" s="11">
        <f t="shared" si="32"/>
        <v>-6.9938190678610139</v>
      </c>
      <c r="G405" s="11">
        <f t="shared" si="33"/>
        <v>-6.8897471325729462</v>
      </c>
    </row>
    <row r="406" spans="5:7" x14ac:dyDescent="0.25">
      <c r="E406" s="11">
        <f t="shared" si="31"/>
        <v>-16</v>
      </c>
      <c r="F406" s="11">
        <f t="shared" si="32"/>
        <v>-6.5550810546056679</v>
      </c>
      <c r="G406" s="11">
        <f t="shared" si="33"/>
        <v>-6.4964833074210961</v>
      </c>
    </row>
    <row r="407" spans="5:7" x14ac:dyDescent="0.25">
      <c r="E407" s="11">
        <f t="shared" si="31"/>
        <v>-15</v>
      </c>
      <c r="F407" s="11">
        <f t="shared" si="32"/>
        <v>-6.1106059350551476</v>
      </c>
      <c r="G407" s="11">
        <f t="shared" si="33"/>
        <v>-6.1010348608254867</v>
      </c>
    </row>
    <row r="408" spans="5:7" x14ac:dyDescent="0.25">
      <c r="E408" s="11">
        <f t="shared" si="31"/>
        <v>-14</v>
      </c>
      <c r="F408" s="11">
        <f t="shared" si="32"/>
        <v>-5.6614272764738862</v>
      </c>
      <c r="G408" s="11">
        <f t="shared" si="33"/>
        <v>-5.703538331626353</v>
      </c>
    </row>
    <row r="409" spans="5:7" x14ac:dyDescent="0.25">
      <c r="E409" s="11">
        <f t="shared" si="31"/>
        <v>-13</v>
      </c>
      <c r="F409" s="11">
        <f t="shared" si="32"/>
        <v>-5.2087648809679816</v>
      </c>
      <c r="G409" s="11">
        <f t="shared" si="33"/>
        <v>-5.304130258663931</v>
      </c>
    </row>
    <row r="410" spans="5:7" x14ac:dyDescent="0.25">
      <c r="E410" s="11">
        <f t="shared" si="31"/>
        <v>-12</v>
      </c>
      <c r="F410" s="11">
        <f t="shared" si="32"/>
        <v>-4.7540394112083391</v>
      </c>
      <c r="G410" s="11">
        <f t="shared" si="33"/>
        <v>-4.9029471807784528</v>
      </c>
    </row>
    <row r="411" spans="5:7" x14ac:dyDescent="0.25">
      <c r="E411" s="11">
        <f t="shared" si="31"/>
        <v>-11</v>
      </c>
      <c r="F411" s="11">
        <f t="shared" si="32"/>
        <v>-4.2988876692825233</v>
      </c>
      <c r="G411" s="11">
        <f t="shared" si="33"/>
        <v>-4.5001256368101554</v>
      </c>
    </row>
    <row r="412" spans="5:7" x14ac:dyDescent="0.25">
      <c r="E412" s="11">
        <f t="shared" si="31"/>
        <v>-10</v>
      </c>
      <c r="F412" s="11">
        <f t="shared" si="32"/>
        <v>-3.8451785449996279</v>
      </c>
      <c r="G412" s="11">
        <f t="shared" si="33"/>
        <v>-4.0958021655992747</v>
      </c>
    </row>
    <row r="413" spans="5:7" x14ac:dyDescent="0.25">
      <c r="E413" s="11">
        <f t="shared" si="31"/>
        <v>-9</v>
      </c>
      <c r="F413" s="11">
        <f t="shared" si="32"/>
        <v>-3.3950296501527419</v>
      </c>
      <c r="G413" s="11">
        <f t="shared" si="33"/>
        <v>-3.6901133059860434</v>
      </c>
    </row>
    <row r="414" spans="5:7" x14ac:dyDescent="0.25">
      <c r="E414" s="11">
        <f t="shared" si="31"/>
        <v>-8</v>
      </c>
      <c r="F414" s="11">
        <f t="shared" si="32"/>
        <v>-2.9508246554235726</v>
      </c>
      <c r="G414" s="11">
        <f t="shared" si="33"/>
        <v>-3.2831955968106974</v>
      </c>
    </row>
    <row r="415" spans="5:7" x14ac:dyDescent="0.25">
      <c r="E415" s="11">
        <f t="shared" ref="E415:E422" si="34">E208</f>
        <v>-7</v>
      </c>
      <c r="F415" s="11">
        <f t="shared" ref="F415:F422" si="35">$H$217*0+E415*$I$217+E415^2*$J$217+E415^3*$K$217+E415^4*$L$217+E415^5*$M$217+E415^6*$N$217+E415^7*$O$217+E415^8*$P$217</f>
        <v>-2.5152313467940033</v>
      </c>
      <c r="G415" s="11">
        <f t="shared" ref="G415:G422" si="36">F208</f>
        <v>-2.8751855769134718</v>
      </c>
    </row>
    <row r="416" spans="5:7" x14ac:dyDescent="0.25">
      <c r="E416" s="11">
        <f t="shared" si="34"/>
        <v>-6</v>
      </c>
      <c r="F416" s="11">
        <f t="shared" si="35"/>
        <v>-2.0912204185094185</v>
      </c>
      <c r="G416" s="11">
        <f t="shared" si="36"/>
        <v>-2.4662197851346019</v>
      </c>
    </row>
    <row r="417" spans="5:7" x14ac:dyDescent="0.25">
      <c r="E417" s="11">
        <f t="shared" si="34"/>
        <v>-5</v>
      </c>
      <c r="F417" s="11">
        <f t="shared" si="35"/>
        <v>-1.6820850198187747</v>
      </c>
      <c r="G417" s="11">
        <f t="shared" si="36"/>
        <v>-2.0564347603143225</v>
      </c>
    </row>
    <row r="418" spans="5:7" x14ac:dyDescent="0.25">
      <c r="E418" s="11">
        <f t="shared" si="34"/>
        <v>-4</v>
      </c>
      <c r="F418" s="11">
        <f t="shared" si="35"/>
        <v>-1.2914610728964953</v>
      </c>
      <c r="G418" s="11">
        <f t="shared" si="36"/>
        <v>-1.6459670412928675</v>
      </c>
    </row>
    <row r="419" spans="5:7" x14ac:dyDescent="0.25">
      <c r="E419" s="11">
        <f t="shared" si="34"/>
        <v>-3</v>
      </c>
      <c r="F419" s="11">
        <f t="shared" si="35"/>
        <v>-0.92334837953139692</v>
      </c>
      <c r="G419" s="11">
        <f t="shared" si="36"/>
        <v>-1.234953166910473</v>
      </c>
    </row>
    <row r="420" spans="5:7" x14ac:dyDescent="0.25">
      <c r="E420" s="11">
        <f t="shared" si="34"/>
        <v>-2</v>
      </c>
      <c r="F420" s="11">
        <f t="shared" si="35"/>
        <v>-0.58213253434796275</v>
      </c>
      <c r="G420" s="11">
        <f t="shared" si="36"/>
        <v>-0.82352967600737359</v>
      </c>
    </row>
    <row r="421" spans="5:7" x14ac:dyDescent="0.25">
      <c r="E421" s="11">
        <f t="shared" si="34"/>
        <v>-1</v>
      </c>
      <c r="F421" s="11">
        <f t="shared" si="35"/>
        <v>-0.27260766250539514</v>
      </c>
      <c r="G421" s="11">
        <f t="shared" si="36"/>
        <v>-0.41183310742380425</v>
      </c>
    </row>
    <row r="422" spans="5:7" x14ac:dyDescent="0.25">
      <c r="E422" s="11">
        <f t="shared" si="34"/>
        <v>0</v>
      </c>
      <c r="F422" s="11">
        <f t="shared" si="35"/>
        <v>0</v>
      </c>
      <c r="G422" s="11">
        <f t="shared" si="36"/>
        <v>0</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O3" sqref="O3"/>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116</v>
      </c>
      <c r="N1" s="1" t="s">
        <v>39</v>
      </c>
      <c r="O1" s="3" t="s">
        <v>115</v>
      </c>
      <c r="P1" s="28" t="s">
        <v>116</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-1.508E-5</v>
      </c>
      <c r="C3" s="2">
        <v>1.3990000000000001E-4</v>
      </c>
      <c r="D3" s="2">
        <v>-4.2339999999999999E-4</v>
      </c>
      <c r="E3" s="2">
        <v>0</v>
      </c>
      <c r="F3" s="2">
        <v>0</v>
      </c>
      <c r="G3" s="2">
        <v>0</v>
      </c>
      <c r="H3" s="2">
        <v>3.2312172000000002E-5</v>
      </c>
      <c r="I3" s="2">
        <v>1.2647863999999999E-5</v>
      </c>
      <c r="J3" s="2">
        <v>-9.1046880999999999E-5</v>
      </c>
      <c r="K3" s="3"/>
      <c r="L3" s="3">
        <f>-B3/D3</f>
        <v>-3.5616438356164383E-2</v>
      </c>
      <c r="M3" s="3"/>
      <c r="N3" s="2">
        <f>IF('Modell einstellen'!$B$1="Voll",H3/0.35,H3/0.35*2)</f>
        <v>1.8464098285714289E-4</v>
      </c>
      <c r="O3" s="2">
        <f>IF('Modell einstellen'!$B$1="Voll",J3/0.35,J3/0.35*2)</f>
        <v>-5.2026789142857141E-4</v>
      </c>
      <c r="P3" s="3">
        <f>-N3/O3</f>
        <v>0.35489597935815076</v>
      </c>
      <c r="Q3" s="3"/>
      <c r="R3" s="3"/>
      <c r="S3" s="3"/>
      <c r="T3" s="3"/>
      <c r="U3" s="3"/>
      <c r="V3" s="3"/>
      <c r="W3" s="3"/>
    </row>
    <row r="4" spans="1:23" x14ac:dyDescent="0.25">
      <c r="A4" s="2">
        <v>1E-14</v>
      </c>
      <c r="B4" s="2">
        <v>-1.509E-5</v>
      </c>
      <c r="C4" s="2">
        <v>1.3990000000000001E-4</v>
      </c>
      <c r="D4" s="2">
        <v>-4.2339999999999999E-4</v>
      </c>
      <c r="E4" s="2">
        <v>0</v>
      </c>
      <c r="F4" s="2">
        <v>0</v>
      </c>
      <c r="G4" s="2">
        <v>0</v>
      </c>
      <c r="H4" s="2">
        <v>3.2312252999999997E-5</v>
      </c>
      <c r="I4" s="2">
        <v>1.2648872E-5</v>
      </c>
      <c r="J4" s="2">
        <v>-9.1045558999999996E-5</v>
      </c>
      <c r="K4" s="3"/>
      <c r="L4" s="3">
        <f t="shared" ref="L4:L33" si="0">-B4/D4</f>
        <v>-3.5640056683986773E-2</v>
      </c>
      <c r="M4" s="3"/>
      <c r="N4" s="2">
        <f>IF('Modell einstellen'!$B$1="Voll",H4/0.35,H4/0.35*2)</f>
        <v>1.8464144571428572E-4</v>
      </c>
      <c r="O4" s="2">
        <f>IF('Modell einstellen'!$B$1="Voll",J4/0.35,J4/0.35*2)</f>
        <v>-5.2026033714285718E-4</v>
      </c>
      <c r="P4" s="3">
        <f t="shared" ref="P4:P33" si="1">-N4/O4</f>
        <v>0.35490202218430006</v>
      </c>
      <c r="Q4" s="3"/>
      <c r="R4" s="3"/>
      <c r="S4" s="3"/>
      <c r="T4" s="3"/>
      <c r="U4" s="3"/>
      <c r="V4" s="3"/>
      <c r="W4" s="3"/>
    </row>
    <row r="5" spans="1:23" x14ac:dyDescent="0.25">
      <c r="A5" s="2">
        <v>1E-13</v>
      </c>
      <c r="B5" s="2">
        <v>-1.508E-5</v>
      </c>
      <c r="C5" s="2">
        <v>1.3990000000000001E-4</v>
      </c>
      <c r="D5" s="2">
        <v>-4.2339999999999999E-4</v>
      </c>
      <c r="E5" s="2">
        <v>0</v>
      </c>
      <c r="F5" s="2">
        <v>0</v>
      </c>
      <c r="G5" s="2">
        <v>0</v>
      </c>
      <c r="H5" s="2">
        <v>3.2312425000000001E-5</v>
      </c>
      <c r="I5" s="2">
        <v>1.2649034999999999E-5</v>
      </c>
      <c r="J5" s="2">
        <v>-9.1046032999999999E-5</v>
      </c>
      <c r="K5" s="3"/>
      <c r="L5" s="3">
        <f t="shared" si="0"/>
        <v>-3.5616438356164383E-2</v>
      </c>
      <c r="M5" s="3"/>
      <c r="N5" s="2">
        <f>IF('Modell einstellen'!$B$1="Voll",H5/0.35,H5/0.35*2)</f>
        <v>1.8464242857142859E-4</v>
      </c>
      <c r="O5" s="2">
        <f>IF('Modell einstellen'!$B$1="Voll",J5/0.35,J5/0.35*2)</f>
        <v>-5.2026304571428574E-4</v>
      </c>
      <c r="P5" s="3">
        <f t="shared" si="1"/>
        <v>0.3549020636626749</v>
      </c>
      <c r="Q5" s="3"/>
      <c r="R5" s="3"/>
      <c r="S5" s="3"/>
      <c r="T5" s="3"/>
      <c r="U5" s="3"/>
      <c r="V5" s="3"/>
      <c r="W5" s="3"/>
    </row>
    <row r="6" spans="1:23" x14ac:dyDescent="0.25">
      <c r="A6" s="2">
        <v>9.9999999999999998E-13</v>
      </c>
      <c r="B6" s="2">
        <v>-1.508E-5</v>
      </c>
      <c r="C6" s="2">
        <v>1.3990000000000001E-4</v>
      </c>
      <c r="D6" s="2">
        <v>-4.2339999999999999E-4</v>
      </c>
      <c r="E6" s="2">
        <v>0</v>
      </c>
      <c r="F6" s="2">
        <v>0</v>
      </c>
      <c r="G6" s="2">
        <v>0</v>
      </c>
      <c r="H6" s="2">
        <v>3.2312469000000001E-5</v>
      </c>
      <c r="I6" s="2">
        <v>1.2649079999999999E-5</v>
      </c>
      <c r="J6" s="2">
        <v>-9.1046158999999997E-5</v>
      </c>
      <c r="K6" s="3"/>
      <c r="L6" s="3">
        <f t="shared" si="0"/>
        <v>-3.5616438356164383E-2</v>
      </c>
      <c r="M6" s="3"/>
      <c r="N6" s="2">
        <f>IF('Modell einstellen'!$B$1="Voll",H6/0.35,H6/0.35*2)</f>
        <v>1.8464268000000002E-4</v>
      </c>
      <c r="O6" s="2">
        <f>IF('Modell einstellen'!$B$1="Voll",J6/0.35,J6/0.35*2)</f>
        <v>-5.2026376571428568E-4</v>
      </c>
      <c r="P6" s="3">
        <f t="shared" si="1"/>
        <v>0.35490205578029937</v>
      </c>
      <c r="Q6" s="3"/>
      <c r="R6" s="3"/>
      <c r="S6" s="3"/>
      <c r="T6" s="3"/>
      <c r="U6" s="3"/>
      <c r="V6" s="3"/>
      <c r="W6" s="3"/>
    </row>
    <row r="7" spans="1:23" x14ac:dyDescent="0.25">
      <c r="A7" s="2">
        <v>9.9999999999999994E-12</v>
      </c>
      <c r="B7" s="2">
        <v>-1.508E-5</v>
      </c>
      <c r="C7" s="2">
        <v>1.3990000000000001E-4</v>
      </c>
      <c r="D7" s="2">
        <v>-4.2339999999999999E-4</v>
      </c>
      <c r="E7" s="2">
        <v>0</v>
      </c>
      <c r="F7" s="2">
        <v>0</v>
      </c>
      <c r="G7" s="2">
        <v>0</v>
      </c>
      <c r="H7" s="2">
        <v>3.2312481000000001E-5</v>
      </c>
      <c r="I7" s="2">
        <v>1.2649094000000001E-5</v>
      </c>
      <c r="J7" s="2">
        <v>-9.1046195999999998E-5</v>
      </c>
      <c r="K7" s="3"/>
      <c r="L7" s="3">
        <f t="shared" si="0"/>
        <v>-3.5616438356164383E-2</v>
      </c>
      <c r="M7" s="3"/>
      <c r="N7" s="2">
        <f>IF('Modell einstellen'!$B$1="Voll",H7/0.35,H7/0.35*2)</f>
        <v>1.8464274857142858E-4</v>
      </c>
      <c r="O7" s="2">
        <f>IF('Modell einstellen'!$B$1="Voll",J7/0.35,J7/0.35*2)</f>
        <v>-5.2026397714285716E-4</v>
      </c>
      <c r="P7" s="3">
        <f t="shared" si="1"/>
        <v>0.35490204335390357</v>
      </c>
      <c r="Q7" s="3"/>
      <c r="R7" s="3"/>
      <c r="S7" s="3"/>
      <c r="T7" s="3"/>
      <c r="U7" s="3"/>
      <c r="V7" s="3"/>
      <c r="W7" s="3"/>
    </row>
    <row r="8" spans="1:23" x14ac:dyDescent="0.25">
      <c r="A8" s="2">
        <v>1E-10</v>
      </c>
      <c r="B8" s="2">
        <v>-1.508E-5</v>
      </c>
      <c r="C8" s="2">
        <v>1.3990000000000001E-4</v>
      </c>
      <c r="D8" s="2">
        <v>-4.2339999999999999E-4</v>
      </c>
      <c r="E8" s="2">
        <v>0</v>
      </c>
      <c r="F8" s="2">
        <v>0</v>
      </c>
      <c r="G8" s="2">
        <v>0</v>
      </c>
      <c r="H8" s="2">
        <v>3.2312484999999998E-5</v>
      </c>
      <c r="I8" s="2">
        <v>1.2649098E-5</v>
      </c>
      <c r="J8" s="2">
        <v>-9.1046206999999995E-5</v>
      </c>
      <c r="K8" s="3"/>
      <c r="L8" s="3">
        <f t="shared" si="0"/>
        <v>-3.5616438356164383E-2</v>
      </c>
      <c r="M8" s="3"/>
      <c r="N8" s="2">
        <f>IF('Modell einstellen'!$B$1="Voll",H8/0.35,H8/0.35*2)</f>
        <v>1.8464277142857144E-4</v>
      </c>
      <c r="O8" s="2">
        <f>IF('Modell einstellen'!$B$1="Voll",J8/0.35,J8/0.35*2)</f>
        <v>-5.2026404000000005E-4</v>
      </c>
      <c r="P8" s="3">
        <f t="shared" si="1"/>
        <v>0.35490204440916467</v>
      </c>
      <c r="Q8" s="3"/>
      <c r="R8" s="3"/>
      <c r="S8" s="3"/>
      <c r="T8" s="3"/>
      <c r="U8" s="3"/>
      <c r="V8" s="3"/>
      <c r="W8" s="3"/>
    </row>
    <row r="9" spans="1:23" x14ac:dyDescent="0.25">
      <c r="A9" s="2">
        <v>1.0000000000000001E-9</v>
      </c>
      <c r="B9" s="2">
        <v>-1.508E-5</v>
      </c>
      <c r="C9" s="2">
        <v>1.3990000000000001E-4</v>
      </c>
      <c r="D9" s="2">
        <v>-4.2339999999999999E-4</v>
      </c>
      <c r="E9" s="2">
        <v>0</v>
      </c>
      <c r="F9" s="2">
        <v>0</v>
      </c>
      <c r="G9" s="2">
        <v>0</v>
      </c>
      <c r="H9" s="2">
        <v>3.2312486000000001E-5</v>
      </c>
      <c r="I9" s="2">
        <v>1.2649098999999999E-5</v>
      </c>
      <c r="J9" s="2">
        <v>-9.1046211000000006E-5</v>
      </c>
      <c r="K9" s="3"/>
      <c r="L9" s="3">
        <f t="shared" si="0"/>
        <v>-3.5616438356164383E-2</v>
      </c>
      <c r="M9" s="3"/>
      <c r="N9" s="2">
        <f>IF('Modell einstellen'!$B$1="Voll",H9/0.35,H9/0.35*2)</f>
        <v>1.8464277714285717E-4</v>
      </c>
      <c r="O9" s="2">
        <f>IF('Modell einstellen'!$B$1="Voll",J9/0.35,J9/0.35*2)</f>
        <v>-5.2026406285714288E-4</v>
      </c>
      <c r="P9" s="3">
        <f t="shared" si="1"/>
        <v>0.35490203980042623</v>
      </c>
      <c r="Q9" s="3"/>
      <c r="R9" s="3"/>
      <c r="S9" s="3"/>
      <c r="T9" s="3"/>
      <c r="U9" s="3"/>
      <c r="V9" s="3"/>
      <c r="W9" s="3"/>
    </row>
    <row r="10" spans="1:23" x14ac:dyDescent="0.25">
      <c r="A10" s="2">
        <v>1E-8</v>
      </c>
      <c r="B10" s="2">
        <v>-1.508E-5</v>
      </c>
      <c r="C10" s="2">
        <v>1.3990000000000001E-4</v>
      </c>
      <c r="D10" s="2">
        <v>-4.2339999999999999E-4</v>
      </c>
      <c r="E10" s="2">
        <v>0</v>
      </c>
      <c r="F10" s="2">
        <v>0</v>
      </c>
      <c r="G10" s="2">
        <v>0</v>
      </c>
      <c r="H10" s="2">
        <v>3.2312486999999997E-5</v>
      </c>
      <c r="I10" s="2">
        <v>1.2649100000000001E-5</v>
      </c>
      <c r="J10" s="2">
        <v>-9.1046212999999998E-5</v>
      </c>
      <c r="K10" s="3"/>
      <c r="L10" s="3">
        <f t="shared" si="0"/>
        <v>-3.5616438356164383E-2</v>
      </c>
      <c r="M10" s="3"/>
      <c r="N10" s="2">
        <f>IF('Modell einstellen'!$B$1="Voll",H10/0.35,H10/0.35*2)</f>
        <v>1.8464278285714285E-4</v>
      </c>
      <c r="O10" s="2">
        <f>IF('Modell einstellen'!$B$1="Voll",J10/0.35,J10/0.35*2)</f>
        <v>-5.2026407428571429E-4</v>
      </c>
      <c r="P10" s="3">
        <f t="shared" si="1"/>
        <v>0.35490204298777367</v>
      </c>
      <c r="Q10" s="3"/>
      <c r="R10" s="3"/>
      <c r="S10" s="3"/>
      <c r="T10" s="3"/>
      <c r="U10" s="3"/>
      <c r="V10" s="3"/>
      <c r="W10" s="3"/>
    </row>
    <row r="11" spans="1:23" x14ac:dyDescent="0.25">
      <c r="A11" s="2">
        <v>9.9999999999999995E-8</v>
      </c>
      <c r="B11" s="2">
        <v>-1.508E-5</v>
      </c>
      <c r="C11" s="2">
        <v>1.3990000000000001E-4</v>
      </c>
      <c r="D11" s="2">
        <v>-4.2339999999999999E-4</v>
      </c>
      <c r="E11" s="2">
        <v>0</v>
      </c>
      <c r="F11" s="2">
        <v>0</v>
      </c>
      <c r="G11" s="2">
        <v>0</v>
      </c>
      <c r="H11" s="2">
        <v>3.2312488E-5</v>
      </c>
      <c r="I11" s="2">
        <v>1.2649100000000001E-5</v>
      </c>
      <c r="J11" s="2">
        <v>-9.1046215000000004E-5</v>
      </c>
      <c r="K11" s="3"/>
      <c r="L11" s="3">
        <f t="shared" si="0"/>
        <v>-3.5616438356164383E-2</v>
      </c>
      <c r="M11" s="3"/>
      <c r="N11" s="2">
        <f>IF('Modell einstellen'!$B$1="Voll",H11/0.35,H11/0.35*2)</f>
        <v>1.8464278857142859E-4</v>
      </c>
      <c r="O11" s="2">
        <f>IF('Modell einstellen'!$B$1="Voll",J11/0.35,J11/0.35*2)</f>
        <v>-5.2026408571428581E-4</v>
      </c>
      <c r="P11" s="3">
        <f t="shared" si="1"/>
        <v>0.354902046175121</v>
      </c>
      <c r="Q11" s="3"/>
      <c r="R11" s="3"/>
      <c r="S11" s="3"/>
      <c r="T11" s="3"/>
      <c r="U11" s="3"/>
      <c r="V11" s="3"/>
      <c r="W11" s="3"/>
    </row>
    <row r="12" spans="1:23" x14ac:dyDescent="0.25">
      <c r="A12" s="2">
        <v>9.9999999999999995E-7</v>
      </c>
      <c r="B12" s="2">
        <v>-1.508E-5</v>
      </c>
      <c r="C12" s="2">
        <v>1.3990000000000001E-4</v>
      </c>
      <c r="D12" s="2">
        <v>-4.2339999999999999E-4</v>
      </c>
      <c r="E12" s="2">
        <v>0</v>
      </c>
      <c r="F12" s="2">
        <v>0</v>
      </c>
      <c r="G12" s="2">
        <v>0</v>
      </c>
      <c r="H12" s="2">
        <v>3.2312498000000001E-5</v>
      </c>
      <c r="I12" s="2">
        <v>1.2649101999999999E-5</v>
      </c>
      <c r="J12" s="2">
        <v>-9.1046229999999998E-5</v>
      </c>
      <c r="K12" s="3"/>
      <c r="L12" s="3">
        <f t="shared" si="0"/>
        <v>-3.5616438356164383E-2</v>
      </c>
      <c r="M12" s="3"/>
      <c r="N12" s="2">
        <f>IF('Modell einstellen'!$B$1="Voll",H12/0.35,H12/0.35*2)</f>
        <v>1.8464284571428574E-4</v>
      </c>
      <c r="O12" s="2">
        <f>IF('Modell einstellen'!$B$1="Voll",J12/0.35,J12/0.35*2)</f>
        <v>-5.2026417142857142E-4</v>
      </c>
      <c r="P12" s="3">
        <f t="shared" si="1"/>
        <v>0.35490209753879987</v>
      </c>
      <c r="Q12" s="3"/>
      <c r="R12" s="3"/>
      <c r="S12" s="3"/>
      <c r="T12" s="3"/>
      <c r="U12" s="3"/>
      <c r="V12" s="3"/>
      <c r="W12" s="3"/>
    </row>
    <row r="13" spans="1:23" x14ac:dyDescent="0.25">
      <c r="A13" s="2">
        <v>1.0000000000000001E-5</v>
      </c>
      <c r="B13" s="2">
        <v>-1.508E-5</v>
      </c>
      <c r="C13" s="2">
        <v>1.3990000000000001E-4</v>
      </c>
      <c r="D13" s="2">
        <v>-4.2339999999999999E-4</v>
      </c>
      <c r="E13" s="2">
        <v>0</v>
      </c>
      <c r="F13" s="2">
        <v>0</v>
      </c>
      <c r="G13" s="2">
        <v>0</v>
      </c>
      <c r="H13" s="2">
        <v>3.2312596000000002E-5</v>
      </c>
      <c r="I13" s="2">
        <v>1.2649117E-5</v>
      </c>
      <c r="J13" s="2">
        <v>-9.1046379999999995E-5</v>
      </c>
      <c r="K13" s="3"/>
      <c r="L13" s="3">
        <f t="shared" si="0"/>
        <v>-3.5616438356164383E-2</v>
      </c>
      <c r="M13" s="3"/>
      <c r="N13" s="2">
        <f>IF('Modell einstellen'!$B$1="Voll",H13/0.35,H13/0.35*2)</f>
        <v>1.8464340571428575E-4</v>
      </c>
      <c r="O13" s="2">
        <f>IF('Modell einstellen'!$B$1="Voll",J13/0.35,J13/0.35*2)</f>
        <v>-5.2026502857142854E-4</v>
      </c>
      <c r="P13" s="3">
        <f t="shared" si="1"/>
        <v>0.35490258920783019</v>
      </c>
      <c r="Q13" s="3"/>
      <c r="R13" s="3"/>
      <c r="S13" s="3"/>
      <c r="T13" s="3"/>
      <c r="U13" s="3"/>
      <c r="V13" s="3"/>
      <c r="W13" s="3"/>
    </row>
    <row r="14" spans="1:23" x14ac:dyDescent="0.25">
      <c r="A14" s="2">
        <v>1E-4</v>
      </c>
      <c r="B14" s="2">
        <v>-1.509E-5</v>
      </c>
      <c r="C14" s="2">
        <v>1.3990000000000001E-4</v>
      </c>
      <c r="D14" s="2">
        <v>-4.2339999999999999E-4</v>
      </c>
      <c r="E14" s="2">
        <v>0</v>
      </c>
      <c r="F14" s="2">
        <v>0</v>
      </c>
      <c r="G14" s="2">
        <v>0</v>
      </c>
      <c r="H14" s="2">
        <v>3.231358E-5</v>
      </c>
      <c r="I14" s="2">
        <v>1.2649271E-5</v>
      </c>
      <c r="J14" s="2">
        <v>-9.1047877999999999E-5</v>
      </c>
      <c r="K14" s="3"/>
      <c r="L14" s="3">
        <f t="shared" si="0"/>
        <v>-3.5640056683986773E-2</v>
      </c>
      <c r="M14" s="3"/>
      <c r="N14" s="2">
        <f>IF('Modell einstellen'!$B$1="Voll",H14/0.35,H14/0.35*2)</f>
        <v>1.8464902857142859E-4</v>
      </c>
      <c r="O14" s="2">
        <f>IF('Modell einstellen'!$B$1="Voll",J14/0.35,J14/0.35*2)</f>
        <v>-5.202735885714286E-4</v>
      </c>
      <c r="P14" s="3">
        <f t="shared" si="1"/>
        <v>0.35490755753802411</v>
      </c>
      <c r="Q14" s="3"/>
      <c r="R14" s="3"/>
      <c r="S14" s="3"/>
      <c r="T14" s="3"/>
      <c r="U14" s="3"/>
      <c r="V14" s="3"/>
      <c r="W14" s="3"/>
    </row>
    <row r="15" spans="1:23" x14ac:dyDescent="0.25">
      <c r="A15" s="2">
        <v>1E-3</v>
      </c>
      <c r="B15" s="2">
        <v>-1.5140000000000001E-5</v>
      </c>
      <c r="C15" s="2">
        <v>1.3990000000000001E-4</v>
      </c>
      <c r="D15" s="2">
        <v>-4.2329999999999999E-4</v>
      </c>
      <c r="E15" s="2">
        <v>0</v>
      </c>
      <c r="F15" s="2">
        <v>0</v>
      </c>
      <c r="G15" s="2">
        <v>0</v>
      </c>
      <c r="H15" s="2">
        <v>3.2323336999999997E-5</v>
      </c>
      <c r="I15" s="2">
        <v>1.2650798E-5</v>
      </c>
      <c r="J15" s="2">
        <v>-9.1062729000000004E-5</v>
      </c>
      <c r="K15" s="3"/>
      <c r="L15" s="3">
        <f t="shared" si="0"/>
        <v>-3.5766595794944483E-2</v>
      </c>
      <c r="M15" s="3"/>
      <c r="N15" s="2">
        <f>IF('Modell einstellen'!$B$1="Voll",H15/0.35,H15/0.35*2)</f>
        <v>1.8470478285714285E-4</v>
      </c>
      <c r="O15" s="2">
        <f>IF('Modell einstellen'!$B$1="Voll",J15/0.35,J15/0.35*2)</f>
        <v>-5.2035845142857145E-4</v>
      </c>
      <c r="P15" s="3">
        <f t="shared" si="1"/>
        <v>0.35495682322457078</v>
      </c>
      <c r="Q15" s="3"/>
      <c r="R15" s="3"/>
      <c r="S15" s="3"/>
      <c r="T15" s="3"/>
      <c r="U15" s="3"/>
      <c r="V15" s="3"/>
      <c r="W15" s="3"/>
    </row>
    <row r="16" spans="1:23" x14ac:dyDescent="0.25">
      <c r="A16" s="2">
        <v>0.01</v>
      </c>
      <c r="B16" s="2">
        <v>-1.5639999999999999E-5</v>
      </c>
      <c r="C16" s="2">
        <v>1.3999999999999999E-4</v>
      </c>
      <c r="D16" s="2">
        <v>-4.2319999999999999E-4</v>
      </c>
      <c r="E16" s="2">
        <v>0</v>
      </c>
      <c r="F16" s="2">
        <v>0</v>
      </c>
      <c r="G16" s="2">
        <v>0</v>
      </c>
      <c r="H16" s="2">
        <v>3.2416689999999997E-5</v>
      </c>
      <c r="I16" s="2">
        <v>1.2665400000000001E-5</v>
      </c>
      <c r="J16" s="2">
        <v>-9.1204778999999994E-5</v>
      </c>
      <c r="K16" s="3"/>
      <c r="L16" s="3">
        <f t="shared" si="0"/>
        <v>-3.6956521739130437E-2</v>
      </c>
      <c r="M16" s="3"/>
      <c r="N16" s="2">
        <f>IF('Modell einstellen'!$B$1="Voll",H16/0.35,H16/0.35*2)</f>
        <v>1.8523822857142855E-4</v>
      </c>
      <c r="O16" s="2">
        <f>IF('Modell einstellen'!$B$1="Voll",J16/0.35,J16/0.35*2)</f>
        <v>-5.2117016571428566E-4</v>
      </c>
      <c r="P16" s="3">
        <f t="shared" si="1"/>
        <v>0.35542753741007366</v>
      </c>
      <c r="Q16" s="3"/>
      <c r="R16" s="3"/>
      <c r="S16" s="3"/>
      <c r="T16" s="3"/>
      <c r="U16" s="3"/>
      <c r="V16" s="3"/>
      <c r="W16" s="3"/>
    </row>
    <row r="17" spans="1:23" x14ac:dyDescent="0.25">
      <c r="A17" s="2">
        <v>0.1</v>
      </c>
      <c r="B17" s="2">
        <v>-1.9320000000000001E-5</v>
      </c>
      <c r="C17" s="2">
        <v>1.4119999999999999E-4</v>
      </c>
      <c r="D17" s="2">
        <v>-4.2240000000000002E-4</v>
      </c>
      <c r="E17" s="2">
        <v>0</v>
      </c>
      <c r="F17" s="2">
        <v>0</v>
      </c>
      <c r="G17" s="2">
        <v>0</v>
      </c>
      <c r="H17" s="2">
        <v>3.3105370000000001E-5</v>
      </c>
      <c r="I17" s="2">
        <v>1.2772326000000001E-5</v>
      </c>
      <c r="J17" s="2">
        <v>-9.2249615E-5</v>
      </c>
      <c r="K17" s="3"/>
      <c r="L17" s="3">
        <f t="shared" si="0"/>
        <v>-4.5738636363636363E-2</v>
      </c>
      <c r="M17" s="3"/>
      <c r="N17" s="2">
        <f>IF('Modell einstellen'!$B$1="Voll",H17/0.35,H17/0.35*2)</f>
        <v>1.8917354285714286E-4</v>
      </c>
      <c r="O17" s="2">
        <f>IF('Modell einstellen'!$B$1="Voll",J17/0.35,J17/0.35*2)</f>
        <v>-5.2714065714285722E-4</v>
      </c>
      <c r="P17" s="3">
        <f t="shared" si="1"/>
        <v>0.35886729716974969</v>
      </c>
      <c r="Q17" s="3"/>
      <c r="R17" s="3"/>
      <c r="S17" s="3"/>
      <c r="T17" s="3"/>
      <c r="U17" s="3"/>
      <c r="V17" s="3"/>
      <c r="W17" s="3"/>
    </row>
    <row r="18" spans="1:23" x14ac:dyDescent="0.25">
      <c r="A18" s="2">
        <v>1</v>
      </c>
      <c r="B18" s="2">
        <v>-2.588E-5</v>
      </c>
      <c r="C18" s="2">
        <v>1.4310000000000001E-4</v>
      </c>
      <c r="D18" s="2">
        <v>-4.2059999999999998E-4</v>
      </c>
      <c r="E18" s="2">
        <v>0</v>
      </c>
      <c r="F18" s="2">
        <v>0</v>
      </c>
      <c r="G18" s="2">
        <v>0</v>
      </c>
      <c r="H18" s="2">
        <v>3.4298772000000001E-5</v>
      </c>
      <c r="I18" s="2">
        <v>1.2955475E-5</v>
      </c>
      <c r="J18" s="2">
        <v>-9.4042767999999999E-5</v>
      </c>
      <c r="K18" s="3"/>
      <c r="L18" s="3">
        <f t="shared" si="0"/>
        <v>-6.1531145981930581E-2</v>
      </c>
      <c r="M18" s="3"/>
      <c r="N18" s="2">
        <f>IF('Modell einstellen'!$B$1="Voll",H18/0.35,H18/0.35*2)</f>
        <v>1.9599298285714287E-4</v>
      </c>
      <c r="O18" s="2">
        <f>IF('Modell einstellen'!$B$1="Voll",J18/0.35,J18/0.35*2)</f>
        <v>-5.3738724571428579E-4</v>
      </c>
      <c r="P18" s="3">
        <f t="shared" si="1"/>
        <v>0.36471461580118525</v>
      </c>
      <c r="Q18" s="3"/>
      <c r="R18" s="3"/>
      <c r="S18" s="3"/>
      <c r="T18" s="3"/>
      <c r="U18" s="3"/>
      <c r="V18" s="3"/>
      <c r="W18" s="3"/>
    </row>
    <row r="19" spans="1:23" x14ac:dyDescent="0.25">
      <c r="A19" s="2">
        <v>10</v>
      </c>
      <c r="B19" s="2">
        <v>-3.0910000000000001E-5</v>
      </c>
      <c r="C19" s="2">
        <v>1.4469999999999999E-4</v>
      </c>
      <c r="D19" s="2">
        <v>-4.191E-4</v>
      </c>
      <c r="E19" s="2">
        <v>0</v>
      </c>
      <c r="F19" s="2">
        <v>0</v>
      </c>
      <c r="G19" s="2">
        <v>0</v>
      </c>
      <c r="H19" s="2">
        <v>3.5199886999999999E-5</v>
      </c>
      <c r="I19" s="2">
        <v>1.3097889E-5</v>
      </c>
      <c r="J19" s="2">
        <v>-9.5393229000000006E-5</v>
      </c>
      <c r="K19" s="3"/>
      <c r="L19" s="3">
        <f t="shared" si="0"/>
        <v>-7.3753280839895019E-2</v>
      </c>
      <c r="M19" s="3"/>
      <c r="N19" s="2">
        <f>IF('Modell einstellen'!$B$1="Voll",H19/0.35,H19/0.35*2)</f>
        <v>2.0114221142857145E-4</v>
      </c>
      <c r="O19" s="2">
        <f>IF('Modell einstellen'!$B$1="Voll",J19/0.35,J19/0.35*2)</f>
        <v>-5.4510416571428575E-4</v>
      </c>
      <c r="P19" s="3">
        <f t="shared" si="1"/>
        <v>0.368997751402251</v>
      </c>
      <c r="Q19" s="3"/>
      <c r="R19" s="3"/>
      <c r="S19" s="3"/>
      <c r="T19" s="3"/>
      <c r="U19" s="3"/>
      <c r="V19" s="3"/>
      <c r="W19" s="3"/>
    </row>
    <row r="20" spans="1:23" x14ac:dyDescent="0.25">
      <c r="A20" s="2">
        <v>100</v>
      </c>
      <c r="B20" s="2">
        <v>-3.6380000000000001E-5</v>
      </c>
      <c r="C20" s="2">
        <v>1.4630000000000001E-4</v>
      </c>
      <c r="D20" s="2">
        <v>-4.1730000000000001E-4</v>
      </c>
      <c r="E20" s="2">
        <v>0</v>
      </c>
      <c r="F20" s="2">
        <v>0</v>
      </c>
      <c r="G20" s="2">
        <v>0</v>
      </c>
      <c r="H20" s="2">
        <v>3.6148359999999998E-5</v>
      </c>
      <c r="I20" s="2">
        <v>1.3243187999999999E-5</v>
      </c>
      <c r="J20" s="2">
        <v>-9.6800307000000001E-5</v>
      </c>
      <c r="K20" s="3"/>
      <c r="L20" s="3">
        <f t="shared" si="0"/>
        <v>-8.7179487179487175E-2</v>
      </c>
      <c r="M20" s="3"/>
      <c r="N20" s="2">
        <f>IF('Modell einstellen'!$B$1="Voll",H20/0.35,H20/0.35*2)</f>
        <v>2.0656205714285716E-4</v>
      </c>
      <c r="O20" s="2">
        <f>IF('Modell einstellen'!$B$1="Voll",J20/0.35,J20/0.35*2)</f>
        <v>-5.531446114285715E-4</v>
      </c>
      <c r="P20" s="3">
        <f t="shared" si="1"/>
        <v>0.37343228673851209</v>
      </c>
      <c r="Q20" s="3"/>
      <c r="R20" s="3"/>
      <c r="S20" s="3"/>
      <c r="T20" s="3"/>
      <c r="U20" s="3"/>
      <c r="V20" s="3"/>
      <c r="W20" s="3"/>
    </row>
    <row r="21" spans="1:23" x14ac:dyDescent="0.25">
      <c r="A21" s="2">
        <v>1000</v>
      </c>
      <c r="B21" s="2">
        <v>-4.2840000000000003E-5</v>
      </c>
      <c r="C21" s="2">
        <v>1.482E-4</v>
      </c>
      <c r="D21" s="2">
        <v>-4.149E-4</v>
      </c>
      <c r="E21" s="2">
        <v>0</v>
      </c>
      <c r="F21" s="2">
        <v>0</v>
      </c>
      <c r="G21" s="2">
        <v>0</v>
      </c>
      <c r="H21" s="2">
        <v>3.7250158999999999E-5</v>
      </c>
      <c r="I21" s="2">
        <v>1.3410285E-5</v>
      </c>
      <c r="J21" s="2">
        <v>-9.8421907000000006E-5</v>
      </c>
      <c r="K21" s="3"/>
      <c r="L21" s="3">
        <f t="shared" si="0"/>
        <v>-0.10325379609544469</v>
      </c>
      <c r="M21" s="3"/>
      <c r="N21" s="2">
        <f>IF('Modell einstellen'!$B$1="Voll",H21/0.35,H21/0.35*2)</f>
        <v>2.1285805142857143E-4</v>
      </c>
      <c r="O21" s="2">
        <f>IF('Modell einstellen'!$B$1="Voll",J21/0.35,J21/0.35*2)</f>
        <v>-5.6241089714285724E-4</v>
      </c>
      <c r="P21" s="3">
        <f t="shared" si="1"/>
        <v>0.37847426589692063</v>
      </c>
      <c r="Q21" s="3"/>
      <c r="R21" s="3"/>
      <c r="S21" s="3"/>
      <c r="T21" s="3"/>
      <c r="U21" s="3"/>
      <c r="V21" s="3"/>
      <c r="W21" s="3"/>
    </row>
    <row r="22" spans="1:23" x14ac:dyDescent="0.25">
      <c r="A22" s="2">
        <v>10000</v>
      </c>
      <c r="B22" s="2">
        <v>-4.8989999999999997E-5</v>
      </c>
      <c r="C22" s="2">
        <v>1.5139999999999999E-4</v>
      </c>
      <c r="D22" s="2">
        <v>-4.1429999999999999E-4</v>
      </c>
      <c r="E22" s="2">
        <v>0</v>
      </c>
      <c r="F22" s="2">
        <v>0</v>
      </c>
      <c r="G22" s="2">
        <v>0</v>
      </c>
      <c r="H22" s="2">
        <v>3.8592371999999997E-5</v>
      </c>
      <c r="I22" s="2">
        <v>1.3708186E-5</v>
      </c>
      <c r="J22" s="2">
        <v>-1.0053147E-4</v>
      </c>
      <c r="K22" s="3"/>
      <c r="L22" s="3">
        <f t="shared" si="0"/>
        <v>-0.11824764663287472</v>
      </c>
      <c r="M22" s="3"/>
      <c r="N22" s="2">
        <f>IF('Modell einstellen'!$B$1="Voll",H22/0.35,H22/0.35*2)</f>
        <v>2.2052783999999999E-4</v>
      </c>
      <c r="O22" s="2">
        <f>IF('Modell einstellen'!$B$1="Voll",J22/0.35,J22/0.35*2)</f>
        <v>-5.7446554285714283E-4</v>
      </c>
      <c r="P22" s="3">
        <f t="shared" si="1"/>
        <v>0.38388349439235298</v>
      </c>
      <c r="Q22" s="3"/>
      <c r="R22" s="3"/>
      <c r="S22" s="3"/>
      <c r="T22" s="3"/>
      <c r="U22" s="3"/>
      <c r="V22" s="3"/>
      <c r="W22" s="3"/>
    </row>
    <row r="23" spans="1:23" x14ac:dyDescent="0.25">
      <c r="A23" s="2">
        <v>100000</v>
      </c>
      <c r="B23" s="2">
        <v>-4.6050000000000001E-5</v>
      </c>
      <c r="C23" s="2">
        <v>1.595E-4</v>
      </c>
      <c r="D23" s="2">
        <v>-4.2539999999999999E-4</v>
      </c>
      <c r="E23" s="2">
        <v>0</v>
      </c>
      <c r="F23" s="2">
        <v>0</v>
      </c>
      <c r="G23" s="2">
        <v>0</v>
      </c>
      <c r="H23" s="2">
        <v>4.0776355999999998E-5</v>
      </c>
      <c r="I23" s="2">
        <v>1.4682882E-5</v>
      </c>
      <c r="J23" s="2">
        <v>-1.0467393E-4</v>
      </c>
      <c r="K23" s="3"/>
      <c r="L23" s="3">
        <f t="shared" si="0"/>
        <v>-0.10825105782792667</v>
      </c>
      <c r="M23" s="3"/>
      <c r="N23" s="2">
        <f>IF('Modell einstellen'!$B$1="Voll",H23/0.35,H23/0.35*2)</f>
        <v>2.3300774857142859E-4</v>
      </c>
      <c r="O23" s="2">
        <f>IF('Modell einstellen'!$B$1="Voll",J23/0.35,J23/0.35*2)</f>
        <v>-5.9813674285714286E-4</v>
      </c>
      <c r="P23" s="3">
        <f t="shared" si="1"/>
        <v>0.38955598590785695</v>
      </c>
      <c r="Q23" s="3"/>
      <c r="R23" s="3"/>
      <c r="S23" s="3"/>
      <c r="T23" s="3"/>
      <c r="U23" s="3"/>
      <c r="V23" s="3"/>
      <c r="W23" s="3"/>
    </row>
    <row r="24" spans="1:23" x14ac:dyDescent="0.25">
      <c r="A24" s="2">
        <v>1000000</v>
      </c>
      <c r="B24" s="2">
        <v>-2.1939999999999999E-7</v>
      </c>
      <c r="C24" s="2">
        <v>1.8589999999999999E-4</v>
      </c>
      <c r="D24" s="2">
        <v>-4.8769999999999998E-4</v>
      </c>
      <c r="E24" s="2">
        <v>0</v>
      </c>
      <c r="F24" s="2">
        <v>0</v>
      </c>
      <c r="G24" s="2">
        <v>0</v>
      </c>
      <c r="H24" s="2">
        <v>4.5791726000000002E-5</v>
      </c>
      <c r="I24" s="2">
        <v>1.8423627000000001E-5</v>
      </c>
      <c r="J24" s="2">
        <v>-1.1644216000000001E-4</v>
      </c>
      <c r="K24" s="3"/>
      <c r="L24" s="3">
        <f t="shared" si="0"/>
        <v>-4.4986672134508918E-4</v>
      </c>
      <c r="M24" s="3"/>
      <c r="N24" s="2">
        <f>IF('Modell einstellen'!$B$1="Voll",H24/0.35,H24/0.35*2)</f>
        <v>2.6166700571428575E-4</v>
      </c>
      <c r="O24" s="2">
        <f>IF('Modell einstellen'!$B$1="Voll",J24/0.35,J24/0.35*2)</f>
        <v>-6.6538377142857149E-4</v>
      </c>
      <c r="P24" s="3">
        <f t="shared" si="1"/>
        <v>0.3932572703907245</v>
      </c>
      <c r="Q24" s="3"/>
      <c r="R24" s="3"/>
      <c r="S24" s="3"/>
      <c r="T24" s="3"/>
      <c r="U24" s="3"/>
      <c r="V24" s="3"/>
      <c r="W24" s="3"/>
    </row>
    <row r="25" spans="1:23" x14ac:dyDescent="0.25">
      <c r="A25" s="2">
        <v>10000000</v>
      </c>
      <c r="B25" s="2">
        <v>9.5439999999999994E-5</v>
      </c>
      <c r="C25" s="2">
        <v>2.351E-4</v>
      </c>
      <c r="D25" s="2">
        <v>-6.1079999999999999E-4</v>
      </c>
      <c r="E25" s="2">
        <v>0</v>
      </c>
      <c r="F25" s="2">
        <v>0</v>
      </c>
      <c r="G25" s="2">
        <v>0</v>
      </c>
      <c r="H25" s="2">
        <v>5.3864538999999999E-5</v>
      </c>
      <c r="I25" s="2">
        <v>2.5600403000000001E-5</v>
      </c>
      <c r="J25" s="2">
        <v>-1.3729097000000001E-4</v>
      </c>
      <c r="K25" s="3"/>
      <c r="L25" s="3">
        <f t="shared" si="0"/>
        <v>0.15625409299279633</v>
      </c>
      <c r="M25" s="3"/>
      <c r="N25" s="2">
        <f>IF('Modell einstellen'!$B$1="Voll",H25/0.35,H25/0.35*2)</f>
        <v>3.0779736571428574E-4</v>
      </c>
      <c r="O25" s="2">
        <f>IF('Modell einstellen'!$B$1="Voll",J25/0.35,J25/0.35*2)</f>
        <v>-7.8451982857142871E-4</v>
      </c>
      <c r="P25" s="3">
        <f t="shared" si="1"/>
        <v>0.39233854200316304</v>
      </c>
      <c r="Q25" s="3"/>
      <c r="R25" s="3"/>
      <c r="S25" s="3"/>
      <c r="T25" s="3"/>
      <c r="U25" s="3"/>
      <c r="V25" s="3"/>
      <c r="W25" s="3"/>
    </row>
    <row r="26" spans="1:23" x14ac:dyDescent="0.25">
      <c r="A26" s="2">
        <v>100000000</v>
      </c>
      <c r="B26" s="2">
        <v>2.041E-4</v>
      </c>
      <c r="C26" s="2">
        <v>2.943E-4</v>
      </c>
      <c r="D26" s="2">
        <v>-7.5489999999999997E-4</v>
      </c>
      <c r="E26" s="2">
        <v>0</v>
      </c>
      <c r="F26" s="2">
        <v>0</v>
      </c>
      <c r="G26" s="2">
        <v>0</v>
      </c>
      <c r="H26" s="2">
        <v>6.2573227E-5</v>
      </c>
      <c r="I26" s="2">
        <v>3.3945188000000002E-5</v>
      </c>
      <c r="J26" s="2">
        <v>-1.6094762000000001E-4</v>
      </c>
      <c r="K26" s="3"/>
      <c r="L26" s="3">
        <f t="shared" si="0"/>
        <v>0.27036693601801565</v>
      </c>
      <c r="M26" s="3"/>
      <c r="N26" s="2">
        <f>IF('Modell einstellen'!$B$1="Voll",H26/0.35,H26/0.35*2)</f>
        <v>3.5756129714285714E-4</v>
      </c>
      <c r="O26" s="2">
        <f>IF('Modell einstellen'!$B$1="Voll",J26/0.35,J26/0.35*2)</f>
        <v>-9.1970068571428578E-4</v>
      </c>
      <c r="P26" s="3">
        <f t="shared" si="1"/>
        <v>0.38878007018680982</v>
      </c>
      <c r="Q26" s="3"/>
      <c r="R26" s="3"/>
      <c r="S26" s="3"/>
      <c r="T26" s="3"/>
      <c r="U26" s="3"/>
      <c r="V26" s="3"/>
      <c r="W26" s="3"/>
    </row>
    <row r="27" spans="1:23" x14ac:dyDescent="0.25">
      <c r="A27" s="2">
        <v>1000000000</v>
      </c>
      <c r="B27" s="2">
        <v>3.0039999999999998E-4</v>
      </c>
      <c r="C27" s="2">
        <v>3.5359999999999998E-4</v>
      </c>
      <c r="D27" s="2">
        <v>-8.9110000000000003E-4</v>
      </c>
      <c r="E27" s="2">
        <v>0</v>
      </c>
      <c r="F27" s="2">
        <v>0</v>
      </c>
      <c r="G27" s="2">
        <v>0</v>
      </c>
      <c r="H27" s="2">
        <v>7.0746065999999997E-5</v>
      </c>
      <c r="I27" s="2">
        <v>4.1939605999999997E-5</v>
      </c>
      <c r="J27" s="2">
        <v>-1.8367239E-4</v>
      </c>
      <c r="K27" s="3"/>
      <c r="L27" s="3">
        <f t="shared" si="0"/>
        <v>0.33711143530467957</v>
      </c>
      <c r="M27" s="3"/>
      <c r="N27" s="2">
        <f>IF('Modell einstellen'!$B$1="Voll",H27/0.35,H27/0.35*2)</f>
        <v>4.0426323428571428E-4</v>
      </c>
      <c r="O27" s="2">
        <f>IF('Modell einstellen'!$B$1="Voll",J27/0.35,J27/0.35*2)</f>
        <v>-1.0495565142857144E-3</v>
      </c>
      <c r="P27" s="3">
        <f t="shared" si="1"/>
        <v>0.38517528954678487</v>
      </c>
      <c r="Q27" s="3"/>
      <c r="R27" s="3"/>
      <c r="S27" s="3"/>
      <c r="T27" s="3"/>
      <c r="U27" s="3"/>
      <c r="V27" s="3"/>
      <c r="W27" s="3"/>
    </row>
    <row r="28" spans="1:23" x14ac:dyDescent="0.25">
      <c r="A28" s="2">
        <v>10000000000</v>
      </c>
      <c r="B28" s="2">
        <v>3.8069999999999998E-4</v>
      </c>
      <c r="C28" s="2">
        <v>4.1140000000000003E-4</v>
      </c>
      <c r="D28" s="2">
        <v>-1.0150000000000001E-3</v>
      </c>
      <c r="E28" s="2">
        <v>0</v>
      </c>
      <c r="F28" s="2">
        <v>0</v>
      </c>
      <c r="G28" s="2">
        <v>0</v>
      </c>
      <c r="H28" s="2">
        <v>7.8550654999999997E-5</v>
      </c>
      <c r="I28" s="2">
        <v>4.9546007999999998E-5</v>
      </c>
      <c r="J28" s="2">
        <v>-2.0563472999999999E-4</v>
      </c>
      <c r="K28" s="3"/>
      <c r="L28" s="3">
        <f t="shared" si="0"/>
        <v>0.37507389162561572</v>
      </c>
      <c r="M28" s="3"/>
      <c r="N28" s="2">
        <f>IF('Modell einstellen'!$B$1="Voll",H28/0.35,H28/0.35*2)</f>
        <v>4.4886088571428575E-4</v>
      </c>
      <c r="O28" s="2">
        <f>IF('Modell einstellen'!$B$1="Voll",J28/0.35,J28/0.35*2)</f>
        <v>-1.1750555999999999E-3</v>
      </c>
      <c r="P28" s="3">
        <f t="shared" si="1"/>
        <v>0.38199118893972828</v>
      </c>
      <c r="Q28" s="3"/>
      <c r="R28" s="3"/>
      <c r="S28" s="3"/>
      <c r="T28" s="3"/>
      <c r="U28" s="3"/>
      <c r="V28" s="3"/>
      <c r="W28" s="3"/>
    </row>
    <row r="29" spans="1:23" x14ac:dyDescent="0.25">
      <c r="A29" s="2">
        <v>100000000000</v>
      </c>
      <c r="B29" s="2">
        <v>4.4729999999999998E-4</v>
      </c>
      <c r="C29" s="2">
        <v>4.6729999999999997E-4</v>
      </c>
      <c r="D29" s="2">
        <v>-1.1280000000000001E-3</v>
      </c>
      <c r="E29" s="2">
        <v>0</v>
      </c>
      <c r="F29" s="2">
        <v>0</v>
      </c>
      <c r="G29" s="2">
        <v>0</v>
      </c>
      <c r="H29" s="2">
        <v>8.5870352000000006E-5</v>
      </c>
      <c r="I29" s="2">
        <v>5.6855928000000002E-5</v>
      </c>
      <c r="J29" s="2">
        <v>-2.2678891999999999E-4</v>
      </c>
      <c r="K29" s="3"/>
      <c r="L29" s="3">
        <f t="shared" si="0"/>
        <v>0.39654255319148929</v>
      </c>
      <c r="M29" s="3"/>
      <c r="N29" s="2">
        <f>IF('Modell einstellen'!$B$1="Voll",H29/0.35,H29/0.35*2)</f>
        <v>4.9068772571428582E-4</v>
      </c>
      <c r="O29" s="2">
        <f>IF('Modell einstellen'!$B$1="Voll",J29/0.35,J29/0.35*2)</f>
        <v>-1.2959366857142858E-3</v>
      </c>
      <c r="P29" s="3">
        <f t="shared" si="1"/>
        <v>0.37863557002696607</v>
      </c>
      <c r="Q29" s="3"/>
      <c r="R29" s="3"/>
      <c r="S29" s="3"/>
      <c r="T29" s="3"/>
      <c r="U29" s="3"/>
      <c r="V29" s="3"/>
      <c r="W29" s="3"/>
    </row>
    <row r="30" spans="1:23" x14ac:dyDescent="0.25">
      <c r="A30" s="2">
        <v>1000000000000</v>
      </c>
      <c r="B30" s="2">
        <v>5.0120000000000004E-4</v>
      </c>
      <c r="C30" s="2">
        <v>5.1800000000000001E-4</v>
      </c>
      <c r="D30" s="2">
        <v>-1.225E-3</v>
      </c>
      <c r="E30" s="2">
        <v>0</v>
      </c>
      <c r="F30" s="2">
        <v>0</v>
      </c>
      <c r="G30" s="2">
        <v>0</v>
      </c>
      <c r="H30" s="2">
        <v>9.2135755000000003E-5</v>
      </c>
      <c r="I30" s="2">
        <v>6.3455172999999995E-5</v>
      </c>
      <c r="J30" s="2">
        <v>-2.4563800000000001E-4</v>
      </c>
      <c r="K30" s="3"/>
      <c r="L30" s="3">
        <f t="shared" si="0"/>
        <v>0.4091428571428572</v>
      </c>
      <c r="M30" s="3"/>
      <c r="N30" s="2">
        <f>IF('Modell einstellen'!$B$1="Voll",H30/0.35,H30/0.35*2)</f>
        <v>5.2649002857142865E-4</v>
      </c>
      <c r="O30" s="2">
        <f>IF('Modell einstellen'!$B$1="Voll",J30/0.35,J30/0.35*2)</f>
        <v>-1.4036457142857144E-3</v>
      </c>
      <c r="P30" s="3">
        <f t="shared" si="1"/>
        <v>0.37508754752929113</v>
      </c>
      <c r="Q30" s="3"/>
      <c r="R30" s="3"/>
      <c r="S30" s="3"/>
      <c r="T30" s="3"/>
      <c r="U30" s="3"/>
      <c r="V30" s="3"/>
      <c r="W30" s="3"/>
    </row>
    <row r="31" spans="1:23" x14ac:dyDescent="0.25">
      <c r="A31" s="2">
        <v>10000000000000</v>
      </c>
      <c r="B31" s="2">
        <v>5.4480000000000002E-4</v>
      </c>
      <c r="C31" s="2">
        <v>5.6340000000000003E-4</v>
      </c>
      <c r="D31" s="2">
        <v>-1.3079999999999999E-3</v>
      </c>
      <c r="E31" s="2">
        <v>0</v>
      </c>
      <c r="F31" s="2">
        <v>0</v>
      </c>
      <c r="G31" s="2">
        <v>0</v>
      </c>
      <c r="H31" s="2">
        <v>9.7724777999999996E-5</v>
      </c>
      <c r="I31" s="2">
        <v>6.9386441999999998E-5</v>
      </c>
      <c r="J31" s="2">
        <v>-2.6262189999999997E-4</v>
      </c>
      <c r="K31" s="3"/>
      <c r="L31" s="3">
        <f t="shared" si="0"/>
        <v>0.41651376146788993</v>
      </c>
      <c r="M31" s="3"/>
      <c r="N31" s="2">
        <f>IF('Modell einstellen'!$B$1="Voll",H31/0.35,H31/0.35*2)</f>
        <v>5.5842730285714291E-4</v>
      </c>
      <c r="O31" s="2">
        <f>IF('Modell einstellen'!$B$1="Voll",J31/0.35,J31/0.35*2)</f>
        <v>-1.5006965714285713E-3</v>
      </c>
      <c r="P31" s="3">
        <f t="shared" si="1"/>
        <v>0.37211206681544845</v>
      </c>
      <c r="Q31" s="3"/>
      <c r="R31" s="3"/>
      <c r="S31" s="3"/>
      <c r="T31" s="3"/>
      <c r="U31" s="3"/>
      <c r="V31" s="3"/>
      <c r="W31" s="3"/>
    </row>
    <row r="32" spans="1:23" x14ac:dyDescent="0.25">
      <c r="A32" s="2">
        <v>100000000000000</v>
      </c>
      <c r="B32" s="2">
        <v>5.8290000000000002E-4</v>
      </c>
      <c r="C32" s="2">
        <v>6.0650000000000005E-4</v>
      </c>
      <c r="D32" s="2">
        <v>-1.3860000000000001E-3</v>
      </c>
      <c r="E32" s="2">
        <v>0</v>
      </c>
      <c r="F32" s="2">
        <v>0</v>
      </c>
      <c r="G32" s="2">
        <v>0</v>
      </c>
      <c r="H32" s="2">
        <v>1.0342105E-4</v>
      </c>
      <c r="I32" s="2">
        <v>7.5170012000000007E-5</v>
      </c>
      <c r="J32" s="2">
        <v>-2.7952749E-4</v>
      </c>
      <c r="K32" s="3"/>
      <c r="L32" s="3">
        <f t="shared" si="0"/>
        <v>0.42056277056277053</v>
      </c>
      <c r="M32" s="3"/>
      <c r="N32" s="2">
        <f>IF('Modell einstellen'!$B$1="Voll",H32/0.35,H32/0.35*2)</f>
        <v>5.9097742857142858E-4</v>
      </c>
      <c r="O32" s="2">
        <f>IF('Modell einstellen'!$B$1="Voll",J32/0.35,J32/0.35*2)</f>
        <v>-1.597299942857143E-3</v>
      </c>
      <c r="P32" s="3">
        <f t="shared" si="1"/>
        <v>0.36998525619072381</v>
      </c>
      <c r="Q32" s="3"/>
      <c r="R32" s="3"/>
      <c r="S32" s="3"/>
      <c r="T32" s="3"/>
      <c r="U32" s="3"/>
      <c r="V32" s="3"/>
      <c r="W32" s="3"/>
    </row>
    <row r="33" spans="1:23" x14ac:dyDescent="0.25">
      <c r="A33" s="2">
        <v>1000000000000000</v>
      </c>
      <c r="B33" s="2">
        <v>6.133E-4</v>
      </c>
      <c r="C33" s="2">
        <v>6.4309999999999997E-4</v>
      </c>
      <c r="D33" s="2">
        <v>-1.4519999999999999E-3</v>
      </c>
      <c r="E33" s="2">
        <v>0</v>
      </c>
      <c r="F33" s="2">
        <v>0</v>
      </c>
      <c r="G33" s="2">
        <v>0</v>
      </c>
      <c r="H33" s="2">
        <v>1.0913917E-4</v>
      </c>
      <c r="I33" s="2">
        <v>8.0418006000000005E-5</v>
      </c>
      <c r="J33" s="2">
        <v>-2.9551284E-4</v>
      </c>
      <c r="K33" s="3"/>
      <c r="L33" s="3">
        <f t="shared" si="0"/>
        <v>0.42238292011019285</v>
      </c>
      <c r="M33" s="3"/>
      <c r="N33" s="2">
        <f>IF('Modell einstellen'!$B$1="Voll",H33/0.35,H33/0.35*2)</f>
        <v>6.2365240000000007E-4</v>
      </c>
      <c r="O33" s="2">
        <f>IF('Modell einstellen'!$B$1="Voll",J33/0.35,J33/0.35*2)</f>
        <v>-1.6886448000000001E-3</v>
      </c>
      <c r="P33" s="3">
        <f t="shared" si="1"/>
        <v>0.36932124505994396</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O3" sqref="O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-1.04E-5</v>
      </c>
      <c r="C3" s="3">
        <v>1.415E-4</v>
      </c>
      <c r="D3" s="3">
        <v>-4.2870000000000001E-4</v>
      </c>
      <c r="E3" s="3">
        <v>0</v>
      </c>
      <c r="F3" s="3">
        <v>0</v>
      </c>
      <c r="G3" s="3">
        <v>0</v>
      </c>
      <c r="H3" s="3">
        <v>3.2588293999999998E-5</v>
      </c>
      <c r="I3" s="3">
        <v>1.2895905E-5</v>
      </c>
      <c r="J3" s="3">
        <v>-9.1844273000000004E-5</v>
      </c>
      <c r="L3" s="3">
        <f>-B3/D3</f>
        <v>-2.4259388850011665E-2</v>
      </c>
      <c r="M3" s="3"/>
      <c r="N3" s="2">
        <f>IF('Modell einstellen'!$B$1="Voll",H3/0.35,H3/0.35*2)</f>
        <v>1.8621882285714287E-4</v>
      </c>
      <c r="O3" s="2">
        <f>IF('Modell einstellen'!$B$1="Voll",J3/0.35,J3/0.35*2)</f>
        <v>-5.2482441714285716E-4</v>
      </c>
      <c r="P3" s="3">
        <f>-N3/O3</f>
        <v>0.35482118738094864</v>
      </c>
    </row>
    <row r="4" spans="1:16" x14ac:dyDescent="0.25">
      <c r="A4" s="3">
        <v>1E-14</v>
      </c>
      <c r="B4" s="3">
        <v>-1.041E-5</v>
      </c>
      <c r="C4" s="3">
        <v>1.415E-4</v>
      </c>
      <c r="D4" s="3">
        <v>-4.2870000000000001E-4</v>
      </c>
      <c r="E4" s="3">
        <v>0</v>
      </c>
      <c r="F4" s="3">
        <v>0</v>
      </c>
      <c r="G4" s="3">
        <v>0</v>
      </c>
      <c r="H4" s="3">
        <v>3.2588422000000001E-5</v>
      </c>
      <c r="I4" s="3">
        <v>1.2896878E-5</v>
      </c>
      <c r="J4" s="3">
        <v>-9.1842913000000003E-5</v>
      </c>
      <c r="L4" s="3">
        <f t="shared" ref="L4:L33" si="0">-B4/D4</f>
        <v>-2.4282715185444368E-2</v>
      </c>
      <c r="M4" s="3"/>
      <c r="N4" s="2">
        <f>IF('Modell einstellen'!$B$1="Voll",H4/0.35,H4/0.35*2)</f>
        <v>1.8621955428571431E-4</v>
      </c>
      <c r="O4" s="2">
        <f>IF('Modell einstellen'!$B$1="Voll",J4/0.35,J4/0.35*2)</f>
        <v>-5.2481664571428575E-4</v>
      </c>
      <c r="P4" s="3">
        <f t="shared" ref="P4:P33" si="1">-N4/O4</f>
        <v>0.35482783521903322</v>
      </c>
    </row>
    <row r="5" spans="1:16" x14ac:dyDescent="0.25">
      <c r="A5" s="3">
        <v>1E-13</v>
      </c>
      <c r="B5" s="3">
        <v>-1.041E-5</v>
      </c>
      <c r="C5" s="3">
        <v>1.415E-4</v>
      </c>
      <c r="D5" s="3">
        <v>-4.2870000000000001E-4</v>
      </c>
      <c r="E5" s="3">
        <v>0</v>
      </c>
      <c r="F5" s="3">
        <v>0</v>
      </c>
      <c r="G5" s="3">
        <v>0</v>
      </c>
      <c r="H5" s="3">
        <v>3.2588597E-5</v>
      </c>
      <c r="I5" s="3">
        <v>1.289704E-5</v>
      </c>
      <c r="J5" s="3">
        <v>-9.1843389999999995E-5</v>
      </c>
      <c r="L5" s="3">
        <f t="shared" si="0"/>
        <v>-2.4282715185444368E-2</v>
      </c>
      <c r="M5" s="3"/>
      <c r="N5" s="2">
        <f>IF('Modell einstellen'!$B$1="Voll",H5/0.35,H5/0.35*2)</f>
        <v>1.8622055428571429E-4</v>
      </c>
      <c r="O5" s="2">
        <f>IF('Modell einstellen'!$B$1="Voll",J5/0.35,J5/0.35*2)</f>
        <v>-5.2481937142857143E-4</v>
      </c>
      <c r="P5" s="3">
        <f t="shared" si="1"/>
        <v>0.35482789779427787</v>
      </c>
    </row>
    <row r="6" spans="1:16" x14ac:dyDescent="0.25">
      <c r="A6" s="3">
        <v>9.9999999999999998E-13</v>
      </c>
      <c r="B6" s="3">
        <v>-1.041E-5</v>
      </c>
      <c r="C6" s="3">
        <v>1.415E-4</v>
      </c>
      <c r="D6" s="3">
        <v>-4.2870000000000001E-4</v>
      </c>
      <c r="E6" s="3">
        <v>0</v>
      </c>
      <c r="F6" s="3">
        <v>0</v>
      </c>
      <c r="G6" s="3">
        <v>0</v>
      </c>
      <c r="H6" s="3">
        <v>3.2588648E-5</v>
      </c>
      <c r="I6" s="3">
        <v>1.2897085E-5</v>
      </c>
      <c r="J6" s="3">
        <v>-9.1843525999999993E-5</v>
      </c>
      <c r="L6" s="3">
        <f t="shared" si="0"/>
        <v>-2.4282715185444368E-2</v>
      </c>
      <c r="M6" s="3"/>
      <c r="N6" s="2">
        <f>IF('Modell einstellen'!$B$1="Voll",H6/0.35,H6/0.35*2)</f>
        <v>1.8622084571428573E-4</v>
      </c>
      <c r="O6" s="2">
        <f>IF('Modell einstellen'!$B$1="Voll",J6/0.35,J6/0.35*2)</f>
        <v>-5.2482014857142855E-4</v>
      </c>
      <c r="P6" s="3">
        <f t="shared" si="1"/>
        <v>0.354827927664711</v>
      </c>
    </row>
    <row r="7" spans="1:16" x14ac:dyDescent="0.25">
      <c r="A7" s="3">
        <v>9.9999999999999994E-12</v>
      </c>
      <c r="B7" s="3">
        <v>-1.041E-5</v>
      </c>
      <c r="C7" s="3">
        <v>1.415E-4</v>
      </c>
      <c r="D7" s="3">
        <v>-4.2870000000000001E-4</v>
      </c>
      <c r="E7" s="3">
        <v>0</v>
      </c>
      <c r="F7" s="3">
        <v>0</v>
      </c>
      <c r="G7" s="3">
        <v>0</v>
      </c>
      <c r="H7" s="3">
        <v>3.2588729999999997E-5</v>
      </c>
      <c r="I7" s="3">
        <v>1.289711E-5</v>
      </c>
      <c r="J7" s="3">
        <v>-9.1843669000000005E-5</v>
      </c>
      <c r="L7" s="3">
        <f t="shared" si="0"/>
        <v>-2.4282715185444368E-2</v>
      </c>
      <c r="M7" s="3"/>
      <c r="N7" s="2">
        <f>IF('Modell einstellen'!$B$1="Voll",H7/0.35,H7/0.35*2)</f>
        <v>1.8622131428571429E-4</v>
      </c>
      <c r="O7" s="2">
        <f>IF('Modell einstellen'!$B$1="Voll",J7/0.35,J7/0.35*2)</f>
        <v>-5.2482096571428573E-4</v>
      </c>
      <c r="P7" s="3">
        <f t="shared" si="1"/>
        <v>0.35482826802139189</v>
      </c>
    </row>
    <row r="8" spans="1:16" x14ac:dyDescent="0.25">
      <c r="A8" s="3">
        <v>1E-10</v>
      </c>
      <c r="B8" s="3">
        <v>-1.041E-5</v>
      </c>
      <c r="C8" s="3">
        <v>1.415E-4</v>
      </c>
      <c r="D8" s="3">
        <v>-4.2870000000000001E-4</v>
      </c>
      <c r="E8" s="3">
        <v>0</v>
      </c>
      <c r="F8" s="3">
        <v>0</v>
      </c>
      <c r="G8" s="3">
        <v>0</v>
      </c>
      <c r="H8" s="3">
        <v>3.2589428E-5</v>
      </c>
      <c r="I8" s="3">
        <v>1.2897226E-5</v>
      </c>
      <c r="J8" s="3">
        <v>-9.1844742999999996E-5</v>
      </c>
      <c r="L8" s="3">
        <f t="shared" si="0"/>
        <v>-2.4282715185444368E-2</v>
      </c>
      <c r="M8" s="3"/>
      <c r="N8" s="2">
        <f>IF('Modell einstellen'!$B$1="Voll",H8/0.35,H8/0.35*2)</f>
        <v>1.8622530285714286E-4</v>
      </c>
      <c r="O8" s="2">
        <f>IF('Modell einstellen'!$B$1="Voll",J8/0.35,J8/0.35*2)</f>
        <v>-5.248271028571429E-4</v>
      </c>
      <c r="P8" s="3">
        <f t="shared" si="1"/>
        <v>0.35483171856662499</v>
      </c>
    </row>
    <row r="9" spans="1:16" x14ac:dyDescent="0.25">
      <c r="A9" s="3">
        <v>1.0000000000000001E-9</v>
      </c>
      <c r="B9" s="3">
        <v>-1.045E-5</v>
      </c>
      <c r="C9" s="3">
        <v>1.415E-4</v>
      </c>
      <c r="D9" s="3">
        <v>-4.2870000000000001E-4</v>
      </c>
      <c r="E9" s="3">
        <v>0</v>
      </c>
      <c r="F9" s="3">
        <v>0</v>
      </c>
      <c r="G9" s="3">
        <v>0</v>
      </c>
      <c r="H9" s="3">
        <v>3.2596331000000003E-5</v>
      </c>
      <c r="I9" s="3">
        <v>1.2898343000000001E-5</v>
      </c>
      <c r="J9" s="3">
        <v>-9.1855304999999995E-5</v>
      </c>
      <c r="L9" s="3">
        <f t="shared" si="0"/>
        <v>-2.437602052717518E-2</v>
      </c>
      <c r="M9" s="3"/>
      <c r="N9" s="2">
        <f>IF('Modell einstellen'!$B$1="Voll",H9/0.35,H9/0.35*2)</f>
        <v>1.8626474857142859E-4</v>
      </c>
      <c r="O9" s="2">
        <f>IF('Modell einstellen'!$B$1="Voll",J9/0.35,J9/0.35*2)</f>
        <v>-5.2488745714285713E-4</v>
      </c>
      <c r="P9" s="3">
        <f t="shared" si="1"/>
        <v>0.35486606897663669</v>
      </c>
    </row>
    <row r="10" spans="1:16" x14ac:dyDescent="0.25">
      <c r="A10" s="3">
        <v>1E-8</v>
      </c>
      <c r="B10" s="3">
        <v>-1.08E-5</v>
      </c>
      <c r="C10" s="3">
        <v>1.416E-4</v>
      </c>
      <c r="D10" s="3">
        <v>-4.2860000000000001E-4</v>
      </c>
      <c r="E10" s="3">
        <v>0</v>
      </c>
      <c r="F10" s="3">
        <v>0</v>
      </c>
      <c r="G10" s="3">
        <v>0</v>
      </c>
      <c r="H10" s="3">
        <v>3.2662965E-5</v>
      </c>
      <c r="I10" s="3">
        <v>1.2909107000000001E-5</v>
      </c>
      <c r="J10" s="3">
        <v>-9.1957214999999995E-5</v>
      </c>
      <c r="L10" s="3">
        <f t="shared" si="0"/>
        <v>-2.5198320111992533E-2</v>
      </c>
      <c r="M10" s="3"/>
      <c r="N10" s="2">
        <f>IF('Modell einstellen'!$B$1="Voll",H10/0.35,H10/0.35*2)</f>
        <v>1.8664551428571429E-4</v>
      </c>
      <c r="O10" s="2">
        <f>IF('Modell einstellen'!$B$1="Voll",J10/0.35,J10/0.35*2)</f>
        <v>-5.2546980000000004E-4</v>
      </c>
      <c r="P10" s="3">
        <f t="shared" si="1"/>
        <v>0.35519741436275554</v>
      </c>
    </row>
    <row r="11" spans="1:16" x14ac:dyDescent="0.25">
      <c r="A11" s="3">
        <v>9.9999999999999995E-8</v>
      </c>
      <c r="B11" s="3">
        <v>-1.359E-5</v>
      </c>
      <c r="C11" s="3">
        <v>1.4249999999999999E-4</v>
      </c>
      <c r="D11" s="3">
        <v>-4.28E-4</v>
      </c>
      <c r="E11" s="3">
        <v>0</v>
      </c>
      <c r="F11" s="3">
        <v>0</v>
      </c>
      <c r="G11" s="3">
        <v>0</v>
      </c>
      <c r="H11" s="3">
        <v>3.3197827999999999E-5</v>
      </c>
      <c r="I11" s="3">
        <v>1.2995042999999999E-5</v>
      </c>
      <c r="J11" s="3">
        <v>-9.2773458E-5</v>
      </c>
      <c r="L11" s="3">
        <f t="shared" si="0"/>
        <v>-3.175233644859813E-2</v>
      </c>
      <c r="M11" s="3"/>
      <c r="N11" s="2">
        <f>IF('Modell einstellen'!$B$1="Voll",H11/0.35,H11/0.35*2)</f>
        <v>1.8970187428571429E-4</v>
      </c>
      <c r="O11" s="2">
        <f>IF('Modell einstellen'!$B$1="Voll",J11/0.35,J11/0.35*2)</f>
        <v>-5.3013404571428579E-4</v>
      </c>
      <c r="P11" s="3">
        <f t="shared" si="1"/>
        <v>0.35783756168709369</v>
      </c>
    </row>
    <row r="12" spans="1:16" x14ac:dyDescent="0.25">
      <c r="A12" s="3">
        <v>9.9999999999999995E-7</v>
      </c>
      <c r="B12" s="3">
        <v>-2.0270000000000001E-5</v>
      </c>
      <c r="C12" s="3">
        <v>1.4459999999999999E-4</v>
      </c>
      <c r="D12" s="3">
        <v>-4.2630000000000001E-4</v>
      </c>
      <c r="E12" s="3">
        <v>0</v>
      </c>
      <c r="F12" s="3">
        <v>0</v>
      </c>
      <c r="G12" s="3">
        <v>0</v>
      </c>
      <c r="H12" s="3">
        <v>3.4442802E-5</v>
      </c>
      <c r="I12" s="3">
        <v>1.3191765000000001E-5</v>
      </c>
      <c r="J12" s="3">
        <v>-9.4655550000000006E-5</v>
      </c>
      <c r="L12" s="3">
        <f t="shared" si="0"/>
        <v>-4.7548674642270701E-2</v>
      </c>
      <c r="M12" s="3"/>
      <c r="N12" s="2">
        <f>IF('Modell einstellen'!$B$1="Voll",H12/0.35,H12/0.35*2)</f>
        <v>1.9681601142857143E-4</v>
      </c>
      <c r="O12" s="2">
        <f>IF('Modell einstellen'!$B$1="Voll",J12/0.35,J12/0.35*2)</f>
        <v>-5.4088885714285724E-4</v>
      </c>
      <c r="P12" s="3">
        <f t="shared" si="1"/>
        <v>0.36387514519750819</v>
      </c>
    </row>
    <row r="13" spans="1:16" x14ac:dyDescent="0.25">
      <c r="A13" s="3">
        <v>1.0000000000000001E-5</v>
      </c>
      <c r="B13" s="3">
        <v>-2.5259999999999999E-5</v>
      </c>
      <c r="C13" s="3">
        <v>1.462E-4</v>
      </c>
      <c r="D13" s="3">
        <v>-4.2499999999999998E-4</v>
      </c>
      <c r="E13" s="3">
        <v>0</v>
      </c>
      <c r="F13" s="3">
        <v>0</v>
      </c>
      <c r="G13" s="3">
        <v>0</v>
      </c>
      <c r="H13" s="3">
        <v>3.5357953999999997E-5</v>
      </c>
      <c r="I13" s="3">
        <v>1.334078E-5</v>
      </c>
      <c r="J13" s="3">
        <v>-9.603465E-5</v>
      </c>
      <c r="L13" s="3">
        <f t="shared" si="0"/>
        <v>-5.9435294117647058E-2</v>
      </c>
      <c r="M13" s="3"/>
      <c r="N13" s="2">
        <f>IF('Modell einstellen'!$B$1="Voll",H13/0.35,H13/0.35*2)</f>
        <v>2.0204545142857143E-4</v>
      </c>
      <c r="O13" s="2">
        <f>IF('Modell einstellen'!$B$1="Voll",J13/0.35,J13/0.35*2)</f>
        <v>-5.4876942857142862E-4</v>
      </c>
      <c r="P13" s="3">
        <f t="shared" si="1"/>
        <v>0.36817913117817369</v>
      </c>
    </row>
    <row r="14" spans="1:16" x14ac:dyDescent="0.25">
      <c r="A14" s="3">
        <v>1E-4</v>
      </c>
      <c r="B14" s="3">
        <v>-3.048E-5</v>
      </c>
      <c r="C14" s="3">
        <v>1.4779999999999999E-4</v>
      </c>
      <c r="D14" s="3">
        <v>-4.2339999999999999E-4</v>
      </c>
      <c r="E14" s="3">
        <v>0</v>
      </c>
      <c r="F14" s="3">
        <v>0</v>
      </c>
      <c r="G14" s="3">
        <v>0</v>
      </c>
      <c r="H14" s="3">
        <v>3.6282470000000002E-5</v>
      </c>
      <c r="I14" s="3">
        <v>1.3487111999999999E-5</v>
      </c>
      <c r="J14" s="3">
        <v>-9.7414611999999993E-5</v>
      </c>
      <c r="L14" s="3">
        <f t="shared" si="0"/>
        <v>-7.1988663202645256E-2</v>
      </c>
      <c r="M14" s="3"/>
      <c r="N14" s="2">
        <f>IF('Modell einstellen'!$B$1="Voll",H14/0.35,H14/0.35*2)</f>
        <v>2.0732840000000003E-4</v>
      </c>
      <c r="O14" s="2">
        <f>IF('Modell einstellen'!$B$1="Voll",J14/0.35,J14/0.35*2)</f>
        <v>-5.5665492571428568E-4</v>
      </c>
      <c r="P14" s="3">
        <f t="shared" si="1"/>
        <v>0.3724540831718347</v>
      </c>
    </row>
    <row r="15" spans="1:16" x14ac:dyDescent="0.25">
      <c r="A15" s="3">
        <v>1E-3</v>
      </c>
      <c r="B15" s="3">
        <v>-3.6850000000000001E-5</v>
      </c>
      <c r="C15" s="3">
        <v>1.496E-4</v>
      </c>
      <c r="D15" s="3">
        <v>-4.2099999999999999E-4</v>
      </c>
      <c r="E15" s="3">
        <v>0</v>
      </c>
      <c r="F15" s="3">
        <v>0</v>
      </c>
      <c r="G15" s="3">
        <v>0</v>
      </c>
      <c r="H15" s="3">
        <v>3.7368018999999997E-5</v>
      </c>
      <c r="I15" s="3">
        <v>1.3651009E-5</v>
      </c>
      <c r="J15" s="3">
        <v>-9.901326E-5</v>
      </c>
      <c r="L15" s="3">
        <f t="shared" si="0"/>
        <v>-8.7529691211401431E-2</v>
      </c>
      <c r="M15" s="3"/>
      <c r="N15" s="2">
        <f>IF('Modell einstellen'!$B$1="Voll",H15/0.35,H15/0.35*2)</f>
        <v>2.1353153714285714E-4</v>
      </c>
      <c r="O15" s="2">
        <f>IF('Modell einstellen'!$B$1="Voll",J15/0.35,J15/0.35*2)</f>
        <v>-5.6579005714285722E-4</v>
      </c>
      <c r="P15" s="3">
        <f t="shared" si="1"/>
        <v>0.37740418808551496</v>
      </c>
    </row>
    <row r="16" spans="1:16" x14ac:dyDescent="0.25">
      <c r="A16" s="3">
        <v>0.01</v>
      </c>
      <c r="B16" s="3">
        <v>-4.4209999999999999E-5</v>
      </c>
      <c r="C16" s="3">
        <v>1.515E-4</v>
      </c>
      <c r="D16" s="3">
        <v>-4.1800000000000002E-4</v>
      </c>
      <c r="E16" s="3">
        <v>0</v>
      </c>
      <c r="F16" s="3">
        <v>0</v>
      </c>
      <c r="G16" s="3">
        <v>0</v>
      </c>
      <c r="H16" s="3">
        <v>3.8577101000000003E-5</v>
      </c>
      <c r="I16" s="3">
        <v>1.3826991E-5</v>
      </c>
      <c r="J16" s="3">
        <v>-1.0077231E-4</v>
      </c>
      <c r="L16" s="3">
        <f t="shared" si="0"/>
        <v>-0.10576555023923444</v>
      </c>
      <c r="M16" s="3"/>
      <c r="N16" s="2">
        <f>IF('Modell einstellen'!$B$1="Voll",H16/0.35,H16/0.35*2)</f>
        <v>2.2044057714285718E-4</v>
      </c>
      <c r="O16" s="2">
        <f>IF('Modell einstellen'!$B$1="Voll",J16/0.35,J16/0.35*2)</f>
        <v>-5.7584177142857142E-4</v>
      </c>
      <c r="P16" s="3">
        <f t="shared" si="1"/>
        <v>0.38281449537080187</v>
      </c>
    </row>
    <row r="17" spans="1:16" x14ac:dyDescent="0.25">
      <c r="A17" s="3">
        <v>0.1</v>
      </c>
      <c r="B17" s="3">
        <v>-5.3359999999999997E-5</v>
      </c>
      <c r="C17" s="3">
        <v>1.537E-4</v>
      </c>
      <c r="D17" s="3">
        <v>-4.1379999999999998E-4</v>
      </c>
      <c r="E17" s="3">
        <v>0</v>
      </c>
      <c r="F17" s="3">
        <v>0</v>
      </c>
      <c r="G17" s="3">
        <v>0</v>
      </c>
      <c r="H17" s="3">
        <v>4.0022248999999998E-5</v>
      </c>
      <c r="I17" s="3">
        <v>1.4027217E-5</v>
      </c>
      <c r="J17" s="3">
        <v>-1.0284418000000001E-4</v>
      </c>
      <c r="L17" s="3">
        <f t="shared" si="0"/>
        <v>-0.12895118414693088</v>
      </c>
      <c r="M17" s="3"/>
      <c r="N17" s="2">
        <f>IF('Modell einstellen'!$B$1="Voll",H17/0.35,H17/0.35*2)</f>
        <v>2.2869856571428572E-4</v>
      </c>
      <c r="O17" s="2">
        <f>IF('Modell einstellen'!$B$1="Voll",J17/0.35,J17/0.35*2)</f>
        <v>-5.8768102857142859E-4</v>
      </c>
      <c r="P17" s="3">
        <f t="shared" si="1"/>
        <v>0.389154242855551</v>
      </c>
    </row>
    <row r="18" spans="1:16" x14ac:dyDescent="0.25">
      <c r="A18" s="3">
        <v>1</v>
      </c>
      <c r="B18" s="3">
        <v>-6.4350000000000006E-5</v>
      </c>
      <c r="C18" s="3">
        <v>1.561E-4</v>
      </c>
      <c r="D18" s="3">
        <v>-4.083E-4</v>
      </c>
      <c r="E18" s="3">
        <v>0</v>
      </c>
      <c r="F18" s="3">
        <v>0</v>
      </c>
      <c r="G18" s="3">
        <v>0</v>
      </c>
      <c r="H18" s="3">
        <v>4.1690188000000003E-5</v>
      </c>
      <c r="I18" s="3">
        <v>1.4247700000000001E-5</v>
      </c>
      <c r="J18" s="3">
        <v>-1.0520005E-4</v>
      </c>
      <c r="L18" s="3">
        <f t="shared" si="0"/>
        <v>-0.15760470242468774</v>
      </c>
      <c r="M18" s="3"/>
      <c r="N18" s="2">
        <f>IF('Modell einstellen'!$B$1="Voll",H18/0.35,H18/0.35*2)</f>
        <v>2.3822964571428574E-4</v>
      </c>
      <c r="O18" s="2">
        <f>IF('Modell einstellen'!$B$1="Voll",J18/0.35,J18/0.35*2)</f>
        <v>-6.0114314285714284E-4</v>
      </c>
      <c r="P18" s="3">
        <f t="shared" si="1"/>
        <v>0.39629437438480308</v>
      </c>
    </row>
    <row r="19" spans="1:16" x14ac:dyDescent="0.25">
      <c r="A19" s="3">
        <v>10</v>
      </c>
      <c r="B19" s="3">
        <v>-7.6779999999999993E-5</v>
      </c>
      <c r="C19" s="3">
        <v>1.595E-4</v>
      </c>
      <c r="D19" s="3">
        <v>-4.0250000000000003E-4</v>
      </c>
      <c r="E19" s="3">
        <v>0</v>
      </c>
      <c r="F19" s="3">
        <v>0</v>
      </c>
      <c r="G19" s="3">
        <v>0</v>
      </c>
      <c r="H19" s="3">
        <v>4.3560341000000003E-5</v>
      </c>
      <c r="I19" s="3">
        <v>1.4533074E-5</v>
      </c>
      <c r="J19" s="3">
        <v>-1.0788757E-4</v>
      </c>
      <c r="L19" s="3">
        <f t="shared" si="0"/>
        <v>-0.19075776397515526</v>
      </c>
      <c r="M19" s="3"/>
      <c r="N19" s="2">
        <f>IF('Modell einstellen'!$B$1="Voll",H19/0.35,H19/0.35*2)</f>
        <v>2.4891623428571432E-4</v>
      </c>
      <c r="O19" s="2">
        <f>IF('Modell einstellen'!$B$1="Voll",J19/0.35,J19/0.35*2)</f>
        <v>-6.1650040000000011E-4</v>
      </c>
      <c r="P19" s="3">
        <f t="shared" si="1"/>
        <v>0.40375680905594591</v>
      </c>
    </row>
    <row r="20" spans="1:16" x14ac:dyDescent="0.25">
      <c r="A20" s="3">
        <v>100</v>
      </c>
      <c r="B20" s="3">
        <v>-8.933E-5</v>
      </c>
      <c r="C20" s="3">
        <v>1.6259999999999999E-4</v>
      </c>
      <c r="D20" s="3">
        <v>-3.9589999999999997E-4</v>
      </c>
      <c r="E20" s="3">
        <v>0</v>
      </c>
      <c r="F20" s="3">
        <v>0</v>
      </c>
      <c r="G20" s="3">
        <v>0</v>
      </c>
      <c r="H20" s="3">
        <v>4.5518973999999998E-5</v>
      </c>
      <c r="I20" s="3">
        <v>1.4830310999999999E-5</v>
      </c>
      <c r="J20" s="3">
        <v>-1.1067088E-4</v>
      </c>
      <c r="L20" s="3">
        <f t="shared" si="0"/>
        <v>-0.22563778732003031</v>
      </c>
      <c r="M20" s="3"/>
      <c r="N20" s="2">
        <f>IF('Modell einstellen'!$B$1="Voll",H20/0.35,H20/0.35*2)</f>
        <v>2.6010842285714285E-4</v>
      </c>
      <c r="O20" s="2">
        <f>IF('Modell einstellen'!$B$1="Voll",J20/0.35,J20/0.35*2)</f>
        <v>-6.3240502857142859E-4</v>
      </c>
      <c r="P20" s="3">
        <f t="shared" si="1"/>
        <v>0.41130037097382799</v>
      </c>
    </row>
    <row r="21" spans="1:16" x14ac:dyDescent="0.25">
      <c r="A21" s="3">
        <v>1000</v>
      </c>
      <c r="B21" s="3">
        <v>-9.5390000000000007E-5</v>
      </c>
      <c r="C21" s="3">
        <v>1.6980000000000001E-4</v>
      </c>
      <c r="D21" s="3">
        <v>-3.9859999999999999E-4</v>
      </c>
      <c r="E21" s="3">
        <v>0</v>
      </c>
      <c r="F21" s="3">
        <v>0</v>
      </c>
      <c r="G21" s="3">
        <v>0</v>
      </c>
      <c r="H21" s="3">
        <v>4.8280681999999997E-5</v>
      </c>
      <c r="I21" s="3">
        <v>1.5713322000000001E-5</v>
      </c>
      <c r="J21" s="3">
        <v>-1.1530705E-4</v>
      </c>
      <c r="L21" s="3">
        <f t="shared" si="0"/>
        <v>-0.23931259407927749</v>
      </c>
      <c r="M21" s="3"/>
      <c r="N21" s="2">
        <f>IF('Modell einstellen'!$B$1="Voll",H21/0.35,H21/0.35*2)</f>
        <v>2.7588961142857143E-4</v>
      </c>
      <c r="O21" s="2">
        <f>IF('Modell einstellen'!$B$1="Voll",J21/0.35,J21/0.35*2)</f>
        <v>-6.5889742857142865E-4</v>
      </c>
      <c r="P21" s="3">
        <f t="shared" si="1"/>
        <v>0.41871405087546681</v>
      </c>
    </row>
    <row r="22" spans="1:16" x14ac:dyDescent="0.25">
      <c r="A22" s="3">
        <v>10000</v>
      </c>
      <c r="B22" s="3">
        <v>-6.1249999999999998E-5</v>
      </c>
      <c r="C22" s="3">
        <v>1.951E-4</v>
      </c>
      <c r="D22" s="3">
        <v>-4.5120000000000002E-4</v>
      </c>
      <c r="E22" s="3">
        <v>0</v>
      </c>
      <c r="F22" s="3">
        <v>0</v>
      </c>
      <c r="G22" s="3">
        <v>0</v>
      </c>
      <c r="H22" s="3">
        <v>5.4273661000000002E-5</v>
      </c>
      <c r="I22" s="3">
        <v>1.9456917999999999E-5</v>
      </c>
      <c r="J22" s="3">
        <v>-1.2827110000000001E-4</v>
      </c>
      <c r="L22" s="3">
        <f t="shared" si="0"/>
        <v>-0.13574911347517729</v>
      </c>
      <c r="M22" s="3"/>
      <c r="N22" s="2">
        <f>IF('Modell einstellen'!$B$1="Voll",H22/0.35,H22/0.35*2)</f>
        <v>3.1013520571428573E-4</v>
      </c>
      <c r="O22" s="2">
        <f>IF('Modell einstellen'!$B$1="Voll",J22/0.35,J22/0.35*2)</f>
        <v>-7.3297771428571445E-4</v>
      </c>
      <c r="P22" s="3">
        <f t="shared" si="1"/>
        <v>0.42311682834247144</v>
      </c>
    </row>
    <row r="23" spans="1:16" x14ac:dyDescent="0.25">
      <c r="A23" s="3">
        <v>100000</v>
      </c>
      <c r="B23" s="3">
        <v>3.8649999999999998E-5</v>
      </c>
      <c r="C23" s="3">
        <v>2.4899999999999998E-4</v>
      </c>
      <c r="D23" s="3">
        <v>-5.8489999999999996E-4</v>
      </c>
      <c r="E23" s="3">
        <v>0</v>
      </c>
      <c r="F23" s="3">
        <v>0</v>
      </c>
      <c r="G23" s="3">
        <v>0</v>
      </c>
      <c r="H23" s="3">
        <v>6.4522359000000005E-5</v>
      </c>
      <c r="I23" s="3">
        <v>2.7900635000000001E-5</v>
      </c>
      <c r="J23" s="3">
        <v>-1.5390639E-4</v>
      </c>
      <c r="L23" s="3">
        <f t="shared" si="0"/>
        <v>6.6079671738758769E-2</v>
      </c>
      <c r="M23" s="3"/>
      <c r="N23" s="2">
        <f>IF('Modell einstellen'!$B$1="Voll",H23/0.35,H23/0.35*2)</f>
        <v>3.6869919428571436E-4</v>
      </c>
      <c r="O23" s="2">
        <f>IF('Modell einstellen'!$B$1="Voll",J23/0.35,J23/0.35*2)</f>
        <v>-8.7946508571428578E-4</v>
      </c>
      <c r="P23" s="3">
        <f t="shared" si="1"/>
        <v>0.41923118981609542</v>
      </c>
    </row>
    <row r="24" spans="1:16" x14ac:dyDescent="0.25">
      <c r="A24" s="3">
        <v>1000000</v>
      </c>
      <c r="B24" s="3">
        <v>1.7129999999999999E-4</v>
      </c>
      <c r="C24" s="3">
        <v>3.21E-4</v>
      </c>
      <c r="D24" s="3">
        <v>-7.6460000000000005E-4</v>
      </c>
      <c r="E24" s="3">
        <v>0</v>
      </c>
      <c r="F24" s="3">
        <v>0</v>
      </c>
      <c r="G24" s="3">
        <v>0</v>
      </c>
      <c r="H24" s="3">
        <v>7.6028430000000001E-5</v>
      </c>
      <c r="I24" s="3">
        <v>3.8869419000000003E-5</v>
      </c>
      <c r="J24" s="3">
        <v>-1.8544052E-4</v>
      </c>
      <c r="L24" s="3">
        <f t="shared" si="0"/>
        <v>0.22403871305257647</v>
      </c>
      <c r="M24" s="3"/>
      <c r="N24" s="2">
        <f>IF('Modell einstellen'!$B$1="Voll",H24/0.35,H24/0.35*2)</f>
        <v>4.3444817142857146E-4</v>
      </c>
      <c r="O24" s="2">
        <f>IF('Modell einstellen'!$B$1="Voll",J24/0.35,J24/0.35*2)</f>
        <v>-1.0596601142857144E-3</v>
      </c>
      <c r="P24" s="3">
        <f t="shared" si="1"/>
        <v>0.40998822695277171</v>
      </c>
    </row>
    <row r="25" spans="1:16" x14ac:dyDescent="0.25">
      <c r="A25" s="3">
        <v>10000000</v>
      </c>
      <c r="B25" s="3">
        <v>2.9770000000000003E-4</v>
      </c>
      <c r="C25" s="3">
        <v>3.971E-4</v>
      </c>
      <c r="D25" s="3">
        <v>-9.4479999999999998E-4</v>
      </c>
      <c r="E25" s="3">
        <v>0</v>
      </c>
      <c r="F25" s="3">
        <v>0</v>
      </c>
      <c r="G25" s="3">
        <v>0</v>
      </c>
      <c r="H25" s="3">
        <v>8.6503969999999995E-5</v>
      </c>
      <c r="I25" s="3">
        <v>4.9802470999999997E-5</v>
      </c>
      <c r="J25" s="3">
        <v>-2.1603494E-4</v>
      </c>
      <c r="L25" s="3">
        <f t="shared" si="0"/>
        <v>0.31509314140558853</v>
      </c>
      <c r="M25" s="3"/>
      <c r="N25" s="2">
        <f>IF('Modell einstellen'!$B$1="Voll",H25/0.35,H25/0.35*2)</f>
        <v>4.9430839999999997E-4</v>
      </c>
      <c r="O25" s="2">
        <f>IF('Modell einstellen'!$B$1="Voll",J25/0.35,J25/0.35*2)</f>
        <v>-1.2344853714285715E-3</v>
      </c>
      <c r="P25" s="3">
        <f t="shared" si="1"/>
        <v>0.40041657150459081</v>
      </c>
    </row>
    <row r="26" spans="1:16" x14ac:dyDescent="0.25">
      <c r="A26" s="3">
        <v>100000000</v>
      </c>
      <c r="B26" s="3">
        <v>4.0279999999999998E-4</v>
      </c>
      <c r="C26" s="3">
        <v>4.7169999999999997E-4</v>
      </c>
      <c r="D26" s="3">
        <v>-1.1069999999999999E-3</v>
      </c>
      <c r="E26" s="3">
        <v>0</v>
      </c>
      <c r="F26" s="3">
        <v>0</v>
      </c>
      <c r="G26" s="3">
        <v>0</v>
      </c>
      <c r="H26" s="3">
        <v>9.5946405E-5</v>
      </c>
      <c r="I26" s="3">
        <v>6.0043061999999997E-5</v>
      </c>
      <c r="J26" s="3">
        <v>-2.4457055000000002E-4</v>
      </c>
      <c r="L26" s="3">
        <f t="shared" si="0"/>
        <v>0.36386630532971997</v>
      </c>
      <c r="M26" s="3"/>
      <c r="N26" s="2">
        <f>IF('Modell einstellen'!$B$1="Voll",H26/0.35,H26/0.35*2)</f>
        <v>5.4826517142857146E-4</v>
      </c>
      <c r="O26" s="2">
        <f>IF('Modell einstellen'!$B$1="Voll",J26/0.35,J26/0.35*2)</f>
        <v>-1.3975460000000002E-3</v>
      </c>
      <c r="P26" s="3">
        <f t="shared" si="1"/>
        <v>0.3923056353269026</v>
      </c>
    </row>
    <row r="27" spans="1:16" x14ac:dyDescent="0.25">
      <c r="A27" s="3">
        <v>1000000000</v>
      </c>
      <c r="B27" s="3">
        <v>4.8589999999999999E-4</v>
      </c>
      <c r="C27" s="3">
        <v>5.4129999999999998E-4</v>
      </c>
      <c r="D27" s="3">
        <v>-1.2470000000000001E-3</v>
      </c>
      <c r="E27" s="3">
        <v>0</v>
      </c>
      <c r="F27" s="3">
        <v>0</v>
      </c>
      <c r="G27" s="3">
        <v>0</v>
      </c>
      <c r="H27" s="3">
        <v>1.0412501E-4</v>
      </c>
      <c r="I27" s="3">
        <v>6.9347552000000002E-5</v>
      </c>
      <c r="J27" s="3">
        <v>-2.7027855999999997E-4</v>
      </c>
      <c r="L27" s="3">
        <f t="shared" si="0"/>
        <v>0.3896551724137931</v>
      </c>
      <c r="M27" s="3"/>
      <c r="N27" s="2">
        <f>IF('Modell einstellen'!$B$1="Voll",H27/0.35,H27/0.35*2)</f>
        <v>5.9500005714285711E-4</v>
      </c>
      <c r="O27" s="2">
        <f>IF('Modell einstellen'!$B$1="Voll",J27/0.35,J27/0.35*2)</f>
        <v>-1.5444489142857143E-3</v>
      </c>
      <c r="P27" s="3">
        <f t="shared" si="1"/>
        <v>0.38525072058989801</v>
      </c>
    </row>
    <row r="28" spans="1:16" x14ac:dyDescent="0.25">
      <c r="A28" s="3">
        <v>10000000000</v>
      </c>
      <c r="B28" s="3">
        <v>5.5219999999999998E-4</v>
      </c>
      <c r="C28" s="3">
        <v>6.0709999999999996E-4</v>
      </c>
      <c r="D28" s="3">
        <v>-1.3699999999999999E-3</v>
      </c>
      <c r="E28" s="3">
        <v>0</v>
      </c>
      <c r="F28" s="3">
        <v>0</v>
      </c>
      <c r="G28" s="3">
        <v>0</v>
      </c>
      <c r="H28" s="3">
        <v>1.1193224E-4</v>
      </c>
      <c r="I28" s="3">
        <v>7.8123596000000001E-5</v>
      </c>
      <c r="J28" s="3">
        <v>-2.9480791000000001E-4</v>
      </c>
      <c r="L28" s="3">
        <f t="shared" si="0"/>
        <v>0.40306569343065696</v>
      </c>
      <c r="M28" s="3"/>
      <c r="N28" s="2">
        <f>IF('Modell einstellen'!$B$1="Voll",H28/0.35,H28/0.35*2)</f>
        <v>6.3961280000000007E-4</v>
      </c>
      <c r="O28" s="2">
        <f>IF('Modell einstellen'!$B$1="Voll",J28/0.35,J28/0.35*2)</f>
        <v>-1.6846166285714287E-3</v>
      </c>
      <c r="P28" s="3">
        <f t="shared" si="1"/>
        <v>0.37967855068746292</v>
      </c>
    </row>
    <row r="29" spans="1:16" x14ac:dyDescent="0.25">
      <c r="A29" s="3">
        <v>100000000000</v>
      </c>
      <c r="B29" s="3">
        <v>6.0809999999999998E-4</v>
      </c>
      <c r="C29" s="3">
        <v>6.711E-4</v>
      </c>
      <c r="D29" s="3">
        <v>-1.4829999999999999E-3</v>
      </c>
      <c r="E29" s="3">
        <v>0</v>
      </c>
      <c r="F29" s="3">
        <v>0</v>
      </c>
      <c r="G29" s="3">
        <v>0</v>
      </c>
      <c r="H29" s="3">
        <v>1.2002808E-4</v>
      </c>
      <c r="I29" s="3">
        <v>8.6809512000000002E-5</v>
      </c>
      <c r="J29" s="3">
        <v>-3.1960978999999998E-4</v>
      </c>
      <c r="L29" s="3">
        <f t="shared" si="0"/>
        <v>0.41004720161834118</v>
      </c>
      <c r="M29" s="3"/>
      <c r="N29" s="2">
        <f>IF('Modell einstellen'!$B$1="Voll",H29/0.35,H29/0.35*2)</f>
        <v>6.8587474285714293E-4</v>
      </c>
      <c r="O29" s="2">
        <f>IF('Modell einstellen'!$B$1="Voll",J29/0.35,J29/0.35*2)</f>
        <v>-1.8263416571428573E-3</v>
      </c>
      <c r="P29" s="3">
        <f t="shared" si="1"/>
        <v>0.37554569276491812</v>
      </c>
    </row>
    <row r="30" spans="1:16" x14ac:dyDescent="0.25">
      <c r="A30" s="3">
        <v>1000000000000</v>
      </c>
      <c r="B30" s="3">
        <v>6.6149999999999998E-4</v>
      </c>
      <c r="C30" s="3">
        <v>7.404E-4</v>
      </c>
      <c r="D30" s="3">
        <v>-1.6019999999999999E-3</v>
      </c>
      <c r="E30" s="3">
        <v>0</v>
      </c>
      <c r="F30" s="3">
        <v>0</v>
      </c>
      <c r="G30" s="3">
        <v>0</v>
      </c>
      <c r="H30" s="3">
        <v>1.2996850999999999E-4</v>
      </c>
      <c r="I30" s="3">
        <v>9.6636105000000002E-5</v>
      </c>
      <c r="J30" s="3">
        <v>-3.4861008000000002E-4</v>
      </c>
      <c r="L30" s="3">
        <f t="shared" si="0"/>
        <v>0.41292134831460675</v>
      </c>
      <c r="M30" s="3"/>
      <c r="N30" s="2">
        <f>IF('Modell einstellen'!$B$1="Voll",H30/0.35,H30/0.35*2)</f>
        <v>7.4267720000000003E-4</v>
      </c>
      <c r="O30" s="2">
        <f>IF('Modell einstellen'!$B$1="Voll",J30/0.35,J30/0.35*2)</f>
        <v>-1.9920576000000004E-3</v>
      </c>
      <c r="P30" s="3">
        <f t="shared" si="1"/>
        <v>0.37281913936625122</v>
      </c>
    </row>
    <row r="31" spans="1:16" x14ac:dyDescent="0.25">
      <c r="A31" s="3">
        <v>10000000000000</v>
      </c>
      <c r="B31" s="3">
        <v>7.1650000000000001E-4</v>
      </c>
      <c r="C31" s="3">
        <v>8.1859999999999995E-4</v>
      </c>
      <c r="D31" s="3">
        <v>-1.732E-3</v>
      </c>
      <c r="E31" s="3">
        <v>0</v>
      </c>
      <c r="F31" s="3">
        <v>0</v>
      </c>
      <c r="G31" s="3">
        <v>0</v>
      </c>
      <c r="H31" s="3">
        <v>1.4220962000000001E-4</v>
      </c>
      <c r="I31" s="3">
        <v>1.0814982E-4</v>
      </c>
      <c r="J31" s="3">
        <v>-3.8326019999999997E-4</v>
      </c>
      <c r="L31" s="3">
        <f t="shared" si="0"/>
        <v>0.41368360277136257</v>
      </c>
      <c r="M31" s="3"/>
      <c r="N31" s="2">
        <f>IF('Modell einstellen'!$B$1="Voll",H31/0.35,H31/0.35*2)</f>
        <v>8.1262640000000013E-4</v>
      </c>
      <c r="O31" s="2">
        <f>IF('Modell einstellen'!$B$1="Voll",J31/0.35,J31/0.35*2)</f>
        <v>-2.1900582857142855E-3</v>
      </c>
      <c r="P31" s="3">
        <f t="shared" si="1"/>
        <v>0.37105240773761544</v>
      </c>
    </row>
    <row r="32" spans="1:16" x14ac:dyDescent="0.25">
      <c r="A32" s="3">
        <v>100000000000000</v>
      </c>
      <c r="B32" s="3">
        <v>7.7800000000000005E-4</v>
      </c>
      <c r="C32" s="3">
        <v>9.1569999999999998E-4</v>
      </c>
      <c r="D32" s="3">
        <v>-1.8879999999999999E-3</v>
      </c>
      <c r="E32" s="3">
        <v>0</v>
      </c>
      <c r="F32" s="3">
        <v>0</v>
      </c>
      <c r="G32" s="3">
        <v>0</v>
      </c>
      <c r="H32" s="3">
        <v>1.5868775999999999E-4</v>
      </c>
      <c r="I32" s="3">
        <v>1.2307596000000001E-4</v>
      </c>
      <c r="J32" s="3">
        <v>-4.2882416000000002E-4</v>
      </c>
      <c r="L32" s="3">
        <f t="shared" si="0"/>
        <v>0.41207627118644075</v>
      </c>
      <c r="M32" s="3"/>
      <c r="N32" s="2">
        <f>IF('Modell einstellen'!$B$1="Voll",H32/0.35,H32/0.35*2)</f>
        <v>9.067872E-4</v>
      </c>
      <c r="O32" s="2">
        <f>IF('Modell einstellen'!$B$1="Voll",J32/0.35,J32/0.35*2)</f>
        <v>-2.4504237714285718E-3</v>
      </c>
      <c r="P32" s="3">
        <f t="shared" si="1"/>
        <v>0.37005321715082468</v>
      </c>
    </row>
    <row r="33" spans="1:16" x14ac:dyDescent="0.25">
      <c r="A33" s="3">
        <v>1000000000000000</v>
      </c>
      <c r="B33" s="3">
        <v>8.5110000000000003E-4</v>
      </c>
      <c r="C33" s="3">
        <v>1.0460000000000001E-3</v>
      </c>
      <c r="D33" s="3">
        <v>-2.0890000000000001E-3</v>
      </c>
      <c r="E33" s="3">
        <v>0</v>
      </c>
      <c r="F33" s="3">
        <v>0</v>
      </c>
      <c r="G33" s="3">
        <v>0</v>
      </c>
      <c r="H33" s="3">
        <v>1.8204081E-4</v>
      </c>
      <c r="I33" s="3">
        <v>1.4381556E-4</v>
      </c>
      <c r="J33" s="3">
        <v>-4.9255475000000001E-4</v>
      </c>
      <c r="L33" s="3">
        <f t="shared" si="0"/>
        <v>0.40741981809478217</v>
      </c>
      <c r="M33" s="3"/>
      <c r="N33" s="2">
        <f>IF('Modell einstellen'!$B$1="Voll",H33/0.35,H33/0.35*2)</f>
        <v>1.0402332000000001E-3</v>
      </c>
      <c r="O33" s="2">
        <f>IF('Modell einstellen'!$B$1="Voll",J33/0.35,J33/0.35*2)</f>
        <v>-2.8145985714285717E-3</v>
      </c>
      <c r="P33" s="3">
        <f t="shared" si="1"/>
        <v>0.36958492431552026</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-7.3390000000000004E-6</v>
      </c>
      <c r="C3" s="3">
        <v>1.4249999999999999E-4</v>
      </c>
      <c r="D3" s="3">
        <v>-4.3219999999999999E-4</v>
      </c>
      <c r="E3" s="3">
        <v>0</v>
      </c>
      <c r="F3" s="3">
        <v>0</v>
      </c>
      <c r="G3" s="3">
        <v>0</v>
      </c>
      <c r="H3" s="3">
        <v>3.2769050000000001E-5</v>
      </c>
      <c r="I3" s="3">
        <v>1.3058299000000001E-5</v>
      </c>
      <c r="J3" s="3">
        <v>-9.2366875000000003E-5</v>
      </c>
      <c r="K3" s="3"/>
      <c r="L3" s="3">
        <f>-B3/D3</f>
        <v>-1.6980564553447479E-2</v>
      </c>
      <c r="M3" s="3"/>
      <c r="N3" s="2">
        <f>IF('Modell einstellen'!$B$1="Voll",H3/0.35,H3/0.35*2)</f>
        <v>1.872517142857143E-4</v>
      </c>
      <c r="O3" s="2">
        <f>IF('Modell einstellen'!$B$1="Voll",J3/0.35,J3/0.35*2)</f>
        <v>-5.2781071428571432E-4</v>
      </c>
      <c r="P3" s="3">
        <f>-N3/O3</f>
        <v>0.35477058198623695</v>
      </c>
      <c r="Q3" s="3"/>
      <c r="R3" s="3"/>
      <c r="S3" s="3"/>
      <c r="T3" s="3"/>
      <c r="U3" s="3"/>
    </row>
    <row r="4" spans="1:21" x14ac:dyDescent="0.25">
      <c r="A4" s="3">
        <v>1E-14</v>
      </c>
      <c r="B4" s="3">
        <v>-7.3490000000000003E-6</v>
      </c>
      <c r="C4" s="3">
        <v>1.426E-4</v>
      </c>
      <c r="D4" s="3">
        <v>-4.3219999999999999E-4</v>
      </c>
      <c r="E4" s="3">
        <v>0</v>
      </c>
      <c r="F4" s="3">
        <v>0</v>
      </c>
      <c r="G4" s="3">
        <v>0</v>
      </c>
      <c r="H4" s="3">
        <v>3.2769250000000001E-5</v>
      </c>
      <c r="I4" s="3">
        <v>1.3059255000000001E-5</v>
      </c>
      <c r="J4" s="3">
        <v>-9.2365555000000006E-5</v>
      </c>
      <c r="K4" s="3"/>
      <c r="L4" s="3">
        <f t="shared" ref="L4:L33" si="0">-B4/D4</f>
        <v>-1.7003701989819528E-2</v>
      </c>
      <c r="M4" s="3"/>
      <c r="N4" s="2">
        <f>IF('Modell einstellen'!$B$1="Voll",H4/0.35,H4/0.35*2)</f>
        <v>1.8725285714285715E-4</v>
      </c>
      <c r="O4" s="2">
        <f>IF('Modell einstellen'!$B$1="Voll",J4/0.35,J4/0.35*2)</f>
        <v>-5.2780317142857151E-4</v>
      </c>
      <c r="P4" s="3">
        <f t="shared" ref="P4:P33" si="1">-N4/O4</f>
        <v>0.35477781733677666</v>
      </c>
      <c r="Q4" s="3"/>
      <c r="R4" s="3"/>
      <c r="S4" s="3"/>
      <c r="T4" s="3"/>
      <c r="U4" s="3"/>
    </row>
    <row r="5" spans="1:21" x14ac:dyDescent="0.25">
      <c r="A5" s="3">
        <v>1E-13</v>
      </c>
      <c r="B5" s="3">
        <v>-7.3490000000000003E-6</v>
      </c>
      <c r="C5" s="3">
        <v>1.426E-4</v>
      </c>
      <c r="D5" s="3">
        <v>-4.3219999999999999E-4</v>
      </c>
      <c r="E5" s="3">
        <v>0</v>
      </c>
      <c r="F5" s="3">
        <v>0</v>
      </c>
      <c r="G5" s="3">
        <v>0</v>
      </c>
      <c r="H5" s="3">
        <v>3.2769847000000001E-5</v>
      </c>
      <c r="I5" s="3">
        <v>1.3059485999999999E-5</v>
      </c>
      <c r="J5" s="3">
        <v>-9.2366679E-5</v>
      </c>
      <c r="K5" s="3"/>
      <c r="L5" s="3">
        <f t="shared" si="0"/>
        <v>-1.7003701989819528E-2</v>
      </c>
      <c r="M5" s="3"/>
      <c r="N5" s="2">
        <f>IF('Modell einstellen'!$B$1="Voll",H5/0.35,H5/0.35*2)</f>
        <v>1.8725626857142859E-4</v>
      </c>
      <c r="O5" s="2">
        <f>IF('Modell einstellen'!$B$1="Voll",J5/0.35,J5/0.35*2)</f>
        <v>-5.2780959428571435E-4</v>
      </c>
      <c r="P5" s="3">
        <f t="shared" si="1"/>
        <v>0.35477996345413693</v>
      </c>
      <c r="Q5" s="3"/>
      <c r="R5" s="3"/>
      <c r="S5" s="3"/>
      <c r="T5" s="3"/>
      <c r="U5" s="3"/>
    </row>
    <row r="6" spans="1:21" x14ac:dyDescent="0.25">
      <c r="A6" s="3">
        <v>9.9999999999999998E-13</v>
      </c>
      <c r="B6" s="3">
        <v>-7.3699999999999997E-6</v>
      </c>
      <c r="C6" s="3">
        <v>1.426E-4</v>
      </c>
      <c r="D6" s="3">
        <v>-4.3219999999999999E-4</v>
      </c>
      <c r="E6" s="3">
        <v>0</v>
      </c>
      <c r="F6" s="3">
        <v>0</v>
      </c>
      <c r="G6" s="3">
        <v>0</v>
      </c>
      <c r="H6" s="3">
        <v>3.2774088999999998E-5</v>
      </c>
      <c r="I6" s="3">
        <v>1.3060223E-5</v>
      </c>
      <c r="J6" s="3">
        <v>-9.2373245000000002E-5</v>
      </c>
      <c r="K6" s="3"/>
      <c r="L6" s="3">
        <f t="shared" si="0"/>
        <v>-1.7052290606200834E-2</v>
      </c>
      <c r="M6" s="3"/>
      <c r="N6" s="2">
        <f>IF('Modell einstellen'!$B$1="Voll",H6/0.35,H6/0.35*2)</f>
        <v>1.8728050857142858E-4</v>
      </c>
      <c r="O6" s="2">
        <f>IF('Modell einstellen'!$B$1="Voll",J6/0.35,J6/0.35*2)</f>
        <v>-5.2784711428571437E-4</v>
      </c>
      <c r="P6" s="3">
        <f t="shared" si="1"/>
        <v>0.35480066766085783</v>
      </c>
      <c r="Q6" s="3"/>
      <c r="R6" s="3"/>
      <c r="S6" s="3"/>
      <c r="T6" s="3"/>
      <c r="U6" s="3"/>
    </row>
    <row r="7" spans="1:21" x14ac:dyDescent="0.25">
      <c r="A7" s="3">
        <v>9.9999999999999994E-12</v>
      </c>
      <c r="B7" s="3">
        <v>-7.5789999999999998E-6</v>
      </c>
      <c r="C7" s="3">
        <v>1.426E-4</v>
      </c>
      <c r="D7" s="3">
        <v>-4.3209999999999999E-4</v>
      </c>
      <c r="E7" s="3">
        <v>0</v>
      </c>
      <c r="F7" s="3">
        <v>0</v>
      </c>
      <c r="G7" s="3">
        <v>0</v>
      </c>
      <c r="H7" s="3">
        <v>3.2815014999999998E-5</v>
      </c>
      <c r="I7" s="3">
        <v>1.3066984999999999E-5</v>
      </c>
      <c r="J7" s="3">
        <v>-9.2436068000000007E-5</v>
      </c>
      <c r="K7" s="3"/>
      <c r="L7" s="3">
        <f t="shared" si="0"/>
        <v>-1.7539921314510529E-2</v>
      </c>
      <c r="M7" s="3"/>
      <c r="N7" s="2">
        <f>IF('Modell einstellen'!$B$1="Voll",H7/0.35,H7/0.35*2)</f>
        <v>1.8751437142857142E-4</v>
      </c>
      <c r="O7" s="2">
        <f>IF('Modell einstellen'!$B$1="Voll",J7/0.35,J7/0.35*2)</f>
        <v>-5.2820610285714297E-4</v>
      </c>
      <c r="P7" s="3">
        <f t="shared" si="1"/>
        <v>0.35500228114419569</v>
      </c>
      <c r="Q7" s="3"/>
      <c r="R7" s="3"/>
      <c r="S7" s="3"/>
      <c r="T7" s="3"/>
      <c r="U7" s="3"/>
    </row>
    <row r="8" spans="1:21" x14ac:dyDescent="0.25">
      <c r="A8" s="3">
        <v>1E-10</v>
      </c>
      <c r="B8" s="3">
        <v>-9.4110000000000002E-6</v>
      </c>
      <c r="C8" s="3">
        <v>1.4320000000000001E-4</v>
      </c>
      <c r="D8" s="3">
        <v>-4.3179999999999998E-4</v>
      </c>
      <c r="E8" s="3">
        <v>0</v>
      </c>
      <c r="F8" s="3">
        <v>0</v>
      </c>
      <c r="G8" s="3">
        <v>0</v>
      </c>
      <c r="H8" s="3">
        <v>3.3171082000000002E-5</v>
      </c>
      <c r="I8" s="3">
        <v>1.3125528999999999E-5</v>
      </c>
      <c r="J8" s="3">
        <v>-9.2981745000000001E-5</v>
      </c>
      <c r="K8" s="3"/>
      <c r="L8" s="3">
        <f t="shared" si="0"/>
        <v>-2.179481241315424E-2</v>
      </c>
      <c r="M8" s="3"/>
      <c r="N8" s="2">
        <f>IF('Modell einstellen'!$B$1="Voll",H8/0.35,H8/0.35*2)</f>
        <v>1.8954904000000001E-4</v>
      </c>
      <c r="O8" s="2">
        <f>IF('Modell einstellen'!$B$1="Voll",J8/0.35,J8/0.35*2)</f>
        <v>-5.3132425714285715E-4</v>
      </c>
      <c r="P8" s="3">
        <f t="shared" si="1"/>
        <v>0.3567483273195185</v>
      </c>
      <c r="Q8" s="3"/>
      <c r="R8" s="3"/>
      <c r="S8" s="3"/>
      <c r="T8" s="3"/>
      <c r="U8" s="3"/>
    </row>
    <row r="9" spans="1:21" x14ac:dyDescent="0.25">
      <c r="A9" s="3">
        <v>1.0000000000000001E-9</v>
      </c>
      <c r="B9" s="3">
        <v>-1.5979999999999999E-5</v>
      </c>
      <c r="C9" s="3">
        <v>1.4530000000000001E-4</v>
      </c>
      <c r="D9" s="3">
        <v>-4.3019999999999999E-4</v>
      </c>
      <c r="E9" s="3">
        <v>0</v>
      </c>
      <c r="F9" s="3">
        <v>0</v>
      </c>
      <c r="G9" s="3">
        <v>0</v>
      </c>
      <c r="H9" s="3">
        <v>3.4418804000000001E-5</v>
      </c>
      <c r="I9" s="3">
        <v>1.3327081E-5</v>
      </c>
      <c r="J9" s="3">
        <v>-9.4878489000000006E-5</v>
      </c>
      <c r="K9" s="3"/>
      <c r="L9" s="3">
        <f t="shared" si="0"/>
        <v>-3.7145513714551368E-2</v>
      </c>
      <c r="M9" s="3"/>
      <c r="N9" s="2">
        <f>IF('Modell einstellen'!$B$1="Voll",H9/0.35,H9/0.35*2)</f>
        <v>1.9667888000000002E-4</v>
      </c>
      <c r="O9" s="2">
        <f>IF('Modell einstellen'!$B$1="Voll",J9/0.35,J9/0.35*2)</f>
        <v>-5.4216279428571435E-4</v>
      </c>
      <c r="P9" s="3">
        <f t="shared" si="1"/>
        <v>0.36276720216317948</v>
      </c>
      <c r="Q9" s="3"/>
      <c r="R9" s="3"/>
      <c r="S9" s="3"/>
      <c r="T9" s="3"/>
      <c r="U9" s="3"/>
    </row>
    <row r="10" spans="1:21" x14ac:dyDescent="0.25">
      <c r="A10" s="3">
        <v>1E-8</v>
      </c>
      <c r="B10" s="3">
        <v>-2.1080000000000001E-5</v>
      </c>
      <c r="C10" s="3">
        <v>1.47E-4</v>
      </c>
      <c r="D10" s="3">
        <v>-4.2890000000000002E-4</v>
      </c>
      <c r="E10" s="3">
        <v>0</v>
      </c>
      <c r="F10" s="3">
        <v>0</v>
      </c>
      <c r="G10" s="3">
        <v>0</v>
      </c>
      <c r="H10" s="3">
        <v>3.5370158999999997E-5</v>
      </c>
      <c r="I10" s="3">
        <v>1.348441E-5</v>
      </c>
      <c r="J10" s="3">
        <v>-9.6317089999999999E-5</v>
      </c>
      <c r="K10" s="3"/>
      <c r="L10" s="3">
        <f t="shared" si="0"/>
        <v>-4.9148985777570528E-2</v>
      </c>
      <c r="M10" s="3"/>
      <c r="N10" s="2">
        <f>IF('Modell einstellen'!$B$1="Voll",H10/0.35,H10/0.35*2)</f>
        <v>2.0211519428571428E-4</v>
      </c>
      <c r="O10" s="2">
        <f>IF('Modell einstellen'!$B$1="Voll",J10/0.35,J10/0.35*2)</f>
        <v>-5.5038337142857149E-4</v>
      </c>
      <c r="P10" s="3">
        <f t="shared" si="1"/>
        <v>0.3672262004593369</v>
      </c>
      <c r="Q10" s="3"/>
      <c r="R10" s="3"/>
      <c r="S10" s="3"/>
      <c r="T10" s="3"/>
      <c r="U10" s="3"/>
    </row>
    <row r="11" spans="1:21" x14ac:dyDescent="0.25">
      <c r="A11" s="3">
        <v>9.9999999999999995E-8</v>
      </c>
      <c r="B11" s="3">
        <v>-2.6060000000000001E-5</v>
      </c>
      <c r="C11" s="3">
        <v>1.4860000000000001E-4</v>
      </c>
      <c r="D11" s="3">
        <v>-4.2749999999999998E-4</v>
      </c>
      <c r="E11" s="3">
        <v>0</v>
      </c>
      <c r="F11" s="3">
        <v>0</v>
      </c>
      <c r="G11" s="3">
        <v>0</v>
      </c>
      <c r="H11" s="3">
        <v>3.627111E-5</v>
      </c>
      <c r="I11" s="3">
        <v>1.3631026E-5</v>
      </c>
      <c r="J11" s="3">
        <v>-9.7669411E-5</v>
      </c>
      <c r="K11" s="3"/>
      <c r="L11" s="3">
        <f t="shared" si="0"/>
        <v>-6.0959064327485386E-2</v>
      </c>
      <c r="M11" s="3"/>
      <c r="N11" s="2">
        <f>IF('Modell einstellen'!$B$1="Voll",H11/0.35,H11/0.35*2)</f>
        <v>2.0726348571428572E-4</v>
      </c>
      <c r="O11" s="2">
        <f>IF('Modell einstellen'!$B$1="Voll",J11/0.35,J11/0.35*2)</f>
        <v>-5.5811092000000002E-4</v>
      </c>
      <c r="P11" s="3">
        <f t="shared" si="1"/>
        <v>0.37136611789334945</v>
      </c>
      <c r="Q11" s="3"/>
      <c r="R11" s="3"/>
      <c r="S11" s="3"/>
      <c r="T11" s="3"/>
      <c r="U11" s="3"/>
    </row>
    <row r="12" spans="1:21" x14ac:dyDescent="0.25">
      <c r="A12" s="3">
        <v>9.9999999999999995E-7</v>
      </c>
      <c r="B12" s="3">
        <v>-3.2190000000000002E-5</v>
      </c>
      <c r="C12" s="3">
        <v>1.5029999999999999E-4</v>
      </c>
      <c r="D12" s="3">
        <v>-4.2539999999999999E-4</v>
      </c>
      <c r="E12" s="3">
        <v>0</v>
      </c>
      <c r="F12" s="3">
        <v>0</v>
      </c>
      <c r="G12" s="3">
        <v>0</v>
      </c>
      <c r="H12" s="3">
        <v>3.7337081E-5</v>
      </c>
      <c r="I12" s="3">
        <v>1.3796369000000001E-5</v>
      </c>
      <c r="J12" s="3">
        <v>-9.9248094E-5</v>
      </c>
      <c r="K12" s="3"/>
      <c r="L12" s="3">
        <f t="shared" si="0"/>
        <v>-7.5669957686882935E-2</v>
      </c>
      <c r="M12" s="3"/>
      <c r="N12" s="2">
        <f>IF('Modell einstellen'!$B$1="Voll",H12/0.35,H12/0.35*2)</f>
        <v>2.1335474857142858E-4</v>
      </c>
      <c r="O12" s="2">
        <f>IF('Modell einstellen'!$B$1="Voll",J12/0.35,J12/0.35*2)</f>
        <v>-5.6713196571428579E-4</v>
      </c>
      <c r="P12" s="3">
        <f t="shared" si="1"/>
        <v>0.37619947643528545</v>
      </c>
      <c r="Q12" s="3"/>
      <c r="R12" s="3"/>
      <c r="S12" s="3"/>
      <c r="T12" s="3"/>
      <c r="U12" s="3"/>
    </row>
    <row r="13" spans="1:21" x14ac:dyDescent="0.25">
      <c r="A13" s="3">
        <v>1.0000000000000001E-5</v>
      </c>
      <c r="B13" s="3">
        <v>-3.9190000000000003E-5</v>
      </c>
      <c r="C13" s="3">
        <v>1.5220000000000001E-4</v>
      </c>
      <c r="D13" s="3">
        <v>-4.2260000000000003E-4</v>
      </c>
      <c r="E13" s="3">
        <v>0</v>
      </c>
      <c r="F13" s="3">
        <v>0</v>
      </c>
      <c r="G13" s="3">
        <v>0</v>
      </c>
      <c r="H13" s="3">
        <v>3.8509366999999997E-5</v>
      </c>
      <c r="I13" s="3">
        <v>1.3971934000000001E-5</v>
      </c>
      <c r="J13" s="3">
        <v>-1.0096359E-4</v>
      </c>
      <c r="K13" s="3"/>
      <c r="L13" s="3">
        <f t="shared" si="0"/>
        <v>-9.2735447231424517E-2</v>
      </c>
      <c r="M13" s="3"/>
      <c r="N13" s="2">
        <f>IF('Modell einstellen'!$B$1="Voll",H13/0.35,H13/0.35*2)</f>
        <v>2.2005352571428572E-4</v>
      </c>
      <c r="O13" s="2">
        <f>IF('Modell einstellen'!$B$1="Voll",J13/0.35,J13/0.35*2)</f>
        <v>-5.7693480000000003E-4</v>
      </c>
      <c r="P13" s="3">
        <f t="shared" si="1"/>
        <v>0.38141836081700342</v>
      </c>
      <c r="Q13" s="3"/>
      <c r="R13" s="3"/>
      <c r="S13" s="3"/>
      <c r="T13" s="3"/>
      <c r="U13" s="3"/>
    </row>
    <row r="14" spans="1:21" x14ac:dyDescent="0.25">
      <c r="A14" s="3">
        <v>1E-4</v>
      </c>
      <c r="B14" s="3">
        <v>-4.791E-5</v>
      </c>
      <c r="C14" s="3">
        <v>1.5440000000000001E-4</v>
      </c>
      <c r="D14" s="3">
        <v>-4.1879999999999999E-4</v>
      </c>
      <c r="E14" s="3">
        <v>0</v>
      </c>
      <c r="F14" s="3">
        <v>0</v>
      </c>
      <c r="G14" s="3">
        <v>0</v>
      </c>
      <c r="H14" s="3">
        <v>3.9912240999999999E-5</v>
      </c>
      <c r="I14" s="3">
        <v>1.4172108E-5</v>
      </c>
      <c r="J14" s="3">
        <v>-1.0298714E-4</v>
      </c>
      <c r="K14" s="3"/>
      <c r="L14" s="3">
        <f t="shared" si="0"/>
        <v>-0.11439828080229227</v>
      </c>
      <c r="M14" s="3"/>
      <c r="N14" s="2">
        <f>IF('Modell einstellen'!$B$1="Voll",H14/0.35,H14/0.35*2)</f>
        <v>2.2806994857142859E-4</v>
      </c>
      <c r="O14" s="2">
        <f>IF('Modell einstellen'!$B$1="Voll",J14/0.35,J14/0.35*2)</f>
        <v>-5.8849794285714295E-4</v>
      </c>
      <c r="P14" s="3">
        <f t="shared" si="1"/>
        <v>0.38754587223220294</v>
      </c>
      <c r="Q14" s="3"/>
      <c r="R14" s="3"/>
      <c r="S14" s="3"/>
      <c r="T14" s="3"/>
      <c r="U14" s="3"/>
    </row>
    <row r="15" spans="1:21" x14ac:dyDescent="0.25">
      <c r="A15" s="3">
        <v>1E-3</v>
      </c>
      <c r="B15" s="3">
        <v>-5.8430000000000001E-5</v>
      </c>
      <c r="C15" s="3">
        <v>1.5669999999999999E-4</v>
      </c>
      <c r="D15" s="3">
        <v>-4.1360000000000002E-4</v>
      </c>
      <c r="E15" s="3">
        <v>0</v>
      </c>
      <c r="F15" s="3">
        <v>0</v>
      </c>
      <c r="G15" s="3">
        <v>0</v>
      </c>
      <c r="H15" s="3">
        <v>4.1537749999999997E-5</v>
      </c>
      <c r="I15" s="3">
        <v>1.4393183999999999E-5</v>
      </c>
      <c r="J15" s="3">
        <v>-1.0529681000000001E-4</v>
      </c>
      <c r="K15" s="3"/>
      <c r="L15" s="3">
        <f t="shared" si="0"/>
        <v>-0.14127176015473888</v>
      </c>
      <c r="M15" s="3"/>
      <c r="N15" s="2">
        <f>IF('Modell einstellen'!$B$1="Voll",H15/0.35,H15/0.35*2)</f>
        <v>2.3735857142857144E-4</v>
      </c>
      <c r="O15" s="2">
        <f>IF('Modell einstellen'!$B$1="Voll",J15/0.35,J15/0.35*2)</f>
        <v>-6.0169605714285716E-4</v>
      </c>
      <c r="P15" s="3">
        <f t="shared" si="1"/>
        <v>0.39448251091367348</v>
      </c>
      <c r="Q15" s="3"/>
      <c r="R15" s="3"/>
      <c r="S15" s="3"/>
      <c r="T15" s="3"/>
      <c r="U15" s="3"/>
    </row>
    <row r="16" spans="1:21" x14ac:dyDescent="0.25">
      <c r="A16" s="3">
        <v>0.01</v>
      </c>
      <c r="B16" s="3">
        <v>-7.0630000000000006E-5</v>
      </c>
      <c r="C16" s="3">
        <v>1.6019999999999999E-4</v>
      </c>
      <c r="D16" s="3">
        <v>-4.081E-4</v>
      </c>
      <c r="E16" s="3">
        <v>0</v>
      </c>
      <c r="F16" s="3">
        <v>0</v>
      </c>
      <c r="G16" s="3">
        <v>0</v>
      </c>
      <c r="H16" s="3">
        <v>4.3388632000000001E-5</v>
      </c>
      <c r="I16" s="3">
        <v>1.4677146E-5</v>
      </c>
      <c r="J16" s="3">
        <v>-1.0796381E-4</v>
      </c>
      <c r="K16" s="3"/>
      <c r="L16" s="3">
        <f t="shared" si="0"/>
        <v>-0.1730703259005146</v>
      </c>
      <c r="M16" s="3"/>
      <c r="N16" s="2">
        <f>IF('Modell einstellen'!$B$1="Voll",H16/0.35,H16/0.35*2)</f>
        <v>2.4793504000000002E-4</v>
      </c>
      <c r="O16" s="2">
        <f>IF('Modell einstellen'!$B$1="Voll",J16/0.35,J16/0.35*2)</f>
        <v>-6.1693605714285718E-4</v>
      </c>
      <c r="P16" s="3">
        <f t="shared" si="1"/>
        <v>0.40188126002592905</v>
      </c>
      <c r="Q16" s="3"/>
      <c r="R16" s="3"/>
      <c r="S16" s="3"/>
      <c r="T16" s="3"/>
      <c r="U16" s="3"/>
    </row>
    <row r="17" spans="1:25" x14ac:dyDescent="0.25">
      <c r="A17" s="3">
        <v>0.1</v>
      </c>
      <c r="B17" s="3">
        <v>-8.4010000000000004E-5</v>
      </c>
      <c r="C17" s="3">
        <v>1.6220000000000001E-4</v>
      </c>
      <c r="D17" s="3">
        <v>-3.9980000000000001E-4</v>
      </c>
      <c r="E17" s="3">
        <v>0</v>
      </c>
      <c r="F17" s="3">
        <v>0</v>
      </c>
      <c r="G17" s="3">
        <v>0</v>
      </c>
      <c r="H17" s="3">
        <v>4.5253846999999999E-5</v>
      </c>
      <c r="I17" s="3">
        <v>1.4880042E-5</v>
      </c>
      <c r="J17" s="3">
        <v>-1.1048596E-4</v>
      </c>
      <c r="K17" s="3"/>
      <c r="L17" s="3">
        <f t="shared" si="0"/>
        <v>-0.21013006503251627</v>
      </c>
      <c r="M17" s="3"/>
      <c r="N17" s="2">
        <f>IF('Modell einstellen'!$B$1="Voll",H17/0.35,H17/0.35*2)</f>
        <v>2.5859341142857144E-4</v>
      </c>
      <c r="O17" s="2">
        <f>IF('Modell einstellen'!$B$1="Voll",J17/0.35,J17/0.35*2)</f>
        <v>-6.3134834285714285E-4</v>
      </c>
      <c r="P17" s="3">
        <f t="shared" si="1"/>
        <v>0.40958911883464649</v>
      </c>
      <c r="Q17" s="3"/>
      <c r="R17" s="3"/>
      <c r="S17" s="3"/>
      <c r="T17" s="3"/>
      <c r="U17" s="3"/>
      <c r="V17" s="3"/>
      <c r="W17" s="3"/>
      <c r="X17" s="3"/>
      <c r="Y17" s="3"/>
    </row>
    <row r="18" spans="1:25" x14ac:dyDescent="0.25">
      <c r="A18" s="3">
        <v>1</v>
      </c>
      <c r="B18" s="3">
        <v>-9.9270000000000003E-5</v>
      </c>
      <c r="C18" s="3">
        <v>1.6550000000000001E-4</v>
      </c>
      <c r="D18" s="3">
        <v>-3.9110000000000002E-4</v>
      </c>
      <c r="E18" s="3">
        <v>0</v>
      </c>
      <c r="F18" s="3">
        <v>0</v>
      </c>
      <c r="G18" s="3">
        <v>0</v>
      </c>
      <c r="H18" s="3">
        <v>4.7381927000000002E-5</v>
      </c>
      <c r="I18" s="3">
        <v>1.5162995999999999E-5</v>
      </c>
      <c r="J18" s="3">
        <v>-1.1343432999999999E-4</v>
      </c>
      <c r="K18" s="3"/>
      <c r="L18" s="3">
        <f t="shared" si="0"/>
        <v>-0.25382255177703911</v>
      </c>
      <c r="M18" s="3"/>
      <c r="N18" s="2">
        <f>IF('Modell einstellen'!$B$1="Voll",H18/0.35,H18/0.35*2)</f>
        <v>2.7075386857142858E-4</v>
      </c>
      <c r="O18" s="2">
        <f>IF('Modell einstellen'!$B$1="Voll",J18/0.35,J18/0.35*2)</f>
        <v>-6.481961714285714E-4</v>
      </c>
      <c r="P18" s="3">
        <f t="shared" si="1"/>
        <v>0.41770359114388039</v>
      </c>
      <c r="Q18" s="3"/>
      <c r="R18" s="3"/>
      <c r="S18" s="3"/>
      <c r="T18" s="3"/>
      <c r="U18" s="3"/>
      <c r="V18" s="3"/>
      <c r="W18" s="3"/>
      <c r="X18" s="3"/>
      <c r="Y18" s="3"/>
    </row>
    <row r="19" spans="1:25" x14ac:dyDescent="0.25">
      <c r="A19" s="3">
        <v>10</v>
      </c>
      <c r="B19" s="3">
        <v>-1.199E-4</v>
      </c>
      <c r="C19" s="3">
        <v>1.693E-4</v>
      </c>
      <c r="D19" s="3">
        <v>-3.7809999999999997E-4</v>
      </c>
      <c r="E19" s="3">
        <v>0</v>
      </c>
      <c r="F19" s="3">
        <v>0</v>
      </c>
      <c r="G19" s="3">
        <v>0</v>
      </c>
      <c r="H19" s="3">
        <v>5.0243990000000001E-5</v>
      </c>
      <c r="I19" s="3">
        <v>1.5526826999999999E-5</v>
      </c>
      <c r="J19" s="3">
        <v>-1.1733277999999999E-4</v>
      </c>
      <c r="K19" s="3"/>
      <c r="L19" s="3">
        <f t="shared" si="0"/>
        <v>-0.31711187516530021</v>
      </c>
      <c r="M19" s="3"/>
      <c r="N19" s="2">
        <f>IF('Modell einstellen'!$B$1="Voll",H19/0.35,H19/0.35*2)</f>
        <v>2.8710851428571433E-4</v>
      </c>
      <c r="O19" s="2">
        <f>IF('Modell einstellen'!$B$1="Voll",J19/0.35,J19/0.35*2)</f>
        <v>-6.7047302857142863E-4</v>
      </c>
      <c r="P19" s="3">
        <f t="shared" si="1"/>
        <v>0.42821784330005652</v>
      </c>
      <c r="Q19" s="3"/>
      <c r="R19" s="3"/>
      <c r="S19" s="3"/>
      <c r="T19" s="3"/>
      <c r="U19" s="3"/>
      <c r="V19" s="3"/>
      <c r="W19" s="3"/>
      <c r="X19" s="3"/>
      <c r="Y19" s="3"/>
    </row>
    <row r="20" spans="1:25" x14ac:dyDescent="0.25">
      <c r="A20" s="3">
        <v>100</v>
      </c>
      <c r="B20" s="3">
        <v>-1.3870000000000001E-4</v>
      </c>
      <c r="C20" s="3">
        <v>1.7689999999999999E-4</v>
      </c>
      <c r="D20" s="3">
        <v>-3.6989999999999999E-4</v>
      </c>
      <c r="E20" s="3">
        <v>0</v>
      </c>
      <c r="F20" s="3">
        <v>0</v>
      </c>
      <c r="G20" s="3">
        <v>0</v>
      </c>
      <c r="H20" s="3">
        <v>5.4240144000000003E-5</v>
      </c>
      <c r="I20" s="3">
        <v>1.6437774999999999E-5</v>
      </c>
      <c r="J20" s="3">
        <v>-1.2338229000000001E-4</v>
      </c>
      <c r="K20" s="3"/>
      <c r="L20" s="3">
        <f t="shared" si="0"/>
        <v>-0.37496620708299544</v>
      </c>
      <c r="M20" s="3"/>
      <c r="N20" s="2">
        <f>IF('Modell einstellen'!$B$1="Voll",H20/0.35,H20/0.35*2)</f>
        <v>3.0994368000000002E-4</v>
      </c>
      <c r="O20" s="2">
        <f>IF('Modell einstellen'!$B$1="Voll",J20/0.35,J20/0.35*2)</f>
        <v>-7.0504165714285728E-4</v>
      </c>
      <c r="P20" s="3">
        <f t="shared" si="1"/>
        <v>0.43961044976552138</v>
      </c>
      <c r="Q20" s="3"/>
      <c r="R20" s="3"/>
      <c r="S20" s="3"/>
      <c r="T20" s="3"/>
      <c r="U20" s="3"/>
      <c r="V20" s="3"/>
      <c r="W20" s="3"/>
      <c r="X20" s="3"/>
      <c r="Y20" s="3"/>
    </row>
    <row r="21" spans="1:25" x14ac:dyDescent="0.25">
      <c r="A21" s="3">
        <v>1000</v>
      </c>
      <c r="B21" s="3">
        <v>-1.149E-4</v>
      </c>
      <c r="C21" s="3">
        <v>2.0049999999999999E-4</v>
      </c>
      <c r="D21" s="3">
        <v>-4.1229999999999999E-4</v>
      </c>
      <c r="E21" s="3">
        <v>0</v>
      </c>
      <c r="F21" s="3">
        <v>0</v>
      </c>
      <c r="G21" s="3">
        <v>0</v>
      </c>
      <c r="H21" s="3">
        <v>6.0545165999999998E-5</v>
      </c>
      <c r="I21" s="3">
        <v>2.0000756999999999E-5</v>
      </c>
      <c r="J21" s="3">
        <v>-1.3639463E-4</v>
      </c>
      <c r="K21" s="3"/>
      <c r="L21" s="3">
        <f t="shared" si="0"/>
        <v>-0.27868057239873878</v>
      </c>
      <c r="M21" s="3"/>
      <c r="N21" s="2">
        <f>IF('Modell einstellen'!$B$1="Voll",H21/0.35,H21/0.35*2)</f>
        <v>3.4597237714285715E-4</v>
      </c>
      <c r="O21" s="2">
        <f>IF('Modell einstellen'!$B$1="Voll",J21/0.35,J21/0.35*2)</f>
        <v>-7.793978857142858E-4</v>
      </c>
      <c r="P21" s="3">
        <f t="shared" si="1"/>
        <v>0.44389699213231482</v>
      </c>
      <c r="Q21" s="3"/>
      <c r="R21" s="3"/>
      <c r="S21" s="3"/>
      <c r="T21" s="3"/>
      <c r="U21" s="3"/>
      <c r="V21" s="3"/>
      <c r="W21" s="3"/>
      <c r="X21" s="3"/>
      <c r="Y21" s="3"/>
    </row>
    <row r="22" spans="1:25" x14ac:dyDescent="0.25">
      <c r="A22" s="3">
        <v>10000</v>
      </c>
      <c r="B22" s="3">
        <v>-6.2430000000000002E-6</v>
      </c>
      <c r="C22" s="3">
        <v>2.5339999999999998E-4</v>
      </c>
      <c r="D22" s="3">
        <v>-5.5349999999999996E-4</v>
      </c>
      <c r="E22" s="3">
        <v>0</v>
      </c>
      <c r="F22" s="3">
        <v>0</v>
      </c>
      <c r="G22" s="3">
        <v>0</v>
      </c>
      <c r="H22" s="3">
        <v>7.0662260999999996E-5</v>
      </c>
      <c r="I22" s="3">
        <v>2.8776218E-5</v>
      </c>
      <c r="J22" s="3">
        <v>-1.6249856999999999E-4</v>
      </c>
      <c r="K22" s="3"/>
      <c r="L22" s="3">
        <f t="shared" si="0"/>
        <v>-1.1279132791327915E-2</v>
      </c>
      <c r="M22" s="3"/>
      <c r="N22" s="2">
        <f>IF('Modell einstellen'!$B$1="Voll",H22/0.35,H22/0.35*2)</f>
        <v>4.0378434857142858E-4</v>
      </c>
      <c r="O22" s="2">
        <f>IF('Modell einstellen'!$B$1="Voll",J22/0.35,J22/0.35*2)</f>
        <v>-9.2856325714285712E-4</v>
      </c>
      <c r="P22" s="3">
        <f t="shared" si="1"/>
        <v>0.43484850974380884</v>
      </c>
      <c r="Q22" s="3"/>
      <c r="R22" s="3"/>
      <c r="S22" s="3"/>
      <c r="T22" s="3"/>
      <c r="U22" s="3"/>
      <c r="V22" s="3"/>
      <c r="W22" s="3"/>
      <c r="X22" s="3"/>
      <c r="Y22" s="3"/>
    </row>
    <row r="23" spans="1:25" x14ac:dyDescent="0.25">
      <c r="A23" s="3">
        <v>100000</v>
      </c>
      <c r="B23" s="3">
        <v>1.3960000000000001E-4</v>
      </c>
      <c r="C23" s="3">
        <v>3.2929999999999998E-4</v>
      </c>
      <c r="D23" s="3">
        <v>-7.4930000000000005E-4</v>
      </c>
      <c r="E23" s="3">
        <v>0</v>
      </c>
      <c r="F23" s="3">
        <v>0</v>
      </c>
      <c r="G23" s="3">
        <v>0</v>
      </c>
      <c r="H23" s="3">
        <v>8.2848773000000005E-5</v>
      </c>
      <c r="I23" s="3">
        <v>4.0775180999999997E-5</v>
      </c>
      <c r="J23" s="3">
        <v>-1.9664699E-4</v>
      </c>
      <c r="K23" s="3"/>
      <c r="L23" s="3">
        <f t="shared" si="0"/>
        <v>0.18630722007206726</v>
      </c>
      <c r="M23" s="3"/>
      <c r="N23" s="2">
        <f>IF('Modell einstellen'!$B$1="Voll",H23/0.35,H23/0.35*2)</f>
        <v>4.7342156000000006E-4</v>
      </c>
      <c r="O23" s="2">
        <f>IF('Modell einstellen'!$B$1="Voll",J23/0.35,J23/0.35*2)</f>
        <v>-1.1236970857142858E-3</v>
      </c>
      <c r="P23" s="3">
        <f t="shared" si="1"/>
        <v>0.42130709958998103</v>
      </c>
      <c r="Q23" s="3"/>
      <c r="R23" s="3"/>
      <c r="S23" s="3"/>
      <c r="T23" s="3"/>
      <c r="U23" s="3"/>
      <c r="V23" s="3"/>
      <c r="W23" s="3"/>
      <c r="X23" s="3"/>
      <c r="Y23" s="3"/>
    </row>
    <row r="24" spans="1:25" x14ac:dyDescent="0.25">
      <c r="A24" s="3">
        <v>1000000</v>
      </c>
      <c r="B24" s="3">
        <v>2.8219999999999997E-4</v>
      </c>
      <c r="C24" s="3">
        <v>4.1330000000000002E-4</v>
      </c>
      <c r="D24" s="3">
        <v>-9.5209999999999999E-4</v>
      </c>
      <c r="E24" s="3">
        <v>0</v>
      </c>
      <c r="F24" s="3">
        <v>0</v>
      </c>
      <c r="G24" s="3">
        <v>0</v>
      </c>
      <c r="H24" s="3">
        <v>9.4502392000000003E-5</v>
      </c>
      <c r="I24" s="3">
        <v>5.3221654E-5</v>
      </c>
      <c r="J24" s="3">
        <v>-2.3128535E-4</v>
      </c>
      <c r="K24" s="3"/>
      <c r="L24" s="3">
        <f t="shared" si="0"/>
        <v>0.29639743724398693</v>
      </c>
      <c r="M24" s="3"/>
      <c r="N24" s="2">
        <f>IF('Modell einstellen'!$B$1="Voll",H24/0.35,H24/0.35*2)</f>
        <v>5.4001366857142857E-4</v>
      </c>
      <c r="O24" s="2">
        <f>IF('Modell einstellen'!$B$1="Voll",J24/0.35,J24/0.35*2)</f>
        <v>-1.3216305714285716E-3</v>
      </c>
      <c r="P24" s="3">
        <f t="shared" si="1"/>
        <v>0.40859653237872606</v>
      </c>
      <c r="Q24" s="3"/>
      <c r="R24" s="3"/>
      <c r="S24" s="3"/>
      <c r="T24" s="3"/>
      <c r="U24" s="3"/>
      <c r="V24" s="3"/>
      <c r="W24" s="3"/>
      <c r="X24" s="3"/>
      <c r="Y24" s="3"/>
    </row>
    <row r="25" spans="1:25" x14ac:dyDescent="0.25">
      <c r="A25" s="3">
        <v>10000000</v>
      </c>
      <c r="B25" s="3">
        <v>4.0200000000000001E-4</v>
      </c>
      <c r="C25" s="3">
        <v>4.9790000000000001E-4</v>
      </c>
      <c r="D25" s="3">
        <v>-1.1379999999999999E-3</v>
      </c>
      <c r="E25" s="3">
        <v>0</v>
      </c>
      <c r="F25" s="3">
        <v>0</v>
      </c>
      <c r="G25" s="3">
        <v>0</v>
      </c>
      <c r="H25" s="3">
        <v>1.0521433E-4</v>
      </c>
      <c r="I25" s="3">
        <v>6.5123126000000004E-5</v>
      </c>
      <c r="J25" s="3">
        <v>-2.6424172000000002E-4</v>
      </c>
      <c r="K25" s="3"/>
      <c r="L25" s="3">
        <f t="shared" si="0"/>
        <v>0.35325131810193328</v>
      </c>
      <c r="M25" s="3"/>
      <c r="N25" s="2">
        <f>IF('Modell einstellen'!$B$1="Voll",H25/0.35,H25/0.35*2)</f>
        <v>6.0122474285714291E-4</v>
      </c>
      <c r="O25" s="2">
        <f>IF('Modell einstellen'!$B$1="Voll",J25/0.35,J25/0.35*2)</f>
        <v>-1.5099526857142859E-3</v>
      </c>
      <c r="P25" s="3">
        <f t="shared" si="1"/>
        <v>0.39817455774962407</v>
      </c>
      <c r="Q25" s="3"/>
      <c r="R25" s="3"/>
      <c r="S25" s="3"/>
      <c r="T25" s="3"/>
      <c r="U25" s="3"/>
      <c r="V25" s="3"/>
      <c r="W25" s="3"/>
      <c r="X25" s="3"/>
      <c r="Y25" s="3"/>
    </row>
    <row r="26" spans="1:25" x14ac:dyDescent="0.25">
      <c r="A26" s="3">
        <v>100000000</v>
      </c>
      <c r="B26" s="3">
        <v>4.9739999999999995E-4</v>
      </c>
      <c r="C26" s="3">
        <v>5.798E-4</v>
      </c>
      <c r="D26" s="3">
        <v>-1.3010000000000001E-3</v>
      </c>
      <c r="E26" s="3">
        <v>0</v>
      </c>
      <c r="F26" s="3">
        <v>0</v>
      </c>
      <c r="G26" s="3">
        <v>0</v>
      </c>
      <c r="H26" s="3">
        <v>1.1504285000000001E-4</v>
      </c>
      <c r="I26" s="3">
        <v>7.6350006000000002E-5</v>
      </c>
      <c r="J26" s="3">
        <v>-2.9528821000000002E-4</v>
      </c>
      <c r="K26" s="3"/>
      <c r="L26" s="3">
        <f t="shared" si="0"/>
        <v>0.38232129131437348</v>
      </c>
      <c r="M26" s="3"/>
      <c r="N26" s="2">
        <f>IF('Modell einstellen'!$B$1="Voll",H26/0.35,H26/0.35*2)</f>
        <v>6.573877142857144E-4</v>
      </c>
      <c r="O26" s="2">
        <f>IF('Modell einstellen'!$B$1="Voll",J26/0.35,J26/0.35*2)</f>
        <v>-1.6873612000000001E-3</v>
      </c>
      <c r="P26" s="3">
        <f t="shared" si="1"/>
        <v>0.38959513486840536</v>
      </c>
      <c r="Q26" s="3"/>
      <c r="R26" s="3"/>
      <c r="S26" s="3"/>
      <c r="T26" s="3"/>
      <c r="U26" s="3"/>
      <c r="V26" s="3"/>
      <c r="W26" s="3"/>
      <c r="X26" s="3"/>
      <c r="Y26" s="3"/>
    </row>
    <row r="27" spans="1:25" x14ac:dyDescent="0.25">
      <c r="A27" s="3">
        <v>1000000000</v>
      </c>
      <c r="B27" s="3">
        <v>5.754E-4</v>
      </c>
      <c r="C27" s="3">
        <v>6.6350000000000003E-4</v>
      </c>
      <c r="D27" s="3">
        <v>-1.4530000000000001E-3</v>
      </c>
      <c r="E27" s="3">
        <v>0</v>
      </c>
      <c r="F27" s="3">
        <v>0</v>
      </c>
      <c r="G27" s="3">
        <v>0</v>
      </c>
      <c r="H27" s="3">
        <v>1.2579250000000001E-4</v>
      </c>
      <c r="I27" s="3">
        <v>8.7948489000000003E-5</v>
      </c>
      <c r="J27" s="3">
        <v>-3.2824138E-4</v>
      </c>
      <c r="K27" s="3"/>
      <c r="L27" s="3">
        <f t="shared" si="0"/>
        <v>0.39600825877494839</v>
      </c>
      <c r="M27" s="3"/>
      <c r="N27" s="2">
        <f>IF('Modell einstellen'!$B$1="Voll",H27/0.35,H27/0.35*2)</f>
        <v>7.188142857142858E-4</v>
      </c>
      <c r="O27" s="2">
        <f>IF('Modell einstellen'!$B$1="Voll",J27/0.35,J27/0.35*2)</f>
        <v>-1.8756650285714287E-3</v>
      </c>
      <c r="P27" s="3">
        <f t="shared" si="1"/>
        <v>0.38323169370053223</v>
      </c>
      <c r="Q27" s="3"/>
      <c r="R27" s="3"/>
      <c r="S27" s="3"/>
      <c r="T27" s="3"/>
      <c r="U27" s="3"/>
      <c r="V27" s="3"/>
      <c r="W27" s="3"/>
      <c r="X27" s="3"/>
      <c r="Y27" s="3"/>
    </row>
    <row r="28" spans="1:25" x14ac:dyDescent="0.25">
      <c r="A28" s="3">
        <v>10000000000</v>
      </c>
      <c r="B28" s="3">
        <v>6.4479999999999995E-4</v>
      </c>
      <c r="C28" s="3">
        <v>7.5179999999999995E-4</v>
      </c>
      <c r="D28" s="3">
        <v>-1.603E-3</v>
      </c>
      <c r="E28" s="3">
        <v>0</v>
      </c>
      <c r="F28" s="3">
        <v>0</v>
      </c>
      <c r="G28" s="3">
        <v>0</v>
      </c>
      <c r="H28" s="3">
        <v>1.3802271E-4</v>
      </c>
      <c r="I28" s="3">
        <v>1.0049838E-4</v>
      </c>
      <c r="J28" s="3">
        <v>-3.6468332E-4</v>
      </c>
      <c r="K28" s="3"/>
      <c r="L28" s="3">
        <f t="shared" si="0"/>
        <v>0.40224578914535242</v>
      </c>
      <c r="M28" s="3"/>
      <c r="N28" s="2">
        <f>IF('Modell einstellen'!$B$1="Voll",H28/0.35,H28/0.35*2)</f>
        <v>7.8870120000000001E-4</v>
      </c>
      <c r="O28" s="2">
        <f>IF('Modell einstellen'!$B$1="Voll",J28/0.35,J28/0.35*2)</f>
        <v>-2.0839046857142858E-3</v>
      </c>
      <c r="P28" s="3">
        <f t="shared" si="1"/>
        <v>0.37847278016444513</v>
      </c>
      <c r="Q28" s="3"/>
      <c r="R28" s="3"/>
      <c r="S28" s="3"/>
      <c r="T28" s="3"/>
      <c r="U28" s="3"/>
      <c r="V28" s="3"/>
      <c r="W28" s="3"/>
      <c r="X28" s="3"/>
      <c r="Y28" s="3"/>
    </row>
    <row r="29" spans="1:25" x14ac:dyDescent="0.25">
      <c r="A29" s="3">
        <v>100000000000</v>
      </c>
      <c r="B29" s="3">
        <v>7.1409999999999996E-4</v>
      </c>
      <c r="C29" s="3">
        <v>8.5389999999999999E-4</v>
      </c>
      <c r="D29" s="3">
        <v>-1.7700000000000001E-3</v>
      </c>
      <c r="E29" s="3">
        <v>0</v>
      </c>
      <c r="F29" s="3">
        <v>0</v>
      </c>
      <c r="G29" s="3">
        <v>0</v>
      </c>
      <c r="H29" s="3">
        <v>1.5381117000000001E-4</v>
      </c>
      <c r="I29" s="3">
        <v>1.1563799000000001E-4</v>
      </c>
      <c r="J29" s="3">
        <v>-4.0983506000000003E-4</v>
      </c>
      <c r="K29" s="3"/>
      <c r="L29" s="3">
        <f t="shared" si="0"/>
        <v>0.40344632768361577</v>
      </c>
      <c r="M29" s="3"/>
      <c r="N29" s="2">
        <f>IF('Modell einstellen'!$B$1="Voll",H29/0.35,H29/0.35*2)</f>
        <v>8.7892097142857153E-4</v>
      </c>
      <c r="O29" s="2">
        <f>IF('Modell einstellen'!$B$1="Voll",J29/0.35,J29/0.35*2)</f>
        <v>-2.3419146285714289E-3</v>
      </c>
      <c r="P29" s="3">
        <f t="shared" si="1"/>
        <v>0.37530017563651091</v>
      </c>
      <c r="Q29" s="3"/>
      <c r="R29" s="3"/>
      <c r="S29" s="3"/>
      <c r="T29" s="3"/>
      <c r="U29" s="3"/>
      <c r="V29" s="3"/>
      <c r="W29" s="3"/>
      <c r="X29" s="3"/>
      <c r="Y29" s="3"/>
    </row>
    <row r="30" spans="1:25" x14ac:dyDescent="0.25">
      <c r="A30" s="3">
        <v>1000000000000</v>
      </c>
      <c r="B30" s="3">
        <v>7.9080000000000003E-4</v>
      </c>
      <c r="C30" s="3">
        <v>9.8170000000000006E-4</v>
      </c>
      <c r="D30" s="3">
        <v>-1.97E-3</v>
      </c>
      <c r="E30" s="3">
        <v>0</v>
      </c>
      <c r="F30" s="3">
        <v>0</v>
      </c>
      <c r="G30" s="3">
        <v>0</v>
      </c>
      <c r="H30" s="3">
        <v>1.7552192E-4</v>
      </c>
      <c r="I30" s="3">
        <v>1.3546154000000001E-4</v>
      </c>
      <c r="J30" s="3">
        <v>-4.7005971999999999E-4</v>
      </c>
      <c r="K30" s="3"/>
      <c r="L30" s="3">
        <f t="shared" si="0"/>
        <v>0.40142131979695433</v>
      </c>
      <c r="M30" s="3"/>
      <c r="N30" s="2">
        <f>IF('Modell einstellen'!$B$1="Voll",H30/0.35,H30/0.35*2)</f>
        <v>1.0029824000000001E-3</v>
      </c>
      <c r="O30" s="2">
        <f>IF('Modell einstellen'!$B$1="Voll",J30/0.35,J30/0.35*2)</f>
        <v>-2.686055542857143E-3</v>
      </c>
      <c r="P30" s="3">
        <f t="shared" si="1"/>
        <v>0.37340344754492044</v>
      </c>
      <c r="Q30" s="3"/>
      <c r="R30" s="3"/>
      <c r="S30" s="3"/>
      <c r="T30" s="3"/>
      <c r="U30" s="3"/>
      <c r="V30" s="3"/>
      <c r="W30" s="3"/>
      <c r="X30" s="3"/>
      <c r="Y30" s="3"/>
    </row>
    <row r="31" spans="1:25" x14ac:dyDescent="0.25">
      <c r="A31" s="3">
        <v>10000000000000</v>
      </c>
      <c r="B31" s="3">
        <v>8.8599999999999996E-4</v>
      </c>
      <c r="C31" s="3">
        <v>1.1670000000000001E-3</v>
      </c>
      <c r="D31" s="3">
        <v>-2.2460000000000002E-3</v>
      </c>
      <c r="E31" s="3">
        <v>0</v>
      </c>
      <c r="F31" s="3">
        <v>0</v>
      </c>
      <c r="G31" s="3">
        <v>0</v>
      </c>
      <c r="H31" s="3">
        <v>2.0924048E-4</v>
      </c>
      <c r="I31" s="3">
        <v>1.6531790000000001E-4</v>
      </c>
      <c r="J31" s="3">
        <v>-5.6174166999999997E-4</v>
      </c>
      <c r="K31" s="3"/>
      <c r="L31" s="3">
        <f t="shared" si="0"/>
        <v>0.39447907390917181</v>
      </c>
      <c r="M31" s="3"/>
      <c r="N31" s="2">
        <f>IF('Modell einstellen'!$B$1="Voll",H31/0.35,H31/0.35*2)</f>
        <v>1.1956598857142857E-3</v>
      </c>
      <c r="O31" s="2">
        <f>IF('Modell einstellen'!$B$1="Voll",J31/0.35,J31/0.35*2)</f>
        <v>-3.2099524E-3</v>
      </c>
      <c r="P31" s="3">
        <f t="shared" si="1"/>
        <v>0.37248523863291111</v>
      </c>
      <c r="Q31" s="3"/>
      <c r="R31" s="3"/>
      <c r="S31" s="3"/>
      <c r="T31" s="3"/>
      <c r="U31" s="3"/>
      <c r="V31" s="3"/>
      <c r="W31" s="3"/>
      <c r="X31" s="3"/>
      <c r="Y31" s="3"/>
    </row>
    <row r="32" spans="1:25" x14ac:dyDescent="0.25">
      <c r="A32" s="3">
        <v>100000000000000</v>
      </c>
      <c r="B32" s="3">
        <v>1.0150000000000001E-3</v>
      </c>
      <c r="C32" s="3">
        <v>1.4630000000000001E-3</v>
      </c>
      <c r="D32" s="3">
        <v>-2.666E-3</v>
      </c>
      <c r="E32" s="3">
        <v>0</v>
      </c>
      <c r="F32" s="3">
        <v>0</v>
      </c>
      <c r="G32" s="3">
        <v>0</v>
      </c>
      <c r="H32" s="3">
        <v>2.6606988999999998E-4</v>
      </c>
      <c r="I32" s="3">
        <v>2.1478352E-4</v>
      </c>
      <c r="J32" s="3">
        <v>-7.1432565000000003E-4</v>
      </c>
      <c r="K32" s="3"/>
      <c r="L32" s="3">
        <f t="shared" si="0"/>
        <v>0.38072018004501129</v>
      </c>
      <c r="M32" s="3"/>
      <c r="N32" s="2">
        <f>IF('Modell einstellen'!$B$1="Voll",H32/0.35,H32/0.35*2)</f>
        <v>1.5203993714285715E-3</v>
      </c>
      <c r="O32" s="2">
        <f>IF('Modell einstellen'!$B$1="Voll",J32/0.35,J32/0.35*2)</f>
        <v>-4.0818608571428572E-3</v>
      </c>
      <c r="P32" s="3">
        <f t="shared" si="1"/>
        <v>0.37247702080976652</v>
      </c>
      <c r="Q32" s="3"/>
      <c r="R32" s="3"/>
      <c r="S32" s="3"/>
      <c r="T32" s="3"/>
      <c r="U32" s="3"/>
      <c r="V32" s="3"/>
      <c r="W32" s="3"/>
      <c r="X32" s="3"/>
      <c r="Y32" s="3"/>
    </row>
    <row r="33" spans="1:25" x14ac:dyDescent="0.25">
      <c r="A33" s="2">
        <v>1000000000000000</v>
      </c>
      <c r="B33" s="3">
        <v>1.2030000000000001E-3</v>
      </c>
      <c r="C33" s="3">
        <v>1.9620000000000002E-3</v>
      </c>
      <c r="D33" s="3">
        <v>-3.3449999999999999E-3</v>
      </c>
      <c r="E33" s="3">
        <v>0</v>
      </c>
      <c r="F33" s="3">
        <v>0</v>
      </c>
      <c r="G33" s="3">
        <v>0</v>
      </c>
      <c r="H33" s="3">
        <v>3.6519463999999999E-4</v>
      </c>
      <c r="I33" s="3">
        <v>3.0033668E-4</v>
      </c>
      <c r="J33" s="3">
        <v>-9.7829253999999997E-4</v>
      </c>
      <c r="K33" s="3"/>
      <c r="L33" s="3">
        <f t="shared" si="0"/>
        <v>0.35964125560538118</v>
      </c>
      <c r="M33" s="3"/>
      <c r="N33" s="2">
        <f>IF('Modell einstellen'!$B$1="Voll",H33/0.35,H33/0.35*2)</f>
        <v>2.0868265142857142E-3</v>
      </c>
      <c r="O33" s="2">
        <f>IF('Modell einstellen'!$B$1="Voll",J33/0.35,J33/0.35*2)</f>
        <v>-5.5902430857142863E-3</v>
      </c>
      <c r="P33" s="3">
        <f t="shared" si="1"/>
        <v>0.37329799121232177</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-4.1620000000000001E-6</v>
      </c>
      <c r="C3" s="3">
        <v>1.4359999999999999E-4</v>
      </c>
      <c r="D3" s="3">
        <v>-4.3580000000000002E-4</v>
      </c>
      <c r="E3" s="3">
        <v>0</v>
      </c>
      <c r="F3" s="3">
        <v>0</v>
      </c>
      <c r="G3" s="3">
        <v>0</v>
      </c>
      <c r="H3" s="3">
        <v>3.2956966999999999E-5</v>
      </c>
      <c r="I3" s="3">
        <v>1.3226836E-5</v>
      </c>
      <c r="J3" s="3">
        <v>-9.2910133E-5</v>
      </c>
      <c r="K3" s="3"/>
      <c r="L3" s="3">
        <f>-B3/D3</f>
        <v>-9.5502524093620932E-3</v>
      </c>
      <c r="M3" s="3"/>
      <c r="N3" s="2">
        <f>IF('Modell einstellen'!$B$1="Voll",H3/0.35,H3/0.35*2)</f>
        <v>1.8832552571428573E-4</v>
      </c>
      <c r="O3" s="2">
        <f>IF('Modell einstellen'!$B$1="Voll",J3/0.35,J3/0.35*2)</f>
        <v>-5.3091504571428573E-4</v>
      </c>
      <c r="P3" s="3">
        <f>-N3/O3</f>
        <v>0.35471875817893839</v>
      </c>
      <c r="Q3" s="3"/>
      <c r="R3" s="3"/>
      <c r="S3" s="3"/>
      <c r="T3" s="3"/>
      <c r="U3" s="3"/>
    </row>
    <row r="4" spans="1:21" x14ac:dyDescent="0.25">
      <c r="A4" s="3">
        <v>1E-14</v>
      </c>
      <c r="B4" s="3">
        <v>-4.2100000000000003E-6</v>
      </c>
      <c r="C4" s="3">
        <v>1.437E-4</v>
      </c>
      <c r="D4" s="3">
        <v>-4.3580000000000002E-4</v>
      </c>
      <c r="E4" s="3">
        <v>0</v>
      </c>
      <c r="F4" s="3">
        <v>0</v>
      </c>
      <c r="G4" s="3">
        <v>0</v>
      </c>
      <c r="H4" s="3">
        <v>3.2964949999999997E-5</v>
      </c>
      <c r="I4" s="3">
        <v>1.3229067E-5</v>
      </c>
      <c r="J4" s="3">
        <v>-9.2920715999999997E-5</v>
      </c>
      <c r="K4" s="3"/>
      <c r="L4" s="3">
        <f t="shared" ref="L4:L33" si="0">-B4/D4</f>
        <v>-9.660394676457091E-3</v>
      </c>
      <c r="M4" s="3"/>
      <c r="N4" s="2">
        <f>IF('Modell einstellen'!$B$1="Voll",H4/0.35,H4/0.35*2)</f>
        <v>1.8837114285714284E-4</v>
      </c>
      <c r="O4" s="2">
        <f>IF('Modell einstellen'!$B$1="Voll",J4/0.35,J4/0.35*2)</f>
        <v>-5.3097552000000003E-4</v>
      </c>
      <c r="P4" s="3">
        <f t="shared" ref="P4:P33" si="1">-N4/O4</f>
        <v>0.35476427021935553</v>
      </c>
      <c r="Q4" s="3"/>
      <c r="R4" s="3"/>
      <c r="S4" s="3"/>
      <c r="T4" s="3"/>
      <c r="U4" s="3"/>
    </row>
    <row r="5" spans="1:21" x14ac:dyDescent="0.25">
      <c r="A5" s="3">
        <v>1E-13</v>
      </c>
      <c r="B5" s="3">
        <v>-4.5879999999999999E-6</v>
      </c>
      <c r="C5" s="3">
        <v>1.438E-4</v>
      </c>
      <c r="D5" s="3">
        <v>-4.3570000000000002E-4</v>
      </c>
      <c r="E5" s="3">
        <v>0</v>
      </c>
      <c r="F5" s="3">
        <v>0</v>
      </c>
      <c r="G5" s="3">
        <v>0</v>
      </c>
      <c r="H5" s="3">
        <v>3.3040244000000003E-5</v>
      </c>
      <c r="I5" s="3">
        <v>1.3241877E-5</v>
      </c>
      <c r="J5" s="3">
        <v>-9.3036840999999995E-5</v>
      </c>
      <c r="K5" s="3"/>
      <c r="L5" s="3">
        <f t="shared" si="0"/>
        <v>-1.0530181317420242E-2</v>
      </c>
      <c r="M5" s="3"/>
      <c r="N5" s="2">
        <f>IF('Modell einstellen'!$B$1="Voll",H5/0.35,H5/0.35*2)</f>
        <v>1.8880139428571432E-4</v>
      </c>
      <c r="O5" s="2">
        <f>IF('Modell einstellen'!$B$1="Voll",J5/0.35,J5/0.35*2)</f>
        <v>-5.316390914285714E-4</v>
      </c>
      <c r="P5" s="3">
        <f t="shared" si="1"/>
        <v>0.35513075943754374</v>
      </c>
      <c r="Q5" s="3"/>
      <c r="R5" s="3"/>
      <c r="S5" s="3"/>
      <c r="T5" s="3"/>
      <c r="U5" s="3"/>
    </row>
    <row r="6" spans="1:21" x14ac:dyDescent="0.25">
      <c r="A6" s="3">
        <v>9.9999999999999998E-13</v>
      </c>
      <c r="B6" s="3">
        <v>-7.576E-6</v>
      </c>
      <c r="C6" s="3">
        <v>1.448E-4</v>
      </c>
      <c r="D6" s="3">
        <v>-4.351E-4</v>
      </c>
      <c r="E6" s="3">
        <v>0</v>
      </c>
      <c r="F6" s="3">
        <v>0</v>
      </c>
      <c r="G6" s="3">
        <v>0</v>
      </c>
      <c r="H6" s="3">
        <v>3.3627834999999999E-5</v>
      </c>
      <c r="I6" s="3">
        <v>1.3340300999999999E-5</v>
      </c>
      <c r="J6" s="3">
        <v>-9.3939382999999997E-5</v>
      </c>
      <c r="K6" s="3"/>
      <c r="L6" s="3">
        <f t="shared" si="0"/>
        <v>-1.741208917490232E-2</v>
      </c>
      <c r="M6" s="3"/>
      <c r="N6" s="2">
        <f>IF('Modell einstellen'!$B$1="Voll",H6/0.35,H6/0.35*2)</f>
        <v>1.9215905714285714E-4</v>
      </c>
      <c r="O6" s="2">
        <f>IF('Modell einstellen'!$B$1="Voll",J6/0.35,J6/0.35*2)</f>
        <v>-5.367964742857143E-4</v>
      </c>
      <c r="P6" s="3">
        <f t="shared" si="1"/>
        <v>0.35797376910597761</v>
      </c>
      <c r="Q6" s="3"/>
      <c r="R6" s="3"/>
      <c r="S6" s="3"/>
      <c r="T6" s="3"/>
      <c r="U6" s="3"/>
    </row>
    <row r="7" spans="1:21" x14ac:dyDescent="0.25">
      <c r="A7" s="3">
        <v>9.9999999999999994E-12</v>
      </c>
      <c r="B7" s="3">
        <v>-1.403E-5</v>
      </c>
      <c r="C7" s="3">
        <v>1.4689999999999999E-4</v>
      </c>
      <c r="D7" s="3">
        <v>-4.3360000000000002E-4</v>
      </c>
      <c r="E7" s="3">
        <v>0</v>
      </c>
      <c r="F7" s="3">
        <v>0</v>
      </c>
      <c r="G7" s="3">
        <v>0</v>
      </c>
      <c r="H7" s="3">
        <v>3.4863171000000003E-5</v>
      </c>
      <c r="I7" s="3">
        <v>1.3543798E-5</v>
      </c>
      <c r="J7" s="3">
        <v>-9.5818463000000003E-5</v>
      </c>
      <c r="K7" s="3"/>
      <c r="L7" s="3">
        <f t="shared" si="0"/>
        <v>-3.23570110701107E-2</v>
      </c>
      <c r="M7" s="3"/>
      <c r="N7" s="2">
        <f>IF('Modell einstellen'!$B$1="Voll",H7/0.35,H7/0.35*2)</f>
        <v>1.9921812000000004E-4</v>
      </c>
      <c r="O7" s="2">
        <f>IF('Modell einstellen'!$B$1="Voll",J7/0.35,J7/0.35*2)</f>
        <v>-5.4753407428571432E-4</v>
      </c>
      <c r="P7" s="3">
        <f t="shared" si="1"/>
        <v>0.36384606795456531</v>
      </c>
      <c r="Q7" s="3"/>
      <c r="R7" s="3"/>
      <c r="S7" s="3"/>
      <c r="T7" s="3"/>
      <c r="U7" s="3"/>
    </row>
    <row r="8" spans="1:21" x14ac:dyDescent="0.25">
      <c r="A8" s="3">
        <v>1E-10</v>
      </c>
      <c r="B8" s="3">
        <v>-1.8879999999999999E-5</v>
      </c>
      <c r="C8" s="3">
        <v>1.485E-4</v>
      </c>
      <c r="D8" s="3">
        <v>-4.3239999999999999E-4</v>
      </c>
      <c r="E8" s="3">
        <v>0</v>
      </c>
      <c r="F8" s="3">
        <v>0</v>
      </c>
      <c r="G8" s="3">
        <v>0</v>
      </c>
      <c r="H8" s="3">
        <v>3.5776884000000003E-5</v>
      </c>
      <c r="I8" s="3">
        <v>1.3698364000000001E-5</v>
      </c>
      <c r="J8" s="3">
        <v>-9.7204037000000001E-5</v>
      </c>
      <c r="K8" s="3"/>
      <c r="L8" s="3">
        <f t="shared" si="0"/>
        <v>-4.3663274745605919E-2</v>
      </c>
      <c r="M8" s="3"/>
      <c r="N8" s="2">
        <f>IF('Modell einstellen'!$B$1="Voll",H8/0.35,H8/0.35*2)</f>
        <v>2.0443933714285717E-4</v>
      </c>
      <c r="O8" s="2">
        <f>IF('Modell einstellen'!$B$1="Voll",J8/0.35,J8/0.35*2)</f>
        <v>-5.5545164000000004E-4</v>
      </c>
      <c r="P8" s="3">
        <f t="shared" si="1"/>
        <v>0.36805965167887011</v>
      </c>
      <c r="Q8" s="3"/>
      <c r="R8" s="3"/>
      <c r="S8" s="3"/>
      <c r="T8" s="3"/>
      <c r="U8" s="3"/>
    </row>
    <row r="9" spans="1:21" x14ac:dyDescent="0.25">
      <c r="A9" s="3">
        <v>1.0000000000000001E-9</v>
      </c>
      <c r="B9" s="3">
        <v>-2.404E-5</v>
      </c>
      <c r="C9" s="3">
        <v>1.5009999999999999E-4</v>
      </c>
      <c r="D9" s="3">
        <v>-4.3090000000000001E-4</v>
      </c>
      <c r="E9" s="3">
        <v>0</v>
      </c>
      <c r="F9" s="3">
        <v>0</v>
      </c>
      <c r="G9" s="3">
        <v>0</v>
      </c>
      <c r="H9" s="3">
        <v>3.6712765999999999E-5</v>
      </c>
      <c r="I9" s="3">
        <v>1.3851983000000001E-5</v>
      </c>
      <c r="J9" s="3">
        <v>-9.860914E-5</v>
      </c>
      <c r="K9" s="3"/>
      <c r="L9" s="3">
        <f t="shared" si="0"/>
        <v>-5.5790206544441862E-2</v>
      </c>
      <c r="M9" s="3"/>
      <c r="N9" s="2">
        <f>IF('Modell einstellen'!$B$1="Voll",H9/0.35,H9/0.35*2)</f>
        <v>2.097872342857143E-4</v>
      </c>
      <c r="O9" s="2">
        <f>IF('Modell einstellen'!$B$1="Voll",J9/0.35,J9/0.35*2)</f>
        <v>-5.6348080000000005E-4</v>
      </c>
      <c r="P9" s="3">
        <f t="shared" si="1"/>
        <v>0.37230591403596053</v>
      </c>
      <c r="Q9" s="3"/>
      <c r="R9" s="3"/>
      <c r="S9" s="3"/>
      <c r="T9" s="3"/>
      <c r="U9" s="3"/>
    </row>
    <row r="10" spans="1:21" x14ac:dyDescent="0.25">
      <c r="A10" s="3">
        <v>1E-8</v>
      </c>
      <c r="B10" s="3">
        <v>-3.0309999999999999E-5</v>
      </c>
      <c r="C10" s="3">
        <v>1.5200000000000001E-4</v>
      </c>
      <c r="D10" s="3">
        <v>-4.2880000000000001E-4</v>
      </c>
      <c r="E10" s="3">
        <v>0</v>
      </c>
      <c r="F10" s="3">
        <v>0</v>
      </c>
      <c r="G10" s="3">
        <v>0</v>
      </c>
      <c r="H10" s="3">
        <v>3.7805992000000002E-5</v>
      </c>
      <c r="I10" s="3">
        <v>1.4023448E-5</v>
      </c>
      <c r="J10" s="3">
        <v>-1.0022864999999999E-4</v>
      </c>
      <c r="K10" s="3"/>
      <c r="L10" s="3">
        <f t="shared" si="0"/>
        <v>-7.0685634328358199E-2</v>
      </c>
      <c r="M10" s="3"/>
      <c r="N10" s="2">
        <f>IF('Modell einstellen'!$B$1="Voll",H10/0.35,H10/0.35*2)</f>
        <v>2.1603424000000003E-4</v>
      </c>
      <c r="O10" s="2">
        <f>IF('Modell einstellen'!$B$1="Voll",J10/0.35,J10/0.35*2)</f>
        <v>-5.7273514285714289E-4</v>
      </c>
      <c r="P10" s="3">
        <f t="shared" si="1"/>
        <v>0.37719745801225502</v>
      </c>
      <c r="Q10" s="3"/>
      <c r="R10" s="3"/>
      <c r="S10" s="3"/>
      <c r="T10" s="3"/>
      <c r="U10" s="3"/>
    </row>
    <row r="11" spans="1:21" x14ac:dyDescent="0.25">
      <c r="A11" s="3">
        <v>9.9999999999999995E-8</v>
      </c>
      <c r="B11" s="3">
        <v>-3.7589999999999998E-5</v>
      </c>
      <c r="C11" s="3">
        <v>1.539E-4</v>
      </c>
      <c r="D11" s="3">
        <v>-4.259E-4</v>
      </c>
      <c r="E11" s="3">
        <v>0</v>
      </c>
      <c r="F11" s="3">
        <v>0</v>
      </c>
      <c r="G11" s="3">
        <v>0</v>
      </c>
      <c r="H11" s="3">
        <v>3.9029590999999999E-5</v>
      </c>
      <c r="I11" s="3">
        <v>1.4208395000000001E-5</v>
      </c>
      <c r="J11" s="3">
        <v>-1.0201913E-4</v>
      </c>
      <c r="K11" s="3"/>
      <c r="L11" s="3">
        <f t="shared" si="0"/>
        <v>-8.8260154965954449E-2</v>
      </c>
      <c r="M11" s="3"/>
      <c r="N11" s="2">
        <f>IF('Modell einstellen'!$B$1="Voll",H11/0.35,H11/0.35*2)</f>
        <v>2.2302623428571428E-4</v>
      </c>
      <c r="O11" s="2">
        <f>IF('Modell einstellen'!$B$1="Voll",J11/0.35,J11/0.35*2)</f>
        <v>-5.8296645714285718E-4</v>
      </c>
      <c r="P11" s="3">
        <f t="shared" si="1"/>
        <v>0.38257129814771013</v>
      </c>
      <c r="Q11" s="3"/>
      <c r="R11" s="3"/>
      <c r="S11" s="3"/>
      <c r="T11" s="3"/>
      <c r="U11" s="3"/>
    </row>
    <row r="12" spans="1:21" x14ac:dyDescent="0.25">
      <c r="A12" s="3">
        <v>9.9999999999999995E-7</v>
      </c>
      <c r="B12" s="3">
        <v>-4.6650000000000002E-5</v>
      </c>
      <c r="C12" s="3">
        <v>1.561E-4</v>
      </c>
      <c r="D12" s="3">
        <v>-4.2180000000000001E-4</v>
      </c>
      <c r="E12" s="3">
        <v>0</v>
      </c>
      <c r="F12" s="3">
        <v>0</v>
      </c>
      <c r="G12" s="3">
        <v>0</v>
      </c>
      <c r="H12" s="3">
        <v>4.0489423999999998E-5</v>
      </c>
      <c r="I12" s="3">
        <v>1.4418542000000001E-5</v>
      </c>
      <c r="J12" s="3">
        <v>-1.0412394E-4</v>
      </c>
      <c r="K12" s="3"/>
      <c r="L12" s="3">
        <f t="shared" si="0"/>
        <v>-0.11059743954480797</v>
      </c>
      <c r="M12" s="3"/>
      <c r="N12" s="2">
        <f>IF('Modell einstellen'!$B$1="Voll",H12/0.35,H12/0.35*2)</f>
        <v>2.3136813714285715E-4</v>
      </c>
      <c r="O12" s="2">
        <f>IF('Modell einstellen'!$B$1="Voll",J12/0.35,J12/0.35*2)</f>
        <v>-5.9499394285714288E-4</v>
      </c>
      <c r="P12" s="3">
        <f t="shared" si="1"/>
        <v>0.38885797060695171</v>
      </c>
      <c r="Q12" s="3"/>
      <c r="R12" s="3"/>
      <c r="S12" s="3"/>
      <c r="T12" s="3"/>
      <c r="U12" s="3"/>
    </row>
    <row r="13" spans="1:21" x14ac:dyDescent="0.25">
      <c r="A13" s="3">
        <v>1.0000000000000001E-5</v>
      </c>
      <c r="B13" s="3">
        <v>-5.7550000000000003E-5</v>
      </c>
      <c r="C13" s="3">
        <v>1.5860000000000001E-4</v>
      </c>
      <c r="D13" s="3">
        <v>-4.1639999999999998E-4</v>
      </c>
      <c r="E13" s="3">
        <v>0</v>
      </c>
      <c r="F13" s="3">
        <v>0</v>
      </c>
      <c r="G13" s="3">
        <v>0</v>
      </c>
      <c r="H13" s="3">
        <v>4.2172275000000001E-5</v>
      </c>
      <c r="I13" s="3">
        <v>1.464929E-5</v>
      </c>
      <c r="J13" s="3">
        <v>-1.0651346999999999E-4</v>
      </c>
      <c r="K13" s="3"/>
      <c r="L13" s="3">
        <f t="shared" si="0"/>
        <v>-0.13820845341018254</v>
      </c>
      <c r="M13" s="3"/>
      <c r="N13" s="2">
        <f>IF('Modell einstellen'!$B$1="Voll",H13/0.35,H13/0.35*2)</f>
        <v>2.4098442857142859E-4</v>
      </c>
      <c r="O13" s="2">
        <f>IF('Modell einstellen'!$B$1="Voll",J13/0.35,J13/0.35*2)</f>
        <v>-6.0864839999999996E-4</v>
      </c>
      <c r="P13" s="3">
        <f t="shared" si="1"/>
        <v>0.39593372556541445</v>
      </c>
      <c r="Q13" s="3"/>
      <c r="R13" s="3"/>
      <c r="S13" s="3"/>
      <c r="T13" s="3"/>
      <c r="U13" s="3"/>
    </row>
    <row r="14" spans="1:21" x14ac:dyDescent="0.25">
      <c r="A14" s="3">
        <v>1E-4</v>
      </c>
      <c r="B14" s="3">
        <v>-6.9889999999999997E-5</v>
      </c>
      <c r="C14" s="3">
        <v>1.6200000000000001E-4</v>
      </c>
      <c r="D14" s="3">
        <v>-4.1070000000000001E-4</v>
      </c>
      <c r="E14" s="3">
        <v>0</v>
      </c>
      <c r="F14" s="3">
        <v>0</v>
      </c>
      <c r="G14" s="3">
        <v>0</v>
      </c>
      <c r="H14" s="3">
        <v>4.4045563999999999E-5</v>
      </c>
      <c r="I14" s="3">
        <v>1.4939048E-5</v>
      </c>
      <c r="J14" s="3">
        <v>-1.0921175999999999E-4</v>
      </c>
      <c r="K14" s="3"/>
      <c r="L14" s="3">
        <f t="shared" si="0"/>
        <v>-0.17017287557828098</v>
      </c>
      <c r="M14" s="3"/>
      <c r="N14" s="2">
        <f>IF('Modell einstellen'!$B$1="Voll",H14/0.35,H14/0.35*2)</f>
        <v>2.5168893714285715E-4</v>
      </c>
      <c r="O14" s="2">
        <f>IF('Modell einstellen'!$B$1="Voll",J14/0.35,J14/0.35*2)</f>
        <v>-6.2406720000000003E-4</v>
      </c>
      <c r="P14" s="3">
        <f t="shared" si="1"/>
        <v>0.40330422291518786</v>
      </c>
      <c r="Q14" s="3"/>
      <c r="R14" s="3"/>
      <c r="S14" s="3"/>
      <c r="T14" s="3"/>
      <c r="U14" s="3"/>
    </row>
    <row r="15" spans="1:21" x14ac:dyDescent="0.25">
      <c r="A15" s="3">
        <v>1E-3</v>
      </c>
      <c r="B15" s="3">
        <v>-8.352E-5</v>
      </c>
      <c r="C15" s="3">
        <v>1.641E-4</v>
      </c>
      <c r="D15" s="3">
        <v>-4.0220000000000002E-4</v>
      </c>
      <c r="E15" s="3">
        <v>0</v>
      </c>
      <c r="F15" s="3">
        <v>0</v>
      </c>
      <c r="G15" s="3">
        <v>0</v>
      </c>
      <c r="H15" s="3">
        <v>4.5942597999999997E-5</v>
      </c>
      <c r="I15" s="3">
        <v>1.5146828E-5</v>
      </c>
      <c r="J15" s="3">
        <v>-1.1177436E-4</v>
      </c>
      <c r="K15" s="3"/>
      <c r="L15" s="3">
        <f t="shared" si="0"/>
        <v>-0.20765788165091992</v>
      </c>
      <c r="M15" s="3"/>
      <c r="N15" s="2">
        <f>IF('Modell einstellen'!$B$1="Voll",H15/0.35,H15/0.35*2)</f>
        <v>2.6252913142857143E-4</v>
      </c>
      <c r="O15" s="2">
        <f>IF('Modell einstellen'!$B$1="Voll",J15/0.35,J15/0.35*2)</f>
        <v>-6.3871062857142865E-4</v>
      </c>
      <c r="P15" s="3">
        <f t="shared" si="1"/>
        <v>0.41102984620086391</v>
      </c>
      <c r="Q15" s="3"/>
      <c r="R15" s="3"/>
      <c r="S15" s="3"/>
      <c r="T15" s="3"/>
      <c r="U15" s="3"/>
    </row>
    <row r="16" spans="1:21" x14ac:dyDescent="0.25">
      <c r="A16" s="3">
        <v>0.01</v>
      </c>
      <c r="B16" s="3">
        <v>-9.9939999999999995E-5</v>
      </c>
      <c r="C16" s="3">
        <v>1.6750000000000001E-4</v>
      </c>
      <c r="D16" s="3">
        <v>-3.927E-4</v>
      </c>
      <c r="E16" s="3">
        <v>0</v>
      </c>
      <c r="F16" s="3">
        <v>0</v>
      </c>
      <c r="G16" s="3">
        <v>0</v>
      </c>
      <c r="H16" s="3">
        <v>4.8212226999999999E-5</v>
      </c>
      <c r="I16" s="3">
        <v>1.5443635000000001E-5</v>
      </c>
      <c r="J16" s="3">
        <v>-1.1490513999999999E-4</v>
      </c>
      <c r="K16" s="3"/>
      <c r="L16" s="3">
        <f t="shared" si="0"/>
        <v>-0.25449452508276038</v>
      </c>
      <c r="M16" s="3"/>
      <c r="N16" s="2">
        <f>IF('Modell einstellen'!$B$1="Voll",H16/0.35,H16/0.35*2)</f>
        <v>2.7549844000000003E-4</v>
      </c>
      <c r="O16" s="2">
        <f>IF('Modell einstellen'!$B$1="Voll",J16/0.35,J16/0.35*2)</f>
        <v>-6.5660079999999997E-4</v>
      </c>
      <c r="P16" s="3">
        <f t="shared" si="1"/>
        <v>0.41958285765110254</v>
      </c>
      <c r="Q16" s="3"/>
      <c r="R16" s="3"/>
      <c r="S16" s="3"/>
      <c r="T16" s="3"/>
      <c r="U16" s="3"/>
    </row>
    <row r="17" spans="1:21" x14ac:dyDescent="0.25">
      <c r="A17" s="3">
        <v>0.1</v>
      </c>
      <c r="B17" s="3">
        <v>-1.2300000000000001E-4</v>
      </c>
      <c r="C17" s="3">
        <v>1.7110000000000001E-4</v>
      </c>
      <c r="D17" s="3">
        <v>-3.7740000000000001E-4</v>
      </c>
      <c r="E17" s="3">
        <v>0</v>
      </c>
      <c r="F17" s="3">
        <v>0</v>
      </c>
      <c r="G17" s="3">
        <v>0</v>
      </c>
      <c r="H17" s="3">
        <v>5.1223230999999999E-5</v>
      </c>
      <c r="I17" s="3">
        <v>1.5774790999999999E-5</v>
      </c>
      <c r="J17" s="3">
        <v>-1.1891298E-4</v>
      </c>
      <c r="K17" s="3"/>
      <c r="L17" s="3">
        <f t="shared" si="0"/>
        <v>-0.32591414944356123</v>
      </c>
      <c r="M17" s="3"/>
      <c r="N17" s="2">
        <f>IF('Modell einstellen'!$B$1="Voll",H17/0.35,H17/0.35*2)</f>
        <v>2.9270417714285715E-4</v>
      </c>
      <c r="O17" s="2">
        <f>IF('Modell einstellen'!$B$1="Voll",J17/0.35,J17/0.35*2)</f>
        <v>-6.7950274285714289E-4</v>
      </c>
      <c r="P17" s="3">
        <f t="shared" si="1"/>
        <v>0.43076231879816651</v>
      </c>
      <c r="Q17" s="3"/>
      <c r="R17" s="3"/>
      <c r="S17" s="3"/>
      <c r="T17" s="3"/>
      <c r="U17" s="3"/>
    </row>
    <row r="18" spans="1:21" x14ac:dyDescent="0.25">
      <c r="A18" s="3">
        <v>1</v>
      </c>
      <c r="B18" s="3">
        <v>-1.516E-4</v>
      </c>
      <c r="C18" s="3">
        <v>1.751E-4</v>
      </c>
      <c r="D18" s="3">
        <v>-3.5740000000000001E-4</v>
      </c>
      <c r="E18" s="3">
        <v>0</v>
      </c>
      <c r="F18" s="3">
        <v>0</v>
      </c>
      <c r="G18" s="3">
        <v>0</v>
      </c>
      <c r="H18" s="3">
        <v>5.4851632000000003E-5</v>
      </c>
      <c r="I18" s="3">
        <v>1.6164018999999998E-5</v>
      </c>
      <c r="J18" s="3">
        <v>-1.2367412E-4</v>
      </c>
      <c r="K18" s="3"/>
      <c r="L18" s="3">
        <f t="shared" si="0"/>
        <v>-0.42417459429210969</v>
      </c>
      <c r="M18" s="3"/>
      <c r="N18" s="2">
        <f>IF('Modell einstellen'!$B$1="Voll",H18/0.35,H18/0.35*2)</f>
        <v>3.134378971428572E-4</v>
      </c>
      <c r="O18" s="2">
        <f>IF('Modell einstellen'!$B$1="Voll",J18/0.35,J18/0.35*2)</f>
        <v>-7.0670925714285716E-4</v>
      </c>
      <c r="P18" s="3">
        <f t="shared" si="1"/>
        <v>0.44351746347578624</v>
      </c>
      <c r="Q18" s="3"/>
      <c r="R18" s="3"/>
      <c r="S18" s="3"/>
      <c r="T18" s="3"/>
      <c r="U18" s="3"/>
    </row>
    <row r="19" spans="1:21" x14ac:dyDescent="0.25">
      <c r="A19" s="3">
        <v>10</v>
      </c>
      <c r="B19" s="3">
        <v>-1.7560000000000001E-4</v>
      </c>
      <c r="C19" s="3">
        <v>1.808E-4</v>
      </c>
      <c r="D19" s="3">
        <v>-3.4220000000000002E-4</v>
      </c>
      <c r="E19" s="3">
        <v>0</v>
      </c>
      <c r="F19" s="3">
        <v>0</v>
      </c>
      <c r="G19" s="3">
        <v>0</v>
      </c>
      <c r="H19" s="3">
        <v>5.8662034999999997E-5</v>
      </c>
      <c r="I19" s="3">
        <v>1.682846E-5</v>
      </c>
      <c r="J19" s="3">
        <v>-1.2905155000000001E-4</v>
      </c>
      <c r="K19" s="3"/>
      <c r="L19" s="3">
        <f t="shared" si="0"/>
        <v>-0.51315020455873761</v>
      </c>
      <c r="M19" s="3"/>
      <c r="N19" s="2">
        <f>IF('Modell einstellen'!$B$1="Voll",H19/0.35,H19/0.35*2)</f>
        <v>3.352116285714286E-4</v>
      </c>
      <c r="O19" s="2">
        <f>IF('Modell einstellen'!$B$1="Voll",J19/0.35,J19/0.35*2)</f>
        <v>-7.3743742857142864E-4</v>
      </c>
      <c r="P19" s="3">
        <f t="shared" si="1"/>
        <v>0.45456280842810487</v>
      </c>
      <c r="Q19" s="3"/>
      <c r="R19" s="3"/>
      <c r="S19" s="3"/>
      <c r="T19" s="3"/>
      <c r="U19" s="3"/>
    </row>
    <row r="20" spans="1:21" x14ac:dyDescent="0.25">
      <c r="A20" s="3">
        <v>100</v>
      </c>
      <c r="B20" s="3">
        <v>-1.6449999999999999E-4</v>
      </c>
      <c r="C20" s="3">
        <v>1.985E-4</v>
      </c>
      <c r="D20" s="3">
        <v>-3.68E-4</v>
      </c>
      <c r="E20" s="3">
        <v>0</v>
      </c>
      <c r="F20" s="3">
        <v>0</v>
      </c>
      <c r="G20" s="3">
        <v>0</v>
      </c>
      <c r="H20" s="3">
        <v>6.4023818000000004E-5</v>
      </c>
      <c r="I20" s="3">
        <v>1.9514535E-5</v>
      </c>
      <c r="J20" s="3">
        <v>-1.3952716000000001E-4</v>
      </c>
      <c r="K20" s="3"/>
      <c r="L20" s="3">
        <f t="shared" si="0"/>
        <v>-0.44701086956521735</v>
      </c>
      <c r="M20" s="3"/>
      <c r="N20" s="2">
        <f>IF('Modell einstellen'!$B$1="Voll",H20/0.35,H20/0.35*2)</f>
        <v>3.6585038857142864E-4</v>
      </c>
      <c r="O20" s="2">
        <f>IF('Modell einstellen'!$B$1="Voll",J20/0.35,J20/0.35*2)</f>
        <v>-7.9729805714285717E-4</v>
      </c>
      <c r="P20" s="3">
        <f t="shared" si="1"/>
        <v>0.45886276191674802</v>
      </c>
      <c r="Q20" s="3"/>
      <c r="R20" s="3"/>
      <c r="S20" s="3"/>
      <c r="T20" s="3"/>
      <c r="U20" s="3"/>
    </row>
    <row r="21" spans="1:21" x14ac:dyDescent="0.25">
      <c r="A21" s="3">
        <v>1000</v>
      </c>
      <c r="B21" s="3">
        <v>-7.0889999999999994E-5</v>
      </c>
      <c r="C21" s="3">
        <v>2.454E-4</v>
      </c>
      <c r="D21" s="3">
        <v>-4.9149999999999997E-4</v>
      </c>
      <c r="E21" s="3">
        <v>0</v>
      </c>
      <c r="F21" s="3">
        <v>0</v>
      </c>
      <c r="G21" s="3">
        <v>0</v>
      </c>
      <c r="H21" s="3">
        <v>7.3961116999999999E-5</v>
      </c>
      <c r="I21" s="3">
        <v>2.7561268999999998E-5</v>
      </c>
      <c r="J21" s="3">
        <v>-1.6421683999999999E-4</v>
      </c>
      <c r="K21" s="3"/>
      <c r="L21" s="3">
        <f t="shared" si="0"/>
        <v>-0.14423194303153611</v>
      </c>
      <c r="M21" s="3"/>
      <c r="N21" s="2">
        <f>IF('Modell einstellen'!$B$1="Voll",H21/0.35,H21/0.35*2)</f>
        <v>4.2263495428571433E-4</v>
      </c>
      <c r="O21" s="2">
        <f>IF('Modell einstellen'!$B$1="Voll",J21/0.35,J21/0.35*2)</f>
        <v>-9.3838194285714291E-4</v>
      </c>
      <c r="P21" s="3">
        <f t="shared" si="1"/>
        <v>0.45038692134131919</v>
      </c>
      <c r="Q21" s="3"/>
      <c r="R21" s="3"/>
      <c r="S21" s="3"/>
      <c r="T21" s="3"/>
      <c r="U21" s="3"/>
    </row>
    <row r="22" spans="1:21" x14ac:dyDescent="0.25">
      <c r="A22" s="3">
        <v>10000</v>
      </c>
      <c r="B22" s="3">
        <v>8.1080000000000003E-5</v>
      </c>
      <c r="C22" s="3">
        <v>3.2089999999999999E-4</v>
      </c>
      <c r="D22" s="3">
        <v>-6.9300000000000004E-4</v>
      </c>
      <c r="E22" s="3">
        <v>0</v>
      </c>
      <c r="F22" s="3">
        <v>0</v>
      </c>
      <c r="G22" s="3">
        <v>0</v>
      </c>
      <c r="H22" s="3">
        <v>8.6623203000000003E-5</v>
      </c>
      <c r="I22" s="3">
        <v>4.0012667E-5</v>
      </c>
      <c r="J22" s="3">
        <v>-1.9970270999999999E-4</v>
      </c>
      <c r="K22" s="3"/>
      <c r="L22" s="3">
        <f t="shared" si="0"/>
        <v>0.11699855699855699</v>
      </c>
      <c r="M22" s="3"/>
      <c r="N22" s="2">
        <f>IF('Modell einstellen'!$B$1="Voll",H22/0.35,H22/0.35*2)</f>
        <v>4.9498973142857151E-4</v>
      </c>
      <c r="O22" s="2">
        <f>IF('Modell einstellen'!$B$1="Voll",J22/0.35,J22/0.35*2)</f>
        <v>-1.1411583428571428E-3</v>
      </c>
      <c r="P22" s="3">
        <f t="shared" si="1"/>
        <v>0.43376077870951285</v>
      </c>
      <c r="Q22" s="3"/>
      <c r="R22" s="3"/>
      <c r="S22" s="3"/>
      <c r="T22" s="3"/>
      <c r="U22" s="3"/>
    </row>
    <row r="23" spans="1:21" x14ac:dyDescent="0.25">
      <c r="A23" s="3">
        <v>100000</v>
      </c>
      <c r="B23" s="3">
        <v>2.3910000000000001E-4</v>
      </c>
      <c r="C23" s="3">
        <v>4.1100000000000002E-4</v>
      </c>
      <c r="D23" s="3">
        <v>-9.1589999999999998E-4</v>
      </c>
      <c r="E23" s="3">
        <v>0</v>
      </c>
      <c r="F23" s="3">
        <v>0</v>
      </c>
      <c r="G23" s="3">
        <v>0</v>
      </c>
      <c r="H23" s="3">
        <v>9.9765410000000006E-5</v>
      </c>
      <c r="I23" s="3">
        <v>5.3899266999999997E-5</v>
      </c>
      <c r="J23" s="3">
        <v>-2.3854255999999999E-4</v>
      </c>
      <c r="K23" s="3"/>
      <c r="L23" s="3">
        <f t="shared" si="0"/>
        <v>0.26105470029479205</v>
      </c>
      <c r="M23" s="3"/>
      <c r="N23" s="2">
        <f>IF('Modell einstellen'!$B$1="Voll",H23/0.35,H23/0.35*2)</f>
        <v>5.7008805714285724E-4</v>
      </c>
      <c r="O23" s="2">
        <f>IF('Modell einstellen'!$B$1="Voll",J23/0.35,J23/0.35*2)</f>
        <v>-1.363100342857143E-3</v>
      </c>
      <c r="P23" s="3">
        <f t="shared" si="1"/>
        <v>0.41822897347961724</v>
      </c>
      <c r="Q23" s="3"/>
      <c r="R23" s="3"/>
      <c r="S23" s="3"/>
      <c r="T23" s="3"/>
      <c r="U23" s="3"/>
    </row>
    <row r="24" spans="1:21" x14ac:dyDescent="0.25">
      <c r="A24" s="3">
        <v>1000000</v>
      </c>
      <c r="B24" s="3">
        <v>3.7639999999999999E-4</v>
      </c>
      <c r="C24" s="3">
        <v>5.0600000000000005E-4</v>
      </c>
      <c r="D24" s="3">
        <v>-1.127E-3</v>
      </c>
      <c r="E24" s="3">
        <v>0</v>
      </c>
      <c r="F24" s="3">
        <v>0</v>
      </c>
      <c r="G24" s="3">
        <v>0</v>
      </c>
      <c r="H24" s="3">
        <v>1.1235329999999999E-4</v>
      </c>
      <c r="I24" s="3">
        <v>6.7715039000000005E-5</v>
      </c>
      <c r="J24" s="3">
        <v>-2.7699687E-4</v>
      </c>
      <c r="K24" s="3"/>
      <c r="L24" s="3">
        <f t="shared" si="0"/>
        <v>0.33398402839396629</v>
      </c>
      <c r="M24" s="3"/>
      <c r="N24" s="2">
        <f>IF('Modell einstellen'!$B$1="Voll",H24/0.35,H24/0.35*2)</f>
        <v>6.4201885714285718E-4</v>
      </c>
      <c r="O24" s="2">
        <f>IF('Modell einstellen'!$B$1="Voll",J24/0.35,J24/0.35*2)</f>
        <v>-1.5828392571428573E-3</v>
      </c>
      <c r="P24" s="3">
        <f t="shared" si="1"/>
        <v>0.40561216449846527</v>
      </c>
      <c r="Q24" s="3"/>
      <c r="R24" s="3"/>
      <c r="S24" s="3"/>
      <c r="T24" s="3"/>
      <c r="U24" s="3"/>
    </row>
    <row r="25" spans="1:21" x14ac:dyDescent="0.25">
      <c r="A25" s="3">
        <v>10000000</v>
      </c>
      <c r="B25" s="3">
        <v>4.8819999999999999E-4</v>
      </c>
      <c r="C25" s="3">
        <v>6.0479999999999996E-4</v>
      </c>
      <c r="D25" s="3">
        <v>-1.323E-3</v>
      </c>
      <c r="E25" s="3">
        <v>0</v>
      </c>
      <c r="F25" s="3">
        <v>0</v>
      </c>
      <c r="G25" s="3">
        <v>0</v>
      </c>
      <c r="H25" s="3">
        <v>1.2534328E-4</v>
      </c>
      <c r="I25" s="3">
        <v>8.1808748000000006E-5</v>
      </c>
      <c r="J25" s="3">
        <v>-3.1673060000000003E-4</v>
      </c>
      <c r="K25" s="3"/>
      <c r="L25" s="3">
        <f t="shared" si="0"/>
        <v>0.3690098261526833</v>
      </c>
      <c r="M25" s="3"/>
      <c r="N25" s="2">
        <f>IF('Modell einstellen'!$B$1="Voll",H25/0.35,H25/0.35*2)</f>
        <v>7.1624731428571436E-4</v>
      </c>
      <c r="O25" s="2">
        <f>IF('Modell einstellen'!$B$1="Voll",J25/0.35,J25/0.35*2)</f>
        <v>-1.8098891428571431E-3</v>
      </c>
      <c r="P25" s="3">
        <f t="shared" si="1"/>
        <v>0.3957409861882622</v>
      </c>
      <c r="Q25" s="3"/>
      <c r="R25" s="3"/>
      <c r="S25" s="3"/>
      <c r="T25" s="3"/>
      <c r="U25" s="3"/>
    </row>
    <row r="26" spans="1:21" x14ac:dyDescent="0.25">
      <c r="A26" s="3">
        <v>100000000</v>
      </c>
      <c r="B26" s="3">
        <v>5.8109999999999998E-4</v>
      </c>
      <c r="C26" s="3">
        <v>7.0910000000000005E-4</v>
      </c>
      <c r="D26" s="3">
        <v>-1.508E-3</v>
      </c>
      <c r="E26" s="3">
        <v>0</v>
      </c>
      <c r="F26" s="3">
        <v>0</v>
      </c>
      <c r="G26" s="3">
        <v>0</v>
      </c>
      <c r="H26" s="3">
        <v>1.3945011E-4</v>
      </c>
      <c r="I26" s="3">
        <v>9.6726439000000003E-5</v>
      </c>
      <c r="J26" s="3">
        <v>-3.5942511000000002E-4</v>
      </c>
      <c r="K26" s="3"/>
      <c r="L26" s="3">
        <f t="shared" si="0"/>
        <v>0.38534482758620686</v>
      </c>
      <c r="M26" s="3"/>
      <c r="N26" s="2">
        <f>IF('Modell einstellen'!$B$1="Voll",H26/0.35,H26/0.35*2)</f>
        <v>7.968577714285714E-4</v>
      </c>
      <c r="O26" s="2">
        <f>IF('Modell einstellen'!$B$1="Voll",J26/0.35,J26/0.35*2)</f>
        <v>-2.0538577714285717E-3</v>
      </c>
      <c r="P26" s="3">
        <f t="shared" si="1"/>
        <v>0.38798098997590896</v>
      </c>
      <c r="Q26" s="3"/>
      <c r="R26" s="3"/>
      <c r="S26" s="3"/>
      <c r="T26" s="3"/>
      <c r="U26" s="3"/>
    </row>
    <row r="27" spans="1:21" x14ac:dyDescent="0.25">
      <c r="A27" s="3">
        <v>1000000000</v>
      </c>
      <c r="B27" s="3">
        <v>6.6540000000000002E-4</v>
      </c>
      <c r="C27" s="3">
        <v>8.2720000000000005E-4</v>
      </c>
      <c r="D27" s="3">
        <v>-1.702E-3</v>
      </c>
      <c r="E27" s="3">
        <v>0</v>
      </c>
      <c r="F27" s="3">
        <v>0</v>
      </c>
      <c r="G27" s="3">
        <v>0</v>
      </c>
      <c r="H27" s="3">
        <v>1.5702814000000001E-4</v>
      </c>
      <c r="I27" s="3">
        <v>1.1417061E-4</v>
      </c>
      <c r="J27" s="3">
        <v>-4.1068061000000002E-4</v>
      </c>
      <c r="K27" s="3"/>
      <c r="L27" s="3">
        <f t="shared" si="0"/>
        <v>0.390951821386604</v>
      </c>
      <c r="M27" s="3"/>
      <c r="N27" s="2">
        <f>IF('Modell einstellen'!$B$1="Voll",H27/0.35,H27/0.35*2)</f>
        <v>8.9730365714285729E-4</v>
      </c>
      <c r="O27" s="2">
        <f>IF('Modell einstellen'!$B$1="Voll",J27/0.35,J27/0.35*2)</f>
        <v>-2.3467463428571431E-3</v>
      </c>
      <c r="P27" s="3">
        <f t="shared" si="1"/>
        <v>0.38236073526821734</v>
      </c>
      <c r="Q27" s="3"/>
      <c r="R27" s="3"/>
      <c r="S27" s="3"/>
      <c r="T27" s="3"/>
      <c r="U27" s="3"/>
    </row>
    <row r="28" spans="1:21" x14ac:dyDescent="0.25">
      <c r="A28" s="3">
        <v>10000000000</v>
      </c>
      <c r="B28" s="3">
        <v>7.5259999999999997E-4</v>
      </c>
      <c r="C28" s="3">
        <v>9.7380000000000003E-4</v>
      </c>
      <c r="D28" s="3">
        <v>-1.9300000000000001E-3</v>
      </c>
      <c r="E28" s="3">
        <v>0</v>
      </c>
      <c r="F28" s="3">
        <v>0</v>
      </c>
      <c r="G28" s="3">
        <v>0</v>
      </c>
      <c r="H28" s="3">
        <v>1.8125912E-4</v>
      </c>
      <c r="I28" s="3">
        <v>1.3680001000000001E-4</v>
      </c>
      <c r="J28" s="3">
        <v>-4.7875359999999999E-4</v>
      </c>
      <c r="K28" s="3"/>
      <c r="L28" s="3">
        <f t="shared" si="0"/>
        <v>0.38994818652849739</v>
      </c>
      <c r="M28" s="3"/>
      <c r="N28" s="2">
        <f>IF('Modell einstellen'!$B$1="Voll",H28/0.35,H28/0.35*2)</f>
        <v>1.0357664000000002E-3</v>
      </c>
      <c r="O28" s="2">
        <f>IF('Modell einstellen'!$B$1="Voll",J28/0.35,J28/0.35*2)</f>
        <v>-2.7357348571428572E-3</v>
      </c>
      <c r="P28" s="3">
        <f t="shared" si="1"/>
        <v>0.37860628097626842</v>
      </c>
      <c r="Q28" s="3"/>
      <c r="R28" s="3"/>
      <c r="S28" s="3"/>
      <c r="T28" s="3"/>
      <c r="U28" s="3"/>
    </row>
    <row r="29" spans="1:21" x14ac:dyDescent="0.25">
      <c r="A29" s="3">
        <v>100000000000</v>
      </c>
      <c r="B29" s="3">
        <v>8.5669999999999995E-4</v>
      </c>
      <c r="C29" s="3">
        <v>1.1839999999999999E-3</v>
      </c>
      <c r="D29" s="3">
        <v>-2.238E-3</v>
      </c>
      <c r="E29" s="3">
        <v>0</v>
      </c>
      <c r="F29" s="3">
        <v>0</v>
      </c>
      <c r="G29" s="3">
        <v>0</v>
      </c>
      <c r="H29" s="3">
        <v>2.1952656000000001E-4</v>
      </c>
      <c r="I29" s="3">
        <v>1.7082775999999999E-4</v>
      </c>
      <c r="J29" s="3">
        <v>-5.8296944E-4</v>
      </c>
      <c r="K29" s="3"/>
      <c r="L29" s="3">
        <f t="shared" si="0"/>
        <v>0.38279714030384271</v>
      </c>
      <c r="M29" s="3"/>
      <c r="N29" s="2">
        <f>IF('Modell einstellen'!$B$1="Voll",H29/0.35,H29/0.35*2)</f>
        <v>1.2544374857142858E-3</v>
      </c>
      <c r="O29" s="2">
        <f>IF('Modell einstellen'!$B$1="Voll",J29/0.35,J29/0.35*2)</f>
        <v>-3.3312539428571432E-3</v>
      </c>
      <c r="P29" s="3">
        <f t="shared" si="1"/>
        <v>0.37656615413665595</v>
      </c>
      <c r="Q29" s="3"/>
      <c r="R29" s="3"/>
      <c r="S29" s="3"/>
      <c r="T29" s="3"/>
      <c r="U29" s="3"/>
    </row>
    <row r="30" spans="1:21" x14ac:dyDescent="0.25">
      <c r="A30" s="3">
        <v>1000000000000</v>
      </c>
      <c r="B30" s="3">
        <v>9.9850000000000004E-4</v>
      </c>
      <c r="C30" s="3">
        <v>1.523E-3</v>
      </c>
      <c r="D30" s="3">
        <v>-2.712E-3</v>
      </c>
      <c r="E30" s="3">
        <v>0</v>
      </c>
      <c r="F30" s="3">
        <v>0</v>
      </c>
      <c r="G30" s="3">
        <v>0</v>
      </c>
      <c r="H30" s="3">
        <v>2.8503902999999999E-4</v>
      </c>
      <c r="I30" s="3">
        <v>2.2764726999999999E-4</v>
      </c>
      <c r="J30" s="3">
        <v>-7.583135E-4</v>
      </c>
      <c r="K30" s="3"/>
      <c r="L30" s="3">
        <f t="shared" si="0"/>
        <v>0.36817846607669619</v>
      </c>
      <c r="M30" s="3"/>
      <c r="N30" s="2">
        <f>IF('Modell einstellen'!$B$1="Voll",H30/0.35,H30/0.35*2)</f>
        <v>1.6287944571428572E-3</v>
      </c>
      <c r="O30" s="2">
        <f>IF('Modell einstellen'!$B$1="Voll",J30/0.35,J30/0.35*2)</f>
        <v>-4.3332200000000005E-3</v>
      </c>
      <c r="P30" s="3">
        <f t="shared" si="1"/>
        <v>0.37588547480692353</v>
      </c>
      <c r="Q30" s="3"/>
      <c r="R30" s="3"/>
      <c r="S30" s="3"/>
      <c r="T30" s="3"/>
      <c r="U30" s="3"/>
    </row>
    <row r="31" spans="1:21" x14ac:dyDescent="0.25">
      <c r="A31" s="3">
        <v>10000000000000</v>
      </c>
      <c r="B31" s="3">
        <v>1.1980000000000001E-3</v>
      </c>
      <c r="C31" s="3">
        <v>2.0839999999999999E-3</v>
      </c>
      <c r="D31" s="3">
        <v>-3.4629999999999999E-3</v>
      </c>
      <c r="E31" s="3">
        <v>0</v>
      </c>
      <c r="F31" s="3">
        <v>0</v>
      </c>
      <c r="G31" s="3">
        <v>0</v>
      </c>
      <c r="H31" s="3">
        <v>3.9836654E-4</v>
      </c>
      <c r="I31" s="3">
        <v>3.2485199999999999E-4</v>
      </c>
      <c r="J31" s="3">
        <v>-1.0586393E-3</v>
      </c>
      <c r="K31" s="3"/>
      <c r="L31" s="3">
        <f t="shared" si="0"/>
        <v>0.34594282414091831</v>
      </c>
      <c r="M31" s="3"/>
      <c r="N31" s="2">
        <f>IF('Modell einstellen'!$B$1="Voll",H31/0.35,H31/0.35*2)</f>
        <v>2.2763802285714289E-3</v>
      </c>
      <c r="O31" s="2">
        <f>IF('Modell einstellen'!$B$1="Voll",J31/0.35,J31/0.35*2)</f>
        <v>-6.0493674285714292E-3</v>
      </c>
      <c r="P31" s="3">
        <f t="shared" si="1"/>
        <v>0.37630053975891509</v>
      </c>
      <c r="Q31" s="3"/>
      <c r="R31" s="3"/>
      <c r="S31" s="3"/>
      <c r="T31" s="3"/>
      <c r="U31" s="3"/>
    </row>
    <row r="32" spans="1:21" x14ac:dyDescent="0.25">
      <c r="A32" s="3">
        <v>100000000000000</v>
      </c>
      <c r="B32" s="3">
        <v>1.482E-3</v>
      </c>
      <c r="C32" s="3">
        <v>2.9359999999999998E-3</v>
      </c>
      <c r="D32" s="3">
        <v>-4.5890000000000002E-3</v>
      </c>
      <c r="E32" s="3">
        <v>0</v>
      </c>
      <c r="F32" s="3">
        <v>0</v>
      </c>
      <c r="G32" s="3">
        <v>0</v>
      </c>
      <c r="H32" s="3">
        <v>5.7651095000000002E-4</v>
      </c>
      <c r="I32" s="3">
        <v>4.7669881000000002E-4</v>
      </c>
      <c r="J32" s="3">
        <v>-1.526973E-3</v>
      </c>
      <c r="K32" s="3"/>
      <c r="L32" s="3">
        <f t="shared" si="0"/>
        <v>0.32294617563739375</v>
      </c>
      <c r="M32" s="3"/>
      <c r="N32" s="2">
        <f>IF('Modell einstellen'!$B$1="Voll",H32/0.35,H32/0.35*2)</f>
        <v>3.2943482857142859E-3</v>
      </c>
      <c r="O32" s="2">
        <f>IF('Modell einstellen'!$B$1="Voll",J32/0.35,J32/0.35*2)</f>
        <v>-8.7255600000000003E-3</v>
      </c>
      <c r="P32" s="3">
        <f t="shared" si="1"/>
        <v>0.37755150222040601</v>
      </c>
      <c r="Q32" s="3"/>
      <c r="R32" s="3"/>
      <c r="S32" s="3"/>
      <c r="T32" s="3"/>
      <c r="U32" s="3"/>
    </row>
    <row r="33" spans="1:21" x14ac:dyDescent="0.25">
      <c r="A33" s="2">
        <v>1000000000000000</v>
      </c>
      <c r="B33" s="3">
        <v>1.8569999999999999E-3</v>
      </c>
      <c r="C33" s="3">
        <v>4.006E-3</v>
      </c>
      <c r="D33" s="3">
        <v>-6.0260000000000001E-3</v>
      </c>
      <c r="E33" s="3">
        <v>0</v>
      </c>
      <c r="F33" s="3">
        <v>0</v>
      </c>
      <c r="G33" s="3">
        <v>0</v>
      </c>
      <c r="H33" s="3">
        <v>8.0825131999999998E-4</v>
      </c>
      <c r="I33" s="3">
        <v>6.7314513000000002E-4</v>
      </c>
      <c r="J33" s="3">
        <v>-2.1310242000000001E-3</v>
      </c>
      <c r="K33" s="3"/>
      <c r="L33" s="3">
        <f t="shared" si="0"/>
        <v>0.30816461998008626</v>
      </c>
      <c r="M33" s="3"/>
      <c r="N33" s="2">
        <f>IF('Modell einstellen'!$B$1="Voll",H33/0.35,H33/0.35*2)</f>
        <v>4.6185789714285712E-3</v>
      </c>
      <c r="O33" s="2">
        <f>IF('Modell einstellen'!$B$1="Voll",J33/0.35,J33/0.35*2)</f>
        <v>-1.2177281142857144E-2</v>
      </c>
      <c r="P33" s="3">
        <f t="shared" si="1"/>
        <v>0.3792783394951591</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115</v>
      </c>
      <c r="P1" s="100" t="s">
        <v>116</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-2.339E-6</v>
      </c>
      <c r="C3" s="3">
        <v>1.459E-4</v>
      </c>
      <c r="D3" s="3">
        <v>-4.4010000000000002E-4</v>
      </c>
      <c r="E3" s="3">
        <v>0</v>
      </c>
      <c r="F3" s="3">
        <v>0</v>
      </c>
      <c r="G3" s="3">
        <v>0</v>
      </c>
      <c r="H3" s="3">
        <v>3.3630153E-5</v>
      </c>
      <c r="I3" s="3">
        <v>1.3522585000000001E-5</v>
      </c>
      <c r="J3" s="3">
        <v>-9.4282858999999999E-5</v>
      </c>
      <c r="K3" s="2"/>
      <c r="L3" s="3"/>
      <c r="M3" s="3"/>
      <c r="N3" s="2">
        <f>IF('Modell einstellen'!$B$1="Voll",H3/0.35,H3/0.35*2)</f>
        <v>1.9217230285714288E-4</v>
      </c>
      <c r="O3" s="2">
        <f>IF('Modell einstellen'!$B$1="Voll",J3/0.35,J3/0.35*2)</f>
        <v>-5.3875919428571434E-4</v>
      </c>
      <c r="P3" s="3">
        <f>-N3/O3</f>
        <v>0.35669424279974371</v>
      </c>
      <c r="Q3" s="3"/>
      <c r="R3" s="3"/>
      <c r="S3" s="3"/>
      <c r="T3" s="3"/>
      <c r="U3" s="3"/>
    </row>
    <row r="4" spans="1:21" x14ac:dyDescent="0.25">
      <c r="A4" s="3">
        <v>1E-14</v>
      </c>
      <c r="B4" s="3">
        <v>-1.0159999999999999E-5</v>
      </c>
      <c r="C4" s="3">
        <v>1.484E-4</v>
      </c>
      <c r="D4" s="3">
        <v>-4.3829999999999997E-4</v>
      </c>
      <c r="E4" s="3">
        <v>0</v>
      </c>
      <c r="F4" s="3">
        <v>0</v>
      </c>
      <c r="G4" s="3">
        <v>0</v>
      </c>
      <c r="H4" s="3">
        <v>3.5134037999999997E-5</v>
      </c>
      <c r="I4" s="3">
        <v>1.3771753000000001E-5</v>
      </c>
      <c r="J4" s="3">
        <v>-9.6571731999999997E-5</v>
      </c>
      <c r="K4" s="2"/>
      <c r="L4" s="3"/>
      <c r="M4" s="3"/>
      <c r="N4" s="2">
        <f>IF('Modell einstellen'!$B$1="Voll",H4/0.35,H4/0.35*2)</f>
        <v>2.0076593142857142E-4</v>
      </c>
      <c r="O4" s="2">
        <f>IF('Modell einstellen'!$B$1="Voll",J4/0.35,J4/0.35*2)</f>
        <v>-5.5183846857142854E-4</v>
      </c>
      <c r="P4" s="3">
        <f t="shared" ref="P4:P33" si="0">-N4/O4</f>
        <v>0.36381285985426876</v>
      </c>
      <c r="Q4" s="3"/>
      <c r="R4" s="3"/>
      <c r="S4" s="3"/>
      <c r="T4" s="3"/>
      <c r="U4" s="3"/>
    </row>
    <row r="5" spans="1:21" x14ac:dyDescent="0.25">
      <c r="A5" s="3">
        <v>1E-13</v>
      </c>
      <c r="B5" s="3">
        <v>-1.5E-5</v>
      </c>
      <c r="C5" s="3">
        <v>1.5009999999999999E-4</v>
      </c>
      <c r="D5" s="3">
        <v>-4.371E-4</v>
      </c>
      <c r="E5" s="3">
        <v>0</v>
      </c>
      <c r="F5" s="3">
        <v>0</v>
      </c>
      <c r="G5" s="3">
        <v>0</v>
      </c>
      <c r="H5" s="3">
        <v>3.6065746999999998E-5</v>
      </c>
      <c r="I5" s="3">
        <v>1.3932944E-5</v>
      </c>
      <c r="J5" s="3">
        <v>-9.7989539000000001E-5</v>
      </c>
      <c r="K5" s="2"/>
      <c r="L5" s="3"/>
      <c r="M5" s="3"/>
      <c r="N5" s="2">
        <f>IF('Modell einstellen'!$B$1="Voll",H5/0.35,H5/0.35*2)</f>
        <v>2.0608998285714285E-4</v>
      </c>
      <c r="O5" s="2">
        <f>IF('Modell einstellen'!$B$1="Voll",J5/0.35,J5/0.35*2)</f>
        <v>-5.5994022285714288E-4</v>
      </c>
      <c r="P5" s="3">
        <f t="shared" si="0"/>
        <v>0.36805711474976932</v>
      </c>
      <c r="Q5" s="3"/>
      <c r="R5" s="3"/>
      <c r="S5" s="3"/>
      <c r="T5" s="3"/>
      <c r="U5" s="3"/>
    </row>
    <row r="6" spans="1:21" x14ac:dyDescent="0.25">
      <c r="A6" s="3">
        <v>9.9999999999999998E-13</v>
      </c>
      <c r="B6" s="3">
        <v>-2.0149999999999999E-5</v>
      </c>
      <c r="C6" s="3">
        <v>1.517E-4</v>
      </c>
      <c r="D6" s="3">
        <v>-4.3570000000000002E-4</v>
      </c>
      <c r="E6" s="3">
        <v>0</v>
      </c>
      <c r="F6" s="3">
        <v>0</v>
      </c>
      <c r="G6" s="3">
        <v>0</v>
      </c>
      <c r="H6" s="3">
        <v>3.7017956000000003E-5</v>
      </c>
      <c r="I6" s="3">
        <v>1.4092569E-5</v>
      </c>
      <c r="J6" s="3">
        <v>-9.9423657000000004E-5</v>
      </c>
      <c r="K6" s="2"/>
      <c r="L6" s="3"/>
      <c r="M6" s="3"/>
      <c r="N6" s="2">
        <f>IF('Modell einstellen'!$B$1="Voll",H6/0.35,H6/0.35*2)</f>
        <v>2.1153117714285718E-4</v>
      </c>
      <c r="O6" s="2">
        <f>IF('Modell einstellen'!$B$1="Voll",J6/0.35,J6/0.35*2)</f>
        <v>-5.6813518285714294E-4</v>
      </c>
      <c r="P6" s="3">
        <f t="shared" si="0"/>
        <v>0.37232543156202752</v>
      </c>
      <c r="Q6" s="3"/>
      <c r="R6" s="3"/>
      <c r="S6" s="3"/>
      <c r="T6" s="3"/>
      <c r="U6" s="3"/>
    </row>
    <row r="7" spans="1:21" x14ac:dyDescent="0.25">
      <c r="A7" s="3">
        <v>9.9999999999999994E-12</v>
      </c>
      <c r="B7" s="3">
        <v>-2.637E-5</v>
      </c>
      <c r="C7" s="3">
        <v>1.5359999999999999E-4</v>
      </c>
      <c r="D7" s="3">
        <v>-4.3360000000000002E-4</v>
      </c>
      <c r="E7" s="3">
        <v>0</v>
      </c>
      <c r="F7" s="3">
        <v>0</v>
      </c>
      <c r="G7" s="3">
        <v>0</v>
      </c>
      <c r="H7" s="3">
        <v>3.8119620999999997E-5</v>
      </c>
      <c r="I7" s="3">
        <v>1.4269164E-5</v>
      </c>
      <c r="J7" s="3">
        <v>-1.0106082E-4</v>
      </c>
      <c r="K7" s="2"/>
      <c r="L7" s="3"/>
      <c r="M7" s="3"/>
      <c r="N7" s="2">
        <f>IF('Modell einstellen'!$B$1="Voll",H7/0.35,H7/0.35*2)</f>
        <v>2.1782640571428572E-4</v>
      </c>
      <c r="O7" s="2">
        <f>IF('Modell einstellen'!$B$1="Voll",J7/0.35,J7/0.35*2)</f>
        <v>-5.7749040000000008E-4</v>
      </c>
      <c r="P7" s="3">
        <f t="shared" si="0"/>
        <v>0.37719485157551658</v>
      </c>
      <c r="Q7" s="3"/>
      <c r="R7" s="3"/>
      <c r="S7" s="3"/>
      <c r="T7" s="3"/>
      <c r="U7" s="3"/>
    </row>
    <row r="8" spans="1:21" x14ac:dyDescent="0.25">
      <c r="A8" s="3">
        <v>1E-10</v>
      </c>
      <c r="B8" s="3">
        <v>-3.3670000000000001E-5</v>
      </c>
      <c r="C8" s="3">
        <v>1.5559999999999999E-4</v>
      </c>
      <c r="D8" s="3">
        <v>-4.3080000000000001E-4</v>
      </c>
      <c r="E8" s="3">
        <v>0</v>
      </c>
      <c r="F8" s="3">
        <v>0</v>
      </c>
      <c r="G8" s="3">
        <v>0</v>
      </c>
      <c r="H8" s="3">
        <v>3.9360999000000002E-5</v>
      </c>
      <c r="I8" s="3">
        <v>1.4460734999999999E-5</v>
      </c>
      <c r="J8" s="3">
        <v>-1.0288266E-4</v>
      </c>
      <c r="K8" s="2"/>
      <c r="L8" s="3"/>
      <c r="M8" s="3"/>
      <c r="N8" s="2">
        <f>IF('Modell einstellen'!$B$1="Voll",H8/0.35,H8/0.35*2)</f>
        <v>2.249199942857143E-4</v>
      </c>
      <c r="O8" s="2">
        <f>IF('Modell einstellen'!$B$1="Voll",J8/0.35,J8/0.35*2)</f>
        <v>-5.8790091428571434E-4</v>
      </c>
      <c r="P8" s="3">
        <f t="shared" si="0"/>
        <v>0.38258146708104163</v>
      </c>
      <c r="Q8" s="3"/>
      <c r="R8" s="3"/>
      <c r="S8" s="3"/>
      <c r="T8" s="3"/>
      <c r="U8" s="3"/>
    </row>
    <row r="9" spans="1:21" x14ac:dyDescent="0.25">
      <c r="A9" s="3">
        <v>1.0000000000000001E-9</v>
      </c>
      <c r="B9" s="3">
        <v>-4.2719999999999998E-5</v>
      </c>
      <c r="C9" s="3">
        <v>1.5779999999999999E-4</v>
      </c>
      <c r="D9" s="3">
        <v>-4.2680000000000002E-4</v>
      </c>
      <c r="E9" s="3">
        <v>0</v>
      </c>
      <c r="F9" s="3">
        <v>0</v>
      </c>
      <c r="G9" s="3">
        <v>0</v>
      </c>
      <c r="H9" s="3">
        <v>4.0837921000000002E-5</v>
      </c>
      <c r="I9" s="3">
        <v>1.4677939000000001E-5</v>
      </c>
      <c r="J9" s="3">
        <v>-1.0501833E-4</v>
      </c>
      <c r="K9" s="2"/>
      <c r="L9" s="3"/>
      <c r="M9" s="3"/>
      <c r="N9" s="2">
        <f>IF('Modell einstellen'!$B$1="Voll",H9/0.35,H9/0.35*2)</f>
        <v>2.3335954857142858E-4</v>
      </c>
      <c r="O9" s="2">
        <f>IF('Modell einstellen'!$B$1="Voll",J9/0.35,J9/0.35*2)</f>
        <v>-6.0010474285714284E-4</v>
      </c>
      <c r="P9" s="3">
        <f t="shared" si="0"/>
        <v>0.38886469628682918</v>
      </c>
      <c r="Q9" s="3"/>
      <c r="R9" s="3"/>
      <c r="S9" s="3"/>
      <c r="T9" s="3"/>
      <c r="U9" s="3"/>
    </row>
    <row r="10" spans="1:21" x14ac:dyDescent="0.25">
      <c r="A10" s="3">
        <v>1E-8</v>
      </c>
      <c r="B10" s="3">
        <v>-5.3609999999999997E-5</v>
      </c>
      <c r="C10" s="3">
        <v>1.6029999999999999E-4</v>
      </c>
      <c r="D10" s="3">
        <v>-4.214E-4</v>
      </c>
      <c r="E10" s="3">
        <v>0</v>
      </c>
      <c r="F10" s="3">
        <v>0</v>
      </c>
      <c r="G10" s="3">
        <v>0</v>
      </c>
      <c r="H10" s="3">
        <v>4.2538306999999998E-5</v>
      </c>
      <c r="I10" s="3">
        <v>1.4916149999999999E-5</v>
      </c>
      <c r="J10" s="3">
        <v>-1.0743962E-4</v>
      </c>
      <c r="K10" s="2"/>
      <c r="L10" s="3"/>
      <c r="M10" s="3"/>
      <c r="N10" s="2">
        <f>IF('Modell einstellen'!$B$1="Voll",H10/0.35,H10/0.35*2)</f>
        <v>2.4307604E-4</v>
      </c>
      <c r="O10" s="2">
        <f>IF('Modell einstellen'!$B$1="Voll",J10/0.35,J10/0.35*2)</f>
        <v>-6.139406857142858E-4</v>
      </c>
      <c r="P10" s="3">
        <f t="shared" si="0"/>
        <v>0.39592756377954424</v>
      </c>
      <c r="Q10" s="3"/>
      <c r="R10" s="3"/>
      <c r="S10" s="3"/>
      <c r="T10" s="3"/>
      <c r="U10" s="3"/>
    </row>
    <row r="11" spans="1:21" x14ac:dyDescent="0.25">
      <c r="A11" s="3">
        <v>9.9999999999999995E-8</v>
      </c>
      <c r="B11" s="3">
        <v>-6.5840000000000007E-5</v>
      </c>
      <c r="C11" s="3">
        <v>1.638E-4</v>
      </c>
      <c r="D11" s="3">
        <v>-4.1590000000000003E-4</v>
      </c>
      <c r="E11" s="3">
        <v>0</v>
      </c>
      <c r="F11" s="3">
        <v>0</v>
      </c>
      <c r="G11" s="3">
        <v>0</v>
      </c>
      <c r="H11" s="3">
        <v>4.4419258000000002E-5</v>
      </c>
      <c r="I11" s="3">
        <v>1.521228E-5</v>
      </c>
      <c r="J11" s="3">
        <v>-1.1015614E-4</v>
      </c>
      <c r="K11" s="2"/>
      <c r="L11" s="3"/>
      <c r="M11" s="3"/>
      <c r="N11" s="2">
        <f>IF('Modell einstellen'!$B$1="Voll",H11/0.35,H11/0.35*2)</f>
        <v>2.5382433142857148E-4</v>
      </c>
      <c r="O11" s="2">
        <f>IF('Modell einstellen'!$B$1="Voll",J11/0.35,J11/0.35*2)</f>
        <v>-6.2946365714285719E-4</v>
      </c>
      <c r="P11" s="3">
        <f t="shared" si="0"/>
        <v>0.40323905685148376</v>
      </c>
      <c r="Q11" s="3"/>
      <c r="R11" s="3"/>
      <c r="S11" s="3"/>
      <c r="T11" s="3"/>
      <c r="U11" s="3"/>
    </row>
    <row r="12" spans="1:21" x14ac:dyDescent="0.25">
      <c r="A12" s="3">
        <v>9.9999999999999995E-7</v>
      </c>
      <c r="B12" s="3">
        <v>-7.9450000000000007E-5</v>
      </c>
      <c r="C12" s="3">
        <v>1.6579999999999999E-4</v>
      </c>
      <c r="D12" s="3">
        <v>-4.0739999999999998E-4</v>
      </c>
      <c r="E12" s="3">
        <v>0</v>
      </c>
      <c r="F12" s="3">
        <v>0</v>
      </c>
      <c r="G12" s="3">
        <v>0</v>
      </c>
      <c r="H12" s="3">
        <v>4.6329068000000002E-5</v>
      </c>
      <c r="I12" s="3">
        <v>1.5426820000000001E-5</v>
      </c>
      <c r="J12" s="3">
        <v>-1.1274351E-4</v>
      </c>
      <c r="K12" s="2"/>
      <c r="L12" s="3"/>
      <c r="M12" s="3"/>
      <c r="N12" s="2">
        <f>IF('Modell einstellen'!$B$1="Voll",H12/0.35,H12/0.35*2)</f>
        <v>2.6473753142857147E-4</v>
      </c>
      <c r="O12" s="2">
        <f>IF('Modell einstellen'!$B$1="Voll",J12/0.35,J12/0.35*2)</f>
        <v>-6.4424862857142857E-4</v>
      </c>
      <c r="P12" s="3">
        <f t="shared" si="0"/>
        <v>0.41092447804756133</v>
      </c>
      <c r="Q12" s="3"/>
      <c r="R12" s="3"/>
      <c r="S12" s="3"/>
      <c r="T12" s="3"/>
      <c r="U12" s="3"/>
    </row>
    <row r="13" spans="1:21" x14ac:dyDescent="0.25">
      <c r="A13" s="3">
        <v>1.0000000000000001E-5</v>
      </c>
      <c r="B13" s="3">
        <v>-9.6069999999999993E-5</v>
      </c>
      <c r="C13" s="3">
        <v>1.693E-4</v>
      </c>
      <c r="D13" s="3">
        <v>-3.9780000000000002E-4</v>
      </c>
      <c r="E13" s="3">
        <v>0</v>
      </c>
      <c r="F13" s="3">
        <v>0</v>
      </c>
      <c r="G13" s="3">
        <v>0</v>
      </c>
      <c r="H13" s="3">
        <v>4.8647309999999998E-5</v>
      </c>
      <c r="I13" s="3">
        <v>1.5735118E-5</v>
      </c>
      <c r="J13" s="3">
        <v>-1.1594845E-4</v>
      </c>
      <c r="K13" s="2"/>
      <c r="L13" s="3"/>
      <c r="M13" s="3"/>
      <c r="N13" s="2">
        <f>IF('Modell einstellen'!$B$1="Voll",H13/0.35,H13/0.35*2)</f>
        <v>2.7798462857142858E-4</v>
      </c>
      <c r="O13" s="2">
        <f>IF('Modell einstellen'!$B$1="Voll",J13/0.35,J13/0.35*2)</f>
        <v>-6.6256257142857146E-4</v>
      </c>
      <c r="P13" s="3">
        <f t="shared" si="0"/>
        <v>0.41955981300310613</v>
      </c>
      <c r="Q13" s="3"/>
      <c r="R13" s="3"/>
      <c r="S13" s="3"/>
      <c r="T13" s="3"/>
      <c r="U13" s="3"/>
    </row>
    <row r="14" spans="1:21" x14ac:dyDescent="0.25">
      <c r="A14" s="3">
        <v>1E-4</v>
      </c>
      <c r="B14" s="3">
        <v>-1.194E-4</v>
      </c>
      <c r="C14" s="3">
        <v>1.729E-4</v>
      </c>
      <c r="D14" s="3">
        <v>-3.8230000000000002E-4</v>
      </c>
      <c r="E14" s="3">
        <v>0</v>
      </c>
      <c r="F14" s="3">
        <v>0</v>
      </c>
      <c r="G14" s="3">
        <v>0</v>
      </c>
      <c r="H14" s="3">
        <v>5.1709384E-5</v>
      </c>
      <c r="I14" s="3">
        <v>1.6076037000000001E-5</v>
      </c>
      <c r="J14" s="3">
        <v>-1.2002890000000001E-4</v>
      </c>
      <c r="K14" s="2"/>
      <c r="L14" s="3"/>
      <c r="M14" s="3"/>
      <c r="N14" s="2">
        <f>IF('Modell einstellen'!$B$1="Voll",H14/0.35,H14/0.35*2)</f>
        <v>2.9548219428571432E-4</v>
      </c>
      <c r="O14" s="2">
        <f>IF('Modell einstellen'!$B$1="Voll",J14/0.35,J14/0.35*2)</f>
        <v>-6.858794285714287E-4</v>
      </c>
      <c r="P14" s="3">
        <f t="shared" si="0"/>
        <v>0.43080778045953932</v>
      </c>
      <c r="Q14" s="3"/>
      <c r="R14" s="3"/>
      <c r="S14" s="3"/>
      <c r="T14" s="3"/>
      <c r="U14" s="3"/>
    </row>
    <row r="15" spans="1:21" x14ac:dyDescent="0.25">
      <c r="A15" s="3">
        <v>1E-3</v>
      </c>
      <c r="B15" s="3">
        <v>-1.485E-4</v>
      </c>
      <c r="C15" s="3">
        <v>1.7670000000000001E-4</v>
      </c>
      <c r="D15" s="3">
        <v>-3.6160000000000001E-4</v>
      </c>
      <c r="E15" s="3">
        <v>0</v>
      </c>
      <c r="F15" s="3">
        <v>0</v>
      </c>
      <c r="G15" s="3">
        <v>0</v>
      </c>
      <c r="H15" s="3">
        <v>5.5323639E-5</v>
      </c>
      <c r="I15" s="3">
        <v>1.6440010999999999E-5</v>
      </c>
      <c r="J15" s="3">
        <v>-1.2472954E-4</v>
      </c>
      <c r="K15" s="2"/>
      <c r="L15" s="3"/>
      <c r="M15" s="3"/>
      <c r="N15" s="2">
        <f>IF('Modell einstellen'!$B$1="Voll",H15/0.35,H15/0.35*2)</f>
        <v>3.1613508E-4</v>
      </c>
      <c r="O15" s="2">
        <f>IF('Modell einstellen'!$B$1="Voll",J15/0.35,J15/0.35*2)</f>
        <v>-7.1274022857142861E-4</v>
      </c>
      <c r="P15" s="3">
        <f t="shared" si="0"/>
        <v>0.44354880968854687</v>
      </c>
      <c r="Q15" s="3"/>
      <c r="R15" s="3"/>
      <c r="S15" s="3"/>
      <c r="T15" s="3"/>
      <c r="U15" s="3"/>
    </row>
    <row r="16" spans="1:21" x14ac:dyDescent="0.25">
      <c r="A16" s="3">
        <v>0.01</v>
      </c>
      <c r="B16" s="3">
        <v>-1.7809999999999999E-4</v>
      </c>
      <c r="C16" s="3">
        <v>1.8009999999999999E-4</v>
      </c>
      <c r="D16" s="3">
        <v>-3.3940000000000001E-4</v>
      </c>
      <c r="E16" s="3">
        <v>0</v>
      </c>
      <c r="F16" s="3">
        <v>0</v>
      </c>
      <c r="G16" s="3">
        <v>0</v>
      </c>
      <c r="H16" s="3">
        <v>5.8829692999999998E-5</v>
      </c>
      <c r="I16" s="3">
        <v>1.6760305999999999E-5</v>
      </c>
      <c r="J16" s="3">
        <v>-1.2918799000000001E-4</v>
      </c>
      <c r="K16" s="2"/>
      <c r="L16" s="3"/>
      <c r="M16" s="3"/>
      <c r="N16" s="2">
        <f>IF('Modell einstellen'!$B$1="Voll",H16/0.35,H16/0.35*2)</f>
        <v>3.3616967428571427E-4</v>
      </c>
      <c r="O16" s="2">
        <f>IF('Modell einstellen'!$B$1="Voll",J16/0.35,J16/0.35*2)</f>
        <v>-7.3821708571428582E-4</v>
      </c>
      <c r="P16" s="3">
        <f t="shared" si="0"/>
        <v>0.45538051176429006</v>
      </c>
      <c r="Q16" s="3"/>
      <c r="R16" s="3"/>
      <c r="S16" s="3"/>
      <c r="T16" s="3"/>
      <c r="U16" s="3"/>
    </row>
    <row r="17" spans="1:21" x14ac:dyDescent="0.25">
      <c r="A17" s="3">
        <v>0.1</v>
      </c>
      <c r="B17" s="3">
        <v>-2.0790000000000001E-4</v>
      </c>
      <c r="C17" s="3">
        <v>1.8330000000000001E-4</v>
      </c>
      <c r="D17" s="3">
        <v>-3.1629999999999999E-4</v>
      </c>
      <c r="E17" s="3">
        <v>0</v>
      </c>
      <c r="F17" s="3">
        <v>0</v>
      </c>
      <c r="G17" s="3">
        <v>0</v>
      </c>
      <c r="H17" s="3">
        <v>6.2270471E-5</v>
      </c>
      <c r="I17" s="3">
        <v>1.7066645E-5</v>
      </c>
      <c r="J17" s="3">
        <v>-1.3351509E-4</v>
      </c>
      <c r="K17" s="2"/>
      <c r="L17" s="3"/>
      <c r="M17" s="3"/>
      <c r="N17" s="2">
        <f>IF('Modell einstellen'!$B$1="Voll",H17/0.35,H17/0.35*2)</f>
        <v>3.5583126285714287E-4</v>
      </c>
      <c r="O17" s="2">
        <f>IF('Modell einstellen'!$B$1="Voll",J17/0.35,J17/0.35*2)</f>
        <v>-7.6294337142857147E-4</v>
      </c>
      <c r="P17" s="3">
        <f t="shared" si="0"/>
        <v>0.46639275755272308</v>
      </c>
      <c r="Q17" s="3"/>
      <c r="R17" s="3"/>
      <c r="S17" s="3"/>
      <c r="T17" s="3"/>
      <c r="U17" s="3"/>
    </row>
    <row r="18" spans="1:21" x14ac:dyDescent="0.25">
      <c r="A18" s="3">
        <v>1</v>
      </c>
      <c r="B18" s="3">
        <v>-2.385E-4</v>
      </c>
      <c r="C18" s="3">
        <v>1.8770000000000001E-4</v>
      </c>
      <c r="D18" s="3">
        <v>-2.9329999999999997E-4</v>
      </c>
      <c r="E18" s="3">
        <v>0</v>
      </c>
      <c r="F18" s="3">
        <v>0</v>
      </c>
      <c r="G18" s="3">
        <v>0</v>
      </c>
      <c r="H18" s="3">
        <v>6.6252336999999997E-5</v>
      </c>
      <c r="I18" s="3">
        <v>1.758357E-5</v>
      </c>
      <c r="J18" s="3">
        <v>-1.3876339000000001E-4</v>
      </c>
      <c r="K18" s="2"/>
      <c r="L18" s="3"/>
      <c r="M18" s="3"/>
      <c r="N18" s="2">
        <f>IF('Modell einstellen'!$B$1="Voll",H18/0.35,H18/0.35*2)</f>
        <v>3.7858478285714289E-4</v>
      </c>
      <c r="O18" s="2">
        <f>IF('Modell einstellen'!$B$1="Voll",J18/0.35,J18/0.35*2)</f>
        <v>-7.9293365714285728E-4</v>
      </c>
      <c r="P18" s="3">
        <f t="shared" si="0"/>
        <v>0.47744824481442832</v>
      </c>
      <c r="Q18" s="3"/>
      <c r="R18" s="3"/>
      <c r="S18" s="3"/>
      <c r="T18" s="3"/>
      <c r="U18" s="3"/>
    </row>
    <row r="19" spans="1:21" x14ac:dyDescent="0.25">
      <c r="A19" s="3">
        <v>10</v>
      </c>
      <c r="B19" s="3">
        <v>-2.4489999999999999E-4</v>
      </c>
      <c r="C19" s="3">
        <v>2.0120000000000001E-4</v>
      </c>
      <c r="D19" s="3">
        <v>-2.9950000000000002E-4</v>
      </c>
      <c r="E19" s="3">
        <v>0</v>
      </c>
      <c r="F19" s="3">
        <v>0</v>
      </c>
      <c r="G19" s="3">
        <v>0</v>
      </c>
      <c r="H19" s="3">
        <v>7.1722228999999995E-5</v>
      </c>
      <c r="I19" s="3">
        <v>1.9672084E-5</v>
      </c>
      <c r="J19" s="3">
        <v>-1.4830510999999999E-4</v>
      </c>
      <c r="K19" s="2"/>
      <c r="L19" s="3"/>
      <c r="M19" s="3"/>
      <c r="N19" s="2">
        <f>IF('Modell einstellen'!$B$1="Voll",H19/0.35,H19/0.35*2)</f>
        <v>4.0984130857142859E-4</v>
      </c>
      <c r="O19" s="2">
        <f>IF('Modell einstellen'!$B$1="Voll",J19/0.35,J19/0.35*2)</f>
        <v>-8.4745777142857144E-4</v>
      </c>
      <c r="P19" s="3">
        <f t="shared" si="0"/>
        <v>0.48361266176195816</v>
      </c>
      <c r="Q19" s="3"/>
      <c r="R19" s="3"/>
      <c r="S19" s="3"/>
      <c r="T19" s="3"/>
      <c r="U19" s="3"/>
    </row>
    <row r="20" spans="1:21" x14ac:dyDescent="0.25">
      <c r="A20" s="3">
        <v>100</v>
      </c>
      <c r="B20" s="3">
        <v>-1.6860000000000001E-4</v>
      </c>
      <c r="C20" s="3">
        <v>2.4220000000000001E-4</v>
      </c>
      <c r="D20" s="3">
        <v>-4.0319999999999999E-4</v>
      </c>
      <c r="E20" s="3">
        <v>0</v>
      </c>
      <c r="F20" s="3">
        <v>0</v>
      </c>
      <c r="G20" s="3">
        <v>0</v>
      </c>
      <c r="H20" s="3">
        <v>8.1818194000000006E-5</v>
      </c>
      <c r="I20" s="3">
        <v>2.7095451000000001E-5</v>
      </c>
      <c r="J20" s="3">
        <v>-1.7212451E-4</v>
      </c>
      <c r="K20" s="2"/>
      <c r="L20" s="3"/>
      <c r="M20" s="3"/>
      <c r="N20" s="2">
        <f>IF('Modell einstellen'!$B$1="Voll",H20/0.35,H20/0.35*2)</f>
        <v>4.6753253714285721E-4</v>
      </c>
      <c r="O20" s="2">
        <f>IF('Modell einstellen'!$B$1="Voll",J20/0.35,J20/0.35*2)</f>
        <v>-9.8356862857142862E-4</v>
      </c>
      <c r="P20" s="3">
        <f t="shared" si="0"/>
        <v>0.47534307577694779</v>
      </c>
      <c r="Q20" s="3"/>
      <c r="R20" s="3"/>
      <c r="S20" s="3"/>
      <c r="T20" s="3"/>
      <c r="U20" s="3"/>
    </row>
    <row r="21" spans="1:21" x14ac:dyDescent="0.25">
      <c r="A21" s="3">
        <v>1000</v>
      </c>
      <c r="B21" s="3">
        <v>-1.327E-5</v>
      </c>
      <c r="C21" s="3">
        <v>3.19E-4</v>
      </c>
      <c r="D21" s="3">
        <v>-6.1039999999999998E-4</v>
      </c>
      <c r="E21" s="3">
        <v>0</v>
      </c>
      <c r="F21" s="3">
        <v>0</v>
      </c>
      <c r="G21" s="3">
        <v>0</v>
      </c>
      <c r="H21" s="3">
        <v>9.6433594999999997E-5</v>
      </c>
      <c r="I21" s="3">
        <v>4.0630665999999997E-5</v>
      </c>
      <c r="J21" s="3">
        <v>-2.1173382E-4</v>
      </c>
      <c r="K21" s="2"/>
      <c r="L21" s="3"/>
      <c r="M21" s="3"/>
      <c r="N21" s="2">
        <f>IF('Modell einstellen'!$B$1="Voll",H21/0.35,H21/0.35*2)</f>
        <v>5.5104911428571432E-4</v>
      </c>
      <c r="O21" s="2">
        <f>IF('Modell einstellen'!$B$1="Voll",J21/0.35,J21/0.35*2)</f>
        <v>-1.209907542857143E-3</v>
      </c>
      <c r="P21" s="3">
        <f t="shared" si="0"/>
        <v>0.45544729226535463</v>
      </c>
      <c r="Q21" s="3"/>
      <c r="R21" s="3"/>
      <c r="S21" s="3"/>
      <c r="T21" s="3"/>
      <c r="U21" s="3"/>
    </row>
    <row r="22" spans="1:21" x14ac:dyDescent="0.25">
      <c r="A22" s="3">
        <v>10000</v>
      </c>
      <c r="B22" s="3">
        <v>1.6320000000000001E-4</v>
      </c>
      <c r="C22" s="3">
        <v>4.2180000000000001E-4</v>
      </c>
      <c r="D22" s="3">
        <v>-8.6350000000000001E-4</v>
      </c>
      <c r="E22" s="3">
        <v>0</v>
      </c>
      <c r="F22" s="3">
        <v>0</v>
      </c>
      <c r="G22" s="3">
        <v>0</v>
      </c>
      <c r="H22" s="3">
        <v>1.1363693000000001E-4</v>
      </c>
      <c r="I22" s="3">
        <v>5.7565536999999998E-5</v>
      </c>
      <c r="J22" s="3">
        <v>-2.6052300999999999E-4</v>
      </c>
      <c r="K22" s="2"/>
      <c r="L22" s="3"/>
      <c r="M22" s="3"/>
      <c r="N22" s="2">
        <f>IF('Modell einstellen'!$B$1="Voll",H22/0.35,H22/0.35*2)</f>
        <v>6.4935388571428574E-4</v>
      </c>
      <c r="O22" s="2">
        <f>IF('Modell einstellen'!$B$1="Voll",J22/0.35,J22/0.35*2)</f>
        <v>-1.4887029142857144E-3</v>
      </c>
      <c r="P22" s="3">
        <f t="shared" si="0"/>
        <v>0.43618769029269239</v>
      </c>
      <c r="Q22" s="3"/>
      <c r="R22" s="3"/>
      <c r="S22" s="3"/>
      <c r="T22" s="3"/>
      <c r="U22" s="3"/>
    </row>
    <row r="23" spans="1:21" x14ac:dyDescent="0.25">
      <c r="A23" s="3">
        <v>100000</v>
      </c>
      <c r="B23" s="3">
        <v>3.2739999999999999E-4</v>
      </c>
      <c r="C23" s="3">
        <v>5.4160000000000005E-4</v>
      </c>
      <c r="D23" s="3">
        <v>-1.1249999999999999E-3</v>
      </c>
      <c r="E23" s="3">
        <v>0</v>
      </c>
      <c r="F23" s="3">
        <v>0</v>
      </c>
      <c r="G23" s="3">
        <v>0</v>
      </c>
      <c r="H23" s="3">
        <v>1.3208501000000001E-4</v>
      </c>
      <c r="I23" s="3">
        <v>7.6267184999999999E-5</v>
      </c>
      <c r="J23" s="3">
        <v>-3.1426904E-4</v>
      </c>
      <c r="K23" s="2"/>
      <c r="L23" s="3"/>
      <c r="M23" s="3"/>
      <c r="N23" s="2">
        <f>IF('Modell einstellen'!$B$1="Voll",H23/0.35,H23/0.35*2)</f>
        <v>7.5477148571428585E-4</v>
      </c>
      <c r="O23" s="2">
        <f>IF('Modell einstellen'!$B$1="Voll",J23/0.35,J23/0.35*2)</f>
        <v>-1.7958230857142859E-3</v>
      </c>
      <c r="P23" s="3">
        <f t="shared" si="0"/>
        <v>0.42029278480629212</v>
      </c>
      <c r="Q23" s="3"/>
      <c r="R23" s="3"/>
      <c r="S23" s="3"/>
      <c r="T23" s="3"/>
      <c r="U23" s="3"/>
    </row>
    <row r="24" spans="1:21" x14ac:dyDescent="0.25">
      <c r="A24" s="3">
        <v>1000000</v>
      </c>
      <c r="B24" s="3">
        <v>4.6640000000000001E-4</v>
      </c>
      <c r="C24" s="3">
        <v>6.7909999999999997E-4</v>
      </c>
      <c r="D24" s="3">
        <v>-1.384E-3</v>
      </c>
      <c r="E24" s="3">
        <v>0</v>
      </c>
      <c r="F24" s="3">
        <v>0</v>
      </c>
      <c r="G24" s="3">
        <v>0</v>
      </c>
      <c r="H24" s="3">
        <v>1.5297606000000001E-4</v>
      </c>
      <c r="I24" s="3">
        <v>9.7299723999999998E-5</v>
      </c>
      <c r="J24" s="3">
        <v>-3.7530395000000001E-4</v>
      </c>
      <c r="K24" s="2"/>
      <c r="L24" s="3"/>
      <c r="M24" s="3"/>
      <c r="N24" s="2">
        <f>IF('Modell einstellen'!$B$1="Voll",H24/0.35,H24/0.35*2)</f>
        <v>8.7414891428571446E-4</v>
      </c>
      <c r="O24" s="2">
        <f>IF('Modell einstellen'!$B$1="Voll",J24/0.35,J24/0.35*2)</f>
        <v>-2.1445940000000001E-3</v>
      </c>
      <c r="P24" s="3">
        <f t="shared" si="0"/>
        <v>0.4076057819268889</v>
      </c>
      <c r="Q24" s="3"/>
      <c r="R24" s="3"/>
      <c r="S24" s="3"/>
      <c r="T24" s="3"/>
      <c r="U24" s="3"/>
    </row>
    <row r="25" spans="1:21" x14ac:dyDescent="0.25">
      <c r="A25" s="3">
        <v>10000000</v>
      </c>
      <c r="B25" s="3">
        <v>5.8500000000000002E-4</v>
      </c>
      <c r="C25" s="3">
        <v>8.4460000000000004E-4</v>
      </c>
      <c r="D25" s="3">
        <v>-1.6540000000000001E-3</v>
      </c>
      <c r="E25" s="3">
        <v>0</v>
      </c>
      <c r="F25" s="3">
        <v>0</v>
      </c>
      <c r="G25" s="3">
        <v>0</v>
      </c>
      <c r="H25" s="3">
        <v>1.7953859E-4</v>
      </c>
      <c r="I25" s="3">
        <v>1.2295540999999999E-4</v>
      </c>
      <c r="J25" s="3">
        <v>-4.5122348999999999E-4</v>
      </c>
      <c r="K25" s="2"/>
      <c r="L25" s="3"/>
      <c r="M25" s="3"/>
      <c r="N25" s="2">
        <f>IF('Modell einstellen'!$B$1="Voll",H25/0.35,H25/0.35*2)</f>
        <v>1.0259348000000001E-3</v>
      </c>
      <c r="O25" s="2">
        <f>IF('Modell einstellen'!$B$1="Voll",J25/0.35,J25/0.35*2)</f>
        <v>-2.5784199428571428E-3</v>
      </c>
      <c r="P25" s="3">
        <f t="shared" si="0"/>
        <v>0.397892826900479</v>
      </c>
      <c r="Q25" s="3"/>
      <c r="R25" s="3"/>
      <c r="S25" s="3"/>
      <c r="T25" s="3"/>
      <c r="U25" s="3"/>
    </row>
    <row r="26" spans="1:21" x14ac:dyDescent="0.25">
      <c r="A26" s="3">
        <v>100000000</v>
      </c>
      <c r="B26" s="3">
        <v>6.9819999999999995E-4</v>
      </c>
      <c r="C26" s="3">
        <v>1.0690000000000001E-3</v>
      </c>
      <c r="D26" s="3">
        <v>-1.9810000000000001E-3</v>
      </c>
      <c r="E26" s="3">
        <v>0</v>
      </c>
      <c r="F26" s="3">
        <v>0</v>
      </c>
      <c r="G26" s="3">
        <v>0</v>
      </c>
      <c r="H26" s="3">
        <v>2.1964441E-4</v>
      </c>
      <c r="I26" s="3">
        <v>1.5930299E-4</v>
      </c>
      <c r="J26" s="3">
        <v>-5.6153240999999999E-4</v>
      </c>
      <c r="K26" s="2"/>
      <c r="L26" s="3"/>
      <c r="M26" s="3"/>
      <c r="N26" s="2">
        <f>IF('Modell einstellen'!$B$1="Voll",H26/0.35,H26/0.35*2)</f>
        <v>1.2551109142857144E-3</v>
      </c>
      <c r="O26" s="2">
        <f>IF('Modell einstellen'!$B$1="Voll",J26/0.35,J26/0.35*2)</f>
        <v>-3.2087566285714285E-3</v>
      </c>
      <c r="P26" s="3">
        <f t="shared" si="0"/>
        <v>0.39115179478242412</v>
      </c>
      <c r="Q26" s="3"/>
      <c r="R26" s="3"/>
      <c r="S26" s="3"/>
      <c r="T26" s="3"/>
      <c r="U26" s="3"/>
    </row>
    <row r="27" spans="1:21" x14ac:dyDescent="0.25">
      <c r="A27" s="3">
        <v>1000000000</v>
      </c>
      <c r="B27" s="3">
        <v>8.3290000000000002E-4</v>
      </c>
      <c r="C27" s="3">
        <v>1.4220000000000001E-3</v>
      </c>
      <c r="D27" s="3">
        <v>-2.457E-3</v>
      </c>
      <c r="E27" s="3">
        <v>0</v>
      </c>
      <c r="F27" s="3">
        <v>0</v>
      </c>
      <c r="G27" s="3">
        <v>0</v>
      </c>
      <c r="H27" s="3">
        <v>2.8732140999999998E-4</v>
      </c>
      <c r="I27" s="3">
        <v>2.1822770999999999E-4</v>
      </c>
      <c r="J27" s="3">
        <v>-7.4294148000000003E-4</v>
      </c>
      <c r="K27" s="2"/>
      <c r="L27" s="3"/>
      <c r="M27" s="3"/>
      <c r="N27" s="2">
        <f>IF('Modell einstellen'!$B$1="Voll",H27/0.35,H27/0.35*2)</f>
        <v>1.6418366285714287E-3</v>
      </c>
      <c r="O27" s="2">
        <f>IF('Modell einstellen'!$B$1="Voll",J27/0.35,J27/0.35*2)</f>
        <v>-4.2453798857142863E-3</v>
      </c>
      <c r="P27" s="3">
        <f t="shared" si="0"/>
        <v>0.38673491484147576</v>
      </c>
      <c r="Q27" s="3"/>
      <c r="R27" s="3"/>
      <c r="S27" s="3"/>
      <c r="T27" s="3"/>
      <c r="U27" s="3"/>
    </row>
    <row r="28" spans="1:21" x14ac:dyDescent="0.25">
      <c r="A28" s="3">
        <v>10000000000</v>
      </c>
      <c r="B28" s="3">
        <v>1.0120000000000001E-3</v>
      </c>
      <c r="C28" s="3">
        <v>1.9889999999999999E-3</v>
      </c>
      <c r="D28" s="3">
        <v>-3.192E-3</v>
      </c>
      <c r="E28" s="3">
        <v>0</v>
      </c>
      <c r="F28" s="3">
        <v>0</v>
      </c>
      <c r="G28" s="3">
        <v>0</v>
      </c>
      <c r="H28" s="3">
        <v>4.0381200999999999E-4</v>
      </c>
      <c r="I28" s="3">
        <v>3.1715372999999999E-4</v>
      </c>
      <c r="J28" s="3">
        <v>-1.0496266999999999E-3</v>
      </c>
      <c r="K28" s="2"/>
      <c r="L28" s="3"/>
      <c r="M28" s="3"/>
      <c r="N28" s="2">
        <f>IF('Modell einstellen'!$B$1="Voll",H28/0.35,H28/0.35*2)</f>
        <v>2.3074972E-3</v>
      </c>
      <c r="O28" s="2">
        <f>IF('Modell einstellen'!$B$1="Voll",J28/0.35,J28/0.35*2)</f>
        <v>-5.9978668571428568E-3</v>
      </c>
      <c r="P28" s="3">
        <f t="shared" si="0"/>
        <v>0.38471964365997935</v>
      </c>
      <c r="Q28" s="3"/>
      <c r="R28" s="3"/>
      <c r="S28" s="3"/>
      <c r="T28" s="3"/>
      <c r="U28" s="3"/>
    </row>
    <row r="29" spans="1:21" x14ac:dyDescent="0.25">
      <c r="A29" s="3">
        <v>100000000000</v>
      </c>
      <c r="B29" s="3">
        <v>1.273E-3</v>
      </c>
      <c r="C29" s="3">
        <v>2.8440000000000002E-3</v>
      </c>
      <c r="D29" s="3">
        <v>-4.2960000000000003E-3</v>
      </c>
      <c r="E29" s="3">
        <v>0</v>
      </c>
      <c r="F29" s="3">
        <v>0</v>
      </c>
      <c r="G29" s="3">
        <v>0</v>
      </c>
      <c r="H29" s="3">
        <v>5.8575778000000004E-4</v>
      </c>
      <c r="I29" s="3">
        <v>4.7072450000000001E-4</v>
      </c>
      <c r="J29" s="3">
        <v>-1.5249568999999999E-3</v>
      </c>
      <c r="K29" s="2"/>
      <c r="L29" s="3"/>
      <c r="M29" s="3"/>
      <c r="N29" s="2">
        <f>IF('Modell einstellen'!$B$1="Voll",H29/0.35,H29/0.35*2)</f>
        <v>3.3471873142857148E-3</v>
      </c>
      <c r="O29" s="2">
        <f>IF('Modell einstellen'!$B$1="Voll",J29/0.35,J29/0.35*2)</f>
        <v>-8.7140394285714282E-3</v>
      </c>
      <c r="P29" s="3">
        <f t="shared" si="0"/>
        <v>0.38411431824728953</v>
      </c>
      <c r="Q29" s="3"/>
      <c r="R29" s="3"/>
      <c r="S29" s="3"/>
      <c r="T29" s="3"/>
      <c r="U29" s="3"/>
    </row>
    <row r="30" spans="1:21" x14ac:dyDescent="0.25">
      <c r="A30" s="3">
        <v>1000000000000</v>
      </c>
      <c r="B30" s="3">
        <v>1.64E-3</v>
      </c>
      <c r="C30" s="3">
        <v>3.9129999999999998E-3</v>
      </c>
      <c r="D30" s="3">
        <v>-5.7219999999999997E-3</v>
      </c>
      <c r="E30" s="3">
        <v>0</v>
      </c>
      <c r="F30" s="3">
        <v>0</v>
      </c>
      <c r="G30" s="3">
        <v>0</v>
      </c>
      <c r="H30" s="3">
        <v>8.1835497000000001E-4</v>
      </c>
      <c r="I30" s="3">
        <v>6.6734442E-4</v>
      </c>
      <c r="J30" s="3">
        <v>-2.1301134E-3</v>
      </c>
      <c r="K30" s="2"/>
      <c r="L30" s="3"/>
      <c r="M30" s="3"/>
      <c r="N30" s="2">
        <f>IF('Modell einstellen'!$B$1="Voll",H30/0.35,H30/0.35*2)</f>
        <v>4.6763141142857146E-3</v>
      </c>
      <c r="O30" s="2">
        <f>IF('Modell einstellen'!$B$1="Voll",J30/0.35,J30/0.35*2)</f>
        <v>-1.2172076571428572E-2</v>
      </c>
      <c r="P30" s="3">
        <f t="shared" si="0"/>
        <v>0.38418375754079576</v>
      </c>
      <c r="Q30" s="3"/>
      <c r="R30" s="3"/>
      <c r="S30" s="3"/>
      <c r="T30" s="3"/>
      <c r="U30" s="3"/>
    </row>
    <row r="31" spans="1:21" x14ac:dyDescent="0.25">
      <c r="A31" s="3">
        <v>10000000000000</v>
      </c>
      <c r="B31" s="3">
        <v>2.042E-3</v>
      </c>
      <c r="C31" s="3">
        <v>4.8690000000000001E-3</v>
      </c>
      <c r="D31" s="3">
        <v>-7.0740000000000004E-3</v>
      </c>
      <c r="E31" s="3">
        <v>0</v>
      </c>
      <c r="F31" s="3">
        <v>0</v>
      </c>
      <c r="G31" s="3">
        <v>0</v>
      </c>
      <c r="H31" s="3">
        <v>1.0265922000000001E-3</v>
      </c>
      <c r="I31" s="3">
        <v>8.4551804999999998E-4</v>
      </c>
      <c r="J31" s="3">
        <v>-2.6731347E-3</v>
      </c>
      <c r="K31" s="2"/>
      <c r="L31" s="3"/>
      <c r="M31" s="3"/>
      <c r="N31" s="2">
        <f>IF('Modell einstellen'!$B$1="Voll",H31/0.35,H31/0.35*2)</f>
        <v>5.866241142857144E-3</v>
      </c>
      <c r="O31" s="2">
        <f>IF('Modell einstellen'!$B$1="Voll",J31/0.35,J31/0.35*2)</f>
        <v>-1.5275055428571429E-2</v>
      </c>
      <c r="P31" s="3">
        <f t="shared" si="0"/>
        <v>0.38404057977325279</v>
      </c>
      <c r="Q31" s="3"/>
      <c r="R31" s="3"/>
      <c r="S31" s="3"/>
      <c r="T31" s="3"/>
      <c r="U31" s="3"/>
    </row>
    <row r="32" spans="1:21" x14ac:dyDescent="0.25">
      <c r="A32" s="3">
        <v>100000000000000</v>
      </c>
      <c r="B32" s="3">
        <v>2.385E-3</v>
      </c>
      <c r="C32" s="3">
        <v>5.555E-3</v>
      </c>
      <c r="D32" s="3">
        <v>-8.0990000000000003E-3</v>
      </c>
      <c r="E32" s="3">
        <v>0</v>
      </c>
      <c r="F32" s="3">
        <v>0</v>
      </c>
      <c r="G32" s="3">
        <v>0</v>
      </c>
      <c r="H32" s="3">
        <v>1.1741570999999999E-3</v>
      </c>
      <c r="I32" s="3">
        <v>9.7377570999999995E-4</v>
      </c>
      <c r="J32" s="3">
        <v>-3.0600998E-3</v>
      </c>
      <c r="K32" s="2"/>
      <c r="L32" s="3"/>
      <c r="M32" s="3"/>
      <c r="N32" s="2">
        <f>IF('Modell einstellen'!$B$1="Voll",H32/0.35,H32/0.35*2)</f>
        <v>6.7094691428571428E-3</v>
      </c>
      <c r="O32" s="2">
        <f>IF('Modell einstellen'!$B$1="Voll",J32/0.35,J32/0.35*2)</f>
        <v>-1.7486284571428572E-2</v>
      </c>
      <c r="P32" s="3">
        <f t="shared" si="0"/>
        <v>0.38369895648501395</v>
      </c>
      <c r="Q32" s="3"/>
      <c r="R32" s="3"/>
      <c r="S32" s="3"/>
      <c r="T32" s="3"/>
      <c r="U32" s="3"/>
    </row>
    <row r="33" spans="1:21" x14ac:dyDescent="0.25">
      <c r="A33" s="2">
        <v>1000000000000000</v>
      </c>
      <c r="B33" s="3">
        <v>2.6289999999999998E-3</v>
      </c>
      <c r="C33" s="3">
        <v>5.9829999999999996E-3</v>
      </c>
      <c r="D33" s="3">
        <v>-8.7679999999999998E-3</v>
      </c>
      <c r="E33" s="3">
        <v>0</v>
      </c>
      <c r="F33" s="3">
        <v>0</v>
      </c>
      <c r="G33" s="3">
        <v>0</v>
      </c>
      <c r="H33" s="3">
        <v>1.2640703000000001E-3</v>
      </c>
      <c r="I33" s="3">
        <v>1.0533038000000001E-3</v>
      </c>
      <c r="J33" s="3">
        <v>-3.297814E-3</v>
      </c>
      <c r="K33" s="2"/>
      <c r="L33" s="3"/>
      <c r="M33" s="3"/>
      <c r="N33" s="2">
        <f>IF('Modell einstellen'!$B$1="Voll",H33/0.35,H33/0.35*2)</f>
        <v>7.2232588571428582E-3</v>
      </c>
      <c r="O33" s="2">
        <f>IF('Modell einstellen'!$B$1="Voll",J33/0.35,J33/0.35*2)</f>
        <v>-1.8844651428571429E-2</v>
      </c>
      <c r="P33" s="3">
        <f t="shared" si="0"/>
        <v>0.38330551692727372</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-4.5890000000000003E-5</v>
      </c>
      <c r="C3" s="3">
        <v>1.639E-4</v>
      </c>
      <c r="D3" s="3">
        <v>-4.3120000000000002E-4</v>
      </c>
      <c r="E3" s="3">
        <v>0</v>
      </c>
      <c r="F3" s="3">
        <v>0</v>
      </c>
      <c r="G3" s="3">
        <v>0</v>
      </c>
      <c r="H3" s="3">
        <v>4.2833917000000003E-5</v>
      </c>
      <c r="I3" s="3">
        <v>1.5370814E-5</v>
      </c>
      <c r="J3" s="3">
        <v>-1.0863953E-4</v>
      </c>
      <c r="L3" s="3">
        <f>-B3/D3</f>
        <v>-0.10642393320964749</v>
      </c>
      <c r="M3" s="3"/>
      <c r="N3" s="2">
        <f>IF('Modell einstellen'!$B$1="Voll",H3/0.35,H3/0.35*2)</f>
        <v>2.4476524000000005E-4</v>
      </c>
      <c r="O3" s="2">
        <f>IF('Modell einstellen'!$B$1="Voll",J3/0.35,J3/0.35*2)</f>
        <v>-6.2079731428571429E-4</v>
      </c>
      <c r="P3" s="3">
        <f>-N3/O3</f>
        <v>0.39427561036024372</v>
      </c>
    </row>
    <row r="4" spans="1:16" x14ac:dyDescent="0.25">
      <c r="A4" s="3">
        <v>1E-14</v>
      </c>
      <c r="B4" s="3">
        <v>-6.1500000000000004E-5</v>
      </c>
      <c r="C4" s="3">
        <v>1.6660000000000001E-4</v>
      </c>
      <c r="D4" s="3">
        <v>-4.2230000000000002E-4</v>
      </c>
      <c r="E4" s="3">
        <v>0</v>
      </c>
      <c r="F4" s="3">
        <v>0</v>
      </c>
      <c r="G4" s="3">
        <v>0</v>
      </c>
      <c r="H4" s="3">
        <v>4.5168784000000003E-5</v>
      </c>
      <c r="I4" s="3">
        <v>1.5662824000000001E-5</v>
      </c>
      <c r="J4" s="3">
        <v>-1.1187507E-4</v>
      </c>
      <c r="L4" s="3">
        <f t="shared" ref="L4:L33" si="0">-B4/D4</f>
        <v>-0.14563106796116504</v>
      </c>
      <c r="M4" s="3"/>
      <c r="N4" s="2">
        <f>IF('Modell einstellen'!$B$1="Voll",H4/0.35,H4/0.35*2)</f>
        <v>2.5810733714285718E-4</v>
      </c>
      <c r="O4" s="2">
        <f>IF('Modell einstellen'!$B$1="Voll",J4/0.35,J4/0.35*2)</f>
        <v>-6.3928611428571433E-4</v>
      </c>
      <c r="P4" s="3">
        <f t="shared" ref="P4:P33" si="1">-N4/O4</f>
        <v>0.4037430680490301</v>
      </c>
    </row>
    <row r="5" spans="1:16" x14ac:dyDescent="0.25">
      <c r="A5" s="3">
        <v>1E-13</v>
      </c>
      <c r="B5" s="3">
        <v>-7.5149999999999997E-5</v>
      </c>
      <c r="C5" s="3">
        <v>1.6980000000000001E-4</v>
      </c>
      <c r="D5" s="3">
        <v>-4.1520000000000001E-4</v>
      </c>
      <c r="E5" s="3">
        <v>0</v>
      </c>
      <c r="F5" s="3">
        <v>0</v>
      </c>
      <c r="G5" s="3">
        <v>0</v>
      </c>
      <c r="H5" s="3">
        <v>4.7234387000000001E-5</v>
      </c>
      <c r="I5" s="3">
        <v>1.5959162000000001E-5</v>
      </c>
      <c r="J5" s="3">
        <v>-1.1477971E-4</v>
      </c>
      <c r="L5" s="3">
        <f t="shared" si="0"/>
        <v>-0.18099710982658959</v>
      </c>
      <c r="M5" s="3"/>
      <c r="N5" s="2">
        <f>IF('Modell einstellen'!$B$1="Voll",H5/0.35,H5/0.35*2)</f>
        <v>2.6991078285714288E-4</v>
      </c>
      <c r="O5" s="2">
        <f>IF('Modell einstellen'!$B$1="Voll",J5/0.35,J5/0.35*2)</f>
        <v>-6.558840571428572E-4</v>
      </c>
      <c r="P5" s="3">
        <f t="shared" si="1"/>
        <v>0.41152209741599799</v>
      </c>
    </row>
    <row r="6" spans="1:16" x14ac:dyDescent="0.25">
      <c r="A6" s="3">
        <v>9.9999999999999998E-13</v>
      </c>
      <c r="B6" s="3">
        <v>-9.3309999999999999E-5</v>
      </c>
      <c r="C6" s="3">
        <v>1.7220000000000001E-4</v>
      </c>
      <c r="D6" s="3">
        <v>-4.0309999999999999E-4</v>
      </c>
      <c r="E6" s="3">
        <v>0</v>
      </c>
      <c r="F6" s="3">
        <v>0</v>
      </c>
      <c r="G6" s="3">
        <v>0</v>
      </c>
      <c r="H6" s="3">
        <v>4.9705391000000002E-5</v>
      </c>
      <c r="I6" s="3">
        <v>1.6226525E-5</v>
      </c>
      <c r="J6" s="3">
        <v>-1.1807765999999999E-4</v>
      </c>
      <c r="L6" s="3">
        <f t="shared" si="0"/>
        <v>-0.23148102207888863</v>
      </c>
      <c r="M6" s="3"/>
      <c r="N6" s="2">
        <f>IF('Modell einstellen'!$B$1="Voll",H6/0.35,H6/0.35*2)</f>
        <v>2.8403080571428577E-4</v>
      </c>
      <c r="O6" s="2">
        <f>IF('Modell einstellen'!$B$1="Voll",J6/0.35,J6/0.35*2)</f>
        <v>-6.7472948571428574E-4</v>
      </c>
      <c r="P6" s="3">
        <f t="shared" si="1"/>
        <v>0.42095508159629863</v>
      </c>
    </row>
    <row r="7" spans="1:16" x14ac:dyDescent="0.25">
      <c r="A7" s="3">
        <v>9.9999999999999994E-12</v>
      </c>
      <c r="B7" s="3">
        <v>-1.178E-4</v>
      </c>
      <c r="C7" s="3">
        <v>1.7660000000000001E-4</v>
      </c>
      <c r="D7" s="3">
        <v>-3.8749999999999999E-4</v>
      </c>
      <c r="E7" s="3">
        <v>0</v>
      </c>
      <c r="F7" s="3">
        <v>0</v>
      </c>
      <c r="G7" s="3">
        <v>0</v>
      </c>
      <c r="H7" s="3">
        <v>5.2997103000000003E-5</v>
      </c>
      <c r="I7" s="3">
        <v>1.6627928E-5</v>
      </c>
      <c r="J7" s="3">
        <v>-1.2251450999999999E-4</v>
      </c>
      <c r="L7" s="3">
        <f t="shared" si="0"/>
        <v>-0.30400000000000005</v>
      </c>
      <c r="M7" s="3"/>
      <c r="N7" s="2">
        <f>IF('Modell einstellen'!$B$1="Voll",H7/0.35,H7/0.35*2)</f>
        <v>3.0284058857142859E-4</v>
      </c>
      <c r="O7" s="2">
        <f>IF('Modell einstellen'!$B$1="Voll",J7/0.35,J7/0.35*2)</f>
        <v>-7.0008291428571429E-4</v>
      </c>
      <c r="P7" s="3">
        <f t="shared" si="1"/>
        <v>0.4325781738016175</v>
      </c>
    </row>
    <row r="8" spans="1:16" x14ac:dyDescent="0.25">
      <c r="A8" s="3">
        <v>1E-10</v>
      </c>
      <c r="B8" s="3">
        <v>-1.47E-4</v>
      </c>
      <c r="C8" s="3">
        <v>1.8029999999999999E-4</v>
      </c>
      <c r="D8" s="3">
        <v>-3.6650000000000002E-4</v>
      </c>
      <c r="E8" s="3">
        <v>0</v>
      </c>
      <c r="F8" s="3">
        <v>0</v>
      </c>
      <c r="G8" s="3">
        <v>0</v>
      </c>
      <c r="H8" s="3">
        <v>5.6640937999999999E-5</v>
      </c>
      <c r="I8" s="3">
        <v>1.6998509000000001E-5</v>
      </c>
      <c r="J8" s="3">
        <v>-1.2724690999999999E-4</v>
      </c>
      <c r="L8" s="3">
        <f t="shared" si="0"/>
        <v>-0.40109140518417458</v>
      </c>
      <c r="M8" s="3"/>
      <c r="N8" s="2">
        <f>IF('Modell einstellen'!$B$1="Voll",H8/0.35,H8/0.35*2)</f>
        <v>3.2366250285714287E-4</v>
      </c>
      <c r="O8" s="2">
        <f>IF('Modell einstellen'!$B$1="Voll",J8/0.35,J8/0.35*2)</f>
        <v>-7.2712519999999998E-4</v>
      </c>
      <c r="P8" s="3">
        <f t="shared" si="1"/>
        <v>0.44512623528539907</v>
      </c>
    </row>
    <row r="9" spans="1:16" x14ac:dyDescent="0.25">
      <c r="A9" s="3">
        <v>1.0000000000000001E-9</v>
      </c>
      <c r="B9" s="3">
        <v>-1.7579999999999999E-4</v>
      </c>
      <c r="C9" s="3">
        <v>1.8349999999999999E-4</v>
      </c>
      <c r="D9" s="3">
        <v>-3.4469999999999998E-4</v>
      </c>
      <c r="E9" s="3">
        <v>0</v>
      </c>
      <c r="F9" s="3">
        <v>0</v>
      </c>
      <c r="G9" s="3">
        <v>0</v>
      </c>
      <c r="H9" s="3">
        <v>6.0062192E-5</v>
      </c>
      <c r="I9" s="3">
        <v>1.7313502000000002E-5</v>
      </c>
      <c r="J9" s="3">
        <v>-1.3159213000000001E-4</v>
      </c>
      <c r="L9" s="3">
        <f t="shared" si="0"/>
        <v>-0.51000870322019143</v>
      </c>
      <c r="M9" s="3"/>
      <c r="N9" s="2">
        <f>IF('Modell einstellen'!$B$1="Voll",H9/0.35,H9/0.35*2)</f>
        <v>3.4321252571428576E-4</v>
      </c>
      <c r="O9" s="2">
        <f>IF('Modell einstellen'!$B$1="Voll",J9/0.35,J9/0.35*2)</f>
        <v>-7.5195502857142865E-4</v>
      </c>
      <c r="P9" s="3">
        <f t="shared" si="1"/>
        <v>0.45642693069866719</v>
      </c>
    </row>
    <row r="10" spans="1:16" x14ac:dyDescent="0.25">
      <c r="A10" s="3">
        <v>1E-8</v>
      </c>
      <c r="B10" s="3">
        <v>-2.0709999999999999E-4</v>
      </c>
      <c r="C10" s="3">
        <v>1.8579999999999999E-4</v>
      </c>
      <c r="D10" s="3">
        <v>-3.1930000000000001E-4</v>
      </c>
      <c r="E10" s="3">
        <v>0</v>
      </c>
      <c r="F10" s="3">
        <v>0</v>
      </c>
      <c r="G10" s="3">
        <v>0</v>
      </c>
      <c r="H10" s="3">
        <v>6.3606271999999998E-5</v>
      </c>
      <c r="I10" s="3">
        <v>1.7575066000000001E-5</v>
      </c>
      <c r="J10" s="3">
        <v>-1.3594333999999999E-4</v>
      </c>
      <c r="L10" s="3">
        <f t="shared" si="0"/>
        <v>-0.64860632633886628</v>
      </c>
      <c r="M10" s="3"/>
      <c r="N10" s="2">
        <f>IF('Modell einstellen'!$B$1="Voll",H10/0.35,H10/0.35*2)</f>
        <v>3.6346441142857142E-4</v>
      </c>
      <c r="O10" s="2">
        <f>IF('Modell einstellen'!$B$1="Voll",J10/0.35,J10/0.35*2)</f>
        <v>-7.768190857142857E-4</v>
      </c>
      <c r="P10" s="3">
        <f t="shared" si="1"/>
        <v>0.46788810691277705</v>
      </c>
    </row>
    <row r="11" spans="1:16" x14ac:dyDescent="0.25">
      <c r="A11" s="3">
        <v>9.9999999999999995E-8</v>
      </c>
      <c r="B11" s="3">
        <v>-2.4159999999999999E-4</v>
      </c>
      <c r="C11" s="3">
        <v>1.895E-4</v>
      </c>
      <c r="D11" s="3">
        <v>-2.921E-4</v>
      </c>
      <c r="E11" s="3">
        <v>0</v>
      </c>
      <c r="F11" s="3">
        <v>0</v>
      </c>
      <c r="G11" s="3">
        <v>0</v>
      </c>
      <c r="H11" s="3">
        <v>6.7450925999999999E-5</v>
      </c>
      <c r="I11" s="3">
        <v>1.7908910000000001E-5</v>
      </c>
      <c r="J11" s="3">
        <v>-1.4072550999999999E-4</v>
      </c>
      <c r="L11" s="3">
        <f t="shared" si="0"/>
        <v>-0.82711400205409102</v>
      </c>
      <c r="M11" s="3"/>
      <c r="N11" s="2">
        <f>IF('Modell einstellen'!$B$1="Voll",H11/0.35,H11/0.35*2)</f>
        <v>3.8543386285714285E-4</v>
      </c>
      <c r="O11" s="2">
        <f>IF('Modell einstellen'!$B$1="Voll",J11/0.35,J11/0.35*2)</f>
        <v>-8.0414577142857145E-4</v>
      </c>
      <c r="P11" s="3">
        <f t="shared" si="1"/>
        <v>0.47930844947728379</v>
      </c>
    </row>
    <row r="12" spans="1:16" x14ac:dyDescent="0.25">
      <c r="A12" s="3">
        <v>9.9999999999999995E-7</v>
      </c>
      <c r="B12" s="3">
        <v>-2.811E-4</v>
      </c>
      <c r="C12" s="3">
        <v>1.916E-4</v>
      </c>
      <c r="D12" s="3">
        <v>-2.5839999999999999E-4</v>
      </c>
      <c r="E12" s="3">
        <v>0</v>
      </c>
      <c r="F12" s="3">
        <v>0</v>
      </c>
      <c r="G12" s="3">
        <v>0</v>
      </c>
      <c r="H12" s="3">
        <v>7.1618204000000002E-5</v>
      </c>
      <c r="I12" s="3">
        <v>1.8163082E-5</v>
      </c>
      <c r="J12" s="3">
        <v>-1.45675E-4</v>
      </c>
      <c r="L12" s="3">
        <f t="shared" si="0"/>
        <v>-1.0878482972136223</v>
      </c>
      <c r="M12" s="3"/>
      <c r="N12" s="2">
        <f>IF('Modell einstellen'!$B$1="Voll",H12/0.35,H12/0.35*2)</f>
        <v>4.0924688000000005E-4</v>
      </c>
      <c r="O12" s="2">
        <f>IF('Modell einstellen'!$B$1="Voll",J12/0.35,J12/0.35*2)</f>
        <v>-8.3242857142857153E-4</v>
      </c>
      <c r="P12" s="3">
        <f t="shared" si="1"/>
        <v>0.49163002574223441</v>
      </c>
    </row>
    <row r="13" spans="1:16" x14ac:dyDescent="0.25">
      <c r="A13" s="3">
        <v>1.0000000000000001E-5</v>
      </c>
      <c r="B13" s="3">
        <v>-3.2650000000000002E-4</v>
      </c>
      <c r="C13" s="3">
        <v>1.9540000000000001E-4</v>
      </c>
      <c r="D13" s="3">
        <v>-2.2029999999999999E-4</v>
      </c>
      <c r="E13" s="3">
        <v>0</v>
      </c>
      <c r="F13" s="3">
        <v>0</v>
      </c>
      <c r="G13" s="3">
        <v>0</v>
      </c>
      <c r="H13" s="3">
        <v>7.6346906999999998E-5</v>
      </c>
      <c r="I13" s="3">
        <v>1.8500663999999999E-5</v>
      </c>
      <c r="J13" s="3">
        <v>-1.5135018000000001E-4</v>
      </c>
      <c r="L13" s="3">
        <f t="shared" si="0"/>
        <v>-1.4820699046754429</v>
      </c>
      <c r="M13" s="3"/>
      <c r="N13" s="2">
        <f>IF('Modell einstellen'!$B$1="Voll",H13/0.35,H13/0.35*2)</f>
        <v>4.3626804000000002E-4</v>
      </c>
      <c r="O13" s="2">
        <f>IF('Modell einstellen'!$B$1="Voll",J13/0.35,J13/0.35*2)</f>
        <v>-8.6485817142857157E-4</v>
      </c>
      <c r="P13" s="3">
        <f t="shared" si="1"/>
        <v>0.50443882524619388</v>
      </c>
    </row>
    <row r="14" spans="1:16" x14ac:dyDescent="0.25">
      <c r="A14" s="3">
        <v>1E-4</v>
      </c>
      <c r="B14" s="3">
        <v>-3.859E-4</v>
      </c>
      <c r="C14" s="3">
        <v>1.9870000000000001E-4</v>
      </c>
      <c r="D14" s="3">
        <v>-1.684E-4</v>
      </c>
      <c r="E14" s="3">
        <v>0</v>
      </c>
      <c r="F14" s="3">
        <v>0</v>
      </c>
      <c r="G14" s="3">
        <v>0</v>
      </c>
      <c r="H14" s="3">
        <v>8.2269932999999993E-5</v>
      </c>
      <c r="I14" s="3">
        <v>1.8837128999999999E-5</v>
      </c>
      <c r="J14" s="3">
        <v>-1.5825284999999999E-4</v>
      </c>
      <c r="L14" s="3">
        <f t="shared" si="0"/>
        <v>-2.2915676959619953</v>
      </c>
      <c r="M14" s="3"/>
      <c r="N14" s="2">
        <f>IF('Modell einstellen'!$B$1="Voll",H14/0.35,H14/0.35*2)</f>
        <v>4.7011390285714287E-4</v>
      </c>
      <c r="O14" s="2">
        <f>IF('Modell einstellen'!$B$1="Voll",J14/0.35,J14/0.35*2)</f>
        <v>-9.0430200000000006E-4</v>
      </c>
      <c r="P14" s="3">
        <f t="shared" si="1"/>
        <v>0.51986383183620388</v>
      </c>
    </row>
    <row r="15" spans="1:16" x14ac:dyDescent="0.25">
      <c r="A15" s="3">
        <v>1E-3</v>
      </c>
      <c r="B15" s="3">
        <v>-4.6470000000000002E-4</v>
      </c>
      <c r="C15" s="3">
        <v>2.0239999999999999E-4</v>
      </c>
      <c r="D15" s="3">
        <v>-9.7800000000000006E-5</v>
      </c>
      <c r="E15" s="3">
        <v>0</v>
      </c>
      <c r="F15" s="3">
        <v>0</v>
      </c>
      <c r="G15" s="3">
        <v>0</v>
      </c>
      <c r="H15" s="3">
        <v>8.9873304000000003E-5</v>
      </c>
      <c r="I15" s="3">
        <v>1.9213389000000001E-5</v>
      </c>
      <c r="J15" s="3">
        <v>-1.6694729999999999E-4</v>
      </c>
      <c r="L15" s="3">
        <f t="shared" si="0"/>
        <v>-4.7515337423312882</v>
      </c>
      <c r="M15" s="3"/>
      <c r="N15" s="2">
        <f>IF('Modell einstellen'!$B$1="Voll",H15/0.35,H15/0.35*2)</f>
        <v>5.1356173714285722E-4</v>
      </c>
      <c r="O15" s="2">
        <f>IF('Modell einstellen'!$B$1="Voll",J15/0.35,J15/0.35*2)</f>
        <v>-9.539845714285714E-4</v>
      </c>
      <c r="P15" s="3">
        <f t="shared" si="1"/>
        <v>0.53833337825768979</v>
      </c>
    </row>
    <row r="16" spans="1:16" x14ac:dyDescent="0.25">
      <c r="A16" s="3">
        <v>0.01</v>
      </c>
      <c r="B16" s="3">
        <v>-5.7189999999999997E-4</v>
      </c>
      <c r="C16" s="3">
        <v>2.0660000000000001E-4</v>
      </c>
      <c r="D16" s="3">
        <v>1.5909999999999999E-7</v>
      </c>
      <c r="E16" s="3">
        <v>0</v>
      </c>
      <c r="F16" s="3">
        <v>0</v>
      </c>
      <c r="G16" s="3">
        <v>0</v>
      </c>
      <c r="H16" s="3">
        <v>9.9910210999999994E-5</v>
      </c>
      <c r="I16" s="3">
        <v>1.9659774E-5</v>
      </c>
      <c r="J16" s="3">
        <v>-1.7824557E-4</v>
      </c>
      <c r="L16" s="3">
        <f t="shared" si="0"/>
        <v>3594.5945945945946</v>
      </c>
      <c r="M16" s="3"/>
      <c r="N16" s="2">
        <f>IF('Modell einstellen'!$B$1="Voll",H16/0.35,H16/0.35*2)</f>
        <v>5.7091549142857141E-4</v>
      </c>
      <c r="O16" s="2">
        <f>IF('Modell einstellen'!$B$1="Voll",J16/0.35,J16/0.35*2)</f>
        <v>-1.0185461142857143E-3</v>
      </c>
      <c r="P16" s="3">
        <f t="shared" si="1"/>
        <v>0.56052002302217097</v>
      </c>
    </row>
    <row r="17" spans="1:16" x14ac:dyDescent="0.25">
      <c r="A17" s="3">
        <v>0.1</v>
      </c>
      <c r="B17" s="3">
        <v>-7.205E-4</v>
      </c>
      <c r="C17" s="3">
        <v>2.128E-4</v>
      </c>
      <c r="D17" s="3">
        <v>1.3740000000000001E-4</v>
      </c>
      <c r="E17" s="3">
        <v>0</v>
      </c>
      <c r="F17" s="3">
        <v>0</v>
      </c>
      <c r="G17" s="3">
        <v>0</v>
      </c>
      <c r="H17" s="3">
        <v>1.1401495E-4</v>
      </c>
      <c r="I17" s="3">
        <v>2.0457041E-5</v>
      </c>
      <c r="J17" s="3">
        <v>-1.9430339000000001E-4</v>
      </c>
      <c r="L17" s="3">
        <f t="shared" si="0"/>
        <v>5.2438136826783115</v>
      </c>
      <c r="M17" s="3"/>
      <c r="N17" s="2">
        <f>IF('Modell einstellen'!$B$1="Voll",H17/0.35,H17/0.35*2)</f>
        <v>6.5151400000000006E-4</v>
      </c>
      <c r="O17" s="2">
        <f>IF('Modell einstellen'!$B$1="Voll",J17/0.35,J17/0.35*2)</f>
        <v>-1.1103050857142859E-3</v>
      </c>
      <c r="P17" s="3">
        <f t="shared" si="1"/>
        <v>0.58678826962308783</v>
      </c>
    </row>
    <row r="18" spans="1:16" x14ac:dyDescent="0.25">
      <c r="A18" s="3">
        <v>1</v>
      </c>
      <c r="B18" s="3">
        <v>-9.0959999999999999E-4</v>
      </c>
      <c r="C18" s="3">
        <v>2.296E-4</v>
      </c>
      <c r="D18" s="3">
        <v>3.0709999999999998E-4</v>
      </c>
      <c r="E18" s="3">
        <v>0</v>
      </c>
      <c r="F18" s="3">
        <v>0</v>
      </c>
      <c r="G18" s="3">
        <v>0</v>
      </c>
      <c r="H18" s="3">
        <v>1.3686218E-4</v>
      </c>
      <c r="I18" s="3">
        <v>2.3754163999999999E-5</v>
      </c>
      <c r="J18" s="3">
        <v>-2.2378911E-4</v>
      </c>
      <c r="L18" s="3">
        <f t="shared" si="0"/>
        <v>2.9619016606968414</v>
      </c>
      <c r="M18" s="3"/>
      <c r="N18" s="2">
        <f>IF('Modell einstellen'!$B$1="Voll",H18/0.35,H18/0.35*2)</f>
        <v>7.8206960000000002E-4</v>
      </c>
      <c r="O18" s="2">
        <f>IF('Modell einstellen'!$B$1="Voll",J18/0.35,J18/0.35*2)</f>
        <v>-1.2787949142857144E-3</v>
      </c>
      <c r="P18" s="3">
        <f t="shared" si="1"/>
        <v>0.61156764956078513</v>
      </c>
    </row>
    <row r="19" spans="1:16" x14ac:dyDescent="0.25">
      <c r="A19" s="3">
        <v>10</v>
      </c>
      <c r="B19" s="3">
        <v>-1.093E-3</v>
      </c>
      <c r="C19" s="3">
        <v>2.809E-4</v>
      </c>
      <c r="D19" s="3">
        <v>4.4700000000000002E-4</v>
      </c>
      <c r="E19" s="3">
        <v>0</v>
      </c>
      <c r="F19" s="3">
        <v>0</v>
      </c>
      <c r="G19" s="3">
        <v>0</v>
      </c>
      <c r="H19" s="3">
        <v>1.7965989999999999E-4</v>
      </c>
      <c r="I19" s="3">
        <v>3.7091405000000002E-5</v>
      </c>
      <c r="J19" s="3">
        <v>-2.9208697000000002E-4</v>
      </c>
      <c r="L19" s="3">
        <f t="shared" si="0"/>
        <v>2.4451901565995526</v>
      </c>
      <c r="M19" s="3"/>
      <c r="N19" s="2">
        <f>IF('Modell einstellen'!$B$1="Voll",H19/0.35,H19/0.35*2)</f>
        <v>1.0266279999999999E-3</v>
      </c>
      <c r="O19" s="2">
        <f>IF('Modell einstellen'!$B$1="Voll",J19/0.35,J19/0.35*2)</f>
        <v>-1.6690684000000003E-3</v>
      </c>
      <c r="P19" s="3">
        <f t="shared" si="1"/>
        <v>0.61509043008662778</v>
      </c>
    </row>
    <row r="20" spans="1:16" x14ac:dyDescent="0.25">
      <c r="A20" s="3">
        <v>100</v>
      </c>
      <c r="B20" s="3">
        <v>-1.292E-3</v>
      </c>
      <c r="C20" s="3">
        <v>4.0690000000000002E-4</v>
      </c>
      <c r="D20" s="3">
        <v>5.3859999999999997E-4</v>
      </c>
      <c r="E20" s="3">
        <v>0</v>
      </c>
      <c r="F20" s="3">
        <v>0</v>
      </c>
      <c r="G20" s="3">
        <v>0</v>
      </c>
      <c r="H20" s="3">
        <v>2.5707049000000002E-4</v>
      </c>
      <c r="I20" s="3">
        <v>7.0043755999999995E-5</v>
      </c>
      <c r="J20" s="3">
        <v>-4.3235437000000001E-4</v>
      </c>
      <c r="L20" s="3">
        <f t="shared" si="0"/>
        <v>2.3988117341255109</v>
      </c>
      <c r="M20" s="3"/>
      <c r="N20" s="2">
        <f>IF('Modell einstellen'!$B$1="Voll",H20/0.35,H20/0.35*2)</f>
        <v>1.4689742285714288E-3</v>
      </c>
      <c r="O20" s="2">
        <f>IF('Modell einstellen'!$B$1="Voll",J20/0.35,J20/0.35*2)</f>
        <v>-2.4705964000000004E-3</v>
      </c>
      <c r="P20" s="3">
        <f t="shared" si="1"/>
        <v>0.59458284184799615</v>
      </c>
    </row>
    <row r="21" spans="1:16" x14ac:dyDescent="0.25">
      <c r="A21" s="3">
        <v>1000</v>
      </c>
      <c r="B21" s="3">
        <v>-1.5269999999999999E-3</v>
      </c>
      <c r="C21" s="3">
        <v>6.8670000000000005E-4</v>
      </c>
      <c r="D21" s="3">
        <v>5.2159999999999999E-4</v>
      </c>
      <c r="E21" s="3">
        <v>0</v>
      </c>
      <c r="F21" s="3">
        <v>0</v>
      </c>
      <c r="G21" s="3">
        <v>0</v>
      </c>
      <c r="H21" s="3">
        <v>3.8844321000000001E-4</v>
      </c>
      <c r="I21" s="3">
        <v>1.3825803000000001E-4</v>
      </c>
      <c r="J21" s="3">
        <v>-6.9419884000000004E-4</v>
      </c>
      <c r="L21" s="3">
        <f t="shared" si="0"/>
        <v>2.9275306748466257</v>
      </c>
      <c r="M21" s="3"/>
      <c r="N21" s="2">
        <f>IF('Modell einstellen'!$B$1="Voll",H21/0.35,H21/0.35*2)</f>
        <v>2.219675485714286E-3</v>
      </c>
      <c r="O21" s="2">
        <f>IF('Modell einstellen'!$B$1="Voll",J21/0.35,J21/0.35*2)</f>
        <v>-3.9668505142857148E-3</v>
      </c>
      <c r="P21" s="3">
        <f t="shared" si="1"/>
        <v>0.55955612083707895</v>
      </c>
    </row>
    <row r="22" spans="1:16" x14ac:dyDescent="0.25">
      <c r="A22" s="3">
        <v>10000</v>
      </c>
      <c r="B22" s="3">
        <v>-1.7099999999999999E-3</v>
      </c>
      <c r="C22" s="3">
        <v>1.2509999999999999E-3</v>
      </c>
      <c r="D22" s="3">
        <v>1.75E-4</v>
      </c>
      <c r="E22" s="3">
        <v>0</v>
      </c>
      <c r="F22" s="3">
        <v>0</v>
      </c>
      <c r="G22" s="3">
        <v>0</v>
      </c>
      <c r="H22" s="3">
        <v>5.856921E-4</v>
      </c>
      <c r="I22" s="3">
        <v>2.6486323E-4</v>
      </c>
      <c r="J22" s="3">
        <v>-1.1332676000000001E-3</v>
      </c>
      <c r="L22" s="3">
        <f t="shared" si="0"/>
        <v>9.7714285714285705</v>
      </c>
      <c r="M22" s="3"/>
      <c r="N22" s="2">
        <f>IF('Modell einstellen'!$B$1="Voll",H22/0.35,H22/0.35*2)</f>
        <v>3.3468120000000002E-3</v>
      </c>
      <c r="O22" s="2">
        <f>IF('Modell einstellen'!$B$1="Voll",J22/0.35,J22/0.35*2)</f>
        <v>-6.4758148571428583E-3</v>
      </c>
      <c r="P22" s="3">
        <f t="shared" si="1"/>
        <v>0.51681712245192568</v>
      </c>
    </row>
    <row r="23" spans="1:16" x14ac:dyDescent="0.25">
      <c r="A23" s="3">
        <v>100000</v>
      </c>
      <c r="B23" s="3">
        <v>-1.547E-3</v>
      </c>
      <c r="C23" s="3">
        <v>2.1459999999999999E-3</v>
      </c>
      <c r="D23" s="3">
        <v>-8.497E-4</v>
      </c>
      <c r="E23" s="3">
        <v>0</v>
      </c>
      <c r="F23" s="3">
        <v>0</v>
      </c>
      <c r="G23" s="3">
        <v>0</v>
      </c>
      <c r="H23" s="3">
        <v>8.2062254000000003E-4</v>
      </c>
      <c r="I23" s="3">
        <v>4.5134781000000002E-4</v>
      </c>
      <c r="J23" s="3">
        <v>-1.7225838E-3</v>
      </c>
      <c r="L23" s="3">
        <f t="shared" si="0"/>
        <v>-1.8206425797340238</v>
      </c>
      <c r="M23" s="3"/>
      <c r="N23" s="2">
        <f>IF('Modell einstellen'!$B$1="Voll",H23/0.35,H23/0.35*2)</f>
        <v>4.6892716571428576E-3</v>
      </c>
      <c r="O23" s="2">
        <f>IF('Modell einstellen'!$B$1="Voll",J23/0.35,J23/0.35*2)</f>
        <v>-9.8433360000000011E-3</v>
      </c>
      <c r="P23" s="3">
        <f t="shared" si="1"/>
        <v>0.47639048968183723</v>
      </c>
    </row>
    <row r="24" spans="1:16" x14ac:dyDescent="0.25">
      <c r="A24" s="3">
        <v>1000000</v>
      </c>
      <c r="B24" s="3">
        <v>-8.8000000000000003E-4</v>
      </c>
      <c r="C24" s="3">
        <v>3.199E-3</v>
      </c>
      <c r="D24" s="3">
        <v>-2.5409999999999999E-3</v>
      </c>
      <c r="E24" s="3">
        <v>0</v>
      </c>
      <c r="F24" s="3">
        <v>0</v>
      </c>
      <c r="G24" s="3">
        <v>0</v>
      </c>
      <c r="H24" s="3">
        <v>1.0243811E-3</v>
      </c>
      <c r="I24" s="3">
        <v>6.5236745999999995E-4</v>
      </c>
      <c r="J24" s="3">
        <v>-2.3060034000000002E-3</v>
      </c>
      <c r="L24" s="3">
        <f t="shared" si="0"/>
        <v>-0.34632034632034636</v>
      </c>
      <c r="M24" s="3"/>
      <c r="N24" s="2">
        <f>IF('Modell einstellen'!$B$1="Voll",H24/0.35,H24/0.35*2)</f>
        <v>5.8536062857142863E-3</v>
      </c>
      <c r="O24" s="2">
        <f>IF('Modell einstellen'!$B$1="Voll",J24/0.35,J24/0.35*2)</f>
        <v>-1.3177162285714288E-2</v>
      </c>
      <c r="P24" s="3">
        <f t="shared" si="1"/>
        <v>0.44422358614041935</v>
      </c>
    </row>
    <row r="25" spans="1:16" x14ac:dyDescent="0.25">
      <c r="A25" s="3">
        <v>10000000</v>
      </c>
      <c r="B25" s="3">
        <v>2.9200000000000002E-5</v>
      </c>
      <c r="C25" s="3">
        <v>4.1660000000000004E-3</v>
      </c>
      <c r="D25" s="3">
        <v>-4.3949999999999996E-3</v>
      </c>
      <c r="E25" s="3">
        <v>0</v>
      </c>
      <c r="F25" s="3">
        <v>0</v>
      </c>
      <c r="G25" s="3">
        <v>0</v>
      </c>
      <c r="H25" s="3">
        <v>1.1634709999999999E-3</v>
      </c>
      <c r="I25" s="3">
        <v>8.2068449999999997E-4</v>
      </c>
      <c r="J25" s="3">
        <v>-2.7613538000000001E-3</v>
      </c>
      <c r="L25" s="3">
        <f t="shared" si="0"/>
        <v>6.6439135381114916E-3</v>
      </c>
      <c r="M25" s="3"/>
      <c r="N25" s="2">
        <f>IF('Modell einstellen'!$B$1="Voll",H25/0.35,H25/0.35*2)</f>
        <v>6.6484057142857144E-3</v>
      </c>
      <c r="O25" s="2">
        <f>IF('Modell einstellen'!$B$1="Voll",J25/0.35,J25/0.35*2)</f>
        <v>-1.5779164571428573E-2</v>
      </c>
      <c r="P25" s="3">
        <f t="shared" si="1"/>
        <v>0.42134079305592781</v>
      </c>
    </row>
    <row r="26" spans="1:16" x14ac:dyDescent="0.25">
      <c r="A26" s="3">
        <v>100000000</v>
      </c>
      <c r="B26" s="3">
        <v>8.5249999999999996E-4</v>
      </c>
      <c r="C26" s="3">
        <v>4.9430000000000003E-3</v>
      </c>
      <c r="D26" s="3">
        <v>-5.9789999999999999E-3</v>
      </c>
      <c r="E26" s="3">
        <v>0</v>
      </c>
      <c r="F26" s="3">
        <v>0</v>
      </c>
      <c r="G26" s="3">
        <v>0</v>
      </c>
      <c r="H26" s="3">
        <v>1.2568989999999999E-3</v>
      </c>
      <c r="I26" s="3">
        <v>9.4605508999999997E-4</v>
      </c>
      <c r="J26" s="3">
        <v>-3.0893690999999998E-3</v>
      </c>
      <c r="L26" s="3">
        <f t="shared" si="0"/>
        <v>0.14258237163405252</v>
      </c>
      <c r="M26" s="3"/>
      <c r="N26" s="2">
        <f>IF('Modell einstellen'!$B$1="Voll",H26/0.35,H26/0.35*2)</f>
        <v>7.1822800000000001E-3</v>
      </c>
      <c r="O26" s="2">
        <f>IF('Modell einstellen'!$B$1="Voll",J26/0.35,J26/0.35*2)</f>
        <v>-1.7653537714285714E-2</v>
      </c>
      <c r="P26" s="3">
        <f t="shared" si="1"/>
        <v>0.40684649820573399</v>
      </c>
    </row>
    <row r="27" spans="1:16" x14ac:dyDescent="0.25">
      <c r="A27" s="3">
        <v>1000000000</v>
      </c>
      <c r="B27" s="3">
        <v>1.5169999999999999E-3</v>
      </c>
      <c r="C27" s="3">
        <v>5.5449999999999996E-3</v>
      </c>
      <c r="D27" s="3">
        <v>-7.234E-3</v>
      </c>
      <c r="E27" s="3">
        <v>0</v>
      </c>
      <c r="F27" s="3">
        <v>0</v>
      </c>
      <c r="G27" s="3">
        <v>0</v>
      </c>
      <c r="H27" s="3">
        <v>1.324673E-3</v>
      </c>
      <c r="I27" s="3">
        <v>1.0381870000000001E-3</v>
      </c>
      <c r="J27" s="3">
        <v>-3.3289462999999998E-3</v>
      </c>
      <c r="L27" s="3">
        <f t="shared" si="0"/>
        <v>0.20970417473043959</v>
      </c>
      <c r="M27" s="3"/>
      <c r="N27" s="2">
        <f>IF('Modell einstellen'!$B$1="Voll",H27/0.35,H27/0.35*2)</f>
        <v>7.5695600000000004E-3</v>
      </c>
      <c r="O27" s="2">
        <f>IF('Modell einstellen'!$B$1="Voll",J27/0.35,J27/0.35*2)</f>
        <v>-1.9022550285714285E-2</v>
      </c>
      <c r="P27" s="3">
        <f t="shared" si="1"/>
        <v>0.39792561387968323</v>
      </c>
    </row>
    <row r="28" spans="1:16" x14ac:dyDescent="0.25">
      <c r="A28" s="3">
        <v>10000000000</v>
      </c>
      <c r="B28" s="3">
        <v>2.0330000000000001E-3</v>
      </c>
      <c r="C28" s="3">
        <v>5.9449999999999998E-3</v>
      </c>
      <c r="D28" s="3">
        <v>-8.1429999999999992E-3</v>
      </c>
      <c r="E28" s="3">
        <v>0</v>
      </c>
      <c r="F28" s="3">
        <v>0</v>
      </c>
      <c r="G28" s="3">
        <v>0</v>
      </c>
      <c r="H28" s="3">
        <v>1.3604512E-3</v>
      </c>
      <c r="I28" s="3">
        <v>1.0946673E-3</v>
      </c>
      <c r="J28" s="3">
        <v>-3.4699018999999999E-3</v>
      </c>
      <c r="L28" s="3">
        <f t="shared" si="0"/>
        <v>0.24966228662655043</v>
      </c>
      <c r="M28" s="3"/>
      <c r="N28" s="2">
        <f>IF('Modell einstellen'!$B$1="Voll",H28/0.35,H28/0.35*2)</f>
        <v>7.7740068571428575E-3</v>
      </c>
      <c r="O28" s="2">
        <f>IF('Modell einstellen'!$B$1="Voll",J28/0.35,J28/0.35*2)</f>
        <v>-1.9828010857142857E-2</v>
      </c>
      <c r="P28" s="3">
        <f t="shared" si="1"/>
        <v>0.39207194877757212</v>
      </c>
    </row>
    <row r="29" spans="1:16" x14ac:dyDescent="0.25">
      <c r="A29" s="3">
        <v>100000000000</v>
      </c>
      <c r="B29" s="3">
        <v>2.3969999999999998E-3</v>
      </c>
      <c r="C29" s="3">
        <v>6.3790000000000001E-3</v>
      </c>
      <c r="D29" s="3">
        <v>-8.9370000000000005E-3</v>
      </c>
      <c r="E29" s="3">
        <v>0</v>
      </c>
      <c r="F29" s="3">
        <v>0</v>
      </c>
      <c r="G29" s="3">
        <v>0</v>
      </c>
      <c r="H29" s="3">
        <v>1.4291937000000001E-3</v>
      </c>
      <c r="I29" s="3">
        <v>1.1634442000000001E-3</v>
      </c>
      <c r="J29" s="3">
        <v>-3.6659287E-3</v>
      </c>
      <c r="L29" s="3">
        <f t="shared" si="0"/>
        <v>0.26821080899630745</v>
      </c>
      <c r="M29" s="3"/>
      <c r="N29" s="2">
        <f>IF('Modell einstellen'!$B$1="Voll",H29/0.35,H29/0.35*2)</f>
        <v>8.166821142857144E-3</v>
      </c>
      <c r="O29" s="2">
        <f>IF('Modell einstellen'!$B$1="Voll",J29/0.35,J29/0.35*2)</f>
        <v>-2.0948164000000002E-2</v>
      </c>
      <c r="P29" s="3">
        <f t="shared" si="1"/>
        <v>0.38985856435232907</v>
      </c>
    </row>
    <row r="30" spans="1:16" x14ac:dyDescent="0.25">
      <c r="A30" s="3">
        <v>1000000000000</v>
      </c>
      <c r="B30" s="3">
        <v>2.728E-3</v>
      </c>
      <c r="C30" s="3">
        <v>6.7270000000000003E-3</v>
      </c>
      <c r="D30" s="3">
        <v>-9.613E-3</v>
      </c>
      <c r="E30" s="3">
        <v>0</v>
      </c>
      <c r="F30" s="3">
        <v>0</v>
      </c>
      <c r="G30" s="3">
        <v>0</v>
      </c>
      <c r="H30" s="3">
        <v>1.4834322999999999E-3</v>
      </c>
      <c r="I30" s="3">
        <v>1.2193433E-3</v>
      </c>
      <c r="J30" s="3">
        <v>-3.8234045E-3</v>
      </c>
      <c r="L30" s="3">
        <f t="shared" si="0"/>
        <v>0.28378237802975137</v>
      </c>
      <c r="M30" s="3"/>
      <c r="N30" s="2">
        <f>IF('Modell einstellen'!$B$1="Voll",H30/0.35,H30/0.35*2)</f>
        <v>8.4767560000000002E-3</v>
      </c>
      <c r="O30" s="2">
        <f>IF('Modell einstellen'!$B$1="Voll",J30/0.35,J30/0.35*2)</f>
        <v>-2.1848025714285717E-2</v>
      </c>
      <c r="P30" s="3">
        <f t="shared" si="1"/>
        <v>0.38798727678434231</v>
      </c>
    </row>
    <row r="31" spans="1:16" x14ac:dyDescent="0.25">
      <c r="A31" s="3">
        <v>10000000000000</v>
      </c>
      <c r="B31" s="3">
        <v>2.6770000000000001E-3</v>
      </c>
      <c r="C31" s="3">
        <v>6.7299999999999999E-3</v>
      </c>
      <c r="D31" s="3">
        <v>-9.5659999999999999E-3</v>
      </c>
      <c r="E31" s="3">
        <v>0</v>
      </c>
      <c r="F31" s="3">
        <v>0</v>
      </c>
      <c r="G31" s="3">
        <v>0</v>
      </c>
      <c r="H31" s="3">
        <v>1.4887771E-3</v>
      </c>
      <c r="I31" s="3">
        <v>1.2202576E-3</v>
      </c>
      <c r="J31" s="3">
        <v>-3.8303245000000001E-3</v>
      </c>
      <c r="L31" s="3">
        <f t="shared" si="0"/>
        <v>0.27984528538574116</v>
      </c>
      <c r="M31" s="3"/>
      <c r="N31" s="2">
        <f>IF('Modell einstellen'!$B$1="Voll",H31/0.35,H31/0.35*2)</f>
        <v>8.5072977142857144E-3</v>
      </c>
      <c r="O31" s="2">
        <f>IF('Modell einstellen'!$B$1="Voll",J31/0.35,J31/0.35*2)</f>
        <v>-2.1887568571428574E-2</v>
      </c>
      <c r="P31" s="3">
        <f t="shared" si="1"/>
        <v>0.38868171613136165</v>
      </c>
    </row>
    <row r="32" spans="1:16" x14ac:dyDescent="0.25">
      <c r="A32" s="3">
        <v>100000000000000</v>
      </c>
      <c r="B32" s="3">
        <v>2.9740000000000001E-3</v>
      </c>
      <c r="C32" s="3">
        <v>6.8719999999999996E-3</v>
      </c>
      <c r="D32" s="3">
        <v>-0.01</v>
      </c>
      <c r="E32" s="3">
        <v>0</v>
      </c>
      <c r="F32" s="3">
        <v>0</v>
      </c>
      <c r="G32" s="3">
        <v>0</v>
      </c>
      <c r="H32" s="3">
        <v>1.4946005E-3</v>
      </c>
      <c r="I32" s="3">
        <v>1.2402101999999999E-3</v>
      </c>
      <c r="J32" s="3">
        <v>-3.8732580000000001E-3</v>
      </c>
      <c r="L32" s="3">
        <f t="shared" si="0"/>
        <v>0.2974</v>
      </c>
      <c r="M32" s="3"/>
      <c r="N32" s="2">
        <f>IF('Modell einstellen'!$B$1="Voll",H32/0.35,H32/0.35*2)</f>
        <v>8.540574285714286E-3</v>
      </c>
      <c r="O32" s="2">
        <f>IF('Modell einstellen'!$B$1="Voll",J32/0.35,J32/0.35*2)</f>
        <v>-2.213290285714286E-2</v>
      </c>
      <c r="P32" s="3">
        <f t="shared" si="1"/>
        <v>0.38587682514307076</v>
      </c>
    </row>
    <row r="33" spans="1:16" x14ac:dyDescent="0.25">
      <c r="A33" s="3">
        <v>1000000000000000</v>
      </c>
      <c r="B33" s="3">
        <v>2.9780000000000002E-3</v>
      </c>
      <c r="C33" s="3">
        <v>6.8780000000000004E-3</v>
      </c>
      <c r="D33" s="3">
        <v>-1.001E-2</v>
      </c>
      <c r="E33" s="3">
        <v>0</v>
      </c>
      <c r="F33" s="3">
        <v>0</v>
      </c>
      <c r="G33" s="3">
        <v>0</v>
      </c>
      <c r="H33" s="3">
        <v>1.4953294E-3</v>
      </c>
      <c r="I33" s="3">
        <v>1.2409329E-3</v>
      </c>
      <c r="J33" s="3">
        <v>-3.8753148000000002E-3</v>
      </c>
      <c r="L33" s="3">
        <f t="shared" si="0"/>
        <v>0.29750249750249752</v>
      </c>
      <c r="M33" s="3"/>
      <c r="N33" s="2">
        <f>IF('Modell einstellen'!$B$1="Voll",H33/0.35,H33/0.35*2)</f>
        <v>8.5447394285714292E-3</v>
      </c>
      <c r="O33" s="2">
        <f>IF('Modell einstellen'!$B$1="Voll",J33/0.35,J33/0.35*2)</f>
        <v>-2.2144656000000002E-2</v>
      </c>
      <c r="P33" s="3">
        <f t="shared" si="1"/>
        <v>0.38586011128695918</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-1.6780000000000001E-4</v>
      </c>
      <c r="C3" s="3">
        <v>1.861E-4</v>
      </c>
      <c r="D3" s="3">
        <v>-3.5409999999999999E-4</v>
      </c>
      <c r="E3" s="3">
        <v>0</v>
      </c>
      <c r="F3" s="3">
        <v>0</v>
      </c>
      <c r="G3" s="3">
        <v>0</v>
      </c>
      <c r="H3" s="3">
        <v>6.0274876999999998E-5</v>
      </c>
      <c r="I3" s="3">
        <v>1.7727301000000002E-5</v>
      </c>
      <c r="J3" s="3">
        <v>-1.3261655999999999E-4</v>
      </c>
      <c r="L3" s="3">
        <f>-B3/D3</f>
        <v>-0.47387743575261232</v>
      </c>
      <c r="M3" s="3"/>
      <c r="N3" s="2">
        <f>IF('Modell einstellen'!$B$1="Voll",H3/0.35,H3/0.35*2)</f>
        <v>3.4442786857142861E-4</v>
      </c>
      <c r="O3" s="2">
        <f>IF('Modell einstellen'!$B$1="Voll",J3/0.35,J3/0.35*2)</f>
        <v>-7.5780891428571431E-4</v>
      </c>
      <c r="P3" s="3">
        <f>-N3/O3</f>
        <v>0.45450490496812768</v>
      </c>
    </row>
    <row r="4" spans="1:16" x14ac:dyDescent="0.25">
      <c r="A4" s="3">
        <v>1E-14</v>
      </c>
      <c r="B4" s="3">
        <v>-2.076E-4</v>
      </c>
      <c r="C4" s="3">
        <v>1.8990000000000001E-4</v>
      </c>
      <c r="D4" s="3">
        <v>-3.2279999999999999E-4</v>
      </c>
      <c r="E4" s="3">
        <v>0</v>
      </c>
      <c r="F4" s="3">
        <v>0</v>
      </c>
      <c r="G4" s="3">
        <v>0</v>
      </c>
      <c r="H4" s="3">
        <v>6.4918317999999994E-5</v>
      </c>
      <c r="I4" s="3">
        <v>1.8128159000000002E-5</v>
      </c>
      <c r="J4" s="3">
        <v>-1.3842248999999999E-4</v>
      </c>
      <c r="L4" s="3">
        <f t="shared" ref="L4:L33" si="0">-B4/D4</f>
        <v>-0.64312267657992572</v>
      </c>
      <c r="M4" s="3"/>
      <c r="N4" s="2">
        <f>IF('Modell einstellen'!$B$1="Voll",H4/0.35,H4/0.35*2)</f>
        <v>3.7096181714285712E-4</v>
      </c>
      <c r="O4" s="2">
        <f>IF('Modell einstellen'!$B$1="Voll",J4/0.35,J4/0.35*2)</f>
        <v>-7.9098565714285718E-4</v>
      </c>
      <c r="P4" s="3">
        <f t="shared" ref="P4:P33" si="1">-N4/O4</f>
        <v>0.46898678097757085</v>
      </c>
    </row>
    <row r="5" spans="1:16" x14ac:dyDescent="0.25">
      <c r="A5" s="3">
        <v>1E-13</v>
      </c>
      <c r="B5" s="3">
        <v>-2.4360000000000001E-4</v>
      </c>
      <c r="C5" s="3">
        <v>1.9210000000000001E-4</v>
      </c>
      <c r="D5" s="3">
        <v>-2.9270000000000001E-4</v>
      </c>
      <c r="E5" s="3">
        <v>0</v>
      </c>
      <c r="F5" s="3">
        <v>0</v>
      </c>
      <c r="G5" s="3">
        <v>0</v>
      </c>
      <c r="H5" s="3">
        <v>6.8838053999999995E-5</v>
      </c>
      <c r="I5" s="3">
        <v>1.8394623000000001E-5</v>
      </c>
      <c r="J5" s="3">
        <v>-1.4314921E-4</v>
      </c>
      <c r="L5" s="3">
        <f t="shared" si="0"/>
        <v>-0.83225145199863337</v>
      </c>
      <c r="M5" s="3"/>
      <c r="N5" s="2">
        <f>IF('Modell einstellen'!$B$1="Voll",H5/0.35,H5/0.35*2)</f>
        <v>3.9336030857142854E-4</v>
      </c>
      <c r="O5" s="2">
        <f>IF('Modell einstellen'!$B$1="Voll",J5/0.35,J5/0.35*2)</f>
        <v>-8.179954857142857E-4</v>
      </c>
      <c r="P5" s="3">
        <f t="shared" si="1"/>
        <v>0.48088322666957084</v>
      </c>
    </row>
    <row r="6" spans="1:16" x14ac:dyDescent="0.25">
      <c r="A6" s="3">
        <v>9.9999999999999998E-13</v>
      </c>
      <c r="B6" s="3">
        <v>-2.8430000000000003E-4</v>
      </c>
      <c r="C6" s="3">
        <v>1.9570000000000001E-4</v>
      </c>
      <c r="D6" s="3">
        <v>-2.5920000000000001E-4</v>
      </c>
      <c r="E6" s="3">
        <v>0</v>
      </c>
      <c r="F6" s="3">
        <v>0</v>
      </c>
      <c r="G6" s="3">
        <v>0</v>
      </c>
      <c r="H6" s="3">
        <v>7.3248542999999999E-5</v>
      </c>
      <c r="I6" s="3">
        <v>1.8737453999999999E-5</v>
      </c>
      <c r="J6" s="3">
        <v>-1.4851723E-4</v>
      </c>
      <c r="L6" s="3">
        <f t="shared" si="0"/>
        <v>-1.0968364197530864</v>
      </c>
      <c r="M6" s="3"/>
      <c r="N6" s="2">
        <f>IF('Modell einstellen'!$B$1="Voll",H6/0.35,H6/0.35*2)</f>
        <v>4.1856310285714288E-4</v>
      </c>
      <c r="O6" s="2">
        <f>IF('Modell einstellen'!$B$1="Voll",J6/0.35,J6/0.35*2)</f>
        <v>-8.486698857142858E-4</v>
      </c>
      <c r="P6" s="3">
        <f t="shared" si="1"/>
        <v>0.4931989574542967</v>
      </c>
    </row>
    <row r="7" spans="1:16" x14ac:dyDescent="0.25">
      <c r="A7" s="3">
        <v>9.9999999999999994E-12</v>
      </c>
      <c r="B7" s="3">
        <v>-3.3189999999999999E-4</v>
      </c>
      <c r="C7" s="3">
        <v>1.9790000000000001E-4</v>
      </c>
      <c r="D7" s="3">
        <v>-2.174E-4</v>
      </c>
      <c r="E7" s="3">
        <v>0</v>
      </c>
      <c r="F7" s="3">
        <v>0</v>
      </c>
      <c r="G7" s="3">
        <v>0</v>
      </c>
      <c r="H7" s="3">
        <v>7.8109506000000005E-5</v>
      </c>
      <c r="I7" s="3">
        <v>1.9007636999999999E-5</v>
      </c>
      <c r="J7" s="3">
        <v>-1.5419401000000001E-4</v>
      </c>
      <c r="L7" s="3">
        <f t="shared" si="0"/>
        <v>-1.5266789328426862</v>
      </c>
      <c r="M7" s="3"/>
      <c r="N7" s="2">
        <f>IF('Modell einstellen'!$B$1="Voll",H7/0.35,H7/0.35*2)</f>
        <v>4.4634003428571434E-4</v>
      </c>
      <c r="O7" s="2">
        <f>IF('Modell einstellen'!$B$1="Voll",J7/0.35,J7/0.35*2)</f>
        <v>-8.8110862857142865E-4</v>
      </c>
      <c r="P7" s="3">
        <f t="shared" si="1"/>
        <v>0.50656640942148146</v>
      </c>
    </row>
    <row r="8" spans="1:16" x14ac:dyDescent="0.25">
      <c r="A8" s="3">
        <v>1E-10</v>
      </c>
      <c r="B8" s="3">
        <v>-3.9609999999999998E-4</v>
      </c>
      <c r="C8" s="3">
        <v>2.02E-4</v>
      </c>
      <c r="D8" s="3">
        <v>-1.618E-4</v>
      </c>
      <c r="E8" s="3">
        <v>0</v>
      </c>
      <c r="F8" s="3">
        <v>0</v>
      </c>
      <c r="G8" s="3">
        <v>0</v>
      </c>
      <c r="H8" s="3">
        <v>8.4568752999999994E-5</v>
      </c>
      <c r="I8" s="3">
        <v>1.9409931999999999E-5</v>
      </c>
      <c r="J8" s="3">
        <v>-1.6177535999999999E-4</v>
      </c>
      <c r="L8" s="3">
        <f t="shared" si="0"/>
        <v>-2.4480840543881333</v>
      </c>
      <c r="M8" s="3"/>
      <c r="N8" s="2">
        <f>IF('Modell einstellen'!$B$1="Voll",H8/0.35,H8/0.35*2)</f>
        <v>4.8325001714285713E-4</v>
      </c>
      <c r="O8" s="2">
        <f>IF('Modell einstellen'!$B$1="Voll",J8/0.35,J8/0.35*2)</f>
        <v>-9.2443062857142859E-4</v>
      </c>
      <c r="P8" s="3">
        <f t="shared" si="1"/>
        <v>0.5227542253653461</v>
      </c>
    </row>
    <row r="9" spans="1:16" x14ac:dyDescent="0.25">
      <c r="A9" s="3">
        <v>1.0000000000000001E-9</v>
      </c>
      <c r="B9" s="3">
        <v>-4.8040000000000002E-4</v>
      </c>
      <c r="C9" s="3">
        <v>2.0570000000000001E-4</v>
      </c>
      <c r="D9" s="3">
        <v>-8.5829999999999996E-5</v>
      </c>
      <c r="E9" s="3">
        <v>0</v>
      </c>
      <c r="F9" s="3">
        <v>0</v>
      </c>
      <c r="G9" s="3">
        <v>0</v>
      </c>
      <c r="H9" s="3">
        <v>9.2668203999999999E-5</v>
      </c>
      <c r="I9" s="3">
        <v>1.9805566999999999E-5</v>
      </c>
      <c r="J9" s="3">
        <v>-1.7100911000000001E-4</v>
      </c>
      <c r="L9" s="3">
        <f t="shared" si="0"/>
        <v>-5.5971105674006765</v>
      </c>
      <c r="M9" s="3"/>
      <c r="N9" s="2">
        <f>IF('Modell einstellen'!$B$1="Voll",H9/0.35,H9/0.35*2)</f>
        <v>5.2953259428571427E-4</v>
      </c>
      <c r="O9" s="2">
        <f>IF('Modell einstellen'!$B$1="Voll",J9/0.35,J9/0.35*2)</f>
        <v>-9.7719491428571443E-4</v>
      </c>
      <c r="P9" s="3">
        <f t="shared" si="1"/>
        <v>0.54189045250279344</v>
      </c>
    </row>
    <row r="10" spans="1:16" x14ac:dyDescent="0.25">
      <c r="A10" s="3">
        <v>1E-8</v>
      </c>
      <c r="B10" s="3">
        <v>-5.9849999999999997E-4</v>
      </c>
      <c r="C10" s="3">
        <v>2.0990000000000001E-4</v>
      </c>
      <c r="D10" s="3">
        <v>2.285E-5</v>
      </c>
      <c r="E10" s="3">
        <v>0</v>
      </c>
      <c r="F10" s="3">
        <v>0</v>
      </c>
      <c r="G10" s="3">
        <v>0</v>
      </c>
      <c r="H10" s="3">
        <v>1.0360039E-4</v>
      </c>
      <c r="I10" s="3">
        <v>2.0253624000000001E-5</v>
      </c>
      <c r="J10" s="3">
        <v>-1.8322133E-4</v>
      </c>
      <c r="L10" s="3">
        <f t="shared" si="0"/>
        <v>26.192560175054702</v>
      </c>
      <c r="M10" s="3"/>
      <c r="N10" s="2">
        <f>IF('Modell einstellen'!$B$1="Voll",H10/0.35,H10/0.35*2)</f>
        <v>5.920022285714286E-4</v>
      </c>
      <c r="O10" s="2">
        <f>IF('Modell einstellen'!$B$1="Voll",J10/0.35,J10/0.35*2)</f>
        <v>-1.0469790285714286E-3</v>
      </c>
      <c r="P10" s="3">
        <f t="shared" si="1"/>
        <v>0.56543847815098824</v>
      </c>
    </row>
    <row r="11" spans="1:16" x14ac:dyDescent="0.25">
      <c r="A11" s="3">
        <v>9.9999999999999995E-8</v>
      </c>
      <c r="B11" s="3">
        <v>-7.6999999999999996E-4</v>
      </c>
      <c r="C11" s="3">
        <v>2.1440000000000001E-4</v>
      </c>
      <c r="D11" s="3">
        <v>1.838E-4</v>
      </c>
      <c r="E11" s="3">
        <v>0</v>
      </c>
      <c r="F11" s="3">
        <v>0</v>
      </c>
      <c r="G11" s="3">
        <v>0</v>
      </c>
      <c r="H11" s="3">
        <v>1.1885212E-4</v>
      </c>
      <c r="I11" s="3">
        <v>2.0754103E-5</v>
      </c>
      <c r="J11" s="3">
        <v>-1.9989363000000001E-4</v>
      </c>
      <c r="L11" s="3">
        <f t="shared" si="0"/>
        <v>4.1893362350380849</v>
      </c>
      <c r="M11" s="3"/>
      <c r="N11" s="2">
        <f>IF('Modell einstellen'!$B$1="Voll",H11/0.35,H11/0.35*2)</f>
        <v>6.7915497142857144E-4</v>
      </c>
      <c r="O11" s="2">
        <f>IF('Modell einstellen'!$B$1="Voll",J11/0.35,J11/0.35*2)</f>
        <v>-1.1422493142857143E-3</v>
      </c>
      <c r="P11" s="3">
        <f t="shared" si="1"/>
        <v>0.59457682568474046</v>
      </c>
    </row>
    <row r="12" spans="1:16" x14ac:dyDescent="0.25">
      <c r="A12" s="3">
        <v>9.9999999999999995E-7</v>
      </c>
      <c r="B12" s="3">
        <v>-1.0460000000000001E-3</v>
      </c>
      <c r="C12" s="3">
        <v>2.196E-4</v>
      </c>
      <c r="D12" s="3">
        <v>4.482E-4</v>
      </c>
      <c r="E12" s="3">
        <v>0</v>
      </c>
      <c r="F12" s="3">
        <v>0</v>
      </c>
      <c r="G12" s="3">
        <v>0</v>
      </c>
      <c r="H12" s="3">
        <v>1.4248821E-4</v>
      </c>
      <c r="I12" s="3">
        <v>2.1336318E-5</v>
      </c>
      <c r="J12" s="3">
        <v>-2.2516360999999999E-4</v>
      </c>
      <c r="L12" s="3">
        <f t="shared" si="0"/>
        <v>2.3337795626952254</v>
      </c>
      <c r="M12" s="3"/>
      <c r="N12" s="2">
        <f>IF('Modell einstellen'!$B$1="Voll",H12/0.35,H12/0.35*2)</f>
        <v>8.1421834285714287E-4</v>
      </c>
      <c r="O12" s="2">
        <f>IF('Modell einstellen'!$B$1="Voll",J12/0.35,J12/0.35*2)</f>
        <v>-1.2866492E-3</v>
      </c>
      <c r="P12" s="3">
        <f t="shared" si="1"/>
        <v>0.6328207741917089</v>
      </c>
    </row>
    <row r="13" spans="1:16" x14ac:dyDescent="0.25">
      <c r="A13" s="3">
        <v>1.0000000000000001E-5</v>
      </c>
      <c r="B13" s="3">
        <v>-1.531E-3</v>
      </c>
      <c r="C13" s="3">
        <v>2.252E-4</v>
      </c>
      <c r="D13" s="3">
        <v>9.1929999999999996E-4</v>
      </c>
      <c r="E13" s="3">
        <v>0</v>
      </c>
      <c r="F13" s="3">
        <v>0</v>
      </c>
      <c r="G13" s="3">
        <v>0</v>
      </c>
      <c r="H13" s="3">
        <v>1.8227251E-4</v>
      </c>
      <c r="I13" s="3">
        <v>2.1992198E-5</v>
      </c>
      <c r="J13" s="3">
        <v>-2.6674148000000001E-4</v>
      </c>
      <c r="L13" s="3">
        <f t="shared" si="0"/>
        <v>1.6653975851191125</v>
      </c>
      <c r="M13" s="3"/>
      <c r="N13" s="2">
        <f>IF('Modell einstellen'!$B$1="Voll",H13/0.35,H13/0.35*2)</f>
        <v>1.0415572000000001E-3</v>
      </c>
      <c r="O13" s="2">
        <f>IF('Modell einstellen'!$B$1="Voll",J13/0.35,J13/0.35*2)</f>
        <v>-1.5242370285714288E-3</v>
      </c>
      <c r="P13" s="3">
        <f t="shared" si="1"/>
        <v>0.68333020421120849</v>
      </c>
    </row>
    <row r="14" spans="1:16" x14ac:dyDescent="0.25">
      <c r="A14" s="3">
        <v>1E-4</v>
      </c>
      <c r="B14" s="3">
        <v>-2.4109999999999999E-3</v>
      </c>
      <c r="C14" s="3">
        <v>2.3059999999999999E-4</v>
      </c>
      <c r="D14" s="3">
        <v>1.787E-3</v>
      </c>
      <c r="E14" s="3">
        <v>0</v>
      </c>
      <c r="F14" s="3">
        <v>0</v>
      </c>
      <c r="G14" s="3">
        <v>0</v>
      </c>
      <c r="H14" s="3">
        <v>2.5196988000000001E-4</v>
      </c>
      <c r="I14" s="3">
        <v>2.2649053000000001E-5</v>
      </c>
      <c r="J14" s="3">
        <v>-3.3810558999999998E-4</v>
      </c>
      <c r="L14" s="3">
        <f t="shared" si="0"/>
        <v>1.3491885842193621</v>
      </c>
      <c r="M14" s="3"/>
      <c r="N14" s="2">
        <f>IF('Modell einstellen'!$B$1="Voll",H14/0.35,H14/0.35*2)</f>
        <v>1.4398278857142858E-3</v>
      </c>
      <c r="O14" s="2">
        <f>IF('Modell einstellen'!$B$1="Voll",J14/0.35,J14/0.35*2)</f>
        <v>-1.9320319428571429E-3</v>
      </c>
      <c r="P14" s="3">
        <f t="shared" si="1"/>
        <v>0.74524020735652441</v>
      </c>
    </row>
    <row r="15" spans="1:16" x14ac:dyDescent="0.25">
      <c r="A15" s="3">
        <v>1E-3</v>
      </c>
      <c r="B15" s="3">
        <v>-3.9090000000000001E-3</v>
      </c>
      <c r="C15" s="3">
        <v>2.3450000000000001E-4</v>
      </c>
      <c r="D15" s="3">
        <v>3.2750000000000001E-3</v>
      </c>
      <c r="E15" s="3">
        <v>0</v>
      </c>
      <c r="F15" s="3">
        <v>0</v>
      </c>
      <c r="G15" s="3">
        <v>0</v>
      </c>
      <c r="H15" s="3">
        <v>3.6729499E-4</v>
      </c>
      <c r="I15" s="3">
        <v>2.3196563999999999E-5</v>
      </c>
      <c r="J15" s="3">
        <v>-4.5447880999999998E-4</v>
      </c>
      <c r="L15" s="3">
        <f t="shared" si="0"/>
        <v>1.1935877862595419</v>
      </c>
      <c r="M15" s="3"/>
      <c r="N15" s="2">
        <f>IF('Modell einstellen'!$B$1="Voll",H15/0.35,H15/0.35*2)</f>
        <v>2.0988285142857143E-3</v>
      </c>
      <c r="O15" s="2">
        <f>IF('Modell einstellen'!$B$1="Voll",J15/0.35,J15/0.35*2)</f>
        <v>-2.5970217714285713E-3</v>
      </c>
      <c r="P15" s="3">
        <f t="shared" si="1"/>
        <v>0.80816746989810162</v>
      </c>
    </row>
    <row r="16" spans="1:16" x14ac:dyDescent="0.25">
      <c r="A16" s="3">
        <v>0.01</v>
      </c>
      <c r="B16" s="3">
        <v>-6.117E-3</v>
      </c>
      <c r="C16" s="3">
        <v>2.374E-4</v>
      </c>
      <c r="D16" s="3">
        <v>5.4770000000000001E-3</v>
      </c>
      <c r="E16" s="3">
        <v>0</v>
      </c>
      <c r="F16" s="3">
        <v>0</v>
      </c>
      <c r="G16" s="3">
        <v>0</v>
      </c>
      <c r="H16" s="3">
        <v>5.3482764000000003E-4</v>
      </c>
      <c r="I16" s="3">
        <v>2.3813631E-5</v>
      </c>
      <c r="J16" s="3">
        <v>-6.2250825999999996E-4</v>
      </c>
      <c r="L16" s="3">
        <f t="shared" si="0"/>
        <v>1.1168522914004018</v>
      </c>
      <c r="M16" s="3"/>
      <c r="N16" s="2">
        <f>IF('Modell einstellen'!$B$1="Voll",H16/0.35,H16/0.35*2)</f>
        <v>3.0561579428571434E-3</v>
      </c>
      <c r="O16" s="2">
        <f>IF('Modell einstellen'!$B$1="Voll",J16/0.35,J16/0.35*2)</f>
        <v>-3.5571900571428573E-3</v>
      </c>
      <c r="P16" s="3">
        <f t="shared" si="1"/>
        <v>0.85914946735003972</v>
      </c>
    </row>
    <row r="17" spans="1:16" x14ac:dyDescent="0.25">
      <c r="A17" s="3">
        <v>0.1</v>
      </c>
      <c r="B17" s="3">
        <v>-8.4670000000000006E-3</v>
      </c>
      <c r="C17" s="3">
        <v>2.4379999999999999E-4</v>
      </c>
      <c r="D17" s="3">
        <v>7.8209999999999998E-3</v>
      </c>
      <c r="E17" s="3">
        <v>0</v>
      </c>
      <c r="F17" s="3">
        <v>0</v>
      </c>
      <c r="G17" s="3">
        <v>0</v>
      </c>
      <c r="H17" s="3">
        <v>7.1617109999999996E-4</v>
      </c>
      <c r="I17" s="3">
        <v>2.6397638E-5</v>
      </c>
      <c r="J17" s="3">
        <v>-8.0748215000000004E-4</v>
      </c>
      <c r="L17" s="3">
        <f t="shared" si="0"/>
        <v>1.0825981332310448</v>
      </c>
      <c r="M17" s="3"/>
      <c r="N17" s="2">
        <f>IF('Modell einstellen'!$B$1="Voll",H17/0.35,H17/0.35*2)</f>
        <v>4.0924062857142854E-3</v>
      </c>
      <c r="O17" s="2">
        <f>IF('Modell einstellen'!$B$1="Voll",J17/0.35,J17/0.35*2)</f>
        <v>-4.6141837142857148E-3</v>
      </c>
      <c r="P17" s="3">
        <f t="shared" si="1"/>
        <v>0.88691880061992689</v>
      </c>
    </row>
    <row r="18" spans="1:16" x14ac:dyDescent="0.25">
      <c r="A18" s="3">
        <v>1</v>
      </c>
      <c r="B18" s="3">
        <v>-1.0120000000000001E-2</v>
      </c>
      <c r="C18" s="3">
        <v>2.6600000000000001E-4</v>
      </c>
      <c r="D18" s="3">
        <v>9.4590000000000004E-3</v>
      </c>
      <c r="E18" s="3">
        <v>0</v>
      </c>
      <c r="F18" s="3">
        <v>0</v>
      </c>
      <c r="G18" s="3">
        <v>0</v>
      </c>
      <c r="H18" s="3">
        <v>8.6830193999999996E-4</v>
      </c>
      <c r="I18" s="3">
        <v>3.999986E-5</v>
      </c>
      <c r="J18" s="3">
        <v>-9.840974499999999E-4</v>
      </c>
      <c r="L18" s="3">
        <f t="shared" si="0"/>
        <v>1.0698805370546569</v>
      </c>
      <c r="M18" s="3"/>
      <c r="N18" s="2">
        <f>IF('Modell einstellen'!$B$1="Voll",H18/0.35,H18/0.35*2)</f>
        <v>4.9617253714285712E-3</v>
      </c>
      <c r="O18" s="2">
        <f>IF('Modell einstellen'!$B$1="Voll",J18/0.35,J18/0.35*2)</f>
        <v>-5.6234140000000002E-3</v>
      </c>
      <c r="P18" s="3">
        <f t="shared" si="1"/>
        <v>0.88233328924894572</v>
      </c>
    </row>
    <row r="19" spans="1:16" x14ac:dyDescent="0.25">
      <c r="A19" s="3">
        <v>10</v>
      </c>
      <c r="B19" s="3">
        <v>-1.0449999999999999E-2</v>
      </c>
      <c r="C19" s="3">
        <v>3.634E-4</v>
      </c>
      <c r="D19" s="3">
        <v>9.6959999999999998E-3</v>
      </c>
      <c r="E19" s="3">
        <v>0</v>
      </c>
      <c r="F19" s="3">
        <v>0</v>
      </c>
      <c r="G19" s="3">
        <v>0</v>
      </c>
      <c r="H19" s="3">
        <v>9.7939724000000003E-4</v>
      </c>
      <c r="I19" s="3">
        <v>8.6248950000000004E-5</v>
      </c>
      <c r="J19" s="3">
        <v>-1.1823451E-3</v>
      </c>
      <c r="L19" s="3">
        <f t="shared" si="0"/>
        <v>1.0777640264026402</v>
      </c>
      <c r="M19" s="3"/>
      <c r="N19" s="2">
        <f>IF('Modell einstellen'!$B$1="Voll",H19/0.35,H19/0.35*2)</f>
        <v>5.5965556571428579E-3</v>
      </c>
      <c r="O19" s="2">
        <f>IF('Modell einstellen'!$B$1="Voll",J19/0.35,J19/0.35*2)</f>
        <v>-6.7562577142857147E-3</v>
      </c>
      <c r="P19" s="3">
        <f t="shared" si="1"/>
        <v>0.82835141787283606</v>
      </c>
    </row>
    <row r="20" spans="1:16" x14ac:dyDescent="0.25">
      <c r="A20" s="3">
        <v>100</v>
      </c>
      <c r="B20" s="3">
        <v>-9.2110000000000004E-3</v>
      </c>
      <c r="C20" s="3">
        <v>7.1869999999999996E-4</v>
      </c>
      <c r="D20" s="3">
        <v>8.1370000000000001E-3</v>
      </c>
      <c r="E20" s="3">
        <v>0</v>
      </c>
      <c r="F20" s="3">
        <v>0</v>
      </c>
      <c r="G20" s="3">
        <v>0</v>
      </c>
      <c r="H20" s="3">
        <v>1.0963253000000001E-3</v>
      </c>
      <c r="I20" s="3">
        <v>2.0975084000000001E-4</v>
      </c>
      <c r="J20" s="3">
        <v>-1.534274E-3</v>
      </c>
      <c r="L20" s="3">
        <f t="shared" si="0"/>
        <v>1.1319896767850559</v>
      </c>
      <c r="M20" s="3"/>
      <c r="N20" s="2">
        <f>IF('Modell einstellen'!$B$1="Voll",H20/0.35,H20/0.35*2)</f>
        <v>6.2647160000000009E-3</v>
      </c>
      <c r="O20" s="2">
        <f>IF('Modell einstellen'!$B$1="Voll",J20/0.35,J20/0.35*2)</f>
        <v>-8.7672800000000006E-3</v>
      </c>
      <c r="P20" s="3">
        <f t="shared" si="1"/>
        <v>0.71455639605442056</v>
      </c>
    </row>
    <row r="21" spans="1:16" x14ac:dyDescent="0.25">
      <c r="A21" s="3">
        <v>1000</v>
      </c>
      <c r="B21" s="3">
        <v>-6.6889999999999996E-3</v>
      </c>
      <c r="C21" s="3">
        <v>1.4920000000000001E-3</v>
      </c>
      <c r="D21" s="3">
        <v>4.8869999999999999E-3</v>
      </c>
      <c r="E21" s="3">
        <v>0</v>
      </c>
      <c r="F21" s="3">
        <v>0</v>
      </c>
      <c r="G21" s="3">
        <v>0</v>
      </c>
      <c r="H21" s="3">
        <v>1.2083096000000001E-3</v>
      </c>
      <c r="I21" s="3">
        <v>4.1216990999999999E-4</v>
      </c>
      <c r="J21" s="3">
        <v>-2.0310861000000001E-3</v>
      </c>
      <c r="L21" s="3">
        <f t="shared" si="0"/>
        <v>1.3687333742582362</v>
      </c>
      <c r="M21" s="3"/>
      <c r="N21" s="2">
        <f>IF('Modell einstellen'!$B$1="Voll",H21/0.35,H21/0.35*2)</f>
        <v>6.9046262857142869E-3</v>
      </c>
      <c r="O21" s="2">
        <f>IF('Modell einstellen'!$B$1="Voll",J21/0.35,J21/0.35*2)</f>
        <v>-1.1606206285714286E-2</v>
      </c>
      <c r="P21" s="3">
        <f t="shared" si="1"/>
        <v>0.59490811344728323</v>
      </c>
    </row>
    <row r="22" spans="1:16" x14ac:dyDescent="0.25">
      <c r="A22" s="3">
        <v>10000</v>
      </c>
      <c r="B22" s="3">
        <v>-4.0289999999999996E-3</v>
      </c>
      <c r="C22" s="3">
        <v>2.5230000000000001E-3</v>
      </c>
      <c r="D22" s="3">
        <v>1.242E-3</v>
      </c>
      <c r="E22" s="3">
        <v>0</v>
      </c>
      <c r="F22" s="3">
        <v>0</v>
      </c>
      <c r="G22" s="3">
        <v>0</v>
      </c>
      <c r="H22" s="3">
        <v>1.287765E-3</v>
      </c>
      <c r="I22" s="3">
        <v>6.2456394E-4</v>
      </c>
      <c r="J22" s="3">
        <v>-2.5127003000000002E-3</v>
      </c>
      <c r="L22" s="3">
        <f t="shared" si="0"/>
        <v>3.2439613526570046</v>
      </c>
      <c r="M22" s="3"/>
      <c r="N22" s="2">
        <f>IF('Modell einstellen'!$B$1="Voll",H22/0.35,H22/0.35*2)</f>
        <v>7.358657142857143E-3</v>
      </c>
      <c r="O22" s="2">
        <f>IF('Modell einstellen'!$B$1="Voll",J22/0.35,J22/0.35*2)</f>
        <v>-1.4358287428571431E-2</v>
      </c>
      <c r="P22" s="3">
        <f t="shared" si="1"/>
        <v>0.51250242617474107</v>
      </c>
    </row>
    <row r="23" spans="1:16" x14ac:dyDescent="0.25">
      <c r="A23" s="3">
        <v>100000</v>
      </c>
      <c r="B23" s="3">
        <v>-2.225E-3</v>
      </c>
      <c r="C23" s="3">
        <v>3.6440000000000001E-3</v>
      </c>
      <c r="D23" s="3">
        <v>-1.6479999999999999E-3</v>
      </c>
      <c r="E23" s="3">
        <v>0</v>
      </c>
      <c r="F23" s="3">
        <v>0</v>
      </c>
      <c r="G23" s="3">
        <v>0</v>
      </c>
      <c r="H23" s="3">
        <v>1.3966364000000001E-3</v>
      </c>
      <c r="I23" s="3">
        <v>8.2631632000000003E-4</v>
      </c>
      <c r="J23" s="3">
        <v>-3.0008460000000002E-3</v>
      </c>
      <c r="L23" s="3">
        <f t="shared" si="0"/>
        <v>-1.350121359223301</v>
      </c>
      <c r="M23" s="3"/>
      <c r="N23" s="2">
        <f>IF('Modell einstellen'!$B$1="Voll",H23/0.35,H23/0.35*2)</f>
        <v>7.9807794285714287E-3</v>
      </c>
      <c r="O23" s="2">
        <f>IF('Modell einstellen'!$B$1="Voll",J23/0.35,J23/0.35*2)</f>
        <v>-1.7147691428571431E-2</v>
      </c>
      <c r="P23" s="3">
        <f t="shared" si="1"/>
        <v>0.46541421985666703</v>
      </c>
    </row>
    <row r="24" spans="1:16" x14ac:dyDescent="0.25">
      <c r="A24" s="3">
        <v>1000000</v>
      </c>
      <c r="B24" s="3">
        <v>-5.9429999999999997E-4</v>
      </c>
      <c r="C24" s="3">
        <v>4.6220000000000002E-3</v>
      </c>
      <c r="D24" s="3">
        <v>-4.2319999999999997E-3</v>
      </c>
      <c r="E24" s="3">
        <v>0</v>
      </c>
      <c r="F24" s="3">
        <v>0</v>
      </c>
      <c r="G24" s="3">
        <v>0</v>
      </c>
      <c r="H24" s="3">
        <v>1.4488960000000001E-3</v>
      </c>
      <c r="I24" s="3">
        <v>9.7982032999999994E-4</v>
      </c>
      <c r="J24" s="3">
        <v>-3.3409365999999999E-3</v>
      </c>
      <c r="L24" s="3">
        <f t="shared" si="0"/>
        <v>-0.14043005671077505</v>
      </c>
      <c r="M24" s="3"/>
      <c r="N24" s="2">
        <f>IF('Modell einstellen'!$B$1="Voll",H24/0.35,H24/0.35*2)</f>
        <v>8.2794057142857157E-3</v>
      </c>
      <c r="O24" s="2">
        <f>IF('Modell einstellen'!$B$1="Voll",J24/0.35,J24/0.35*2)</f>
        <v>-1.9091066285714286E-2</v>
      </c>
      <c r="P24" s="3">
        <f t="shared" si="1"/>
        <v>0.4336795855389774</v>
      </c>
    </row>
    <row r="25" spans="1:16" x14ac:dyDescent="0.25">
      <c r="A25" s="3">
        <v>10000000</v>
      </c>
      <c r="B25" s="3">
        <v>6.0590000000000004E-4</v>
      </c>
      <c r="C25" s="3">
        <v>5.3489999999999996E-3</v>
      </c>
      <c r="D25" s="3">
        <v>-6.1409999999999998E-3</v>
      </c>
      <c r="E25" s="3">
        <v>0</v>
      </c>
      <c r="F25" s="3">
        <v>0</v>
      </c>
      <c r="G25" s="3">
        <v>0</v>
      </c>
      <c r="H25" s="3">
        <v>1.4670028999999999E-3</v>
      </c>
      <c r="I25" s="3">
        <v>1.0784218E-3</v>
      </c>
      <c r="J25" s="3">
        <v>-3.5436636000000001E-3</v>
      </c>
      <c r="L25" s="3">
        <f t="shared" si="0"/>
        <v>9.8664712587526474E-2</v>
      </c>
      <c r="M25" s="3"/>
      <c r="N25" s="2">
        <f>IF('Modell einstellen'!$B$1="Voll",H25/0.35,H25/0.35*2)</f>
        <v>8.3828737142857147E-3</v>
      </c>
      <c r="O25" s="2">
        <f>IF('Modell einstellen'!$B$1="Voll",J25/0.35,J25/0.35*2)</f>
        <v>-2.0249506285714286E-2</v>
      </c>
      <c r="P25" s="3">
        <f t="shared" si="1"/>
        <v>0.41397916551672681</v>
      </c>
    </row>
    <row r="26" spans="1:16" x14ac:dyDescent="0.25">
      <c r="A26" s="3">
        <v>100000000</v>
      </c>
      <c r="B26" s="3">
        <v>1.418E-3</v>
      </c>
      <c r="C26" s="3">
        <v>5.8809999999999999E-3</v>
      </c>
      <c r="D26" s="3">
        <v>-7.4720000000000003E-3</v>
      </c>
      <c r="E26" s="3">
        <v>0</v>
      </c>
      <c r="F26" s="3">
        <v>0</v>
      </c>
      <c r="G26" s="3">
        <v>0</v>
      </c>
      <c r="H26" s="3">
        <v>1.4774314000000001E-3</v>
      </c>
      <c r="I26" s="3">
        <v>1.1423606E-3</v>
      </c>
      <c r="J26" s="3">
        <v>-3.6735983999999998E-3</v>
      </c>
      <c r="L26" s="3">
        <f t="shared" si="0"/>
        <v>0.18977516059957172</v>
      </c>
      <c r="M26" s="3"/>
      <c r="N26" s="2">
        <f>IF('Modell einstellen'!$B$1="Voll",H26/0.35,H26/0.35*2)</f>
        <v>8.4424651428571442E-3</v>
      </c>
      <c r="O26" s="2">
        <f>IF('Modell einstellen'!$B$1="Voll",J26/0.35,J26/0.35*2)</f>
        <v>-2.0991990857142859E-2</v>
      </c>
      <c r="P26" s="3">
        <f t="shared" si="1"/>
        <v>0.40217553448411786</v>
      </c>
    </row>
    <row r="27" spans="1:16" x14ac:dyDescent="0.25">
      <c r="A27" s="3">
        <v>1000000000</v>
      </c>
      <c r="B27" s="3">
        <v>1.9859999999999999E-3</v>
      </c>
      <c r="C27" s="3">
        <v>6.2639999999999996E-3</v>
      </c>
      <c r="D27" s="3">
        <v>-8.4159999999999999E-3</v>
      </c>
      <c r="E27" s="3">
        <v>0</v>
      </c>
      <c r="F27" s="3">
        <v>0</v>
      </c>
      <c r="G27" s="3">
        <v>0</v>
      </c>
      <c r="H27" s="3">
        <v>1.4850436999999999E-3</v>
      </c>
      <c r="I27" s="3">
        <v>1.184287E-3</v>
      </c>
      <c r="J27" s="3">
        <v>-3.7594483E-3</v>
      </c>
      <c r="L27" s="3">
        <f t="shared" si="0"/>
        <v>0.23597908745247148</v>
      </c>
      <c r="M27" s="3"/>
      <c r="N27" s="2">
        <f>IF('Modell einstellen'!$B$1="Voll",H27/0.35,H27/0.35*2)</f>
        <v>8.4859640000000004E-3</v>
      </c>
      <c r="O27" s="2">
        <f>IF('Modell einstellen'!$B$1="Voll",J27/0.35,J27/0.35*2)</f>
        <v>-2.1482561714285715E-2</v>
      </c>
      <c r="P27" s="3">
        <f t="shared" si="1"/>
        <v>0.39501639110185399</v>
      </c>
    </row>
    <row r="28" spans="1:16" x14ac:dyDescent="0.25">
      <c r="A28" s="3">
        <v>10000000000</v>
      </c>
      <c r="B28" s="3">
        <v>2.1159999999999998E-3</v>
      </c>
      <c r="C28" s="3">
        <v>6.3540000000000003E-3</v>
      </c>
      <c r="D28" s="3">
        <v>-8.633E-3</v>
      </c>
      <c r="E28" s="3">
        <v>0</v>
      </c>
      <c r="F28" s="3">
        <v>0</v>
      </c>
      <c r="G28" s="3">
        <v>0</v>
      </c>
      <c r="H28" s="3">
        <v>1.4872793999999999E-3</v>
      </c>
      <c r="I28" s="3">
        <v>1.1940289000000001E-3</v>
      </c>
      <c r="J28" s="3">
        <v>-3.7798259E-3</v>
      </c>
      <c r="L28" s="3">
        <f t="shared" si="0"/>
        <v>0.24510598864821034</v>
      </c>
      <c r="M28" s="3"/>
      <c r="N28" s="2">
        <f>IF('Modell einstellen'!$B$1="Voll",H28/0.35,H28/0.35*2)</f>
        <v>8.4987394285714283E-3</v>
      </c>
      <c r="O28" s="2">
        <f>IF('Modell einstellen'!$B$1="Voll",J28/0.35,J28/0.35*2)</f>
        <v>-2.1599005142857144E-2</v>
      </c>
      <c r="P28" s="3">
        <f t="shared" si="1"/>
        <v>0.39347828163196613</v>
      </c>
    </row>
    <row r="29" spans="1:16" x14ac:dyDescent="0.25">
      <c r="A29" s="3">
        <v>100000000000</v>
      </c>
      <c r="B29" s="3">
        <v>2.2790000000000002E-3</v>
      </c>
      <c r="C29" s="3">
        <v>6.4679999999999998E-3</v>
      </c>
      <c r="D29" s="3">
        <v>-8.9090000000000003E-3</v>
      </c>
      <c r="E29" s="3">
        <v>0</v>
      </c>
      <c r="F29" s="3">
        <v>0</v>
      </c>
      <c r="G29" s="3">
        <v>0</v>
      </c>
      <c r="H29" s="3">
        <v>1.4899183999999999E-3</v>
      </c>
      <c r="I29" s="3">
        <v>1.2060299E-3</v>
      </c>
      <c r="J29" s="3">
        <v>-3.8048327E-3</v>
      </c>
      <c r="L29" s="3">
        <f t="shared" si="0"/>
        <v>0.25580873274217086</v>
      </c>
      <c r="M29" s="3"/>
      <c r="N29" s="2">
        <f>IF('Modell einstellen'!$B$1="Voll",H29/0.35,H29/0.35*2)</f>
        <v>8.5138194285714289E-3</v>
      </c>
      <c r="O29" s="2">
        <f>IF('Modell einstellen'!$B$1="Voll",J29/0.35,J29/0.35*2)</f>
        <v>-2.1741901142857144E-2</v>
      </c>
      <c r="P29" s="3">
        <f t="shared" si="1"/>
        <v>0.39158578509903996</v>
      </c>
    </row>
    <row r="30" spans="1:16" x14ac:dyDescent="0.25">
      <c r="A30" s="3">
        <v>1000000000000</v>
      </c>
      <c r="B30" s="3">
        <v>2.826E-3</v>
      </c>
      <c r="C30" s="3">
        <v>6.8079999999999998E-3</v>
      </c>
      <c r="D30" s="3">
        <v>-9.7890000000000008E-3</v>
      </c>
      <c r="E30" s="3">
        <v>0</v>
      </c>
      <c r="F30" s="3">
        <v>0</v>
      </c>
      <c r="G30" s="3">
        <v>0</v>
      </c>
      <c r="H30" s="3">
        <v>1.4978439000000001E-3</v>
      </c>
      <c r="I30" s="3">
        <v>1.237358E-3</v>
      </c>
      <c r="J30" s="3">
        <v>-3.8710681000000001E-3</v>
      </c>
      <c r="L30" s="3">
        <f t="shared" si="0"/>
        <v>0.28869138829298191</v>
      </c>
      <c r="M30" s="3"/>
      <c r="N30" s="2">
        <f>IF('Modell einstellen'!$B$1="Voll",H30/0.35,H30/0.35*2)</f>
        <v>8.559108000000001E-3</v>
      </c>
      <c r="O30" s="2">
        <f>IF('Modell einstellen'!$B$1="Voll",J30/0.35,J30/0.35*2)</f>
        <v>-2.2120389142857143E-2</v>
      </c>
      <c r="P30" s="3">
        <f t="shared" si="1"/>
        <v>0.38693297594015463</v>
      </c>
    </row>
    <row r="31" spans="1:16" x14ac:dyDescent="0.25">
      <c r="A31" s="3">
        <v>10000000000000</v>
      </c>
      <c r="B31" s="3">
        <v>2.8300000000000001E-3</v>
      </c>
      <c r="C31" s="3">
        <v>6.8129999999999996E-3</v>
      </c>
      <c r="D31" s="3">
        <v>-9.7990000000000004E-3</v>
      </c>
      <c r="E31" s="3">
        <v>0</v>
      </c>
      <c r="F31" s="3">
        <v>0</v>
      </c>
      <c r="G31" s="3">
        <v>0</v>
      </c>
      <c r="H31" s="3">
        <v>1.4983258000000001E-3</v>
      </c>
      <c r="I31" s="3">
        <v>1.2379768000000001E-3</v>
      </c>
      <c r="J31" s="3">
        <v>-3.8726876999999999E-3</v>
      </c>
      <c r="L31" s="3">
        <f t="shared" si="0"/>
        <v>0.28880498010001021</v>
      </c>
      <c r="M31" s="3"/>
      <c r="N31" s="2">
        <f>IF('Modell einstellen'!$B$1="Voll",H31/0.35,H31/0.35*2)</f>
        <v>8.5618617142857144E-3</v>
      </c>
      <c r="O31" s="2">
        <f>IF('Modell einstellen'!$B$1="Voll",J31/0.35,J31/0.35*2)</f>
        <v>-2.2129644E-2</v>
      </c>
      <c r="P31" s="3">
        <f t="shared" si="1"/>
        <v>0.38689559191669393</v>
      </c>
    </row>
    <row r="32" spans="1:16" x14ac:dyDescent="0.25">
      <c r="A32" s="3">
        <v>100000000000000</v>
      </c>
      <c r="B32" s="3">
        <v>3.1059999999999998E-3</v>
      </c>
      <c r="C32" s="3">
        <v>6.973E-3</v>
      </c>
      <c r="D32" s="3">
        <v>-1.023E-2</v>
      </c>
      <c r="E32" s="3">
        <v>0</v>
      </c>
      <c r="F32" s="3">
        <v>0</v>
      </c>
      <c r="G32" s="3">
        <v>0</v>
      </c>
      <c r="H32" s="3">
        <v>1.5017183000000001E-3</v>
      </c>
      <c r="I32" s="3">
        <v>1.2518473E-3</v>
      </c>
      <c r="J32" s="3">
        <v>-3.9018899999999999E-3</v>
      </c>
      <c r="L32" s="3">
        <f t="shared" si="0"/>
        <v>0.30361681329423262</v>
      </c>
      <c r="M32" s="3"/>
      <c r="N32" s="2">
        <f>IF('Modell einstellen'!$B$1="Voll",H32/0.35,H32/0.35*2)</f>
        <v>8.5812474285714303E-3</v>
      </c>
      <c r="O32" s="2">
        <f>IF('Modell einstellen'!$B$1="Voll",J32/0.35,J32/0.35*2)</f>
        <v>-2.2296514285714285E-2</v>
      </c>
      <c r="P32" s="3">
        <f t="shared" si="1"/>
        <v>0.38486946069725192</v>
      </c>
    </row>
    <row r="33" spans="1:16" x14ac:dyDescent="0.25">
      <c r="A33" s="3">
        <v>1000000000000000</v>
      </c>
      <c r="B33" s="3">
        <v>3.2130000000000001E-3</v>
      </c>
      <c r="C33" s="3">
        <v>7.0590000000000002E-3</v>
      </c>
      <c r="D33" s="3">
        <v>-1.042E-2</v>
      </c>
      <c r="E33" s="3">
        <v>0</v>
      </c>
      <c r="F33" s="3">
        <v>0</v>
      </c>
      <c r="G33" s="3">
        <v>0</v>
      </c>
      <c r="H33" s="3">
        <v>1.5019628E-3</v>
      </c>
      <c r="I33" s="3">
        <v>1.258129E-3</v>
      </c>
      <c r="J33" s="3">
        <v>-3.9138471999999999E-3</v>
      </c>
      <c r="L33" s="3">
        <f t="shared" si="0"/>
        <v>0.30834932821497119</v>
      </c>
      <c r="M33" s="3"/>
      <c r="N33" s="2">
        <f>IF('Modell einstellen'!$B$1="Voll",H33/0.35,H33/0.35*2)</f>
        <v>8.5826445714285715E-3</v>
      </c>
      <c r="O33" s="2">
        <f>IF('Modell einstellen'!$B$1="Voll",J33/0.35,J33/0.35*2)</f>
        <v>-2.2364841142857143E-2</v>
      </c>
      <c r="P33" s="3">
        <f t="shared" si="1"/>
        <v>0.38375611597713882</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2022-01-12T17:16:45Z</dcterms:modified>
</cp:coreProperties>
</file>