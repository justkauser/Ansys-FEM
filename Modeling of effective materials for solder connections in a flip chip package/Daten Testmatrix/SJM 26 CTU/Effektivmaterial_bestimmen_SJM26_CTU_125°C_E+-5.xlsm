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bestimmen'!$E$126:$H$126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C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7" i="43"/>
  <c r="D419" i="43"/>
  <c r="D426" i="43"/>
  <c r="D430" i="43"/>
  <c r="D404" i="43"/>
  <c r="D411" i="43"/>
  <c r="D416" i="43"/>
  <c r="D423" i="43"/>
  <c r="D428" i="43"/>
  <c r="D434" i="43"/>
  <c r="D409" i="43"/>
  <c r="D421" i="43"/>
  <c r="D407" i="43"/>
  <c r="D414" i="43"/>
  <c r="D418" i="43"/>
  <c r="D425" i="43"/>
  <c r="D427" i="43"/>
  <c r="D429" i="43"/>
  <c r="D432" i="43"/>
  <c r="D433" i="43"/>
  <c r="D410" i="43"/>
  <c r="D412" i="43"/>
  <c r="D420" i="43"/>
  <c r="D422" i="43"/>
  <c r="D431" i="43"/>
  <c r="D405" i="43"/>
  <c r="D408" i="43"/>
  <c r="D413" i="43"/>
  <c r="D415" i="43"/>
  <c r="D424" i="43"/>
  <c r="B405" i="43"/>
  <c r="B424" i="43"/>
  <c r="B425" i="43"/>
  <c r="B413" i="43"/>
  <c r="B414" i="43"/>
  <c r="B408" i="43"/>
  <c r="B428" i="43"/>
  <c r="B430" i="43"/>
  <c r="B419" i="43"/>
  <c r="B415" i="43"/>
  <c r="B417" i="43"/>
  <c r="B409" i="43"/>
  <c r="B406" i="43"/>
  <c r="B429" i="43"/>
  <c r="B411" i="43"/>
  <c r="B416" i="43"/>
  <c r="B432" i="43"/>
  <c r="B404" i="43"/>
  <c r="B410" i="43"/>
  <c r="B407" i="43"/>
  <c r="B431" i="43"/>
  <c r="B427" i="43"/>
  <c r="B420" i="43"/>
  <c r="B434" i="43"/>
  <c r="B423" i="43"/>
  <c r="B418" i="43"/>
  <c r="B433" i="43"/>
  <c r="B426" i="43"/>
  <c r="B421" i="43"/>
  <c r="B422" i="43"/>
  <c r="B412" i="43"/>
  <c r="C406" i="43"/>
  <c r="C423" i="43"/>
  <c r="C428" i="43"/>
  <c r="C404" i="43"/>
  <c r="C425" i="43"/>
  <c r="C427" i="43"/>
  <c r="C432" i="43"/>
  <c r="C409" i="43"/>
  <c r="C421" i="43"/>
  <c r="C434" i="43"/>
  <c r="C407" i="43"/>
  <c r="C414" i="43"/>
  <c r="C418" i="43"/>
  <c r="C429" i="43"/>
  <c r="C410" i="43"/>
  <c r="C412" i="43"/>
  <c r="C420" i="43"/>
  <c r="C422" i="43"/>
  <c r="C431" i="43"/>
  <c r="C405" i="43"/>
  <c r="C408" i="43"/>
  <c r="C415" i="43"/>
  <c r="C424" i="43"/>
  <c r="C433" i="43"/>
  <c r="C426" i="43"/>
  <c r="C417" i="43"/>
  <c r="C419" i="43"/>
  <c r="C430" i="43"/>
  <c r="C413" i="43"/>
  <c r="C411" i="43"/>
  <c r="C416" i="43"/>
  <c r="H434" i="43"/>
  <c r="H418" i="43"/>
  <c r="H415" i="43"/>
  <c r="H410" i="43"/>
  <c r="H424" i="43"/>
  <c r="H405" i="43"/>
  <c r="H413" i="43"/>
  <c r="H427" i="43"/>
  <c r="H422" i="43"/>
  <c r="H421" i="43"/>
  <c r="H412" i="43"/>
  <c r="H407" i="43"/>
  <c r="H417" i="43"/>
  <c r="H414" i="43"/>
  <c r="H430" i="43"/>
  <c r="H423" i="43"/>
  <c r="H416" i="43"/>
  <c r="H404" i="43"/>
  <c r="H409" i="43"/>
  <c r="H433" i="43"/>
  <c r="H428" i="43"/>
  <c r="H426" i="43"/>
  <c r="H408" i="43"/>
  <c r="H420" i="43"/>
  <c r="H432" i="43"/>
  <c r="H425" i="43"/>
  <c r="H419" i="43"/>
  <c r="H431" i="43"/>
  <c r="H411" i="43"/>
  <c r="H429" i="43"/>
  <c r="H406" i="43"/>
  <c r="G410" i="43"/>
  <c r="G413" i="43"/>
  <c r="G431" i="43"/>
  <c r="G416" i="43"/>
  <c r="G434" i="43"/>
  <c r="G428" i="43"/>
  <c r="G429" i="43"/>
  <c r="G411" i="43"/>
  <c r="G427" i="43"/>
  <c r="G409" i="43"/>
  <c r="G405" i="43"/>
  <c r="G433" i="43"/>
  <c r="G422" i="43"/>
  <c r="G426" i="43"/>
  <c r="G408" i="43"/>
  <c r="G424" i="43"/>
  <c r="G406" i="43"/>
  <c r="G419" i="43"/>
  <c r="G423" i="43"/>
  <c r="G421" i="43"/>
  <c r="G415" i="43"/>
  <c r="G407" i="43"/>
  <c r="G420" i="43"/>
  <c r="G404" i="43"/>
  <c r="G418" i="43"/>
  <c r="G417" i="43"/>
  <c r="G425" i="43"/>
  <c r="G432" i="43"/>
  <c r="G414" i="43"/>
  <c r="G430" i="43"/>
  <c r="G412" i="43"/>
  <c r="E405" i="43"/>
  <c r="E408" i="43"/>
  <c r="E413" i="43"/>
  <c r="E415" i="43"/>
  <c r="E424" i="43"/>
  <c r="E433" i="43"/>
  <c r="E423" i="43"/>
  <c r="E404" i="43"/>
  <c r="E406" i="43"/>
  <c r="E417" i="43"/>
  <c r="E419" i="43"/>
  <c r="E426" i="43"/>
  <c r="E430" i="43"/>
  <c r="E411" i="43"/>
  <c r="E416" i="43"/>
  <c r="E434" i="43"/>
  <c r="E422" i="43"/>
  <c r="E418" i="43"/>
  <c r="E425" i="43"/>
  <c r="E427" i="43"/>
  <c r="E429" i="43"/>
  <c r="E431" i="43"/>
  <c r="E410" i="43"/>
  <c r="E420" i="43"/>
  <c r="E421" i="43"/>
  <c r="E409" i="43"/>
  <c r="E432" i="43"/>
  <c r="E412" i="43"/>
  <c r="E407" i="43"/>
  <c r="E428" i="43"/>
  <c r="E414" i="43"/>
  <c r="F415" i="43"/>
  <c r="F410" i="43"/>
  <c r="F420" i="43"/>
  <c r="F431" i="43"/>
  <c r="F424" i="43"/>
  <c r="F430" i="43"/>
  <c r="F419" i="43"/>
  <c r="F416" i="43"/>
  <c r="F423" i="43"/>
  <c r="F404" i="43"/>
  <c r="F434" i="43"/>
  <c r="F427" i="43"/>
  <c r="F421" i="43"/>
  <c r="F425" i="43"/>
  <c r="F426" i="43"/>
  <c r="F412" i="43"/>
  <c r="F407" i="43"/>
  <c r="F417" i="43"/>
  <c r="F414" i="43"/>
  <c r="F422" i="43"/>
  <c r="F411" i="43"/>
  <c r="F405" i="43"/>
  <c r="F432" i="43"/>
  <c r="F418" i="43"/>
  <c r="F409" i="43"/>
  <c r="F428" i="43"/>
  <c r="F429" i="43"/>
  <c r="F406" i="43"/>
  <c r="F408"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U14" i="8"/>
  <c r="BE14" i="8" s="1"/>
  <c r="P24" i="8"/>
  <c r="AZ24" i="8" s="1"/>
  <c r="U5" i="8"/>
  <c r="BE5" i="8" s="1"/>
  <c r="R19" i="8"/>
  <c r="S29" i="8"/>
  <c r="BC29" i="8" s="1"/>
  <c r="P9" i="8"/>
  <c r="AZ9" i="8" s="1"/>
  <c r="O29" i="8"/>
  <c r="AY29" i="8"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O3" i="8"/>
  <c r="AY3" i="8" s="1"/>
  <c r="Q33" i="8"/>
  <c r="BA33" i="8" s="1"/>
  <c r="AQ7" i="8" l="1"/>
  <c r="AQ4" i="8"/>
  <c r="N405" i="43" s="1"/>
  <c r="AP15" i="8"/>
  <c r="AP5" i="8"/>
  <c r="AO11" i="8"/>
  <c r="AO16" i="8"/>
  <c r="AN16" i="8"/>
  <c r="K417" i="43" s="1"/>
  <c r="AN13" i="8"/>
  <c r="K414" i="43" s="1"/>
  <c r="AM29" i="8"/>
  <c r="J430" i="43" s="1"/>
  <c r="AQ3" i="8"/>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J280" i="43" s="1"/>
  <c r="AM21" i="8"/>
  <c r="AO8" i="8"/>
  <c r="AO7" i="8"/>
  <c r="L408" i="43" s="1"/>
  <c r="AN10" i="8"/>
  <c r="K411" i="43" s="1"/>
  <c r="AS9" i="8"/>
  <c r="P410" i="43" s="1"/>
  <c r="AQ21" i="8"/>
  <c r="T286" i="43" s="1"/>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S163" i="43" s="1"/>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M416" i="43"/>
  <c r="R16" i="43"/>
  <c r="N247" i="43"/>
  <c r="BE7" i="8"/>
  <c r="AS7" i="8"/>
  <c r="BB19" i="8"/>
  <c r="AP19" i="8"/>
  <c r="N408" i="43"/>
  <c r="F286"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BD28" i="8"/>
  <c r="BD6" i="8"/>
  <c r="AZ12" i="8"/>
  <c r="BD33" i="8"/>
  <c r="AQ5" i="8"/>
  <c r="AR26" i="8"/>
  <c r="S208" i="43"/>
  <c r="L421" i="43"/>
  <c r="Z364" i="43"/>
  <c r="P428" i="43"/>
  <c r="BE23" i="8"/>
  <c r="O364" i="43" l="1"/>
  <c r="S164" i="43"/>
  <c r="S165" i="43" s="1"/>
  <c r="N422" i="43"/>
  <c r="J281" i="43"/>
  <c r="J282" i="43" s="1"/>
  <c r="C280" i="43"/>
  <c r="T208" i="43"/>
  <c r="T241" i="43" s="1"/>
  <c r="Q208" i="43"/>
  <c r="Q241" i="43" s="1"/>
  <c r="I202" i="43"/>
  <c r="F208" i="43"/>
  <c r="AB16" i="43"/>
  <c r="AB49" i="43" s="1"/>
  <c r="AB50" i="43" s="1"/>
  <c r="P432" i="43"/>
  <c r="V169" i="43"/>
  <c r="V203" i="43" s="1"/>
  <c r="V204" i="43" s="1"/>
  <c r="P364" i="43"/>
  <c r="P397" i="43" s="1"/>
  <c r="P16" i="43"/>
  <c r="AD286" i="43"/>
  <c r="V398" i="43"/>
  <c r="V399" i="43" s="1"/>
  <c r="M426" i="43"/>
  <c r="U364" i="43"/>
  <c r="U397" i="43" s="1"/>
  <c r="X280" i="43"/>
  <c r="G130" i="43"/>
  <c r="L247" i="43"/>
  <c r="H247" i="43"/>
  <c r="P430" i="43"/>
  <c r="AB397" i="43"/>
  <c r="AB169" i="43"/>
  <c r="AB202" i="43" s="1"/>
  <c r="B364" i="43"/>
  <c r="Z359" i="43"/>
  <c r="Z360" i="43" s="1"/>
  <c r="J422" i="43"/>
  <c r="T130" i="43"/>
  <c r="M359" i="43"/>
  <c r="M360" i="43" s="1"/>
  <c r="G364" i="43"/>
  <c r="G397" i="43" s="1"/>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J203" i="43"/>
  <c r="J204" i="43" s="1"/>
  <c r="J202" i="43"/>
  <c r="K406" i="43"/>
  <c r="D169" i="43"/>
  <c r="N425" i="43"/>
  <c r="W286" i="43"/>
  <c r="L55" i="43"/>
  <c r="L49" i="43"/>
  <c r="L50" i="43" s="1"/>
  <c r="L51" i="43"/>
  <c r="O425" i="43"/>
  <c r="W325" i="43"/>
  <c r="L427" i="43"/>
  <c r="Y208" i="43"/>
  <c r="O427" i="43"/>
  <c r="Y325" i="43"/>
  <c r="L416" i="43"/>
  <c r="N208" i="43"/>
  <c r="X203" i="43"/>
  <c r="X204" i="43" s="1"/>
  <c r="X202" i="43"/>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G398" i="43"/>
  <c r="G399" i="43" s="1"/>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T242" i="43" l="1"/>
  <c r="T243" i="43" s="1"/>
  <c r="V202" i="43"/>
  <c r="U398" i="43"/>
  <c r="U399" i="43" s="1"/>
  <c r="Q242" i="43"/>
  <c r="Q243" i="43" s="1"/>
  <c r="AB203" i="43"/>
  <c r="AB204" i="43" s="1"/>
  <c r="P398" i="43"/>
  <c r="P399" i="43" s="1"/>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<sst xmlns="http://schemas.openxmlformats.org/spreadsheetml/2006/main" count="311" uniqueCount="164">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</sst>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-5.2026789142857141E-4</c:v>
                </c:pt>
                <c:pt idx="1">
                  <c:v>-5.2026033714285718E-4</c:v>
                </c:pt>
                <c:pt idx="2">
                  <c:v>-5.2026304571428574E-4</c:v>
                </c:pt>
                <c:pt idx="3">
                  <c:v>-5.2026376571428568E-4</c:v>
                </c:pt>
                <c:pt idx="4">
                  <c:v>-5.2026397714285716E-4</c:v>
                </c:pt>
                <c:pt idx="5">
                  <c:v>-5.2026404000000005E-4</c:v>
                </c:pt>
                <c:pt idx="6">
                  <c:v>-5.2026406285714288E-4</c:v>
                </c:pt>
                <c:pt idx="7">
                  <c:v>-5.2026407428571429E-4</c:v>
                </c:pt>
                <c:pt idx="8">
                  <c:v>-5.2026408571428581E-4</c:v>
                </c:pt>
                <c:pt idx="9">
                  <c:v>-5.2026417142857142E-4</c:v>
                </c:pt>
                <c:pt idx="10">
                  <c:v>-5.2026502857142854E-4</c:v>
                </c:pt>
                <c:pt idx="11">
                  <c:v>-5.202735885714286E-4</c:v>
                </c:pt>
                <c:pt idx="12">
                  <c:v>-5.2035845142857145E-4</c:v>
                </c:pt>
                <c:pt idx="13">
                  <c:v>-5.2117016571428566E-4</c:v>
                </c:pt>
                <c:pt idx="14">
                  <c:v>-5.2714065714285722E-4</c:v>
                </c:pt>
                <c:pt idx="15">
                  <c:v>-5.3738724571428579E-4</c:v>
                </c:pt>
                <c:pt idx="16">
                  <c:v>-5.4510416571428575E-4</c:v>
                </c:pt>
                <c:pt idx="17">
                  <c:v>-5.531446114285715E-4</c:v>
                </c:pt>
                <c:pt idx="18">
                  <c:v>-5.6241089714285724E-4</c:v>
                </c:pt>
                <c:pt idx="19">
                  <c:v>-5.7446554285714283E-4</c:v>
                </c:pt>
                <c:pt idx="20">
                  <c:v>-5.9813674285714286E-4</c:v>
                </c:pt>
                <c:pt idx="21">
                  <c:v>-6.6538377142857149E-4</c:v>
                </c:pt>
                <c:pt idx="22">
                  <c:v>-7.8451982857142871E-4</c:v>
                </c:pt>
                <c:pt idx="23">
                  <c:v>-9.1970068571428578E-4</c:v>
                </c:pt>
                <c:pt idx="24">
                  <c:v>-1.0495565142857144E-3</c:v>
                </c:pt>
                <c:pt idx="25">
                  <c:v>-1.1750555999999999E-3</c:v>
                </c:pt>
                <c:pt idx="26">
                  <c:v>-1.2959366857142858E-3</c:v>
                </c:pt>
                <c:pt idx="27">
                  <c:v>-1.4036457142857144E-3</c:v>
                </c:pt>
                <c:pt idx="28">
                  <c:v>-1.5006965714285713E-3</c:v>
                </c:pt>
                <c:pt idx="29">
                  <c:v>-1.597299942857143E-3</c:v>
                </c:pt>
                <c:pt idx="30">
                  <c:v>-1.6886448000000001E-3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-5.2482441714285716E-4</c:v>
                </c:pt>
                <c:pt idx="1">
                  <c:v>-5.2481664571428575E-4</c:v>
                </c:pt>
                <c:pt idx="2">
                  <c:v>-5.2481937142857143E-4</c:v>
                </c:pt>
                <c:pt idx="3">
                  <c:v>-5.2482014857142855E-4</c:v>
                </c:pt>
                <c:pt idx="4">
                  <c:v>-5.2482096571428573E-4</c:v>
                </c:pt>
                <c:pt idx="5">
                  <c:v>-5.248271028571429E-4</c:v>
                </c:pt>
                <c:pt idx="6">
                  <c:v>-5.2488745714285713E-4</c:v>
                </c:pt>
                <c:pt idx="7">
                  <c:v>-5.2546980000000004E-4</c:v>
                </c:pt>
                <c:pt idx="8">
                  <c:v>-5.3013404571428579E-4</c:v>
                </c:pt>
                <c:pt idx="9">
                  <c:v>-5.4088885714285724E-4</c:v>
                </c:pt>
                <c:pt idx="10">
                  <c:v>-5.4876942857142862E-4</c:v>
                </c:pt>
                <c:pt idx="11">
                  <c:v>-5.5665492571428568E-4</c:v>
                </c:pt>
                <c:pt idx="12">
                  <c:v>-5.6579005714285722E-4</c:v>
                </c:pt>
                <c:pt idx="13">
                  <c:v>-5.7584177142857142E-4</c:v>
                </c:pt>
                <c:pt idx="14">
                  <c:v>-5.8768102857142859E-4</c:v>
                </c:pt>
                <c:pt idx="15">
                  <c:v>-6.0114314285714284E-4</c:v>
                </c:pt>
                <c:pt idx="16">
                  <c:v>-6.1650040000000011E-4</c:v>
                </c:pt>
                <c:pt idx="17">
                  <c:v>-6.3240502857142859E-4</c:v>
                </c:pt>
                <c:pt idx="18">
                  <c:v>-6.5889742857142865E-4</c:v>
                </c:pt>
                <c:pt idx="19">
                  <c:v>-7.3297771428571445E-4</c:v>
                </c:pt>
                <c:pt idx="20">
                  <c:v>-8.7946508571428578E-4</c:v>
                </c:pt>
                <c:pt idx="21">
                  <c:v>-1.0596601142857144E-3</c:v>
                </c:pt>
                <c:pt idx="22">
                  <c:v>-1.2344853714285715E-3</c:v>
                </c:pt>
                <c:pt idx="23">
                  <c:v>-1.3975460000000002E-3</c:v>
                </c:pt>
                <c:pt idx="24">
                  <c:v>-1.5444489142857143E-3</c:v>
                </c:pt>
                <c:pt idx="25">
                  <c:v>-1.6846166285714287E-3</c:v>
                </c:pt>
                <c:pt idx="26">
                  <c:v>-1.8263416571428573E-3</c:v>
                </c:pt>
                <c:pt idx="27">
                  <c:v>-1.9920576000000004E-3</c:v>
                </c:pt>
                <c:pt idx="28">
                  <c:v>-2.1900582857142855E-3</c:v>
                </c:pt>
                <c:pt idx="29">
                  <c:v>-2.4504237714285718E-3</c:v>
                </c:pt>
                <c:pt idx="30">
                  <c:v>-2.8145985714285717E-3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-5.2781071428571432E-4</c:v>
                </c:pt>
                <c:pt idx="1">
                  <c:v>-5.2780317142857151E-4</c:v>
                </c:pt>
                <c:pt idx="2">
                  <c:v>-5.2780959428571435E-4</c:v>
                </c:pt>
                <c:pt idx="3">
                  <c:v>-5.2784711428571437E-4</c:v>
                </c:pt>
                <c:pt idx="4">
                  <c:v>-5.2820610285714297E-4</c:v>
                </c:pt>
                <c:pt idx="5">
                  <c:v>-5.3132425714285715E-4</c:v>
                </c:pt>
                <c:pt idx="6">
                  <c:v>-5.4216279428571435E-4</c:v>
                </c:pt>
                <c:pt idx="7">
                  <c:v>-5.5038337142857149E-4</c:v>
                </c:pt>
                <c:pt idx="8">
                  <c:v>-5.5811092000000002E-4</c:v>
                </c:pt>
                <c:pt idx="9">
                  <c:v>-5.6713196571428579E-4</c:v>
                </c:pt>
                <c:pt idx="10">
                  <c:v>-5.7693480000000003E-4</c:v>
                </c:pt>
                <c:pt idx="11">
                  <c:v>-5.8849794285714295E-4</c:v>
                </c:pt>
                <c:pt idx="12">
                  <c:v>-6.0169605714285716E-4</c:v>
                </c:pt>
                <c:pt idx="13">
                  <c:v>-6.1693605714285718E-4</c:v>
                </c:pt>
                <c:pt idx="14">
                  <c:v>-6.3134834285714285E-4</c:v>
                </c:pt>
                <c:pt idx="15">
                  <c:v>-6.481961714285714E-4</c:v>
                </c:pt>
                <c:pt idx="16">
                  <c:v>-6.7047302857142863E-4</c:v>
                </c:pt>
                <c:pt idx="17">
                  <c:v>-7.0504165714285728E-4</c:v>
                </c:pt>
                <c:pt idx="18">
                  <c:v>-7.793978857142858E-4</c:v>
                </c:pt>
                <c:pt idx="19">
                  <c:v>-9.2856325714285712E-4</c:v>
                </c:pt>
                <c:pt idx="20">
                  <c:v>-1.1236970857142858E-3</c:v>
                </c:pt>
                <c:pt idx="21">
                  <c:v>-1.3216305714285716E-3</c:v>
                </c:pt>
                <c:pt idx="22">
                  <c:v>-1.5099526857142859E-3</c:v>
                </c:pt>
                <c:pt idx="23">
                  <c:v>-1.6873612000000001E-3</c:v>
                </c:pt>
                <c:pt idx="24">
                  <c:v>-1.8756650285714287E-3</c:v>
                </c:pt>
                <c:pt idx="25">
                  <c:v>-2.0839046857142858E-3</c:v>
                </c:pt>
                <c:pt idx="26">
                  <c:v>-2.3419146285714289E-3</c:v>
                </c:pt>
                <c:pt idx="27">
                  <c:v>-2.686055542857143E-3</c:v>
                </c:pt>
                <c:pt idx="28">
                  <c:v>-3.2099524E-3</c:v>
                </c:pt>
                <c:pt idx="29">
                  <c:v>-4.0818608571428572E-3</c:v>
                </c:pt>
                <c:pt idx="30">
                  <c:v>-5.5902430857142863E-3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-5.3091504571428573E-4</c:v>
                </c:pt>
                <c:pt idx="1">
                  <c:v>-5.3097552000000003E-4</c:v>
                </c:pt>
                <c:pt idx="2">
                  <c:v>-5.316390914285714E-4</c:v>
                </c:pt>
                <c:pt idx="3">
                  <c:v>-5.367964742857143E-4</c:v>
                </c:pt>
                <c:pt idx="4">
                  <c:v>-5.4753407428571432E-4</c:v>
                </c:pt>
                <c:pt idx="5">
                  <c:v>-5.5545164000000004E-4</c:v>
                </c:pt>
                <c:pt idx="6">
                  <c:v>-5.6348080000000005E-4</c:v>
                </c:pt>
                <c:pt idx="7">
                  <c:v>-5.7273514285714289E-4</c:v>
                </c:pt>
                <c:pt idx="8">
                  <c:v>-5.8296645714285718E-4</c:v>
                </c:pt>
                <c:pt idx="9">
                  <c:v>-5.9499394285714288E-4</c:v>
                </c:pt>
                <c:pt idx="10">
                  <c:v>-6.0864839999999996E-4</c:v>
                </c:pt>
                <c:pt idx="11">
                  <c:v>-6.2406720000000003E-4</c:v>
                </c:pt>
                <c:pt idx="12">
                  <c:v>-6.3871062857142865E-4</c:v>
                </c:pt>
                <c:pt idx="13">
                  <c:v>-6.5660079999999997E-4</c:v>
                </c:pt>
                <c:pt idx="14">
                  <c:v>-6.7950274285714289E-4</c:v>
                </c:pt>
                <c:pt idx="15">
                  <c:v>-7.0670925714285716E-4</c:v>
                </c:pt>
                <c:pt idx="16">
                  <c:v>-7.3743742857142864E-4</c:v>
                </c:pt>
                <c:pt idx="17">
                  <c:v>-7.9729805714285717E-4</c:v>
                </c:pt>
                <c:pt idx="18">
                  <c:v>-9.3838194285714291E-4</c:v>
                </c:pt>
                <c:pt idx="19">
                  <c:v>-1.1411583428571428E-3</c:v>
                </c:pt>
                <c:pt idx="20">
                  <c:v>-1.363100342857143E-3</c:v>
                </c:pt>
                <c:pt idx="21">
                  <c:v>-1.5828392571428573E-3</c:v>
                </c:pt>
                <c:pt idx="22">
                  <c:v>-1.8098891428571431E-3</c:v>
                </c:pt>
                <c:pt idx="23">
                  <c:v>-2.0538577714285717E-3</c:v>
                </c:pt>
                <c:pt idx="24">
                  <c:v>-2.3467463428571431E-3</c:v>
                </c:pt>
                <c:pt idx="25">
                  <c:v>-2.7357348571428572E-3</c:v>
                </c:pt>
                <c:pt idx="26">
                  <c:v>-3.3312539428571432E-3</c:v>
                </c:pt>
                <c:pt idx="27">
                  <c:v>-4.3332200000000005E-3</c:v>
                </c:pt>
                <c:pt idx="28">
                  <c:v>-6.0493674285714292E-3</c:v>
                </c:pt>
                <c:pt idx="29">
                  <c:v>-8.7255600000000003E-3</c:v>
                </c:pt>
                <c:pt idx="30">
                  <c:v>-1.2177281142857144E-2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-5.3875919428571434E-4</c:v>
                </c:pt>
                <c:pt idx="1">
                  <c:v>-5.5183846857142854E-4</c:v>
                </c:pt>
                <c:pt idx="2">
                  <c:v>-5.5994022285714288E-4</c:v>
                </c:pt>
                <c:pt idx="3">
                  <c:v>-5.6813518285714294E-4</c:v>
                </c:pt>
                <c:pt idx="4">
                  <c:v>-5.7749040000000008E-4</c:v>
                </c:pt>
                <c:pt idx="5">
                  <c:v>-5.8790091428571434E-4</c:v>
                </c:pt>
                <c:pt idx="6">
                  <c:v>-6.0010474285714284E-4</c:v>
                </c:pt>
                <c:pt idx="7">
                  <c:v>-6.139406857142858E-4</c:v>
                </c:pt>
                <c:pt idx="8">
                  <c:v>-6.2946365714285719E-4</c:v>
                </c:pt>
                <c:pt idx="9">
                  <c:v>-6.4424862857142857E-4</c:v>
                </c:pt>
                <c:pt idx="10">
                  <c:v>-6.6256257142857146E-4</c:v>
                </c:pt>
                <c:pt idx="11">
                  <c:v>-6.858794285714287E-4</c:v>
                </c:pt>
                <c:pt idx="12">
                  <c:v>-7.1274022857142861E-4</c:v>
                </c:pt>
                <c:pt idx="13">
                  <c:v>-7.3821708571428582E-4</c:v>
                </c:pt>
                <c:pt idx="14">
                  <c:v>-7.6294337142857147E-4</c:v>
                </c:pt>
                <c:pt idx="15">
                  <c:v>-7.9293365714285728E-4</c:v>
                </c:pt>
                <c:pt idx="16">
                  <c:v>-8.4745777142857144E-4</c:v>
                </c:pt>
                <c:pt idx="17">
                  <c:v>-9.8356862857142862E-4</c:v>
                </c:pt>
                <c:pt idx="18">
                  <c:v>-1.209907542857143E-3</c:v>
                </c:pt>
                <c:pt idx="19">
                  <c:v>-1.4887029142857144E-3</c:v>
                </c:pt>
                <c:pt idx="20">
                  <c:v>-1.7958230857142859E-3</c:v>
                </c:pt>
                <c:pt idx="21">
                  <c:v>-2.1445940000000001E-3</c:v>
                </c:pt>
                <c:pt idx="22">
                  <c:v>-2.5784199428571428E-3</c:v>
                </c:pt>
                <c:pt idx="23">
                  <c:v>-3.2087566285714285E-3</c:v>
                </c:pt>
                <c:pt idx="24">
                  <c:v>-4.2453798857142863E-3</c:v>
                </c:pt>
                <c:pt idx="25">
                  <c:v>-5.9978668571428568E-3</c:v>
                </c:pt>
                <c:pt idx="26">
                  <c:v>-8.7140394285714282E-3</c:v>
                </c:pt>
                <c:pt idx="27">
                  <c:v>-1.2172076571428572E-2</c:v>
                </c:pt>
                <c:pt idx="28">
                  <c:v>-1.5275055428571429E-2</c:v>
                </c:pt>
                <c:pt idx="29">
                  <c:v>-1.7486284571428572E-2</c:v>
                </c:pt>
                <c:pt idx="30">
                  <c:v>-1.8844651428571429E-2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-6.2079731428571429E-4</c:v>
                </c:pt>
                <c:pt idx="1">
                  <c:v>-6.3928611428571433E-4</c:v>
                </c:pt>
                <c:pt idx="2">
                  <c:v>-6.558840571428572E-4</c:v>
                </c:pt>
                <c:pt idx="3">
                  <c:v>-6.7472948571428574E-4</c:v>
                </c:pt>
                <c:pt idx="4">
                  <c:v>-7.0008291428571429E-4</c:v>
                </c:pt>
                <c:pt idx="5">
                  <c:v>-7.2712519999999998E-4</c:v>
                </c:pt>
                <c:pt idx="6">
                  <c:v>-7.5195502857142865E-4</c:v>
                </c:pt>
                <c:pt idx="7">
                  <c:v>-7.768190857142857E-4</c:v>
                </c:pt>
                <c:pt idx="8">
                  <c:v>-8.0414577142857145E-4</c:v>
                </c:pt>
                <c:pt idx="9">
                  <c:v>-8.3242857142857153E-4</c:v>
                </c:pt>
                <c:pt idx="10">
                  <c:v>-8.6485817142857157E-4</c:v>
                </c:pt>
                <c:pt idx="11">
                  <c:v>-9.0430200000000006E-4</c:v>
                </c:pt>
                <c:pt idx="12">
                  <c:v>-9.539845714285714E-4</c:v>
                </c:pt>
                <c:pt idx="13">
                  <c:v>-1.0185461142857143E-3</c:v>
                </c:pt>
                <c:pt idx="14">
                  <c:v>-1.1103050857142859E-3</c:v>
                </c:pt>
                <c:pt idx="15">
                  <c:v>-1.2787949142857144E-3</c:v>
                </c:pt>
                <c:pt idx="16">
                  <c:v>-1.6690684000000003E-3</c:v>
                </c:pt>
                <c:pt idx="17">
                  <c:v>-2.4705964000000004E-3</c:v>
                </c:pt>
                <c:pt idx="18">
                  <c:v>-3.9668505142857148E-3</c:v>
                </c:pt>
                <c:pt idx="19">
                  <c:v>-6.4758148571428583E-3</c:v>
                </c:pt>
                <c:pt idx="20">
                  <c:v>-9.8433360000000011E-3</c:v>
                </c:pt>
                <c:pt idx="21">
                  <c:v>-1.3177162285714288E-2</c:v>
                </c:pt>
                <c:pt idx="22">
                  <c:v>-1.5779164571428573E-2</c:v>
                </c:pt>
                <c:pt idx="23">
                  <c:v>-1.7653537714285714E-2</c:v>
                </c:pt>
                <c:pt idx="24">
                  <c:v>-1.9022550285714285E-2</c:v>
                </c:pt>
                <c:pt idx="25">
                  <c:v>-1.9828010857142857E-2</c:v>
                </c:pt>
                <c:pt idx="26">
                  <c:v>-2.0948164000000002E-2</c:v>
                </c:pt>
                <c:pt idx="27">
                  <c:v>-2.1848025714285717E-2</c:v>
                </c:pt>
                <c:pt idx="28">
                  <c:v>-2.1887568571428574E-2</c:v>
                </c:pt>
                <c:pt idx="29">
                  <c:v>-2.213290285714286E-2</c:v>
                </c:pt>
                <c:pt idx="30">
                  <c:v>-2.2144656000000002E-2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-7.5780891428571431E-4</c:v>
                </c:pt>
                <c:pt idx="1">
                  <c:v>-7.9098565714285718E-4</c:v>
                </c:pt>
                <c:pt idx="2">
                  <c:v>-8.179954857142857E-4</c:v>
                </c:pt>
                <c:pt idx="3">
                  <c:v>-8.486698857142858E-4</c:v>
                </c:pt>
                <c:pt idx="4">
                  <c:v>-8.8110862857142865E-4</c:v>
                </c:pt>
                <c:pt idx="5">
                  <c:v>-9.2443062857142859E-4</c:v>
                </c:pt>
                <c:pt idx="6">
                  <c:v>-9.7719491428571443E-4</c:v>
                </c:pt>
                <c:pt idx="7">
                  <c:v>-1.0469790285714286E-3</c:v>
                </c:pt>
                <c:pt idx="8">
                  <c:v>-1.1422493142857143E-3</c:v>
                </c:pt>
                <c:pt idx="9">
                  <c:v>-1.2866492E-3</c:v>
                </c:pt>
                <c:pt idx="10">
                  <c:v>-1.5242370285714288E-3</c:v>
                </c:pt>
                <c:pt idx="11">
                  <c:v>-1.9320319428571429E-3</c:v>
                </c:pt>
                <c:pt idx="12">
                  <c:v>-2.5970217714285713E-3</c:v>
                </c:pt>
                <c:pt idx="13">
                  <c:v>-3.5571900571428573E-3</c:v>
                </c:pt>
                <c:pt idx="14">
                  <c:v>-4.6141837142857148E-3</c:v>
                </c:pt>
                <c:pt idx="15">
                  <c:v>-5.6234140000000002E-3</c:v>
                </c:pt>
                <c:pt idx="16">
                  <c:v>-6.7562577142857147E-3</c:v>
                </c:pt>
                <c:pt idx="17">
                  <c:v>-8.7672800000000006E-3</c:v>
                </c:pt>
                <c:pt idx="18">
                  <c:v>-1.1606206285714286E-2</c:v>
                </c:pt>
                <c:pt idx="19">
                  <c:v>-1.4358287428571431E-2</c:v>
                </c:pt>
                <c:pt idx="20">
                  <c:v>-1.7147691428571431E-2</c:v>
                </c:pt>
                <c:pt idx="21">
                  <c:v>-1.9091066285714286E-2</c:v>
                </c:pt>
                <c:pt idx="22">
                  <c:v>-2.0249506285714286E-2</c:v>
                </c:pt>
                <c:pt idx="23">
                  <c:v>-2.0991990857142859E-2</c:v>
                </c:pt>
                <c:pt idx="24">
                  <c:v>-2.1482561714285715E-2</c:v>
                </c:pt>
                <c:pt idx="25">
                  <c:v>-2.1599005142857144E-2</c:v>
                </c:pt>
                <c:pt idx="26">
                  <c:v>-2.1741901142857144E-2</c:v>
                </c:pt>
                <c:pt idx="27">
                  <c:v>-2.2120389142857143E-2</c:v>
                </c:pt>
                <c:pt idx="28">
                  <c:v>-2.2129644E-2</c:v>
                </c:pt>
                <c:pt idx="29">
                  <c:v>-2.2296514285714285E-2</c:v>
                </c:pt>
                <c:pt idx="30">
                  <c:v>-2.2364841142857143E-2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48769168"/>
        <c:axId val="44877073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87691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770736"/>
        <c:crossesAt val="-8.0000000000000019E-3"/>
        <c:crossBetween val="midCat"/>
      </c:valAx>
      <c:valAx>
        <c:axId val="448770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769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19220.867104717185</c:v>
                </c:pt>
                <c:pt idx="1">
                  <c:v>19221.146195609606</c:v>
                </c:pt>
                <c:pt idx="2">
                  <c:v>19221.046127292553</c:v>
                </c:pt>
                <c:pt idx="3">
                  <c:v>19221.019527029144</c:v>
                </c:pt>
                <c:pt idx="4">
                  <c:v>19221.011715854664</c:v>
                </c:pt>
                <c:pt idx="5">
                  <c:v>19221.009393614826</c:v>
                </c:pt>
                <c:pt idx="6">
                  <c:v>19221.008549164115</c:v>
                </c:pt>
                <c:pt idx="7">
                  <c:v>19221.008126938788</c:v>
                </c:pt>
                <c:pt idx="8">
                  <c:v>19221.007704713476</c:v>
                </c:pt>
                <c:pt idx="9">
                  <c:v>19221.004538024255</c:v>
                </c:pt>
                <c:pt idx="10">
                  <c:v>19220.972871189388</c:v>
                </c:pt>
                <c:pt idx="11">
                  <c:v>19220.656630789352</c:v>
                </c:pt>
                <c:pt idx="12">
                  <c:v>19217.522022648805</c:v>
                </c:pt>
                <c:pt idx="13">
                  <c:v>19187.591036210943</c:v>
                </c:pt>
                <c:pt idx="14">
                  <c:v>18970.268873208846</c:v>
                </c:pt>
                <c:pt idx="15">
                  <c:v>18608.554780097496</c:v>
                </c:pt>
                <c:pt idx="16">
                  <c:v>18345.117555460878</c:v>
                </c:pt>
                <c:pt idx="17">
                  <c:v>18078.455061098099</c:v>
                </c:pt>
                <c:pt idx="18">
                  <c:v>17780.594314231279</c:v>
                </c:pt>
                <c:pt idx="19">
                  <c:v>17407.484442433797</c:v>
                </c:pt>
                <c:pt idx="20">
                  <c:v>16718.585038318521</c:v>
                </c:pt>
                <c:pt idx="21">
                  <c:v>15028.920796385088</c:v>
                </c:pt>
                <c:pt idx="22">
                  <c:v>12746.65041699392</c:v>
                </c:pt>
                <c:pt idx="23">
                  <c:v>10873.102690179574</c:v>
                </c:pt>
                <c:pt idx="24">
                  <c:v>9527.8337696808976</c:v>
                </c:pt>
                <c:pt idx="25">
                  <c:v>8510.2356007664657</c:v>
                </c:pt>
                <c:pt idx="26">
                  <c:v>7716.426358042535</c:v>
                </c:pt>
                <c:pt idx="27">
                  <c:v>7124.3048713961189</c:v>
                </c:pt>
                <c:pt idx="28">
                  <c:v>6663.5722306479402</c:v>
                </c:pt>
                <c:pt idx="29">
                  <c:v>6260.5649269057576</c:v>
                </c:pt>
                <c:pt idx="30">
                  <c:v>5921.9085031973564</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19053.991531948868</c:v>
                </c:pt>
                <c:pt idx="1">
                  <c:v>19054.273681410777</c:v>
                </c:pt>
                <c:pt idx="2">
                  <c:v>19054.174720684852</c:v>
                </c:pt>
                <c:pt idx="3">
                  <c:v>19054.146505655717</c:v>
                </c:pt>
                <c:pt idx="4">
                  <c:v>19054.116838472557</c:v>
                </c:pt>
                <c:pt idx="5">
                  <c:v>19053.894026357066</c:v>
                </c:pt>
                <c:pt idx="6">
                  <c:v>19051.703110669547</c:v>
                </c:pt>
                <c:pt idx="7">
                  <c:v>19030.589388771721</c:v>
                </c:pt>
                <c:pt idx="8">
                  <c:v>18863.153726575543</c:v>
                </c:pt>
                <c:pt idx="9">
                  <c:v>18488.086541148401</c:v>
                </c:pt>
                <c:pt idx="10">
                  <c:v>18222.589450786771</c:v>
                </c:pt>
                <c:pt idx="11">
                  <c:v>17964.450754061414</c:v>
                </c:pt>
                <c:pt idx="12">
                  <c:v>17674.400378292765</c:v>
                </c:pt>
                <c:pt idx="13">
                  <c:v>17365.881560123013</c:v>
                </c:pt>
                <c:pt idx="14">
                  <c:v>17016.033381762583</c:v>
                </c:pt>
                <c:pt idx="15">
                  <c:v>16634.973082237128</c:v>
                </c:pt>
                <c:pt idx="16">
                  <c:v>16220.589637898043</c:v>
                </c:pt>
                <c:pt idx="17">
                  <c:v>15812.650988227435</c:v>
                </c:pt>
                <c:pt idx="18">
                  <c:v>15176.869063947086</c:v>
                </c:pt>
                <c:pt idx="19">
                  <c:v>13642.979595559715</c:v>
                </c:pt>
                <c:pt idx="20">
                  <c:v>11370.548032476103</c:v>
                </c:pt>
                <c:pt idx="21">
                  <c:v>9436.9882051668101</c:v>
                </c:pt>
                <c:pt idx="22">
                  <c:v>8100.5415142569063</c:v>
                </c:pt>
                <c:pt idx="23">
                  <c:v>7155.399536043893</c:v>
                </c:pt>
                <c:pt idx="24">
                  <c:v>6474.8014048913092</c:v>
                </c:pt>
                <c:pt idx="25">
                  <c:v>5936.0686760406115</c:v>
                </c:pt>
                <c:pt idx="26">
                  <c:v>5475.4267696242969</c:v>
                </c:pt>
                <c:pt idx="27">
                  <c:v>5019.9351665333361</c:v>
                </c:pt>
                <c:pt idx="28">
                  <c:v>4566.0885215840317</c:v>
                </c:pt>
                <c:pt idx="29">
                  <c:v>4080.9267836028635</c:v>
                </c:pt>
                <c:pt idx="30">
                  <c:v>3552.9045248269349</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18946.186065080146</c:v>
                </c:pt>
                <c:pt idx="1">
                  <c:v>18946.45682581564</c:v>
                </c:pt>
                <c:pt idx="2">
                  <c:v>18946.226268457696</c:v>
                </c:pt>
                <c:pt idx="3">
                  <c:v>18944.879548185188</c:v>
                </c:pt>
                <c:pt idx="4">
                  <c:v>18932.003901334268</c:v>
                </c:pt>
                <c:pt idx="5">
                  <c:v>18820.898661344763</c:v>
                </c:pt>
                <c:pt idx="6">
                  <c:v>18444.644496815286</c:v>
                </c:pt>
                <c:pt idx="7">
                  <c:v>18169.153573888081</c:v>
                </c:pt>
                <c:pt idx="8">
                  <c:v>17917.585271400887</c:v>
                </c:pt>
                <c:pt idx="9">
                  <c:v>17632.580430209568</c:v>
                </c:pt>
                <c:pt idx="10">
                  <c:v>17332.981127156829</c:v>
                </c:pt>
                <c:pt idx="11">
                  <c:v>16992.41283911758</c:v>
                </c:pt>
                <c:pt idx="12">
                  <c:v>16619.686769238309</c:v>
                </c:pt>
                <c:pt idx="13">
                  <c:v>16209.135264863289</c:v>
                </c:pt>
                <c:pt idx="14">
                  <c:v>15839.116571915563</c:v>
                </c:pt>
                <c:pt idx="15">
                  <c:v>15427.42836317718</c:v>
                </c:pt>
                <c:pt idx="16">
                  <c:v>14914.843064316723</c:v>
                </c:pt>
                <c:pt idx="17">
                  <c:v>14183.559082912139</c:v>
                </c:pt>
                <c:pt idx="18">
                  <c:v>12830.417150587233</c:v>
                </c:pt>
                <c:pt idx="19">
                  <c:v>10769.325539295516</c:v>
                </c:pt>
                <c:pt idx="20">
                  <c:v>8899.1954567929042</c:v>
                </c:pt>
                <c:pt idx="21">
                  <c:v>7566.4109291833647</c:v>
                </c:pt>
                <c:pt idx="22">
                  <c:v>6622.7240724893854</c:v>
                </c:pt>
                <c:pt idx="23">
                  <c:v>5926.4133844016324</c:v>
                </c:pt>
                <c:pt idx="24">
                  <c:v>5331.4423671994064</c:v>
                </c:pt>
                <c:pt idx="25">
                  <c:v>4798.683965035746</c:v>
                </c:pt>
                <c:pt idx="26">
                  <c:v>4270.0104768977053</c:v>
                </c:pt>
                <c:pt idx="27">
                  <c:v>3722.9312054221532</c:v>
                </c:pt>
                <c:pt idx="28">
                  <c:v>3115.3109933966621</c:v>
                </c:pt>
                <c:pt idx="29">
                  <c:v>2449.8630281580959</c:v>
                </c:pt>
                <c:pt idx="30">
                  <c:v>1788.8309768773254</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18835.405175881086</c:v>
                </c:pt>
                <c:pt idx="1">
                  <c:v>18833.259958952531</c:v>
                </c:pt>
                <c:pt idx="2">
                  <c:v>18809.75300956317</c:v>
                </c:pt>
                <c:pt idx="3">
                  <c:v>18629.034427445622</c:v>
                </c:pt>
                <c:pt idx="4">
                  <c:v>18263.70352027041</c:v>
                </c:pt>
                <c:pt idx="5">
                  <c:v>18003.367493882994</c:v>
                </c:pt>
                <c:pt idx="6">
                  <c:v>17746.833609947313</c:v>
                </c:pt>
                <c:pt idx="7">
                  <c:v>17460.077532721432</c:v>
                </c:pt>
                <c:pt idx="8">
                  <c:v>17153.645595683865</c:v>
                </c:pt>
                <c:pt idx="9">
                  <c:v>16806.893784464937</c:v>
                </c:pt>
                <c:pt idx="10">
                  <c:v>16429.846854111503</c:v>
                </c:pt>
                <c:pt idx="11">
                  <c:v>16023.915373216218</c:v>
                </c:pt>
                <c:pt idx="12">
                  <c:v>15656.542341195242</c:v>
                </c:pt>
                <c:pt idx="13">
                  <c:v>15229.954029906758</c:v>
                </c:pt>
                <c:pt idx="14">
                  <c:v>14716.644053491889</c:v>
                </c:pt>
                <c:pt idx="15">
                  <c:v>14150.090576751223</c:v>
                </c:pt>
                <c:pt idx="16">
                  <c:v>13560.472539849385</c:v>
                </c:pt>
                <c:pt idx="17">
                  <c:v>12542.360928151909</c:v>
                </c:pt>
                <c:pt idx="18">
                  <c:v>10656.641547846128</c:v>
                </c:pt>
                <c:pt idx="19">
                  <c:v>8763.0257996999644</c:v>
                </c:pt>
                <c:pt idx="20">
                  <c:v>7336.2170675119769</c:v>
                </c:pt>
                <c:pt idx="21">
                  <c:v>6317.7609191035253</c:v>
                </c:pt>
                <c:pt idx="22">
                  <c:v>5525.2002806170285</c:v>
                </c:pt>
                <c:pt idx="23">
                  <c:v>4868.8863168185435</c:v>
                </c:pt>
                <c:pt idx="24">
                  <c:v>4261.2189555284822</c:v>
                </c:pt>
                <c:pt idx="25">
                  <c:v>3655.3249939008292</c:v>
                </c:pt>
                <c:pt idx="26">
                  <c:v>3001.8726196007801</c:v>
                </c:pt>
                <c:pt idx="27">
                  <c:v>2307.7526643004508</c:v>
                </c:pt>
                <c:pt idx="28">
                  <c:v>1653.0654019740243</c:v>
                </c:pt>
                <c:pt idx="29">
                  <c:v>1146.0582472643589</c:v>
                </c:pt>
                <c:pt idx="30">
                  <c:v>821.201373499184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18561.168154648341</c:v>
                </c:pt>
                <c:pt idx="1">
                  <c:v>18121.244837982198</c:v>
                </c:pt>
                <c:pt idx="2">
                  <c:v>17859.049219529443</c:v>
                </c:pt>
                <c:pt idx="3">
                  <c:v>17601.444694395013</c:v>
                </c:pt>
                <c:pt idx="4">
                  <c:v>17316.305171479904</c:v>
                </c:pt>
                <c:pt idx="5">
                  <c:v>17009.669073486239</c:v>
                </c:pt>
                <c:pt idx="6">
                  <c:v>16663.757650688218</c:v>
                </c:pt>
                <c:pt idx="7">
                  <c:v>16288.218443065973</c:v>
                </c:pt>
                <c:pt idx="8">
                  <c:v>15886.540686701621</c:v>
                </c:pt>
                <c:pt idx="9">
                  <c:v>15521.957760584179</c:v>
                </c:pt>
                <c:pt idx="10">
                  <c:v>15092.91413554903</c:v>
                </c:pt>
                <c:pt idx="11">
                  <c:v>14579.822026195356</c:v>
                </c:pt>
                <c:pt idx="12">
                  <c:v>14030.357203273577</c:v>
                </c:pt>
                <c:pt idx="13">
                  <c:v>13546.150845755861</c:v>
                </c:pt>
                <c:pt idx="14">
                  <c:v>13107.132684402939</c:v>
                </c:pt>
                <c:pt idx="15">
                  <c:v>12611.395556133355</c:v>
                </c:pt>
                <c:pt idx="16">
                  <c:v>11799.997990628914</c:v>
                </c:pt>
                <c:pt idx="17">
                  <c:v>10167.058718133751</c:v>
                </c:pt>
                <c:pt idx="18">
                  <c:v>8265.0943529002579</c:v>
                </c:pt>
                <c:pt idx="19">
                  <c:v>6717.2569516988151</c:v>
                </c:pt>
                <c:pt idx="20">
                  <c:v>5568.477251211255</c:v>
                </c:pt>
                <c:pt idx="21">
                  <c:v>4662.8872411281573</c:v>
                </c:pt>
                <c:pt idx="22">
                  <c:v>3878.344188153857</c:v>
                </c:pt>
                <c:pt idx="23">
                  <c:v>3116.4719414859778</c:v>
                </c:pt>
                <c:pt idx="24">
                  <c:v>2355.5018088369488</c:v>
                </c:pt>
                <c:pt idx="25">
                  <c:v>1667.2594170860937</c:v>
                </c:pt>
                <c:pt idx="26">
                  <c:v>1147.5734166650875</c:v>
                </c:pt>
                <c:pt idx="27">
                  <c:v>821.55250513892827</c:v>
                </c:pt>
                <c:pt idx="28">
                  <c:v>654.66210887165539</c:v>
                </c:pt>
                <c:pt idx="29">
                  <c:v>571.87677343072266</c:v>
                </c:pt>
                <c:pt idx="30">
                  <c:v>530.65454874046873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16108.317110723878</c:v>
                </c:pt>
                <c:pt idx="1">
                  <c:v>15642.448313104966</c:v>
                </c:pt>
                <c:pt idx="2">
                  <c:v>15246.597155542559</c:v>
                </c:pt>
                <c:pt idx="3">
                  <c:v>14820.754408581606</c:v>
                </c:pt>
                <c:pt idx="4">
                  <c:v>14284.022357841532</c:v>
                </c:pt>
                <c:pt idx="5">
                  <c:v>13752.789753401477</c:v>
                </c:pt>
                <c:pt idx="6">
                  <c:v>13298.667633087174</c:v>
                </c:pt>
                <c:pt idx="7">
                  <c:v>12873.010182036134</c:v>
                </c:pt>
                <c:pt idx="8">
                  <c:v>12435.556282581601</c:v>
                </c:pt>
                <c:pt idx="9">
                  <c:v>12013.042732109147</c:v>
                </c:pt>
                <c:pt idx="10">
                  <c:v>11562.58948618363</c:v>
                </c:pt>
                <c:pt idx="11">
                  <c:v>11058.252663380154</c:v>
                </c:pt>
                <c:pt idx="12">
                  <c:v>10482.349819374138</c:v>
                </c:pt>
                <c:pt idx="13">
                  <c:v>9817.9158113158155</c:v>
                </c:pt>
                <c:pt idx="14">
                  <c:v>9006.5335452973814</c:v>
                </c:pt>
                <c:pt idx="15">
                  <c:v>7819.862190792036</c:v>
                </c:pt>
                <c:pt idx="16">
                  <c:v>5991.3662016487751</c:v>
                </c:pt>
                <c:pt idx="17">
                  <c:v>4047.605671246019</c:v>
                </c:pt>
                <c:pt idx="18">
                  <c:v>2520.8915647280537</c:v>
                </c:pt>
                <c:pt idx="19">
                  <c:v>1544.2072110770657</c:v>
                </c:pt>
                <c:pt idx="20">
                  <c:v>1015.9157423865241</c:v>
                </c:pt>
                <c:pt idx="21">
                  <c:v>758.88873364193637</c:v>
                </c:pt>
                <c:pt idx="22">
                  <c:v>633.74711346296874</c:v>
                </c:pt>
                <c:pt idx="23">
                  <c:v>566.45869863850191</c:v>
                </c:pt>
                <c:pt idx="24">
                  <c:v>525.69186832482103</c:v>
                </c:pt>
                <c:pt idx="25">
                  <c:v>504.33702462885191</c:v>
                </c:pt>
                <c:pt idx="26">
                  <c:v>477.36880425415796</c:v>
                </c:pt>
                <c:pt idx="27">
                  <c:v>457.70726063643014</c:v>
                </c:pt>
                <c:pt idx="28">
                  <c:v>456.88035047683292</c:v>
                </c:pt>
                <c:pt idx="29">
                  <c:v>451.81601638723777</c:v>
                </c:pt>
                <c:pt idx="30">
                  <c:v>451.57621775655485</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13195.938727410814</c:v>
                </c:pt>
                <c:pt idx="1">
                  <c:v>12642.454271701079</c:v>
                </c:pt>
                <c:pt idx="2">
                  <c:v>12225.006341285432</c:v>
                </c:pt>
                <c:pt idx="3">
                  <c:v>11783.144622344491</c:v>
                </c:pt>
                <c:pt idx="4">
                  <c:v>11349.338408152171</c:v>
                </c:pt>
                <c:pt idx="5">
                  <c:v>10817.469359981644</c:v>
                </c:pt>
                <c:pt idx="6">
                  <c:v>10233.372947207314</c:v>
                </c:pt>
                <c:pt idx="7">
                  <c:v>9551.2896888151608</c:v>
                </c:pt>
                <c:pt idx="8">
                  <c:v>8754.6561638807598</c:v>
                </c:pt>
                <c:pt idx="9">
                  <c:v>7772.1262330089658</c:v>
                </c:pt>
                <c:pt idx="10">
                  <c:v>6560.6594070033643</c:v>
                </c:pt>
                <c:pt idx="11">
                  <c:v>5175.897860783668</c:v>
                </c:pt>
                <c:pt idx="12">
                  <c:v>3850.5645620749624</c:v>
                </c:pt>
                <c:pt idx="13">
                  <c:v>2811.2076777904922</c:v>
                </c:pt>
                <c:pt idx="14">
                  <c:v>2167.2305697407674</c:v>
                </c:pt>
                <c:pt idx="15">
                  <c:v>1778.2791734700663</c:v>
                </c:pt>
                <c:pt idx="16">
                  <c:v>1480.1093183369221</c:v>
                </c:pt>
                <c:pt idx="17">
                  <c:v>1140.6046116925659</c:v>
                </c:pt>
                <c:pt idx="18">
                  <c:v>861.60798402391697</c:v>
                </c:pt>
                <c:pt idx="19">
                  <c:v>696.46189002325491</c:v>
                </c:pt>
                <c:pt idx="20">
                  <c:v>583.16887970925518</c:v>
                </c:pt>
                <c:pt idx="21">
                  <c:v>523.80521079029154</c:v>
                </c:pt>
                <c:pt idx="22">
                  <c:v>493.83920076386482</c:v>
                </c:pt>
                <c:pt idx="23">
                  <c:v>476.37215869867538</c:v>
                </c:pt>
                <c:pt idx="24">
                  <c:v>465.4938332307961</c:v>
                </c:pt>
                <c:pt idx="25">
                  <c:v>462.98428718634898</c:v>
                </c:pt>
                <c:pt idx="26">
                  <c:v>459.94137928850324</c:v>
                </c:pt>
                <c:pt idx="27">
                  <c:v>452.07161300003997</c:v>
                </c:pt>
                <c:pt idx="28">
                  <c:v>451.88255174823416</c:v>
                </c:pt>
                <c:pt idx="29">
                  <c:v>448.50059842794133</c:v>
                </c:pt>
                <c:pt idx="30">
                  <c:v>447.13038362867104</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48769952"/>
        <c:axId val="44877034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876995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770344"/>
        <c:crosses val="autoZero"/>
        <c:crossBetween val="midCat"/>
      </c:valAx>
      <c:valAx>
        <c:axId val="44877034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769952"/>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22077.11293330136</c:v>
                </c:pt>
                <c:pt idx="1">
                  <c:v>22078.352945786577</c:v>
                </c:pt>
                <c:pt idx="2">
                  <c:v>22078.244313789179</c:v>
                </c:pt>
                <c:pt idx="3">
                  <c:v>22078.212560022632</c:v>
                </c:pt>
                <c:pt idx="4">
                  <c:v>22078.201696912922</c:v>
                </c:pt>
                <c:pt idx="5">
                  <c:v>22078.199190042968</c:v>
                </c:pt>
                <c:pt idx="6">
                  <c:v>22078.197518796656</c:v>
                </c:pt>
                <c:pt idx="7">
                  <c:v>22078.197518796649</c:v>
                </c:pt>
                <c:pt idx="8">
                  <c:v>22078.197518796638</c:v>
                </c:pt>
                <c:pt idx="9">
                  <c:v>22078.201696912933</c:v>
                </c:pt>
                <c:pt idx="10">
                  <c:v>22078.240135656793</c:v>
                </c:pt>
                <c:pt idx="11">
                  <c:v>22078.632887014399</c:v>
                </c:pt>
                <c:pt idx="12">
                  <c:v>22082.530239028241</c:v>
                </c:pt>
                <c:pt idx="13">
                  <c:v>22119.923684493697</c:v>
                </c:pt>
                <c:pt idx="14">
                  <c:v>22402.40153744481</c:v>
                </c:pt>
                <c:pt idx="15">
                  <c:v>22925.061824306722</c:v>
                </c:pt>
                <c:pt idx="16">
                  <c:v>23339.443599667724</c:v>
                </c:pt>
                <c:pt idx="17">
                  <c:v>23806.038411165402</c:v>
                </c:pt>
                <c:pt idx="18">
                  <c:v>24385.225134222183</c:v>
                </c:pt>
                <c:pt idx="19">
                  <c:v>24985.658945641175</c:v>
                </c:pt>
                <c:pt idx="20">
                  <c:v>25229.351383362831</c:v>
                </c:pt>
                <c:pt idx="21">
                  <c:v>23465.955404171989</c:v>
                </c:pt>
                <c:pt idx="22">
                  <c:v>19732.611611372275</c:v>
                </c:pt>
                <c:pt idx="23">
                  <c:v>16293.696505117547</c:v>
                </c:pt>
                <c:pt idx="24">
                  <c:v>13829.534502452147</c:v>
                </c:pt>
                <c:pt idx="25">
                  <c:v>12019.209306357014</c:v>
                </c:pt>
                <c:pt idx="26">
                  <c:v>10596.770898685134</c:v>
                </c:pt>
                <c:pt idx="27">
                  <c:v>9505.7307878181327</c:v>
                </c:pt>
                <c:pt idx="28">
                  <c:v>8684.1294883700029</c:v>
                </c:pt>
                <c:pt idx="29">
                  <c:v>8025.4550926029715</c:v>
                </c:pt>
                <c:pt idx="30">
                  <c:v>7552.7560006646436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21874.164680336275</c:v>
                </c:pt>
                <c:pt idx="1">
                  <c:v>21875.490284426003</c:v>
                </c:pt>
                <c:pt idx="2">
                  <c:v>21875.38610056468</c:v>
                </c:pt>
                <c:pt idx="3">
                  <c:v>21875.358208990678</c:v>
                </c:pt>
                <c:pt idx="4">
                  <c:v>21875.375436130926</c:v>
                </c:pt>
                <c:pt idx="5">
                  <c:v>21875.639589012484</c:v>
                </c:pt>
                <c:pt idx="6">
                  <c:v>21878.301162166608</c:v>
                </c:pt>
                <c:pt idx="7">
                  <c:v>21904.062584037278</c:v>
                </c:pt>
                <c:pt idx="8">
                  <c:v>22114.554250325065</c:v>
                </c:pt>
                <c:pt idx="9">
                  <c:v>22636.187647942024</c:v>
                </c:pt>
                <c:pt idx="10">
                  <c:v>23039.585984695968</c:v>
                </c:pt>
                <c:pt idx="11">
                  <c:v>23474.488248107809</c:v>
                </c:pt>
                <c:pt idx="12">
                  <c:v>24028.010014215506</c:v>
                </c:pt>
                <c:pt idx="13">
                  <c:v>24698.563209776745</c:v>
                </c:pt>
                <c:pt idx="14">
                  <c:v>25585.152167180811</c:v>
                </c:pt>
                <c:pt idx="15">
                  <c:v>26734.282708959516</c:v>
                </c:pt>
                <c:pt idx="16">
                  <c:v>28089.588258641987</c:v>
                </c:pt>
                <c:pt idx="17">
                  <c:v>29711.982567521412</c:v>
                </c:pt>
                <c:pt idx="18">
                  <c:v>31118.270802857416</c:v>
                </c:pt>
                <c:pt idx="19">
                  <c:v>29575.131769042044</c:v>
                </c:pt>
                <c:pt idx="20">
                  <c:v>23463.157801025358</c:v>
                </c:pt>
                <c:pt idx="21">
                  <c:v>17473.618331043792</c:v>
                </c:pt>
                <c:pt idx="22">
                  <c:v>13557.378700195992</c:v>
                </c:pt>
                <c:pt idx="23">
                  <c:v>11073.621103208552</c:v>
                </c:pt>
                <c:pt idx="24">
                  <c:v>9404.2731512515529</c:v>
                </c:pt>
                <c:pt idx="25">
                  <c:v>8222.5138160550359</c:v>
                </c:pt>
                <c:pt idx="26">
                  <c:v>7332.5797117407874</c:v>
                </c:pt>
                <c:pt idx="27">
                  <c:v>6578.47302589234</c:v>
                </c:pt>
                <c:pt idx="28">
                  <c:v>5901.7368238160971</c:v>
                </c:pt>
                <c:pt idx="29">
                  <c:v>5234.1000602011209</c:v>
                </c:pt>
                <c:pt idx="30">
                  <c:v>4540.5084575532119</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21742.824013893041</c:v>
                </c:pt>
                <c:pt idx="1">
                  <c:v>21744.218041575314</c:v>
                </c:pt>
                <c:pt idx="2">
                  <c:v>21744.274779045543</c:v>
                </c:pt>
                <c:pt idx="3">
                  <c:v>21745.829500941531</c:v>
                </c:pt>
                <c:pt idx="4">
                  <c:v>21761.266373394414</c:v>
                </c:pt>
                <c:pt idx="5">
                  <c:v>21897.241301705664</c:v>
                </c:pt>
                <c:pt idx="6">
                  <c:v>22400.675819429198</c:v>
                </c:pt>
                <c:pt idx="7">
                  <c:v>22807.152260392086</c:v>
                </c:pt>
                <c:pt idx="8">
                  <c:v>23215.22263803118</c:v>
                </c:pt>
                <c:pt idx="9">
                  <c:v>23737.89157279889</c:v>
                </c:pt>
                <c:pt idx="10">
                  <c:v>24361.530231517503</c:v>
                </c:pt>
                <c:pt idx="11">
                  <c:v>25184.213890017851</c:v>
                </c:pt>
                <c:pt idx="12">
                  <c:v>26251.077606735766</c:v>
                </c:pt>
                <c:pt idx="13">
                  <c:v>27533.196460307085</c:v>
                </c:pt>
                <c:pt idx="14">
                  <c:v>29198.396564212995</c:v>
                </c:pt>
                <c:pt idx="15">
                  <c:v>31243.624069002512</c:v>
                </c:pt>
                <c:pt idx="16">
                  <c:v>34629.875886524846</c:v>
                </c:pt>
                <c:pt idx="17">
                  <c:v>39144.628576303541</c:v>
                </c:pt>
                <c:pt idx="18">
                  <c:v>38115.654395473255</c:v>
                </c:pt>
                <c:pt idx="19">
                  <c:v>27549.447953142146</c:v>
                </c:pt>
                <c:pt idx="20">
                  <c:v>18847.942254902329</c:v>
                </c:pt>
                <c:pt idx="21">
                  <c:v>13796.724796288985</c:v>
                </c:pt>
                <c:pt idx="22">
                  <c:v>10839.995594625787</c:v>
                </c:pt>
                <c:pt idx="23">
                  <c:v>8946.4858535865169</c:v>
                </c:pt>
                <c:pt idx="24">
                  <c:v>7609.7166776377044</c:v>
                </c:pt>
                <c:pt idx="25">
                  <c:v>6581.082509099756</c:v>
                </c:pt>
                <c:pt idx="26">
                  <c:v>5707.0522468566833</c:v>
                </c:pt>
                <c:pt idx="27">
                  <c:v>4901.3067275840267</c:v>
                </c:pt>
                <c:pt idx="28">
                  <c:v>4071.8305342290523</c:v>
                </c:pt>
                <c:pt idx="29">
                  <c:v>3201.8582633951432</c:v>
                </c:pt>
                <c:pt idx="30">
                  <c:v>2353.0684240833825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21607.980195039068</c:v>
                </c:pt>
                <c:pt idx="1">
                  <c:v>21612.28965190726</c:v>
                </c:pt>
                <c:pt idx="2">
                  <c:v>21639.920405157689</c:v>
                </c:pt>
                <c:pt idx="3">
                  <c:v>21861.025612639936</c:v>
                </c:pt>
                <c:pt idx="4">
                  <c:v>22356.685120896589</c:v>
                </c:pt>
                <c:pt idx="5">
                  <c:v>22741.801785132677</c:v>
                </c:pt>
                <c:pt idx="6">
                  <c:v>23163.215268174965</c:v>
                </c:pt>
                <c:pt idx="7">
                  <c:v>23696.683106206725</c:v>
                </c:pt>
                <c:pt idx="8">
                  <c:v>24346.185281092145</c:v>
                </c:pt>
                <c:pt idx="9">
                  <c:v>25203.327484433135</c:v>
                </c:pt>
                <c:pt idx="10">
                  <c:v>26313.114636767765</c:v>
                </c:pt>
                <c:pt idx="11">
                  <c:v>27619.123013616882</c:v>
                </c:pt>
                <c:pt idx="12">
                  <c:v>29329.20324521096</c:v>
                </c:pt>
                <c:pt idx="13">
                  <c:v>31564.484853718845</c:v>
                </c:pt>
                <c:pt idx="14">
                  <c:v>35425.421047323616</c:v>
                </c:pt>
                <c:pt idx="15">
                  <c:v>41753.585702503391</c:v>
                </c:pt>
                <c:pt idx="16">
                  <c:v>49740.722928824689</c:v>
                </c:pt>
                <c:pt idx="17">
                  <c:v>50815.115098268368</c:v>
                </c:pt>
                <c:pt idx="18">
                  <c:v>35799.167732765876</c:v>
                </c:pt>
                <c:pt idx="19">
                  <c:v>22048.935230459032</c:v>
                </c:pt>
                <c:pt idx="20">
                  <c:v>14952.76379195938</c:v>
                </c:pt>
                <c:pt idx="21">
                  <c:v>11155.676444840181</c:v>
                </c:pt>
                <c:pt idx="22">
                  <c:v>8832.4901585871066</c:v>
                </c:pt>
                <c:pt idx="23">
                  <c:v>7244.1369784340341</c:v>
                </c:pt>
                <c:pt idx="24">
                  <c:v>6037.1268119875549</c:v>
                </c:pt>
                <c:pt idx="25">
                  <c:v>5018.5531608740539</c:v>
                </c:pt>
                <c:pt idx="26">
                  <c:v>4053.281332744843</c:v>
                </c:pt>
                <c:pt idx="27">
                  <c:v>3098.9559316424861</c:v>
                </c:pt>
                <c:pt idx="28">
                  <c:v>2227.2603275070496</c:v>
                </c:pt>
                <c:pt idx="29">
                  <c:v>1559.9187523003231</c:v>
                </c:pt>
                <c:pt idx="30">
                  <c:v>1133.7393389954989</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21586.906808299471</c:v>
                </c:pt>
                <c:pt idx="1">
                  <c:v>22176.891810527537</c:v>
                </c:pt>
                <c:pt idx="2">
                  <c:v>22559.065595768479</c:v>
                </c:pt>
                <c:pt idx="3">
                  <c:v>22976.965198497666</c:v>
                </c:pt>
                <c:pt idx="4">
                  <c:v>23501.057561019414</c:v>
                </c:pt>
                <c:pt idx="5">
                  <c:v>24143.930051806245</c:v>
                </c:pt>
                <c:pt idx="6">
                  <c:v>24990.1952753851</c:v>
                </c:pt>
                <c:pt idx="7">
                  <c:v>26084.746090634377</c:v>
                </c:pt>
                <c:pt idx="8">
                  <c:v>27363.900091930205</c:v>
                </c:pt>
                <c:pt idx="9">
                  <c:v>29042.692126785088</c:v>
                </c:pt>
                <c:pt idx="10">
                  <c:v>31271.504743708578</c:v>
                </c:pt>
                <c:pt idx="11">
                  <c:v>35119.126887934013</c:v>
                </c:pt>
                <c:pt idx="12">
                  <c:v>41423.269452970897</c:v>
                </c:pt>
                <c:pt idx="13">
                  <c:v>50598.783107940209</c:v>
                </c:pt>
                <c:pt idx="14">
                  <c:v>65001.528093066168</c:v>
                </c:pt>
                <c:pt idx="15">
                  <c:v>93203.355661661641</c:v>
                </c:pt>
                <c:pt idx="16">
                  <c:v>120011.3345562145</c:v>
                </c:pt>
                <c:pt idx="17">
                  <c:v>68723.485988223809</c:v>
                </c:pt>
                <c:pt idx="18">
                  <c:v>30918.78800471163</c:v>
                </c:pt>
                <c:pt idx="19">
                  <c:v>17544.308150233417</c:v>
                </c:pt>
                <c:pt idx="20">
                  <c:v>11643.607666044836</c:v>
                </c:pt>
                <c:pt idx="21">
                  <c:v>8411.2176035345219</c:v>
                </c:pt>
                <c:pt idx="22">
                  <c:v>6330.5121315583183</c:v>
                </c:pt>
                <c:pt idx="23">
                  <c:v>4771.8930156855977</c:v>
                </c:pt>
                <c:pt idx="24">
                  <c:v>3466.060474476345</c:v>
                </c:pt>
                <c:pt idx="25">
                  <c:v>2410.4416254123034</c:v>
                </c:pt>
                <c:pt idx="26">
                  <c:v>1650.4388913117341</c:v>
                </c:pt>
                <c:pt idx="27">
                  <c:v>1182.2643751491598</c:v>
                </c:pt>
                <c:pt idx="28">
                  <c:v>940.93564166891053</c:v>
                </c:pt>
                <c:pt idx="29">
                  <c:v>819.53517089041009</c:v>
                </c:pt>
                <c:pt idx="30">
                  <c:v>757.89722411263494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25393.568386649978</c:v>
                </c:pt>
                <c:pt idx="1">
                  <c:v>27084.539949588099</c:v>
                </c:pt>
                <c:pt idx="2">
                  <c:v>28720.160081905295</c:v>
                </c:pt>
                <c:pt idx="3">
                  <c:v>31249.646209362581</c:v>
                </c:pt>
                <c:pt idx="4">
                  <c:v>35310.084689321317</c:v>
                </c:pt>
                <c:pt idx="5">
                  <c:v>41770.992704588716</c:v>
                </c:pt>
                <c:pt idx="6">
                  <c:v>50867.30499030355</c:v>
                </c:pt>
                <c:pt idx="7">
                  <c:v>66813.304689896933</c:v>
                </c:pt>
                <c:pt idx="8">
                  <c:v>100166.13841907137</c:v>
                </c:pt>
                <c:pt idx="9">
                  <c:v>239209.07365124312</c:v>
                </c:pt>
                <c:pt idx="10">
                  <c:v>-434146.00503808621</c:v>
                </c:pt>
                <c:pt idx="11">
                  <c:v>-92783.81561830506</c:v>
                </c:pt>
                <c:pt idx="12">
                  <c:v>-45575.380585679479</c:v>
                </c:pt>
                <c:pt idx="13">
                  <c:v>-27037.651675818404</c:v>
                </c:pt>
                <c:pt idx="14">
                  <c:v>-17295.988625367216</c:v>
                </c:pt>
                <c:pt idx="15">
                  <c:v>-11681.794590661575</c:v>
                </c:pt>
                <c:pt idx="16">
                  <c:v>-8676.3168132790815</c:v>
                </c:pt>
                <c:pt idx="17">
                  <c:v>-7132.3818572909804</c:v>
                </c:pt>
                <c:pt idx="18">
                  <c:v>-7054.6668959634899</c:v>
                </c:pt>
                <c:pt idx="19">
                  <c:v>-15303.918327797739</c:v>
                </c:pt>
                <c:pt idx="20">
                  <c:v>7171.6561722797296</c:v>
                </c:pt>
                <c:pt idx="21">
                  <c:v>2267.6512678891745</c:v>
                </c:pt>
                <c:pt idx="22">
                  <c:v>1342.8118972213299</c:v>
                </c:pt>
                <c:pt idx="23">
                  <c:v>1013.4861415615435</c:v>
                </c:pt>
                <c:pt idx="24">
                  <c:v>858.34766896561644</c:v>
                </c:pt>
                <c:pt idx="25">
                  <c:v>778.81671928129947</c:v>
                </c:pt>
                <c:pt idx="26">
                  <c:v>722.35727551437105</c:v>
                </c:pt>
                <c:pt idx="27">
                  <c:v>681.03462936558253</c:v>
                </c:pt>
                <c:pt idx="28">
                  <c:v>684.04508615430552</c:v>
                </c:pt>
                <c:pt idx="29">
                  <c:v>659.83679031254007</c:v>
                </c:pt>
                <c:pt idx="30">
                  <c:v>659.39001525263291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48341.983233453284</c:v>
                </c:pt>
                <c:pt idx="1">
                  <c:v>67941.212759188784</c:v>
                </c:pt>
                <c:pt idx="2">
                  <c:v>106581.8494399214</c:v>
                </c:pt>
                <c:pt idx="3">
                  <c:v>288758.29313817841</c:v>
                </c:pt>
                <c:pt idx="4">
                  <c:v>-288065.55911220331</c:v>
                </c:pt>
                <c:pt idx="5">
                  <c:v>-79234.14359526879</c:v>
                </c:pt>
                <c:pt idx="6">
                  <c:v>-40714.818197634682</c:v>
                </c:pt>
                <c:pt idx="7">
                  <c:v>-24326.385022731254</c:v>
                </c:pt>
                <c:pt idx="8">
                  <c:v>-15427.768378593551</c:v>
                </c:pt>
                <c:pt idx="9">
                  <c:v>-9752.6488612277735</c:v>
                </c:pt>
                <c:pt idx="10">
                  <c:v>-5964.337623498428</c:v>
                </c:pt>
                <c:pt idx="11">
                  <c:v>-3517.5701927614382</c:v>
                </c:pt>
                <c:pt idx="12">
                  <c:v>-2082.5065038760617</c:v>
                </c:pt>
                <c:pt idx="13">
                  <c:v>-1304.5671943275686</c:v>
                </c:pt>
                <c:pt idx="14">
                  <c:v>-933.54237214130342</c:v>
                </c:pt>
                <c:pt idx="15">
                  <c:v>-775.18717459109746</c:v>
                </c:pt>
                <c:pt idx="16">
                  <c:v>-751.2831465372966</c:v>
                </c:pt>
                <c:pt idx="17">
                  <c:v>-886.01771893675016</c:v>
                </c:pt>
                <c:pt idx="18">
                  <c:v>-1513.0564232573886</c:v>
                </c:pt>
                <c:pt idx="19">
                  <c:v>-9284.3564959459982</c:v>
                </c:pt>
                <c:pt idx="20">
                  <c:v>2810.2536037086306</c:v>
                </c:pt>
                <c:pt idx="21">
                  <c:v>1316.3498626257301</c:v>
                </c:pt>
                <c:pt idx="22">
                  <c:v>956.82091385254694</c:v>
                </c:pt>
                <c:pt idx="23">
                  <c:v>811.61046333774709</c:v>
                </c:pt>
                <c:pt idx="24">
                  <c:v>738.99446163767857</c:v>
                </c:pt>
                <c:pt idx="25">
                  <c:v>724.39732522703719</c:v>
                </c:pt>
                <c:pt idx="26">
                  <c:v>707.07422101532052</c:v>
                </c:pt>
                <c:pt idx="27">
                  <c:v>666.37704016566681</c:v>
                </c:pt>
                <c:pt idx="28">
                  <c:v>665.87819078840846</c:v>
                </c:pt>
                <c:pt idx="29">
                  <c:v>649.26387204203775</c:v>
                </c:pt>
                <c:pt idx="30">
                  <c:v>641.08087260851198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52137168"/>
        <c:axId val="4521414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521371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41480"/>
        <c:crosses val="autoZero"/>
        <c:crossBetween val="midCat"/>
        <c:majorUnit val="10000"/>
      </c:valAx>
      <c:valAx>
        <c:axId val="45214148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37168"/>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0.35489597935815076</c:v>
                </c:pt>
                <c:pt idx="1">
                  <c:v>0.35490202218430006</c:v>
                </c:pt>
                <c:pt idx="2">
                  <c:v>0.3549020636626749</c:v>
                </c:pt>
                <c:pt idx="3">
                  <c:v>0.35490205578029937</c:v>
                </c:pt>
                <c:pt idx="4">
                  <c:v>0.35490204335390357</c:v>
                </c:pt>
                <c:pt idx="5">
                  <c:v>0.35490204440916467</c:v>
                </c:pt>
                <c:pt idx="6">
                  <c:v>0.35490203980042623</c:v>
                </c:pt>
                <c:pt idx="7">
                  <c:v>0.35490204298777367</c:v>
                </c:pt>
                <c:pt idx="8">
                  <c:v>0.354902046175121</c:v>
                </c:pt>
                <c:pt idx="9">
                  <c:v>0.35490209753879987</c:v>
                </c:pt>
                <c:pt idx="10">
                  <c:v>0.35490258920783019</c:v>
                </c:pt>
                <c:pt idx="11">
                  <c:v>0.35490755753802411</c:v>
                </c:pt>
                <c:pt idx="12">
                  <c:v>0.35495682322457078</c:v>
                </c:pt>
                <c:pt idx="13">
                  <c:v>0.35542753741007366</c:v>
                </c:pt>
                <c:pt idx="14">
                  <c:v>0.35886729716974969</c:v>
                </c:pt>
                <c:pt idx="15">
                  <c:v>0.36471461580118525</c:v>
                </c:pt>
                <c:pt idx="16">
                  <c:v>0.368997751402251</c:v>
                </c:pt>
                <c:pt idx="17">
                  <c:v>0.37343228673851209</c:v>
                </c:pt>
                <c:pt idx="18">
                  <c:v>0.37847426589692063</c:v>
                </c:pt>
                <c:pt idx="19">
                  <c:v>0.38388349439235298</c:v>
                </c:pt>
                <c:pt idx="20">
                  <c:v>0.38955598590785695</c:v>
                </c:pt>
                <c:pt idx="21">
                  <c:v>0.3932572703907245</c:v>
                </c:pt>
                <c:pt idx="22">
                  <c:v>0.39233854200316304</c:v>
                </c:pt>
                <c:pt idx="23">
                  <c:v>0.38878007018680982</c:v>
                </c:pt>
                <c:pt idx="24">
                  <c:v>0.38517528954678487</c:v>
                </c:pt>
                <c:pt idx="25">
                  <c:v>0.38199118893972828</c:v>
                </c:pt>
                <c:pt idx="26">
                  <c:v>0.37863557002696607</c:v>
                </c:pt>
                <c:pt idx="27">
                  <c:v>0.37508754752929113</c:v>
                </c:pt>
                <c:pt idx="28">
                  <c:v>0.37211206681544845</c:v>
                </c:pt>
                <c:pt idx="29">
                  <c:v>0.36998525619072381</c:v>
                </c:pt>
                <c:pt idx="30">
                  <c:v>0.36932124505994396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0.35482118738094864</c:v>
                </c:pt>
                <c:pt idx="1">
                  <c:v>0.35482783521903322</c:v>
                </c:pt>
                <c:pt idx="2">
                  <c:v>0.35482789779427787</c:v>
                </c:pt>
                <c:pt idx="3">
                  <c:v>0.354827927664711</c:v>
                </c:pt>
                <c:pt idx="4">
                  <c:v>0.35482826802139189</c:v>
                </c:pt>
                <c:pt idx="5">
                  <c:v>0.35483171856662499</c:v>
                </c:pt>
                <c:pt idx="6">
                  <c:v>0.35486606897663669</c:v>
                </c:pt>
                <c:pt idx="7">
                  <c:v>0.35519741436275554</c:v>
                </c:pt>
                <c:pt idx="8">
                  <c:v>0.35783756168709369</c:v>
                </c:pt>
                <c:pt idx="9">
                  <c:v>0.36387514519750819</c:v>
                </c:pt>
                <c:pt idx="10">
                  <c:v>0.36817913117817369</c:v>
                </c:pt>
                <c:pt idx="11">
                  <c:v>0.3724540831718347</c:v>
                </c:pt>
                <c:pt idx="12">
                  <c:v>0.37740418808551496</c:v>
                </c:pt>
                <c:pt idx="13">
                  <c:v>0.38281449537080187</c:v>
                </c:pt>
                <c:pt idx="14">
                  <c:v>0.389154242855551</c:v>
                </c:pt>
                <c:pt idx="15">
                  <c:v>0.39629437438480308</c:v>
                </c:pt>
                <c:pt idx="16">
                  <c:v>0.40375680905594591</c:v>
                </c:pt>
                <c:pt idx="17">
                  <c:v>0.41130037097382799</c:v>
                </c:pt>
                <c:pt idx="18">
                  <c:v>0.41871405087546681</c:v>
                </c:pt>
                <c:pt idx="19">
                  <c:v>0.42311682834247144</c:v>
                </c:pt>
                <c:pt idx="20">
                  <c:v>0.41923118981609542</c:v>
                </c:pt>
                <c:pt idx="21">
                  <c:v>0.40998822695277171</c:v>
                </c:pt>
                <c:pt idx="22">
                  <c:v>0.40041657150459081</c:v>
                </c:pt>
                <c:pt idx="23">
                  <c:v>0.3923056353269026</c:v>
                </c:pt>
                <c:pt idx="24">
                  <c:v>0.38525072058989801</c:v>
                </c:pt>
                <c:pt idx="25">
                  <c:v>0.37967855068746292</c:v>
                </c:pt>
                <c:pt idx="26">
                  <c:v>0.37554569276491812</c:v>
                </c:pt>
                <c:pt idx="27">
                  <c:v>0.37281913936625122</c:v>
                </c:pt>
                <c:pt idx="28">
                  <c:v>0.37105240773761544</c:v>
                </c:pt>
                <c:pt idx="29">
                  <c:v>0.37005321715082468</c:v>
                </c:pt>
                <c:pt idx="30">
                  <c:v>0.36958492431552026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0.35477058198623695</c:v>
                </c:pt>
                <c:pt idx="1">
                  <c:v>0.35477781733677666</c:v>
                </c:pt>
                <c:pt idx="2">
                  <c:v>0.35477996345413693</c:v>
                </c:pt>
                <c:pt idx="3">
                  <c:v>0.35480066766085783</c:v>
                </c:pt>
                <c:pt idx="4">
                  <c:v>0.35500228114419569</c:v>
                </c:pt>
                <c:pt idx="5">
                  <c:v>0.3567483273195185</c:v>
                </c:pt>
                <c:pt idx="6">
                  <c:v>0.36276720216317948</c:v>
                </c:pt>
                <c:pt idx="7">
                  <c:v>0.3672262004593369</c:v>
                </c:pt>
                <c:pt idx="8">
                  <c:v>0.37136611789334945</c:v>
                </c:pt>
                <c:pt idx="9">
                  <c:v>0.37619947643528545</c:v>
                </c:pt>
                <c:pt idx="10">
                  <c:v>0.38141836081700342</c:v>
                </c:pt>
                <c:pt idx="11">
                  <c:v>0.38754587223220294</c:v>
                </c:pt>
                <c:pt idx="12">
                  <c:v>0.39448251091367348</c:v>
                </c:pt>
                <c:pt idx="13">
                  <c:v>0.40188126002592905</c:v>
                </c:pt>
                <c:pt idx="14">
                  <c:v>0.40958911883464649</c:v>
                </c:pt>
                <c:pt idx="15">
                  <c:v>0.41770359114388039</c:v>
                </c:pt>
                <c:pt idx="16">
                  <c:v>0.42821784330005652</c:v>
                </c:pt>
                <c:pt idx="17">
                  <c:v>0.43961044976552138</c:v>
                </c:pt>
                <c:pt idx="18">
                  <c:v>0.44389699213231482</c:v>
                </c:pt>
                <c:pt idx="19">
                  <c:v>0.43484850974380884</c:v>
                </c:pt>
                <c:pt idx="20">
                  <c:v>0.42130709958998103</c:v>
                </c:pt>
                <c:pt idx="21">
                  <c:v>0.40859653237872606</c:v>
                </c:pt>
                <c:pt idx="22">
                  <c:v>0.39817455774962407</c:v>
                </c:pt>
                <c:pt idx="23">
                  <c:v>0.38959513486840536</c:v>
                </c:pt>
                <c:pt idx="24">
                  <c:v>0.38323169370053223</c:v>
                </c:pt>
                <c:pt idx="25">
                  <c:v>0.37847278016444513</c:v>
                </c:pt>
                <c:pt idx="26">
                  <c:v>0.37530017563651091</c:v>
                </c:pt>
                <c:pt idx="27">
                  <c:v>0.37340344754492044</c:v>
                </c:pt>
                <c:pt idx="28">
                  <c:v>0.37248523863291111</c:v>
                </c:pt>
                <c:pt idx="29">
                  <c:v>0.37247702080976652</c:v>
                </c:pt>
                <c:pt idx="30">
                  <c:v>0.37329799121232177</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0.35471875817893839</c:v>
                </c:pt>
                <c:pt idx="1">
                  <c:v>0.35476427021935553</c:v>
                </c:pt>
                <c:pt idx="2">
                  <c:v>0.35513075943754374</c:v>
                </c:pt>
                <c:pt idx="3">
                  <c:v>0.35797376910597761</c:v>
                </c:pt>
                <c:pt idx="4">
                  <c:v>0.36384606795456531</c:v>
                </c:pt>
                <c:pt idx="5">
                  <c:v>0.36805965167887011</c:v>
                </c:pt>
                <c:pt idx="6">
                  <c:v>0.37230591403596053</c:v>
                </c:pt>
                <c:pt idx="7">
                  <c:v>0.37719745801225502</c:v>
                </c:pt>
                <c:pt idx="8">
                  <c:v>0.38257129814771013</c:v>
                </c:pt>
                <c:pt idx="9">
                  <c:v>0.38885797060695171</c:v>
                </c:pt>
                <c:pt idx="10">
                  <c:v>0.39593372556541445</c:v>
                </c:pt>
                <c:pt idx="11">
                  <c:v>0.40330422291518786</c:v>
                </c:pt>
                <c:pt idx="12">
                  <c:v>0.41102984620086391</c:v>
                </c:pt>
                <c:pt idx="13">
                  <c:v>0.41958285765110254</c:v>
                </c:pt>
                <c:pt idx="14">
                  <c:v>0.43076231879816651</c:v>
                </c:pt>
                <c:pt idx="15">
                  <c:v>0.44351746347578624</c:v>
                </c:pt>
                <c:pt idx="16">
                  <c:v>0.45456280842810487</c:v>
                </c:pt>
                <c:pt idx="17">
                  <c:v>0.45886276191674802</c:v>
                </c:pt>
                <c:pt idx="18">
                  <c:v>0.45038692134131919</c:v>
                </c:pt>
                <c:pt idx="19">
                  <c:v>0.43376077870951285</c:v>
                </c:pt>
                <c:pt idx="20">
                  <c:v>0.41822897347961724</c:v>
                </c:pt>
                <c:pt idx="21">
                  <c:v>0.40561216449846527</c:v>
                </c:pt>
                <c:pt idx="22">
                  <c:v>0.3957409861882622</c:v>
                </c:pt>
                <c:pt idx="23">
                  <c:v>0.38798098997590896</c:v>
                </c:pt>
                <c:pt idx="24">
                  <c:v>0.38236073526821734</c:v>
                </c:pt>
                <c:pt idx="25">
                  <c:v>0.37860628097626842</c:v>
                </c:pt>
                <c:pt idx="26">
                  <c:v>0.37656615413665595</c:v>
                </c:pt>
                <c:pt idx="27">
                  <c:v>0.37588547480692353</c:v>
                </c:pt>
                <c:pt idx="28">
                  <c:v>0.37630053975891509</c:v>
                </c:pt>
                <c:pt idx="29">
                  <c:v>0.37755150222040601</c:v>
                </c:pt>
                <c:pt idx="30">
                  <c:v>0.3792783394951591</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0.35669424279974371</c:v>
                </c:pt>
                <c:pt idx="1">
                  <c:v>0.36381285985426876</c:v>
                </c:pt>
                <c:pt idx="2">
                  <c:v>0.36805711474976932</c:v>
                </c:pt>
                <c:pt idx="3">
                  <c:v>0.37232543156202752</c:v>
                </c:pt>
                <c:pt idx="4">
                  <c:v>0.37719485157551658</c:v>
                </c:pt>
                <c:pt idx="5">
                  <c:v>0.38258146708104163</c:v>
                </c:pt>
                <c:pt idx="6">
                  <c:v>0.38886469628682918</c:v>
                </c:pt>
                <c:pt idx="7">
                  <c:v>0.39592756377954424</c:v>
                </c:pt>
                <c:pt idx="8">
                  <c:v>0.40323905685148376</c:v>
                </c:pt>
                <c:pt idx="9">
                  <c:v>0.41092447804756133</c:v>
                </c:pt>
                <c:pt idx="10">
                  <c:v>0.41955981300310613</c:v>
                </c:pt>
                <c:pt idx="11">
                  <c:v>0.43080778045953932</c:v>
                </c:pt>
                <c:pt idx="12">
                  <c:v>0.44354880968854687</c:v>
                </c:pt>
                <c:pt idx="13">
                  <c:v>0.45538051176429006</c:v>
                </c:pt>
                <c:pt idx="14">
                  <c:v>0.46639275755272308</c:v>
                </c:pt>
                <c:pt idx="15">
                  <c:v>0.47744824481442832</c:v>
                </c:pt>
                <c:pt idx="16">
                  <c:v>0.48361266176195816</c:v>
                </c:pt>
                <c:pt idx="17">
                  <c:v>0.47534307577694779</c:v>
                </c:pt>
                <c:pt idx="18">
                  <c:v>0.45544729226535463</c:v>
                </c:pt>
                <c:pt idx="19">
                  <c:v>0.43618769029269239</c:v>
                </c:pt>
                <c:pt idx="20">
                  <c:v>0.42029278480629212</c:v>
                </c:pt>
                <c:pt idx="21">
                  <c:v>0.4076057819268889</c:v>
                </c:pt>
                <c:pt idx="22">
                  <c:v>0.397892826900479</c:v>
                </c:pt>
                <c:pt idx="23">
                  <c:v>0.39115179478242412</c:v>
                </c:pt>
                <c:pt idx="24">
                  <c:v>0.38673491484147576</c:v>
                </c:pt>
                <c:pt idx="25">
                  <c:v>0.38471964365997935</c:v>
                </c:pt>
                <c:pt idx="26">
                  <c:v>0.38411431824728953</c:v>
                </c:pt>
                <c:pt idx="27">
                  <c:v>0.38418375754079576</c:v>
                </c:pt>
                <c:pt idx="28">
                  <c:v>0.38404057977325279</c:v>
                </c:pt>
                <c:pt idx="29">
                  <c:v>0.38369895648501395</c:v>
                </c:pt>
                <c:pt idx="30">
                  <c:v>0.38330551692727372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0.39427561036024372</c:v>
                </c:pt>
                <c:pt idx="1">
                  <c:v>0.4037430680490301</c:v>
                </c:pt>
                <c:pt idx="2">
                  <c:v>0.41152209741599799</c:v>
                </c:pt>
                <c:pt idx="3">
                  <c:v>0.42095508159629863</c:v>
                </c:pt>
                <c:pt idx="4">
                  <c:v>0.4325781738016175</c:v>
                </c:pt>
                <c:pt idx="5">
                  <c:v>0.44512623528539907</c:v>
                </c:pt>
                <c:pt idx="6">
                  <c:v>0.45642693069866719</c:v>
                </c:pt>
                <c:pt idx="7">
                  <c:v>0.46788810691277705</c:v>
                </c:pt>
                <c:pt idx="8">
                  <c:v>0.47930844947728379</c:v>
                </c:pt>
                <c:pt idx="9">
                  <c:v>0.49163002574223441</c:v>
                </c:pt>
                <c:pt idx="10">
                  <c:v>0.50443882524619388</c:v>
                </c:pt>
                <c:pt idx="11">
                  <c:v>0.51986383183620388</c:v>
                </c:pt>
                <c:pt idx="12">
                  <c:v>0.53833337825768979</c:v>
                </c:pt>
                <c:pt idx="13">
                  <c:v>0.56052002302217097</c:v>
                </c:pt>
                <c:pt idx="14">
                  <c:v>0.58678826962308783</c:v>
                </c:pt>
                <c:pt idx="15">
                  <c:v>0.61156764956078513</c:v>
                </c:pt>
                <c:pt idx="16">
                  <c:v>0.61509043008662778</c:v>
                </c:pt>
                <c:pt idx="17">
                  <c:v>0.59458284184799615</c:v>
                </c:pt>
                <c:pt idx="18">
                  <c:v>0.55955612083707895</c:v>
                </c:pt>
                <c:pt idx="19">
                  <c:v>0.51681712245192568</c:v>
                </c:pt>
                <c:pt idx="20">
                  <c:v>0.47639048968183723</c:v>
                </c:pt>
                <c:pt idx="21">
                  <c:v>0.44422358614041935</c:v>
                </c:pt>
                <c:pt idx="22">
                  <c:v>0.42134079305592781</c:v>
                </c:pt>
                <c:pt idx="23">
                  <c:v>0.40684649820573399</c:v>
                </c:pt>
                <c:pt idx="24">
                  <c:v>0.39792561387968323</c:v>
                </c:pt>
                <c:pt idx="25">
                  <c:v>0.39207194877757212</c:v>
                </c:pt>
                <c:pt idx="26">
                  <c:v>0.38985856435232907</c:v>
                </c:pt>
                <c:pt idx="27">
                  <c:v>0.38798727678434231</c:v>
                </c:pt>
                <c:pt idx="28">
                  <c:v>0.38868171613136165</c:v>
                </c:pt>
                <c:pt idx="29">
                  <c:v>0.38587682514307076</c:v>
                </c:pt>
                <c:pt idx="30">
                  <c:v>0.38586011128695918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0.45450490496812768</c:v>
                </c:pt>
                <c:pt idx="1">
                  <c:v>0.46898678097757085</c:v>
                </c:pt>
                <c:pt idx="2">
                  <c:v>0.48088322666957084</c:v>
                </c:pt>
                <c:pt idx="3">
                  <c:v>0.4931989574542967</c:v>
                </c:pt>
                <c:pt idx="4">
                  <c:v>0.50656640942148146</c:v>
                </c:pt>
                <c:pt idx="5">
                  <c:v>0.5227542253653461</c:v>
                </c:pt>
                <c:pt idx="6">
                  <c:v>0.54189045250279344</c:v>
                </c:pt>
                <c:pt idx="7">
                  <c:v>0.56543847815098824</c:v>
                </c:pt>
                <c:pt idx="8">
                  <c:v>0.59457682568474046</c:v>
                </c:pt>
                <c:pt idx="9">
                  <c:v>0.6328207741917089</c:v>
                </c:pt>
                <c:pt idx="10">
                  <c:v>0.68333020421120849</c:v>
                </c:pt>
                <c:pt idx="11">
                  <c:v>0.74524020735652441</c:v>
                </c:pt>
                <c:pt idx="12">
                  <c:v>0.80816746989810162</c:v>
                </c:pt>
                <c:pt idx="13">
                  <c:v>0.85914946735003972</c:v>
                </c:pt>
                <c:pt idx="14">
                  <c:v>0.88691880061992689</c:v>
                </c:pt>
                <c:pt idx="15">
                  <c:v>0.88233328924894572</c:v>
                </c:pt>
                <c:pt idx="16">
                  <c:v>0.82835141787283606</c:v>
                </c:pt>
                <c:pt idx="17">
                  <c:v>0.71455639605442056</c:v>
                </c:pt>
                <c:pt idx="18">
                  <c:v>0.59490811344728323</c:v>
                </c:pt>
                <c:pt idx="19">
                  <c:v>0.51250242617474107</c:v>
                </c:pt>
                <c:pt idx="20">
                  <c:v>0.46541421985666703</c:v>
                </c:pt>
                <c:pt idx="21">
                  <c:v>0.4336795855389774</c:v>
                </c:pt>
                <c:pt idx="22">
                  <c:v>0.41397916551672681</c:v>
                </c:pt>
                <c:pt idx="23">
                  <c:v>0.40217553448411786</c:v>
                </c:pt>
                <c:pt idx="24">
                  <c:v>0.39501639110185399</c:v>
                </c:pt>
                <c:pt idx="25">
                  <c:v>0.39347828163196613</c:v>
                </c:pt>
                <c:pt idx="26">
                  <c:v>0.39158578509903996</c:v>
                </c:pt>
                <c:pt idx="27">
                  <c:v>0.38693297594015463</c:v>
                </c:pt>
                <c:pt idx="28">
                  <c:v>0.38689559191669393</c:v>
                </c:pt>
                <c:pt idx="29">
                  <c:v>0.38486946069725192</c:v>
                </c:pt>
                <c:pt idx="30">
                  <c:v>0.38375611597713882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52136384"/>
        <c:axId val="45214187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21363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2141872"/>
        <c:crosses val="autoZero"/>
        <c:crossBetween val="midCat"/>
        <c:majorUnit val="10000"/>
      </c:valAx>
      <c:valAx>
        <c:axId val="452141872"/>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2136384"/>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2143048"/>
        <c:axId val="4521434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214304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43440"/>
        <c:crosses val="autoZero"/>
        <c:crossBetween val="midCat"/>
        <c:majorUnit val="10000"/>
      </c:valAx>
      <c:valAx>
        <c:axId val="452143440"/>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43048"/>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1.0067312593258947E-2</c:v>
                </c:pt>
                <c:pt idx="1">
                  <c:v>1.349732251792217E-2</c:v>
                </c:pt>
                <c:pt idx="2">
                  <c:v>3.6873192018934968E-3</c:v>
                </c:pt>
                <c:pt idx="3">
                  <c:v>6.2343464299865136E-4</c:v>
                </c:pt>
                <c:pt idx="4">
                  <c:v>8.9638770821850032E-5</c:v>
                </c:pt>
                <c:pt idx="5">
                  <c:v>9.5662616121816482E-6</c:v>
                </c:pt>
                <c:pt idx="6">
                  <c:v>4.7397261509161389E-6</c:v>
                </c:pt>
                <c:pt idx="7">
                  <c:v>1.878435307937081E-5</c:v>
                </c:pt>
                <c:pt idx="8">
                  <c:v>4.6255038761616384E-5</c:v>
                </c:pt>
                <c:pt idx="9">
                  <c:v>9.8228290764280243E-5</c:v>
                </c:pt>
                <c:pt idx="10">
                  <c:v>1.7495699789944679E-4</c:v>
                </c:pt>
                <c:pt idx="11">
                  <c:v>2.6707817102075178E-4</c:v>
                </c:pt>
                <c:pt idx="12">
                  <c:v>3.4901054588901207E-4</c:v>
                </c:pt>
                <c:pt idx="13">
                  <c:v>3.9290969171334474E-4</c:v>
                </c:pt>
                <c:pt idx="14">
                  <c:v>3.9091213865745844E-4</c:v>
                </c:pt>
                <c:pt idx="15">
                  <c:v>3.5096601386235883E-4</c:v>
                </c:pt>
                <c:pt idx="16">
                  <c:v>3.0980028440342653E-4</c:v>
                </c:pt>
                <c:pt idx="17">
                  <c:v>2.6094068288632532E-4</c:v>
                </c:pt>
                <c:pt idx="18">
                  <c:v>1.9794707460114999E-4</c:v>
                </c:pt>
                <c:pt idx="19">
                  <c:v>1.359075333871698E-4</c:v>
                </c:pt>
                <c:pt idx="20">
                  <c:v>8.0490517715463785E-5</c:v>
                </c:pt>
                <c:pt idx="21">
                  <c:v>4.8327791879072704E-5</c:v>
                </c:pt>
                <c:pt idx="22">
                  <c:v>4.7298664757714763E-5</c:v>
                </c:pt>
                <c:pt idx="23">
                  <c:v>7.3835695050132575E-5</c:v>
                </c:pt>
                <c:pt idx="24">
                  <c:v>8.4685316605758612E-5</c:v>
                </c:pt>
                <c:pt idx="25">
                  <c:v>1.838015630508695E-4</c:v>
                </c:pt>
                <c:pt idx="26">
                  <c:v>5.4898576921067822E-4</c:v>
                </c:pt>
                <c:pt idx="27">
                  <c:v>7.642189684380962E-4</c:v>
                </c:pt>
                <c:pt idx="28">
                  <c:v>1.0784998591530362E-3</c:v>
                </c:pt>
                <c:pt idx="29">
                  <c:v>1.4897650263776515E-3</c:v>
                </c:pt>
                <c:pt idx="30">
                  <c:v>8.514801677509215E-4</c:v>
                </c:pt>
              </c:numCache>
            </c:numRef>
          </c:yVal>
          <c:smooth val="1"/>
        </c:ser>
        <c:dLbls>
          <c:showLegendKey val="0"/>
          <c:showVal val="0"/>
          <c:showCatName val="0"/>
          <c:showSerName val="0"/>
          <c:showPercent val="0"/>
          <c:showBubbleSize val="0"/>
        </c:dLbls>
        <c:axId val="452136776"/>
        <c:axId val="452137952"/>
      </c:scatterChart>
      <c:valAx>
        <c:axId val="4521367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37952"/>
        <c:crossesAt val="-1.5000000000000005E-3"/>
        <c:crossBetween val="midCat"/>
      </c:valAx>
      <c:valAx>
        <c:axId val="45213795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3677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5718.4352679377425</c:v>
                </c:pt>
                <c:pt idx="1">
                  <c:v>5646.8950208212655</c:v>
                </c:pt>
                <c:pt idx="2">
                  <c:v>5380.8502583472291</c:v>
                </c:pt>
                <c:pt idx="3">
                  <c:v>5218.3191335138126</c:v>
                </c:pt>
                <c:pt idx="4">
                  <c:v>4984.9782081116809</c:v>
                </c:pt>
                <c:pt idx="5">
                  <c:v>4758.3806107672253</c:v>
                </c:pt>
                <c:pt idx="6">
                  <c:v>4565.5330812752654</c:v>
                </c:pt>
                <c:pt idx="7">
                  <c:v>4384.7921071931505</c:v>
                </c:pt>
                <c:pt idx="8">
                  <c:v>4203.3598517313285</c:v>
                </c:pt>
                <c:pt idx="9">
                  <c:v>4026.4216005834278</c:v>
                </c:pt>
                <c:pt idx="10">
                  <c:v>3843.4970728157004</c:v>
                </c:pt>
                <c:pt idx="11">
                  <c:v>3636.9374064674648</c:v>
                </c:pt>
                <c:pt idx="12">
                  <c:v>3408.2366079461945</c:v>
                </c:pt>
                <c:pt idx="13">
                  <c:v>3144.4832851406777</c:v>
                </c:pt>
                <c:pt idx="14">
                  <c:v>2839.0852393708569</c:v>
                </c:pt>
                <c:pt idx="15">
                  <c:v>2425.3147818710713</c:v>
                </c:pt>
                <c:pt idx="16">
                  <c:v>1855.3828989874442</c:v>
                </c:pt>
                <c:pt idx="17">
                  <c:v>1268.8426653232004</c:v>
                </c:pt>
                <c:pt idx="18">
                  <c:v>808.36801386965885</c:v>
                </c:pt>
                <c:pt idx="19">
                  <c:v>508.95962302565101</c:v>
                </c:pt>
                <c:pt idx="20">
                  <c:v>344.08156956820147</c:v>
                </c:pt>
                <c:pt idx="21">
                  <c:v>262.71972896285871</c:v>
                </c:pt>
                <c:pt idx="22">
                  <c:v>222.95043241972559</c:v>
                </c:pt>
                <c:pt idx="23">
                  <c:v>201.30727641187875</c:v>
                </c:pt>
                <c:pt idx="24">
                  <c:v>188.04161733900969</c:v>
                </c:pt>
                <c:pt idx="25">
                  <c:v>181.17947244222572</c:v>
                </c:pt>
                <c:pt idx="26">
                  <c:v>171.63859251976763</c:v>
                </c:pt>
                <c:pt idx="27">
                  <c:v>165.00765420134707</c:v>
                </c:pt>
                <c:pt idx="28">
                  <c:v>164.32404912574731</c:v>
                </c:pt>
                <c:pt idx="29">
                  <c:v>163.25012002422946</c:v>
                </c:pt>
                <c:pt idx="30">
                  <c:v>162.78400175033337</c:v>
                </c:pt>
              </c:numCache>
            </c:numRef>
          </c:yVal>
          <c:smooth val="1"/>
        </c:ser>
        <c:dLbls>
          <c:showLegendKey val="0"/>
          <c:showVal val="0"/>
          <c:showCatName val="0"/>
          <c:showSerName val="0"/>
          <c:showPercent val="0"/>
          <c:showBubbleSize val="0"/>
        </c:dLbls>
        <c:axId val="452140304"/>
        <c:axId val="452138344"/>
      </c:scatterChart>
      <c:valAx>
        <c:axId val="4521403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38344"/>
        <c:crosses val="autoZero"/>
        <c:crossBetween val="midCat"/>
      </c:valAx>
      <c:valAx>
        <c:axId val="4521383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40304"/>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1.7504572792510966E-2</c:v>
                </c:pt>
                <c:pt idx="11">
                  <c:v>4.4614633101871803E-2</c:v>
                </c:pt>
                <c:pt idx="12">
                  <c:v>0.16490397539961185</c:v>
                </c:pt>
                <c:pt idx="13">
                  <c:v>0.19082252090050464</c:v>
                </c:pt>
                <c:pt idx="14">
                  <c:v>0.17947780027404855</c:v>
                </c:pt>
                <c:pt idx="15">
                  <c:v>0.15995147045846655</c:v>
                </c:pt>
                <c:pt idx="16">
                  <c:v>0.14544170174080173</c:v>
                </c:pt>
                <c:pt idx="17">
                  <c:v>0.13229387178660307</c:v>
                </c:pt>
                <c:pt idx="18">
                  <c:v>0.13307232484817394</c:v>
                </c:pt>
                <c:pt idx="19">
                  <c:v>0.15190052710465543</c:v>
                </c:pt>
                <c:pt idx="20">
                  <c:v>0.14095138600070065</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5.7613767802975353E-3</c:v>
                </c:pt>
                <c:pt idx="1">
                  <c:v>5.1604788079195069E-3</c:v>
                </c:pt>
                <c:pt idx="2">
                  <c:v>6.4710993012455885E-4</c:v>
                </c:pt>
                <c:pt idx="3">
                  <c:v>4.8405224381571244E-2</c:v>
                </c:pt>
                <c:pt idx="4">
                  <c:v>0.14268316288050675</c:v>
                </c:pt>
                <c:pt idx="5">
                  <c:v>0.12955960813402412</c:v>
                </c:pt>
                <c:pt idx="6">
                  <c:v>0.1142422458160489</c:v>
                </c:pt>
                <c:pt idx="7">
                  <c:v>9.6544971288149539E-2</c:v>
                </c:pt>
                <c:pt idx="8">
                  <c:v>7.7417993992200049E-2</c:v>
                </c:pt>
                <c:pt idx="9">
                  <c:v>5.9926822543504489E-2</c:v>
                </c:pt>
                <c:pt idx="10">
                  <c:v>6.9413893915412916E-2</c:v>
                </c:pt>
                <c:pt idx="11">
                  <c:v>7.5602325228912623E-2</c:v>
                </c:pt>
                <c:pt idx="12">
                  <c:v>8.4927171241356014E-2</c:v>
                </c:pt>
                <c:pt idx="13">
                  <c:v>9.7475768410862515E-2</c:v>
                </c:pt>
                <c:pt idx="14">
                  <c:v>9.8734318619113096E-2</c:v>
                </c:pt>
                <c:pt idx="15">
                  <c:v>9.1737121365216945E-2</c:v>
                </c:pt>
                <c:pt idx="16">
                  <c:v>8.3960898499541206E-2</c:v>
                </c:pt>
                <c:pt idx="17">
                  <c:v>4.8756533878066818E-2</c:v>
                </c:pt>
                <c:pt idx="18">
                  <c:v>6.4087379430616501E-2</c:v>
                </c:pt>
                <c:pt idx="19">
                  <c:v>0.21435096423015965</c:v>
                </c:pt>
                <c:pt idx="20">
                  <c:v>0.34775742835047341</c:v>
                </c:pt>
                <c:pt idx="21">
                  <c:v>0.43987523193581185</c:v>
                </c:pt>
                <c:pt idx="22">
                  <c:v>0.48488586851627419</c:v>
                </c:pt>
                <c:pt idx="23">
                  <c:v>0.47078091747153916</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8.9357931261337786E-2</c:v>
                </c:pt>
                <c:pt idx="11">
                  <c:v>9.0299992104375254E-2</c:v>
                </c:pt>
                <c:pt idx="12">
                  <c:v>8.401749719308782E-2</c:v>
                </c:pt>
                <c:pt idx="13">
                  <c:v>8.2529437225283331E-2</c:v>
                </c:pt>
                <c:pt idx="14">
                  <c:v>8.5096798158523765E-2</c:v>
                </c:pt>
                <c:pt idx="15">
                  <c:v>8.4123440236833505E-2</c:v>
                </c:pt>
                <c:pt idx="16">
                  <c:v>6.6897502597048505E-2</c:v>
                </c:pt>
                <c:pt idx="17">
                  <c:v>1.1580298440737765E-2</c:v>
                </c:pt>
                <c:pt idx="18">
                  <c:v>0.13953215369568051</c:v>
                </c:pt>
                <c:pt idx="19">
                  <c:v>0.25660877322144371</c:v>
                </c:pt>
                <c:pt idx="20">
                  <c:v>0.31565186873256668</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9.18005598337234E-2</c:v>
                </c:pt>
                <c:pt idx="11">
                  <c:v>2.8233053710446859E-2</c:v>
                </c:pt>
                <c:pt idx="12">
                  <c:v>5.733909927572859E-2</c:v>
                </c:pt>
                <c:pt idx="13">
                  <c:v>0.15959072229871418</c:v>
                </c:pt>
                <c:pt idx="14">
                  <c:v>0.276774785679193</c:v>
                </c:pt>
                <c:pt idx="15">
                  <c:v>0.36910040884825968</c:v>
                </c:pt>
                <c:pt idx="16">
                  <c:v>0.39733666655559574</c:v>
                </c:pt>
                <c:pt idx="17">
                  <c:v>0.372275895073513</c:v>
                </c:pt>
                <c:pt idx="18">
                  <c:v>0.28175551425003453</c:v>
                </c:pt>
                <c:pt idx="19">
                  <c:v>0.20548511401738814</c:v>
                </c:pt>
                <c:pt idx="20">
                  <c:v>0.10520949293354294</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52139128"/>
        <c:axId val="452139912"/>
      </c:scatterChart>
      <c:valAx>
        <c:axId val="4521391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39912"/>
        <c:crossesAt val="1.0000000000000005E-9"/>
        <c:crossBetween val="midCat"/>
      </c:valAx>
      <c:valAx>
        <c:axId val="452139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3912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-38.51735486656284</c:v>
                </c:pt>
                <c:pt idx="1">
                  <c:v>-28.242675164746736</c:v>
                </c:pt>
                <c:pt idx="2">
                  <c:v>-23.278137752401474</c:v>
                </c:pt>
                <c:pt idx="3">
                  <c:v>-19.200286419303232</c:v>
                </c:pt>
                <c:pt idx="4">
                  <c:v>-12.289357784876906</c:v>
                </c:pt>
                <c:pt idx="5">
                  <c:v>0</c:v>
                </c:pt>
                <c:pt idx="6">
                  <c:v>12.666793367234712</c:v>
                </c:pt>
              </c:numCache>
            </c:numRef>
          </c:yVal>
          <c:smooth val="0"/>
        </c:ser>
        <c:dLbls>
          <c:showLegendKey val="0"/>
          <c:showVal val="0"/>
          <c:showCatName val="0"/>
          <c:showSerName val="0"/>
          <c:showPercent val="0"/>
          <c:showBubbleSize val="0"/>
        </c:dLbls>
        <c:axId val="452141088"/>
        <c:axId val="447048768"/>
      </c:scatterChart>
      <c:valAx>
        <c:axId val="4521410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7048768"/>
        <c:crossesAt val="-100"/>
        <c:crossBetween val="midCat"/>
      </c:valAx>
      <c:valAx>
        <c:axId val="447048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14108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0"/>
        </c:ser>
        <c:dLbls>
          <c:showLegendKey val="0"/>
          <c:showVal val="0"/>
          <c:showCatName val="0"/>
          <c:showSerName val="0"/>
          <c:showPercent val="0"/>
          <c:showBubbleSize val="0"/>
        </c:dLbls>
        <c:axId val="454233656"/>
        <c:axId val="454233264"/>
      </c:scatterChart>
      <c:valAx>
        <c:axId val="45423365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33264"/>
        <c:crosses val="autoZero"/>
        <c:crossBetween val="midCat"/>
      </c:valAx>
      <c:valAx>
        <c:axId val="45423326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3365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1.871222039213402E-32</c:v>
                </c:pt>
                <c:pt idx="1">
                  <c:v>1.8712220392134017E-31</c:v>
                </c:pt>
                <c:pt idx="2">
                  <c:v>1.8712220392134019E-30</c:v>
                </c:pt>
                <c:pt idx="3">
                  <c:v>1.8712220392134017E-29</c:v>
                </c:pt>
                <c:pt idx="4">
                  <c:v>1.8712220392134017E-28</c:v>
                </c:pt>
                <c:pt idx="5">
                  <c:v>1.8712220392134018E-27</c:v>
                </c:pt>
                <c:pt idx="6">
                  <c:v>1.8712220392134019E-26</c:v>
                </c:pt>
                <c:pt idx="7">
                  <c:v>1.8712220392134018E-25</c:v>
                </c:pt>
                <c:pt idx="8">
                  <c:v>1.8712220392134018E-24</c:v>
                </c:pt>
                <c:pt idx="9">
                  <c:v>1.8712220392134018E-23</c:v>
                </c:pt>
                <c:pt idx="10">
                  <c:v>1.8712220392134019E-22</c:v>
                </c:pt>
                <c:pt idx="11">
                  <c:v>1.8712220392134019E-21</c:v>
                </c:pt>
                <c:pt idx="12">
                  <c:v>1.8712220392134017E-20</c:v>
                </c:pt>
                <c:pt idx="13">
                  <c:v>1.8712220392134018E-19</c:v>
                </c:pt>
                <c:pt idx="14">
                  <c:v>1.8712220392134018E-18</c:v>
                </c:pt>
                <c:pt idx="15">
                  <c:v>1.8712220392134018E-17</c:v>
                </c:pt>
                <c:pt idx="16">
                  <c:v>1.8712220392134019E-16</c:v>
                </c:pt>
                <c:pt idx="17">
                  <c:v>1.8712220392134016E-15</c:v>
                </c:pt>
                <c:pt idx="18">
                  <c:v>1.8712220392134016E-14</c:v>
                </c:pt>
                <c:pt idx="19">
                  <c:v>1.8712220392134019E-13</c:v>
                </c:pt>
                <c:pt idx="20">
                  <c:v>1.8712220392134018E-12</c:v>
                </c:pt>
                <c:pt idx="21">
                  <c:v>1.8712220392134018E-11</c:v>
                </c:pt>
                <c:pt idx="22">
                  <c:v>1.8712220392134017E-10</c:v>
                </c:pt>
                <c:pt idx="23">
                  <c:v>1.8712220392134018E-9</c:v>
                </c:pt>
                <c:pt idx="24">
                  <c:v>1.8712220392134018E-8</c:v>
                </c:pt>
                <c:pt idx="25">
                  <c:v>1.8712220392134018E-7</c:v>
                </c:pt>
                <c:pt idx="26">
                  <c:v>1.8712220392134019E-6</c:v>
                </c:pt>
                <c:pt idx="27">
                  <c:v>1.8712220392134016E-5</c:v>
                </c:pt>
                <c:pt idx="28">
                  <c:v>1.8712220392134017E-4</c:v>
                </c:pt>
                <c:pt idx="29">
                  <c:v>1.8712220392134017E-3</c:v>
                </c:pt>
                <c:pt idx="30">
                  <c:v>1.8712220392134018E-2</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5.4245288307272018E-28</c:v>
                </c:pt>
                <c:pt idx="1">
                  <c:v>5.4245288307272016E-27</c:v>
                </c:pt>
                <c:pt idx="2">
                  <c:v>5.424528830727202E-26</c:v>
                </c:pt>
                <c:pt idx="3">
                  <c:v>5.4245288307272013E-25</c:v>
                </c:pt>
                <c:pt idx="4">
                  <c:v>5.4245288307272011E-24</c:v>
                </c:pt>
                <c:pt idx="5">
                  <c:v>5.4245288307272013E-23</c:v>
                </c:pt>
                <c:pt idx="6">
                  <c:v>5.4245288307272015E-22</c:v>
                </c:pt>
                <c:pt idx="7">
                  <c:v>5.4245288307272013E-21</c:v>
                </c:pt>
                <c:pt idx="8">
                  <c:v>5.4245288307272015E-20</c:v>
                </c:pt>
                <c:pt idx="9">
                  <c:v>5.4245288307272015E-19</c:v>
                </c:pt>
                <c:pt idx="10">
                  <c:v>5.4245288307272019E-18</c:v>
                </c:pt>
                <c:pt idx="11">
                  <c:v>5.4245288307272017E-17</c:v>
                </c:pt>
                <c:pt idx="12">
                  <c:v>5.4245288307272016E-16</c:v>
                </c:pt>
                <c:pt idx="13">
                  <c:v>5.4245288307272012E-15</c:v>
                </c:pt>
                <c:pt idx="14">
                  <c:v>5.4245288307272018E-14</c:v>
                </c:pt>
                <c:pt idx="15">
                  <c:v>5.4245288307272017E-13</c:v>
                </c:pt>
                <c:pt idx="16">
                  <c:v>5.4245288307272017E-12</c:v>
                </c:pt>
                <c:pt idx="17">
                  <c:v>5.4245288307272014E-11</c:v>
                </c:pt>
                <c:pt idx="18">
                  <c:v>5.424528830727201E-10</c:v>
                </c:pt>
                <c:pt idx="19">
                  <c:v>5.4245288307272014E-9</c:v>
                </c:pt>
                <c:pt idx="20">
                  <c:v>5.4245288307272014E-8</c:v>
                </c:pt>
                <c:pt idx="21">
                  <c:v>5.4245288307272018E-7</c:v>
                </c:pt>
                <c:pt idx="22">
                  <c:v>5.4245288307272016E-6</c:v>
                </c:pt>
                <c:pt idx="23">
                  <c:v>5.4245288307272011E-5</c:v>
                </c:pt>
                <c:pt idx="24">
                  <c:v>5.4245288307272011E-4</c:v>
                </c:pt>
                <c:pt idx="25">
                  <c:v>5.4245288307272011E-3</c:v>
                </c:pt>
                <c:pt idx="26">
                  <c:v>5.4245288307272016E-2</c:v>
                </c:pt>
                <c:pt idx="27">
                  <c:v>0.5424528830727201</c:v>
                </c:pt>
                <c:pt idx="28">
                  <c:v>5.4245288307272013</c:v>
                </c:pt>
                <c:pt idx="29">
                  <c:v>54.245288307272013</c:v>
                </c:pt>
                <c:pt idx="30">
                  <c:v>542.45288307272017</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7.7702183878814911E-26</c:v>
                </c:pt>
                <c:pt idx="1">
                  <c:v>7.7702183878814911E-25</c:v>
                </c:pt>
                <c:pt idx="2">
                  <c:v>7.7702183878814911E-24</c:v>
                </c:pt>
                <c:pt idx="3">
                  <c:v>7.7702183878814908E-23</c:v>
                </c:pt>
                <c:pt idx="4">
                  <c:v>7.7702183878814906E-22</c:v>
                </c:pt>
                <c:pt idx="5">
                  <c:v>7.7702183878814908E-21</c:v>
                </c:pt>
                <c:pt idx="6">
                  <c:v>7.7702183878814911E-20</c:v>
                </c:pt>
                <c:pt idx="7">
                  <c:v>7.7702183878814913E-19</c:v>
                </c:pt>
                <c:pt idx="8">
                  <c:v>7.7702183878814905E-18</c:v>
                </c:pt>
                <c:pt idx="9">
                  <c:v>7.7702183878814908E-17</c:v>
                </c:pt>
                <c:pt idx="10">
                  <c:v>7.7702183878814913E-16</c:v>
                </c:pt>
                <c:pt idx="11">
                  <c:v>7.7702183878814917E-15</c:v>
                </c:pt>
                <c:pt idx="12">
                  <c:v>7.7702183878814908E-14</c:v>
                </c:pt>
                <c:pt idx="13">
                  <c:v>7.7702183878814913E-13</c:v>
                </c:pt>
                <c:pt idx="14">
                  <c:v>7.7702183878814917E-12</c:v>
                </c:pt>
                <c:pt idx="15">
                  <c:v>7.7702183878814907E-11</c:v>
                </c:pt>
                <c:pt idx="16">
                  <c:v>7.7702183878814907E-10</c:v>
                </c:pt>
                <c:pt idx="17">
                  <c:v>7.7702183878814909E-9</c:v>
                </c:pt>
                <c:pt idx="18">
                  <c:v>7.7702183878814913E-8</c:v>
                </c:pt>
                <c:pt idx="19">
                  <c:v>7.7702183878814907E-7</c:v>
                </c:pt>
                <c:pt idx="20">
                  <c:v>7.7702183878814907E-6</c:v>
                </c:pt>
                <c:pt idx="21">
                  <c:v>7.7702183878814907E-5</c:v>
                </c:pt>
                <c:pt idx="22">
                  <c:v>7.770218387881491E-4</c:v>
                </c:pt>
                <c:pt idx="23">
                  <c:v>7.7702183878814906E-3</c:v>
                </c:pt>
                <c:pt idx="24">
                  <c:v>7.7702183878814904E-2</c:v>
                </c:pt>
                <c:pt idx="25">
                  <c:v>0.77702183878814912</c:v>
                </c:pt>
                <c:pt idx="26">
                  <c:v>7.7702183878814903</c:v>
                </c:pt>
                <c:pt idx="27">
                  <c:v>77.702183878814907</c:v>
                </c:pt>
                <c:pt idx="28">
                  <c:v>777.02183878814913</c:v>
                </c:pt>
                <c:pt idx="29">
                  <c:v>7770.2183878814903</c:v>
                </c:pt>
                <c:pt idx="30">
                  <c:v>77702.183878814903</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4.5858680773869441E-24</c:v>
                </c:pt>
                <c:pt idx="1">
                  <c:v>4.5858680773869437E-23</c:v>
                </c:pt>
                <c:pt idx="2">
                  <c:v>4.5858680773869436E-22</c:v>
                </c:pt>
                <c:pt idx="3">
                  <c:v>4.585868077386944E-21</c:v>
                </c:pt>
                <c:pt idx="4">
                  <c:v>4.5858680773869432E-20</c:v>
                </c:pt>
                <c:pt idx="5">
                  <c:v>4.5858680773869442E-19</c:v>
                </c:pt>
                <c:pt idx="6">
                  <c:v>4.5858680773869442E-18</c:v>
                </c:pt>
                <c:pt idx="7">
                  <c:v>4.585868077386944E-17</c:v>
                </c:pt>
                <c:pt idx="8">
                  <c:v>4.5858680773869433E-16</c:v>
                </c:pt>
                <c:pt idx="9">
                  <c:v>4.5858680773869433E-15</c:v>
                </c:pt>
                <c:pt idx="10">
                  <c:v>4.5858680773869441E-14</c:v>
                </c:pt>
                <c:pt idx="11">
                  <c:v>4.5858680773869442E-13</c:v>
                </c:pt>
                <c:pt idx="12">
                  <c:v>4.5858680773869442E-12</c:v>
                </c:pt>
                <c:pt idx="13">
                  <c:v>4.585868077386944E-11</c:v>
                </c:pt>
                <c:pt idx="14">
                  <c:v>4.585868077386944E-10</c:v>
                </c:pt>
                <c:pt idx="15">
                  <c:v>4.585868077386944E-9</c:v>
                </c:pt>
                <c:pt idx="16">
                  <c:v>4.5858680773869435E-8</c:v>
                </c:pt>
                <c:pt idx="17">
                  <c:v>4.5858680773869435E-7</c:v>
                </c:pt>
                <c:pt idx="18">
                  <c:v>4.5858680773869438E-6</c:v>
                </c:pt>
                <c:pt idx="19">
                  <c:v>4.585868077386944E-5</c:v>
                </c:pt>
                <c:pt idx="20">
                  <c:v>4.5858680773869437E-4</c:v>
                </c:pt>
                <c:pt idx="21">
                  <c:v>4.585868077386944E-3</c:v>
                </c:pt>
                <c:pt idx="22">
                  <c:v>4.585868077386944E-2</c:v>
                </c:pt>
                <c:pt idx="23">
                  <c:v>0.45858680773869437</c:v>
                </c:pt>
                <c:pt idx="24">
                  <c:v>4.5858680773869436</c:v>
                </c:pt>
                <c:pt idx="25">
                  <c:v>45.858680773869438</c:v>
                </c:pt>
                <c:pt idx="26">
                  <c:v>458.5868077386944</c:v>
                </c:pt>
                <c:pt idx="27">
                  <c:v>4585.8680773869437</c:v>
                </c:pt>
                <c:pt idx="28">
                  <c:v>45858.680773869441</c:v>
                </c:pt>
                <c:pt idx="29">
                  <c:v>458586.80773869436</c:v>
                </c:pt>
                <c:pt idx="30">
                  <c:v>4585868.0773869436</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4.6004437815300359E-21</c:v>
                </c:pt>
                <c:pt idx="1">
                  <c:v>4.6004437815300358E-20</c:v>
                </c:pt>
                <c:pt idx="2">
                  <c:v>4.6004437815300362E-19</c:v>
                </c:pt>
                <c:pt idx="3">
                  <c:v>4.6004437815300358E-18</c:v>
                </c:pt>
                <c:pt idx="4">
                  <c:v>4.6004437815300355E-17</c:v>
                </c:pt>
                <c:pt idx="5">
                  <c:v>4.6004437815300355E-16</c:v>
                </c:pt>
                <c:pt idx="6">
                  <c:v>4.6004437815300363E-15</c:v>
                </c:pt>
                <c:pt idx="7">
                  <c:v>4.6004437815300357E-14</c:v>
                </c:pt>
                <c:pt idx="8">
                  <c:v>4.6004437815300351E-13</c:v>
                </c:pt>
                <c:pt idx="9">
                  <c:v>4.6004437815300359E-12</c:v>
                </c:pt>
                <c:pt idx="10">
                  <c:v>4.6004437815300359E-11</c:v>
                </c:pt>
                <c:pt idx="11">
                  <c:v>4.6004437815300357E-10</c:v>
                </c:pt>
                <c:pt idx="12">
                  <c:v>4.6004437815300362E-9</c:v>
                </c:pt>
                <c:pt idx="13">
                  <c:v>4.6004437815300357E-8</c:v>
                </c:pt>
                <c:pt idx="14">
                  <c:v>4.6004437815300362E-7</c:v>
                </c:pt>
                <c:pt idx="15">
                  <c:v>4.6004437815300354E-6</c:v>
                </c:pt>
                <c:pt idx="16">
                  <c:v>4.600443781530036E-5</c:v>
                </c:pt>
                <c:pt idx="17">
                  <c:v>4.600443781530036E-4</c:v>
                </c:pt>
                <c:pt idx="18">
                  <c:v>4.6004437815300361E-3</c:v>
                </c:pt>
                <c:pt idx="19">
                  <c:v>4.6004437815300357E-2</c:v>
                </c:pt>
                <c:pt idx="20">
                  <c:v>0.46004437815300359</c:v>
                </c:pt>
                <c:pt idx="21">
                  <c:v>4.6004437815300356</c:v>
                </c:pt>
                <c:pt idx="22">
                  <c:v>46.004437815300356</c:v>
                </c:pt>
                <c:pt idx="23">
                  <c:v>460.04437815300355</c:v>
                </c:pt>
                <c:pt idx="24">
                  <c:v>4600.4437815300362</c:v>
                </c:pt>
                <c:pt idx="25">
                  <c:v>46004.437815300356</c:v>
                </c:pt>
                <c:pt idx="26">
                  <c:v>460044.37815300358</c:v>
                </c:pt>
                <c:pt idx="27">
                  <c:v>4600443.7815300357</c:v>
                </c:pt>
                <c:pt idx="28">
                  <c:v>46004437.81530036</c:v>
                </c:pt>
                <c:pt idx="29">
                  <c:v>460044378.15300357</c:v>
                </c:pt>
                <c:pt idx="30">
                  <c:v>4600443781.530036</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3.1704321460228724E-10</c:v>
                </c:pt>
                <c:pt idx="1">
                  <c:v>3.1704321460228722E-9</c:v>
                </c:pt>
                <c:pt idx="2">
                  <c:v>3.1704321460228725E-8</c:v>
                </c:pt>
                <c:pt idx="3">
                  <c:v>3.1704321460228722E-7</c:v>
                </c:pt>
                <c:pt idx="4">
                  <c:v>3.1704321460228721E-6</c:v>
                </c:pt>
                <c:pt idx="5">
                  <c:v>3.1704321460228723E-5</c:v>
                </c:pt>
                <c:pt idx="6">
                  <c:v>3.1704321460228726E-4</c:v>
                </c:pt>
                <c:pt idx="7">
                  <c:v>3.1704321460228721E-3</c:v>
                </c:pt>
                <c:pt idx="8">
                  <c:v>3.1704321460228717E-2</c:v>
                </c:pt>
                <c:pt idx="9">
                  <c:v>0.31704321460228718</c:v>
                </c:pt>
                <c:pt idx="10">
                  <c:v>3.1704321460228724</c:v>
                </c:pt>
                <c:pt idx="11">
                  <c:v>31.704321460228723</c:v>
                </c:pt>
                <c:pt idx="12">
                  <c:v>317.04321460228721</c:v>
                </c:pt>
                <c:pt idx="13">
                  <c:v>3170.4321460228721</c:v>
                </c:pt>
                <c:pt idx="14">
                  <c:v>31704.321460228723</c:v>
                </c:pt>
                <c:pt idx="15">
                  <c:v>317043.21460228722</c:v>
                </c:pt>
                <c:pt idx="16">
                  <c:v>3170432.1460228721</c:v>
                </c:pt>
                <c:pt idx="17">
                  <c:v>31704321.460228723</c:v>
                </c:pt>
                <c:pt idx="18">
                  <c:v>317043214.60228723</c:v>
                </c:pt>
                <c:pt idx="19">
                  <c:v>3170432146.022872</c:v>
                </c:pt>
                <c:pt idx="20">
                  <c:v>31704321460.228722</c:v>
                </c:pt>
                <c:pt idx="21">
                  <c:v>317043214602.28723</c:v>
                </c:pt>
                <c:pt idx="22">
                  <c:v>3170432146022.8721</c:v>
                </c:pt>
                <c:pt idx="23">
                  <c:v>31704321460228.723</c:v>
                </c:pt>
                <c:pt idx="24">
                  <c:v>317043214602287.19</c:v>
                </c:pt>
                <c:pt idx="25">
                  <c:v>3170432146022872</c:v>
                </c:pt>
                <c:pt idx="26">
                  <c:v>3.170432146022872E+16</c:v>
                </c:pt>
                <c:pt idx="27">
                  <c:v>3.1704321460228723E+17</c:v>
                </c:pt>
                <c:pt idx="28">
                  <c:v>3.1704321460228721E+18</c:v>
                </c:pt>
                <c:pt idx="29">
                  <c:v>3.1704321460228723E+19</c:v>
                </c:pt>
                <c:pt idx="30">
                  <c:v>3.1704321460228719E+20</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454234048"/>
        <c:axId val="454234832"/>
      </c:scatterChart>
      <c:valAx>
        <c:axId val="45423404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34832"/>
        <c:crosses val="autoZero"/>
        <c:crossBetween val="midCat"/>
      </c:valAx>
      <c:valAx>
        <c:axId val="4542348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34048"/>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1.871222039213402E-32</c:v>
                </c:pt>
                <c:pt idx="1">
                  <c:v>1.8712220392134017E-31</c:v>
                </c:pt>
                <c:pt idx="2">
                  <c:v>1.8712220392134019E-30</c:v>
                </c:pt>
                <c:pt idx="3">
                  <c:v>1.8712220392134017E-29</c:v>
                </c:pt>
                <c:pt idx="4">
                  <c:v>1.8712220392134017E-28</c:v>
                </c:pt>
                <c:pt idx="5">
                  <c:v>1.8712220392134018E-27</c:v>
                </c:pt>
                <c:pt idx="6">
                  <c:v>1.8712220392134019E-26</c:v>
                </c:pt>
                <c:pt idx="7">
                  <c:v>1.8712220392134018E-25</c:v>
                </c:pt>
                <c:pt idx="8">
                  <c:v>1.8712220392134018E-24</c:v>
                </c:pt>
                <c:pt idx="9">
                  <c:v>1.8712220392134018E-23</c:v>
                </c:pt>
                <c:pt idx="10">
                  <c:v>1.8712220392134019E-22</c:v>
                </c:pt>
                <c:pt idx="11">
                  <c:v>1.8712220392134019E-21</c:v>
                </c:pt>
                <c:pt idx="12">
                  <c:v>1.8712220392134017E-20</c:v>
                </c:pt>
                <c:pt idx="13">
                  <c:v>1.8712220392134018E-19</c:v>
                </c:pt>
                <c:pt idx="14">
                  <c:v>1.8712220392134018E-18</c:v>
                </c:pt>
                <c:pt idx="15">
                  <c:v>1.8712220392134018E-17</c:v>
                </c:pt>
                <c:pt idx="16">
                  <c:v>1.8712220392134019E-16</c:v>
                </c:pt>
                <c:pt idx="17">
                  <c:v>1.8712220392134016E-15</c:v>
                </c:pt>
                <c:pt idx="18">
                  <c:v>1.8712220392134016E-14</c:v>
                </c:pt>
                <c:pt idx="19">
                  <c:v>1.8712220392134019E-13</c:v>
                </c:pt>
                <c:pt idx="20">
                  <c:v>1.8712220392134018E-12</c:v>
                </c:pt>
                <c:pt idx="21">
                  <c:v>1.8712220392134018E-11</c:v>
                </c:pt>
                <c:pt idx="22">
                  <c:v>1.8712220392134017E-10</c:v>
                </c:pt>
                <c:pt idx="23">
                  <c:v>1.8712220392134018E-9</c:v>
                </c:pt>
                <c:pt idx="24">
                  <c:v>1.8712220392134018E-8</c:v>
                </c:pt>
                <c:pt idx="25">
                  <c:v>1.8712220392134018E-7</c:v>
                </c:pt>
                <c:pt idx="26">
                  <c:v>1.8712220392134019E-6</c:v>
                </c:pt>
                <c:pt idx="27">
                  <c:v>1.8712220392134016E-5</c:v>
                </c:pt>
                <c:pt idx="28">
                  <c:v>1.8712220392134017E-4</c:v>
                </c:pt>
                <c:pt idx="29">
                  <c:v>1.8712220392134017E-3</c:v>
                </c:pt>
                <c:pt idx="30">
                  <c:v>1.8712220392134018E-2</c:v>
                </c:pt>
              </c:numCache>
            </c:numRef>
          </c:xVal>
          <c:yVal>
            <c:numRef>
              <c:f>'Mastercurve bestimmen'!$J$404:$J$434</c:f>
              <c:numCache>
                <c:formatCode>0.00E+00</c:formatCode>
                <c:ptCount val="31"/>
                <c:pt idx="0">
                  <c:v>7093.1154116431162</c:v>
                </c:pt>
                <c:pt idx="1">
                  <c:v>7093.186769557813</c:v>
                </c:pt>
                <c:pt idx="2">
                  <c:v>7093.1496241627792</c:v>
                </c:pt>
                <c:pt idx="3">
                  <c:v>7093.139849123485</c:v>
                </c:pt>
                <c:pt idx="4">
                  <c:v>7093.1370316171597</c:v>
                </c:pt>
                <c:pt idx="5">
                  <c:v>7093.1361691156708</c:v>
                </c:pt>
                <c:pt idx="6">
                  <c:v>7093.1358816152215</c:v>
                </c:pt>
                <c:pt idx="7">
                  <c:v>7093.135709114963</c:v>
                </c:pt>
                <c:pt idx="8">
                  <c:v>7093.1355366147118</c:v>
                </c:pt>
                <c:pt idx="9">
                  <c:v>7093.1340991129555</c:v>
                </c:pt>
                <c:pt idx="10">
                  <c:v>7093.1198391270691</c:v>
                </c:pt>
                <c:pt idx="11">
                  <c:v>7092.9771274266232</c:v>
                </c:pt>
                <c:pt idx="12">
                  <c:v>7091.5625107943715</c:v>
                </c:pt>
                <c:pt idx="13">
                  <c:v>7078.0585854387473</c:v>
                </c:pt>
                <c:pt idx="14">
                  <c:v>6980.1771345591078</c:v>
                </c:pt>
                <c:pt idx="15">
                  <c:v>6817.7458366168885</c:v>
                </c:pt>
                <c:pt idx="16">
                  <c:v>6700.2000319833087</c:v>
                </c:pt>
                <c:pt idx="17">
                  <c:v>6581.4875752007347</c:v>
                </c:pt>
                <c:pt idx="18">
                  <c:v>6449.3747740231202</c:v>
                </c:pt>
                <c:pt idx="19">
                  <c:v>6289.3605252793404</c:v>
                </c:pt>
                <c:pt idx="20">
                  <c:v>6015.8011652173718</c:v>
                </c:pt>
                <c:pt idx="21">
                  <c:v>5393.4478275395559</c:v>
                </c:pt>
                <c:pt idx="22">
                  <c:v>4577.424969740212</c:v>
                </c:pt>
                <c:pt idx="23">
                  <c:v>3914.6236771373719</c:v>
                </c:pt>
                <c:pt idx="24">
                  <c:v>3439.215903424868</c:v>
                </c:pt>
                <c:pt idx="25">
                  <c:v>3078.9760704970804</c:v>
                </c:pt>
                <c:pt idx="26">
                  <c:v>2798.5736498484516</c:v>
                </c:pt>
                <c:pt idx="27">
                  <c:v>2590.4913778751102</c:v>
                </c:pt>
                <c:pt idx="28">
                  <c:v>2428.2171958860131</c:v>
                </c:pt>
                <c:pt idx="29">
                  <c:v>2284.9023004500814</c:v>
                </c:pt>
                <c:pt idx="30">
                  <c:v>2162.351794570352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5.4245288307272018E-28</c:v>
                </c:pt>
                <c:pt idx="1">
                  <c:v>5.4245288307272016E-27</c:v>
                </c:pt>
                <c:pt idx="2">
                  <c:v>5.424528830727202E-26</c:v>
                </c:pt>
                <c:pt idx="3">
                  <c:v>5.4245288307272013E-25</c:v>
                </c:pt>
                <c:pt idx="4">
                  <c:v>5.4245288307272011E-24</c:v>
                </c:pt>
                <c:pt idx="5">
                  <c:v>5.4245288307272013E-23</c:v>
                </c:pt>
                <c:pt idx="6">
                  <c:v>5.4245288307272015E-22</c:v>
                </c:pt>
                <c:pt idx="7">
                  <c:v>5.4245288307272013E-21</c:v>
                </c:pt>
                <c:pt idx="8">
                  <c:v>5.4245288307272015E-20</c:v>
                </c:pt>
                <c:pt idx="9">
                  <c:v>5.4245288307272015E-19</c:v>
                </c:pt>
                <c:pt idx="10">
                  <c:v>5.4245288307272019E-18</c:v>
                </c:pt>
                <c:pt idx="11">
                  <c:v>5.4245288307272017E-17</c:v>
                </c:pt>
                <c:pt idx="12">
                  <c:v>5.4245288307272016E-16</c:v>
                </c:pt>
                <c:pt idx="13">
                  <c:v>5.4245288307272012E-15</c:v>
                </c:pt>
                <c:pt idx="14">
                  <c:v>5.4245288307272018E-14</c:v>
                </c:pt>
                <c:pt idx="15">
                  <c:v>5.4245288307272017E-13</c:v>
                </c:pt>
                <c:pt idx="16">
                  <c:v>5.4245288307272017E-12</c:v>
                </c:pt>
                <c:pt idx="17">
                  <c:v>5.4245288307272014E-11</c:v>
                </c:pt>
                <c:pt idx="18">
                  <c:v>5.424528830727201E-10</c:v>
                </c:pt>
                <c:pt idx="19">
                  <c:v>5.4245288307272014E-9</c:v>
                </c:pt>
                <c:pt idx="20">
                  <c:v>5.4245288307272014E-8</c:v>
                </c:pt>
                <c:pt idx="21">
                  <c:v>5.4245288307272018E-7</c:v>
                </c:pt>
                <c:pt idx="22">
                  <c:v>5.4245288307272016E-6</c:v>
                </c:pt>
                <c:pt idx="23">
                  <c:v>5.4245288307272011E-5</c:v>
                </c:pt>
                <c:pt idx="24">
                  <c:v>5.4245288307272011E-4</c:v>
                </c:pt>
                <c:pt idx="25">
                  <c:v>5.4245288307272011E-3</c:v>
                </c:pt>
                <c:pt idx="26">
                  <c:v>5.4245288307272016E-2</c:v>
                </c:pt>
                <c:pt idx="27">
                  <c:v>0.5424528830727201</c:v>
                </c:pt>
                <c:pt idx="28">
                  <c:v>5.4245288307272013</c:v>
                </c:pt>
                <c:pt idx="29">
                  <c:v>54.245288307272013</c:v>
                </c:pt>
                <c:pt idx="30">
                  <c:v>542.45288307272017</c:v>
                </c:pt>
              </c:numCache>
            </c:numRef>
          </c:xVal>
          <c:yVal>
            <c:numRef>
              <c:f>'Mastercurve bestimmen'!$K$404:$K$434</c:f>
              <c:numCache>
                <c:formatCode>0.00E+00</c:formatCode>
                <c:ptCount val="31"/>
                <c:pt idx="0">
                  <c:v>7031.9211529245395</c:v>
                </c:pt>
                <c:pt idx="1">
                  <c:v>7031.9907762783369</c:v>
                </c:pt>
                <c:pt idx="2">
                  <c:v>7031.9539299810422</c:v>
                </c:pt>
                <c:pt idx="3">
                  <c:v>7031.9433621725511</c:v>
                </c:pt>
                <c:pt idx="4">
                  <c:v>7031.9306469370567</c:v>
                </c:pt>
                <c:pt idx="5">
                  <c:v>7031.8305090006179</c:v>
                </c:pt>
                <c:pt idx="6">
                  <c:v>7030.8436925650376</c:v>
                </c:pt>
                <c:pt idx="7">
                  <c:v>7021.3347469085647</c:v>
                </c:pt>
                <c:pt idx="8">
                  <c:v>6946.0273669032786</c:v>
                </c:pt>
                <c:pt idx="9">
                  <c:v>6777.7782322116691</c:v>
                </c:pt>
                <c:pt idx="10">
                  <c:v>6659.4311503256295</c:v>
                </c:pt>
                <c:pt idx="11">
                  <c:v>6544.645454565718</c:v>
                </c:pt>
                <c:pt idx="12">
                  <c:v>6415.8365900058752</c:v>
                </c:pt>
                <c:pt idx="13">
                  <c:v>6279.1797519689544</c:v>
                </c:pt>
                <c:pt idx="14">
                  <c:v>6124.6018825038309</c:v>
                </c:pt>
                <c:pt idx="15">
                  <c:v>5956.8287989294422</c:v>
                </c:pt>
                <c:pt idx="16">
                  <c:v>5777.56401011038</c:v>
                </c:pt>
                <c:pt idx="17">
                  <c:v>5602.1564627366897</c:v>
                </c:pt>
                <c:pt idx="18">
                  <c:v>5348.811853446321</c:v>
                </c:pt>
                <c:pt idx="19">
                  <c:v>4793.3449045957559</c:v>
                </c:pt>
                <c:pt idx="20">
                  <c:v>4005.8829435497059</c:v>
                </c:pt>
                <c:pt idx="21">
                  <c:v>3346.4776601581179</c:v>
                </c:pt>
                <c:pt idx="22">
                  <c:v>2892.1899665732253</c:v>
                </c:pt>
                <c:pt idx="23">
                  <c:v>2569.6224142495339</c:v>
                </c:pt>
                <c:pt idx="24">
                  <c:v>2337.0503651981739</c:v>
                </c:pt>
                <c:pt idx="25">
                  <c:v>2151.250620328482</c:v>
                </c:pt>
                <c:pt idx="26">
                  <c:v>1990.2744047049448</c:v>
                </c:pt>
                <c:pt idx="27">
                  <c:v>1828.3308494849296</c:v>
                </c:pt>
                <c:pt idx="28">
                  <c:v>1665.1765081389453</c:v>
                </c:pt>
                <c:pt idx="29">
                  <c:v>1489.3314845424752</c:v>
                </c:pt>
                <c:pt idx="30">
                  <c:v>1297.0734642842888</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7.7702183878814911E-26</c:v>
                </c:pt>
                <c:pt idx="1">
                  <c:v>7.7702183878814911E-25</c:v>
                </c:pt>
                <c:pt idx="2">
                  <c:v>7.7702183878814911E-24</c:v>
                </c:pt>
                <c:pt idx="3">
                  <c:v>7.7702183878814908E-23</c:v>
                </c:pt>
                <c:pt idx="4">
                  <c:v>7.7702183878814906E-22</c:v>
                </c:pt>
                <c:pt idx="5">
                  <c:v>7.7702183878814908E-21</c:v>
                </c:pt>
                <c:pt idx="6">
                  <c:v>7.7702183878814911E-20</c:v>
                </c:pt>
                <c:pt idx="7">
                  <c:v>7.7702183878814913E-19</c:v>
                </c:pt>
                <c:pt idx="8">
                  <c:v>7.7702183878814905E-18</c:v>
                </c:pt>
                <c:pt idx="9">
                  <c:v>7.7702183878814908E-17</c:v>
                </c:pt>
                <c:pt idx="10">
                  <c:v>7.7702183878814913E-16</c:v>
                </c:pt>
                <c:pt idx="11">
                  <c:v>7.7702183878814917E-15</c:v>
                </c:pt>
                <c:pt idx="12">
                  <c:v>7.7702183878814908E-14</c:v>
                </c:pt>
                <c:pt idx="13">
                  <c:v>7.7702183878814913E-13</c:v>
                </c:pt>
                <c:pt idx="14">
                  <c:v>7.7702183878814917E-12</c:v>
                </c:pt>
                <c:pt idx="15">
                  <c:v>7.7702183878814907E-11</c:v>
                </c:pt>
                <c:pt idx="16">
                  <c:v>7.7702183878814907E-10</c:v>
                </c:pt>
                <c:pt idx="17">
                  <c:v>7.7702183878814909E-9</c:v>
                </c:pt>
                <c:pt idx="18">
                  <c:v>7.7702183878814913E-8</c:v>
                </c:pt>
                <c:pt idx="19">
                  <c:v>7.7702183878814907E-7</c:v>
                </c:pt>
                <c:pt idx="20">
                  <c:v>7.7702183878814907E-6</c:v>
                </c:pt>
                <c:pt idx="21">
                  <c:v>7.7702183878814907E-5</c:v>
                </c:pt>
                <c:pt idx="22">
                  <c:v>7.770218387881491E-4</c:v>
                </c:pt>
                <c:pt idx="23">
                  <c:v>7.7702183878814906E-3</c:v>
                </c:pt>
                <c:pt idx="24">
                  <c:v>7.7702183878814904E-2</c:v>
                </c:pt>
                <c:pt idx="25">
                  <c:v>0.77702183878814912</c:v>
                </c:pt>
                <c:pt idx="26">
                  <c:v>7.7702183878814903</c:v>
                </c:pt>
                <c:pt idx="27">
                  <c:v>77.702183878814907</c:v>
                </c:pt>
                <c:pt idx="28">
                  <c:v>777.02183878814913</c:v>
                </c:pt>
                <c:pt idx="29">
                  <c:v>7770.2183878814903</c:v>
                </c:pt>
                <c:pt idx="30">
                  <c:v>77702.183878814903</c:v>
                </c:pt>
              </c:numCache>
            </c:numRef>
          </c:xVal>
          <c:yVal>
            <c:numRef>
              <c:f>'Mastercurve bestimmen'!$L$404:$L$434</c:f>
              <c:numCache>
                <c:formatCode>0.00E+00</c:formatCode>
                <c:ptCount val="31"/>
                <c:pt idx="0">
                  <c:v>6992.3964680806075</c:v>
                </c:pt>
                <c:pt idx="1">
                  <c:v>6992.459052459466</c:v>
                </c:pt>
                <c:pt idx="2">
                  <c:v>6992.3628853177524</c:v>
                </c:pt>
                <c:pt idx="3">
                  <c:v>6991.7590094248426</c:v>
                </c:pt>
                <c:pt idx="4">
                  <c:v>6985.9675385002447</c:v>
                </c:pt>
                <c:pt idx="5">
                  <c:v>6936.0316435873456</c:v>
                </c:pt>
                <c:pt idx="6">
                  <c:v>6767.3497232459458</c:v>
                </c:pt>
                <c:pt idx="7">
                  <c:v>6644.5309370841214</c:v>
                </c:pt>
                <c:pt idx="8">
                  <c:v>6532.7504586905397</c:v>
                </c:pt>
                <c:pt idx="9">
                  <c:v>6406.2589516029093</c:v>
                </c:pt>
                <c:pt idx="10">
                  <c:v>6273.617616065887</c:v>
                </c:pt>
                <c:pt idx="11">
                  <c:v>6123.1895749079549</c:v>
                </c:pt>
                <c:pt idx="12">
                  <c:v>5959.0875608576071</c:v>
                </c:pt>
                <c:pt idx="13">
                  <c:v>5781.2083401997561</c:v>
                </c:pt>
                <c:pt idx="14">
                  <c:v>5618.3452185734377</c:v>
                </c:pt>
                <c:pt idx="15">
                  <c:v>5440.9922001853329</c:v>
                </c:pt>
                <c:pt idx="16">
                  <c:v>5221.4874412485688</c:v>
                </c:pt>
                <c:pt idx="17">
                  <c:v>4926.1795387850607</c:v>
                </c:pt>
                <c:pt idx="18">
                  <c:v>4442.9821588725517</c:v>
                </c:pt>
                <c:pt idx="19">
                  <c:v>3752.7744100380223</c:v>
                </c:pt>
                <c:pt idx="20">
                  <c:v>3130.6377978974938</c:v>
                </c:pt>
                <c:pt idx="21">
                  <c:v>2685.7977977575347</c:v>
                </c:pt>
                <c:pt idx="22">
                  <c:v>2368.346654493816</c:v>
                </c:pt>
                <c:pt idx="23">
                  <c:v>2132.4244867059297</c:v>
                </c:pt>
                <c:pt idx="24">
                  <c:v>1927.1689592855932</c:v>
                </c:pt>
                <c:pt idx="25">
                  <c:v>1740.579877269425</c:v>
                </c:pt>
                <c:pt idx="26">
                  <c:v>1552.3921804639763</c:v>
                </c:pt>
                <c:pt idx="27">
                  <c:v>1355.3669215252155</c:v>
                </c:pt>
                <c:pt idx="28">
                  <c:v>1134.9160288600715</c:v>
                </c:pt>
                <c:pt idx="29">
                  <c:v>892.49692017162795</c:v>
                </c:pt>
                <c:pt idx="30">
                  <c:v>651.2901745739025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4.5858680773869441E-24</c:v>
                </c:pt>
                <c:pt idx="1">
                  <c:v>4.5858680773869437E-23</c:v>
                </c:pt>
                <c:pt idx="2">
                  <c:v>4.5858680773869436E-22</c:v>
                </c:pt>
                <c:pt idx="3">
                  <c:v>4.585868077386944E-21</c:v>
                </c:pt>
                <c:pt idx="4">
                  <c:v>4.5858680773869432E-20</c:v>
                </c:pt>
                <c:pt idx="5">
                  <c:v>4.5858680773869442E-19</c:v>
                </c:pt>
                <c:pt idx="6">
                  <c:v>4.5858680773869442E-18</c:v>
                </c:pt>
                <c:pt idx="7">
                  <c:v>4.585868077386944E-17</c:v>
                </c:pt>
                <c:pt idx="8">
                  <c:v>4.5858680773869433E-16</c:v>
                </c:pt>
                <c:pt idx="9">
                  <c:v>4.5858680773869433E-15</c:v>
                </c:pt>
                <c:pt idx="10">
                  <c:v>4.5858680773869441E-14</c:v>
                </c:pt>
                <c:pt idx="11">
                  <c:v>4.5858680773869442E-13</c:v>
                </c:pt>
                <c:pt idx="12">
                  <c:v>4.5858680773869442E-12</c:v>
                </c:pt>
                <c:pt idx="13">
                  <c:v>4.585868077386944E-11</c:v>
                </c:pt>
                <c:pt idx="14">
                  <c:v>4.585868077386944E-10</c:v>
                </c:pt>
                <c:pt idx="15">
                  <c:v>4.585868077386944E-9</c:v>
                </c:pt>
                <c:pt idx="16">
                  <c:v>4.5858680773869435E-8</c:v>
                </c:pt>
                <c:pt idx="17">
                  <c:v>4.5858680773869435E-7</c:v>
                </c:pt>
                <c:pt idx="18">
                  <c:v>4.5858680773869438E-6</c:v>
                </c:pt>
                <c:pt idx="19">
                  <c:v>4.585868077386944E-5</c:v>
                </c:pt>
                <c:pt idx="20">
                  <c:v>4.5858680773869437E-4</c:v>
                </c:pt>
                <c:pt idx="21">
                  <c:v>4.585868077386944E-3</c:v>
                </c:pt>
                <c:pt idx="22">
                  <c:v>4.585868077386944E-2</c:v>
                </c:pt>
                <c:pt idx="23">
                  <c:v>0.45858680773869437</c:v>
                </c:pt>
                <c:pt idx="24">
                  <c:v>4.5858680773869436</c:v>
                </c:pt>
                <c:pt idx="25">
                  <c:v>45.858680773869438</c:v>
                </c:pt>
                <c:pt idx="26">
                  <c:v>458.5868077386944</c:v>
                </c:pt>
                <c:pt idx="27">
                  <c:v>4585.8680773869437</c:v>
                </c:pt>
                <c:pt idx="28">
                  <c:v>45858.680773869441</c:v>
                </c:pt>
                <c:pt idx="29">
                  <c:v>458586.80773869436</c:v>
                </c:pt>
                <c:pt idx="30">
                  <c:v>4585868.0773869436</c:v>
                </c:pt>
              </c:numCache>
            </c:numRef>
          </c:xVal>
          <c:yVal>
            <c:numRef>
              <c:f>'Mastercurve bestimmen'!$M$404:$M$434</c:f>
              <c:numCache>
                <c:formatCode>0.00E+00</c:formatCode>
                <c:ptCount val="31"/>
                <c:pt idx="0">
                  <c:v>6951.7769139036336</c:v>
                </c:pt>
                <c:pt idx="1">
                  <c:v>6950.7516447504031</c:v>
                </c:pt>
                <c:pt idx="2">
                  <c:v>6940.1985301294053</c:v>
                </c:pt>
                <c:pt idx="3">
                  <c:v>6859.1289652487367</c:v>
                </c:pt>
                <c:pt idx="4">
                  <c:v>6695.6616107202954</c:v>
                </c:pt>
                <c:pt idx="5">
                  <c:v>6579.8912612434069</c:v>
                </c:pt>
                <c:pt idx="6">
                  <c:v>6466.0632255652681</c:v>
                </c:pt>
                <c:pt idx="7">
                  <c:v>6338.9884403076148</c:v>
                </c:pt>
                <c:pt idx="8">
                  <c:v>6203.5301972004399</c:v>
                </c:pt>
                <c:pt idx="9">
                  <c:v>6050.6164561665273</c:v>
                </c:pt>
                <c:pt idx="10">
                  <c:v>5884.895018012654</c:v>
                </c:pt>
                <c:pt idx="11">
                  <c:v>5709.3519393565812</c:v>
                </c:pt>
                <c:pt idx="12">
                  <c:v>5547.9132434192643</c:v>
                </c:pt>
                <c:pt idx="13">
                  <c:v>5364.2356794540465</c:v>
                </c:pt>
                <c:pt idx="14">
                  <c:v>5142.9380897638539</c:v>
                </c:pt>
                <c:pt idx="15">
                  <c:v>4901.2536857987861</c:v>
                </c:pt>
                <c:pt idx="16">
                  <c:v>4661.3568218837227</c:v>
                </c:pt>
                <c:pt idx="17">
                  <c:v>4298.6774546472579</c:v>
                </c:pt>
                <c:pt idx="18">
                  <c:v>3673.7236771243274</c:v>
                </c:pt>
                <c:pt idx="19">
                  <c:v>3055.9581241953465</c:v>
                </c:pt>
                <c:pt idx="20">
                  <c:v>2586.4007874245467</c:v>
                </c:pt>
                <c:pt idx="21">
                  <c:v>2247.3343211844494</c:v>
                </c:pt>
                <c:pt idx="22">
                  <c:v>1979.307169199863</c:v>
                </c:pt>
                <c:pt idx="23">
                  <c:v>1753.9456058771568</c:v>
                </c:pt>
                <c:pt idx="24">
                  <c:v>1541.283272452644</c:v>
                </c:pt>
                <c:pt idx="25">
                  <c:v>1325.7320252858156</c:v>
                </c:pt>
                <c:pt idx="26">
                  <c:v>1090.3481138846798</c:v>
                </c:pt>
                <c:pt idx="27">
                  <c:v>838.64271647474698</c:v>
                </c:pt>
                <c:pt idx="28">
                  <c:v>600.54666630574377</c:v>
                </c:pt>
                <c:pt idx="29">
                  <c:v>415.97655166325364</c:v>
                </c:pt>
                <c:pt idx="30">
                  <c:v>297.69240550814368</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4.6004437815300359E-21</c:v>
                </c:pt>
                <c:pt idx="1">
                  <c:v>4.6004437815300358E-20</c:v>
                </c:pt>
                <c:pt idx="2">
                  <c:v>4.6004437815300362E-19</c:v>
                </c:pt>
                <c:pt idx="3">
                  <c:v>4.6004437815300358E-18</c:v>
                </c:pt>
                <c:pt idx="4">
                  <c:v>4.6004437815300355E-17</c:v>
                </c:pt>
                <c:pt idx="5">
                  <c:v>4.6004437815300355E-16</c:v>
                </c:pt>
                <c:pt idx="6">
                  <c:v>4.6004437815300363E-15</c:v>
                </c:pt>
                <c:pt idx="7">
                  <c:v>4.6004437815300357E-14</c:v>
                </c:pt>
                <c:pt idx="8">
                  <c:v>4.6004437815300351E-13</c:v>
                </c:pt>
                <c:pt idx="9">
                  <c:v>4.6004437815300359E-12</c:v>
                </c:pt>
                <c:pt idx="10">
                  <c:v>4.6004437815300359E-11</c:v>
                </c:pt>
                <c:pt idx="11">
                  <c:v>4.6004437815300357E-10</c:v>
                </c:pt>
                <c:pt idx="12">
                  <c:v>4.6004437815300362E-9</c:v>
                </c:pt>
                <c:pt idx="13">
                  <c:v>4.6004437815300357E-8</c:v>
                </c:pt>
                <c:pt idx="14">
                  <c:v>4.6004437815300362E-7</c:v>
                </c:pt>
                <c:pt idx="15">
                  <c:v>4.6004437815300354E-6</c:v>
                </c:pt>
                <c:pt idx="16">
                  <c:v>4.600443781530036E-5</c:v>
                </c:pt>
                <c:pt idx="17">
                  <c:v>4.600443781530036E-4</c:v>
                </c:pt>
                <c:pt idx="18">
                  <c:v>4.6004437815300361E-3</c:v>
                </c:pt>
                <c:pt idx="19">
                  <c:v>4.6004437815300357E-2</c:v>
                </c:pt>
                <c:pt idx="20">
                  <c:v>0.46004437815300359</c:v>
                </c:pt>
                <c:pt idx="21">
                  <c:v>4.6004437815300356</c:v>
                </c:pt>
                <c:pt idx="22">
                  <c:v>46.004437815300356</c:v>
                </c:pt>
                <c:pt idx="23">
                  <c:v>460.04437815300355</c:v>
                </c:pt>
                <c:pt idx="24">
                  <c:v>4600.4437815300362</c:v>
                </c:pt>
                <c:pt idx="25">
                  <c:v>46004.437815300356</c:v>
                </c:pt>
                <c:pt idx="26">
                  <c:v>460044.37815300358</c:v>
                </c:pt>
                <c:pt idx="27">
                  <c:v>4600443.7815300357</c:v>
                </c:pt>
                <c:pt idx="28">
                  <c:v>46004437.81530036</c:v>
                </c:pt>
                <c:pt idx="29">
                  <c:v>460044378.15300357</c:v>
                </c:pt>
                <c:pt idx="30">
                  <c:v>4600443781.530036</c:v>
                </c:pt>
              </c:numCache>
            </c:numRef>
          </c:xVal>
          <c:yVal>
            <c:numRef>
              <c:f>'Mastercurve bestimmen'!$N$404:$N$434</c:f>
              <c:numCache>
                <c:formatCode>0.00E+00</c:formatCode>
                <c:ptCount val="31"/>
                <c:pt idx="0">
                  <c:v>6840.5863197092085</c:v>
                </c:pt>
                <c:pt idx="1">
                  <c:v>6643.5965561721414</c:v>
                </c:pt>
                <c:pt idx="2">
                  <c:v>6527.1577578820725</c:v>
                </c:pt>
                <c:pt idx="3">
                  <c:v>6412.9995296962652</c:v>
                </c:pt>
                <c:pt idx="4">
                  <c:v>6286.8028992665704</c:v>
                </c:pt>
                <c:pt idx="5">
                  <c:v>6151.4165633211096</c:v>
                </c:pt>
                <c:pt idx="6">
                  <c:v>5999.0572498672</c:v>
                </c:pt>
                <c:pt idx="7">
                  <c:v>5834.1918541119712</c:v>
                </c:pt>
                <c:pt idx="8">
                  <c:v>5660.667941479277</c:v>
                </c:pt>
                <c:pt idx="9">
                  <c:v>5500.6338050295499</c:v>
                </c:pt>
                <c:pt idx="10">
                  <c:v>5316.0543139142828</c:v>
                </c:pt>
                <c:pt idx="11">
                  <c:v>5094.9618199282804</c:v>
                </c:pt>
                <c:pt idx="12">
                  <c:v>4859.6753740182503</c:v>
                </c:pt>
                <c:pt idx="13">
                  <c:v>4653.8175879978271</c:v>
                </c:pt>
                <c:pt idx="14">
                  <c:v>4469.1753341299773</c:v>
                </c:pt>
                <c:pt idx="15">
                  <c:v>4267.9652571239076</c:v>
                </c:pt>
                <c:pt idx="16">
                  <c:v>3976.7785402340392</c:v>
                </c:pt>
                <c:pt idx="17">
                  <c:v>3445.6591436468279</c:v>
                </c:pt>
                <c:pt idx="18">
                  <c:v>2839.3657389117534</c:v>
                </c:pt>
                <c:pt idx="19">
                  <c:v>2338.5721090290958</c:v>
                </c:pt>
                <c:pt idx="20">
                  <c:v>1960.3272335044344</c:v>
                </c:pt>
                <c:pt idx="21">
                  <c:v>1656.3185875611684</c:v>
                </c:pt>
                <c:pt idx="22">
                  <c:v>1387.2108481854204</c:v>
                </c:pt>
                <c:pt idx="23">
                  <c:v>1120.1049206759617</c:v>
                </c:pt>
                <c:pt idx="24">
                  <c:v>849.29779427462438</c:v>
                </c:pt>
                <c:pt idx="25">
                  <c:v>602.02056954985051</c:v>
                </c:pt>
                <c:pt idx="26">
                  <c:v>414.55153000594095</c:v>
                </c:pt>
                <c:pt idx="27">
                  <c:v>296.76424848335745</c:v>
                </c:pt>
                <c:pt idx="28">
                  <c:v>236.5039430342818</c:v>
                </c:pt>
                <c:pt idx="29">
                  <c:v>206.64782998877558</c:v>
                </c:pt>
                <c:pt idx="30">
                  <c:v>191.80670583863778</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5776.5900052436255</c:v>
                </c:pt>
                <c:pt idx="1">
                  <c:v>5571.6920956359099</c:v>
                </c:pt>
                <c:pt idx="2">
                  <c:v>5400.7646013667554</c:v>
                </c:pt>
                <c:pt idx="3">
                  <c:v>5215.0678795321228</c:v>
                </c:pt>
                <c:pt idx="4">
                  <c:v>4985.425095489265</c:v>
                </c:pt>
                <c:pt idx="5">
                  <c:v>4758.3350912889036</c:v>
                </c:pt>
                <c:pt idx="6">
                  <c:v>4565.5114420012915</c:v>
                </c:pt>
                <c:pt idx="7">
                  <c:v>4384.874474223483</c:v>
                </c:pt>
                <c:pt idx="8">
                  <c:v>4203.1654341512503</c:v>
                </c:pt>
                <c:pt idx="9">
                  <c:v>4026.8171479490911</c:v>
                </c:pt>
                <c:pt idx="10">
                  <c:v>3842.8247437350828</c:v>
                </c:pt>
                <c:pt idx="11">
                  <c:v>3637.9090125528774</c:v>
                </c:pt>
                <c:pt idx="12">
                  <c:v>3407.0475124340101</c:v>
                </c:pt>
                <c:pt idx="13">
                  <c:v>3145.7192687287707</c:v>
                </c:pt>
                <c:pt idx="14">
                  <c:v>2837.9758401657195</c:v>
                </c:pt>
                <c:pt idx="15">
                  <c:v>2426.1662837806571</c:v>
                </c:pt>
                <c:pt idx="16">
                  <c:v>1854.808278855141</c:v>
                </c:pt>
                <c:pt idx="17">
                  <c:v>1269.173844412863</c:v>
                </c:pt>
                <c:pt idx="18">
                  <c:v>808.20803145416335</c:v>
                </c:pt>
                <c:pt idx="19">
                  <c:v>509.02880387480866</c:v>
                </c:pt>
                <c:pt idx="20">
                  <c:v>344.05387649356049</c:v>
                </c:pt>
                <c:pt idx="21">
                  <c:v>262.73242624087396</c:v>
                </c:pt>
                <c:pt idx="22">
                  <c:v>222.939887660718</c:v>
                </c:pt>
                <c:pt idx="23">
                  <c:v>201.32214117210117</c:v>
                </c:pt>
                <c:pt idx="24">
                  <c:v>188.02569432355588</c:v>
                </c:pt>
                <c:pt idx="25">
                  <c:v>181.14617749166206</c:v>
                </c:pt>
                <c:pt idx="26">
                  <c:v>171.73287142228415</c:v>
                </c:pt>
                <c:pt idx="27">
                  <c:v>164.88164851800227</c:v>
                </c:pt>
                <c:pt idx="28">
                  <c:v>164.50146393142782</c:v>
                </c:pt>
                <c:pt idx="29">
                  <c:v>163.00727748318997</c:v>
                </c:pt>
                <c:pt idx="30">
                  <c:v>162.92272722143832</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3.1704321460228724E-10</c:v>
                </c:pt>
                <c:pt idx="1">
                  <c:v>3.1704321460228722E-9</c:v>
                </c:pt>
                <c:pt idx="2">
                  <c:v>3.1704321460228725E-8</c:v>
                </c:pt>
                <c:pt idx="3">
                  <c:v>3.1704321460228722E-7</c:v>
                </c:pt>
                <c:pt idx="4">
                  <c:v>3.1704321460228721E-6</c:v>
                </c:pt>
                <c:pt idx="5">
                  <c:v>3.1704321460228723E-5</c:v>
                </c:pt>
                <c:pt idx="6">
                  <c:v>3.1704321460228726E-4</c:v>
                </c:pt>
                <c:pt idx="7">
                  <c:v>3.1704321460228721E-3</c:v>
                </c:pt>
                <c:pt idx="8">
                  <c:v>3.1704321460228717E-2</c:v>
                </c:pt>
                <c:pt idx="9">
                  <c:v>0.31704321460228718</c:v>
                </c:pt>
                <c:pt idx="10">
                  <c:v>3.1704321460228724</c:v>
                </c:pt>
                <c:pt idx="11">
                  <c:v>31.704321460228723</c:v>
                </c:pt>
                <c:pt idx="12">
                  <c:v>317.04321460228721</c:v>
                </c:pt>
                <c:pt idx="13">
                  <c:v>3170.4321460228721</c:v>
                </c:pt>
                <c:pt idx="14">
                  <c:v>31704.321460228723</c:v>
                </c:pt>
                <c:pt idx="15">
                  <c:v>317043.21460228722</c:v>
                </c:pt>
                <c:pt idx="16">
                  <c:v>3170432.1460228721</c:v>
                </c:pt>
                <c:pt idx="17">
                  <c:v>31704321.460228723</c:v>
                </c:pt>
                <c:pt idx="18">
                  <c:v>317043214.60228723</c:v>
                </c:pt>
                <c:pt idx="19">
                  <c:v>3170432146.022872</c:v>
                </c:pt>
                <c:pt idx="20">
                  <c:v>31704321460.228722</c:v>
                </c:pt>
                <c:pt idx="21">
                  <c:v>317043214602.28723</c:v>
                </c:pt>
                <c:pt idx="22">
                  <c:v>3170432146022.8721</c:v>
                </c:pt>
                <c:pt idx="23">
                  <c:v>31704321460228.723</c:v>
                </c:pt>
                <c:pt idx="24">
                  <c:v>317043214602287.19</c:v>
                </c:pt>
                <c:pt idx="25">
                  <c:v>3170432146022872</c:v>
                </c:pt>
                <c:pt idx="26">
                  <c:v>3.170432146022872E+16</c:v>
                </c:pt>
                <c:pt idx="27">
                  <c:v>3.1704321460228723E+17</c:v>
                </c:pt>
                <c:pt idx="28">
                  <c:v>3.1704321460228721E+18</c:v>
                </c:pt>
                <c:pt idx="29">
                  <c:v>3.1704321460228723E+19</c:v>
                </c:pt>
                <c:pt idx="30">
                  <c:v>3.1704321460228719E+20</c:v>
                </c:pt>
              </c:numCache>
            </c:numRef>
          </c:xVal>
          <c:yVal>
            <c:numRef>
              <c:f>'Mastercurve bestimmen'!$P$404:$P$434</c:f>
              <c:numCache>
                <c:formatCode>0.00E+00</c:formatCode>
                <c:ptCount val="31"/>
                <c:pt idx="0">
                  <c:v>4536.230397827354</c:v>
                </c:pt>
                <c:pt idx="1">
                  <c:v>4303.1205029931816</c:v>
                </c:pt>
                <c:pt idx="2">
                  <c:v>4127.6064584710148</c:v>
                </c:pt>
                <c:pt idx="3">
                  <c:v>3945.604356178083</c:v>
                </c:pt>
                <c:pt idx="4">
                  <c:v>3766.6240058114313</c:v>
                </c:pt>
                <c:pt idx="5">
                  <c:v>3551.9419942460731</c:v>
                </c:pt>
                <c:pt idx="6">
                  <c:v>3318.4500658255338</c:v>
                </c:pt>
                <c:pt idx="7">
                  <c:v>3050.6755206683788</c:v>
                </c:pt>
                <c:pt idx="8">
                  <c:v>2745.1346410108995</c:v>
                </c:pt>
                <c:pt idx="9">
                  <c:v>2379.9691784471511</c:v>
                </c:pt>
                <c:pt idx="10">
                  <c:v>1948.7143373862357</c:v>
                </c:pt>
                <c:pt idx="11">
                  <c:v>1482.8611668944652</c:v>
                </c:pt>
                <c:pt idx="12">
                  <c:v>1064.7698916660522</c:v>
                </c:pt>
                <c:pt idx="13">
                  <c:v>756.04671038027936</c:v>
                </c:pt>
                <c:pt idx="14">
                  <c:v>574.27764486440731</c:v>
                </c:pt>
                <c:pt idx="15">
                  <c:v>472.36033693576201</c:v>
                </c:pt>
                <c:pt idx="16">
                  <c:v>404.76609252146119</c:v>
                </c:pt>
                <c:pt idx="17">
                  <c:v>332.62382454066642</c:v>
                </c:pt>
                <c:pt idx="18">
                  <c:v>270.11210763785351</c:v>
                </c:pt>
                <c:pt idx="19">
                  <c:v>230.23496622900356</c:v>
                </c:pt>
                <c:pt idx="20">
                  <c:v>198.97748766430533</c:v>
                </c:pt>
                <c:pt idx="21">
                  <c:v>182.67861803771595</c:v>
                </c:pt>
                <c:pt idx="22">
                  <c:v>174.62746722417066</c:v>
                </c:pt>
                <c:pt idx="23">
                  <c:v>169.86894542912563</c:v>
                </c:pt>
                <c:pt idx="24">
                  <c:v>166.84170745231376</c:v>
                </c:pt>
                <c:pt idx="25">
                  <c:v>166.12540478353452</c:v>
                </c:pt>
                <c:pt idx="26">
                  <c:v>165.25800429032441</c:v>
                </c:pt>
                <c:pt idx="27">
                  <c:v>162.97529182821398</c:v>
                </c:pt>
                <c:pt idx="28">
                  <c:v>162.91152498499585</c:v>
                </c:pt>
                <c:pt idx="29">
                  <c:v>161.92883558935978</c:v>
                </c:pt>
                <c:pt idx="30">
                  <c:v>161.56401350859798</c:v>
                </c:pt>
              </c:numCache>
            </c:numRef>
          </c:yVal>
          <c:smooth val="1"/>
        </c:ser>
        <c:dLbls>
          <c:showLegendKey val="0"/>
          <c:showVal val="0"/>
          <c:showCatName val="0"/>
          <c:showSerName val="0"/>
          <c:showPercent val="0"/>
          <c:showBubbleSize val="0"/>
        </c:dLbls>
        <c:axId val="454230912"/>
        <c:axId val="454235616"/>
      </c:scatterChart>
      <c:valAx>
        <c:axId val="45423091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35616"/>
        <c:crosses val="autoZero"/>
        <c:crossBetween val="midCat"/>
      </c:valAx>
      <c:valAx>
        <c:axId val="4542356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30912"/>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-38.51735486656284</c:v>
                </c:pt>
                <c:pt idx="1">
                  <c:v>-38.316969833060867</c:v>
                </c:pt>
                <c:pt idx="2">
                  <c:v>-38.116372859750108</c:v>
                </c:pt>
                <c:pt idx="3">
                  <c:v>-37.915352006821749</c:v>
                </c:pt>
                <c:pt idx="4">
                  <c:v>-37.713695334467019</c:v>
                </c:pt>
                <c:pt idx="5">
                  <c:v>-37.511190902877118</c:v>
                </c:pt>
                <c:pt idx="6">
                  <c:v>-37.307626772243246</c:v>
                </c:pt>
                <c:pt idx="7">
                  <c:v>-37.102791002756618</c:v>
                </c:pt>
                <c:pt idx="8">
                  <c:v>-36.896471654608433</c:v>
                </c:pt>
                <c:pt idx="9">
                  <c:v>-36.6884567879899</c:v>
                </c:pt>
                <c:pt idx="10">
                  <c:v>-36.478534463092231</c:v>
                </c:pt>
                <c:pt idx="11">
                  <c:v>-36.266492740106621</c:v>
                </c:pt>
                <c:pt idx="12">
                  <c:v>-36.05211967922429</c:v>
                </c:pt>
                <c:pt idx="13">
                  <c:v>-35.835203340636433</c:v>
                </c:pt>
                <c:pt idx="14">
                  <c:v>-35.615531784534269</c:v>
                </c:pt>
                <c:pt idx="15">
                  <c:v>-35.392893071108993</c:v>
                </c:pt>
                <c:pt idx="16">
                  <c:v>-35.167075260551812</c:v>
                </c:pt>
                <c:pt idx="17">
                  <c:v>-34.937866413053946</c:v>
                </c:pt>
                <c:pt idx="18">
                  <c:v>-34.70505458880659</c:v>
                </c:pt>
                <c:pt idx="19">
                  <c:v>-34.468427848000957</c:v>
                </c:pt>
                <c:pt idx="20">
                  <c:v>-34.227774250828247</c:v>
                </c:pt>
                <c:pt idx="21">
                  <c:v>-33.982881857479668</c:v>
                </c:pt>
                <c:pt idx="22">
                  <c:v>-33.733538728146428</c:v>
                </c:pt>
                <c:pt idx="23">
                  <c:v>-33.47953292301974</c:v>
                </c:pt>
                <c:pt idx="24">
                  <c:v>-33.220652502290804</c:v>
                </c:pt>
                <c:pt idx="25">
                  <c:v>-32.956685526150821</c:v>
                </c:pt>
                <c:pt idx="26">
                  <c:v>-32.687420054791005</c:v>
                </c:pt>
                <c:pt idx="27">
                  <c:v>-32.412644148402563</c:v>
                </c:pt>
                <c:pt idx="28">
                  <c:v>-32.132145867176703</c:v>
                </c:pt>
                <c:pt idx="29">
                  <c:v>-31.845713271304625</c:v>
                </c:pt>
                <c:pt idx="30">
                  <c:v>-31.553134420977536</c:v>
                </c:pt>
                <c:pt idx="31">
                  <c:v>-31.254197376386653</c:v>
                </c:pt>
                <c:pt idx="32">
                  <c:v>-30.948690197723174</c:v>
                </c:pt>
                <c:pt idx="33">
                  <c:v>-30.636400945178305</c:v>
                </c:pt>
                <c:pt idx="34">
                  <c:v>-30.317117678943259</c:v>
                </c:pt>
                <c:pt idx="35">
                  <c:v>-29.990628459209233</c:v>
                </c:pt>
                <c:pt idx="36">
                  <c:v>-29.656721346167444</c:v>
                </c:pt>
                <c:pt idx="37">
                  <c:v>-29.315184400009091</c:v>
                </c:pt>
                <c:pt idx="38">
                  <c:v>-28.965805680925385</c:v>
                </c:pt>
                <c:pt idx="39">
                  <c:v>-28.60837324910753</c:v>
                </c:pt>
                <c:pt idx="40">
                  <c:v>-28.242675164746732</c:v>
                </c:pt>
                <c:pt idx="41">
                  <c:v>-28.087683983082609</c:v>
                </c:pt>
                <c:pt idx="42">
                  <c:v>-27.92477425515704</c:v>
                </c:pt>
                <c:pt idx="43">
                  <c:v>-27.754505027060347</c:v>
                </c:pt>
                <c:pt idx="44">
                  <c:v>-27.577435344882804</c:v>
                </c:pt>
                <c:pt idx="45">
                  <c:v>-27.394124254714733</c:v>
                </c:pt>
                <c:pt idx="46">
                  <c:v>-27.205130802646423</c:v>
                </c:pt>
                <c:pt idx="47">
                  <c:v>-27.011014034768174</c:v>
                </c:pt>
                <c:pt idx="48">
                  <c:v>-26.812332997170287</c:v>
                </c:pt>
                <c:pt idx="49">
                  <c:v>-26.609646735943056</c:v>
                </c:pt>
                <c:pt idx="50">
                  <c:v>-26.403514297176784</c:v>
                </c:pt>
                <c:pt idx="51">
                  <c:v>-26.194494726961775</c:v>
                </c:pt>
                <c:pt idx="52">
                  <c:v>-25.983147071388323</c:v>
                </c:pt>
                <c:pt idx="53">
                  <c:v>-25.770030376546732</c:v>
                </c:pt>
                <c:pt idx="54">
                  <c:v>-25.555703688527295</c:v>
                </c:pt>
                <c:pt idx="55">
                  <c:v>-25.340726053420312</c:v>
                </c:pt>
                <c:pt idx="56">
                  <c:v>-25.125656517316088</c:v>
                </c:pt>
                <c:pt idx="57">
                  <c:v>-24.911054126304919</c:v>
                </c:pt>
                <c:pt idx="58">
                  <c:v>-24.697477926477106</c:v>
                </c:pt>
                <c:pt idx="59">
                  <c:v>-24.485486963922945</c:v>
                </c:pt>
                <c:pt idx="60">
                  <c:v>-24.275640284732734</c:v>
                </c:pt>
                <c:pt idx="61">
                  <c:v>-24.06849693499678</c:v>
                </c:pt>
                <c:pt idx="62">
                  <c:v>-23.864615960805377</c:v>
                </c:pt>
                <c:pt idx="63">
                  <c:v>-23.664556408248828</c:v>
                </c:pt>
                <c:pt idx="64">
                  <c:v>-23.468877323417427</c:v>
                </c:pt>
                <c:pt idx="65">
                  <c:v>-23.278137752401474</c:v>
                </c:pt>
                <c:pt idx="66">
                  <c:v>-23.092733546804116</c:v>
                </c:pt>
                <c:pt idx="67">
                  <c:v>-22.912407780279853</c:v>
                </c:pt>
                <c:pt idx="68">
                  <c:v>-22.736740331996042</c:v>
                </c:pt>
                <c:pt idx="69">
                  <c:v>-22.565311081120036</c:v>
                </c:pt>
                <c:pt idx="70">
                  <c:v>-22.397699906819174</c:v>
                </c:pt>
                <c:pt idx="71">
                  <c:v>-22.233486688260818</c:v>
                </c:pt>
                <c:pt idx="72">
                  <c:v>-22.072251304612312</c:v>
                </c:pt>
                <c:pt idx="73">
                  <c:v>-21.913573635041008</c:v>
                </c:pt>
                <c:pt idx="74">
                  <c:v>-21.757033558714255</c:v>
                </c:pt>
                <c:pt idx="75">
                  <c:v>-21.602210954799403</c:v>
                </c:pt>
                <c:pt idx="76">
                  <c:v>-21.448685702463813</c:v>
                </c:pt>
                <c:pt idx="77">
                  <c:v>-21.296037680874818</c:v>
                </c:pt>
                <c:pt idx="78">
                  <c:v>-21.143846769199779</c:v>
                </c:pt>
                <c:pt idx="79">
                  <c:v>-20.991692846606043</c:v>
                </c:pt>
                <c:pt idx="80">
                  <c:v>-20.839155792260961</c:v>
                </c:pt>
                <c:pt idx="81">
                  <c:v>-20.685815485331887</c:v>
                </c:pt>
                <c:pt idx="82">
                  <c:v>-20.531251804986166</c:v>
                </c:pt>
                <c:pt idx="83">
                  <c:v>-20.375044630391152</c:v>
                </c:pt>
                <c:pt idx="84">
                  <c:v>-20.216773840714193</c:v>
                </c:pt>
                <c:pt idx="85">
                  <c:v>-20.05601931512264</c:v>
                </c:pt>
                <c:pt idx="86">
                  <c:v>-19.892360932783845</c:v>
                </c:pt>
                <c:pt idx="87">
                  <c:v>-19.725378572865154</c:v>
                </c:pt>
                <c:pt idx="88">
                  <c:v>-19.554652114533923</c:v>
                </c:pt>
                <c:pt idx="89">
                  <c:v>-19.379761436957502</c:v>
                </c:pt>
                <c:pt idx="90">
                  <c:v>-19.200286419303232</c:v>
                </c:pt>
                <c:pt idx="91">
                  <c:v>-19.015906527381485</c:v>
                </c:pt>
                <c:pt idx="92">
                  <c:v>-18.826699573574675</c:v>
                </c:pt>
                <c:pt idx="93">
                  <c:v>-18.632842956908227</c:v>
                </c:pt>
                <c:pt idx="94">
                  <c:v>-18.434514076407563</c:v>
                </c:pt>
                <c:pt idx="95">
                  <c:v>-18.231890331098111</c:v>
                </c:pt>
                <c:pt idx="96">
                  <c:v>-18.025149120005299</c:v>
                </c:pt>
                <c:pt idx="97">
                  <c:v>-17.814467842154549</c:v>
                </c:pt>
                <c:pt idx="98">
                  <c:v>-17.600023896571294</c:v>
                </c:pt>
                <c:pt idx="99">
                  <c:v>-17.381994682280951</c:v>
                </c:pt>
                <c:pt idx="100">
                  <c:v>-17.160557598308952</c:v>
                </c:pt>
                <c:pt idx="101">
                  <c:v>-16.935890043680722</c:v>
                </c:pt>
                <c:pt idx="102">
                  <c:v>-16.708169417421686</c:v>
                </c:pt>
                <c:pt idx="103">
                  <c:v>-16.47757311855727</c:v>
                </c:pt>
                <c:pt idx="104">
                  <c:v>-16.244278546112902</c:v>
                </c:pt>
                <c:pt idx="105">
                  <c:v>-16.008463099114003</c:v>
                </c:pt>
                <c:pt idx="106">
                  <c:v>-15.770304176586006</c:v>
                </c:pt>
                <c:pt idx="107">
                  <c:v>-15.529979177554331</c:v>
                </c:pt>
                <c:pt idx="108">
                  <c:v>-15.287665501044408</c:v>
                </c:pt>
                <c:pt idx="109">
                  <c:v>-15.043540546081658</c:v>
                </c:pt>
                <c:pt idx="110">
                  <c:v>-14.797781711691513</c:v>
                </c:pt>
                <c:pt idx="111">
                  <c:v>-14.550566396899399</c:v>
                </c:pt>
                <c:pt idx="112">
                  <c:v>-14.302072000730735</c:v>
                </c:pt>
                <c:pt idx="113">
                  <c:v>-14.052475922210952</c:v>
                </c:pt>
                <c:pt idx="114">
                  <c:v>-13.801955560365476</c:v>
                </c:pt>
                <c:pt idx="115">
                  <c:v>-13.550688314219732</c:v>
                </c:pt>
                <c:pt idx="116">
                  <c:v>-13.298851582799147</c:v>
                </c:pt>
                <c:pt idx="117">
                  <c:v>-13.046622765129145</c:v>
                </c:pt>
                <c:pt idx="118">
                  <c:v>-12.794179260235154</c:v>
                </c:pt>
                <c:pt idx="119">
                  <c:v>-12.541698467142599</c:v>
                </c:pt>
                <c:pt idx="120">
                  <c:v>-12.289357784876906</c:v>
                </c:pt>
                <c:pt idx="121">
                  <c:v>-12.037291204320994</c:v>
                </c:pt>
                <c:pt idx="122">
                  <c:v>-11.785459083787751</c:v>
                </c:pt>
                <c:pt idx="123">
                  <c:v>-11.533778373447555</c:v>
                </c:pt>
                <c:pt idx="124">
                  <c:v>-11.28216602347079</c:v>
                </c:pt>
                <c:pt idx="125">
                  <c:v>-11.030538984027835</c:v>
                </c:pt>
                <c:pt idx="126">
                  <c:v>-10.77881420528907</c:v>
                </c:pt>
                <c:pt idx="127">
                  <c:v>-10.526908637424876</c:v>
                </c:pt>
                <c:pt idx="128">
                  <c:v>-10.274739230605631</c:v>
                </c:pt>
                <c:pt idx="129">
                  <c:v>-10.022222935001716</c:v>
                </c:pt>
                <c:pt idx="130">
                  <c:v>-9.7692767007835144</c:v>
                </c:pt>
                <c:pt idx="131">
                  <c:v>-9.5158174781214058</c:v>
                </c:pt>
                <c:pt idx="132">
                  <c:v>-9.2617622171857672</c:v>
                </c:pt>
                <c:pt idx="133">
                  <c:v>-9.0070278681469826</c:v>
                </c:pt>
                <c:pt idx="134">
                  <c:v>-8.7515313811754289</c:v>
                </c:pt>
                <c:pt idx="135">
                  <c:v>-8.4951897064414901</c:v>
                </c:pt>
                <c:pt idx="136">
                  <c:v>-8.2379197941155446</c:v>
                </c:pt>
                <c:pt idx="137">
                  <c:v>-7.9796385943679731</c:v>
                </c:pt>
                <c:pt idx="138">
                  <c:v>-7.7202630573691549</c:v>
                </c:pt>
                <c:pt idx="139">
                  <c:v>-7.4597101332894722</c:v>
                </c:pt>
                <c:pt idx="140">
                  <c:v>-7.1978967722993046</c:v>
                </c:pt>
                <c:pt idx="141">
                  <c:v>-6.9347399245690315</c:v>
                </c:pt>
                <c:pt idx="142">
                  <c:v>-6.6701565402690335</c:v>
                </c:pt>
                <c:pt idx="143">
                  <c:v>-6.4040635695696917</c:v>
                </c:pt>
                <c:pt idx="144">
                  <c:v>-6.1363779626413875</c:v>
                </c:pt>
                <c:pt idx="145">
                  <c:v>-5.8670166696545003</c:v>
                </c:pt>
                <c:pt idx="146">
                  <c:v>-5.5958966407794088</c:v>
                </c:pt>
                <c:pt idx="147">
                  <c:v>-5.3229348261864962</c:v>
                </c:pt>
                <c:pt idx="148">
                  <c:v>-5.0480481760461409</c:v>
                </c:pt>
                <c:pt idx="149">
                  <c:v>-4.7711536405287225</c:v>
                </c:pt>
                <c:pt idx="150">
                  <c:v>-4.4921681698046241</c:v>
                </c:pt>
                <c:pt idx="151">
                  <c:v>-4.2110087140442243</c:v>
                </c:pt>
                <c:pt idx="152">
                  <c:v>-3.9275922234179026</c:v>
                </c:pt>
                <c:pt idx="153">
                  <c:v>-3.6418356480960412</c:v>
                </c:pt>
                <c:pt idx="154">
                  <c:v>-3.3536559382490201</c:v>
                </c:pt>
                <c:pt idx="155">
                  <c:v>-3.0629700440472187</c:v>
                </c:pt>
                <c:pt idx="156">
                  <c:v>-2.769694915661018</c:v>
                </c:pt>
                <c:pt idx="157">
                  <c:v>-2.4737475032607987</c:v>
                </c:pt>
                <c:pt idx="158">
                  <c:v>-2.1750447570169404</c:v>
                </c:pt>
                <c:pt idx="159">
                  <c:v>-1.873503627099824</c:v>
                </c:pt>
                <c:pt idx="160">
                  <c:v>-1.5690410636798293</c:v>
                </c:pt>
                <c:pt idx="161">
                  <c:v>-1.2615740169273373</c:v>
                </c:pt>
                <c:pt idx="162">
                  <c:v>-0.95101943701272806</c:v>
                </c:pt>
                <c:pt idx="163">
                  <c:v>-0.63729427410638173</c:v>
                </c:pt>
                <c:pt idx="164">
                  <c:v>-0.32031547837867902</c:v>
                </c:pt>
                <c:pt idx="165">
                  <c:v>2.2204460492503131E-16</c:v>
                </c:pt>
                <c:pt idx="166">
                  <c:v>0.32370508478062104</c:v>
                </c:pt>
                <c:pt idx="167">
                  <c:v>0.65073219539953531</c:v>
                </c:pt>
                <c:pt idx="168">
                  <c:v>0.98098362521443982</c:v>
                </c:pt>
                <c:pt idx="169">
                  <c:v>1.3143616675830321</c:v>
                </c:pt>
                <c:pt idx="170">
                  <c:v>1.6507686158630093</c:v>
                </c:pt>
                <c:pt idx="171">
                  <c:v>1.9901067634120684</c:v>
                </c:pt>
                <c:pt idx="172">
                  <c:v>2.3322784035879072</c:v>
                </c:pt>
                <c:pt idx="173">
                  <c:v>2.6771858297482223</c:v>
                </c:pt>
                <c:pt idx="174">
                  <c:v>3.0247313352507117</c:v>
                </c:pt>
                <c:pt idx="175">
                  <c:v>3.3748172134530723</c:v>
                </c:pt>
                <c:pt idx="176">
                  <c:v>3.7273457577130014</c:v>
                </c:pt>
                <c:pt idx="177">
                  <c:v>4.0822192613881958</c:v>
                </c:pt>
                <c:pt idx="178">
                  <c:v>4.4393400178363533</c:v>
                </c:pt>
                <c:pt idx="179">
                  <c:v>4.7986103204151709</c:v>
                </c:pt>
                <c:pt idx="180">
                  <c:v>5.159932462482347</c:v>
                </c:pt>
                <c:pt idx="181">
                  <c:v>5.5232087373955769</c:v>
                </c:pt>
                <c:pt idx="182">
                  <c:v>5.8883414385125583</c:v>
                </c:pt>
                <c:pt idx="183">
                  <c:v>6.2552328591909907</c:v>
                </c:pt>
                <c:pt idx="184">
                  <c:v>6.6237852927885683</c:v>
                </c:pt>
                <c:pt idx="185">
                  <c:v>6.9939010326629898</c:v>
                </c:pt>
                <c:pt idx="186">
                  <c:v>7.3654823721719529</c:v>
                </c:pt>
                <c:pt idx="187">
                  <c:v>7.7384316046731545</c:v>
                </c:pt>
                <c:pt idx="188">
                  <c:v>8.1126510235242915</c:v>
                </c:pt>
                <c:pt idx="189">
                  <c:v>8.4880429220830607</c:v>
                </c:pt>
                <c:pt idx="190">
                  <c:v>8.8645095937071599</c:v>
                </c:pt>
                <c:pt idx="191">
                  <c:v>9.2419533317542886</c:v>
                </c:pt>
                <c:pt idx="192">
                  <c:v>9.6202764295821392</c:v>
                </c:pt>
                <c:pt idx="193">
                  <c:v>9.9993811805484132</c:v>
                </c:pt>
                <c:pt idx="194">
                  <c:v>10.379169878010806</c:v>
                </c:pt>
                <c:pt idx="195">
                  <c:v>10.759544815327017</c:v>
                </c:pt>
                <c:pt idx="196">
                  <c:v>11.140408285854738</c:v>
                </c:pt>
                <c:pt idx="197">
                  <c:v>11.521662582951672</c:v>
                </c:pt>
                <c:pt idx="198">
                  <c:v>11.903209999975514</c:v>
                </c:pt>
                <c:pt idx="199">
                  <c:v>12.284952830283961</c:v>
                </c:pt>
                <c:pt idx="200">
                  <c:v>12.666793367234712</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-38.51735486656284</c:v>
                </c:pt>
                <c:pt idx="1">
                  <c:v>-28.242675164746736</c:v>
                </c:pt>
                <c:pt idx="2">
                  <c:v>-23.278137752401474</c:v>
                </c:pt>
                <c:pt idx="3">
                  <c:v>-19.200286419303232</c:v>
                </c:pt>
                <c:pt idx="4">
                  <c:v>-12.289357784876906</c:v>
                </c:pt>
                <c:pt idx="5">
                  <c:v>0</c:v>
                </c:pt>
                <c:pt idx="6">
                  <c:v>12.666793367234712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-38.311084758715765</c:v>
                </c:pt>
                <c:pt idx="1">
                  <c:v>-38.185547191471187</c:v>
                </c:pt>
                <c:pt idx="2">
                  <c:v>-38.049544979208804</c:v>
                </c:pt>
                <c:pt idx="3">
                  <c:v>-37.903225686319502</c:v>
                </c:pt>
                <c:pt idx="4">
                  <c:v>-37.74678613656863</c:v>
                </c:pt>
                <c:pt idx="5">
                  <c:v>-37.580467604655382</c:v>
                </c:pt>
                <c:pt idx="6">
                  <c:v>-37.404551232470112</c:v>
                </c:pt>
                <c:pt idx="7">
                  <c:v>-37.219353664291589</c:v>
                </c:pt>
                <c:pt idx="8">
                  <c:v>-37.025222895277011</c:v>
                </c:pt>
                <c:pt idx="9">
                  <c:v>-36.822534327634116</c:v>
                </c:pt>
                <c:pt idx="10">
                  <c:v>-36.611687028935762</c:v>
                </c:pt>
                <c:pt idx="11">
                  <c:v>-36.393100187111202</c:v>
                </c:pt>
                <c:pt idx="12">
                  <c:v>-36.167209756700402</c:v>
                </c:pt>
                <c:pt idx="13">
                  <c:v>-35.934465291031302</c:v>
                </c:pt>
                <c:pt idx="14">
                  <c:v>-35.695326955038752</c:v>
                </c:pt>
                <c:pt idx="15">
                  <c:v>-35.450262713521624</c:v>
                </c:pt>
                <c:pt idx="16">
                  <c:v>-35.199745689668362</c:v>
                </c:pt>
                <c:pt idx="17">
                  <c:v>-34.944251688792576</c:v>
                </c:pt>
                <c:pt idx="18">
                  <c:v>-34.684256882243119</c:v>
                </c:pt>
                <c:pt idx="19">
                  <c:v>-34.420235646535673</c:v>
                </c:pt>
                <c:pt idx="20">
                  <c:v>-34.152658552823141</c:v>
                </c:pt>
                <c:pt idx="21">
                  <c:v>-33.881990501874839</c:v>
                </c:pt>
                <c:pt idx="22">
                  <c:v>-33.608688999806532</c:v>
                </c:pt>
                <c:pt idx="23">
                  <c:v>-33.333202569864284</c:v>
                </c:pt>
                <c:pt idx="24">
                  <c:v>-33.055969295634071</c:v>
                </c:pt>
                <c:pt idx="25">
                  <c:v>-32.777415491110304</c:v>
                </c:pt>
                <c:pt idx="26">
                  <c:v>-32.497954493122705</c:v>
                </c:pt>
                <c:pt idx="27">
                  <c:v>-32.217985571685716</c:v>
                </c:pt>
                <c:pt idx="28">
                  <c:v>-31.937892953898938</c:v>
                </c:pt>
                <c:pt idx="29">
                  <c:v>-31.658044957092358</c:v>
                </c:pt>
                <c:pt idx="30">
                  <c:v>-31.378793226974125</c:v>
                </c:pt>
                <c:pt idx="31">
                  <c:v>-31.10047207660682</c:v>
                </c:pt>
                <c:pt idx="32">
                  <c:v>-30.823397922093164</c:v>
                </c:pt>
                <c:pt idx="33">
                  <c:v>-30.547868810936762</c:v>
                </c:pt>
                <c:pt idx="34">
                  <c:v>-30.274164039076908</c:v>
                </c:pt>
                <c:pt idx="35">
                  <c:v>-30.002543852700626</c:v>
                </c:pt>
                <c:pt idx="36">
                  <c:v>-29.733249230960908</c:v>
                </c:pt>
                <c:pt idx="37">
                  <c:v>-29.466501745824843</c:v>
                </c:pt>
                <c:pt idx="38">
                  <c:v>-29.202503495323299</c:v>
                </c:pt>
                <c:pt idx="39">
                  <c:v>-28.941437106544171</c:v>
                </c:pt>
                <c:pt idx="40">
                  <c:v>-28.683465804776162</c:v>
                </c:pt>
                <c:pt idx="41">
                  <c:v>-28.428733545274582</c:v>
                </c:pt>
                <c:pt idx="42">
                  <c:v>-28.177365204183019</c:v>
                </c:pt>
                <c:pt idx="43">
                  <c:v>-27.929466825214405</c:v>
                </c:pt>
                <c:pt idx="44">
                  <c:v>-27.685125918753414</c:v>
                </c:pt>
                <c:pt idx="45">
                  <c:v>-27.444411810114701</c:v>
                </c:pt>
                <c:pt idx="46">
                  <c:v>-27.207376033747138</c:v>
                </c:pt>
                <c:pt idx="47">
                  <c:v>-26.974052770248221</c:v>
                </c:pt>
                <c:pt idx="48">
                  <c:v>-26.744459323109965</c:v>
                </c:pt>
                <c:pt idx="49">
                  <c:v>-26.518596632188377</c:v>
                </c:pt>
                <c:pt idx="50">
                  <c:v>-26.296449820947736</c:v>
                </c:pt>
                <c:pt idx="51">
                  <c:v>-26.07798877460182</c:v>
                </c:pt>
                <c:pt idx="52">
                  <c:v>-25.863168746332484</c:v>
                </c:pt>
                <c:pt idx="53">
                  <c:v>-25.651930988837577</c:v>
                </c:pt>
                <c:pt idx="54">
                  <c:v>-25.444203408518355</c:v>
                </c:pt>
                <c:pt idx="55">
                  <c:v>-25.239901239686766</c:v>
                </c:pt>
                <c:pt idx="56">
                  <c:v>-25.038927736234157</c:v>
                </c:pt>
                <c:pt idx="57">
                  <c:v>-24.841174878270131</c:v>
                </c:pt>
                <c:pt idx="58">
                  <c:v>-24.646524091302958</c:v>
                </c:pt>
                <c:pt idx="59">
                  <c:v>-24.454846975599416</c:v>
                </c:pt>
                <c:pt idx="60">
                  <c:v>-24.266006043426376</c:v>
                </c:pt>
                <c:pt idx="61">
                  <c:v>-24.079855461940415</c:v>
                </c:pt>
                <c:pt idx="62">
                  <c:v>-23.896241799557146</c:v>
                </c:pt>
                <c:pt idx="63">
                  <c:v>-23.71500477369721</c:v>
                </c:pt>
                <c:pt idx="64">
                  <c:v>-23.535977997869534</c:v>
                </c:pt>
                <c:pt idx="65">
                  <c:v>-23.358989726118217</c:v>
                </c:pt>
                <c:pt idx="66">
                  <c:v>-23.183863592923601</c:v>
                </c:pt>
                <c:pt idx="67">
                  <c:v>-23.010419346713562</c:v>
                </c:pt>
                <c:pt idx="68">
                  <c:v>-22.838473575204475</c:v>
                </c:pt>
                <c:pt idx="69">
                  <c:v>-22.667840420858361</c:v>
                </c:pt>
                <c:pt idx="70">
                  <c:v>-22.498332284804896</c:v>
                </c:pt>
                <c:pt idx="71">
                  <c:v>-22.329760517643486</c:v>
                </c:pt>
                <c:pt idx="72">
                  <c:v>-22.161936095605405</c:v>
                </c:pt>
                <c:pt idx="73">
                  <c:v>-21.994670280619516</c:v>
                </c:pt>
                <c:pt idx="74">
                  <c:v>-21.827775262891265</c:v>
                </c:pt>
                <c:pt idx="75">
                  <c:v>-21.661064784668497</c:v>
                </c:pt>
                <c:pt idx="76">
                  <c:v>-21.494354743933108</c:v>
                </c:pt>
                <c:pt idx="77">
                  <c:v>-21.327463776821585</c:v>
                </c:pt>
                <c:pt idx="78">
                  <c:v>-21.160213817643179</c:v>
                </c:pt>
                <c:pt idx="79">
                  <c:v>-20.992430635428317</c:v>
                </c:pt>
                <c:pt idx="80">
                  <c:v>-20.823944346005469</c:v>
                </c:pt>
                <c:pt idx="81">
                  <c:v>-20.654589898668778</c:v>
                </c:pt>
                <c:pt idx="82">
                  <c:v>-20.484207536564249</c:v>
                </c:pt>
                <c:pt idx="83">
                  <c:v>-20.3126432299862</c:v>
                </c:pt>
                <c:pt idx="84">
                  <c:v>-20.13974908184154</c:v>
                </c:pt>
                <c:pt idx="85">
                  <c:v>-19.965383704603237</c:v>
                </c:pt>
                <c:pt idx="86">
                  <c:v>-19.789412568139824</c:v>
                </c:pt>
                <c:pt idx="87">
                  <c:v>-19.611708317872029</c:v>
                </c:pt>
                <c:pt idx="88">
                  <c:v>-19.432151062773084</c:v>
                </c:pt>
                <c:pt idx="89">
                  <c:v>-19.250628632793251</c:v>
                </c:pt>
                <c:pt idx="90">
                  <c:v>-19.067036805354562</c:v>
                </c:pt>
                <c:pt idx="91">
                  <c:v>-18.881279500626285</c:v>
                </c:pt>
                <c:pt idx="92">
                  <c:v>-18.693268945356248</c:v>
                </c:pt>
                <c:pt idx="93">
                  <c:v>-18.502925805098357</c:v>
                </c:pt>
                <c:pt idx="94">
                  <c:v>-18.31017928474105</c:v>
                </c:pt>
                <c:pt idx="95">
                  <c:v>-18.114967197306431</c:v>
                </c:pt>
                <c:pt idx="96">
                  <c:v>-17.91723600105454</c:v>
                </c:pt>
                <c:pt idx="97">
                  <c:v>-17.716940804992078</c:v>
                </c:pt>
                <c:pt idx="98">
                  <c:v>-17.514045342949505</c:v>
                </c:pt>
                <c:pt idx="99">
                  <c:v>-17.308521916455522</c:v>
                </c:pt>
                <c:pt idx="100">
                  <c:v>-17.10035130670245</c:v>
                </c:pt>
                <c:pt idx="101">
                  <c:v>-16.889522655960945</c:v>
                </c:pt>
                <c:pt idx="102">
                  <c:v>-16.676033318867326</c:v>
                </c:pt>
                <c:pt idx="103">
                  <c:v>-16.459888684071419</c:v>
                </c:pt>
                <c:pt idx="104">
                  <c:v>-16.241101966797821</c:v>
                </c:pt>
                <c:pt idx="105">
                  <c:v>-16.019693972938001</c:v>
                </c:pt>
                <c:pt idx="106">
                  <c:v>-15.795692835355791</c:v>
                </c:pt>
                <c:pt idx="107">
                  <c:v>-15.569133723153287</c:v>
                </c:pt>
                <c:pt idx="108">
                  <c:v>-15.340058524709194</c:v>
                </c:pt>
                <c:pt idx="109">
                  <c:v>-15.108515505366229</c:v>
                </c:pt>
                <c:pt idx="110">
                  <c:v>-14.874558940709319</c:v>
                </c:pt>
                <c:pt idx="111">
                  <c:v>-14.638248726440672</c:v>
                </c:pt>
                <c:pt idx="112">
                  <c:v>-14.399649965922967</c:v>
                </c:pt>
                <c:pt idx="113">
                  <c:v>-14.158832536526569</c:v>
                </c:pt>
                <c:pt idx="114">
                  <c:v>-13.91587063598134</c:v>
                </c:pt>
                <c:pt idx="115">
                  <c:v>-13.670842309998632</c:v>
                </c:pt>
                <c:pt idx="116">
                  <c:v>-13.423828962493642</c:v>
                </c:pt>
                <c:pt idx="117">
                  <c:v>-13.174914849803283</c:v>
                </c:pt>
                <c:pt idx="118">
                  <c:v>-12.924186560359264</c:v>
                </c:pt>
                <c:pt idx="119">
                  <c:v>-12.671732481341142</c:v>
                </c:pt>
                <c:pt idx="120">
                  <c:v>-12.417642253898716</c:v>
                </c:pt>
                <c:pt idx="121">
                  <c:v>-12.162006218597933</c:v>
                </c:pt>
                <c:pt idx="122">
                  <c:v>-11.904914852809387</c:v>
                </c:pt>
                <c:pt idx="123">
                  <c:v>-11.646458201823139</c:v>
                </c:pt>
                <c:pt idx="124">
                  <c:v>-11.386725305538432</c:v>
                </c:pt>
                <c:pt idx="125">
                  <c:v>-11.125803622641705</c:v>
                </c:pt>
                <c:pt idx="126">
                  <c:v>-10.863778454251065</c:v>
                </c:pt>
                <c:pt idx="127">
                  <c:v>-10.600732369070085</c:v>
                </c:pt>
                <c:pt idx="128">
                  <c:v>-10.336744632158776</c:v>
                </c:pt>
                <c:pt idx="129">
                  <c:v>-10.071890639494159</c:v>
                </c:pt>
                <c:pt idx="130">
                  <c:v>-9.8062413605578307</c:v>
                </c:pt>
                <c:pt idx="131">
                  <c:v>-9.5398627912525562</c:v>
                </c:pt>
                <c:pt idx="132">
                  <c:v>-9.2728154195148154</c:v>
                </c:pt>
                <c:pt idx="133">
                  <c:v>-9.00515370605501</c:v>
                </c:pt>
                <c:pt idx="134">
                  <c:v>-8.736925582721744</c:v>
                </c:pt>
                <c:pt idx="135">
                  <c:v>-8.4681719710514862</c:v>
                </c:pt>
                <c:pt idx="136">
                  <c:v>-8.1989263236296548</c:v>
                </c:pt>
                <c:pt idx="137">
                  <c:v>-7.929214190953914</c:v>
                </c:pt>
                <c:pt idx="138">
                  <c:v>-7.6590528165554321</c:v>
                </c:pt>
                <c:pt idx="139">
                  <c:v>-7.3884507631983567</c:v>
                </c:pt>
                <c:pt idx="140">
                  <c:v>-7.1174075730428701</c:v>
                </c:pt>
                <c:pt idx="141">
                  <c:v>-6.8459134647217086</c:v>
                </c:pt>
                <c:pt idx="142">
                  <c:v>-6.5739490703449874</c:v>
                </c:pt>
                <c:pt idx="143">
                  <c:v>-6.3014852155129129</c:v>
                </c:pt>
                <c:pt idx="144">
                  <c:v>-6.0284827454807015</c:v>
                </c:pt>
                <c:pt idx="145">
                  <c:v>-5.7548924006849154</c:v>
                </c:pt>
                <c:pt idx="146">
                  <c:v>-5.4806547449051095</c:v>
                </c:pt>
                <c:pt idx="147">
                  <c:v>-5.2057001493995712</c:v>
                </c:pt>
                <c:pt idx="148">
                  <c:v>-4.9299488364186299</c:v>
                </c:pt>
                <c:pt idx="149">
                  <c:v>-4.6533109855638806</c:v>
                </c:pt>
                <c:pt idx="150">
                  <c:v>-4.3756869065264166</c:v>
                </c:pt>
                <c:pt idx="151">
                  <c:v>-4.0969672818019447</c:v>
                </c:pt>
                <c:pt idx="152">
                  <c:v>-3.8170334830455013</c:v>
                </c:pt>
                <c:pt idx="153">
                  <c:v>-3.5357579647931905</c:v>
                </c:pt>
                <c:pt idx="154">
                  <c:v>-3.2530047393432473</c:v>
                </c:pt>
                <c:pt idx="155">
                  <c:v>-2.968629936653449</c:v>
                </c:pt>
                <c:pt idx="156">
                  <c:v>-2.6824824531767222</c:v>
                </c:pt>
                <c:pt idx="157">
                  <c:v>-2.3944046936215728</c:v>
                </c:pt>
                <c:pt idx="158">
                  <c:v>-2.1042334096887587</c:v>
                </c:pt>
                <c:pt idx="159">
                  <c:v>-1.8118006399003936</c:v>
                </c:pt>
                <c:pt idx="160">
                  <c:v>-1.5169347547025145</c:v>
                </c:pt>
                <c:pt idx="161">
                  <c:v>-1.2194616110868564</c:v>
                </c:pt>
                <c:pt idx="162">
                  <c:v>-0.91920582104243875</c:v>
                </c:pt>
                <c:pt idx="163">
                  <c:v>-0.61599213821231436</c:v>
                </c:pt>
                <c:pt idx="164">
                  <c:v>-0.30964696719563872</c:v>
                </c:pt>
                <c:pt idx="165">
                  <c:v>0</c:v>
                </c:pt>
                <c:pt idx="166">
                  <c:v>0.31311401578625569</c:v>
                </c:pt>
                <c:pt idx="167">
                  <c:v>0.62985337246718287</c:v>
                </c:pt>
                <c:pt idx="168">
                  <c:v>0.95036735665856931</c:v>
                </c:pt>
                <c:pt idx="169">
                  <c:v>1.274794057889338</c:v>
                </c:pt>
                <c:pt idx="170">
                  <c:v>1.6032580265561334</c:v>
                </c:pt>
                <c:pt idx="171">
                  <c:v>1.9358677763374132</c:v>
                </c:pt>
                <c:pt idx="172">
                  <c:v>2.272713126108568</c:v>
                </c:pt>
                <c:pt idx="173">
                  <c:v>2.6138623763348208</c:v>
                </c:pt>
                <c:pt idx="174">
                  <c:v>2.9593593148538559</c:v>
                </c:pt>
                <c:pt idx="175">
                  <c:v>3.3092200468953346</c:v>
                </c:pt>
                <c:pt idx="176">
                  <c:v>3.663429644119685</c:v>
                </c:pt>
                <c:pt idx="177">
                  <c:v>4.0219386073937269</c:v>
                </c:pt>
                <c:pt idx="178">
                  <c:v>4.384659137955957</c:v>
                </c:pt>
                <c:pt idx="179">
                  <c:v>4.7514612115594677</c:v>
                </c:pt>
                <c:pt idx="180">
                  <c:v>5.1221684501157458</c:v>
                </c:pt>
                <c:pt idx="181">
                  <c:v>5.4965537852977562</c:v>
                </c:pt>
                <c:pt idx="182">
                  <c:v>5.8743349084959462</c:v>
                </c:pt>
                <c:pt idx="183">
                  <c:v>6.2551695014560496</c:v>
                </c:pt>
                <c:pt idx="184">
                  <c:v>6.6386502418627025</c:v>
                </c:pt>
                <c:pt idx="185">
                  <c:v>7.0242995780681783</c:v>
                </c:pt>
                <c:pt idx="186">
                  <c:v>7.4115642671006974</c:v>
                </c:pt>
                <c:pt idx="187">
                  <c:v>7.7998096700220261</c:v>
                </c:pt>
                <c:pt idx="188">
                  <c:v>8.1883137986392214</c:v>
                </c:pt>
                <c:pt idx="189">
                  <c:v>8.5762611075107102</c:v>
                </c:pt>
                <c:pt idx="190">
                  <c:v>8.9627360251219041</c:v>
                </c:pt>
                <c:pt idx="191">
                  <c:v>9.3467162180410472</c:v>
                </c:pt>
                <c:pt idx="192">
                  <c:v>9.7270655818008578</c:v>
                </c:pt>
                <c:pt idx="193">
                  <c:v>10.102526952187072</c:v>
                </c:pt>
                <c:pt idx="194">
                  <c:v>10.471714530549955</c:v>
                </c:pt>
                <c:pt idx="195">
                  <c:v>10.833106016690213</c:v>
                </c:pt>
                <c:pt idx="196">
                  <c:v>11.185034442805835</c:v>
                </c:pt>
                <c:pt idx="197">
                  <c:v>11.525679701921737</c:v>
                </c:pt>
                <c:pt idx="198">
                  <c:v>11.853059764159122</c:v>
                </c:pt>
                <c:pt idx="199">
                  <c:v>12.165021574136869</c:v>
                </c:pt>
                <c:pt idx="200">
                  <c:v>12.459231622732297</c:v>
                </c:pt>
              </c:numCache>
            </c:numRef>
          </c:yVal>
          <c:smooth val="1"/>
        </c:ser>
        <c:dLbls>
          <c:showLegendKey val="0"/>
          <c:showVal val="0"/>
          <c:showCatName val="0"/>
          <c:showSerName val="0"/>
          <c:showPercent val="0"/>
          <c:showBubbleSize val="0"/>
        </c:dLbls>
        <c:axId val="454232088"/>
        <c:axId val="454236400"/>
      </c:scatterChart>
      <c:valAx>
        <c:axId val="45423208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36400"/>
        <c:crossesAt val="-1000"/>
        <c:crossBetween val="midCat"/>
      </c:valAx>
      <c:valAx>
        <c:axId val="454236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423208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0"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130</v>
      </c>
    </row>
    <row r="22" spans="1:2" s="11" customFormat="1" x14ac:dyDescent="0.25">
      <c r="A22" s="61" t="s">
        <v>156</v>
      </c>
      <c r="B22" s="99">
        <f>CTE!N8-0.5</f>
        <v>140</v>
      </c>
    </row>
    <row r="23" spans="1:2" s="11" customFormat="1" x14ac:dyDescent="0.25">
      <c r="A23" s="61" t="s">
        <v>157</v>
      </c>
      <c r="B23" s="99">
        <f>CTE!N9</f>
        <v>180.5</v>
      </c>
    </row>
    <row r="24" spans="1:2" s="11" customFormat="1" x14ac:dyDescent="0.25"/>
    <row r="25" spans="1:2" s="11" customFormat="1" x14ac:dyDescent="0.25">
      <c r="A25" s="61" t="s">
        <v>146</v>
      </c>
      <c r="B25" s="53">
        <f>CTE!O5</f>
        <v>2.4163381142857142E-5</v>
      </c>
    </row>
    <row r="26" spans="1:2" s="11" customFormat="1" x14ac:dyDescent="0.25">
      <c r="A26" s="61" t="s">
        <v>147</v>
      </c>
      <c r="B26" s="53">
        <f>CTE!O6</f>
        <v>2.6285482285714284E-5</v>
      </c>
    </row>
    <row r="27" spans="1:2" s="11" customFormat="1" x14ac:dyDescent="0.25">
      <c r="A27" s="61" t="s">
        <v>148</v>
      </c>
      <c r="B27" s="53">
        <f>CTE!O8</f>
        <v>6.8039453714285723E-5</v>
      </c>
    </row>
    <row r="28" spans="1:2" s="11" customFormat="1" x14ac:dyDescent="0.25">
      <c r="A28" s="61" t="s">
        <v>149</v>
      </c>
      <c r="B28" s="53">
        <f>CTE!O9</f>
        <v>6.7913481714285714E-5</v>
      </c>
    </row>
    <row r="29" spans="1:2" s="11" customFormat="1" x14ac:dyDescent="0.25">
      <c r="A29" s="61"/>
    </row>
    <row r="30" spans="1:2" s="11" customFormat="1" x14ac:dyDescent="0.25">
      <c r="A30" s="61" t="s">
        <v>150</v>
      </c>
      <c r="B30" s="52">
        <f>CTE!P5</f>
        <v>2.1265021444444447E-5</v>
      </c>
    </row>
    <row r="31" spans="1:2" s="11" customFormat="1" x14ac:dyDescent="0.25">
      <c r="A31" s="61" t="s">
        <v>151</v>
      </c>
      <c r="B31" s="52">
        <f>CTE!P6</f>
        <v>2.2263357333333333E-5</v>
      </c>
    </row>
    <row r="32" spans="1:2" s="11" customFormat="1" x14ac:dyDescent="0.25">
      <c r="A32" s="61" t="s">
        <v>152</v>
      </c>
      <c r="B32" s="52">
        <f>CTE!P8</f>
        <v>3.7565950000000002E-5</v>
      </c>
    </row>
    <row r="33" spans="1:2" s="11" customFormat="1" x14ac:dyDescent="0.25">
      <c r="A33" s="61" t="s">
        <v>153</v>
      </c>
      <c r="B33" s="52">
        <f>CTE!P9</f>
        <v>3.810576666666667E-5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0.31135346362997757</v>
      </c>
      <c r="D59" s="55">
        <v>1</v>
      </c>
    </row>
    <row r="60" spans="1:4" s="11" customFormat="1" x14ac:dyDescent="0.25">
      <c r="A60" s="54">
        <v>2</v>
      </c>
      <c r="B60" s="56">
        <f>'Shiftfunktion bestimmen'!N2</f>
        <v>1.7338135162172478E-3</v>
      </c>
      <c r="D60" s="55">
        <v>2</v>
      </c>
    </row>
    <row r="61" spans="1:4" s="11" customFormat="1" x14ac:dyDescent="0.25">
      <c r="A61" s="54">
        <v>3</v>
      </c>
      <c r="B61" s="56">
        <f>'Shiftfunktion bestimmen'!N3</f>
        <v>2.7044307546136931E-5</v>
      </c>
      <c r="D61" s="55">
        <v>3</v>
      </c>
    </row>
    <row r="62" spans="1:4" s="11" customFormat="1" x14ac:dyDescent="0.25">
      <c r="A62" s="54">
        <v>4</v>
      </c>
      <c r="B62" s="56">
        <f>'Shiftfunktion bestimmen'!N4</f>
        <v>-2.890250215672805E-7</v>
      </c>
      <c r="D62" s="55">
        <v>4</v>
      </c>
    </row>
    <row r="63" spans="1:4" s="11" customFormat="1" x14ac:dyDescent="0.25">
      <c r="A63" s="54">
        <v>5</v>
      </c>
      <c r="B63" s="56">
        <f>'Shiftfunktion bestimmen'!N5</f>
        <v>-1.6445637662764742E-8</v>
      </c>
      <c r="D63" s="55">
        <v>5</v>
      </c>
    </row>
    <row r="64" spans="1:4" s="11" customFormat="1" x14ac:dyDescent="0.25">
      <c r="A64" s="54">
        <v>6</v>
      </c>
      <c r="B64" s="56">
        <f>'Shiftfunktion bestimmen'!N6</f>
        <v>-1.9588559710123465E-10</v>
      </c>
      <c r="D64" s="55">
        <v>6</v>
      </c>
    </row>
    <row r="65" spans="1:5" s="11" customFormat="1" x14ac:dyDescent="0.25">
      <c r="A65" s="54">
        <v>7</v>
      </c>
      <c r="B65" s="56">
        <f>'Shiftfunktion bestimmen'!N7</f>
        <v>-9.3883052441656226E-13</v>
      </c>
      <c r="D65" s="55">
        <v>7</v>
      </c>
    </row>
    <row r="66" spans="1:5" x14ac:dyDescent="0.25">
      <c r="A66" s="54">
        <v>8</v>
      </c>
      <c r="B66" s="56">
        <f>'Shiftfunktion bestimmen'!N8</f>
        <v>-1.6068800790496957E-15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0.18091067913316566</v>
      </c>
      <c r="D74" s="51">
        <v>1</v>
      </c>
      <c r="E74" s="56">
        <f>'Mastercurve bestimmen'!A18</f>
        <v>1.0000000000000001E-20</v>
      </c>
    </row>
    <row r="75" spans="1:5" x14ac:dyDescent="0.25">
      <c r="A75" s="50">
        <f>A74+1</f>
        <v>2</v>
      </c>
      <c r="B75" s="56">
        <f>'Mastercurve bestimmen'!C19</f>
        <v>4.8747329106715996E-2</v>
      </c>
      <c r="D75" s="51">
        <v>2</v>
      </c>
      <c r="E75" s="56">
        <f>'Mastercurve bestimmen'!A19</f>
        <v>3.9038946506297401E-14</v>
      </c>
    </row>
    <row r="76" spans="1:5" x14ac:dyDescent="0.25">
      <c r="A76" s="50">
        <f t="shared" ref="A76:A104" si="0">A75+1</f>
        <v>3</v>
      </c>
      <c r="B76" s="56">
        <f>'Mastercurve bestimmen'!C20</f>
        <v>1.8089335916325222E-2</v>
      </c>
      <c r="D76" s="51">
        <v>3</v>
      </c>
      <c r="E76" s="56">
        <f>'Mastercurve bestimmen'!A20</f>
        <v>4.3276437088188502E-13</v>
      </c>
    </row>
    <row r="77" spans="1:5" x14ac:dyDescent="0.25">
      <c r="A77" s="50">
        <f t="shared" si="0"/>
        <v>4</v>
      </c>
      <c r="B77" s="56">
        <f>'Mastercurve bestimmen'!C21</f>
        <v>3.7553125741215831E-2</v>
      </c>
      <c r="D77" s="51">
        <v>4</v>
      </c>
      <c r="E77" s="56">
        <f>'Mastercurve bestimmen'!A21</f>
        <v>4.7973886968128502E-12</v>
      </c>
    </row>
    <row r="78" spans="1:5" x14ac:dyDescent="0.25">
      <c r="A78" s="50">
        <f t="shared" si="0"/>
        <v>5</v>
      </c>
      <c r="B78" s="56">
        <f>'Mastercurve bestimmen'!C22</f>
        <v>3.4655462333825049E-2</v>
      </c>
      <c r="D78" s="51">
        <v>5</v>
      </c>
      <c r="E78" s="56">
        <f>'Mastercurve bestimmen'!A22</f>
        <v>5.31812225239524E-11</v>
      </c>
    </row>
    <row r="79" spans="1:5" x14ac:dyDescent="0.25">
      <c r="A79" s="50">
        <f t="shared" si="0"/>
        <v>6</v>
      </c>
      <c r="B79" s="56">
        <f>'Mastercurve bestimmen'!C23</f>
        <v>2.8039973666806786E-2</v>
      </c>
      <c r="D79" s="51">
        <v>6</v>
      </c>
      <c r="E79" s="56">
        <f>'Mastercurve bestimmen'!A23</f>
        <v>5.8953789402578301E-10</v>
      </c>
    </row>
    <row r="80" spans="1:5" x14ac:dyDescent="0.25">
      <c r="A80" s="50">
        <f t="shared" si="0"/>
        <v>7</v>
      </c>
      <c r="B80" s="56">
        <f>'Mastercurve bestimmen'!C24</f>
        <v>2.6812375730219603E-2</v>
      </c>
      <c r="D80" s="51">
        <v>7</v>
      </c>
      <c r="E80" s="56">
        <f>'Mastercurve bestimmen'!A24</f>
        <v>6.5352940755699598E-9</v>
      </c>
    </row>
    <row r="81" spans="1:5" x14ac:dyDescent="0.25">
      <c r="A81" s="50">
        <f t="shared" si="0"/>
        <v>8</v>
      </c>
      <c r="B81" s="56">
        <f>'Mastercurve bestimmen'!C25</f>
        <v>2.7632018567144069E-2</v>
      </c>
      <c r="D81" s="51">
        <v>8</v>
      </c>
      <c r="E81" s="56">
        <f>'Mastercurve bestimmen'!A25</f>
        <v>7.2446689325643296E-8</v>
      </c>
    </row>
    <row r="82" spans="1:5" x14ac:dyDescent="0.25">
      <c r="A82" s="50">
        <f t="shared" si="0"/>
        <v>9</v>
      </c>
      <c r="B82" s="56">
        <f>'Mastercurve bestimmen'!C26</f>
        <v>2.5920837907154132E-2</v>
      </c>
      <c r="D82" s="51">
        <f>A82</f>
        <v>9</v>
      </c>
      <c r="E82" s="56">
        <f>'Mastercurve bestimmen'!A26</f>
        <v>8.03104303120212E-7</v>
      </c>
    </row>
    <row r="83" spans="1:5" x14ac:dyDescent="0.25">
      <c r="A83" s="50">
        <f t="shared" si="0"/>
        <v>10</v>
      </c>
      <c r="B83" s="56">
        <f>'Mastercurve bestimmen'!C27</f>
        <v>2.7391939908773026E-2</v>
      </c>
      <c r="C83" s="11"/>
      <c r="D83" s="51">
        <f t="shared" ref="D83:D104" si="1">A83</f>
        <v>10</v>
      </c>
      <c r="E83" s="56">
        <f>'Mastercurve bestimmen'!A27</f>
        <v>8.9027742702096099E-6</v>
      </c>
    </row>
    <row r="84" spans="1:5" x14ac:dyDescent="0.25">
      <c r="A84" s="50">
        <f t="shared" si="0"/>
        <v>11</v>
      </c>
      <c r="B84" s="56">
        <f>'Mastercurve bestimmen'!C28</f>
        <v>3.256547684040112E-2</v>
      </c>
      <c r="C84" s="11"/>
      <c r="D84" s="51">
        <f t="shared" si="1"/>
        <v>11</v>
      </c>
      <c r="E84" s="56">
        <f>'Mastercurve bestimmen'!A28</f>
        <v>9.86912775817142E-5</v>
      </c>
    </row>
    <row r="85" spans="1:5" x14ac:dyDescent="0.25">
      <c r="A85" s="50">
        <f t="shared" si="0"/>
        <v>12</v>
      </c>
      <c r="B85" s="56">
        <f>'Mastercurve bestimmen'!C29</f>
        <v>3.4198379990015168E-2</v>
      </c>
      <c r="C85" s="11"/>
      <c r="D85" s="51">
        <f t="shared" si="1"/>
        <v>12</v>
      </c>
      <c r="E85" s="56">
        <f>'Mastercurve bestimmen'!A29</f>
        <v>1.0940374286813801E-3</v>
      </c>
    </row>
    <row r="86" spans="1:5" x14ac:dyDescent="0.25">
      <c r="A86" s="50">
        <f t="shared" si="0"/>
        <v>13</v>
      </c>
      <c r="B86" s="56">
        <f>'Mastercurve bestimmen'!C30</f>
        <v>4.2864410475860253E-2</v>
      </c>
      <c r="C86" s="11"/>
      <c r="D86" s="51">
        <f t="shared" si="1"/>
        <v>13</v>
      </c>
      <c r="E86" s="56">
        <f>'Mastercurve bestimmen'!A30</f>
        <v>1.2127899493091E-2</v>
      </c>
    </row>
    <row r="87" spans="1:5" x14ac:dyDescent="0.25">
      <c r="A87" s="50">
        <f t="shared" si="0"/>
        <v>14</v>
      </c>
      <c r="B87" s="56">
        <f>'Mastercurve bestimmen'!C31</f>
        <v>4.3714566142705795E-2</v>
      </c>
      <c r="C87" s="11"/>
      <c r="D87" s="51">
        <f t="shared" si="1"/>
        <v>14</v>
      </c>
      <c r="E87" s="56">
        <f>'Mastercurve bestimmen'!A31</f>
        <v>0.13444324870292301</v>
      </c>
    </row>
    <row r="88" spans="1:5" x14ac:dyDescent="0.25">
      <c r="A88" s="50">
        <f t="shared" si="0"/>
        <v>15</v>
      </c>
      <c r="B88" s="56">
        <f>'Mastercurve bestimmen'!C32</f>
        <v>7.7757179566671539E-2</v>
      </c>
      <c r="C88" s="11"/>
      <c r="D88" s="51">
        <f t="shared" si="1"/>
        <v>15</v>
      </c>
      <c r="E88" s="56">
        <f>'Mastercurve bestimmen'!A32</f>
        <v>1.49036419143257</v>
      </c>
    </row>
    <row r="89" spans="1:5" x14ac:dyDescent="0.25">
      <c r="A89" s="50">
        <f t="shared" si="0"/>
        <v>16</v>
      </c>
      <c r="B89" s="56">
        <f>'Mastercurve bestimmen'!C33</f>
        <v>9.5507274749383017E-2</v>
      </c>
      <c r="C89" s="11"/>
      <c r="D89" s="51">
        <f t="shared" si="1"/>
        <v>16</v>
      </c>
      <c r="E89" s="56">
        <f>'Mastercurve bestimmen'!A33</f>
        <v>16.521360830937301</v>
      </c>
    </row>
    <row r="90" spans="1:5" x14ac:dyDescent="0.25">
      <c r="A90" s="50">
        <f t="shared" si="0"/>
        <v>17</v>
      </c>
      <c r="B90" s="56">
        <f>'Mastercurve bestimmen'!C34</f>
        <v>8.003075559639232E-2</v>
      </c>
      <c r="C90" s="11"/>
      <c r="D90" s="51">
        <f t="shared" si="1"/>
        <v>17</v>
      </c>
      <c r="E90" s="56">
        <f>'Mastercurve bestimmen'!A34</f>
        <v>183.146753843879</v>
      </c>
    </row>
    <row r="91" spans="1:5" x14ac:dyDescent="0.25">
      <c r="A91" s="50">
        <f t="shared" si="0"/>
        <v>18</v>
      </c>
      <c r="B91" s="56">
        <f>'Mastercurve bestimmen'!C35</f>
        <v>5.3976889971713508E-2</v>
      </c>
      <c r="C91" s="11"/>
      <c r="D91" s="51">
        <f t="shared" si="1"/>
        <v>18</v>
      </c>
      <c r="E91" s="56">
        <f>'Mastercurve bestimmen'!A35</f>
        <v>2030.26456396616</v>
      </c>
    </row>
    <row r="92" spans="1:5" x14ac:dyDescent="0.25">
      <c r="A92" s="50">
        <f t="shared" si="0"/>
        <v>19</v>
      </c>
      <c r="B92" s="56">
        <f>'Mastercurve bestimmen'!C36</f>
        <v>2.9623895965477303E-2</v>
      </c>
      <c r="C92" s="11"/>
      <c r="D92" s="51">
        <f t="shared" si="1"/>
        <v>19</v>
      </c>
      <c r="E92" s="56">
        <f>'Mastercurve bestimmen'!A36</f>
        <v>22506.400540467101</v>
      </c>
    </row>
    <row r="93" spans="1:5" x14ac:dyDescent="0.25">
      <c r="A93" s="50">
        <f t="shared" si="0"/>
        <v>20</v>
      </c>
      <c r="B93" s="56">
        <f>'Mastercurve bestimmen'!C37</f>
        <v>1.5005107194779805E-2</v>
      </c>
      <c r="C93" s="11"/>
      <c r="D93" s="51">
        <f t="shared" si="1"/>
        <v>20</v>
      </c>
      <c r="E93" s="56">
        <f>'Mastercurve bestimmen'!A37</f>
        <v>249493.62476110301</v>
      </c>
    </row>
    <row r="94" spans="1:5" x14ac:dyDescent="0.25">
      <c r="A94" s="50">
        <f t="shared" si="0"/>
        <v>21</v>
      </c>
      <c r="B94" s="56">
        <f>'Mastercurve bestimmen'!C38</f>
        <v>4.0905508263932881E-3</v>
      </c>
      <c r="C94" s="11"/>
      <c r="D94" s="51">
        <f t="shared" si="1"/>
        <v>21</v>
      </c>
      <c r="E94" s="56">
        <f>'Mastercurve bestimmen'!A38</f>
        <v>2765749.6224023802</v>
      </c>
    </row>
    <row r="95" spans="1:5" x14ac:dyDescent="0.25">
      <c r="A95" s="50">
        <f t="shared" si="0"/>
        <v>22</v>
      </c>
      <c r="B95" s="56">
        <f>'Mastercurve bestimmen'!C39</f>
        <v>4.6207327982835155E-3</v>
      </c>
      <c r="C95" s="11"/>
      <c r="D95" s="51">
        <f t="shared" si="1"/>
        <v>22</v>
      </c>
      <c r="E95" s="56">
        <f>'Mastercurve bestimmen'!A39</f>
        <v>10000000</v>
      </c>
    </row>
    <row r="96" spans="1:5" x14ac:dyDescent="0.25">
      <c r="A96" s="50">
        <f t="shared" si="0"/>
        <v>23</v>
      </c>
      <c r="B96" s="56">
        <f>'Mastercurve bestimmen'!C40</f>
        <v>2.0598839061917876E-3</v>
      </c>
      <c r="C96" s="11"/>
      <c r="D96" s="51">
        <f t="shared" si="1"/>
        <v>23</v>
      </c>
      <c r="E96" s="56">
        <f>'Mastercurve bestimmen'!A40</f>
        <v>100000000</v>
      </c>
    </row>
    <row r="97" spans="1:5" x14ac:dyDescent="0.25">
      <c r="A97" s="50">
        <f t="shared" si="0"/>
        <v>24</v>
      </c>
      <c r="B97" s="56">
        <f>'Mastercurve bestimmen'!C41</f>
        <v>2.0793314772124174E-3</v>
      </c>
      <c r="C97" s="11"/>
      <c r="D97" s="51">
        <f t="shared" si="1"/>
        <v>24</v>
      </c>
      <c r="E97" s="56">
        <f>'Mastercurve bestimmen'!A41</f>
        <v>1000000000</v>
      </c>
    </row>
    <row r="98" spans="1:5" x14ac:dyDescent="0.25">
      <c r="A98" s="50">
        <f t="shared" si="0"/>
        <v>25</v>
      </c>
      <c r="B98" s="56">
        <f>'Mastercurve bestimmen'!C42</f>
        <v>0</v>
      </c>
      <c r="C98" s="11"/>
      <c r="D98" s="51">
        <f t="shared" si="1"/>
        <v>25</v>
      </c>
      <c r="E98" s="56">
        <f>'Mastercurve bestimmen'!A42</f>
        <v>10000000000</v>
      </c>
    </row>
    <row r="99" spans="1:5" x14ac:dyDescent="0.25">
      <c r="A99" s="50">
        <f t="shared" si="0"/>
        <v>26</v>
      </c>
      <c r="B99" s="56">
        <f>'Mastercurve bestimmen'!C43</f>
        <v>2.538048611821601E-3</v>
      </c>
      <c r="C99" s="11"/>
      <c r="D99" s="51">
        <f t="shared" si="1"/>
        <v>26</v>
      </c>
      <c r="E99" s="56">
        <f>'Mastercurve bestimmen'!A43</f>
        <v>100000000000</v>
      </c>
    </row>
    <row r="100" spans="1:5" x14ac:dyDescent="0.25">
      <c r="A100" s="50">
        <f t="shared" si="0"/>
        <v>27</v>
      </c>
      <c r="B100" s="56">
        <f>'Mastercurve bestimmen'!C44</f>
        <v>1.186723127453265E-7</v>
      </c>
      <c r="C100" s="11"/>
      <c r="D100" s="51">
        <f t="shared" si="1"/>
        <v>27</v>
      </c>
      <c r="E100" s="56">
        <f>'Mastercurve bestimmen'!A44</f>
        <v>1000000000000</v>
      </c>
    </row>
    <row r="101" spans="1:5" x14ac:dyDescent="0.25">
      <c r="A101" s="50">
        <f t="shared" si="0"/>
        <v>28</v>
      </c>
      <c r="B101" s="56">
        <f>'Mastercurve bestimmen'!C45</f>
        <v>1.5301760835243074E-4</v>
      </c>
      <c r="C101" s="11"/>
      <c r="D101" s="51">
        <f t="shared" si="1"/>
        <v>28</v>
      </c>
      <c r="E101" s="56">
        <f>'Mastercurve bestimmen'!A45</f>
        <v>10000000000000</v>
      </c>
    </row>
    <row r="102" spans="1:5" x14ac:dyDescent="0.25">
      <c r="A102" s="50">
        <f t="shared" si="0"/>
        <v>29</v>
      </c>
      <c r="B102" s="56">
        <f>'Mastercurve bestimmen'!C46</f>
        <v>1.8120582087099855E-4</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0</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18946.322</v>
      </c>
    </row>
    <row r="108" spans="1:5" s="11" customFormat="1" x14ac:dyDescent="0.25">
      <c r="A108" s="61" t="str">
        <f>STUTT!B3</f>
        <v>mp,PRXY,MatID,</v>
      </c>
      <c r="B108" s="52">
        <f>STUTT!C3</f>
        <v>0.27492274999999999</v>
      </c>
    </row>
    <row r="109" spans="1:5" s="11" customFormat="1" x14ac:dyDescent="0.25">
      <c r="A109" s="61" t="str">
        <f>STUTT!B4</f>
        <v>mp,ey,MatID,</v>
      </c>
      <c r="B109" s="52">
        <f>STUTT!C4</f>
        <v>25113.767</v>
      </c>
    </row>
    <row r="110" spans="1:5" s="11" customFormat="1" x14ac:dyDescent="0.25">
      <c r="A110" s="61" t="str">
        <f>STUTT!B5</f>
        <v>mp,PRYZ,MatID,</v>
      </c>
      <c r="B110" s="52">
        <f>STUTT!C5</f>
        <v>0.36447574999999999</v>
      </c>
    </row>
    <row r="111" spans="1:5" s="11" customFormat="1" x14ac:dyDescent="0.25">
      <c r="A111" s="61" t="str">
        <f>STUTT!B6</f>
        <v>mp,ez,MatID,</v>
      </c>
      <c r="B111" s="52">
        <f>STUTT!C6</f>
        <v>18946.322</v>
      </c>
    </row>
    <row r="112" spans="1:5" s="11" customFormat="1" x14ac:dyDescent="0.25">
      <c r="A112" s="61" t="str">
        <f>STUTT!B7</f>
        <v>mp,PRXZ,MatID,</v>
      </c>
      <c r="B112" s="52">
        <f>STUTT!C7</f>
        <v>0.35477789999999998</v>
      </c>
    </row>
    <row r="113" spans="1:4" s="11" customFormat="1" x14ac:dyDescent="0.25">
      <c r="A113" s="61" t="str">
        <f>STUTT!B8</f>
        <v>MP,GXZ,</v>
      </c>
      <c r="B113" s="52" t="str">
        <f>STUTT!C8</f>
        <v>MatID,</v>
      </c>
      <c r="C113" s="112">
        <f>STUTT!D8</f>
        <v>6992.4087</v>
      </c>
      <c r="D113" s="112"/>
    </row>
    <row r="114" spans="1:4" s="11" customFormat="1" x14ac:dyDescent="0.25">
      <c r="A114" s="61" t="str">
        <f>STUTT!B9</f>
        <v>MP,GXY,</v>
      </c>
      <c r="B114" s="52" t="str">
        <f>STUTT!C9</f>
        <v>MatID,</v>
      </c>
      <c r="C114" s="112">
        <f>STUTT!D9</f>
        <v>9035.3351999999995</v>
      </c>
      <c r="D114" s="112"/>
    </row>
    <row r="115" spans="1:4" x14ac:dyDescent="0.25">
      <c r="A115" s="61" t="str">
        <f>STUTT!B10</f>
        <v>MP,GYZ,</v>
      </c>
      <c r="B115" s="52" t="str">
        <f>STUTT!C10</f>
        <v>MatID,</v>
      </c>
      <c r="C115" s="112">
        <f>STUTT!D10</f>
        <v>9035.3351999999995</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-1.973E-7</v>
      </c>
      <c r="C3" s="3">
        <v>2.4930000000000001E-6</v>
      </c>
      <c r="D3" s="3">
        <v>-1.973E-7</v>
      </c>
      <c r="E3" s="3">
        <v>-1.3499999999999999E-5</v>
      </c>
      <c r="F3" s="3">
        <v>-1.3499999999999999E-5</v>
      </c>
      <c r="G3" s="3">
        <v>-1.3499999999999999E-5</v>
      </c>
      <c r="H3" s="3">
        <v>-2.1161738999999999E-6</v>
      </c>
      <c r="I3" s="3">
        <v>-9.5446578000000009E-7</v>
      </c>
      <c r="J3" s="3">
        <v>-2.1161738999999999E-6</v>
      </c>
      <c r="L3" s="48">
        <f>ABS(H3/(-0.5)/$L$1)</f>
        <v>2.4184844571428572E-5</v>
      </c>
      <c r="R3">
        <f>ABS(I3/(-0.5)/$R$1)</f>
        <v>2.1210350666666669E-5</v>
      </c>
    </row>
    <row r="4" spans="1:18" x14ac:dyDescent="0.25">
      <c r="A4">
        <v>-39</v>
      </c>
      <c r="B4" s="3">
        <v>1.9719999999999999E-7</v>
      </c>
      <c r="C4" s="3">
        <v>-2.4930000000000001E-6</v>
      </c>
      <c r="D4" s="3">
        <v>1.9719999999999999E-7</v>
      </c>
      <c r="E4" s="3">
        <v>1.3499999999999999E-5</v>
      </c>
      <c r="F4" s="3">
        <v>1.3499999999999999E-5</v>
      </c>
      <c r="G4" s="3">
        <v>1.3499999999999999E-5</v>
      </c>
      <c r="H4" s="3">
        <v>2.1161285999999999E-6</v>
      </c>
      <c r="I4" s="3">
        <v>9.5452484000000003E-7</v>
      </c>
      <c r="J4" s="3">
        <v>2.1161285999999999E-6</v>
      </c>
      <c r="L4" s="48">
        <f t="shared" ref="L4:L14" si="0">ABS(H4/(-0.5)/$L$1)</f>
        <v>2.4184326857142857E-5</v>
      </c>
      <c r="N4" s="39" t="s">
        <v>27</v>
      </c>
      <c r="O4" s="39" t="s">
        <v>130</v>
      </c>
      <c r="P4" s="85" t="s">
        <v>131</v>
      </c>
      <c r="R4" s="11">
        <f t="shared" ref="R4:R14" si="1">ABS(I4/(-0.5)/$R$1)</f>
        <v>2.1211663111111113E-5</v>
      </c>
    </row>
    <row r="5" spans="1:18" x14ac:dyDescent="0.25">
      <c r="A5">
        <v>0</v>
      </c>
      <c r="B5" s="3">
        <v>-1.9219999999999999E-7</v>
      </c>
      <c r="C5" s="3">
        <v>2.4719999999999998E-6</v>
      </c>
      <c r="D5" s="3">
        <v>-1.9219999999999999E-7</v>
      </c>
      <c r="E5" s="3">
        <v>-1.3499999999999999E-5</v>
      </c>
      <c r="F5" s="3">
        <v>-1.3499999999999999E-5</v>
      </c>
      <c r="G5" s="3">
        <v>-1.3499999999999999E-5</v>
      </c>
      <c r="H5" s="3">
        <v>-2.1143196000000002E-6</v>
      </c>
      <c r="I5" s="3">
        <v>-9.5689469999999994E-7</v>
      </c>
      <c r="J5" s="3">
        <v>-2.1143196000000002E-6</v>
      </c>
      <c r="L5" s="48">
        <f t="shared" si="0"/>
        <v>2.4163652571428575E-5</v>
      </c>
      <c r="M5" s="48"/>
      <c r="N5" s="10">
        <f>(INDEX(A:A,ROW(A2)*2+1)+INDEX(A:A,ROW(A2)*2+2))/2</f>
        <v>0.5</v>
      </c>
      <c r="O5" s="89">
        <f>(INDEX(L:L,ROW(L2)*2+1)+INDEX(L:L,ROW(L2)*2+2))/2</f>
        <v>2.4163381142857142E-5</v>
      </c>
      <c r="P5" s="89">
        <f>(INDEX(R:R,ROW(M2)*2+1)+INDEX(R:R,ROW(R2)*2+2))/2</f>
        <v>2.1265021444444447E-5</v>
      </c>
      <c r="R5" s="11">
        <f t="shared" si="1"/>
        <v>2.1264326666666666E-5</v>
      </c>
    </row>
    <row r="6" spans="1:18" x14ac:dyDescent="0.25">
      <c r="A6">
        <v>1</v>
      </c>
      <c r="B6" s="3">
        <v>1.92E-7</v>
      </c>
      <c r="C6" s="3">
        <v>-2.4710000000000001E-6</v>
      </c>
      <c r="D6" s="3">
        <v>1.92E-7</v>
      </c>
      <c r="E6" s="3">
        <v>1.3499999999999999E-5</v>
      </c>
      <c r="F6" s="3">
        <v>1.3499999999999999E-5</v>
      </c>
      <c r="G6" s="3">
        <v>1.3499999999999999E-5</v>
      </c>
      <c r="H6" s="3">
        <v>2.1142720999999998E-6</v>
      </c>
      <c r="I6" s="3">
        <v>9.5695722999999997E-7</v>
      </c>
      <c r="J6" s="3">
        <v>2.1142720999999998E-6</v>
      </c>
      <c r="L6" s="48">
        <f t="shared" si="0"/>
        <v>2.4163109714285714E-5</v>
      </c>
      <c r="M6" s="49"/>
      <c r="N6" s="10">
        <f>(INDEX(A:A,ROW(A3)*2+1)+INDEX(A:A,ROW(A3)*2+2))/2</f>
        <v>130.5</v>
      </c>
      <c r="O6" s="89">
        <f t="shared" ref="O6:O7" si="2">(INDEX(L:L,ROW(L3)*2+1)+INDEX(L:L,ROW(L3)*2+2))/2</f>
        <v>2.6285482285714284E-5</v>
      </c>
      <c r="P6" s="89">
        <f t="shared" ref="P6:P9" si="3">(INDEX(R:R,ROW(M3)*2+1)+INDEX(R:R,ROW(R3)*2+2))/2</f>
        <v>2.2263357333333333E-5</v>
      </c>
      <c r="R6" s="11">
        <f t="shared" si="1"/>
        <v>2.1265716222222223E-5</v>
      </c>
    </row>
    <row r="7" spans="1:18" x14ac:dyDescent="0.25">
      <c r="A7">
        <v>130</v>
      </c>
      <c r="B7" s="3">
        <v>-2.8169999999999999E-7</v>
      </c>
      <c r="C7" s="3">
        <v>3.0639999999999998E-6</v>
      </c>
      <c r="D7" s="3">
        <v>-2.8169999999999999E-7</v>
      </c>
      <c r="E7" s="3">
        <v>-1.435E-5</v>
      </c>
      <c r="F7" s="3">
        <v>-1.435E-5</v>
      </c>
      <c r="G7" s="3">
        <v>-1.435E-5</v>
      </c>
      <c r="H7" s="3">
        <v>-2.2037995999999998E-6</v>
      </c>
      <c r="I7" s="3">
        <v>-9.8383106000000002E-7</v>
      </c>
      <c r="J7" s="3">
        <v>-2.2037995999999998E-6</v>
      </c>
      <c r="L7" s="48">
        <f t="shared" si="0"/>
        <v>2.5186281142857142E-5</v>
      </c>
      <c r="M7" s="48"/>
      <c r="N7" s="10">
        <f>(INDEX(A:A,ROW(A4)*2+1)+INDEX(A:A,ROW(A4)*2+2))/2</f>
        <v>135.5</v>
      </c>
      <c r="O7" s="89">
        <f t="shared" si="2"/>
        <v>4.8267398857142861E-5</v>
      </c>
      <c r="P7" s="89">
        <f t="shared" si="3"/>
        <v>3.0288797777777777E-5</v>
      </c>
      <c r="R7" s="11">
        <f t="shared" si="1"/>
        <v>2.1862912444444445E-5</v>
      </c>
    </row>
    <row r="8" spans="1:18" x14ac:dyDescent="0.25">
      <c r="A8">
        <v>131</v>
      </c>
      <c r="B8" s="3">
        <v>4.9790000000000003E-7</v>
      </c>
      <c r="C8" s="3">
        <v>-4.4059999999999998E-6</v>
      </c>
      <c r="D8" s="3">
        <v>4.9790000000000003E-7</v>
      </c>
      <c r="E8" s="3">
        <v>1.605E-5</v>
      </c>
      <c r="F8" s="3">
        <v>1.605E-5</v>
      </c>
      <c r="G8" s="3">
        <v>1.605E-5</v>
      </c>
      <c r="H8" s="3">
        <v>2.3961597999999999E-6</v>
      </c>
      <c r="I8" s="3">
        <v>1.0198711E-6</v>
      </c>
      <c r="J8" s="3">
        <v>2.3961597999999999E-6</v>
      </c>
      <c r="L8" s="48">
        <f t="shared" si="0"/>
        <v>2.738468342857143E-5</v>
      </c>
      <c r="M8" s="49"/>
      <c r="N8" s="10">
        <f>(INDEX(A:A,ROW(A5)*2+1)+INDEX(A:A,ROW(A5)*2+2))/2</f>
        <v>140.5</v>
      </c>
      <c r="O8" s="89">
        <f t="shared" ref="O8:O9" si="4">(INDEX(L:L,ROW(L5)*2+1)+INDEX(L:L,ROW(L5)*2+2))/2</f>
        <v>6.8039453714285723E-5</v>
      </c>
      <c r="P8" s="89">
        <f t="shared" si="3"/>
        <v>3.7565950000000002E-5</v>
      </c>
      <c r="R8" s="11">
        <f t="shared" si="1"/>
        <v>2.2663802222222221E-5</v>
      </c>
    </row>
    <row r="9" spans="1:18" x14ac:dyDescent="0.25">
      <c r="A9">
        <v>135</v>
      </c>
      <c r="B9" s="3">
        <v>-2.4430000000000002E-6</v>
      </c>
      <c r="C9" s="3">
        <v>1.6480000000000001E-5</v>
      </c>
      <c r="D9" s="3">
        <v>-2.4430000000000002E-6</v>
      </c>
      <c r="E9" s="3">
        <v>-3.1350000000000003E-5</v>
      </c>
      <c r="F9" s="3">
        <v>-3.1350000000000003E-5</v>
      </c>
      <c r="G9" s="3">
        <v>-3.1350000000000003E-5</v>
      </c>
      <c r="H9" s="3">
        <v>-4.1272953999999997E-6</v>
      </c>
      <c r="I9" s="3">
        <v>-1.3447875999999999E-6</v>
      </c>
      <c r="J9" s="3">
        <v>-4.1272953999999997E-6</v>
      </c>
      <c r="L9" s="48">
        <f t="shared" si="0"/>
        <v>4.7169090285714284E-5</v>
      </c>
      <c r="M9" s="48"/>
      <c r="N9" s="10">
        <f>(INDEX(A:A,ROW(A6)*2+1)+INDEX(A:A,ROW(A6)*2+2))/2</f>
        <v>180.5</v>
      </c>
      <c r="O9" s="89">
        <f t="shared" si="4"/>
        <v>6.7913481714285714E-5</v>
      </c>
      <c r="P9" s="89">
        <f t="shared" si="3"/>
        <v>3.810576666666667E-5</v>
      </c>
      <c r="R9" s="11">
        <f t="shared" si="1"/>
        <v>2.9884168888888887E-5</v>
      </c>
    </row>
    <row r="10" spans="1:18" x14ac:dyDescent="0.25">
      <c r="A10">
        <v>136</v>
      </c>
      <c r="B10" s="3">
        <v>2.6579999999999998E-6</v>
      </c>
      <c r="C10" s="3">
        <v>-1.7819999999999999E-5</v>
      </c>
      <c r="D10" s="3">
        <v>2.6579999999999998E-6</v>
      </c>
      <c r="E10" s="3">
        <v>3.3049999999999997E-5</v>
      </c>
      <c r="F10" s="3">
        <v>3.3049999999999997E-5</v>
      </c>
      <c r="G10" s="3">
        <v>3.3049999999999997E-5</v>
      </c>
      <c r="H10" s="3">
        <v>4.3194994000000003E-6</v>
      </c>
      <c r="I10" s="3">
        <v>1.3812042E-6</v>
      </c>
      <c r="J10" s="3">
        <v>4.3194994000000003E-6</v>
      </c>
      <c r="L10" s="48">
        <f t="shared" si="0"/>
        <v>4.9365707428571437E-5</v>
      </c>
      <c r="M10" s="49"/>
      <c r="N10" s="10"/>
      <c r="O10" s="3"/>
      <c r="R10" s="11">
        <f t="shared" si="1"/>
        <v>3.0693426666666671E-5</v>
      </c>
    </row>
    <row r="11" spans="1:18" x14ac:dyDescent="0.25">
      <c r="A11">
        <v>140</v>
      </c>
      <c r="B11" s="3">
        <v>-4.4920000000000004E-6</v>
      </c>
      <c r="C11" s="3">
        <v>2.9200000000000002E-5</v>
      </c>
      <c r="D11" s="3">
        <v>-4.4920000000000004E-6</v>
      </c>
      <c r="E11" s="3">
        <v>-4.7500000000000003E-5</v>
      </c>
      <c r="F11" s="3">
        <v>-4.7500000000000003E-5</v>
      </c>
      <c r="G11" s="3">
        <v>-4.7500000000000003E-5</v>
      </c>
      <c r="H11" s="3">
        <v>-5.9535860000000001E-6</v>
      </c>
      <c r="I11" s="3">
        <v>-1.6901754000000001E-6</v>
      </c>
      <c r="J11" s="3">
        <v>-5.9535860000000001E-6</v>
      </c>
      <c r="L11" s="48">
        <f t="shared" si="0"/>
        <v>6.804098285714286E-5</v>
      </c>
      <c r="M11" s="48"/>
      <c r="N11" s="10"/>
      <c r="O11" s="3"/>
      <c r="R11" s="11">
        <f t="shared" si="1"/>
        <v>3.7559453333333333E-5</v>
      </c>
    </row>
    <row r="12" spans="1:18" x14ac:dyDescent="0.25">
      <c r="A12">
        <v>141</v>
      </c>
      <c r="B12" s="3">
        <v>4.4909999999999999E-6</v>
      </c>
      <c r="C12" s="3">
        <v>-2.919E-5</v>
      </c>
      <c r="D12" s="3">
        <v>4.4909999999999999E-6</v>
      </c>
      <c r="E12" s="3">
        <v>4.7500000000000003E-5</v>
      </c>
      <c r="F12" s="3">
        <v>4.7500000000000003E-5</v>
      </c>
      <c r="G12" s="3">
        <v>4.7500000000000003E-5</v>
      </c>
      <c r="H12" s="3">
        <v>5.9533184000000001E-6</v>
      </c>
      <c r="I12" s="3">
        <v>1.6907601000000001E-6</v>
      </c>
      <c r="J12" s="3">
        <v>5.9533184000000001E-6</v>
      </c>
      <c r="L12" s="48">
        <f t="shared" si="0"/>
        <v>6.8037924571428572E-5</v>
      </c>
      <c r="M12" s="49"/>
      <c r="N12" s="10"/>
      <c r="O12" s="3"/>
      <c r="R12" s="11">
        <f t="shared" si="1"/>
        <v>3.7572446666666672E-5</v>
      </c>
    </row>
    <row r="13" spans="1:18" x14ac:dyDescent="0.25">
      <c r="A13">
        <v>180</v>
      </c>
      <c r="B13" s="3">
        <v>-4.4519999999999999E-6</v>
      </c>
      <c r="C13" s="3">
        <v>2.8969999999999999E-5</v>
      </c>
      <c r="D13" s="3">
        <v>-4.4519999999999999E-6</v>
      </c>
      <c r="E13" s="3">
        <v>-4.7500000000000003E-5</v>
      </c>
      <c r="F13" s="3">
        <v>-4.7500000000000003E-5</v>
      </c>
      <c r="G13" s="3">
        <v>-4.7500000000000003E-5</v>
      </c>
      <c r="H13" s="3">
        <v>-5.9425716999999999E-6</v>
      </c>
      <c r="I13" s="3">
        <v>-1.714444E-6</v>
      </c>
      <c r="J13" s="3">
        <v>-5.9425716999999999E-6</v>
      </c>
      <c r="L13" s="48">
        <f t="shared" si="0"/>
        <v>6.7915105142857151E-5</v>
      </c>
      <c r="M13" s="48"/>
      <c r="N13" s="10"/>
      <c r="O13" s="3"/>
      <c r="R13" s="11">
        <f t="shared" si="1"/>
        <v>3.809875555555556E-5</v>
      </c>
    </row>
    <row r="14" spans="1:18" x14ac:dyDescent="0.25">
      <c r="A14" s="11">
        <v>181</v>
      </c>
      <c r="B14" s="3">
        <v>4.4510000000000002E-6</v>
      </c>
      <c r="C14" s="3">
        <v>-2.8969999999999999E-5</v>
      </c>
      <c r="D14" s="3">
        <v>4.4510000000000002E-6</v>
      </c>
      <c r="E14" s="3">
        <v>4.7500000000000003E-5</v>
      </c>
      <c r="F14" s="3">
        <v>4.7500000000000003E-5</v>
      </c>
      <c r="G14" s="3">
        <v>4.7500000000000003E-5</v>
      </c>
      <c r="H14" s="3">
        <v>5.9422875999999998E-6</v>
      </c>
      <c r="I14" s="3">
        <v>1.715075E-6</v>
      </c>
      <c r="J14" s="3">
        <v>5.9422875999999998E-6</v>
      </c>
      <c r="L14" s="48">
        <f t="shared" si="0"/>
        <v>6.7911858285714291E-5</v>
      </c>
      <c r="M14" s="49"/>
      <c r="N14" s="10"/>
      <c r="O14" s="3"/>
      <c r="R14" s="11">
        <f t="shared" si="1"/>
        <v>3.8112777777777781E-5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18946.322</v>
      </c>
    </row>
    <row r="3" spans="2:4" x14ac:dyDescent="0.25">
      <c r="B3" t="s">
        <v>118</v>
      </c>
      <c r="C3" s="3">
        <v>0.27492274999999999</v>
      </c>
    </row>
    <row r="4" spans="2:4" x14ac:dyDescent="0.25">
      <c r="B4" t="s">
        <v>119</v>
      </c>
      <c r="C4" s="3">
        <v>25113.767</v>
      </c>
    </row>
    <row r="5" spans="2:4" x14ac:dyDescent="0.25">
      <c r="B5" t="s">
        <v>120</v>
      </c>
      <c r="C5" s="3">
        <v>0.36447574999999999</v>
      </c>
    </row>
    <row r="6" spans="2:4" x14ac:dyDescent="0.25">
      <c r="B6" t="s">
        <v>121</v>
      </c>
      <c r="C6" s="3">
        <v>18946.322</v>
      </c>
    </row>
    <row r="7" spans="2:4" x14ac:dyDescent="0.25">
      <c r="B7" t="s">
        <v>122</v>
      </c>
      <c r="C7" s="3">
        <v>0.35477789999999998</v>
      </c>
    </row>
    <row r="8" spans="2:4" x14ac:dyDescent="0.25">
      <c r="B8" t="s">
        <v>123</v>
      </c>
      <c r="C8" t="s">
        <v>124</v>
      </c>
      <c r="D8" s="3">
        <v>6992.4087</v>
      </c>
    </row>
    <row r="9" spans="2:4" x14ac:dyDescent="0.25">
      <c r="B9" t="s">
        <v>125</v>
      </c>
      <c r="C9" t="s">
        <v>124</v>
      </c>
      <c r="D9" s="3">
        <v>9035.3351999999995</v>
      </c>
    </row>
    <row r="10" spans="2:4" x14ac:dyDescent="0.25">
      <c r="B10" t="s">
        <v>126</v>
      </c>
      <c r="C10" t="s">
        <v>124</v>
      </c>
      <c r="D10" s="3">
        <v>9035.3351999999995</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-5.2026789142857141E-4</v>
      </c>
      <c r="C3" s="2">
        <f>IF('Modell einstellen'!$B$2="Ja",creep_res0!O3,creep_res0!C3)</f>
        <v>-5.2482441714285716E-4</v>
      </c>
      <c r="D3" s="2">
        <f>IF('Modell einstellen'!$B$2="Ja",creep_res25!O3,creep_res25!C3)</f>
        <v>-5.2781071428571432E-4</v>
      </c>
      <c r="E3" s="2">
        <f>IF('Modell einstellen'!$B$2="Ja",creep_res50!O3,creep_res50!C3)</f>
        <v>-5.3091504571428573E-4</v>
      </c>
      <c r="F3" s="2">
        <f>IF('Modell einstellen'!$B$2="Ja",creep_res80!O3,creep_res80!C3)</f>
        <v>-5.3875919428571434E-4</v>
      </c>
      <c r="G3" s="2">
        <f>IF('Modell einstellen'!$B$2="Ja",creep_res125!O3,creep_res125!C3)</f>
        <v>-6.2079731428571429E-4</v>
      </c>
      <c r="H3" s="2">
        <f>IF('Modell einstellen'!$B$2="Ja",creep_res160!O3,creep_res160!C3)</f>
        <v>-7.5780891428571431E-4</v>
      </c>
      <c r="M3" s="9">
        <f>-10</f>
        <v>-10</v>
      </c>
      <c r="N3" s="2">
        <f t="shared" ref="N3:N33" si="4">A3</f>
        <v>1.0000000000000001E-15</v>
      </c>
      <c r="O3" s="2">
        <f t="shared" ref="O3:O33" si="5">$M$3/B3</f>
        <v>19220.867104717185</v>
      </c>
      <c r="P3" s="2">
        <f t="shared" ref="P3:P33" si="6">$M$3/C3</f>
        <v>19053.991531948868</v>
      </c>
      <c r="Q3" s="2">
        <f t="shared" ref="Q3:Q33" si="7">$M$3/D3</f>
        <v>18946.186065080146</v>
      </c>
      <c r="R3" s="2">
        <f>$M$3/E3</f>
        <v>18835.405175881086</v>
      </c>
      <c r="S3" s="2">
        <f t="shared" ref="S3:S33" si="8">$M$3/F3</f>
        <v>18561.168154648341</v>
      </c>
      <c r="T3" s="2">
        <f t="shared" ref="T3:T33" si="9">$M$3/G3</f>
        <v>16108.317110723878</v>
      </c>
      <c r="U3" s="2">
        <f t="shared" ref="U3:U33" si="10">$M$3/H3</f>
        <v>13195.938727410814</v>
      </c>
      <c r="W3" s="2">
        <v>18599.275035544593</v>
      </c>
      <c r="Z3" s="2">
        <v>1.0000000000000001E-15</v>
      </c>
      <c r="AA3" s="3">
        <f>IF('Modell einstellen'!$B$2="Ja",'creep_res-40'!P3,'creep_res-40'!L3)</f>
        <v>0.35489597935815076</v>
      </c>
      <c r="AB3" s="2">
        <f>IF('Modell einstellen'!$B$2="Ja",creep_res0!P3,creep_res0!L3)</f>
        <v>0.35482118738094864</v>
      </c>
      <c r="AC3" s="2">
        <f>IF('Modell einstellen'!$B$2="Ja",creep_res25!P3,creep_res25!L3)</f>
        <v>0.35477058198623695</v>
      </c>
      <c r="AD3" s="2">
        <f>IF('Modell einstellen'!$B$2="Ja",creep_res50!P3,creep_res50!L3)</f>
        <v>0.35471875817893839</v>
      </c>
      <c r="AE3" s="2">
        <f>IF('Modell einstellen'!$B$2="Ja",creep_res80!P3,creep_res80!L3)</f>
        <v>0.35669424279974371</v>
      </c>
      <c r="AF3" s="2">
        <f>IF('Modell einstellen'!$B$2="Ja",creep_res125!P3,creep_res125!L3)</f>
        <v>0.39427561036024372</v>
      </c>
      <c r="AG3" s="2">
        <f>IF('Modell einstellen'!$B$2="Ja",creep_res160!P3,creep_res160!L3)</f>
        <v>0.45450490496812768</v>
      </c>
      <c r="AL3" s="2">
        <f t="shared" ref="AL3:AL33" si="11">Z3</f>
        <v>1.0000000000000001E-15</v>
      </c>
      <c r="AM3" s="2">
        <f t="shared" ref="AM3:AM33" si="12">O3/(2*(1+AA3))</f>
        <v>7093.1154116431162</v>
      </c>
      <c r="AN3" s="2">
        <f t="shared" ref="AN3:AN33" si="13">P3/(2*(1+AB3))</f>
        <v>7031.9211529245395</v>
      </c>
      <c r="AO3" s="2">
        <f t="shared" ref="AO3:AO33" si="14">Q3/(2*(1+AC3))</f>
        <v>6992.3964680806075</v>
      </c>
      <c r="AP3" s="2">
        <f t="shared" ref="AP3:AP33" si="15">R3/(2*(1+AD3))</f>
        <v>6951.7769139036336</v>
      </c>
      <c r="AQ3" s="2">
        <f t="shared" ref="AQ3:AQ33" si="16">S3/(2*(1+AE3))</f>
        <v>6840.5863197092085</v>
      </c>
      <c r="AR3" s="2">
        <f t="shared" ref="AR3:AR33" si="17">T3/(2*(1+AF3))</f>
        <v>5776.5900052436255</v>
      </c>
      <c r="AS3" s="2">
        <f t="shared" ref="AS3:AS33" si="18">U3/(2*(1+AG3))</f>
        <v>4536.230397827354</v>
      </c>
      <c r="AX3" s="2">
        <f>AL3</f>
        <v>1.0000000000000001E-15</v>
      </c>
      <c r="AY3" s="37">
        <f t="shared" ref="AY3:AY33" si="19">O3/(3*(1-(2*AA3)))</f>
        <v>22077.11293330136</v>
      </c>
      <c r="AZ3" s="37">
        <f t="shared" ref="AZ3:AZ33" si="20">P3/(3*(1-(2*AB3)))</f>
        <v>21874.164680336275</v>
      </c>
      <c r="BA3" s="37">
        <f t="shared" ref="BA3:BA33" si="21">Q3/(3*(1-(2*AC3)))</f>
        <v>21742.824013893041</v>
      </c>
      <c r="BB3" s="37">
        <f t="shared" ref="BB3:BB33" si="22">R3/(3*(1-(2*AD3)))</f>
        <v>21607.980195039068</v>
      </c>
      <c r="BC3" s="37">
        <f t="shared" ref="BC3:BC33" si="23">S3/(3*(1-(2*AE3)))</f>
        <v>21586.906808299471</v>
      </c>
      <c r="BD3" s="37">
        <f t="shared" ref="BD3:BD33" si="24">T3/(3*(1-(2*AF3)))</f>
        <v>25393.568386649978</v>
      </c>
      <c r="BE3" s="37">
        <f t="shared" ref="BE3:BE33" si="25">U3/(3*(1-(2*AG3)))</f>
        <v>48341.983233453284</v>
      </c>
    </row>
    <row r="4" spans="1:308" x14ac:dyDescent="0.25">
      <c r="A4" s="2">
        <f>'creep_res-40'!A4</f>
        <v>1E-14</v>
      </c>
      <c r="B4" s="3">
        <f>'creep_res-40'!O4</f>
        <v>-5.2026033714285718E-4</v>
      </c>
      <c r="C4" s="2">
        <f>IF('Modell einstellen'!$B$2="Ja",creep_res0!O4,creep_res0!C4)</f>
        <v>-5.2481664571428575E-4</v>
      </c>
      <c r="D4" s="2">
        <f>IF('Modell einstellen'!$B$2="Ja",creep_res25!O4,creep_res25!C4)</f>
        <v>-5.2780317142857151E-4</v>
      </c>
      <c r="E4" s="2">
        <f>IF('Modell einstellen'!$B$2="Ja",creep_res50!O4,creep_res50!C4)</f>
        <v>-5.3097552000000003E-4</v>
      </c>
      <c r="F4" s="2">
        <f>IF('Modell einstellen'!$B$2="Ja",creep_res80!O4,creep_res80!C4)</f>
        <v>-5.5183846857142854E-4</v>
      </c>
      <c r="G4" s="2">
        <f>IF('Modell einstellen'!$B$2="Ja",creep_res125!O4,creep_res125!C4)</f>
        <v>-6.3928611428571433E-4</v>
      </c>
      <c r="H4" s="2">
        <f>IF('Modell einstellen'!$B$2="Ja",creep_res160!O4,creep_res160!C4)</f>
        <v>-7.9098565714285718E-4</v>
      </c>
      <c r="M4" s="9">
        <f t="shared" ref="M4:M32" si="26">M3</f>
        <v>-10</v>
      </c>
      <c r="N4" s="2">
        <f t="shared" si="4"/>
        <v>1E-14</v>
      </c>
      <c r="O4" s="2">
        <f t="shared" si="5"/>
        <v>19221.146195609606</v>
      </c>
      <c r="P4" s="2">
        <f t="shared" si="6"/>
        <v>19054.273681410777</v>
      </c>
      <c r="Q4" s="2">
        <f t="shared" si="7"/>
        <v>18946.45682581564</v>
      </c>
      <c r="R4" s="2">
        <f t="shared" ref="R4:R33" si="27">$M$3/E4</f>
        <v>18833.259958952531</v>
      </c>
      <c r="S4" s="2">
        <f t="shared" si="8"/>
        <v>18121.244837982198</v>
      </c>
      <c r="T4" s="2">
        <f t="shared" si="9"/>
        <v>15642.448313104966</v>
      </c>
      <c r="U4" s="2">
        <f t="shared" si="10"/>
        <v>12642.454271701079</v>
      </c>
      <c r="Z4" s="2">
        <v>1E-14</v>
      </c>
      <c r="AA4" s="3">
        <f>IF('Modell einstellen'!$B$2="Ja",'creep_res-40'!P4,'creep_res-40'!L4)</f>
        <v>0.35490202218430006</v>
      </c>
      <c r="AB4" s="2">
        <f>IF('Modell einstellen'!$B$2="Ja",creep_res0!P4,creep_res0!L4)</f>
        <v>0.35482783521903322</v>
      </c>
      <c r="AC4" s="2">
        <f>IF('Modell einstellen'!$B$2="Ja",creep_res25!P4,creep_res25!L4)</f>
        <v>0.35477781733677666</v>
      </c>
      <c r="AD4" s="2">
        <f>IF('Modell einstellen'!$B$2="Ja",creep_res50!P4,creep_res50!L4)</f>
        <v>0.35476427021935553</v>
      </c>
      <c r="AE4" s="2">
        <f>IF('Modell einstellen'!$B$2="Ja",creep_res80!P4,creep_res80!L4)</f>
        <v>0.36381285985426876</v>
      </c>
      <c r="AF4" s="2">
        <f>IF('Modell einstellen'!$B$2="Ja",creep_res125!P4,creep_res125!L4)</f>
        <v>0.4037430680490301</v>
      </c>
      <c r="AG4" s="2">
        <f>IF('Modell einstellen'!$B$2="Ja",creep_res160!P4,creep_res160!L4)</f>
        <v>0.46898678097757085</v>
      </c>
      <c r="AL4" s="2">
        <f t="shared" si="11"/>
        <v>1E-14</v>
      </c>
      <c r="AM4" s="2">
        <f t="shared" si="12"/>
        <v>7093.186769557813</v>
      </c>
      <c r="AN4" s="2">
        <f t="shared" si="13"/>
        <v>7031.9907762783369</v>
      </c>
      <c r="AO4" s="2">
        <f t="shared" si="14"/>
        <v>6992.459052459466</v>
      </c>
      <c r="AP4" s="2">
        <f t="shared" si="15"/>
        <v>6950.7516447504031</v>
      </c>
      <c r="AQ4" s="2">
        <f t="shared" si="16"/>
        <v>6643.5965561721414</v>
      </c>
      <c r="AR4" s="2">
        <f t="shared" si="17"/>
        <v>5571.6920956359099</v>
      </c>
      <c r="AS4" s="2">
        <f t="shared" si="18"/>
        <v>4303.1205029931816</v>
      </c>
      <c r="AX4" s="2">
        <f t="shared" ref="AX4:AX32" si="28">AL4</f>
        <v>1E-14</v>
      </c>
      <c r="AY4" s="37">
        <f t="shared" si="19"/>
        <v>22078.352945786577</v>
      </c>
      <c r="AZ4" s="37">
        <f t="shared" si="20"/>
        <v>21875.490284426003</v>
      </c>
      <c r="BA4" s="37">
        <f t="shared" si="21"/>
        <v>21744.218041575314</v>
      </c>
      <c r="BB4" s="37">
        <f t="shared" si="22"/>
        <v>21612.28965190726</v>
      </c>
      <c r="BC4" s="37">
        <f t="shared" si="23"/>
        <v>22176.891810527537</v>
      </c>
      <c r="BD4" s="37">
        <f t="shared" si="24"/>
        <v>27084.539949588099</v>
      </c>
      <c r="BE4" s="37">
        <f t="shared" si="25"/>
        <v>67941.212759188784</v>
      </c>
      <c r="BF4" s="5"/>
      <c r="BG4" s="5"/>
    </row>
    <row r="5" spans="1:308" x14ac:dyDescent="0.25">
      <c r="A5" s="2">
        <f>'creep_res-40'!A5</f>
        <v>1E-13</v>
      </c>
      <c r="B5" s="3">
        <f>'creep_res-40'!O5</f>
        <v>-5.2026304571428574E-4</v>
      </c>
      <c r="C5" s="2">
        <f>IF('Modell einstellen'!$B$2="Ja",creep_res0!O5,creep_res0!C5)</f>
        <v>-5.2481937142857143E-4</v>
      </c>
      <c r="D5" s="2">
        <f>IF('Modell einstellen'!$B$2="Ja",creep_res25!O5,creep_res25!C5)</f>
        <v>-5.2780959428571435E-4</v>
      </c>
      <c r="E5" s="2">
        <f>IF('Modell einstellen'!$B$2="Ja",creep_res50!O5,creep_res50!C5)</f>
        <v>-5.316390914285714E-4</v>
      </c>
      <c r="F5" s="2">
        <f>IF('Modell einstellen'!$B$2="Ja",creep_res80!O5,creep_res80!C5)</f>
        <v>-5.5994022285714288E-4</v>
      </c>
      <c r="G5" s="2">
        <f>IF('Modell einstellen'!$B$2="Ja",creep_res125!O5,creep_res125!C5)</f>
        <v>-6.558840571428572E-4</v>
      </c>
      <c r="H5" s="2">
        <f>IF('Modell einstellen'!$B$2="Ja",creep_res160!O5,creep_res160!C5)</f>
        <v>-8.179954857142857E-4</v>
      </c>
      <c r="M5" s="9">
        <f t="shared" si="26"/>
        <v>-10</v>
      </c>
      <c r="N5" s="2">
        <f t="shared" si="4"/>
        <v>1E-13</v>
      </c>
      <c r="O5" s="2">
        <f t="shared" si="5"/>
        <v>19221.046127292553</v>
      </c>
      <c r="P5" s="2">
        <f t="shared" si="6"/>
        <v>19054.174720684852</v>
      </c>
      <c r="Q5" s="2">
        <f t="shared" si="7"/>
        <v>18946.226268457696</v>
      </c>
      <c r="R5" s="2">
        <f t="shared" si="27"/>
        <v>18809.75300956317</v>
      </c>
      <c r="S5" s="2">
        <f t="shared" si="8"/>
        <v>17859.049219529443</v>
      </c>
      <c r="T5" s="2">
        <f t="shared" si="9"/>
        <v>15246.597155542559</v>
      </c>
      <c r="U5" s="2">
        <f t="shared" si="10"/>
        <v>12225.006341285432</v>
      </c>
      <c r="Z5" s="2">
        <v>1E-13</v>
      </c>
      <c r="AA5" s="3">
        <f>IF('Modell einstellen'!$B$2="Ja",'creep_res-40'!P5,'creep_res-40'!L5)</f>
        <v>0.3549020636626749</v>
      </c>
      <c r="AB5" s="2">
        <f>IF('Modell einstellen'!$B$2="Ja",creep_res0!P5,creep_res0!L5)</f>
        <v>0.35482789779427787</v>
      </c>
      <c r="AC5" s="2">
        <f>IF('Modell einstellen'!$B$2="Ja",creep_res25!P5,creep_res25!L5)</f>
        <v>0.35477996345413693</v>
      </c>
      <c r="AD5" s="2">
        <f>IF('Modell einstellen'!$B$2="Ja",creep_res50!P5,creep_res50!L5)</f>
        <v>0.35513075943754374</v>
      </c>
      <c r="AE5" s="2">
        <f>IF('Modell einstellen'!$B$2="Ja",creep_res80!P5,creep_res80!L5)</f>
        <v>0.36805711474976932</v>
      </c>
      <c r="AF5" s="2">
        <f>IF('Modell einstellen'!$B$2="Ja",creep_res125!P5,creep_res125!L5)</f>
        <v>0.41152209741599799</v>
      </c>
      <c r="AG5" s="2">
        <f>IF('Modell einstellen'!$B$2="Ja",creep_res160!P5,creep_res160!L5)</f>
        <v>0.48088322666957084</v>
      </c>
      <c r="AL5" s="2">
        <f t="shared" si="11"/>
        <v>1E-13</v>
      </c>
      <c r="AM5" s="2">
        <f t="shared" si="12"/>
        <v>7093.1496241627792</v>
      </c>
      <c r="AN5" s="2">
        <f t="shared" si="13"/>
        <v>7031.9539299810422</v>
      </c>
      <c r="AO5" s="2">
        <f t="shared" si="14"/>
        <v>6992.3628853177524</v>
      </c>
      <c r="AP5" s="2">
        <f t="shared" si="15"/>
        <v>6940.1985301294053</v>
      </c>
      <c r="AQ5" s="2">
        <f t="shared" si="16"/>
        <v>6527.1577578820725</v>
      </c>
      <c r="AR5" s="2">
        <f t="shared" si="17"/>
        <v>5400.7646013667554</v>
      </c>
      <c r="AS5" s="2">
        <f t="shared" si="18"/>
        <v>4127.6064584710148</v>
      </c>
      <c r="AX5" s="2">
        <f t="shared" si="28"/>
        <v>1E-13</v>
      </c>
      <c r="AY5" s="37">
        <f t="shared" si="19"/>
        <v>22078.244313789179</v>
      </c>
      <c r="AZ5" s="37">
        <f t="shared" si="20"/>
        <v>21875.38610056468</v>
      </c>
      <c r="BA5" s="37">
        <f t="shared" si="21"/>
        <v>21744.274779045543</v>
      </c>
      <c r="BB5" s="37">
        <f t="shared" si="22"/>
        <v>21639.920405157689</v>
      </c>
      <c r="BC5" s="37">
        <f t="shared" si="23"/>
        <v>22559.065595768479</v>
      </c>
      <c r="BD5" s="37">
        <f t="shared" si="24"/>
        <v>28720.160081905295</v>
      </c>
      <c r="BE5" s="37">
        <f t="shared" si="25"/>
        <v>106581.8494399214</v>
      </c>
    </row>
    <row r="6" spans="1:308" x14ac:dyDescent="0.25">
      <c r="A6" s="2">
        <f>'creep_res-40'!A6</f>
        <v>9.9999999999999998E-13</v>
      </c>
      <c r="B6" s="3">
        <f>'creep_res-40'!O6</f>
        <v>-5.2026376571428568E-4</v>
      </c>
      <c r="C6" s="2">
        <f>IF('Modell einstellen'!$B$2="Ja",creep_res0!O6,creep_res0!C6)</f>
        <v>-5.2482014857142855E-4</v>
      </c>
      <c r="D6" s="2">
        <f>IF('Modell einstellen'!$B$2="Ja",creep_res25!O6,creep_res25!C6)</f>
        <v>-5.2784711428571437E-4</v>
      </c>
      <c r="E6" s="2">
        <f>IF('Modell einstellen'!$B$2="Ja",creep_res50!O6,creep_res50!C6)</f>
        <v>-5.367964742857143E-4</v>
      </c>
      <c r="F6" s="2">
        <f>IF('Modell einstellen'!$B$2="Ja",creep_res80!O6,creep_res80!C6)</f>
        <v>-5.6813518285714294E-4</v>
      </c>
      <c r="G6" s="2">
        <f>IF('Modell einstellen'!$B$2="Ja",creep_res125!O6,creep_res125!C6)</f>
        <v>-6.7472948571428574E-4</v>
      </c>
      <c r="H6" s="2">
        <f>IF('Modell einstellen'!$B$2="Ja",creep_res160!O6,creep_res160!C6)</f>
        <v>-8.486698857142858E-4</v>
      </c>
      <c r="M6" s="9">
        <f t="shared" si="26"/>
        <v>-10</v>
      </c>
      <c r="N6" s="2">
        <f t="shared" si="4"/>
        <v>9.9999999999999998E-13</v>
      </c>
      <c r="O6" s="2">
        <f t="shared" si="5"/>
        <v>19221.019527029144</v>
      </c>
      <c r="P6" s="2">
        <f t="shared" si="6"/>
        <v>19054.146505655717</v>
      </c>
      <c r="Q6" s="2">
        <f t="shared" si="7"/>
        <v>18944.879548185188</v>
      </c>
      <c r="R6" s="2">
        <f t="shared" si="27"/>
        <v>18629.034427445622</v>
      </c>
      <c r="S6" s="2">
        <f t="shared" si="8"/>
        <v>17601.444694395013</v>
      </c>
      <c r="T6" s="2">
        <f t="shared" si="9"/>
        <v>14820.754408581606</v>
      </c>
      <c r="U6" s="2">
        <f t="shared" si="10"/>
        <v>11783.144622344491</v>
      </c>
      <c r="Z6" s="2">
        <v>9.9999999999999998E-13</v>
      </c>
      <c r="AA6" s="3">
        <f>IF('Modell einstellen'!$B$2="Ja",'creep_res-40'!P6,'creep_res-40'!L6)</f>
        <v>0.35490205578029937</v>
      </c>
      <c r="AB6" s="2">
        <f>IF('Modell einstellen'!$B$2="Ja",creep_res0!P6,creep_res0!L6)</f>
        <v>0.354827927664711</v>
      </c>
      <c r="AC6" s="2">
        <f>IF('Modell einstellen'!$B$2="Ja",creep_res25!P6,creep_res25!L6)</f>
        <v>0.35480066766085783</v>
      </c>
      <c r="AD6" s="2">
        <f>IF('Modell einstellen'!$B$2="Ja",creep_res50!P6,creep_res50!L6)</f>
        <v>0.35797376910597761</v>
      </c>
      <c r="AE6" s="2">
        <f>IF('Modell einstellen'!$B$2="Ja",creep_res80!P6,creep_res80!L6)</f>
        <v>0.37232543156202752</v>
      </c>
      <c r="AF6" s="2">
        <f>IF('Modell einstellen'!$B$2="Ja",creep_res125!P6,creep_res125!L6)</f>
        <v>0.42095508159629863</v>
      </c>
      <c r="AG6" s="2">
        <f>IF('Modell einstellen'!$B$2="Ja",creep_res160!P6,creep_res160!L6)</f>
        <v>0.4931989574542967</v>
      </c>
      <c r="AL6" s="2">
        <f t="shared" si="11"/>
        <v>9.9999999999999998E-13</v>
      </c>
      <c r="AM6" s="2">
        <f t="shared" si="12"/>
        <v>7093.139849123485</v>
      </c>
      <c r="AN6" s="2">
        <f t="shared" si="13"/>
        <v>7031.9433621725511</v>
      </c>
      <c r="AO6" s="2">
        <f t="shared" si="14"/>
        <v>6991.7590094248426</v>
      </c>
      <c r="AP6" s="2">
        <f t="shared" si="15"/>
        <v>6859.1289652487367</v>
      </c>
      <c r="AQ6" s="2">
        <f t="shared" si="16"/>
        <v>6412.9995296962652</v>
      </c>
      <c r="AR6" s="2">
        <f t="shared" si="17"/>
        <v>5215.0678795321228</v>
      </c>
      <c r="AS6" s="2">
        <f t="shared" si="18"/>
        <v>3945.604356178083</v>
      </c>
      <c r="AX6" s="2">
        <f t="shared" si="28"/>
        <v>9.9999999999999998E-13</v>
      </c>
      <c r="AY6" s="37">
        <f t="shared" si="19"/>
        <v>22078.212560022632</v>
      </c>
      <c r="AZ6" s="37">
        <f t="shared" si="20"/>
        <v>21875.358208990678</v>
      </c>
      <c r="BA6" s="37">
        <f t="shared" si="21"/>
        <v>21745.829500941531</v>
      </c>
      <c r="BB6" s="37">
        <f t="shared" si="22"/>
        <v>21861.025612639936</v>
      </c>
      <c r="BC6" s="37">
        <f t="shared" si="23"/>
        <v>22976.965198497666</v>
      </c>
      <c r="BD6" s="37">
        <f t="shared" si="24"/>
        <v>31249.646209362581</v>
      </c>
      <c r="BE6" s="37">
        <f t="shared" si="25"/>
        <v>288758.29313817841</v>
      </c>
    </row>
    <row r="7" spans="1:308" x14ac:dyDescent="0.25">
      <c r="A7" s="2">
        <f>'creep_res-40'!A7</f>
        <v>9.9999999999999994E-12</v>
      </c>
      <c r="B7" s="3">
        <f>'creep_res-40'!O7</f>
        <v>-5.2026397714285716E-4</v>
      </c>
      <c r="C7" s="2">
        <f>IF('Modell einstellen'!$B$2="Ja",creep_res0!O7,creep_res0!C7)</f>
        <v>-5.2482096571428573E-4</v>
      </c>
      <c r="D7" s="2">
        <f>IF('Modell einstellen'!$B$2="Ja",creep_res25!O7,creep_res25!C7)</f>
        <v>-5.2820610285714297E-4</v>
      </c>
      <c r="E7" s="2">
        <f>IF('Modell einstellen'!$B$2="Ja",creep_res50!O7,creep_res50!C7)</f>
        <v>-5.4753407428571432E-4</v>
      </c>
      <c r="F7" s="2">
        <f>IF('Modell einstellen'!$B$2="Ja",creep_res80!O7,creep_res80!C7)</f>
        <v>-5.7749040000000008E-4</v>
      </c>
      <c r="G7" s="2">
        <f>IF('Modell einstellen'!$B$2="Ja",creep_res125!O7,creep_res125!C7)</f>
        <v>-7.0008291428571429E-4</v>
      </c>
      <c r="H7" s="2">
        <f>IF('Modell einstellen'!$B$2="Ja",creep_res160!O7,creep_res160!C7)</f>
        <v>-8.8110862857142865E-4</v>
      </c>
      <c r="M7" s="9">
        <f t="shared" si="26"/>
        <v>-10</v>
      </c>
      <c r="N7" s="2">
        <f t="shared" si="4"/>
        <v>9.9999999999999994E-12</v>
      </c>
      <c r="O7" s="2">
        <f t="shared" si="5"/>
        <v>19221.011715854664</v>
      </c>
      <c r="P7" s="2">
        <f t="shared" si="6"/>
        <v>19054.116838472557</v>
      </c>
      <c r="Q7" s="2">
        <f t="shared" si="7"/>
        <v>18932.003901334268</v>
      </c>
      <c r="R7" s="2">
        <f t="shared" si="27"/>
        <v>18263.70352027041</v>
      </c>
      <c r="S7" s="2">
        <f t="shared" si="8"/>
        <v>17316.305171479904</v>
      </c>
      <c r="T7" s="2">
        <f t="shared" si="9"/>
        <v>14284.022357841532</v>
      </c>
      <c r="U7" s="2">
        <f t="shared" si="10"/>
        <v>11349.338408152171</v>
      </c>
      <c r="Z7" s="2">
        <v>9.9999999999999994E-12</v>
      </c>
      <c r="AA7" s="3">
        <f>IF('Modell einstellen'!$B$2="Ja",'creep_res-40'!P7,'creep_res-40'!L7)</f>
        <v>0.35490204335390357</v>
      </c>
      <c r="AB7" s="2">
        <f>IF('Modell einstellen'!$B$2="Ja",creep_res0!P7,creep_res0!L7)</f>
        <v>0.35482826802139189</v>
      </c>
      <c r="AC7" s="2">
        <f>IF('Modell einstellen'!$B$2="Ja",creep_res25!P7,creep_res25!L7)</f>
        <v>0.35500228114419569</v>
      </c>
      <c r="AD7" s="2">
        <f>IF('Modell einstellen'!$B$2="Ja",creep_res50!P7,creep_res50!L7)</f>
        <v>0.36384606795456531</v>
      </c>
      <c r="AE7" s="2">
        <f>IF('Modell einstellen'!$B$2="Ja",creep_res80!P7,creep_res80!L7)</f>
        <v>0.37719485157551658</v>
      </c>
      <c r="AF7" s="2">
        <f>IF('Modell einstellen'!$B$2="Ja",creep_res125!P7,creep_res125!L7)</f>
        <v>0.4325781738016175</v>
      </c>
      <c r="AG7" s="2">
        <f>IF('Modell einstellen'!$B$2="Ja",creep_res160!P7,creep_res160!L7)</f>
        <v>0.50656640942148146</v>
      </c>
      <c r="AL7" s="2">
        <f t="shared" si="11"/>
        <v>9.9999999999999994E-12</v>
      </c>
      <c r="AM7" s="2">
        <f t="shared" si="12"/>
        <v>7093.1370316171597</v>
      </c>
      <c r="AN7" s="2">
        <f t="shared" si="13"/>
        <v>7031.9306469370567</v>
      </c>
      <c r="AO7" s="2">
        <f t="shared" si="14"/>
        <v>6985.9675385002447</v>
      </c>
      <c r="AP7" s="2">
        <f t="shared" si="15"/>
        <v>6695.6616107202954</v>
      </c>
      <c r="AQ7" s="2">
        <f t="shared" si="16"/>
        <v>6286.8028992665704</v>
      </c>
      <c r="AR7" s="2">
        <f t="shared" si="17"/>
        <v>4985.425095489265</v>
      </c>
      <c r="AS7" s="2">
        <f t="shared" si="18"/>
        <v>3766.6240058114313</v>
      </c>
      <c r="AX7" s="2">
        <f t="shared" si="28"/>
        <v>9.9999999999999994E-12</v>
      </c>
      <c r="AY7" s="37">
        <f t="shared" si="19"/>
        <v>22078.201696912922</v>
      </c>
      <c r="AZ7" s="37">
        <f t="shared" si="20"/>
        <v>21875.375436130926</v>
      </c>
      <c r="BA7" s="37">
        <f t="shared" si="21"/>
        <v>21761.266373394414</v>
      </c>
      <c r="BB7" s="37">
        <f t="shared" si="22"/>
        <v>22356.685120896589</v>
      </c>
      <c r="BC7" s="37">
        <f t="shared" si="23"/>
        <v>23501.057561019414</v>
      </c>
      <c r="BD7" s="37">
        <f t="shared" si="24"/>
        <v>35310.084689321317</v>
      </c>
      <c r="BE7" s="37">
        <f t="shared" si="25"/>
        <v>-288065.55911220331</v>
      </c>
    </row>
    <row r="8" spans="1:308" x14ac:dyDescent="0.25">
      <c r="A8" s="2">
        <f>'creep_res-40'!A8</f>
        <v>1E-10</v>
      </c>
      <c r="B8" s="3">
        <f>'creep_res-40'!O8</f>
        <v>-5.2026404000000005E-4</v>
      </c>
      <c r="C8" s="2">
        <f>IF('Modell einstellen'!$B$2="Ja",creep_res0!O8,creep_res0!C8)</f>
        <v>-5.248271028571429E-4</v>
      </c>
      <c r="D8" s="2">
        <f>IF('Modell einstellen'!$B$2="Ja",creep_res25!O8,creep_res25!C8)</f>
        <v>-5.3132425714285715E-4</v>
      </c>
      <c r="E8" s="2">
        <f>IF('Modell einstellen'!$B$2="Ja",creep_res50!O8,creep_res50!C8)</f>
        <v>-5.5545164000000004E-4</v>
      </c>
      <c r="F8" s="2">
        <f>IF('Modell einstellen'!$B$2="Ja",creep_res80!O8,creep_res80!C8)</f>
        <v>-5.8790091428571434E-4</v>
      </c>
      <c r="G8" s="2">
        <f>IF('Modell einstellen'!$B$2="Ja",creep_res125!O8,creep_res125!C8)</f>
        <v>-7.2712519999999998E-4</v>
      </c>
      <c r="H8" s="2">
        <f>IF('Modell einstellen'!$B$2="Ja",creep_res160!O8,creep_res160!C8)</f>
        <v>-9.2443062857142859E-4</v>
      </c>
      <c r="M8" s="9">
        <f t="shared" si="26"/>
        <v>-10</v>
      </c>
      <c r="N8" s="2">
        <f t="shared" si="4"/>
        <v>1E-10</v>
      </c>
      <c r="O8" s="2">
        <f t="shared" si="5"/>
        <v>19221.009393614826</v>
      </c>
      <c r="P8" s="2">
        <f t="shared" si="6"/>
        <v>19053.894026357066</v>
      </c>
      <c r="Q8" s="2">
        <f t="shared" si="7"/>
        <v>18820.898661344763</v>
      </c>
      <c r="R8" s="2">
        <f t="shared" si="27"/>
        <v>18003.367493882994</v>
      </c>
      <c r="S8" s="2">
        <f t="shared" si="8"/>
        <v>17009.669073486239</v>
      </c>
      <c r="T8" s="2">
        <f t="shared" si="9"/>
        <v>13752.789753401477</v>
      </c>
      <c r="U8" s="2">
        <f t="shared" si="10"/>
        <v>10817.469359981644</v>
      </c>
      <c r="Z8" s="2">
        <v>1E-10</v>
      </c>
      <c r="AA8" s="3">
        <f>IF('Modell einstellen'!$B$2="Ja",'creep_res-40'!P8,'creep_res-40'!L8)</f>
        <v>0.35490204440916467</v>
      </c>
      <c r="AB8" s="2">
        <f>IF('Modell einstellen'!$B$2="Ja",creep_res0!P8,creep_res0!L8)</f>
        <v>0.35483171856662499</v>
      </c>
      <c r="AC8" s="2">
        <f>IF('Modell einstellen'!$B$2="Ja",creep_res25!P8,creep_res25!L8)</f>
        <v>0.3567483273195185</v>
      </c>
      <c r="AD8" s="2">
        <f>IF('Modell einstellen'!$B$2="Ja",creep_res50!P8,creep_res50!L8)</f>
        <v>0.36805965167887011</v>
      </c>
      <c r="AE8" s="2">
        <f>IF('Modell einstellen'!$B$2="Ja",creep_res80!P8,creep_res80!L8)</f>
        <v>0.38258146708104163</v>
      </c>
      <c r="AF8" s="2">
        <f>IF('Modell einstellen'!$B$2="Ja",creep_res125!P8,creep_res125!L8)</f>
        <v>0.44512623528539907</v>
      </c>
      <c r="AG8" s="2">
        <f>IF('Modell einstellen'!$B$2="Ja",creep_res160!P8,creep_res160!L8)</f>
        <v>0.5227542253653461</v>
      </c>
      <c r="AL8" s="2">
        <f t="shared" si="11"/>
        <v>1E-10</v>
      </c>
      <c r="AM8" s="2">
        <f t="shared" si="12"/>
        <v>7093.1361691156708</v>
      </c>
      <c r="AN8" s="2">
        <f t="shared" si="13"/>
        <v>7031.8305090006179</v>
      </c>
      <c r="AO8" s="2">
        <f t="shared" si="14"/>
        <v>6936.0316435873456</v>
      </c>
      <c r="AP8" s="2">
        <f t="shared" si="15"/>
        <v>6579.8912612434069</v>
      </c>
      <c r="AQ8" s="2">
        <f t="shared" si="16"/>
        <v>6151.4165633211096</v>
      </c>
      <c r="AR8" s="2">
        <f t="shared" si="17"/>
        <v>4758.3350912889036</v>
      </c>
      <c r="AS8" s="2">
        <f t="shared" si="18"/>
        <v>3551.9419942460731</v>
      </c>
      <c r="AX8" s="2">
        <f t="shared" si="28"/>
        <v>1E-10</v>
      </c>
      <c r="AY8" s="37">
        <f t="shared" si="19"/>
        <v>22078.199190042968</v>
      </c>
      <c r="AZ8" s="37">
        <f t="shared" si="20"/>
        <v>21875.639589012484</v>
      </c>
      <c r="BA8" s="37">
        <f t="shared" si="21"/>
        <v>21897.241301705664</v>
      </c>
      <c r="BB8" s="37">
        <f t="shared" si="22"/>
        <v>22741.801785132677</v>
      </c>
      <c r="BC8" s="37">
        <f t="shared" si="23"/>
        <v>24143.930051806245</v>
      </c>
      <c r="BD8" s="37">
        <f t="shared" si="24"/>
        <v>41770.992704588716</v>
      </c>
      <c r="BE8" s="37">
        <f t="shared" si="25"/>
        <v>-79234.14359526879</v>
      </c>
    </row>
    <row r="9" spans="1:308" x14ac:dyDescent="0.25">
      <c r="A9" s="2">
        <f>'creep_res-40'!A9</f>
        <v>1.0000000000000001E-9</v>
      </c>
      <c r="B9" s="3">
        <f>'creep_res-40'!O9</f>
        <v>-5.2026406285714288E-4</v>
      </c>
      <c r="C9" s="2">
        <f>IF('Modell einstellen'!$B$2="Ja",creep_res0!O9,creep_res0!C9)</f>
        <v>-5.2488745714285713E-4</v>
      </c>
      <c r="D9" s="2">
        <f>IF('Modell einstellen'!$B$2="Ja",creep_res25!O9,creep_res25!C9)</f>
        <v>-5.4216279428571435E-4</v>
      </c>
      <c r="E9" s="2">
        <f>IF('Modell einstellen'!$B$2="Ja",creep_res50!O9,creep_res50!C9)</f>
        <v>-5.6348080000000005E-4</v>
      </c>
      <c r="F9" s="2">
        <f>IF('Modell einstellen'!$B$2="Ja",creep_res80!O9,creep_res80!C9)</f>
        <v>-6.0010474285714284E-4</v>
      </c>
      <c r="G9" s="2">
        <f>IF('Modell einstellen'!$B$2="Ja",creep_res125!O9,creep_res125!C9)</f>
        <v>-7.5195502857142865E-4</v>
      </c>
      <c r="H9" s="2">
        <f>IF('Modell einstellen'!$B$2="Ja",creep_res160!O9,creep_res160!C9)</f>
        <v>-9.7719491428571443E-4</v>
      </c>
      <c r="M9" s="9">
        <f t="shared" si="26"/>
        <v>-10</v>
      </c>
      <c r="N9" s="2">
        <f t="shared" si="4"/>
        <v>1.0000000000000001E-9</v>
      </c>
      <c r="O9" s="2">
        <f t="shared" si="5"/>
        <v>19221.008549164115</v>
      </c>
      <c r="P9" s="2">
        <f t="shared" si="6"/>
        <v>19051.703110669547</v>
      </c>
      <c r="Q9" s="2">
        <f t="shared" si="7"/>
        <v>18444.644496815286</v>
      </c>
      <c r="R9" s="2">
        <f t="shared" si="27"/>
        <v>17746.833609947313</v>
      </c>
      <c r="S9" s="2">
        <f t="shared" si="8"/>
        <v>16663.757650688218</v>
      </c>
      <c r="T9" s="2">
        <f t="shared" si="9"/>
        <v>13298.667633087174</v>
      </c>
      <c r="U9" s="2">
        <f t="shared" si="10"/>
        <v>10233.372947207314</v>
      </c>
      <c r="Z9" s="2">
        <v>1.0000000000000001E-9</v>
      </c>
      <c r="AA9" s="3">
        <f>IF('Modell einstellen'!$B$2="Ja",'creep_res-40'!P9,'creep_res-40'!L9)</f>
        <v>0.35490203980042623</v>
      </c>
      <c r="AB9" s="2">
        <f>IF('Modell einstellen'!$B$2="Ja",creep_res0!P9,creep_res0!L9)</f>
        <v>0.35486606897663669</v>
      </c>
      <c r="AC9" s="2">
        <f>IF('Modell einstellen'!$B$2="Ja",creep_res25!P9,creep_res25!L9)</f>
        <v>0.36276720216317948</v>
      </c>
      <c r="AD9" s="2">
        <f>IF('Modell einstellen'!$B$2="Ja",creep_res50!P9,creep_res50!L9)</f>
        <v>0.37230591403596053</v>
      </c>
      <c r="AE9" s="2">
        <f>IF('Modell einstellen'!$B$2="Ja",creep_res80!P9,creep_res80!L9)</f>
        <v>0.38886469628682918</v>
      </c>
      <c r="AF9" s="2">
        <f>IF('Modell einstellen'!$B$2="Ja",creep_res125!P9,creep_res125!L9)</f>
        <v>0.45642693069866719</v>
      </c>
      <c r="AG9" s="2">
        <f>IF('Modell einstellen'!$B$2="Ja",creep_res160!P9,creep_res160!L9)</f>
        <v>0.54189045250279344</v>
      </c>
      <c r="AL9" s="2">
        <f t="shared" si="11"/>
        <v>1.0000000000000001E-9</v>
      </c>
      <c r="AM9" s="2">
        <f t="shared" si="12"/>
        <v>7093.1358816152215</v>
      </c>
      <c r="AN9" s="2">
        <f t="shared" si="13"/>
        <v>7030.8436925650376</v>
      </c>
      <c r="AO9" s="2">
        <f t="shared" si="14"/>
        <v>6767.3497232459458</v>
      </c>
      <c r="AP9" s="2">
        <f t="shared" si="15"/>
        <v>6466.0632255652681</v>
      </c>
      <c r="AQ9" s="2">
        <f t="shared" si="16"/>
        <v>5999.0572498672</v>
      </c>
      <c r="AR9" s="2">
        <f t="shared" si="17"/>
        <v>4565.5114420012915</v>
      </c>
      <c r="AS9" s="2">
        <f t="shared" si="18"/>
        <v>3318.4500658255338</v>
      </c>
      <c r="AX9" s="2">
        <f t="shared" si="28"/>
        <v>1.0000000000000001E-9</v>
      </c>
      <c r="AY9" s="37">
        <f t="shared" si="19"/>
        <v>22078.197518796656</v>
      </c>
      <c r="AZ9" s="37">
        <f t="shared" si="20"/>
        <v>21878.301162166608</v>
      </c>
      <c r="BA9" s="37">
        <f t="shared" si="21"/>
        <v>22400.675819429198</v>
      </c>
      <c r="BB9" s="37">
        <f t="shared" si="22"/>
        <v>23163.215268174965</v>
      </c>
      <c r="BC9" s="37">
        <f t="shared" si="23"/>
        <v>24990.1952753851</v>
      </c>
      <c r="BD9" s="37">
        <f t="shared" si="24"/>
        <v>50867.30499030355</v>
      </c>
      <c r="BE9" s="37">
        <f t="shared" si="25"/>
        <v>-40714.818197634682</v>
      </c>
    </row>
    <row r="10" spans="1:308" x14ac:dyDescent="0.25">
      <c r="A10" s="2">
        <f>'creep_res-40'!A10</f>
        <v>1E-8</v>
      </c>
      <c r="B10" s="3">
        <f>'creep_res-40'!O10</f>
        <v>-5.2026407428571429E-4</v>
      </c>
      <c r="C10" s="2">
        <f>IF('Modell einstellen'!$B$2="Ja",creep_res0!O10,creep_res0!C10)</f>
        <v>-5.2546980000000004E-4</v>
      </c>
      <c r="D10" s="2">
        <f>IF('Modell einstellen'!$B$2="Ja",creep_res25!O10,creep_res25!C10)</f>
        <v>-5.5038337142857149E-4</v>
      </c>
      <c r="E10" s="2">
        <f>IF('Modell einstellen'!$B$2="Ja",creep_res50!O10,creep_res50!C10)</f>
        <v>-5.7273514285714289E-4</v>
      </c>
      <c r="F10" s="2">
        <f>IF('Modell einstellen'!$B$2="Ja",creep_res80!O10,creep_res80!C10)</f>
        <v>-6.139406857142858E-4</v>
      </c>
      <c r="G10" s="2">
        <f>IF('Modell einstellen'!$B$2="Ja",creep_res125!O10,creep_res125!C10)</f>
        <v>-7.768190857142857E-4</v>
      </c>
      <c r="H10" s="2">
        <f>IF('Modell einstellen'!$B$2="Ja",creep_res160!O10,creep_res160!C10)</f>
        <v>-1.0469790285714286E-3</v>
      </c>
      <c r="M10" s="9">
        <f t="shared" si="26"/>
        <v>-10</v>
      </c>
      <c r="N10" s="2">
        <f t="shared" si="4"/>
        <v>1E-8</v>
      </c>
      <c r="O10" s="2">
        <f t="shared" si="5"/>
        <v>19221.008126938788</v>
      </c>
      <c r="P10" s="2">
        <f t="shared" si="6"/>
        <v>19030.589388771721</v>
      </c>
      <c r="Q10" s="2">
        <f t="shared" si="7"/>
        <v>18169.153573888081</v>
      </c>
      <c r="R10" s="2">
        <f t="shared" si="27"/>
        <v>17460.077532721432</v>
      </c>
      <c r="S10" s="2">
        <f t="shared" si="8"/>
        <v>16288.218443065973</v>
      </c>
      <c r="T10" s="2">
        <f t="shared" si="9"/>
        <v>12873.010182036134</v>
      </c>
      <c r="U10" s="2">
        <f t="shared" si="10"/>
        <v>9551.2896888151608</v>
      </c>
      <c r="Z10" s="2">
        <v>1E-8</v>
      </c>
      <c r="AA10" s="3">
        <f>IF('Modell einstellen'!$B$2="Ja",'creep_res-40'!P10,'creep_res-40'!L10)</f>
        <v>0.35490204298777367</v>
      </c>
      <c r="AB10" s="2">
        <f>IF('Modell einstellen'!$B$2="Ja",creep_res0!P10,creep_res0!L10)</f>
        <v>0.35519741436275554</v>
      </c>
      <c r="AC10" s="2">
        <f>IF('Modell einstellen'!$B$2="Ja",creep_res25!P10,creep_res25!L10)</f>
        <v>0.3672262004593369</v>
      </c>
      <c r="AD10" s="2">
        <f>IF('Modell einstellen'!$B$2="Ja",creep_res50!P10,creep_res50!L10)</f>
        <v>0.37719745801225502</v>
      </c>
      <c r="AE10" s="2">
        <f>IF('Modell einstellen'!$B$2="Ja",creep_res80!P10,creep_res80!L10)</f>
        <v>0.39592756377954424</v>
      </c>
      <c r="AF10" s="2">
        <f>IF('Modell einstellen'!$B$2="Ja",creep_res125!P10,creep_res125!L10)</f>
        <v>0.46788810691277705</v>
      </c>
      <c r="AG10" s="2">
        <f>IF('Modell einstellen'!$B$2="Ja",creep_res160!P10,creep_res160!L10)</f>
        <v>0.56543847815098824</v>
      </c>
      <c r="AL10" s="2">
        <f t="shared" si="11"/>
        <v>1E-8</v>
      </c>
      <c r="AM10" s="2">
        <f t="shared" si="12"/>
        <v>7093.135709114963</v>
      </c>
      <c r="AN10" s="2">
        <f t="shared" si="13"/>
        <v>7021.3347469085647</v>
      </c>
      <c r="AO10" s="2">
        <f t="shared" si="14"/>
        <v>6644.5309370841214</v>
      </c>
      <c r="AP10" s="2">
        <f t="shared" si="15"/>
        <v>6338.9884403076148</v>
      </c>
      <c r="AQ10" s="2">
        <f t="shared" si="16"/>
        <v>5834.1918541119712</v>
      </c>
      <c r="AR10" s="2">
        <f t="shared" si="17"/>
        <v>4384.874474223483</v>
      </c>
      <c r="AS10" s="2">
        <f t="shared" si="18"/>
        <v>3050.6755206683788</v>
      </c>
      <c r="AX10" s="2">
        <f t="shared" si="28"/>
        <v>1E-8</v>
      </c>
      <c r="AY10" s="37">
        <f t="shared" si="19"/>
        <v>22078.197518796649</v>
      </c>
      <c r="AZ10" s="37">
        <f t="shared" si="20"/>
        <v>21904.062584037278</v>
      </c>
      <c r="BA10" s="37">
        <f t="shared" si="21"/>
        <v>22807.152260392086</v>
      </c>
      <c r="BB10" s="37">
        <f t="shared" si="22"/>
        <v>23696.683106206725</v>
      </c>
      <c r="BC10" s="37">
        <f t="shared" si="23"/>
        <v>26084.746090634377</v>
      </c>
      <c r="BD10" s="37">
        <f t="shared" si="24"/>
        <v>66813.304689896933</v>
      </c>
      <c r="BE10" s="37">
        <f t="shared" si="25"/>
        <v>-24326.385022731254</v>
      </c>
    </row>
    <row r="11" spans="1:308" x14ac:dyDescent="0.25">
      <c r="A11" s="2">
        <f>'creep_res-40'!A11</f>
        <v>9.9999999999999995E-8</v>
      </c>
      <c r="B11" s="3">
        <f>'creep_res-40'!O11</f>
        <v>-5.2026408571428581E-4</v>
      </c>
      <c r="C11" s="2">
        <f>IF('Modell einstellen'!$B$2="Ja",creep_res0!O11,creep_res0!C11)</f>
        <v>-5.3013404571428579E-4</v>
      </c>
      <c r="D11" s="2">
        <f>IF('Modell einstellen'!$B$2="Ja",creep_res25!O11,creep_res25!C11)</f>
        <v>-5.5811092000000002E-4</v>
      </c>
      <c r="E11" s="2">
        <f>IF('Modell einstellen'!$B$2="Ja",creep_res50!O11,creep_res50!C11)</f>
        <v>-5.8296645714285718E-4</v>
      </c>
      <c r="F11" s="2">
        <f>IF('Modell einstellen'!$B$2="Ja",creep_res80!O11,creep_res80!C11)</f>
        <v>-6.2946365714285719E-4</v>
      </c>
      <c r="G11" s="2">
        <f>IF('Modell einstellen'!$B$2="Ja",creep_res125!O11,creep_res125!C11)</f>
        <v>-8.0414577142857145E-4</v>
      </c>
      <c r="H11" s="2">
        <f>IF('Modell einstellen'!$B$2="Ja",creep_res160!O11,creep_res160!C11)</f>
        <v>-1.1422493142857143E-3</v>
      </c>
      <c r="M11" s="9">
        <f t="shared" si="26"/>
        <v>-10</v>
      </c>
      <c r="N11" s="2">
        <f t="shared" si="4"/>
        <v>9.9999999999999995E-8</v>
      </c>
      <c r="O11" s="2">
        <f t="shared" si="5"/>
        <v>19221.007704713476</v>
      </c>
      <c r="P11" s="2">
        <f t="shared" si="6"/>
        <v>18863.153726575543</v>
      </c>
      <c r="Q11" s="2">
        <f t="shared" si="7"/>
        <v>17917.585271400887</v>
      </c>
      <c r="R11" s="2">
        <f t="shared" si="27"/>
        <v>17153.645595683865</v>
      </c>
      <c r="S11" s="2">
        <f t="shared" si="8"/>
        <v>15886.540686701621</v>
      </c>
      <c r="T11" s="2">
        <f t="shared" si="9"/>
        <v>12435.556282581601</v>
      </c>
      <c r="U11" s="2">
        <f t="shared" si="10"/>
        <v>8754.6561638807598</v>
      </c>
      <c r="Z11" s="2">
        <v>9.9999999999999995E-8</v>
      </c>
      <c r="AA11" s="3">
        <f>IF('Modell einstellen'!$B$2="Ja",'creep_res-40'!P11,'creep_res-40'!L11)</f>
        <v>0.354902046175121</v>
      </c>
      <c r="AB11" s="2">
        <f>IF('Modell einstellen'!$B$2="Ja",creep_res0!P11,creep_res0!L11)</f>
        <v>0.35783756168709369</v>
      </c>
      <c r="AC11" s="2">
        <f>IF('Modell einstellen'!$B$2="Ja",creep_res25!P11,creep_res25!L11)</f>
        <v>0.37136611789334945</v>
      </c>
      <c r="AD11" s="2">
        <f>IF('Modell einstellen'!$B$2="Ja",creep_res50!P11,creep_res50!L11)</f>
        <v>0.38257129814771013</v>
      </c>
      <c r="AE11" s="2">
        <f>IF('Modell einstellen'!$B$2="Ja",creep_res80!P11,creep_res80!L11)</f>
        <v>0.40323905685148376</v>
      </c>
      <c r="AF11" s="2">
        <f>IF('Modell einstellen'!$B$2="Ja",creep_res125!P11,creep_res125!L11)</f>
        <v>0.47930844947728379</v>
      </c>
      <c r="AG11" s="2">
        <f>IF('Modell einstellen'!$B$2="Ja",creep_res160!P11,creep_res160!L11)</f>
        <v>0.59457682568474046</v>
      </c>
      <c r="AL11" s="2">
        <f t="shared" si="11"/>
        <v>9.9999999999999995E-8</v>
      </c>
      <c r="AM11" s="2">
        <f t="shared" si="12"/>
        <v>7093.1355366147118</v>
      </c>
      <c r="AN11" s="2">
        <f t="shared" si="13"/>
        <v>6946.0273669032786</v>
      </c>
      <c r="AO11" s="2">
        <f t="shared" si="14"/>
        <v>6532.7504586905397</v>
      </c>
      <c r="AP11" s="2">
        <f t="shared" si="15"/>
        <v>6203.5301972004399</v>
      </c>
      <c r="AQ11" s="2">
        <f t="shared" si="16"/>
        <v>5660.667941479277</v>
      </c>
      <c r="AR11" s="2">
        <f t="shared" si="17"/>
        <v>4203.1654341512503</v>
      </c>
      <c r="AS11" s="2">
        <f t="shared" si="18"/>
        <v>2745.1346410108995</v>
      </c>
      <c r="AX11" s="2">
        <f t="shared" si="28"/>
        <v>9.9999999999999995E-8</v>
      </c>
      <c r="AY11" s="37">
        <f t="shared" si="19"/>
        <v>22078.197518796638</v>
      </c>
      <c r="AZ11" s="37">
        <f t="shared" si="20"/>
        <v>22114.554250325065</v>
      </c>
      <c r="BA11" s="37">
        <f t="shared" si="21"/>
        <v>23215.22263803118</v>
      </c>
      <c r="BB11" s="37">
        <f t="shared" si="22"/>
        <v>24346.185281092145</v>
      </c>
      <c r="BC11" s="37">
        <f t="shared" si="23"/>
        <v>27363.900091930205</v>
      </c>
      <c r="BD11" s="37">
        <f t="shared" si="24"/>
        <v>100166.13841907137</v>
      </c>
      <c r="BE11" s="37">
        <f t="shared" si="25"/>
        <v>-15427.768378593551</v>
      </c>
    </row>
    <row r="12" spans="1:308" x14ac:dyDescent="0.25">
      <c r="A12" s="2">
        <f>'creep_res-40'!A12</f>
        <v>9.9999999999999995E-7</v>
      </c>
      <c r="B12" s="3">
        <f>'creep_res-40'!O12</f>
        <v>-5.2026417142857142E-4</v>
      </c>
      <c r="C12" s="2">
        <f>IF('Modell einstellen'!$B$2="Ja",creep_res0!O12,creep_res0!C12)</f>
        <v>-5.4088885714285724E-4</v>
      </c>
      <c r="D12" s="2">
        <f>IF('Modell einstellen'!$B$2="Ja",creep_res25!O12,creep_res25!C12)</f>
        <v>-5.6713196571428579E-4</v>
      </c>
      <c r="E12" s="2">
        <f>IF('Modell einstellen'!$B$2="Ja",creep_res50!O12,creep_res50!C12)</f>
        <v>-5.9499394285714288E-4</v>
      </c>
      <c r="F12" s="2">
        <f>IF('Modell einstellen'!$B$2="Ja",creep_res80!O12,creep_res80!C12)</f>
        <v>-6.4424862857142857E-4</v>
      </c>
      <c r="G12" s="2">
        <f>IF('Modell einstellen'!$B$2="Ja",creep_res125!O12,creep_res125!C12)</f>
        <v>-8.3242857142857153E-4</v>
      </c>
      <c r="H12" s="2">
        <f>IF('Modell einstellen'!$B$2="Ja",creep_res160!O12,creep_res160!C12)</f>
        <v>-1.2866492E-3</v>
      </c>
      <c r="M12" s="9">
        <f t="shared" si="26"/>
        <v>-10</v>
      </c>
      <c r="N12" s="2">
        <f t="shared" si="4"/>
        <v>9.9999999999999995E-7</v>
      </c>
      <c r="O12" s="2">
        <f t="shared" si="5"/>
        <v>19221.004538024255</v>
      </c>
      <c r="P12" s="2">
        <f t="shared" si="6"/>
        <v>18488.086541148401</v>
      </c>
      <c r="Q12" s="2">
        <f t="shared" si="7"/>
        <v>17632.580430209568</v>
      </c>
      <c r="R12" s="2">
        <f t="shared" si="27"/>
        <v>16806.893784464937</v>
      </c>
      <c r="S12" s="2">
        <f t="shared" si="8"/>
        <v>15521.957760584179</v>
      </c>
      <c r="T12" s="2">
        <f t="shared" si="9"/>
        <v>12013.042732109147</v>
      </c>
      <c r="U12" s="2">
        <f t="shared" si="10"/>
        <v>7772.1262330089658</v>
      </c>
      <c r="Z12" s="2">
        <v>9.9999999999999995E-7</v>
      </c>
      <c r="AA12" s="3">
        <f>IF('Modell einstellen'!$B$2="Ja",'creep_res-40'!P12,'creep_res-40'!L12)</f>
        <v>0.35490209753879987</v>
      </c>
      <c r="AB12" s="2">
        <f>IF('Modell einstellen'!$B$2="Ja",creep_res0!P12,creep_res0!L12)</f>
        <v>0.36387514519750819</v>
      </c>
      <c r="AC12" s="2">
        <f>IF('Modell einstellen'!$B$2="Ja",creep_res25!P12,creep_res25!L12)</f>
        <v>0.37619947643528545</v>
      </c>
      <c r="AD12" s="2">
        <f>IF('Modell einstellen'!$B$2="Ja",creep_res50!P12,creep_res50!L12)</f>
        <v>0.38885797060695171</v>
      </c>
      <c r="AE12" s="2">
        <f>IF('Modell einstellen'!$B$2="Ja",creep_res80!P12,creep_res80!L12)</f>
        <v>0.41092447804756133</v>
      </c>
      <c r="AF12" s="2">
        <f>IF('Modell einstellen'!$B$2="Ja",creep_res125!P12,creep_res125!L12)</f>
        <v>0.49163002574223441</v>
      </c>
      <c r="AG12" s="2">
        <f>IF('Modell einstellen'!$B$2="Ja",creep_res160!P12,creep_res160!L12)</f>
        <v>0.6328207741917089</v>
      </c>
      <c r="AL12" s="2">
        <f t="shared" si="11"/>
        <v>9.9999999999999995E-7</v>
      </c>
      <c r="AM12" s="2">
        <f t="shared" si="12"/>
        <v>7093.1340991129555</v>
      </c>
      <c r="AN12" s="2">
        <f t="shared" si="13"/>
        <v>6777.7782322116691</v>
      </c>
      <c r="AO12" s="2">
        <f t="shared" si="14"/>
        <v>6406.2589516029093</v>
      </c>
      <c r="AP12" s="2">
        <f t="shared" si="15"/>
        <v>6050.6164561665273</v>
      </c>
      <c r="AQ12" s="2">
        <f t="shared" si="16"/>
        <v>5500.6338050295499</v>
      </c>
      <c r="AR12" s="2">
        <f t="shared" si="17"/>
        <v>4026.8171479490911</v>
      </c>
      <c r="AS12" s="2">
        <f t="shared" si="18"/>
        <v>2379.9691784471511</v>
      </c>
      <c r="AX12" s="2">
        <f t="shared" si="28"/>
        <v>9.9999999999999995E-7</v>
      </c>
      <c r="AY12" s="37">
        <f t="shared" si="19"/>
        <v>22078.201696912933</v>
      </c>
      <c r="AZ12" s="37">
        <f t="shared" si="20"/>
        <v>22636.187647942024</v>
      </c>
      <c r="BA12" s="37">
        <f t="shared" si="21"/>
        <v>23737.89157279889</v>
      </c>
      <c r="BB12" s="37">
        <f t="shared" si="22"/>
        <v>25203.327484433135</v>
      </c>
      <c r="BC12" s="37">
        <f t="shared" si="23"/>
        <v>29042.692126785088</v>
      </c>
      <c r="BD12" s="37">
        <f t="shared" si="24"/>
        <v>239209.07365124312</v>
      </c>
      <c r="BE12" s="37">
        <f t="shared" si="25"/>
        <v>-9752.6488612277735</v>
      </c>
    </row>
    <row r="13" spans="1:308" x14ac:dyDescent="0.25">
      <c r="A13" s="2">
        <f>'creep_res-40'!A13</f>
        <v>1.0000000000000001E-5</v>
      </c>
      <c r="B13" s="3">
        <f>'creep_res-40'!O13</f>
        <v>-5.2026502857142854E-4</v>
      </c>
      <c r="C13" s="2">
        <f>IF('Modell einstellen'!$B$2="Ja",creep_res0!O13,creep_res0!C13)</f>
        <v>-5.4876942857142862E-4</v>
      </c>
      <c r="D13" s="2">
        <f>IF('Modell einstellen'!$B$2="Ja",creep_res25!O13,creep_res25!C13)</f>
        <v>-5.7693480000000003E-4</v>
      </c>
      <c r="E13" s="2">
        <f>IF('Modell einstellen'!$B$2="Ja",creep_res50!O13,creep_res50!C13)</f>
        <v>-6.0864839999999996E-4</v>
      </c>
      <c r="F13" s="2">
        <f>IF('Modell einstellen'!$B$2="Ja",creep_res80!O13,creep_res80!C13)</f>
        <v>-6.6256257142857146E-4</v>
      </c>
      <c r="G13" s="2">
        <f>IF('Modell einstellen'!$B$2="Ja",creep_res125!O13,creep_res125!C13)</f>
        <v>-8.6485817142857157E-4</v>
      </c>
      <c r="H13" s="2">
        <f>IF('Modell einstellen'!$B$2="Ja",creep_res160!O13,creep_res160!C13)</f>
        <v>-1.5242370285714288E-3</v>
      </c>
      <c r="M13" s="9">
        <f t="shared" si="26"/>
        <v>-10</v>
      </c>
      <c r="N13" s="2">
        <f t="shared" si="4"/>
        <v>1.0000000000000001E-5</v>
      </c>
      <c r="O13" s="2">
        <f t="shared" si="5"/>
        <v>19220.972871189388</v>
      </c>
      <c r="P13" s="2">
        <f t="shared" si="6"/>
        <v>18222.589450786771</v>
      </c>
      <c r="Q13" s="2">
        <f t="shared" si="7"/>
        <v>17332.981127156829</v>
      </c>
      <c r="R13" s="2">
        <f t="shared" si="27"/>
        <v>16429.846854111503</v>
      </c>
      <c r="S13" s="2">
        <f t="shared" si="8"/>
        <v>15092.91413554903</v>
      </c>
      <c r="T13" s="2">
        <f t="shared" si="9"/>
        <v>11562.58948618363</v>
      </c>
      <c r="U13" s="2">
        <f t="shared" si="10"/>
        <v>6560.6594070033643</v>
      </c>
      <c r="Z13" s="2">
        <v>1.0000000000000001E-5</v>
      </c>
      <c r="AA13" s="3">
        <f>IF('Modell einstellen'!$B$2="Ja",'creep_res-40'!P13,'creep_res-40'!L13)</f>
        <v>0.35490258920783019</v>
      </c>
      <c r="AB13" s="2">
        <f>IF('Modell einstellen'!$B$2="Ja",creep_res0!P13,creep_res0!L13)</f>
        <v>0.36817913117817369</v>
      </c>
      <c r="AC13" s="2">
        <f>IF('Modell einstellen'!$B$2="Ja",creep_res25!P13,creep_res25!L13)</f>
        <v>0.38141836081700342</v>
      </c>
      <c r="AD13" s="2">
        <f>IF('Modell einstellen'!$B$2="Ja",creep_res50!P13,creep_res50!L13)</f>
        <v>0.39593372556541445</v>
      </c>
      <c r="AE13" s="2">
        <f>IF('Modell einstellen'!$B$2="Ja",creep_res80!P13,creep_res80!L13)</f>
        <v>0.41955981300310613</v>
      </c>
      <c r="AF13" s="2">
        <f>IF('Modell einstellen'!$B$2="Ja",creep_res125!P13,creep_res125!L13)</f>
        <v>0.50443882524619388</v>
      </c>
      <c r="AG13" s="2">
        <f>IF('Modell einstellen'!$B$2="Ja",creep_res160!P13,creep_res160!L13)</f>
        <v>0.68333020421120849</v>
      </c>
      <c r="AL13" s="2">
        <f t="shared" si="11"/>
        <v>1.0000000000000001E-5</v>
      </c>
      <c r="AM13" s="2">
        <f t="shared" si="12"/>
        <v>7093.1198391270691</v>
      </c>
      <c r="AN13" s="2">
        <f t="shared" si="13"/>
        <v>6659.4311503256295</v>
      </c>
      <c r="AO13" s="2">
        <f t="shared" si="14"/>
        <v>6273.617616065887</v>
      </c>
      <c r="AP13" s="2">
        <f t="shared" si="15"/>
        <v>5884.895018012654</v>
      </c>
      <c r="AQ13" s="2">
        <f t="shared" si="16"/>
        <v>5316.0543139142828</v>
      </c>
      <c r="AR13" s="2">
        <f t="shared" si="17"/>
        <v>3842.8247437350828</v>
      </c>
      <c r="AS13" s="2">
        <f t="shared" si="18"/>
        <v>1948.7143373862357</v>
      </c>
      <c r="AX13" s="2">
        <f t="shared" si="28"/>
        <v>1.0000000000000001E-5</v>
      </c>
      <c r="AY13" s="37">
        <f t="shared" si="19"/>
        <v>22078.240135656793</v>
      </c>
      <c r="AZ13" s="37">
        <f t="shared" si="20"/>
        <v>23039.585984695968</v>
      </c>
      <c r="BA13" s="37">
        <f t="shared" si="21"/>
        <v>24361.530231517503</v>
      </c>
      <c r="BB13" s="37">
        <f t="shared" si="22"/>
        <v>26313.114636767765</v>
      </c>
      <c r="BC13" s="37">
        <f t="shared" si="23"/>
        <v>31271.504743708578</v>
      </c>
      <c r="BD13" s="37">
        <f t="shared" si="24"/>
        <v>-434146.00503808621</v>
      </c>
      <c r="BE13" s="37">
        <f t="shared" si="25"/>
        <v>-5964.337623498428</v>
      </c>
    </row>
    <row r="14" spans="1:308" x14ac:dyDescent="0.25">
      <c r="A14" s="2">
        <f>'creep_res-40'!A14</f>
        <v>1E-4</v>
      </c>
      <c r="B14" s="3">
        <f>'creep_res-40'!O14</f>
        <v>-5.202735885714286E-4</v>
      </c>
      <c r="C14" s="2">
        <f>IF('Modell einstellen'!$B$2="Ja",creep_res0!O14,creep_res0!C14)</f>
        <v>-5.5665492571428568E-4</v>
      </c>
      <c r="D14" s="2">
        <f>IF('Modell einstellen'!$B$2="Ja",creep_res25!O14,creep_res25!C14)</f>
        <v>-5.8849794285714295E-4</v>
      </c>
      <c r="E14" s="2">
        <f>IF('Modell einstellen'!$B$2="Ja",creep_res50!O14,creep_res50!C14)</f>
        <v>-6.2406720000000003E-4</v>
      </c>
      <c r="F14" s="2">
        <f>IF('Modell einstellen'!$B$2="Ja",creep_res80!O14,creep_res80!C14)</f>
        <v>-6.858794285714287E-4</v>
      </c>
      <c r="G14" s="2">
        <f>IF('Modell einstellen'!$B$2="Ja",creep_res125!O14,creep_res125!C14)</f>
        <v>-9.0430200000000006E-4</v>
      </c>
      <c r="H14" s="2">
        <f>IF('Modell einstellen'!$B$2="Ja",creep_res160!O14,creep_res160!C14)</f>
        <v>-1.9320319428571429E-3</v>
      </c>
      <c r="M14" s="9">
        <f t="shared" si="26"/>
        <v>-10</v>
      </c>
      <c r="N14" s="2">
        <f t="shared" si="4"/>
        <v>1E-4</v>
      </c>
      <c r="O14" s="2">
        <f t="shared" si="5"/>
        <v>19220.656630789352</v>
      </c>
      <c r="P14" s="2">
        <f t="shared" si="6"/>
        <v>17964.450754061414</v>
      </c>
      <c r="Q14" s="2">
        <f t="shared" si="7"/>
        <v>16992.41283911758</v>
      </c>
      <c r="R14" s="2">
        <f t="shared" si="27"/>
        <v>16023.915373216218</v>
      </c>
      <c r="S14" s="2">
        <f t="shared" si="8"/>
        <v>14579.822026195356</v>
      </c>
      <c r="T14" s="2">
        <f t="shared" si="9"/>
        <v>11058.252663380154</v>
      </c>
      <c r="U14" s="2">
        <f t="shared" si="10"/>
        <v>5175.897860783668</v>
      </c>
      <c r="Z14" s="2">
        <v>1E-4</v>
      </c>
      <c r="AA14" s="3">
        <f>IF('Modell einstellen'!$B$2="Ja",'creep_res-40'!P14,'creep_res-40'!L14)</f>
        <v>0.35490755753802411</v>
      </c>
      <c r="AB14" s="2">
        <f>IF('Modell einstellen'!$B$2="Ja",creep_res0!P14,creep_res0!L14)</f>
        <v>0.3724540831718347</v>
      </c>
      <c r="AC14" s="2">
        <f>IF('Modell einstellen'!$B$2="Ja",creep_res25!P14,creep_res25!L14)</f>
        <v>0.38754587223220294</v>
      </c>
      <c r="AD14" s="2">
        <f>IF('Modell einstellen'!$B$2="Ja",creep_res50!P14,creep_res50!L14)</f>
        <v>0.40330422291518786</v>
      </c>
      <c r="AE14" s="2">
        <f>IF('Modell einstellen'!$B$2="Ja",creep_res80!P14,creep_res80!L14)</f>
        <v>0.43080778045953932</v>
      </c>
      <c r="AF14" s="2">
        <f>IF('Modell einstellen'!$B$2="Ja",creep_res125!P14,creep_res125!L14)</f>
        <v>0.51986383183620388</v>
      </c>
      <c r="AG14" s="2">
        <f>IF('Modell einstellen'!$B$2="Ja",creep_res160!P14,creep_res160!L14)</f>
        <v>0.74524020735652441</v>
      </c>
      <c r="AL14" s="2">
        <f t="shared" si="11"/>
        <v>1E-4</v>
      </c>
      <c r="AM14" s="2">
        <f t="shared" si="12"/>
        <v>7092.9771274266232</v>
      </c>
      <c r="AN14" s="2">
        <f t="shared" si="13"/>
        <v>6544.645454565718</v>
      </c>
      <c r="AO14" s="2">
        <f t="shared" si="14"/>
        <v>6123.1895749079549</v>
      </c>
      <c r="AP14" s="2">
        <f t="shared" si="15"/>
        <v>5709.3519393565812</v>
      </c>
      <c r="AQ14" s="2">
        <f t="shared" si="16"/>
        <v>5094.9618199282804</v>
      </c>
      <c r="AR14" s="2">
        <f t="shared" si="17"/>
        <v>3637.9090125528774</v>
      </c>
      <c r="AS14" s="2">
        <f t="shared" si="18"/>
        <v>1482.8611668944652</v>
      </c>
      <c r="AX14" s="2">
        <f t="shared" si="28"/>
        <v>1E-4</v>
      </c>
      <c r="AY14" s="37">
        <f t="shared" si="19"/>
        <v>22078.632887014399</v>
      </c>
      <c r="AZ14" s="37">
        <f t="shared" si="20"/>
        <v>23474.488248107809</v>
      </c>
      <c r="BA14" s="37">
        <f t="shared" si="21"/>
        <v>25184.213890017851</v>
      </c>
      <c r="BB14" s="37">
        <f t="shared" si="22"/>
        <v>27619.123013616882</v>
      </c>
      <c r="BC14" s="37">
        <f t="shared" si="23"/>
        <v>35119.126887934013</v>
      </c>
      <c r="BD14" s="37">
        <f t="shared" si="24"/>
        <v>-92783.81561830506</v>
      </c>
      <c r="BE14" s="37">
        <f t="shared" si="25"/>
        <v>-3517.5701927614382</v>
      </c>
    </row>
    <row r="15" spans="1:308" x14ac:dyDescent="0.25">
      <c r="A15" s="2">
        <f>'creep_res-40'!A15</f>
        <v>1E-3</v>
      </c>
      <c r="B15" s="3">
        <f>'creep_res-40'!O15</f>
        <v>-5.2035845142857145E-4</v>
      </c>
      <c r="C15" s="2">
        <f>IF('Modell einstellen'!$B$2="Ja",creep_res0!O15,creep_res0!C15)</f>
        <v>-5.6579005714285722E-4</v>
      </c>
      <c r="D15" s="2">
        <f>IF('Modell einstellen'!$B$2="Ja",creep_res25!O15,creep_res25!C15)</f>
        <v>-6.0169605714285716E-4</v>
      </c>
      <c r="E15" s="2">
        <f>IF('Modell einstellen'!$B$2="Ja",creep_res50!O15,creep_res50!C15)</f>
        <v>-6.3871062857142865E-4</v>
      </c>
      <c r="F15" s="2">
        <f>IF('Modell einstellen'!$B$2="Ja",creep_res80!O15,creep_res80!C15)</f>
        <v>-7.1274022857142861E-4</v>
      </c>
      <c r="G15" s="2">
        <f>IF('Modell einstellen'!$B$2="Ja",creep_res125!O15,creep_res125!C15)</f>
        <v>-9.539845714285714E-4</v>
      </c>
      <c r="H15" s="2">
        <f>IF('Modell einstellen'!$B$2="Ja",creep_res160!O15,creep_res160!C15)</f>
        <v>-2.5970217714285713E-3</v>
      </c>
      <c r="M15" s="9">
        <f t="shared" si="26"/>
        <v>-10</v>
      </c>
      <c r="N15" s="2">
        <f t="shared" si="4"/>
        <v>1E-3</v>
      </c>
      <c r="O15" s="2">
        <f t="shared" si="5"/>
        <v>19217.522022648805</v>
      </c>
      <c r="P15" s="2">
        <f t="shared" si="6"/>
        <v>17674.400378292765</v>
      </c>
      <c r="Q15" s="2">
        <f t="shared" si="7"/>
        <v>16619.686769238309</v>
      </c>
      <c r="R15" s="2">
        <f t="shared" si="27"/>
        <v>15656.542341195242</v>
      </c>
      <c r="S15" s="2">
        <f t="shared" si="8"/>
        <v>14030.357203273577</v>
      </c>
      <c r="T15" s="2">
        <f t="shared" si="9"/>
        <v>10482.349819374138</v>
      </c>
      <c r="U15" s="2">
        <f t="shared" si="10"/>
        <v>3850.5645620749624</v>
      </c>
      <c r="Z15" s="2">
        <v>1E-3</v>
      </c>
      <c r="AA15" s="3">
        <f>IF('Modell einstellen'!$B$2="Ja",'creep_res-40'!P15,'creep_res-40'!L15)</f>
        <v>0.35495682322457078</v>
      </c>
      <c r="AB15" s="2">
        <f>IF('Modell einstellen'!$B$2="Ja",creep_res0!P15,creep_res0!L15)</f>
        <v>0.37740418808551496</v>
      </c>
      <c r="AC15" s="2">
        <f>IF('Modell einstellen'!$B$2="Ja",creep_res25!P15,creep_res25!L15)</f>
        <v>0.39448251091367348</v>
      </c>
      <c r="AD15" s="2">
        <f>IF('Modell einstellen'!$B$2="Ja",creep_res50!P15,creep_res50!L15)</f>
        <v>0.41102984620086391</v>
      </c>
      <c r="AE15" s="2">
        <f>IF('Modell einstellen'!$B$2="Ja",creep_res80!P15,creep_res80!L15)</f>
        <v>0.44354880968854687</v>
      </c>
      <c r="AF15" s="2">
        <f>IF('Modell einstellen'!$B$2="Ja",creep_res125!P15,creep_res125!L15)</f>
        <v>0.53833337825768979</v>
      </c>
      <c r="AG15" s="2">
        <f>IF('Modell einstellen'!$B$2="Ja",creep_res160!P15,creep_res160!L15)</f>
        <v>0.80816746989810162</v>
      </c>
      <c r="AL15" s="2">
        <f t="shared" si="11"/>
        <v>1E-3</v>
      </c>
      <c r="AM15" s="2">
        <f t="shared" si="12"/>
        <v>7091.5625107943715</v>
      </c>
      <c r="AN15" s="2">
        <f t="shared" si="13"/>
        <v>6415.8365900058752</v>
      </c>
      <c r="AO15" s="2">
        <f t="shared" si="14"/>
        <v>5959.0875608576071</v>
      </c>
      <c r="AP15" s="2">
        <f t="shared" si="15"/>
        <v>5547.9132434192643</v>
      </c>
      <c r="AQ15" s="2">
        <f t="shared" si="16"/>
        <v>4859.6753740182503</v>
      </c>
      <c r="AR15" s="2">
        <f t="shared" si="17"/>
        <v>3407.0475124340101</v>
      </c>
      <c r="AS15" s="2">
        <f t="shared" si="18"/>
        <v>1064.7698916660522</v>
      </c>
      <c r="AX15" s="2">
        <f t="shared" si="28"/>
        <v>1E-3</v>
      </c>
      <c r="AY15" s="37">
        <f t="shared" si="19"/>
        <v>22082.530239028241</v>
      </c>
      <c r="AZ15" s="37">
        <f t="shared" si="20"/>
        <v>24028.010014215506</v>
      </c>
      <c r="BA15" s="37">
        <f t="shared" si="21"/>
        <v>26251.077606735766</v>
      </c>
      <c r="BB15" s="37">
        <f t="shared" si="22"/>
        <v>29329.20324521096</v>
      </c>
      <c r="BC15" s="37">
        <f t="shared" si="23"/>
        <v>41423.269452970897</v>
      </c>
      <c r="BD15" s="37">
        <f t="shared" si="24"/>
        <v>-45575.380585679479</v>
      </c>
      <c r="BE15" s="37">
        <f t="shared" si="25"/>
        <v>-2082.5065038760617</v>
      </c>
    </row>
    <row r="16" spans="1:308" x14ac:dyDescent="0.25">
      <c r="A16" s="2">
        <f>'creep_res-40'!A16</f>
        <v>0.01</v>
      </c>
      <c r="B16" s="3">
        <f>'creep_res-40'!O16</f>
        <v>-5.2117016571428566E-4</v>
      </c>
      <c r="C16" s="2">
        <f>IF('Modell einstellen'!$B$2="Ja",creep_res0!O16,creep_res0!C16)</f>
        <v>-5.7584177142857142E-4</v>
      </c>
      <c r="D16" s="2">
        <f>IF('Modell einstellen'!$B$2="Ja",creep_res25!O16,creep_res25!C16)</f>
        <v>-6.1693605714285718E-4</v>
      </c>
      <c r="E16" s="2">
        <f>IF('Modell einstellen'!$B$2="Ja",creep_res50!O16,creep_res50!C16)</f>
        <v>-6.5660079999999997E-4</v>
      </c>
      <c r="F16" s="2">
        <f>IF('Modell einstellen'!$B$2="Ja",creep_res80!O16,creep_res80!C16)</f>
        <v>-7.3821708571428582E-4</v>
      </c>
      <c r="G16" s="2">
        <f>IF('Modell einstellen'!$B$2="Ja",creep_res125!O16,creep_res125!C16)</f>
        <v>-1.0185461142857143E-3</v>
      </c>
      <c r="H16" s="2">
        <f>IF('Modell einstellen'!$B$2="Ja",creep_res160!O16,creep_res160!C16)</f>
        <v>-3.5571900571428573E-3</v>
      </c>
      <c r="M16" s="9">
        <f t="shared" si="26"/>
        <v>-10</v>
      </c>
      <c r="N16" s="2">
        <f t="shared" si="4"/>
        <v>0.01</v>
      </c>
      <c r="O16" s="2">
        <f t="shared" si="5"/>
        <v>19187.591036210943</v>
      </c>
      <c r="P16" s="2">
        <f t="shared" si="6"/>
        <v>17365.881560123013</v>
      </c>
      <c r="Q16" s="2">
        <f t="shared" si="7"/>
        <v>16209.135264863289</v>
      </c>
      <c r="R16" s="2">
        <f t="shared" si="27"/>
        <v>15229.954029906758</v>
      </c>
      <c r="S16" s="2">
        <f t="shared" si="8"/>
        <v>13546.150845755861</v>
      </c>
      <c r="T16" s="2">
        <f t="shared" si="9"/>
        <v>9817.9158113158155</v>
      </c>
      <c r="U16" s="2">
        <f t="shared" si="10"/>
        <v>2811.2076777904922</v>
      </c>
      <c r="Z16" s="2">
        <v>0.01</v>
      </c>
      <c r="AA16" s="3">
        <f>IF('Modell einstellen'!$B$2="Ja",'creep_res-40'!P16,'creep_res-40'!L16)</f>
        <v>0.35542753741007366</v>
      </c>
      <c r="AB16" s="2">
        <f>IF('Modell einstellen'!$B$2="Ja",creep_res0!P16,creep_res0!L16)</f>
        <v>0.38281449537080187</v>
      </c>
      <c r="AC16" s="2">
        <f>IF('Modell einstellen'!$B$2="Ja",creep_res25!P16,creep_res25!L16)</f>
        <v>0.40188126002592905</v>
      </c>
      <c r="AD16" s="2">
        <f>IF('Modell einstellen'!$B$2="Ja",creep_res50!P16,creep_res50!L16)</f>
        <v>0.41958285765110254</v>
      </c>
      <c r="AE16" s="2">
        <f>IF('Modell einstellen'!$B$2="Ja",creep_res80!P16,creep_res80!L16)</f>
        <v>0.45538051176429006</v>
      </c>
      <c r="AF16" s="2">
        <f>IF('Modell einstellen'!$B$2="Ja",creep_res125!P16,creep_res125!L16)</f>
        <v>0.56052002302217097</v>
      </c>
      <c r="AG16" s="2">
        <f>IF('Modell einstellen'!$B$2="Ja",creep_res160!P16,creep_res160!L16)</f>
        <v>0.85914946735003972</v>
      </c>
      <c r="AL16" s="2">
        <f t="shared" si="11"/>
        <v>0.01</v>
      </c>
      <c r="AM16" s="2">
        <f t="shared" si="12"/>
        <v>7078.0585854387473</v>
      </c>
      <c r="AN16" s="2">
        <f t="shared" si="13"/>
        <v>6279.1797519689544</v>
      </c>
      <c r="AO16" s="2">
        <f t="shared" si="14"/>
        <v>5781.2083401997561</v>
      </c>
      <c r="AP16" s="2">
        <f t="shared" si="15"/>
        <v>5364.2356794540465</v>
      </c>
      <c r="AQ16" s="2">
        <f t="shared" si="16"/>
        <v>4653.8175879978271</v>
      </c>
      <c r="AR16" s="2">
        <f t="shared" si="17"/>
        <v>3145.7192687287707</v>
      </c>
      <c r="AS16" s="2">
        <f t="shared" si="18"/>
        <v>756.04671038027936</v>
      </c>
      <c r="AX16" s="2">
        <f t="shared" si="28"/>
        <v>0.01</v>
      </c>
      <c r="AY16" s="37">
        <f t="shared" si="19"/>
        <v>22119.923684493697</v>
      </c>
      <c r="AZ16" s="37">
        <f t="shared" si="20"/>
        <v>24698.563209776745</v>
      </c>
      <c r="BA16" s="37">
        <f t="shared" si="21"/>
        <v>27533.196460307085</v>
      </c>
      <c r="BB16" s="37">
        <f t="shared" si="22"/>
        <v>31564.484853718845</v>
      </c>
      <c r="BC16" s="37">
        <f t="shared" si="23"/>
        <v>50598.783107940209</v>
      </c>
      <c r="BD16" s="37">
        <f t="shared" si="24"/>
        <v>-27037.651675818404</v>
      </c>
      <c r="BE16" s="37">
        <f t="shared" si="25"/>
        <v>-1304.5671943275686</v>
      </c>
    </row>
    <row r="17" spans="1:57" x14ac:dyDescent="0.25">
      <c r="A17" s="2">
        <f>'creep_res-40'!A17</f>
        <v>0.1</v>
      </c>
      <c r="B17" s="3">
        <f>'creep_res-40'!O17</f>
        <v>-5.2714065714285722E-4</v>
      </c>
      <c r="C17" s="2">
        <f>IF('Modell einstellen'!$B$2="Ja",creep_res0!O17,creep_res0!C17)</f>
        <v>-5.8768102857142859E-4</v>
      </c>
      <c r="D17" s="2">
        <f>IF('Modell einstellen'!$B$2="Ja",creep_res25!O17,creep_res25!C17)</f>
        <v>-6.3134834285714285E-4</v>
      </c>
      <c r="E17" s="2">
        <f>IF('Modell einstellen'!$B$2="Ja",creep_res50!O17,creep_res50!C17)</f>
        <v>-6.7950274285714289E-4</v>
      </c>
      <c r="F17" s="2">
        <f>IF('Modell einstellen'!$B$2="Ja",creep_res80!O17,creep_res80!C17)</f>
        <v>-7.6294337142857147E-4</v>
      </c>
      <c r="G17" s="2">
        <f>IF('Modell einstellen'!$B$2="Ja",creep_res125!O17,creep_res125!C17)</f>
        <v>-1.1103050857142859E-3</v>
      </c>
      <c r="H17" s="2">
        <f>IF('Modell einstellen'!$B$2="Ja",creep_res160!O17,creep_res160!C17)</f>
        <v>-4.6141837142857148E-3</v>
      </c>
      <c r="M17" s="9">
        <f t="shared" si="26"/>
        <v>-10</v>
      </c>
      <c r="N17" s="2">
        <f t="shared" si="4"/>
        <v>0.1</v>
      </c>
      <c r="O17" s="2">
        <f t="shared" si="5"/>
        <v>18970.268873208846</v>
      </c>
      <c r="P17" s="2">
        <f t="shared" si="6"/>
        <v>17016.033381762583</v>
      </c>
      <c r="Q17" s="2">
        <f t="shared" si="7"/>
        <v>15839.116571915563</v>
      </c>
      <c r="R17" s="2">
        <f t="shared" si="27"/>
        <v>14716.644053491889</v>
      </c>
      <c r="S17" s="2">
        <f t="shared" si="8"/>
        <v>13107.132684402939</v>
      </c>
      <c r="T17" s="2">
        <f t="shared" si="9"/>
        <v>9006.5335452973814</v>
      </c>
      <c r="U17" s="2">
        <f t="shared" si="10"/>
        <v>2167.2305697407674</v>
      </c>
      <c r="Z17" s="2">
        <v>0.1</v>
      </c>
      <c r="AA17" s="3">
        <f>IF('Modell einstellen'!$B$2="Ja",'creep_res-40'!P17,'creep_res-40'!L17)</f>
        <v>0.35886729716974969</v>
      </c>
      <c r="AB17" s="2">
        <f>IF('Modell einstellen'!$B$2="Ja",creep_res0!P17,creep_res0!L17)</f>
        <v>0.389154242855551</v>
      </c>
      <c r="AC17" s="2">
        <f>IF('Modell einstellen'!$B$2="Ja",creep_res25!P17,creep_res25!L17)</f>
        <v>0.40958911883464649</v>
      </c>
      <c r="AD17" s="2">
        <f>IF('Modell einstellen'!$B$2="Ja",creep_res50!P17,creep_res50!L17)</f>
        <v>0.43076231879816651</v>
      </c>
      <c r="AE17" s="2">
        <f>IF('Modell einstellen'!$B$2="Ja",creep_res80!P17,creep_res80!L17)</f>
        <v>0.46639275755272308</v>
      </c>
      <c r="AF17" s="2">
        <f>IF('Modell einstellen'!$B$2="Ja",creep_res125!P17,creep_res125!L17)</f>
        <v>0.58678826962308783</v>
      </c>
      <c r="AG17" s="2">
        <f>IF('Modell einstellen'!$B$2="Ja",creep_res160!P17,creep_res160!L17)</f>
        <v>0.88691880061992689</v>
      </c>
      <c r="AL17" s="2">
        <f t="shared" si="11"/>
        <v>0.1</v>
      </c>
      <c r="AM17" s="2">
        <f t="shared" si="12"/>
        <v>6980.1771345591078</v>
      </c>
      <c r="AN17" s="2">
        <f t="shared" si="13"/>
        <v>6124.6018825038309</v>
      </c>
      <c r="AO17" s="2">
        <f t="shared" si="14"/>
        <v>5618.3452185734377</v>
      </c>
      <c r="AP17" s="2">
        <f t="shared" si="15"/>
        <v>5142.9380897638539</v>
      </c>
      <c r="AQ17" s="2">
        <f t="shared" si="16"/>
        <v>4469.1753341299773</v>
      </c>
      <c r="AR17" s="2">
        <f t="shared" si="17"/>
        <v>2837.9758401657195</v>
      </c>
      <c r="AS17" s="2">
        <f t="shared" si="18"/>
        <v>574.27764486440731</v>
      </c>
      <c r="AX17" s="2">
        <f t="shared" si="28"/>
        <v>0.1</v>
      </c>
      <c r="AY17" s="37">
        <f t="shared" si="19"/>
        <v>22402.40153744481</v>
      </c>
      <c r="AZ17" s="37">
        <f t="shared" si="20"/>
        <v>25585.152167180811</v>
      </c>
      <c r="BA17" s="37">
        <f t="shared" si="21"/>
        <v>29198.396564212995</v>
      </c>
      <c r="BB17" s="37">
        <f t="shared" si="22"/>
        <v>35425.421047323616</v>
      </c>
      <c r="BC17" s="37">
        <f t="shared" si="23"/>
        <v>65001.528093066168</v>
      </c>
      <c r="BD17" s="37">
        <f t="shared" si="24"/>
        <v>-17295.988625367216</v>
      </c>
      <c r="BE17" s="37">
        <f t="shared" si="25"/>
        <v>-933.54237214130342</v>
      </c>
    </row>
    <row r="18" spans="1:57" x14ac:dyDescent="0.25">
      <c r="A18" s="2">
        <f>'creep_res-40'!A18</f>
        <v>1</v>
      </c>
      <c r="B18" s="3">
        <f>'creep_res-40'!O18</f>
        <v>-5.3738724571428579E-4</v>
      </c>
      <c r="C18" s="2">
        <f>IF('Modell einstellen'!$B$2="Ja",creep_res0!O18,creep_res0!C18)</f>
        <v>-6.0114314285714284E-4</v>
      </c>
      <c r="D18" s="2">
        <f>IF('Modell einstellen'!$B$2="Ja",creep_res25!O18,creep_res25!C18)</f>
        <v>-6.481961714285714E-4</v>
      </c>
      <c r="E18" s="2">
        <f>IF('Modell einstellen'!$B$2="Ja",creep_res50!O18,creep_res50!C18)</f>
        <v>-7.0670925714285716E-4</v>
      </c>
      <c r="F18" s="2">
        <f>IF('Modell einstellen'!$B$2="Ja",creep_res80!O18,creep_res80!C18)</f>
        <v>-7.9293365714285728E-4</v>
      </c>
      <c r="G18" s="2">
        <f>IF('Modell einstellen'!$B$2="Ja",creep_res125!O18,creep_res125!C18)</f>
        <v>-1.2787949142857144E-3</v>
      </c>
      <c r="H18" s="2">
        <f>IF('Modell einstellen'!$B$2="Ja",creep_res160!O18,creep_res160!C18)</f>
        <v>-5.6234140000000002E-3</v>
      </c>
      <c r="M18" s="9">
        <f t="shared" si="26"/>
        <v>-10</v>
      </c>
      <c r="N18" s="2">
        <f t="shared" si="4"/>
        <v>1</v>
      </c>
      <c r="O18" s="2">
        <f t="shared" si="5"/>
        <v>18608.554780097496</v>
      </c>
      <c r="P18" s="2">
        <f t="shared" si="6"/>
        <v>16634.973082237128</v>
      </c>
      <c r="Q18" s="2">
        <f t="shared" si="7"/>
        <v>15427.42836317718</v>
      </c>
      <c r="R18" s="2">
        <f t="shared" si="27"/>
        <v>14150.090576751223</v>
      </c>
      <c r="S18" s="2">
        <f t="shared" si="8"/>
        <v>12611.395556133355</v>
      </c>
      <c r="T18" s="2">
        <f t="shared" si="9"/>
        <v>7819.862190792036</v>
      </c>
      <c r="U18" s="2">
        <f t="shared" si="10"/>
        <v>1778.2791734700663</v>
      </c>
      <c r="Z18" s="2">
        <v>1</v>
      </c>
      <c r="AA18" s="3">
        <f>IF('Modell einstellen'!$B$2="Ja",'creep_res-40'!P18,'creep_res-40'!L18)</f>
        <v>0.36471461580118525</v>
      </c>
      <c r="AB18" s="2">
        <f>IF('Modell einstellen'!$B$2="Ja",creep_res0!P18,creep_res0!L18)</f>
        <v>0.39629437438480308</v>
      </c>
      <c r="AC18" s="2">
        <f>IF('Modell einstellen'!$B$2="Ja",creep_res25!P18,creep_res25!L18)</f>
        <v>0.41770359114388039</v>
      </c>
      <c r="AD18" s="2">
        <f>IF('Modell einstellen'!$B$2="Ja",creep_res50!P18,creep_res50!L18)</f>
        <v>0.44351746347578624</v>
      </c>
      <c r="AE18" s="2">
        <f>IF('Modell einstellen'!$B$2="Ja",creep_res80!P18,creep_res80!L18)</f>
        <v>0.47744824481442832</v>
      </c>
      <c r="AF18" s="2">
        <f>IF('Modell einstellen'!$B$2="Ja",creep_res125!P18,creep_res125!L18)</f>
        <v>0.61156764956078513</v>
      </c>
      <c r="AG18" s="2">
        <f>IF('Modell einstellen'!$B$2="Ja",creep_res160!P18,creep_res160!L18)</f>
        <v>0.88233328924894572</v>
      </c>
      <c r="AL18" s="2">
        <f t="shared" si="11"/>
        <v>1</v>
      </c>
      <c r="AM18" s="2">
        <f t="shared" si="12"/>
        <v>6817.7458366168885</v>
      </c>
      <c r="AN18" s="2">
        <f t="shared" si="13"/>
        <v>5956.8287989294422</v>
      </c>
      <c r="AO18" s="2">
        <f t="shared" si="14"/>
        <v>5440.9922001853329</v>
      </c>
      <c r="AP18" s="2">
        <f t="shared" si="15"/>
        <v>4901.2536857987861</v>
      </c>
      <c r="AQ18" s="2">
        <f t="shared" si="16"/>
        <v>4267.9652571239076</v>
      </c>
      <c r="AR18" s="2">
        <f t="shared" si="17"/>
        <v>2426.1662837806571</v>
      </c>
      <c r="AS18" s="2">
        <f t="shared" si="18"/>
        <v>472.36033693576201</v>
      </c>
      <c r="AX18" s="2">
        <f t="shared" si="28"/>
        <v>1</v>
      </c>
      <c r="AY18" s="37">
        <f t="shared" si="19"/>
        <v>22925.061824306722</v>
      </c>
      <c r="AZ18" s="37">
        <f t="shared" si="20"/>
        <v>26734.282708959516</v>
      </c>
      <c r="BA18" s="37">
        <f t="shared" si="21"/>
        <v>31243.624069002512</v>
      </c>
      <c r="BB18" s="37">
        <f t="shared" si="22"/>
        <v>41753.585702503391</v>
      </c>
      <c r="BC18" s="37">
        <f t="shared" si="23"/>
        <v>93203.355661661641</v>
      </c>
      <c r="BD18" s="37">
        <f t="shared" si="24"/>
        <v>-11681.794590661575</v>
      </c>
      <c r="BE18" s="37">
        <f t="shared" si="25"/>
        <v>-775.18717459109746</v>
      </c>
    </row>
    <row r="19" spans="1:57" x14ac:dyDescent="0.25">
      <c r="A19" s="2">
        <f>'creep_res-40'!A19</f>
        <v>10</v>
      </c>
      <c r="B19" s="3">
        <f>'creep_res-40'!O19</f>
        <v>-5.4510416571428575E-4</v>
      </c>
      <c r="C19" s="2">
        <f>IF('Modell einstellen'!$B$2="Ja",creep_res0!O19,creep_res0!C19)</f>
        <v>-6.1650040000000011E-4</v>
      </c>
      <c r="D19" s="2">
        <f>IF('Modell einstellen'!$B$2="Ja",creep_res25!O19,creep_res25!C19)</f>
        <v>-6.7047302857142863E-4</v>
      </c>
      <c r="E19" s="2">
        <f>IF('Modell einstellen'!$B$2="Ja",creep_res50!O19,creep_res50!C19)</f>
        <v>-7.3743742857142864E-4</v>
      </c>
      <c r="F19" s="2">
        <f>IF('Modell einstellen'!$B$2="Ja",creep_res80!O19,creep_res80!C19)</f>
        <v>-8.4745777142857144E-4</v>
      </c>
      <c r="G19" s="2">
        <f>IF('Modell einstellen'!$B$2="Ja",creep_res125!O19,creep_res125!C19)</f>
        <v>-1.6690684000000003E-3</v>
      </c>
      <c r="H19" s="2">
        <f>IF('Modell einstellen'!$B$2="Ja",creep_res160!O19,creep_res160!C19)</f>
        <v>-6.7562577142857147E-3</v>
      </c>
      <c r="M19" s="9">
        <f t="shared" si="26"/>
        <v>-10</v>
      </c>
      <c r="N19" s="2">
        <f t="shared" si="4"/>
        <v>10</v>
      </c>
      <c r="O19" s="2">
        <f t="shared" si="5"/>
        <v>18345.117555460878</v>
      </c>
      <c r="P19" s="2">
        <f t="shared" si="6"/>
        <v>16220.589637898043</v>
      </c>
      <c r="Q19" s="2">
        <f t="shared" si="7"/>
        <v>14914.843064316723</v>
      </c>
      <c r="R19" s="2">
        <f t="shared" si="27"/>
        <v>13560.472539849385</v>
      </c>
      <c r="S19" s="2">
        <f t="shared" si="8"/>
        <v>11799.997990628914</v>
      </c>
      <c r="T19" s="2">
        <f t="shared" si="9"/>
        <v>5991.3662016487751</v>
      </c>
      <c r="U19" s="2">
        <f t="shared" si="10"/>
        <v>1480.1093183369221</v>
      </c>
      <c r="Z19" s="2">
        <v>10</v>
      </c>
      <c r="AA19" s="3">
        <f>IF('Modell einstellen'!$B$2="Ja",'creep_res-40'!P19,'creep_res-40'!L19)</f>
        <v>0.368997751402251</v>
      </c>
      <c r="AB19" s="2">
        <f>IF('Modell einstellen'!$B$2="Ja",creep_res0!P19,creep_res0!L19)</f>
        <v>0.40375680905594591</v>
      </c>
      <c r="AC19" s="2">
        <f>IF('Modell einstellen'!$B$2="Ja",creep_res25!P19,creep_res25!L19)</f>
        <v>0.42821784330005652</v>
      </c>
      <c r="AD19" s="2">
        <f>IF('Modell einstellen'!$B$2="Ja",creep_res50!P19,creep_res50!L19)</f>
        <v>0.45456280842810487</v>
      </c>
      <c r="AE19" s="2">
        <f>IF('Modell einstellen'!$B$2="Ja",creep_res80!P19,creep_res80!L19)</f>
        <v>0.48361266176195816</v>
      </c>
      <c r="AF19" s="2">
        <f>IF('Modell einstellen'!$B$2="Ja",creep_res125!P19,creep_res125!L19)</f>
        <v>0.61509043008662778</v>
      </c>
      <c r="AG19" s="2">
        <f>IF('Modell einstellen'!$B$2="Ja",creep_res160!P19,creep_res160!L19)</f>
        <v>0.82835141787283606</v>
      </c>
      <c r="AL19" s="2">
        <f t="shared" si="11"/>
        <v>10</v>
      </c>
      <c r="AM19" s="2">
        <f t="shared" si="12"/>
        <v>6700.2000319833087</v>
      </c>
      <c r="AN19" s="2">
        <f t="shared" si="13"/>
        <v>5777.56401011038</v>
      </c>
      <c r="AO19" s="2">
        <f t="shared" si="14"/>
        <v>5221.4874412485688</v>
      </c>
      <c r="AP19" s="2">
        <f t="shared" si="15"/>
        <v>4661.3568218837227</v>
      </c>
      <c r="AQ19" s="2">
        <f t="shared" si="16"/>
        <v>3976.7785402340392</v>
      </c>
      <c r="AR19" s="2">
        <f t="shared" si="17"/>
        <v>1854.808278855141</v>
      </c>
      <c r="AS19" s="2">
        <f t="shared" si="18"/>
        <v>404.76609252146119</v>
      </c>
      <c r="AX19" s="2">
        <f t="shared" si="28"/>
        <v>10</v>
      </c>
      <c r="AY19" s="37">
        <f t="shared" si="19"/>
        <v>23339.443599667724</v>
      </c>
      <c r="AZ19" s="37">
        <f t="shared" si="20"/>
        <v>28089.588258641987</v>
      </c>
      <c r="BA19" s="37">
        <f t="shared" si="21"/>
        <v>34629.875886524846</v>
      </c>
      <c r="BB19" s="37">
        <f t="shared" si="22"/>
        <v>49740.722928824689</v>
      </c>
      <c r="BC19" s="37">
        <f t="shared" si="23"/>
        <v>120011.3345562145</v>
      </c>
      <c r="BD19" s="37">
        <f t="shared" si="24"/>
        <v>-8676.3168132790815</v>
      </c>
      <c r="BE19" s="37">
        <f t="shared" si="25"/>
        <v>-751.2831465372966</v>
      </c>
    </row>
    <row r="20" spans="1:57" x14ac:dyDescent="0.25">
      <c r="A20" s="2">
        <f>'creep_res-40'!A20</f>
        <v>100</v>
      </c>
      <c r="B20" s="3">
        <f>'creep_res-40'!O20</f>
        <v>-5.531446114285715E-4</v>
      </c>
      <c r="C20" s="2">
        <f>IF('Modell einstellen'!$B$2="Ja",creep_res0!O20,creep_res0!C20)</f>
        <v>-6.3240502857142859E-4</v>
      </c>
      <c r="D20" s="2">
        <f>IF('Modell einstellen'!$B$2="Ja",creep_res25!O20,creep_res25!C20)</f>
        <v>-7.0504165714285728E-4</v>
      </c>
      <c r="E20" s="2">
        <f>IF('Modell einstellen'!$B$2="Ja",creep_res50!O20,creep_res50!C20)</f>
        <v>-7.9729805714285717E-4</v>
      </c>
      <c r="F20" s="2">
        <f>IF('Modell einstellen'!$B$2="Ja",creep_res80!O20,creep_res80!C20)</f>
        <v>-9.8356862857142862E-4</v>
      </c>
      <c r="G20" s="2">
        <f>IF('Modell einstellen'!$B$2="Ja",creep_res125!O20,creep_res125!C20)</f>
        <v>-2.4705964000000004E-3</v>
      </c>
      <c r="H20" s="2">
        <f>IF('Modell einstellen'!$B$2="Ja",creep_res160!O20,creep_res160!C20)</f>
        <v>-8.7672800000000006E-3</v>
      </c>
      <c r="M20" s="9">
        <f t="shared" si="26"/>
        <v>-10</v>
      </c>
      <c r="N20" s="2">
        <f t="shared" si="4"/>
        <v>100</v>
      </c>
      <c r="O20" s="2">
        <f t="shared" si="5"/>
        <v>18078.455061098099</v>
      </c>
      <c r="P20" s="2">
        <f t="shared" si="6"/>
        <v>15812.650988227435</v>
      </c>
      <c r="Q20" s="2">
        <f t="shared" si="7"/>
        <v>14183.559082912139</v>
      </c>
      <c r="R20" s="2">
        <f t="shared" si="27"/>
        <v>12542.360928151909</v>
      </c>
      <c r="S20" s="2">
        <f t="shared" si="8"/>
        <v>10167.058718133751</v>
      </c>
      <c r="T20" s="2">
        <f t="shared" si="9"/>
        <v>4047.605671246019</v>
      </c>
      <c r="U20" s="2">
        <f t="shared" si="10"/>
        <v>1140.6046116925659</v>
      </c>
      <c r="Z20" s="2">
        <v>100</v>
      </c>
      <c r="AA20" s="3">
        <f>IF('Modell einstellen'!$B$2="Ja",'creep_res-40'!P20,'creep_res-40'!L20)</f>
        <v>0.37343228673851209</v>
      </c>
      <c r="AB20" s="2">
        <f>IF('Modell einstellen'!$B$2="Ja",creep_res0!P20,creep_res0!L20)</f>
        <v>0.41130037097382799</v>
      </c>
      <c r="AC20" s="2">
        <f>IF('Modell einstellen'!$B$2="Ja",creep_res25!P20,creep_res25!L20)</f>
        <v>0.43961044976552138</v>
      </c>
      <c r="AD20" s="2">
        <f>IF('Modell einstellen'!$B$2="Ja",creep_res50!P20,creep_res50!L20)</f>
        <v>0.45886276191674802</v>
      </c>
      <c r="AE20" s="2">
        <f>IF('Modell einstellen'!$B$2="Ja",creep_res80!P20,creep_res80!L20)</f>
        <v>0.47534307577694779</v>
      </c>
      <c r="AF20" s="2">
        <f>IF('Modell einstellen'!$B$2="Ja",creep_res125!P20,creep_res125!L20)</f>
        <v>0.59458284184799615</v>
      </c>
      <c r="AG20" s="2">
        <f>IF('Modell einstellen'!$B$2="Ja",creep_res160!P20,creep_res160!L20)</f>
        <v>0.71455639605442056</v>
      </c>
      <c r="AL20" s="2">
        <f t="shared" si="11"/>
        <v>100</v>
      </c>
      <c r="AM20" s="2">
        <f t="shared" si="12"/>
        <v>6581.4875752007347</v>
      </c>
      <c r="AN20" s="2">
        <f t="shared" si="13"/>
        <v>5602.1564627366897</v>
      </c>
      <c r="AO20" s="2">
        <f t="shared" si="14"/>
        <v>4926.1795387850607</v>
      </c>
      <c r="AP20" s="2">
        <f t="shared" si="15"/>
        <v>4298.6774546472579</v>
      </c>
      <c r="AQ20" s="2">
        <f t="shared" si="16"/>
        <v>3445.6591436468279</v>
      </c>
      <c r="AR20" s="2">
        <f t="shared" si="17"/>
        <v>1269.173844412863</v>
      </c>
      <c r="AS20" s="2">
        <f t="shared" si="18"/>
        <v>332.62382454066642</v>
      </c>
      <c r="AX20" s="2">
        <f t="shared" si="28"/>
        <v>100</v>
      </c>
      <c r="AY20" s="37">
        <f t="shared" si="19"/>
        <v>23806.038411165402</v>
      </c>
      <c r="AZ20" s="37">
        <f t="shared" si="20"/>
        <v>29711.982567521412</v>
      </c>
      <c r="BA20" s="37">
        <f t="shared" si="21"/>
        <v>39144.628576303541</v>
      </c>
      <c r="BB20" s="37">
        <f t="shared" si="22"/>
        <v>50815.115098268368</v>
      </c>
      <c r="BC20" s="37">
        <f t="shared" si="23"/>
        <v>68723.485988223809</v>
      </c>
      <c r="BD20" s="37">
        <f t="shared" si="24"/>
        <v>-7132.3818572909804</v>
      </c>
      <c r="BE20" s="37">
        <f t="shared" si="25"/>
        <v>-886.01771893675016</v>
      </c>
    </row>
    <row r="21" spans="1:57" x14ac:dyDescent="0.25">
      <c r="A21" s="2">
        <f>'creep_res-40'!A21</f>
        <v>1000</v>
      </c>
      <c r="B21" s="3">
        <f>'creep_res-40'!O21</f>
        <v>-5.6241089714285724E-4</v>
      </c>
      <c r="C21" s="2">
        <f>IF('Modell einstellen'!$B$2="Ja",creep_res0!O21,creep_res0!C21)</f>
        <v>-6.5889742857142865E-4</v>
      </c>
      <c r="D21" s="2">
        <f>IF('Modell einstellen'!$B$2="Ja",creep_res25!O21,creep_res25!C21)</f>
        <v>-7.793978857142858E-4</v>
      </c>
      <c r="E21" s="2">
        <f>IF('Modell einstellen'!$B$2="Ja",creep_res50!O21,creep_res50!C21)</f>
        <v>-9.3838194285714291E-4</v>
      </c>
      <c r="F21" s="2">
        <f>IF('Modell einstellen'!$B$2="Ja",creep_res80!O21,creep_res80!C21)</f>
        <v>-1.209907542857143E-3</v>
      </c>
      <c r="G21" s="2">
        <f>IF('Modell einstellen'!$B$2="Ja",creep_res125!O21,creep_res125!C21)</f>
        <v>-3.9668505142857148E-3</v>
      </c>
      <c r="H21" s="2">
        <f>IF('Modell einstellen'!$B$2="Ja",creep_res160!O21,creep_res160!C21)</f>
        <v>-1.1606206285714286E-2</v>
      </c>
      <c r="M21" s="9">
        <f t="shared" si="26"/>
        <v>-10</v>
      </c>
      <c r="N21" s="2">
        <f t="shared" si="4"/>
        <v>1000</v>
      </c>
      <c r="O21" s="2">
        <f t="shared" si="5"/>
        <v>17780.594314231279</v>
      </c>
      <c r="P21" s="2">
        <f t="shared" si="6"/>
        <v>15176.869063947086</v>
      </c>
      <c r="Q21" s="2">
        <f t="shared" si="7"/>
        <v>12830.417150587233</v>
      </c>
      <c r="R21" s="2">
        <f t="shared" si="27"/>
        <v>10656.641547846128</v>
      </c>
      <c r="S21" s="2">
        <f t="shared" si="8"/>
        <v>8265.0943529002579</v>
      </c>
      <c r="T21" s="2">
        <f t="shared" si="9"/>
        <v>2520.8915647280537</v>
      </c>
      <c r="U21" s="2">
        <f t="shared" si="10"/>
        <v>861.60798402391697</v>
      </c>
      <c r="Z21" s="2">
        <v>1000</v>
      </c>
      <c r="AA21" s="3">
        <f>IF('Modell einstellen'!$B$2="Ja",'creep_res-40'!P21,'creep_res-40'!L21)</f>
        <v>0.37847426589692063</v>
      </c>
      <c r="AB21" s="2">
        <f>IF('Modell einstellen'!$B$2="Ja",creep_res0!P21,creep_res0!L21)</f>
        <v>0.41871405087546681</v>
      </c>
      <c r="AC21" s="2">
        <f>IF('Modell einstellen'!$B$2="Ja",creep_res25!P21,creep_res25!L21)</f>
        <v>0.44389699213231482</v>
      </c>
      <c r="AD21" s="2">
        <f>IF('Modell einstellen'!$B$2="Ja",creep_res50!P21,creep_res50!L21)</f>
        <v>0.45038692134131919</v>
      </c>
      <c r="AE21" s="2">
        <f>IF('Modell einstellen'!$B$2="Ja",creep_res80!P21,creep_res80!L21)</f>
        <v>0.45544729226535463</v>
      </c>
      <c r="AF21" s="2">
        <f>IF('Modell einstellen'!$B$2="Ja",creep_res125!P21,creep_res125!L21)</f>
        <v>0.55955612083707895</v>
      </c>
      <c r="AG21" s="2">
        <f>IF('Modell einstellen'!$B$2="Ja",creep_res160!P21,creep_res160!L21)</f>
        <v>0.59490811344728323</v>
      </c>
      <c r="AL21" s="2">
        <f t="shared" si="11"/>
        <v>1000</v>
      </c>
      <c r="AM21" s="2">
        <f t="shared" si="12"/>
        <v>6449.3747740231202</v>
      </c>
      <c r="AN21" s="2">
        <f t="shared" si="13"/>
        <v>5348.811853446321</v>
      </c>
      <c r="AO21" s="2">
        <f t="shared" si="14"/>
        <v>4442.9821588725517</v>
      </c>
      <c r="AP21" s="2">
        <f t="shared" si="15"/>
        <v>3673.7236771243274</v>
      </c>
      <c r="AQ21" s="2">
        <f t="shared" si="16"/>
        <v>2839.3657389117534</v>
      </c>
      <c r="AR21" s="2">
        <f t="shared" si="17"/>
        <v>808.20803145416335</v>
      </c>
      <c r="AS21" s="2">
        <f t="shared" si="18"/>
        <v>270.11210763785351</v>
      </c>
      <c r="AX21" s="2">
        <f t="shared" si="28"/>
        <v>1000</v>
      </c>
      <c r="AY21" s="37">
        <f t="shared" si="19"/>
        <v>24385.225134222183</v>
      </c>
      <c r="AZ21" s="37">
        <f t="shared" si="20"/>
        <v>31118.270802857416</v>
      </c>
      <c r="BA21" s="37">
        <f t="shared" si="21"/>
        <v>38115.654395473255</v>
      </c>
      <c r="BB21" s="37">
        <f t="shared" si="22"/>
        <v>35799.167732765876</v>
      </c>
      <c r="BC21" s="37">
        <f t="shared" si="23"/>
        <v>30918.78800471163</v>
      </c>
      <c r="BD21" s="37">
        <f t="shared" si="24"/>
        <v>-7054.6668959634899</v>
      </c>
      <c r="BE21" s="37">
        <f t="shared" si="25"/>
        <v>-1513.0564232573886</v>
      </c>
    </row>
    <row r="22" spans="1:57" x14ac:dyDescent="0.25">
      <c r="A22" s="2">
        <f>'creep_res-40'!A22</f>
        <v>10000</v>
      </c>
      <c r="B22" s="3">
        <f>'creep_res-40'!O22</f>
        <v>-5.7446554285714283E-4</v>
      </c>
      <c r="C22" s="2">
        <f>IF('Modell einstellen'!$B$2="Ja",creep_res0!O22,creep_res0!C22)</f>
        <v>-7.3297771428571445E-4</v>
      </c>
      <c r="D22" s="2">
        <f>IF('Modell einstellen'!$B$2="Ja",creep_res25!O22,creep_res25!C22)</f>
        <v>-9.2856325714285712E-4</v>
      </c>
      <c r="E22" s="2">
        <f>IF('Modell einstellen'!$B$2="Ja",creep_res50!O22,creep_res50!C22)</f>
        <v>-1.1411583428571428E-3</v>
      </c>
      <c r="F22" s="2">
        <f>IF('Modell einstellen'!$B$2="Ja",creep_res80!O22,creep_res80!C22)</f>
        <v>-1.4887029142857144E-3</v>
      </c>
      <c r="G22" s="2">
        <f>IF('Modell einstellen'!$B$2="Ja",creep_res125!O22,creep_res125!C22)</f>
        <v>-6.4758148571428583E-3</v>
      </c>
      <c r="H22" s="2">
        <f>IF('Modell einstellen'!$B$2="Ja",creep_res160!O22,creep_res160!C22)</f>
        <v>-1.4358287428571431E-2</v>
      </c>
      <c r="M22" s="9">
        <f t="shared" si="26"/>
        <v>-10</v>
      </c>
      <c r="N22" s="2">
        <f t="shared" si="4"/>
        <v>10000</v>
      </c>
      <c r="O22" s="2">
        <f t="shared" si="5"/>
        <v>17407.484442433797</v>
      </c>
      <c r="P22" s="2">
        <f t="shared" si="6"/>
        <v>13642.979595559715</v>
      </c>
      <c r="Q22" s="2">
        <f t="shared" si="7"/>
        <v>10769.325539295516</v>
      </c>
      <c r="R22" s="2">
        <f t="shared" si="27"/>
        <v>8763.0257996999644</v>
      </c>
      <c r="S22" s="2">
        <f t="shared" si="8"/>
        <v>6717.2569516988151</v>
      </c>
      <c r="T22" s="2">
        <f t="shared" si="9"/>
        <v>1544.2072110770657</v>
      </c>
      <c r="U22" s="2">
        <f t="shared" si="10"/>
        <v>696.46189002325491</v>
      </c>
      <c r="Z22" s="2">
        <v>10000</v>
      </c>
      <c r="AA22" s="3">
        <f>IF('Modell einstellen'!$B$2="Ja",'creep_res-40'!P22,'creep_res-40'!L22)</f>
        <v>0.38388349439235298</v>
      </c>
      <c r="AB22" s="2">
        <f>IF('Modell einstellen'!$B$2="Ja",creep_res0!P22,creep_res0!L22)</f>
        <v>0.42311682834247144</v>
      </c>
      <c r="AC22" s="2">
        <f>IF('Modell einstellen'!$B$2="Ja",creep_res25!P22,creep_res25!L22)</f>
        <v>0.43484850974380884</v>
      </c>
      <c r="AD22" s="2">
        <f>IF('Modell einstellen'!$B$2="Ja",creep_res50!P22,creep_res50!L22)</f>
        <v>0.43376077870951285</v>
      </c>
      <c r="AE22" s="2">
        <f>IF('Modell einstellen'!$B$2="Ja",creep_res80!P22,creep_res80!L22)</f>
        <v>0.43618769029269239</v>
      </c>
      <c r="AF22" s="2">
        <f>IF('Modell einstellen'!$B$2="Ja",creep_res125!P22,creep_res125!L22)</f>
        <v>0.51681712245192568</v>
      </c>
      <c r="AG22" s="2">
        <f>IF('Modell einstellen'!$B$2="Ja",creep_res160!P22,creep_res160!L22)</f>
        <v>0.51250242617474107</v>
      </c>
      <c r="AL22" s="2">
        <f t="shared" si="11"/>
        <v>10000</v>
      </c>
      <c r="AM22" s="2">
        <f t="shared" si="12"/>
        <v>6289.3605252793404</v>
      </c>
      <c r="AN22" s="2">
        <f t="shared" si="13"/>
        <v>4793.3449045957559</v>
      </c>
      <c r="AO22" s="2">
        <f t="shared" si="14"/>
        <v>3752.7744100380223</v>
      </c>
      <c r="AP22" s="2">
        <f t="shared" si="15"/>
        <v>3055.9581241953465</v>
      </c>
      <c r="AQ22" s="2">
        <f t="shared" si="16"/>
        <v>2338.5721090290958</v>
      </c>
      <c r="AR22" s="2">
        <f t="shared" si="17"/>
        <v>509.02880387480866</v>
      </c>
      <c r="AS22" s="2">
        <f t="shared" si="18"/>
        <v>230.23496622900356</v>
      </c>
      <c r="AX22" s="2">
        <f t="shared" si="28"/>
        <v>10000</v>
      </c>
      <c r="AY22" s="37">
        <f t="shared" si="19"/>
        <v>24985.658945641175</v>
      </c>
      <c r="AZ22" s="37">
        <f t="shared" si="20"/>
        <v>29575.131769042044</v>
      </c>
      <c r="BA22" s="37">
        <f t="shared" si="21"/>
        <v>27549.447953142146</v>
      </c>
      <c r="BB22" s="37">
        <f t="shared" si="22"/>
        <v>22048.935230459032</v>
      </c>
      <c r="BC22" s="37">
        <f t="shared" si="23"/>
        <v>17544.308150233417</v>
      </c>
      <c r="BD22" s="37">
        <f t="shared" si="24"/>
        <v>-15303.918327797739</v>
      </c>
      <c r="BE22" s="37">
        <f t="shared" si="25"/>
        <v>-9284.3564959459982</v>
      </c>
    </row>
    <row r="23" spans="1:57" x14ac:dyDescent="0.25">
      <c r="A23" s="2">
        <f>'creep_res-40'!A23</f>
        <v>100000</v>
      </c>
      <c r="B23" s="3">
        <f>'creep_res-40'!O23</f>
        <v>-5.9813674285714286E-4</v>
      </c>
      <c r="C23" s="2">
        <f>IF('Modell einstellen'!$B$2="Ja",creep_res0!O23,creep_res0!C23)</f>
        <v>-8.7946508571428578E-4</v>
      </c>
      <c r="D23" s="2">
        <f>IF('Modell einstellen'!$B$2="Ja",creep_res25!O23,creep_res25!C23)</f>
        <v>-1.1236970857142858E-3</v>
      </c>
      <c r="E23" s="2">
        <f>IF('Modell einstellen'!$B$2="Ja",creep_res50!O23,creep_res50!C23)</f>
        <v>-1.363100342857143E-3</v>
      </c>
      <c r="F23" s="2">
        <f>IF('Modell einstellen'!$B$2="Ja",creep_res80!O23,creep_res80!C23)</f>
        <v>-1.7958230857142859E-3</v>
      </c>
      <c r="G23" s="2">
        <f>IF('Modell einstellen'!$B$2="Ja",creep_res125!O23,creep_res125!C23)</f>
        <v>-9.8433360000000011E-3</v>
      </c>
      <c r="H23" s="2">
        <f>IF('Modell einstellen'!$B$2="Ja",creep_res160!O23,creep_res160!C23)</f>
        <v>-1.7147691428571431E-2</v>
      </c>
      <c r="M23" s="9">
        <f t="shared" si="26"/>
        <v>-10</v>
      </c>
      <c r="N23" s="2">
        <f t="shared" si="4"/>
        <v>100000</v>
      </c>
      <c r="O23" s="2">
        <f t="shared" si="5"/>
        <v>16718.585038318521</v>
      </c>
      <c r="P23" s="2">
        <f t="shared" si="6"/>
        <v>11370.548032476103</v>
      </c>
      <c r="Q23" s="2">
        <f t="shared" si="7"/>
        <v>8899.1954567929042</v>
      </c>
      <c r="R23" s="2">
        <f t="shared" si="27"/>
        <v>7336.2170675119769</v>
      </c>
      <c r="S23" s="2">
        <f t="shared" si="8"/>
        <v>5568.477251211255</v>
      </c>
      <c r="T23" s="2">
        <f t="shared" si="9"/>
        <v>1015.9157423865241</v>
      </c>
      <c r="U23" s="2">
        <f t="shared" si="10"/>
        <v>583.16887970925518</v>
      </c>
      <c r="Z23" s="2">
        <v>100000</v>
      </c>
      <c r="AA23" s="3">
        <f>IF('Modell einstellen'!$B$2="Ja",'creep_res-40'!P23,'creep_res-40'!L23)</f>
        <v>0.38955598590785695</v>
      </c>
      <c r="AB23" s="2">
        <f>IF('Modell einstellen'!$B$2="Ja",creep_res0!P23,creep_res0!L23)</f>
        <v>0.41923118981609542</v>
      </c>
      <c r="AC23" s="2">
        <f>IF('Modell einstellen'!$B$2="Ja",creep_res25!P23,creep_res25!L23)</f>
        <v>0.42130709958998103</v>
      </c>
      <c r="AD23" s="2">
        <f>IF('Modell einstellen'!$B$2="Ja",creep_res50!P23,creep_res50!L23)</f>
        <v>0.41822897347961724</v>
      </c>
      <c r="AE23" s="2">
        <f>IF('Modell einstellen'!$B$2="Ja",creep_res80!P23,creep_res80!L23)</f>
        <v>0.42029278480629212</v>
      </c>
      <c r="AF23" s="2">
        <f>IF('Modell einstellen'!$B$2="Ja",creep_res125!P23,creep_res125!L23)</f>
        <v>0.47639048968183723</v>
      </c>
      <c r="AG23" s="2">
        <f>IF('Modell einstellen'!$B$2="Ja",creep_res160!P23,creep_res160!L23)</f>
        <v>0.46541421985666703</v>
      </c>
      <c r="AL23" s="2">
        <f t="shared" si="11"/>
        <v>100000</v>
      </c>
      <c r="AM23" s="2">
        <f t="shared" si="12"/>
        <v>6015.8011652173718</v>
      </c>
      <c r="AN23" s="2">
        <f t="shared" si="13"/>
        <v>4005.8829435497059</v>
      </c>
      <c r="AO23" s="2">
        <f t="shared" si="14"/>
        <v>3130.6377978974938</v>
      </c>
      <c r="AP23" s="2">
        <f t="shared" si="15"/>
        <v>2586.4007874245467</v>
      </c>
      <c r="AQ23" s="2">
        <f t="shared" si="16"/>
        <v>1960.3272335044344</v>
      </c>
      <c r="AR23" s="2">
        <f t="shared" si="17"/>
        <v>344.05387649356049</v>
      </c>
      <c r="AS23" s="2">
        <f t="shared" si="18"/>
        <v>198.97748766430533</v>
      </c>
      <c r="AX23" s="2">
        <f t="shared" si="28"/>
        <v>100000</v>
      </c>
      <c r="AY23" s="37">
        <f t="shared" si="19"/>
        <v>25229.351383362831</v>
      </c>
      <c r="AZ23" s="37">
        <f t="shared" si="20"/>
        <v>23463.157801025358</v>
      </c>
      <c r="BA23" s="37">
        <f t="shared" si="21"/>
        <v>18847.942254902329</v>
      </c>
      <c r="BB23" s="37">
        <f t="shared" si="22"/>
        <v>14952.76379195938</v>
      </c>
      <c r="BC23" s="37">
        <f t="shared" si="23"/>
        <v>11643.607666044836</v>
      </c>
      <c r="BD23" s="37">
        <f t="shared" si="24"/>
        <v>7171.6561722797296</v>
      </c>
      <c r="BE23" s="37">
        <f t="shared" si="25"/>
        <v>2810.2536037086306</v>
      </c>
    </row>
    <row r="24" spans="1:57" x14ac:dyDescent="0.25">
      <c r="A24" s="2">
        <f>'creep_res-40'!A24</f>
        <v>1000000</v>
      </c>
      <c r="B24" s="3">
        <f>'creep_res-40'!O24</f>
        <v>-6.6538377142857149E-4</v>
      </c>
      <c r="C24" s="2">
        <f>IF('Modell einstellen'!$B$2="Ja",creep_res0!O24,creep_res0!C24)</f>
        <v>-1.0596601142857144E-3</v>
      </c>
      <c r="D24" s="2">
        <f>IF('Modell einstellen'!$B$2="Ja",creep_res25!O24,creep_res25!C24)</f>
        <v>-1.3216305714285716E-3</v>
      </c>
      <c r="E24" s="2">
        <f>IF('Modell einstellen'!$B$2="Ja",creep_res50!O24,creep_res50!C24)</f>
        <v>-1.5828392571428573E-3</v>
      </c>
      <c r="F24" s="2">
        <f>IF('Modell einstellen'!$B$2="Ja",creep_res80!O24,creep_res80!C24)</f>
        <v>-2.1445940000000001E-3</v>
      </c>
      <c r="G24" s="2">
        <f>IF('Modell einstellen'!$B$2="Ja",creep_res125!O24,creep_res125!C24)</f>
        <v>-1.3177162285714288E-2</v>
      </c>
      <c r="H24" s="2">
        <f>IF('Modell einstellen'!$B$2="Ja",creep_res160!O24,creep_res160!C24)</f>
        <v>-1.9091066285714286E-2</v>
      </c>
      <c r="M24" s="9">
        <f t="shared" si="26"/>
        <v>-10</v>
      </c>
      <c r="N24" s="2">
        <f t="shared" si="4"/>
        <v>1000000</v>
      </c>
      <c r="O24" s="2">
        <f t="shared" si="5"/>
        <v>15028.920796385088</v>
      </c>
      <c r="P24" s="2">
        <f t="shared" si="6"/>
        <v>9436.9882051668101</v>
      </c>
      <c r="Q24" s="2">
        <f t="shared" si="7"/>
        <v>7566.4109291833647</v>
      </c>
      <c r="R24" s="2">
        <f t="shared" si="27"/>
        <v>6317.7609191035253</v>
      </c>
      <c r="S24" s="2">
        <f t="shared" si="8"/>
        <v>4662.8872411281573</v>
      </c>
      <c r="T24" s="2">
        <f t="shared" si="9"/>
        <v>758.88873364193637</v>
      </c>
      <c r="U24" s="2">
        <f t="shared" si="10"/>
        <v>523.80521079029154</v>
      </c>
      <c r="Z24" s="2">
        <v>1000000</v>
      </c>
      <c r="AA24" s="3">
        <f>IF('Modell einstellen'!$B$2="Ja",'creep_res-40'!P24,'creep_res-40'!L24)</f>
        <v>0.3932572703907245</v>
      </c>
      <c r="AB24" s="2">
        <f>IF('Modell einstellen'!$B$2="Ja",creep_res0!P24,creep_res0!L24)</f>
        <v>0.40998822695277171</v>
      </c>
      <c r="AC24" s="2">
        <f>IF('Modell einstellen'!$B$2="Ja",creep_res25!P24,creep_res25!L24)</f>
        <v>0.40859653237872606</v>
      </c>
      <c r="AD24" s="2">
        <f>IF('Modell einstellen'!$B$2="Ja",creep_res50!P24,creep_res50!L24)</f>
        <v>0.40561216449846527</v>
      </c>
      <c r="AE24" s="2">
        <f>IF('Modell einstellen'!$B$2="Ja",creep_res80!P24,creep_res80!L24)</f>
        <v>0.4076057819268889</v>
      </c>
      <c r="AF24" s="2">
        <f>IF('Modell einstellen'!$B$2="Ja",creep_res125!P24,creep_res125!L24)</f>
        <v>0.44422358614041935</v>
      </c>
      <c r="AG24" s="2">
        <f>IF('Modell einstellen'!$B$2="Ja",creep_res160!P24,creep_res160!L24)</f>
        <v>0.4336795855389774</v>
      </c>
      <c r="AL24" s="2">
        <f t="shared" si="11"/>
        <v>1000000</v>
      </c>
      <c r="AM24" s="2">
        <f t="shared" si="12"/>
        <v>5393.4478275395559</v>
      </c>
      <c r="AN24" s="2">
        <f t="shared" si="13"/>
        <v>3346.4776601581179</v>
      </c>
      <c r="AO24" s="2">
        <f t="shared" si="14"/>
        <v>2685.7977977575347</v>
      </c>
      <c r="AP24" s="2">
        <f t="shared" si="15"/>
        <v>2247.3343211844494</v>
      </c>
      <c r="AQ24" s="2">
        <f t="shared" si="16"/>
        <v>1656.3185875611684</v>
      </c>
      <c r="AR24" s="2">
        <f t="shared" si="17"/>
        <v>262.73242624087396</v>
      </c>
      <c r="AS24" s="2">
        <f t="shared" si="18"/>
        <v>182.67861803771595</v>
      </c>
      <c r="AX24" s="2">
        <f t="shared" si="28"/>
        <v>1000000</v>
      </c>
      <c r="AY24" s="37">
        <f t="shared" si="19"/>
        <v>23465.955404171989</v>
      </c>
      <c r="AZ24" s="37">
        <f t="shared" si="20"/>
        <v>17473.618331043792</v>
      </c>
      <c r="BA24" s="37">
        <f t="shared" si="21"/>
        <v>13796.724796288985</v>
      </c>
      <c r="BB24" s="37">
        <f t="shared" si="22"/>
        <v>11155.676444840181</v>
      </c>
      <c r="BC24" s="37">
        <f t="shared" si="23"/>
        <v>8411.2176035345219</v>
      </c>
      <c r="BD24" s="37">
        <f t="shared" si="24"/>
        <v>2267.6512678891745</v>
      </c>
      <c r="BE24" s="37">
        <f t="shared" si="25"/>
        <v>1316.3498626257301</v>
      </c>
    </row>
    <row r="25" spans="1:57" x14ac:dyDescent="0.25">
      <c r="A25" s="2">
        <f>'creep_res-40'!A25</f>
        <v>10000000</v>
      </c>
      <c r="B25" s="3">
        <f>'creep_res-40'!O25</f>
        <v>-7.8451982857142871E-4</v>
      </c>
      <c r="C25" s="2">
        <f>IF('Modell einstellen'!$B$2="Ja",creep_res0!O25,creep_res0!C25)</f>
        <v>-1.2344853714285715E-3</v>
      </c>
      <c r="D25" s="2">
        <f>IF('Modell einstellen'!$B$2="Ja",creep_res25!O25,creep_res25!C25)</f>
        <v>-1.5099526857142859E-3</v>
      </c>
      <c r="E25" s="2">
        <f>IF('Modell einstellen'!$B$2="Ja",creep_res50!O25,creep_res50!C25)</f>
        <v>-1.8098891428571431E-3</v>
      </c>
      <c r="F25" s="2">
        <f>IF('Modell einstellen'!$B$2="Ja",creep_res80!O25,creep_res80!C25)</f>
        <v>-2.5784199428571428E-3</v>
      </c>
      <c r="G25" s="2">
        <f>IF('Modell einstellen'!$B$2="Ja",creep_res125!O25,creep_res125!C25)</f>
        <v>-1.5779164571428573E-2</v>
      </c>
      <c r="H25" s="2">
        <f>IF('Modell einstellen'!$B$2="Ja",creep_res160!O25,creep_res160!C25)</f>
        <v>-2.0249506285714286E-2</v>
      </c>
      <c r="M25" s="9">
        <f t="shared" si="26"/>
        <v>-10</v>
      </c>
      <c r="N25" s="2">
        <f t="shared" si="4"/>
        <v>10000000</v>
      </c>
      <c r="O25" s="2">
        <f t="shared" si="5"/>
        <v>12746.65041699392</v>
      </c>
      <c r="P25" s="2">
        <f t="shared" si="6"/>
        <v>8100.5415142569063</v>
      </c>
      <c r="Q25" s="2">
        <f t="shared" si="7"/>
        <v>6622.7240724893854</v>
      </c>
      <c r="R25" s="2">
        <f t="shared" si="27"/>
        <v>5525.2002806170285</v>
      </c>
      <c r="S25" s="2">
        <f t="shared" si="8"/>
        <v>3878.344188153857</v>
      </c>
      <c r="T25" s="2">
        <f t="shared" si="9"/>
        <v>633.74711346296874</v>
      </c>
      <c r="U25" s="2">
        <f t="shared" si="10"/>
        <v>493.83920076386482</v>
      </c>
      <c r="Z25" s="2">
        <v>10000000</v>
      </c>
      <c r="AA25" s="3">
        <f>IF('Modell einstellen'!$B$2="Ja",'creep_res-40'!P25,'creep_res-40'!L25)</f>
        <v>0.39233854200316304</v>
      </c>
      <c r="AB25" s="2">
        <f>IF('Modell einstellen'!$B$2="Ja",creep_res0!P25,creep_res0!L25)</f>
        <v>0.40041657150459081</v>
      </c>
      <c r="AC25" s="2">
        <f>IF('Modell einstellen'!$B$2="Ja",creep_res25!P25,creep_res25!L25)</f>
        <v>0.39817455774962407</v>
      </c>
      <c r="AD25" s="2">
        <f>IF('Modell einstellen'!$B$2="Ja",creep_res50!P25,creep_res50!L25)</f>
        <v>0.3957409861882622</v>
      </c>
      <c r="AE25" s="2">
        <f>IF('Modell einstellen'!$B$2="Ja",creep_res80!P25,creep_res80!L25)</f>
        <v>0.397892826900479</v>
      </c>
      <c r="AF25" s="2">
        <f>IF('Modell einstellen'!$B$2="Ja",creep_res125!P25,creep_res125!L25)</f>
        <v>0.42134079305592781</v>
      </c>
      <c r="AG25" s="2">
        <f>IF('Modell einstellen'!$B$2="Ja",creep_res160!P25,creep_res160!L25)</f>
        <v>0.41397916551672681</v>
      </c>
      <c r="AL25" s="2">
        <f t="shared" si="11"/>
        <v>10000000</v>
      </c>
      <c r="AM25" s="2">
        <f t="shared" si="12"/>
        <v>4577.424969740212</v>
      </c>
      <c r="AN25" s="2">
        <f t="shared" si="13"/>
        <v>2892.1899665732253</v>
      </c>
      <c r="AO25" s="2">
        <f t="shared" si="14"/>
        <v>2368.346654493816</v>
      </c>
      <c r="AP25" s="2">
        <f t="shared" si="15"/>
        <v>1979.307169199863</v>
      </c>
      <c r="AQ25" s="2">
        <f t="shared" si="16"/>
        <v>1387.2108481854204</v>
      </c>
      <c r="AR25" s="2">
        <f t="shared" si="17"/>
        <v>222.939887660718</v>
      </c>
      <c r="AS25" s="2">
        <f t="shared" si="18"/>
        <v>174.62746722417066</v>
      </c>
      <c r="AX25" s="2">
        <f t="shared" si="28"/>
        <v>10000000</v>
      </c>
      <c r="AY25" s="37">
        <f t="shared" si="19"/>
        <v>19732.611611372275</v>
      </c>
      <c r="AZ25" s="37">
        <f t="shared" si="20"/>
        <v>13557.378700195992</v>
      </c>
      <c r="BA25" s="37">
        <f t="shared" si="21"/>
        <v>10839.995594625787</v>
      </c>
      <c r="BB25" s="37">
        <f t="shared" si="22"/>
        <v>8832.4901585871066</v>
      </c>
      <c r="BC25" s="37">
        <f t="shared" si="23"/>
        <v>6330.5121315583183</v>
      </c>
      <c r="BD25" s="37">
        <f t="shared" si="24"/>
        <v>1342.8118972213299</v>
      </c>
      <c r="BE25" s="37">
        <f t="shared" si="25"/>
        <v>956.82091385254694</v>
      </c>
    </row>
    <row r="26" spans="1:57" x14ac:dyDescent="0.25">
      <c r="A26" s="2">
        <f>'creep_res-40'!A26</f>
        <v>100000000</v>
      </c>
      <c r="B26" s="3">
        <f>'creep_res-40'!O26</f>
        <v>-9.1970068571428578E-4</v>
      </c>
      <c r="C26" s="2">
        <f>IF('Modell einstellen'!$B$2="Ja",creep_res0!O26,creep_res0!C26)</f>
        <v>-1.3975460000000002E-3</v>
      </c>
      <c r="D26" s="2">
        <f>IF('Modell einstellen'!$B$2="Ja",creep_res25!O26,creep_res25!C26)</f>
        <v>-1.6873612000000001E-3</v>
      </c>
      <c r="E26" s="2">
        <f>IF('Modell einstellen'!$B$2="Ja",creep_res50!O26,creep_res50!C26)</f>
        <v>-2.0538577714285717E-3</v>
      </c>
      <c r="F26" s="2">
        <f>IF('Modell einstellen'!$B$2="Ja",creep_res80!O26,creep_res80!C26)</f>
        <v>-3.2087566285714285E-3</v>
      </c>
      <c r="G26" s="2">
        <f>IF('Modell einstellen'!$B$2="Ja",creep_res125!O26,creep_res125!C26)</f>
        <v>-1.7653537714285714E-2</v>
      </c>
      <c r="H26" s="2">
        <f>IF('Modell einstellen'!$B$2="Ja",creep_res160!O26,creep_res160!C26)</f>
        <v>-2.0991990857142859E-2</v>
      </c>
      <c r="M26" s="9">
        <f t="shared" si="26"/>
        <v>-10</v>
      </c>
      <c r="N26" s="2">
        <f t="shared" si="4"/>
        <v>100000000</v>
      </c>
      <c r="O26" s="2">
        <f t="shared" si="5"/>
        <v>10873.102690179574</v>
      </c>
      <c r="P26" s="2">
        <f t="shared" si="6"/>
        <v>7155.399536043893</v>
      </c>
      <c r="Q26" s="2">
        <f t="shared" si="7"/>
        <v>5926.4133844016324</v>
      </c>
      <c r="R26" s="2">
        <f t="shared" si="27"/>
        <v>4868.8863168185435</v>
      </c>
      <c r="S26" s="2">
        <f t="shared" si="8"/>
        <v>3116.4719414859778</v>
      </c>
      <c r="T26" s="2">
        <f t="shared" si="9"/>
        <v>566.45869863850191</v>
      </c>
      <c r="U26" s="2">
        <f t="shared" si="10"/>
        <v>476.37215869867538</v>
      </c>
      <c r="Z26" s="2">
        <v>100000000</v>
      </c>
      <c r="AA26" s="3">
        <f>IF('Modell einstellen'!$B$2="Ja",'creep_res-40'!P26,'creep_res-40'!L26)</f>
        <v>0.38878007018680982</v>
      </c>
      <c r="AB26" s="2">
        <f>IF('Modell einstellen'!$B$2="Ja",creep_res0!P26,creep_res0!L26)</f>
        <v>0.3923056353269026</v>
      </c>
      <c r="AC26" s="2">
        <f>IF('Modell einstellen'!$B$2="Ja",creep_res25!P26,creep_res25!L26)</f>
        <v>0.38959513486840536</v>
      </c>
      <c r="AD26" s="2">
        <f>IF('Modell einstellen'!$B$2="Ja",creep_res50!P26,creep_res50!L26)</f>
        <v>0.38798098997590896</v>
      </c>
      <c r="AE26" s="2">
        <f>IF('Modell einstellen'!$B$2="Ja",creep_res80!P26,creep_res80!L26)</f>
        <v>0.39115179478242412</v>
      </c>
      <c r="AF26" s="2">
        <f>IF('Modell einstellen'!$B$2="Ja",creep_res125!P26,creep_res125!L26)</f>
        <v>0.40684649820573399</v>
      </c>
      <c r="AG26" s="2">
        <f>IF('Modell einstellen'!$B$2="Ja",creep_res160!P26,creep_res160!L26)</f>
        <v>0.40217553448411786</v>
      </c>
      <c r="AL26" s="2">
        <f t="shared" si="11"/>
        <v>100000000</v>
      </c>
      <c r="AM26" s="2">
        <f t="shared" si="12"/>
        <v>3914.6236771373719</v>
      </c>
      <c r="AN26" s="2">
        <f t="shared" si="13"/>
        <v>2569.6224142495339</v>
      </c>
      <c r="AO26" s="2">
        <f t="shared" si="14"/>
        <v>2132.4244867059297</v>
      </c>
      <c r="AP26" s="2">
        <f t="shared" si="15"/>
        <v>1753.9456058771568</v>
      </c>
      <c r="AQ26" s="2">
        <f t="shared" si="16"/>
        <v>1120.1049206759617</v>
      </c>
      <c r="AR26" s="2">
        <f t="shared" si="17"/>
        <v>201.32214117210117</v>
      </c>
      <c r="AS26" s="2">
        <f t="shared" si="18"/>
        <v>169.86894542912563</v>
      </c>
      <c r="AX26" s="2">
        <f t="shared" si="28"/>
        <v>100000000</v>
      </c>
      <c r="AY26" s="37">
        <f t="shared" si="19"/>
        <v>16293.696505117547</v>
      </c>
      <c r="AZ26" s="37">
        <f t="shared" si="20"/>
        <v>11073.621103208552</v>
      </c>
      <c r="BA26" s="37">
        <f t="shared" si="21"/>
        <v>8946.4858535865169</v>
      </c>
      <c r="BB26" s="37">
        <f t="shared" si="22"/>
        <v>7244.1369784340341</v>
      </c>
      <c r="BC26" s="37">
        <f t="shared" si="23"/>
        <v>4771.8930156855977</v>
      </c>
      <c r="BD26" s="37">
        <f t="shared" si="24"/>
        <v>1013.4861415615435</v>
      </c>
      <c r="BE26" s="37">
        <f t="shared" si="25"/>
        <v>811.61046333774709</v>
      </c>
    </row>
    <row r="27" spans="1:57" x14ac:dyDescent="0.25">
      <c r="A27" s="2">
        <f>'creep_res-40'!A27</f>
        <v>1000000000</v>
      </c>
      <c r="B27" s="3">
        <f>'creep_res-40'!O27</f>
        <v>-1.0495565142857144E-3</v>
      </c>
      <c r="C27" s="2">
        <f>IF('Modell einstellen'!$B$2="Ja",creep_res0!O27,creep_res0!C27)</f>
        <v>-1.5444489142857143E-3</v>
      </c>
      <c r="D27" s="2">
        <f>IF('Modell einstellen'!$B$2="Ja",creep_res25!O27,creep_res25!C27)</f>
        <v>-1.8756650285714287E-3</v>
      </c>
      <c r="E27" s="2">
        <f>IF('Modell einstellen'!$B$2="Ja",creep_res50!O27,creep_res50!C27)</f>
        <v>-2.3467463428571431E-3</v>
      </c>
      <c r="F27" s="2">
        <f>IF('Modell einstellen'!$B$2="Ja",creep_res80!O27,creep_res80!C27)</f>
        <v>-4.2453798857142863E-3</v>
      </c>
      <c r="G27" s="2">
        <f>IF('Modell einstellen'!$B$2="Ja",creep_res125!O27,creep_res125!C27)</f>
        <v>-1.9022550285714285E-2</v>
      </c>
      <c r="H27" s="2">
        <f>IF('Modell einstellen'!$B$2="Ja",creep_res160!O27,creep_res160!C27)</f>
        <v>-2.1482561714285715E-2</v>
      </c>
      <c r="M27" s="9">
        <f t="shared" si="26"/>
        <v>-10</v>
      </c>
      <c r="N27" s="2">
        <f t="shared" si="4"/>
        <v>1000000000</v>
      </c>
      <c r="O27" s="2">
        <f t="shared" si="5"/>
        <v>9527.8337696808976</v>
      </c>
      <c r="P27" s="2">
        <f t="shared" si="6"/>
        <v>6474.8014048913092</v>
      </c>
      <c r="Q27" s="2">
        <f t="shared" si="7"/>
        <v>5331.4423671994064</v>
      </c>
      <c r="R27" s="2">
        <f t="shared" si="27"/>
        <v>4261.2189555284822</v>
      </c>
      <c r="S27" s="2">
        <f t="shared" si="8"/>
        <v>2355.5018088369488</v>
      </c>
      <c r="T27" s="2">
        <f t="shared" si="9"/>
        <v>525.69186832482103</v>
      </c>
      <c r="U27" s="2">
        <f t="shared" si="10"/>
        <v>465.4938332307961</v>
      </c>
      <c r="Z27" s="2">
        <v>1000000000</v>
      </c>
      <c r="AA27" s="3">
        <f>IF('Modell einstellen'!$B$2="Ja",'creep_res-40'!P27,'creep_res-40'!L27)</f>
        <v>0.38517528954678487</v>
      </c>
      <c r="AB27" s="2">
        <f>IF('Modell einstellen'!$B$2="Ja",creep_res0!P27,creep_res0!L27)</f>
        <v>0.38525072058989801</v>
      </c>
      <c r="AC27" s="2">
        <f>IF('Modell einstellen'!$B$2="Ja",creep_res25!P27,creep_res25!L27)</f>
        <v>0.38323169370053223</v>
      </c>
      <c r="AD27" s="2">
        <f>IF('Modell einstellen'!$B$2="Ja",creep_res50!P27,creep_res50!L27)</f>
        <v>0.38236073526821734</v>
      </c>
      <c r="AE27" s="2">
        <f>IF('Modell einstellen'!$B$2="Ja",creep_res80!P27,creep_res80!L27)</f>
        <v>0.38673491484147576</v>
      </c>
      <c r="AF27" s="2">
        <f>IF('Modell einstellen'!$B$2="Ja",creep_res125!P27,creep_res125!L27)</f>
        <v>0.39792561387968323</v>
      </c>
      <c r="AG27" s="2">
        <f>IF('Modell einstellen'!$B$2="Ja",creep_res160!P27,creep_res160!L27)</f>
        <v>0.39501639110185399</v>
      </c>
      <c r="AL27" s="2">
        <f t="shared" si="11"/>
        <v>1000000000</v>
      </c>
      <c r="AM27" s="2">
        <f t="shared" si="12"/>
        <v>3439.215903424868</v>
      </c>
      <c r="AN27" s="2">
        <f t="shared" si="13"/>
        <v>2337.0503651981739</v>
      </c>
      <c r="AO27" s="2">
        <f t="shared" si="14"/>
        <v>1927.1689592855932</v>
      </c>
      <c r="AP27" s="2">
        <f t="shared" si="15"/>
        <v>1541.283272452644</v>
      </c>
      <c r="AQ27" s="2">
        <f t="shared" si="16"/>
        <v>849.29779427462438</v>
      </c>
      <c r="AR27" s="2">
        <f t="shared" si="17"/>
        <v>188.02569432355588</v>
      </c>
      <c r="AS27" s="2">
        <f t="shared" si="18"/>
        <v>166.84170745231376</v>
      </c>
      <c r="AX27" s="2">
        <f t="shared" si="28"/>
        <v>1000000000</v>
      </c>
      <c r="AY27" s="37">
        <f t="shared" si="19"/>
        <v>13829.534502452147</v>
      </c>
      <c r="AZ27" s="37">
        <f t="shared" si="20"/>
        <v>9404.2731512515529</v>
      </c>
      <c r="BA27" s="37">
        <f t="shared" si="21"/>
        <v>7609.7166776377044</v>
      </c>
      <c r="BB27" s="37">
        <f t="shared" si="22"/>
        <v>6037.1268119875549</v>
      </c>
      <c r="BC27" s="37">
        <f t="shared" si="23"/>
        <v>3466.060474476345</v>
      </c>
      <c r="BD27" s="37">
        <f t="shared" si="24"/>
        <v>858.34766896561644</v>
      </c>
      <c r="BE27" s="37">
        <f t="shared" si="25"/>
        <v>738.99446163767857</v>
      </c>
    </row>
    <row r="28" spans="1:57" x14ac:dyDescent="0.25">
      <c r="A28" s="2">
        <f>'creep_res-40'!A28</f>
        <v>10000000000</v>
      </c>
      <c r="B28" s="3">
        <f>'creep_res-40'!O28</f>
        <v>-1.1750555999999999E-3</v>
      </c>
      <c r="C28" s="2">
        <f>IF('Modell einstellen'!$B$2="Ja",creep_res0!O28,creep_res0!C28)</f>
        <v>-1.6846166285714287E-3</v>
      </c>
      <c r="D28" s="2">
        <f>IF('Modell einstellen'!$B$2="Ja",creep_res25!O28,creep_res25!C28)</f>
        <v>-2.0839046857142858E-3</v>
      </c>
      <c r="E28" s="2">
        <f>IF('Modell einstellen'!$B$2="Ja",creep_res50!O28,creep_res50!C28)</f>
        <v>-2.7357348571428572E-3</v>
      </c>
      <c r="F28" s="2">
        <f>IF('Modell einstellen'!$B$2="Ja",creep_res80!O28,creep_res80!C28)</f>
        <v>-5.9978668571428568E-3</v>
      </c>
      <c r="G28" s="2">
        <f>IF('Modell einstellen'!$B$2="Ja",creep_res125!O28,creep_res125!C28)</f>
        <v>-1.9828010857142857E-2</v>
      </c>
      <c r="H28" s="2">
        <f>IF('Modell einstellen'!$B$2="Ja",creep_res160!O28,creep_res160!C28)</f>
        <v>-2.1599005142857144E-2</v>
      </c>
      <c r="M28" s="9">
        <f t="shared" si="26"/>
        <v>-10</v>
      </c>
      <c r="N28" s="2">
        <f t="shared" si="4"/>
        <v>10000000000</v>
      </c>
      <c r="O28" s="2">
        <f t="shared" si="5"/>
        <v>8510.2356007664657</v>
      </c>
      <c r="P28" s="2">
        <f t="shared" si="6"/>
        <v>5936.0686760406115</v>
      </c>
      <c r="Q28" s="2">
        <f t="shared" si="7"/>
        <v>4798.683965035746</v>
      </c>
      <c r="R28" s="2">
        <f t="shared" si="27"/>
        <v>3655.3249939008292</v>
      </c>
      <c r="S28" s="2">
        <f t="shared" si="8"/>
        <v>1667.2594170860937</v>
      </c>
      <c r="T28" s="2">
        <f t="shared" si="9"/>
        <v>504.33702462885191</v>
      </c>
      <c r="U28" s="2">
        <f t="shared" si="10"/>
        <v>462.98428718634898</v>
      </c>
      <c r="Z28" s="2">
        <v>10000000000</v>
      </c>
      <c r="AA28" s="3">
        <f>IF('Modell einstellen'!$B$2="Ja",'creep_res-40'!P28,'creep_res-40'!L28)</f>
        <v>0.38199118893972828</v>
      </c>
      <c r="AB28" s="2">
        <f>IF('Modell einstellen'!$B$2="Ja",creep_res0!P28,creep_res0!L28)</f>
        <v>0.37967855068746292</v>
      </c>
      <c r="AC28" s="2">
        <f>IF('Modell einstellen'!$B$2="Ja",creep_res25!P28,creep_res25!L28)</f>
        <v>0.37847278016444513</v>
      </c>
      <c r="AD28" s="2">
        <f>IF('Modell einstellen'!$B$2="Ja",creep_res50!P28,creep_res50!L28)</f>
        <v>0.37860628097626842</v>
      </c>
      <c r="AE28" s="2">
        <f>IF('Modell einstellen'!$B$2="Ja",creep_res80!P28,creep_res80!L28)</f>
        <v>0.38471964365997935</v>
      </c>
      <c r="AF28" s="2">
        <f>IF('Modell einstellen'!$B$2="Ja",creep_res125!P28,creep_res125!L28)</f>
        <v>0.39207194877757212</v>
      </c>
      <c r="AG28" s="2">
        <f>IF('Modell einstellen'!$B$2="Ja",creep_res160!P28,creep_res160!L28)</f>
        <v>0.39347828163196613</v>
      </c>
      <c r="AL28" s="2">
        <f t="shared" si="11"/>
        <v>10000000000</v>
      </c>
      <c r="AM28" s="2">
        <f t="shared" si="12"/>
        <v>3078.9760704970804</v>
      </c>
      <c r="AN28" s="2">
        <f t="shared" si="13"/>
        <v>2151.250620328482</v>
      </c>
      <c r="AO28" s="2">
        <f t="shared" si="14"/>
        <v>1740.579877269425</v>
      </c>
      <c r="AP28" s="2">
        <f t="shared" si="15"/>
        <v>1325.7320252858156</v>
      </c>
      <c r="AQ28" s="2">
        <f t="shared" si="16"/>
        <v>602.02056954985051</v>
      </c>
      <c r="AR28" s="2">
        <f t="shared" si="17"/>
        <v>181.14617749166206</v>
      </c>
      <c r="AS28" s="2">
        <f t="shared" si="18"/>
        <v>166.12540478353452</v>
      </c>
      <c r="AX28" s="2">
        <f t="shared" si="28"/>
        <v>10000000000</v>
      </c>
      <c r="AY28" s="37">
        <f t="shared" si="19"/>
        <v>12019.209306357014</v>
      </c>
      <c r="AZ28" s="37">
        <f t="shared" si="20"/>
        <v>8222.5138160550359</v>
      </c>
      <c r="BA28" s="37">
        <f t="shared" si="21"/>
        <v>6581.082509099756</v>
      </c>
      <c r="BB28" s="37">
        <f t="shared" si="22"/>
        <v>5018.5531608740539</v>
      </c>
      <c r="BC28" s="37">
        <f t="shared" si="23"/>
        <v>2410.4416254123034</v>
      </c>
      <c r="BD28" s="37">
        <f t="shared" si="24"/>
        <v>778.81671928129947</v>
      </c>
      <c r="BE28" s="37">
        <f t="shared" si="25"/>
        <v>724.39732522703719</v>
      </c>
    </row>
    <row r="29" spans="1:57" x14ac:dyDescent="0.25">
      <c r="A29" s="2">
        <f>'creep_res-40'!A29</f>
        <v>100000000000</v>
      </c>
      <c r="B29" s="3">
        <f>'creep_res-40'!O29</f>
        <v>-1.2959366857142858E-3</v>
      </c>
      <c r="C29" s="2">
        <f>IF('Modell einstellen'!$B$2="Ja",creep_res0!O29,creep_res0!C29)</f>
        <v>-1.8263416571428573E-3</v>
      </c>
      <c r="D29" s="2">
        <f>IF('Modell einstellen'!$B$2="Ja",creep_res25!O29,creep_res25!C29)</f>
        <v>-2.3419146285714289E-3</v>
      </c>
      <c r="E29" s="2">
        <f>IF('Modell einstellen'!$B$2="Ja",creep_res50!O29,creep_res50!C29)</f>
        <v>-3.3312539428571432E-3</v>
      </c>
      <c r="F29" s="2">
        <f>IF('Modell einstellen'!$B$2="Ja",creep_res80!O29,creep_res80!C29)</f>
        <v>-8.7140394285714282E-3</v>
      </c>
      <c r="G29" s="2">
        <f>IF('Modell einstellen'!$B$2="Ja",creep_res125!O29,creep_res125!C29)</f>
        <v>-2.0948164000000002E-2</v>
      </c>
      <c r="H29" s="2">
        <f>IF('Modell einstellen'!$B$2="Ja",creep_res160!O29,creep_res160!C29)</f>
        <v>-2.1741901142857144E-2</v>
      </c>
      <c r="M29" s="9">
        <f t="shared" si="26"/>
        <v>-10</v>
      </c>
      <c r="N29" s="2">
        <f t="shared" si="4"/>
        <v>100000000000</v>
      </c>
      <c r="O29" s="2">
        <f t="shared" si="5"/>
        <v>7716.426358042535</v>
      </c>
      <c r="P29" s="2">
        <f t="shared" si="6"/>
        <v>5475.4267696242969</v>
      </c>
      <c r="Q29" s="2">
        <f t="shared" si="7"/>
        <v>4270.0104768977053</v>
      </c>
      <c r="R29" s="2">
        <f t="shared" si="27"/>
        <v>3001.8726196007801</v>
      </c>
      <c r="S29" s="2">
        <f t="shared" si="8"/>
        <v>1147.5734166650875</v>
      </c>
      <c r="T29" s="2">
        <f t="shared" si="9"/>
        <v>477.36880425415796</v>
      </c>
      <c r="U29" s="2">
        <f t="shared" si="10"/>
        <v>459.94137928850324</v>
      </c>
      <c r="Z29" s="2">
        <v>100000000000</v>
      </c>
      <c r="AA29" s="3">
        <f>IF('Modell einstellen'!$B$2="Ja",'creep_res-40'!P29,'creep_res-40'!L29)</f>
        <v>0.37863557002696607</v>
      </c>
      <c r="AB29" s="2">
        <f>IF('Modell einstellen'!$B$2="Ja",creep_res0!P29,creep_res0!L29)</f>
        <v>0.37554569276491812</v>
      </c>
      <c r="AC29" s="2">
        <f>IF('Modell einstellen'!$B$2="Ja",creep_res25!P29,creep_res25!L29)</f>
        <v>0.37530017563651091</v>
      </c>
      <c r="AD29" s="2">
        <f>IF('Modell einstellen'!$B$2="Ja",creep_res50!P29,creep_res50!L29)</f>
        <v>0.37656615413665595</v>
      </c>
      <c r="AE29" s="2">
        <f>IF('Modell einstellen'!$B$2="Ja",creep_res80!P29,creep_res80!L29)</f>
        <v>0.38411431824728953</v>
      </c>
      <c r="AF29" s="2">
        <f>IF('Modell einstellen'!$B$2="Ja",creep_res125!P29,creep_res125!L29)</f>
        <v>0.38985856435232907</v>
      </c>
      <c r="AG29" s="2">
        <f>IF('Modell einstellen'!$B$2="Ja",creep_res160!P29,creep_res160!L29)</f>
        <v>0.39158578509903996</v>
      </c>
      <c r="AL29" s="2">
        <f t="shared" si="11"/>
        <v>100000000000</v>
      </c>
      <c r="AM29" s="2">
        <f t="shared" si="12"/>
        <v>2798.5736498484516</v>
      </c>
      <c r="AN29" s="2">
        <f t="shared" si="13"/>
        <v>1990.2744047049448</v>
      </c>
      <c r="AO29" s="2">
        <f t="shared" si="14"/>
        <v>1552.3921804639763</v>
      </c>
      <c r="AP29" s="2">
        <f t="shared" si="15"/>
        <v>1090.3481138846798</v>
      </c>
      <c r="AQ29" s="2">
        <f t="shared" si="16"/>
        <v>414.55153000594095</v>
      </c>
      <c r="AR29" s="2">
        <f t="shared" si="17"/>
        <v>171.73287142228415</v>
      </c>
      <c r="AS29" s="2">
        <f t="shared" si="18"/>
        <v>165.25800429032441</v>
      </c>
      <c r="AX29" s="2">
        <f t="shared" si="28"/>
        <v>100000000000</v>
      </c>
      <c r="AY29" s="37">
        <f t="shared" si="19"/>
        <v>10596.770898685134</v>
      </c>
      <c r="AZ29" s="37">
        <f t="shared" si="20"/>
        <v>7332.5797117407874</v>
      </c>
      <c r="BA29" s="37">
        <f t="shared" si="21"/>
        <v>5707.0522468566833</v>
      </c>
      <c r="BB29" s="37">
        <f t="shared" si="22"/>
        <v>4053.281332744843</v>
      </c>
      <c r="BC29" s="37">
        <f t="shared" si="23"/>
        <v>1650.4388913117341</v>
      </c>
      <c r="BD29" s="37">
        <f t="shared" si="24"/>
        <v>722.35727551437105</v>
      </c>
      <c r="BE29" s="37">
        <f t="shared" si="25"/>
        <v>707.07422101532052</v>
      </c>
    </row>
    <row r="30" spans="1:57" x14ac:dyDescent="0.25">
      <c r="A30" s="2">
        <f>'creep_res-40'!A30</f>
        <v>1000000000000</v>
      </c>
      <c r="B30" s="3">
        <f>'creep_res-40'!O30</f>
        <v>-1.4036457142857144E-3</v>
      </c>
      <c r="C30" s="2">
        <f>IF('Modell einstellen'!$B$2="Ja",creep_res0!O30,creep_res0!C30)</f>
        <v>-1.9920576000000004E-3</v>
      </c>
      <c r="D30" s="2">
        <f>IF('Modell einstellen'!$B$2="Ja",creep_res25!O30,creep_res25!C30)</f>
        <v>-2.686055542857143E-3</v>
      </c>
      <c r="E30" s="2">
        <f>IF('Modell einstellen'!$B$2="Ja",creep_res50!O30,creep_res50!C30)</f>
        <v>-4.3332200000000005E-3</v>
      </c>
      <c r="F30" s="2">
        <f>IF('Modell einstellen'!$B$2="Ja",creep_res80!O30,creep_res80!C30)</f>
        <v>-1.2172076571428572E-2</v>
      </c>
      <c r="G30" s="2">
        <f>IF('Modell einstellen'!$B$2="Ja",creep_res125!O30,creep_res125!C30)</f>
        <v>-2.1848025714285717E-2</v>
      </c>
      <c r="H30" s="2">
        <f>IF('Modell einstellen'!$B$2="Ja",creep_res160!O30,creep_res160!C30)</f>
        <v>-2.2120389142857143E-2</v>
      </c>
      <c r="M30" s="9">
        <f t="shared" si="26"/>
        <v>-10</v>
      </c>
      <c r="N30" s="2">
        <f t="shared" si="4"/>
        <v>1000000000000</v>
      </c>
      <c r="O30" s="2">
        <f t="shared" si="5"/>
        <v>7124.3048713961189</v>
      </c>
      <c r="P30" s="2">
        <f t="shared" si="6"/>
        <v>5019.9351665333361</v>
      </c>
      <c r="Q30" s="2">
        <f t="shared" si="7"/>
        <v>3722.9312054221532</v>
      </c>
      <c r="R30" s="2">
        <f t="shared" si="27"/>
        <v>2307.7526643004508</v>
      </c>
      <c r="S30" s="2">
        <f t="shared" si="8"/>
        <v>821.55250513892827</v>
      </c>
      <c r="T30" s="2">
        <f t="shared" si="9"/>
        <v>457.70726063643014</v>
      </c>
      <c r="U30" s="2">
        <f t="shared" si="10"/>
        <v>452.07161300003997</v>
      </c>
      <c r="Z30" s="2">
        <v>1000000000000</v>
      </c>
      <c r="AA30" s="3">
        <f>IF('Modell einstellen'!$B$2="Ja",'creep_res-40'!P30,'creep_res-40'!L30)</f>
        <v>0.37508754752929113</v>
      </c>
      <c r="AB30" s="2">
        <f>IF('Modell einstellen'!$B$2="Ja",creep_res0!P30,creep_res0!L30)</f>
        <v>0.37281913936625122</v>
      </c>
      <c r="AC30" s="2">
        <f>IF('Modell einstellen'!$B$2="Ja",creep_res25!P30,creep_res25!L30)</f>
        <v>0.37340344754492044</v>
      </c>
      <c r="AD30" s="2">
        <f>IF('Modell einstellen'!$B$2="Ja",creep_res50!P30,creep_res50!L30)</f>
        <v>0.37588547480692353</v>
      </c>
      <c r="AE30" s="2">
        <f>IF('Modell einstellen'!$B$2="Ja",creep_res80!P30,creep_res80!L30)</f>
        <v>0.38418375754079576</v>
      </c>
      <c r="AF30" s="2">
        <f>IF('Modell einstellen'!$B$2="Ja",creep_res125!P30,creep_res125!L30)</f>
        <v>0.38798727678434231</v>
      </c>
      <c r="AG30" s="2">
        <f>IF('Modell einstellen'!$B$2="Ja",creep_res160!P30,creep_res160!L30)</f>
        <v>0.38693297594015463</v>
      </c>
      <c r="AL30" s="2">
        <f t="shared" si="11"/>
        <v>1000000000000</v>
      </c>
      <c r="AM30" s="2">
        <f t="shared" si="12"/>
        <v>2590.4913778751102</v>
      </c>
      <c r="AN30" s="2">
        <f t="shared" si="13"/>
        <v>1828.3308494849296</v>
      </c>
      <c r="AO30" s="2">
        <f t="shared" si="14"/>
        <v>1355.3669215252155</v>
      </c>
      <c r="AP30" s="2">
        <f t="shared" si="15"/>
        <v>838.64271647474698</v>
      </c>
      <c r="AQ30" s="2">
        <f t="shared" si="16"/>
        <v>296.76424848335745</v>
      </c>
      <c r="AR30" s="2">
        <f t="shared" si="17"/>
        <v>164.88164851800227</v>
      </c>
      <c r="AS30" s="2">
        <f t="shared" si="18"/>
        <v>162.97529182821398</v>
      </c>
      <c r="AX30" s="2">
        <f t="shared" si="28"/>
        <v>1000000000000</v>
      </c>
      <c r="AY30" s="37">
        <f t="shared" si="19"/>
        <v>9505.7307878181327</v>
      </c>
      <c r="AZ30" s="37">
        <f t="shared" si="20"/>
        <v>6578.47302589234</v>
      </c>
      <c r="BA30" s="37">
        <f t="shared" si="21"/>
        <v>4901.3067275840267</v>
      </c>
      <c r="BB30" s="37">
        <f t="shared" si="22"/>
        <v>3098.9559316424861</v>
      </c>
      <c r="BC30" s="37">
        <f t="shared" si="23"/>
        <v>1182.2643751491598</v>
      </c>
      <c r="BD30" s="37">
        <f t="shared" si="24"/>
        <v>681.03462936558253</v>
      </c>
      <c r="BE30" s="37">
        <f t="shared" si="25"/>
        <v>666.37704016566681</v>
      </c>
    </row>
    <row r="31" spans="1:57" x14ac:dyDescent="0.25">
      <c r="A31" s="2">
        <f>'creep_res-40'!A31</f>
        <v>10000000000000</v>
      </c>
      <c r="B31" s="3">
        <f>'creep_res-40'!O31</f>
        <v>-1.5006965714285713E-3</v>
      </c>
      <c r="C31" s="2">
        <f>IF('Modell einstellen'!$B$2="Ja",creep_res0!O31,creep_res0!C31)</f>
        <v>-2.1900582857142855E-3</v>
      </c>
      <c r="D31" s="2">
        <f>IF('Modell einstellen'!$B$2="Ja",creep_res25!O31,creep_res25!C31)</f>
        <v>-3.2099524E-3</v>
      </c>
      <c r="E31" s="2">
        <f>IF('Modell einstellen'!$B$2="Ja",creep_res50!O31,creep_res50!C31)</f>
        <v>-6.0493674285714292E-3</v>
      </c>
      <c r="F31" s="2">
        <f>IF('Modell einstellen'!$B$2="Ja",creep_res80!O31,creep_res80!C31)</f>
        <v>-1.5275055428571429E-2</v>
      </c>
      <c r="G31" s="2">
        <f>IF('Modell einstellen'!$B$2="Ja",creep_res125!O31,creep_res125!C31)</f>
        <v>-2.1887568571428574E-2</v>
      </c>
      <c r="H31" s="2">
        <f>IF('Modell einstellen'!$B$2="Ja",creep_res160!O31,creep_res160!C31)</f>
        <v>-2.2129644E-2</v>
      </c>
      <c r="M31" s="9">
        <f t="shared" si="26"/>
        <v>-10</v>
      </c>
      <c r="N31" s="2">
        <f t="shared" si="4"/>
        <v>10000000000000</v>
      </c>
      <c r="O31" s="2">
        <f t="shared" si="5"/>
        <v>6663.5722306479402</v>
      </c>
      <c r="P31" s="2">
        <f t="shared" si="6"/>
        <v>4566.0885215840317</v>
      </c>
      <c r="Q31" s="2">
        <f t="shared" si="7"/>
        <v>3115.3109933966621</v>
      </c>
      <c r="R31" s="2">
        <f t="shared" si="27"/>
        <v>1653.0654019740243</v>
      </c>
      <c r="S31" s="2">
        <f t="shared" si="8"/>
        <v>654.66210887165539</v>
      </c>
      <c r="T31" s="2">
        <f t="shared" si="9"/>
        <v>456.88035047683292</v>
      </c>
      <c r="U31" s="2">
        <f t="shared" si="10"/>
        <v>451.88255174823416</v>
      </c>
      <c r="Z31" s="2">
        <v>10000000000000</v>
      </c>
      <c r="AA31" s="3">
        <f>IF('Modell einstellen'!$B$2="Ja",'creep_res-40'!P31,'creep_res-40'!L31)</f>
        <v>0.37211206681544845</v>
      </c>
      <c r="AB31" s="2">
        <f>IF('Modell einstellen'!$B$2="Ja",creep_res0!P31,creep_res0!L31)</f>
        <v>0.37105240773761544</v>
      </c>
      <c r="AC31" s="2">
        <f>IF('Modell einstellen'!$B$2="Ja",creep_res25!P31,creep_res25!L31)</f>
        <v>0.37248523863291111</v>
      </c>
      <c r="AD31" s="2">
        <f>IF('Modell einstellen'!$B$2="Ja",creep_res50!P31,creep_res50!L31)</f>
        <v>0.37630053975891509</v>
      </c>
      <c r="AE31" s="2">
        <f>IF('Modell einstellen'!$B$2="Ja",creep_res80!P31,creep_res80!L31)</f>
        <v>0.38404057977325279</v>
      </c>
      <c r="AF31" s="2">
        <f>IF('Modell einstellen'!$B$2="Ja",creep_res125!P31,creep_res125!L31)</f>
        <v>0.38868171613136165</v>
      </c>
      <c r="AG31" s="2">
        <f>IF('Modell einstellen'!$B$2="Ja",creep_res160!P31,creep_res160!L31)</f>
        <v>0.38689559191669393</v>
      </c>
      <c r="AL31" s="2">
        <f t="shared" si="11"/>
        <v>10000000000000</v>
      </c>
      <c r="AM31" s="2">
        <f t="shared" si="12"/>
        <v>2428.2171958860131</v>
      </c>
      <c r="AN31" s="2">
        <f t="shared" si="13"/>
        <v>1665.1765081389453</v>
      </c>
      <c r="AO31" s="2">
        <f t="shared" si="14"/>
        <v>1134.9160288600715</v>
      </c>
      <c r="AP31" s="2">
        <f t="shared" si="15"/>
        <v>600.54666630574377</v>
      </c>
      <c r="AQ31" s="2">
        <f t="shared" si="16"/>
        <v>236.5039430342818</v>
      </c>
      <c r="AR31" s="2">
        <f t="shared" si="17"/>
        <v>164.50146393142782</v>
      </c>
      <c r="AS31" s="2">
        <f t="shared" si="18"/>
        <v>162.91152498499585</v>
      </c>
      <c r="AX31" s="2">
        <f t="shared" si="28"/>
        <v>10000000000000</v>
      </c>
      <c r="AY31" s="37">
        <f t="shared" si="19"/>
        <v>8684.1294883700029</v>
      </c>
      <c r="AZ31" s="37">
        <f t="shared" si="20"/>
        <v>5901.7368238160971</v>
      </c>
      <c r="BA31" s="37">
        <f t="shared" si="21"/>
        <v>4071.8305342290523</v>
      </c>
      <c r="BB31" s="37">
        <f t="shared" si="22"/>
        <v>2227.2603275070496</v>
      </c>
      <c r="BC31" s="37">
        <f t="shared" si="23"/>
        <v>940.93564166891053</v>
      </c>
      <c r="BD31" s="37">
        <f t="shared" si="24"/>
        <v>684.04508615430552</v>
      </c>
      <c r="BE31" s="37">
        <f t="shared" si="25"/>
        <v>665.87819078840846</v>
      </c>
    </row>
    <row r="32" spans="1:57" x14ac:dyDescent="0.25">
      <c r="A32" s="2">
        <f>'creep_res-40'!A32</f>
        <v>100000000000000</v>
      </c>
      <c r="B32" s="3">
        <f>'creep_res-40'!O32</f>
        <v>-1.597299942857143E-3</v>
      </c>
      <c r="C32" s="2">
        <f>IF('Modell einstellen'!$B$2="Ja",creep_res0!O32,creep_res0!C32)</f>
        <v>-2.4504237714285718E-3</v>
      </c>
      <c r="D32" s="2">
        <f>IF('Modell einstellen'!$B$2="Ja",creep_res25!O32,creep_res25!C32)</f>
        <v>-4.0818608571428572E-3</v>
      </c>
      <c r="E32" s="2">
        <f>IF('Modell einstellen'!$B$2="Ja",creep_res50!O32,creep_res50!C32)</f>
        <v>-8.7255600000000003E-3</v>
      </c>
      <c r="F32" s="2">
        <f>IF('Modell einstellen'!$B$2="Ja",creep_res80!O32,creep_res80!C32)</f>
        <v>-1.7486284571428572E-2</v>
      </c>
      <c r="G32" s="2">
        <f>IF('Modell einstellen'!$B$2="Ja",creep_res125!O32,creep_res125!C32)</f>
        <v>-2.213290285714286E-2</v>
      </c>
      <c r="H32" s="2">
        <f>IF('Modell einstellen'!$B$2="Ja",creep_res160!O32,creep_res160!C32)</f>
        <v>-2.2296514285714285E-2</v>
      </c>
      <c r="M32" s="9">
        <f t="shared" si="26"/>
        <v>-10</v>
      </c>
      <c r="N32" s="2">
        <f t="shared" si="4"/>
        <v>100000000000000</v>
      </c>
      <c r="O32" s="2">
        <f t="shared" si="5"/>
        <v>6260.5649269057576</v>
      </c>
      <c r="P32" s="2">
        <f t="shared" si="6"/>
        <v>4080.9267836028635</v>
      </c>
      <c r="Q32" s="2">
        <f t="shared" si="7"/>
        <v>2449.8630281580959</v>
      </c>
      <c r="R32" s="2">
        <f t="shared" si="27"/>
        <v>1146.0582472643589</v>
      </c>
      <c r="S32" s="2">
        <f t="shared" si="8"/>
        <v>571.87677343072266</v>
      </c>
      <c r="T32" s="2">
        <f t="shared" si="9"/>
        <v>451.81601638723777</v>
      </c>
      <c r="U32" s="2">
        <f t="shared" si="10"/>
        <v>448.50059842794133</v>
      </c>
      <c r="Z32" s="2">
        <v>100000000000000</v>
      </c>
      <c r="AA32" s="3">
        <f>IF('Modell einstellen'!$B$2="Ja",'creep_res-40'!P32,'creep_res-40'!L32)</f>
        <v>0.36998525619072381</v>
      </c>
      <c r="AB32" s="2">
        <f>IF('Modell einstellen'!$B$2="Ja",creep_res0!P32,creep_res0!L32)</f>
        <v>0.37005321715082468</v>
      </c>
      <c r="AC32" s="2">
        <f>IF('Modell einstellen'!$B$2="Ja",creep_res25!P32,creep_res25!L32)</f>
        <v>0.37247702080976652</v>
      </c>
      <c r="AD32" s="2">
        <f>IF('Modell einstellen'!$B$2="Ja",creep_res50!P32,creep_res50!L32)</f>
        <v>0.37755150222040601</v>
      </c>
      <c r="AE32" s="2">
        <f>IF('Modell einstellen'!$B$2="Ja",creep_res80!P32,creep_res80!L32)</f>
        <v>0.38369895648501395</v>
      </c>
      <c r="AF32" s="2">
        <f>IF('Modell einstellen'!$B$2="Ja",creep_res125!P32,creep_res125!L32)</f>
        <v>0.38587682514307076</v>
      </c>
      <c r="AG32" s="2">
        <f>IF('Modell einstellen'!$B$2="Ja",creep_res160!P32,creep_res160!L32)</f>
        <v>0.38486946069725192</v>
      </c>
      <c r="AL32" s="2">
        <f t="shared" si="11"/>
        <v>100000000000000</v>
      </c>
      <c r="AM32" s="2">
        <f t="shared" si="12"/>
        <v>2284.9023004500814</v>
      </c>
      <c r="AN32" s="2">
        <f t="shared" si="13"/>
        <v>1489.3314845424752</v>
      </c>
      <c r="AO32" s="2">
        <f t="shared" si="14"/>
        <v>892.49692017162795</v>
      </c>
      <c r="AP32" s="2">
        <f t="shared" si="15"/>
        <v>415.97655166325364</v>
      </c>
      <c r="AQ32" s="2">
        <f t="shared" si="16"/>
        <v>206.64782998877558</v>
      </c>
      <c r="AR32" s="2">
        <f t="shared" si="17"/>
        <v>163.00727748318997</v>
      </c>
      <c r="AS32" s="2">
        <f t="shared" si="18"/>
        <v>161.92883558935978</v>
      </c>
      <c r="AX32" s="2">
        <f t="shared" si="28"/>
        <v>100000000000000</v>
      </c>
      <c r="AY32" s="37">
        <f t="shared" si="19"/>
        <v>8025.4550926029715</v>
      </c>
      <c r="AZ32" s="37">
        <f t="shared" si="20"/>
        <v>5234.1000602011209</v>
      </c>
      <c r="BA32" s="37">
        <f t="shared" si="21"/>
        <v>3201.8582633951432</v>
      </c>
      <c r="BB32" s="37">
        <f t="shared" si="22"/>
        <v>1559.9187523003231</v>
      </c>
      <c r="BC32" s="37">
        <f t="shared" si="23"/>
        <v>819.53517089041009</v>
      </c>
      <c r="BD32" s="37">
        <f t="shared" si="24"/>
        <v>659.83679031254007</v>
      </c>
      <c r="BE32" s="37">
        <f t="shared" si="25"/>
        <v>649.26387204203775</v>
      </c>
    </row>
    <row r="33" spans="1:60" x14ac:dyDescent="0.25">
      <c r="A33" s="2">
        <f>'creep_res-40'!A33</f>
        <v>1000000000000000</v>
      </c>
      <c r="B33" s="3">
        <f>'creep_res-40'!O33</f>
        <v>-1.6886448000000001E-3</v>
      </c>
      <c r="C33" s="2">
        <f>IF('Modell einstellen'!$B$2="Ja",creep_res0!O33,creep_res0!C33)</f>
        <v>-2.8145985714285717E-3</v>
      </c>
      <c r="D33" s="2">
        <f>IF('Modell einstellen'!$B$2="Ja",creep_res25!O33,creep_res25!C33)</f>
        <v>-5.5902430857142863E-3</v>
      </c>
      <c r="E33" s="2">
        <f>IF('Modell einstellen'!$B$2="Ja",creep_res50!O33,creep_res50!C33)</f>
        <v>-1.2177281142857144E-2</v>
      </c>
      <c r="F33" s="2">
        <f>IF('Modell einstellen'!$B$2="Ja",creep_res80!O33,creep_res80!C33)</f>
        <v>-1.8844651428571429E-2</v>
      </c>
      <c r="G33" s="2">
        <f>IF('Modell einstellen'!$B$2="Ja",creep_res125!O33,creep_res125!C33)</f>
        <v>-2.2144656000000002E-2</v>
      </c>
      <c r="H33" s="2">
        <f>IF('Modell einstellen'!$B$2="Ja",creep_res160!O33,creep_res160!C33)</f>
        <v>-2.2364841142857143E-2</v>
      </c>
      <c r="M33" s="9">
        <f>M31</f>
        <v>-10</v>
      </c>
      <c r="N33" s="2">
        <f t="shared" si="4"/>
        <v>1000000000000000</v>
      </c>
      <c r="O33" s="2">
        <f t="shared" si="5"/>
        <v>5921.9085031973564</v>
      </c>
      <c r="P33" s="2">
        <f t="shared" si="6"/>
        <v>3552.9045248269349</v>
      </c>
      <c r="Q33" s="2">
        <f t="shared" si="7"/>
        <v>1788.8309768773254</v>
      </c>
      <c r="R33" s="2">
        <f t="shared" si="27"/>
        <v>821.201373499184</v>
      </c>
      <c r="S33" s="2">
        <f t="shared" si="8"/>
        <v>530.65454874046873</v>
      </c>
      <c r="T33" s="2">
        <f t="shared" si="9"/>
        <v>451.57621775655485</v>
      </c>
      <c r="U33" s="2">
        <f t="shared" si="10"/>
        <v>447.13038362867104</v>
      </c>
      <c r="Z33" s="2">
        <v>1000000000000000</v>
      </c>
      <c r="AA33" s="3">
        <f>IF('Modell einstellen'!$B$2="Ja",'creep_res-40'!P33,'creep_res-40'!L33)</f>
        <v>0.36932124505994396</v>
      </c>
      <c r="AB33" s="2">
        <f>IF('Modell einstellen'!$B$2="Ja",creep_res0!P33,creep_res0!L33)</f>
        <v>0.36958492431552026</v>
      </c>
      <c r="AC33" s="2">
        <f>IF('Modell einstellen'!$B$2="Ja",creep_res25!P33,creep_res25!L33)</f>
        <v>0.37329799121232177</v>
      </c>
      <c r="AD33" s="2">
        <f>IF('Modell einstellen'!$B$2="Ja",creep_res50!P33,creep_res50!L33)</f>
        <v>0.3792783394951591</v>
      </c>
      <c r="AE33" s="2">
        <f>IF('Modell einstellen'!$B$2="Ja",creep_res80!P33,creep_res80!L33)</f>
        <v>0.38330551692727372</v>
      </c>
      <c r="AF33" s="2">
        <f>IF('Modell einstellen'!$B$2="Ja",creep_res125!P33,creep_res125!L33)</f>
        <v>0.38586011128695918</v>
      </c>
      <c r="AG33" s="2">
        <f>IF('Modell einstellen'!$B$2="Ja",creep_res160!P33,creep_res160!L33)</f>
        <v>0.38375611597713882</v>
      </c>
      <c r="AL33" s="2">
        <f t="shared" si="11"/>
        <v>1000000000000000</v>
      </c>
      <c r="AM33" s="2">
        <f t="shared" si="12"/>
        <v>2162.351794570352</v>
      </c>
      <c r="AN33" s="2">
        <f t="shared" si="13"/>
        <v>1297.0734642842888</v>
      </c>
      <c r="AO33" s="2">
        <f t="shared" si="14"/>
        <v>651.2901745739025</v>
      </c>
      <c r="AP33" s="2">
        <f t="shared" si="15"/>
        <v>297.69240550814368</v>
      </c>
      <c r="AQ33" s="2">
        <f t="shared" si="16"/>
        <v>191.80670583863778</v>
      </c>
      <c r="AR33" s="2">
        <f t="shared" si="17"/>
        <v>162.92272722143832</v>
      </c>
      <c r="AS33" s="2">
        <f t="shared" si="18"/>
        <v>161.56401350859798</v>
      </c>
      <c r="AX33" s="2">
        <f>AL33</f>
        <v>1000000000000000</v>
      </c>
      <c r="AY33" s="37">
        <f t="shared" si="19"/>
        <v>7552.7560006646436</v>
      </c>
      <c r="AZ33" s="37">
        <f t="shared" si="20"/>
        <v>4540.5084575532119</v>
      </c>
      <c r="BA33" s="37">
        <f t="shared" si="21"/>
        <v>2353.0684240833825</v>
      </c>
      <c r="BB33" s="37">
        <f t="shared" si="22"/>
        <v>1133.7393389954989</v>
      </c>
      <c r="BC33" s="37">
        <f t="shared" si="23"/>
        <v>757.89722411263494</v>
      </c>
      <c r="BD33" s="37">
        <f t="shared" si="24"/>
        <v>659.39001525263291</v>
      </c>
      <c r="BE33" s="37">
        <f t="shared" si="25"/>
        <v>641.08087260851198</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4" zoomScale="120" zoomScaleNormal="120" zoomScaleSheetLayoutView="110" workbookViewId="0">
      <selection activeCell="D72" sqref="D72"/>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110</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5776.5900052436255</v>
      </c>
      <c r="G16" s="26">
        <f>INDEX(Comparison!$AM$3:$AS$33,G14,$B$3)</f>
        <v>5571.6920956359099</v>
      </c>
      <c r="H16" s="26">
        <f>INDEX(Comparison!$AM$3:$AS$33,H14,$B$3)</f>
        <v>5400.7646013667554</v>
      </c>
      <c r="I16" s="26">
        <f>INDEX(Comparison!$AM$3:$AS$33,I14,$B$3)</f>
        <v>5215.0678795321228</v>
      </c>
      <c r="J16" s="26">
        <f>INDEX(Comparison!$AM$3:$AS$33,J14,$B$3)</f>
        <v>4985.425095489265</v>
      </c>
      <c r="K16" s="26">
        <f>INDEX(Comparison!$AM$3:$AS$33,K14,$B$3)</f>
        <v>4758.3350912889036</v>
      </c>
      <c r="L16" s="26">
        <f>INDEX(Comparison!$AM$3:$AS$33,L14,$B$3)</f>
        <v>4565.5114420012915</v>
      </c>
      <c r="M16" s="26">
        <f>INDEX(Comparison!$AM$3:$AS$33,M14,$B$3)</f>
        <v>4384.874474223483</v>
      </c>
      <c r="N16" s="26">
        <f>INDEX(Comparison!$AM$3:$AS$33,N14,$B$3)</f>
        <v>4203.1654341512503</v>
      </c>
      <c r="O16" s="26">
        <f>INDEX(Comparison!$AM$3:$AS$33,O14,$B$3)</f>
        <v>4026.8171479490911</v>
      </c>
      <c r="P16" s="26">
        <f>INDEX(Comparison!$AM$3:$AS$33,P14,$B$3)</f>
        <v>3842.8247437350828</v>
      </c>
      <c r="Q16" s="26">
        <f>INDEX(Comparison!$AM$3:$AS$33,Q14,$B$3)</f>
        <v>3637.9090125528774</v>
      </c>
      <c r="R16" s="26">
        <f>INDEX(Comparison!$AM$3:$AS$33,R14,$B$3)</f>
        <v>3407.0475124340101</v>
      </c>
      <c r="S16" s="26">
        <f>INDEX(Comparison!$AM$3:$AS$33,S14,$B$3)</f>
        <v>3145.7192687287707</v>
      </c>
      <c r="T16" s="26">
        <f>INDEX(Comparison!$AM$3:$AS$33,T14,$B$3)</f>
        <v>2837.9758401657195</v>
      </c>
      <c r="U16" s="26">
        <f>INDEX(Comparison!$AM$3:$AS$33,U14,$B$3)</f>
        <v>2426.1662837806571</v>
      </c>
      <c r="V16" s="26">
        <f>INDEX(Comparison!$AM$3:$AS$33,V14,$B$3)</f>
        <v>1854.808278855141</v>
      </c>
      <c r="W16" s="26">
        <f>INDEX(Comparison!$AM$3:$AS$33,W14,$B$3)</f>
        <v>1269.173844412863</v>
      </c>
      <c r="X16" s="26">
        <f>INDEX(Comparison!$AM$3:$AS$33,X14,$B$3)</f>
        <v>808.20803145416335</v>
      </c>
      <c r="Y16" s="26">
        <f>INDEX(Comparison!$AM$3:$AS$33,Y14,$B$3)</f>
        <v>509.02880387480866</v>
      </c>
      <c r="Z16" s="26">
        <f>INDEX(Comparison!$AM$3:$AS$33,Z14,$B$3)</f>
        <v>344.05387649356049</v>
      </c>
      <c r="AA16" s="26">
        <f>INDEX(Comparison!$AM$3:$AS$33,AA14,$B$3)</f>
        <v>262.73242624087396</v>
      </c>
      <c r="AB16" s="26">
        <f>INDEX(Comparison!$AM$3:$AS$33,AB14,$B$3)</f>
        <v>222.939887660718</v>
      </c>
      <c r="AC16" s="26">
        <f>INDEX(Comparison!$AM$3:$AS$33,AC14,$B$3)</f>
        <v>201.32214117210117</v>
      </c>
      <c r="AD16" s="26">
        <f>INDEX(Comparison!$AM$3:$AS$33,AD14,$B$3)</f>
        <v>188.02569432355588</v>
      </c>
      <c r="AE16" s="26">
        <f>INDEX(Comparison!$AM$3:$AS$33,AE14,$B$3)</f>
        <v>181.14617749166206</v>
      </c>
      <c r="AF16" s="26">
        <f>INDEX(Comparison!$AM$3:$AS$33,AF14,$B$3)</f>
        <v>171.73287142228415</v>
      </c>
      <c r="AG16" s="26">
        <f>INDEX(Comparison!$AM$3:$AS$33,AG14,$B$3)</f>
        <v>164.88164851800227</v>
      </c>
      <c r="AH16" s="26">
        <f>INDEX(Comparison!$AM$3:$AS$33,AH14,$B$3)</f>
        <v>164.50146393142782</v>
      </c>
      <c r="AI16" s="26">
        <f>INDEX(Comparison!$AM$3:$AS$33,AI14,$B$3)</f>
        <v>163.00727748318997</v>
      </c>
      <c r="AJ16" s="26">
        <f>INDEX(Comparison!$AM$3:$AS$33,AJ14,$B$3)</f>
        <v>162.92272722143832</v>
      </c>
    </row>
    <row r="17" spans="1:36" x14ac:dyDescent="0.25">
      <c r="A17" s="14" t="s">
        <v>20</v>
      </c>
      <c r="B17" s="105">
        <v>2.1035560967971288E-2</v>
      </c>
      <c r="C17" s="18">
        <f t="shared" ref="C17:C48" si="3">ABS(B17/$B$49)</f>
        <v>2.3280095773815995E-2</v>
      </c>
      <c r="D17" s="66"/>
      <c r="E17" s="65" t="s">
        <v>22</v>
      </c>
      <c r="F17" s="27">
        <f>($C$17+SUM(F18:F48))*$B$51</f>
        <v>5718.4352679377425</v>
      </c>
      <c r="G17" s="27">
        <f t="shared" ref="G17:M17" si="4">($C$17+SUM(G18:G48))*$B$51</f>
        <v>5646.8950208212655</v>
      </c>
      <c r="H17" s="27">
        <f t="shared" si="4"/>
        <v>5380.8502583472291</v>
      </c>
      <c r="I17" s="27">
        <f t="shared" si="4"/>
        <v>5218.3191335138126</v>
      </c>
      <c r="J17" s="27">
        <f t="shared" si="4"/>
        <v>4984.9782081116809</v>
      </c>
      <c r="K17" s="27">
        <f t="shared" si="4"/>
        <v>4758.3806107672253</v>
      </c>
      <c r="L17" s="27">
        <f t="shared" si="4"/>
        <v>4565.5330812752654</v>
      </c>
      <c r="M17" s="27">
        <f t="shared" si="4"/>
        <v>4384.7921071931505</v>
      </c>
      <c r="N17" s="27">
        <f t="shared" ref="N17" si="5">($C$17+SUM(N18:N48))*$B$51</f>
        <v>4203.3598517313285</v>
      </c>
      <c r="O17" s="27">
        <f t="shared" ref="O17" si="6">($C$17+SUM(O18:O48))*$B$51</f>
        <v>4026.4216005834278</v>
      </c>
      <c r="P17" s="27">
        <f t="shared" ref="P17" si="7">($C$17+SUM(P18:P48))*$B$51</f>
        <v>3843.4970728157004</v>
      </c>
      <c r="Q17" s="27">
        <f t="shared" ref="Q17" si="8">($C$17+SUM(Q18:Q48))*$B$51</f>
        <v>3636.9374064674648</v>
      </c>
      <c r="R17" s="27">
        <f t="shared" ref="R17" si="9">($C$17+SUM(R18:R48))*$B$51</f>
        <v>3408.2366079461945</v>
      </c>
      <c r="S17" s="27">
        <f t="shared" ref="S17:T17" si="10">($C$17+SUM(S18:S48))*$B$51</f>
        <v>3144.4832851406777</v>
      </c>
      <c r="T17" s="27">
        <f t="shared" si="10"/>
        <v>2839.0852393708569</v>
      </c>
      <c r="U17" s="27">
        <f t="shared" ref="U17" si="11">($C$17+SUM(U18:U48))*$B$51</f>
        <v>2425.3147818710713</v>
      </c>
      <c r="V17" s="27">
        <f t="shared" ref="V17" si="12">($C$17+SUM(V18:V48))*$B$51</f>
        <v>1855.3828989874442</v>
      </c>
      <c r="W17" s="27">
        <f t="shared" ref="W17" si="13">($C$17+SUM(W18:W48))*$B$51</f>
        <v>1268.8426653232004</v>
      </c>
      <c r="X17" s="27">
        <f t="shared" ref="X17" si="14">($C$17+SUM(X18:X48))*$B$51</f>
        <v>808.36801386965885</v>
      </c>
      <c r="Y17" s="27">
        <f t="shared" ref="Y17" si="15">($C$17+SUM(Y18:Y48))*$B$51</f>
        <v>508.95962302565101</v>
      </c>
      <c r="Z17" s="27">
        <f t="shared" ref="Z17:AA17" si="16">($C$17+SUM(Z18:Z48))*$B$51</f>
        <v>344.08156956820147</v>
      </c>
      <c r="AA17" s="27">
        <f t="shared" si="16"/>
        <v>262.71972896285871</v>
      </c>
      <c r="AB17" s="27">
        <f t="shared" ref="AB17" si="17">($C$17+SUM(AB18:AB48))*$B$51</f>
        <v>222.95043241972559</v>
      </c>
      <c r="AC17" s="27">
        <f t="shared" ref="AC17" si="18">($C$17+SUM(AC18:AC48))*$B$51</f>
        <v>201.30727641187875</v>
      </c>
      <c r="AD17" s="27">
        <f t="shared" ref="AD17" si="19">($C$17+SUM(AD18:AD48))*$B$51</f>
        <v>188.04161733900969</v>
      </c>
      <c r="AE17" s="27">
        <f t="shared" ref="AE17" si="20">($C$17+SUM(AE18:AE48))*$B$51</f>
        <v>181.17947244222572</v>
      </c>
      <c r="AF17" s="27">
        <f t="shared" ref="AF17" si="21">($C$17+SUM(AF18:AF48))*$B$51</f>
        <v>171.63859251976763</v>
      </c>
      <c r="AG17" s="27">
        <f t="shared" ref="AG17:AH17" si="22">($C$17+SUM(AG18:AG48))*$B$51</f>
        <v>165.00765420134707</v>
      </c>
      <c r="AH17" s="27">
        <f t="shared" si="22"/>
        <v>164.32404912574731</v>
      </c>
      <c r="AI17" s="27">
        <f t="shared" ref="AI17" si="23">($C$17+SUM(AI18:AI48))*$B$51</f>
        <v>163.25012002422946</v>
      </c>
      <c r="AJ17" s="27">
        <f t="shared" ref="AJ17" si="24">($C$17+SUM(AJ18:AJ48))*$B$51</f>
        <v>162.78400175033337</v>
      </c>
    </row>
    <row r="18" spans="1:36" x14ac:dyDescent="0.25">
      <c r="A18" s="3">
        <f>0.000000000000001/10^5</f>
        <v>1.0000000000000001E-20</v>
      </c>
      <c r="B18" s="106">
        <v>0.16346829745189675</v>
      </c>
      <c r="C18" s="18">
        <f t="shared" si="3"/>
        <v>0.18091067913316566</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4.4047388095517316E-2</v>
      </c>
      <c r="C19" s="18">
        <f t="shared" si="3"/>
        <v>4.8747329106715996E-2</v>
      </c>
      <c r="D19" s="17"/>
      <c r="F19" s="3">
        <f t="shared" si="25"/>
        <v>4.7514501684035162E-2</v>
      </c>
      <c r="G19" s="3">
        <f t="shared" si="25"/>
        <v>3.7731525119124275E-2</v>
      </c>
      <c r="H19" s="3">
        <f t="shared" si="25"/>
        <v>3.7625836986610959E-3</v>
      </c>
      <c r="I19" s="3">
        <f t="shared" si="25"/>
        <v>3.6585101717110066E-13</v>
      </c>
      <c r="J19" s="3">
        <f t="shared" si="25"/>
        <v>2.76366398678E-113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1.6345264737525542E-2</v>
      </c>
      <c r="C20" s="18">
        <f t="shared" si="3"/>
        <v>1.8089335916325222E-2</v>
      </c>
      <c r="D20" s="17"/>
      <c r="F20" s="3">
        <f t="shared" si="25"/>
        <v>1.8047584669067425E-2</v>
      </c>
      <c r="G20" s="3">
        <f t="shared" si="25"/>
        <v>1.76761332561415E-2</v>
      </c>
      <c r="H20" s="3">
        <f t="shared" si="25"/>
        <v>1.4357177076305535E-2</v>
      </c>
      <c r="I20" s="3">
        <f t="shared" si="25"/>
        <v>1.794266529805138E-3</v>
      </c>
      <c r="J20" s="3">
        <f t="shared" si="25"/>
        <v>1.6675003982429205E-12</v>
      </c>
      <c r="K20" s="3">
        <f t="shared" si="25"/>
        <v>8.014120173664511E-103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3.3932466332708369E-2</v>
      </c>
      <c r="C21" s="18">
        <f t="shared" si="3"/>
        <v>3.7553125741215831E-2</v>
      </c>
      <c r="D21" s="17"/>
      <c r="F21" s="3">
        <f t="shared" si="25"/>
        <v>3.7545298730632989E-2</v>
      </c>
      <c r="G21" s="3">
        <f t="shared" si="25"/>
        <v>3.7474929005114635E-2</v>
      </c>
      <c r="H21" s="3">
        <f t="shared" si="25"/>
        <v>3.6778445136130974E-2</v>
      </c>
      <c r="I21" s="3">
        <f t="shared" si="25"/>
        <v>3.0487290261240783E-2</v>
      </c>
      <c r="J21" s="3">
        <f t="shared" si="25"/>
        <v>4.6706081520700082E-3</v>
      </c>
      <c r="K21" s="3">
        <f t="shared" si="25"/>
        <v>3.3259790340683368E-11</v>
      </c>
      <c r="L21" s="3">
        <f t="shared" si="25"/>
        <v>1.1152705891055101E-92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3.1314179197507425E-2</v>
      </c>
      <c r="C22" s="18">
        <f t="shared" si="3"/>
        <v>3.4655462333825049E-2</v>
      </c>
      <c r="D22" s="17"/>
      <c r="F22" s="3">
        <f t="shared" si="25"/>
        <v>3.4654810691480874E-2</v>
      </c>
      <c r="G22" s="3">
        <f t="shared" si="25"/>
        <v>3.4648946461746315E-2</v>
      </c>
      <c r="H22" s="3">
        <f t="shared" si="25"/>
        <v>3.4590358715142051E-2</v>
      </c>
      <c r="I22" s="3">
        <f t="shared" si="25"/>
        <v>3.4009902319767658E-2</v>
      </c>
      <c r="J22" s="3">
        <f t="shared" si="25"/>
        <v>2.8714983571877795E-2</v>
      </c>
      <c r="K22" s="3">
        <f t="shared" si="25"/>
        <v>5.2861617486522844E-3</v>
      </c>
      <c r="L22" s="3">
        <f t="shared" si="25"/>
        <v>2.3629754187985676E-10</v>
      </c>
      <c r="M22" s="3">
        <f t="shared" si="25"/>
        <v>7.527430677761257E-84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2.5336518429268453E-2</v>
      </c>
      <c r="C23" s="18">
        <f t="shared" si="3"/>
        <v>2.8039973666806786E-2</v>
      </c>
      <c r="D23" s="17"/>
      <c r="F23" s="3">
        <f t="shared" si="25"/>
        <v>2.8039926104215525E-2</v>
      </c>
      <c r="G23" s="3">
        <f t="shared" si="25"/>
        <v>2.8039498044524672E-2</v>
      </c>
      <c r="H23" s="3">
        <f t="shared" si="25"/>
        <v>2.8035217807013242E-2</v>
      </c>
      <c r="I23" s="3">
        <f t="shared" si="25"/>
        <v>2.7992451351319489E-2</v>
      </c>
      <c r="J23" s="3">
        <f t="shared" si="25"/>
        <v>2.7568358529966135E-2</v>
      </c>
      <c r="K23" s="3">
        <f t="shared" si="25"/>
        <v>2.3665226694560816E-2</v>
      </c>
      <c r="L23" s="3">
        <f t="shared" si="25"/>
        <v>5.1417182782184396E-3</v>
      </c>
      <c r="M23" s="3">
        <f t="shared" si="25"/>
        <v>1.2052700387662838E-9</v>
      </c>
      <c r="N23" s="3">
        <f t="shared" si="25"/>
        <v>6.0373338900825165E-76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2.4227278523637145E-2</v>
      </c>
      <c r="C24" s="18">
        <f t="shared" si="3"/>
        <v>2.6812375730219603E-2</v>
      </c>
      <c r="D24" s="17"/>
      <c r="F24" s="3">
        <f t="shared" si="25"/>
        <v>2.6812371627516134E-2</v>
      </c>
      <c r="G24" s="3">
        <f t="shared" si="25"/>
        <v>2.6812334703213158E-2</v>
      </c>
      <c r="H24" s="3">
        <f t="shared" si="25"/>
        <v>2.6811965462980116E-2</v>
      </c>
      <c r="I24" s="3">
        <f t="shared" si="25"/>
        <v>2.680827334030831E-2</v>
      </c>
      <c r="J24" s="3">
        <f t="shared" si="25"/>
        <v>2.6771380065203711E-2</v>
      </c>
      <c r="K24" s="3">
        <f t="shared" si="25"/>
        <v>2.6405228285327206E-2</v>
      </c>
      <c r="L24" s="3">
        <f t="shared" si="25"/>
        <v>2.3008144441298933E-2</v>
      </c>
      <c r="M24" s="3">
        <f t="shared" si="25"/>
        <v>5.8049473001501291E-3</v>
      </c>
      <c r="N24" s="3">
        <f t="shared" si="25"/>
        <v>6.0668763520260955E-9</v>
      </c>
      <c r="O24" s="3">
        <f t="shared" si="25"/>
        <v>9.4326510280318446E-69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2.496789604667491E-2</v>
      </c>
      <c r="C25" s="18">
        <f t="shared" si="3"/>
        <v>2.7632018567144069E-2</v>
      </c>
      <c r="D25" s="17"/>
      <c r="F25" s="3">
        <f t="shared" si="25"/>
        <v>2.763201818573232E-2</v>
      </c>
      <c r="G25" s="3">
        <f t="shared" si="25"/>
        <v>2.7632014753026832E-2</v>
      </c>
      <c r="H25" s="3">
        <f t="shared" si="25"/>
        <v>2.7631980425995382E-2</v>
      </c>
      <c r="I25" s="3">
        <f t="shared" si="25"/>
        <v>2.7631637158026284E-2</v>
      </c>
      <c r="J25" s="3">
        <f t="shared" si="25"/>
        <v>2.7628204712866762E-2</v>
      </c>
      <c r="K25" s="3">
        <f t="shared" si="25"/>
        <v>2.7593903703637981E-2</v>
      </c>
      <c r="L25" s="3">
        <f t="shared" si="25"/>
        <v>2.7253227108462411E-2</v>
      </c>
      <c r="M25" s="3">
        <f t="shared" si="25"/>
        <v>2.4069432172216416E-2</v>
      </c>
      <c r="N25" s="3">
        <f t="shared" si="25"/>
        <v>6.9493620791419792E-3</v>
      </c>
      <c r="O25" s="3">
        <f t="shared" si="25"/>
        <v>2.7972796930714889E-8</v>
      </c>
      <c r="P25" s="3">
        <f t="shared" si="25"/>
        <v>3.1235281000661301E-62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2.3421697721283254E-2</v>
      </c>
      <c r="C26" s="18">
        <f t="shared" si="3"/>
        <v>2.5920837907154132E-2</v>
      </c>
      <c r="D26" s="17"/>
      <c r="F26" s="3">
        <f t="shared" si="25"/>
        <v>2.5920837874878325E-2</v>
      </c>
      <c r="G26" s="3">
        <f t="shared" si="25"/>
        <v>2.5920837584396082E-2</v>
      </c>
      <c r="H26" s="3">
        <f t="shared" si="25"/>
        <v>2.5920834679573831E-2</v>
      </c>
      <c r="I26" s="3">
        <f t="shared" si="25"/>
        <v>2.5920805631369195E-2</v>
      </c>
      <c r="J26" s="3">
        <f t="shared" si="25"/>
        <v>2.5920515151113252E-2</v>
      </c>
      <c r="K26" s="3">
        <f t="shared" si="25"/>
        <v>2.5917610527586721E-2</v>
      </c>
      <c r="L26" s="3">
        <f t="shared" si="25"/>
        <v>2.5888582188189554E-2</v>
      </c>
      <c r="M26" s="3">
        <f t="shared" si="25"/>
        <v>2.5600080982860537E-2</v>
      </c>
      <c r="N26" s="3">
        <f t="shared" si="25"/>
        <v>2.2886114434891379E-2</v>
      </c>
      <c r="O26" s="3">
        <f t="shared" si="25"/>
        <v>7.4624137609416484E-3</v>
      </c>
      <c r="P26" s="3">
        <f t="shared" si="25"/>
        <v>1.0137991581144436E-7</v>
      </c>
      <c r="Q26" s="3">
        <f t="shared" si="25"/>
        <v>2.1710905449389802E-56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2.4750964410983234E-2</v>
      </c>
      <c r="C27" s="18">
        <f t="shared" si="3"/>
        <v>2.7391939908773026E-2</v>
      </c>
      <c r="D27" s="17"/>
      <c r="F27" s="3">
        <f t="shared" si="25"/>
        <v>2.7391939905696241E-2</v>
      </c>
      <c r="G27" s="3">
        <f t="shared" si="25"/>
        <v>2.7391939878005155E-2</v>
      </c>
      <c r="H27" s="3">
        <f t="shared" si="25"/>
        <v>2.7391939601094331E-2</v>
      </c>
      <c r="I27" s="3">
        <f t="shared" si="25"/>
        <v>2.7391936831986225E-2</v>
      </c>
      <c r="J27" s="3">
        <f t="shared" si="25"/>
        <v>2.7391909140920562E-2</v>
      </c>
      <c r="K27" s="3">
        <f t="shared" si="25"/>
        <v>2.7391632231803593E-2</v>
      </c>
      <c r="L27" s="3">
        <f t="shared" si="25"/>
        <v>2.7388863294591701E-2</v>
      </c>
      <c r="M27" s="3">
        <f t="shared" si="25"/>
        <v>2.7361189312496682E-2</v>
      </c>
      <c r="N27" s="3">
        <f t="shared" si="25"/>
        <v>2.7085982752977699E-2</v>
      </c>
      <c r="O27" s="3">
        <f t="shared" si="25"/>
        <v>2.4481660077590468E-2</v>
      </c>
      <c r="P27" s="3">
        <f t="shared" si="25"/>
        <v>8.90847823410338E-3</v>
      </c>
      <c r="Q27" s="3">
        <f t="shared" si="25"/>
        <v>3.6260193717757994E-7</v>
      </c>
      <c r="R27" s="3">
        <f t="shared" si="25"/>
        <v>4.52580759801436E-51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2.9425698252401405E-2</v>
      </c>
      <c r="C28" s="18">
        <f t="shared" si="3"/>
        <v>3.256547684040112E-2</v>
      </c>
      <c r="D28" s="17"/>
      <c r="F28" s="3">
        <f t="shared" si="25"/>
        <v>3.2565476840071148E-2</v>
      </c>
      <c r="G28" s="3">
        <f t="shared" si="25"/>
        <v>3.2565476837101391E-2</v>
      </c>
      <c r="H28" s="3">
        <f t="shared" si="25"/>
        <v>3.25654768074038E-2</v>
      </c>
      <c r="I28" s="3">
        <f t="shared" si="25"/>
        <v>3.2565476510427918E-2</v>
      </c>
      <c r="J28" s="3">
        <f t="shared" si="25"/>
        <v>3.2565473540669271E-2</v>
      </c>
      <c r="K28" s="3">
        <f t="shared" si="25"/>
        <v>3.2565443843097674E-2</v>
      </c>
      <c r="L28" s="3">
        <f t="shared" si="25"/>
        <v>3.2565146868871193E-2</v>
      </c>
      <c r="M28" s="3">
        <f t="shared" si="25"/>
        <v>3.2562177275553238E-2</v>
      </c>
      <c r="N28" s="3">
        <f t="shared" si="25"/>
        <v>3.2532496232034351E-2</v>
      </c>
      <c r="O28" s="3">
        <f t="shared" si="25"/>
        <v>3.2237169751133089E-2</v>
      </c>
      <c r="P28" s="3">
        <f t="shared" si="25"/>
        <v>2.9427413077977877E-2</v>
      </c>
      <c r="Q28" s="3">
        <f t="shared" si="25"/>
        <v>1.1822351843937564E-2</v>
      </c>
      <c r="R28" s="3">
        <f t="shared" si="25"/>
        <v>1.2948570525924851E-6</v>
      </c>
      <c r="S28" s="3">
        <f t="shared" si="25"/>
        <v>3.216631348761105E-46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3.0901166141031503E-2</v>
      </c>
      <c r="C29" s="18">
        <f t="shared" si="3"/>
        <v>3.4198379990015168E-2</v>
      </c>
      <c r="D29" s="17"/>
      <c r="F29" s="3">
        <f t="shared" si="25"/>
        <v>3.4198379989983908E-2</v>
      </c>
      <c r="G29" s="3">
        <f t="shared" si="25"/>
        <v>3.4198379989702578E-2</v>
      </c>
      <c r="H29" s="3">
        <f t="shared" si="25"/>
        <v>3.419837998688928E-2</v>
      </c>
      <c r="I29" s="3">
        <f t="shared" si="25"/>
        <v>3.4198379958756291E-2</v>
      </c>
      <c r="J29" s="3">
        <f t="shared" si="25"/>
        <v>3.4198379677426415E-2</v>
      </c>
      <c r="K29" s="3">
        <f t="shared" si="25"/>
        <v>3.4198376864127744E-2</v>
      </c>
      <c r="L29" s="3">
        <f t="shared" si="25"/>
        <v>3.4198348731153759E-2</v>
      </c>
      <c r="M29" s="3">
        <f t="shared" si="25"/>
        <v>3.4198067402686806E-2</v>
      </c>
      <c r="N29" s="3">
        <f t="shared" si="25"/>
        <v>3.4195254245301378E-2</v>
      </c>
      <c r="O29" s="3">
        <f t="shared" si="25"/>
        <v>3.4167135395984885E-2</v>
      </c>
      <c r="P29" s="3">
        <f t="shared" si="25"/>
        <v>3.3887215492042162E-2</v>
      </c>
      <c r="Q29" s="3">
        <f t="shared" si="25"/>
        <v>3.1211097578291953E-2</v>
      </c>
      <c r="R29" s="3">
        <f t="shared" si="25"/>
        <v>1.3710099674312559E-2</v>
      </c>
      <c r="S29" s="3">
        <f t="shared" si="25"/>
        <v>3.6673834385363884E-6</v>
      </c>
      <c r="T29" s="3">
        <f t="shared" si="25"/>
        <v>6.8788112354758692E-42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3.8731667115186684E-2</v>
      </c>
      <c r="C30" s="18">
        <f t="shared" si="3"/>
        <v>4.2864410475860253E-2</v>
      </c>
      <c r="D30" s="17"/>
      <c r="F30" s="3">
        <f t="shared" si="25"/>
        <v>4.2864410475856714E-2</v>
      </c>
      <c r="G30" s="3">
        <f t="shared" si="25"/>
        <v>4.2864410475824906E-2</v>
      </c>
      <c r="H30" s="3">
        <f t="shared" si="25"/>
        <v>4.286441047550682E-2</v>
      </c>
      <c r="I30" s="3">
        <f t="shared" si="25"/>
        <v>4.2864410472325892E-2</v>
      </c>
      <c r="J30" s="3">
        <f t="shared" si="25"/>
        <v>4.2864410440516615E-2</v>
      </c>
      <c r="K30" s="3">
        <f t="shared" si="25"/>
        <v>4.2864410122423861E-2</v>
      </c>
      <c r="L30" s="3">
        <f t="shared" si="25"/>
        <v>4.2864406941496472E-2</v>
      </c>
      <c r="M30" s="3">
        <f t="shared" si="25"/>
        <v>4.2864375132235552E-2</v>
      </c>
      <c r="N30" s="3">
        <f t="shared" si="25"/>
        <v>4.2864057040924691E-2</v>
      </c>
      <c r="O30" s="3">
        <f t="shared" si="25"/>
        <v>4.2860876257641602E-2</v>
      </c>
      <c r="P30" s="3">
        <f t="shared" si="25"/>
        <v>4.2829081403800658E-2</v>
      </c>
      <c r="Q30" s="3">
        <f t="shared" si="25"/>
        <v>4.2512427207765539E-2</v>
      </c>
      <c r="R30" s="3">
        <f t="shared" si="25"/>
        <v>3.9471835008745189E-2</v>
      </c>
      <c r="S30" s="3">
        <f t="shared" si="25"/>
        <v>1.8793231854273892E-2</v>
      </c>
      <c r="T30" s="3">
        <f t="shared" si="25"/>
        <v>1.1249753875697447E-5</v>
      </c>
      <c r="U30" s="3">
        <f t="shared" si="25"/>
        <v>6.6459720937877953E-38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3.9499855594132292E-2</v>
      </c>
      <c r="C31" s="18">
        <f t="shared" si="3"/>
        <v>4.3714566142705795E-2</v>
      </c>
      <c r="D31" s="17"/>
      <c r="F31" s="3">
        <f t="shared" si="25"/>
        <v>4.3714566142705469E-2</v>
      </c>
      <c r="G31" s="3">
        <f t="shared" si="25"/>
        <v>4.3714566142702541E-2</v>
      </c>
      <c r="H31" s="3">
        <f t="shared" si="25"/>
        <v>4.3714566142673279E-2</v>
      </c>
      <c r="I31" s="3">
        <f t="shared" si="25"/>
        <v>4.3714566142380645E-2</v>
      </c>
      <c r="J31" s="3">
        <f t="shared" si="25"/>
        <v>4.3714566139454271E-2</v>
      </c>
      <c r="K31" s="3">
        <f t="shared" si="25"/>
        <v>4.3714566110190541E-2</v>
      </c>
      <c r="L31" s="3">
        <f t="shared" si="25"/>
        <v>4.3714565817553237E-2</v>
      </c>
      <c r="M31" s="3">
        <f t="shared" si="25"/>
        <v>4.3714562891180343E-2</v>
      </c>
      <c r="N31" s="3">
        <f t="shared" si="25"/>
        <v>4.3714533627462145E-2</v>
      </c>
      <c r="O31" s="3">
        <f t="shared" si="25"/>
        <v>4.3714240991357636E-2</v>
      </c>
      <c r="P31" s="3">
        <f t="shared" si="25"/>
        <v>4.3711314738054244E-2</v>
      </c>
      <c r="Q31" s="3">
        <f t="shared" si="25"/>
        <v>4.3682062976524876E-2</v>
      </c>
      <c r="R31" s="3">
        <f t="shared" si="25"/>
        <v>4.3390619848481145E-2</v>
      </c>
      <c r="S31" s="3">
        <f t="shared" si="25"/>
        <v>4.0581022899957624E-2</v>
      </c>
      <c r="T31" s="3">
        <f t="shared" si="25"/>
        <v>2.0777550472309784E-2</v>
      </c>
      <c r="U31" s="3">
        <f t="shared" si="25"/>
        <v>2.57221879569623E-5</v>
      </c>
      <c r="V31" s="3">
        <f t="shared" si="26"/>
        <v>2.1749211749185179E-34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7.0260273298012196E-2</v>
      </c>
      <c r="C32" s="18">
        <f t="shared" si="3"/>
        <v>7.7757179566671539E-2</v>
      </c>
      <c r="D32" s="17"/>
      <c r="F32" s="3">
        <f t="shared" si="25"/>
        <v>7.7757179566671483E-2</v>
      </c>
      <c r="G32" s="3">
        <f t="shared" si="25"/>
        <v>7.7757179566671025E-2</v>
      </c>
      <c r="H32" s="3">
        <f t="shared" si="25"/>
        <v>7.7757179566666321E-2</v>
      </c>
      <c r="I32" s="3">
        <f t="shared" si="25"/>
        <v>7.7757179566619358E-2</v>
      </c>
      <c r="J32" s="3">
        <f t="shared" si="25"/>
        <v>7.7757179566149803E-2</v>
      </c>
      <c r="K32" s="3">
        <f t="shared" si="25"/>
        <v>7.7757179561454212E-2</v>
      </c>
      <c r="L32" s="3">
        <f t="shared" si="25"/>
        <v>7.7757179514498259E-2</v>
      </c>
      <c r="M32" s="3">
        <f t="shared" si="25"/>
        <v>7.7757179044938798E-2</v>
      </c>
      <c r="N32" s="3">
        <f t="shared" si="25"/>
        <v>7.7757174349344302E-2</v>
      </c>
      <c r="O32" s="3">
        <f t="shared" si="25"/>
        <v>7.7757127393414879E-2</v>
      </c>
      <c r="P32" s="3">
        <f t="shared" si="25"/>
        <v>7.7756657835680226E-2</v>
      </c>
      <c r="Q32" s="3">
        <f t="shared" si="25"/>
        <v>7.7751962414286349E-2</v>
      </c>
      <c r="R32" s="3">
        <f t="shared" si="25"/>
        <v>7.7705023792123309E-2</v>
      </c>
      <c r="S32" s="3">
        <f t="shared" si="25"/>
        <v>7.7237193269932766E-2</v>
      </c>
      <c r="T32" s="3">
        <f t="shared" si="25"/>
        <v>7.2711037443851601E-2</v>
      </c>
      <c r="U32" s="3">
        <f t="shared" si="25"/>
        <v>3.9750163393162029E-2</v>
      </c>
      <c r="V32" s="3">
        <f t="shared" si="26"/>
        <v>9.4781742276464075E-5</v>
      </c>
      <c r="W32" s="3">
        <f t="shared" si="26"/>
        <v>5.6309592218871968E-31</v>
      </c>
      <c r="X32" s="3">
        <f t="shared" si="26"/>
        <v>3.084319281820799E-293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8.6299004969519269E-2</v>
      </c>
      <c r="C33" s="18">
        <f t="shared" si="3"/>
        <v>9.5507274749383017E-2</v>
      </c>
      <c r="D33" s="17"/>
      <c r="F33" s="3">
        <f t="shared" si="25"/>
        <v>9.5507274749383003E-2</v>
      </c>
      <c r="G33" s="3">
        <f t="shared" si="25"/>
        <v>9.5507274749382962E-2</v>
      </c>
      <c r="H33" s="3">
        <f t="shared" si="25"/>
        <v>9.5507274749382434E-2</v>
      </c>
      <c r="I33" s="3">
        <f t="shared" si="25"/>
        <v>9.5507274749377244E-2</v>
      </c>
      <c r="J33" s="3">
        <f t="shared" si="25"/>
        <v>9.5507274749325202E-2</v>
      </c>
      <c r="K33" s="3">
        <f t="shared" si="25"/>
        <v>9.5507274748804924E-2</v>
      </c>
      <c r="L33" s="3">
        <f t="shared" si="25"/>
        <v>9.5507274743602183E-2</v>
      </c>
      <c r="M33" s="3">
        <f t="shared" si="25"/>
        <v>9.5507274691574662E-2</v>
      </c>
      <c r="N33" s="3">
        <f t="shared" si="25"/>
        <v>9.5507274171299436E-2</v>
      </c>
      <c r="O33" s="3">
        <f t="shared" si="25"/>
        <v>9.550726896854736E-2</v>
      </c>
      <c r="P33" s="3">
        <f t="shared" si="25"/>
        <v>9.5507216941042153E-2</v>
      </c>
      <c r="Q33" s="3">
        <f t="shared" si="25"/>
        <v>9.5506696667548921E-2</v>
      </c>
      <c r="R33" s="3">
        <f t="shared" si="25"/>
        <v>9.5501494088493941E-2</v>
      </c>
      <c r="S33" s="3">
        <f t="shared" si="25"/>
        <v>9.5449483882530078E-2</v>
      </c>
      <c r="T33" s="3">
        <f t="shared" si="25"/>
        <v>9.4930937144881627E-2</v>
      </c>
      <c r="U33" s="3">
        <f t="shared" ref="P33:AE48" si="27">$C33*EXP(-U$15/$A33)</f>
        <v>8.9897912258322304E-2</v>
      </c>
      <c r="V33" s="3">
        <f t="shared" si="27"/>
        <v>5.2139634734428265E-2</v>
      </c>
      <c r="W33" s="3">
        <f t="shared" si="27"/>
        <v>2.2457001497531729E-4</v>
      </c>
      <c r="X33" s="3">
        <f t="shared" si="27"/>
        <v>4.9338916008450806E-28</v>
      </c>
      <c r="Y33" s="3">
        <f t="shared" si="27"/>
        <v>1.2929090066848029E-264</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7.2314644021104366E-2</v>
      </c>
      <c r="C34" s="18">
        <f t="shared" si="3"/>
        <v>8.003075559639232E-2</v>
      </c>
      <c r="D34" s="17"/>
      <c r="F34" s="3">
        <f t="shared" ref="F34:O48" si="28">$C34*EXP(-F$15/$A34)</f>
        <v>8.003075559639232E-2</v>
      </c>
      <c r="G34" s="3">
        <f t="shared" si="28"/>
        <v>8.003075559639232E-2</v>
      </c>
      <c r="H34" s="3">
        <f t="shared" si="28"/>
        <v>8.0030755596392278E-2</v>
      </c>
      <c r="I34" s="3">
        <f t="shared" si="28"/>
        <v>8.0030755596391889E-2</v>
      </c>
      <c r="J34" s="3">
        <f t="shared" si="28"/>
        <v>8.0030755596387948E-2</v>
      </c>
      <c r="K34" s="3">
        <f t="shared" si="28"/>
        <v>8.0030755596348618E-2</v>
      </c>
      <c r="L34" s="3">
        <f t="shared" si="28"/>
        <v>8.003075559595535E-2</v>
      </c>
      <c r="M34" s="3">
        <f t="shared" si="28"/>
        <v>8.0030755592022565E-2</v>
      </c>
      <c r="N34" s="3">
        <f t="shared" si="28"/>
        <v>8.0030755552694705E-2</v>
      </c>
      <c r="O34" s="3">
        <f t="shared" si="28"/>
        <v>8.0030755159416211E-2</v>
      </c>
      <c r="P34" s="3">
        <f t="shared" si="27"/>
        <v>8.0030751226631364E-2</v>
      </c>
      <c r="Q34" s="3">
        <f t="shared" si="27"/>
        <v>8.0030711898793488E-2</v>
      </c>
      <c r="R34" s="3">
        <f t="shared" si="27"/>
        <v>8.0030318621477775E-2</v>
      </c>
      <c r="S34" s="3">
        <f t="shared" si="27"/>
        <v>8.0026385954611826E-2</v>
      </c>
      <c r="T34" s="3">
        <f t="shared" si="27"/>
        <v>7.998706991314225E-2</v>
      </c>
      <c r="U34" s="3">
        <f t="shared" si="27"/>
        <v>7.9594970287720335E-2</v>
      </c>
      <c r="V34" s="3">
        <f t="shared" si="27"/>
        <v>7.5778149308895593E-2</v>
      </c>
      <c r="W34" s="3">
        <f t="shared" si="27"/>
        <v>4.6358320119045504E-2</v>
      </c>
      <c r="X34" s="3">
        <f t="shared" si="27"/>
        <v>3.4038047964419333E-4</v>
      </c>
      <c r="Y34" s="3">
        <f t="shared" si="27"/>
        <v>1.5500089442480151E-25</v>
      </c>
      <c r="Z34" s="3">
        <f t="shared" si="27"/>
        <v>5.9433292141880566E-239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4.8772744360378588E-2</v>
      </c>
      <c r="C35" s="18">
        <f t="shared" si="3"/>
        <v>5.3976889971713508E-2</v>
      </c>
      <c r="D35" s="17"/>
      <c r="F35" s="3">
        <f t="shared" si="28"/>
        <v>5.3976889971713508E-2</v>
      </c>
      <c r="G35" s="3">
        <f t="shared" si="28"/>
        <v>5.3976889971713508E-2</v>
      </c>
      <c r="H35" s="3">
        <f t="shared" si="28"/>
        <v>5.3976889971713508E-2</v>
      </c>
      <c r="I35" s="3">
        <f t="shared" si="28"/>
        <v>5.3976889971713488E-2</v>
      </c>
      <c r="J35" s="3">
        <f t="shared" si="28"/>
        <v>5.3976889971713245E-2</v>
      </c>
      <c r="K35" s="3">
        <f t="shared" si="28"/>
        <v>5.3976889971710851E-2</v>
      </c>
      <c r="L35" s="3">
        <f t="shared" si="28"/>
        <v>5.3976889971686925E-2</v>
      </c>
      <c r="M35" s="3">
        <f t="shared" si="28"/>
        <v>5.3976889971447645E-2</v>
      </c>
      <c r="N35" s="3">
        <f t="shared" si="28"/>
        <v>5.3976889969054892E-2</v>
      </c>
      <c r="O35" s="3">
        <f t="shared" si="28"/>
        <v>5.3976889945127372E-2</v>
      </c>
      <c r="P35" s="3">
        <f t="shared" si="27"/>
        <v>5.3976889705852148E-2</v>
      </c>
      <c r="Q35" s="3">
        <f t="shared" si="27"/>
        <v>5.3976887313099964E-2</v>
      </c>
      <c r="R35" s="3">
        <f t="shared" si="27"/>
        <v>5.3976863385583974E-2</v>
      </c>
      <c r="S35" s="3">
        <f t="shared" si="27"/>
        <v>5.3976624111007475E-2</v>
      </c>
      <c r="T35" s="3">
        <f t="shared" si="27"/>
        <v>5.3974231423579211E-2</v>
      </c>
      <c r="U35" s="3">
        <f t="shared" si="27"/>
        <v>5.395031038201685E-2</v>
      </c>
      <c r="V35" s="3">
        <f t="shared" si="27"/>
        <v>5.3711682282887994E-2</v>
      </c>
      <c r="W35" s="3">
        <f t="shared" si="27"/>
        <v>5.1382689056325079E-2</v>
      </c>
      <c r="X35" s="3">
        <f t="shared" si="27"/>
        <v>3.2983562991166261E-2</v>
      </c>
      <c r="Y35" s="3">
        <f t="shared" si="27"/>
        <v>3.9183656142877284E-4</v>
      </c>
      <c r="Z35" s="3">
        <f t="shared" si="27"/>
        <v>2.1937081342916627E-23</v>
      </c>
      <c r="AA35" s="3">
        <f t="shared" si="27"/>
        <v>6.6361735534659968E-216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2.6767727922817345E-2</v>
      </c>
      <c r="C36" s="18">
        <f t="shared" si="3"/>
        <v>2.9623895965477303E-2</v>
      </c>
      <c r="D36" s="17"/>
      <c r="F36" s="3">
        <f t="shared" si="28"/>
        <v>2.9623895965477303E-2</v>
      </c>
      <c r="G36" s="3">
        <f t="shared" si="28"/>
        <v>2.9623895965477303E-2</v>
      </c>
      <c r="H36" s="3">
        <f t="shared" si="28"/>
        <v>2.9623895965477303E-2</v>
      </c>
      <c r="I36" s="3">
        <f t="shared" si="28"/>
        <v>2.9623895965477303E-2</v>
      </c>
      <c r="J36" s="3">
        <f t="shared" si="28"/>
        <v>2.9623895965477289E-2</v>
      </c>
      <c r="K36" s="3">
        <f t="shared" si="28"/>
        <v>2.9623895965477171E-2</v>
      </c>
      <c r="L36" s="3">
        <f t="shared" si="28"/>
        <v>2.9623895965475988E-2</v>
      </c>
      <c r="M36" s="3">
        <f t="shared" si="28"/>
        <v>2.962389596546414E-2</v>
      </c>
      <c r="N36" s="3">
        <f t="shared" si="28"/>
        <v>2.9623895965345679E-2</v>
      </c>
      <c r="O36" s="3">
        <f t="shared" si="28"/>
        <v>2.9623895964161061E-2</v>
      </c>
      <c r="P36" s="3">
        <f t="shared" si="27"/>
        <v>2.9623895952314874E-2</v>
      </c>
      <c r="Q36" s="3">
        <f t="shared" si="27"/>
        <v>2.9623895833852987E-2</v>
      </c>
      <c r="R36" s="3">
        <f t="shared" si="27"/>
        <v>2.9623894649234164E-2</v>
      </c>
      <c r="S36" s="3">
        <f t="shared" si="27"/>
        <v>2.9623882803048542E-2</v>
      </c>
      <c r="T36" s="3">
        <f t="shared" si="27"/>
        <v>2.9623764341452839E-2</v>
      </c>
      <c r="U36" s="3">
        <f t="shared" si="27"/>
        <v>2.9622579751549607E-2</v>
      </c>
      <c r="V36" s="3">
        <f t="shared" si="27"/>
        <v>2.9610736457509338E-2</v>
      </c>
      <c r="W36" s="3">
        <f t="shared" si="27"/>
        <v>2.9492563631293156E-2</v>
      </c>
      <c r="X36" s="3">
        <f t="shared" si="27"/>
        <v>2.8336466010184771E-2</v>
      </c>
      <c r="Y36" s="3">
        <f t="shared" si="27"/>
        <v>1.8996662043320248E-2</v>
      </c>
      <c r="Z36" s="3">
        <f t="shared" si="27"/>
        <v>3.4833202197123199E-4</v>
      </c>
      <c r="AA36" s="3">
        <f t="shared" si="27"/>
        <v>1.4967678380309218E-21</v>
      </c>
      <c r="AB36" s="3">
        <f t="shared" si="27"/>
        <v>3.2119210494912123E-195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1.3558399857690809E-2</v>
      </c>
      <c r="C37" s="18">
        <f t="shared" si="3"/>
        <v>1.5005107194779805E-2</v>
      </c>
      <c r="D37" s="17"/>
      <c r="F37" s="3">
        <f t="shared" si="28"/>
        <v>1.5005107194779805E-2</v>
      </c>
      <c r="G37" s="3">
        <f t="shared" si="28"/>
        <v>1.5005107194779805E-2</v>
      </c>
      <c r="H37" s="3">
        <f t="shared" si="28"/>
        <v>1.5005107194779805E-2</v>
      </c>
      <c r="I37" s="3">
        <f t="shared" si="28"/>
        <v>1.5005107194779805E-2</v>
      </c>
      <c r="J37" s="3">
        <f t="shared" si="28"/>
        <v>1.5005107194779805E-2</v>
      </c>
      <c r="K37" s="3">
        <f t="shared" si="28"/>
        <v>1.5005107194779798E-2</v>
      </c>
      <c r="L37" s="3">
        <f t="shared" si="28"/>
        <v>1.5005107194779745E-2</v>
      </c>
      <c r="M37" s="3">
        <f t="shared" si="28"/>
        <v>1.5005107194779203E-2</v>
      </c>
      <c r="N37" s="3">
        <f t="shared" si="28"/>
        <v>1.5005107194773791E-2</v>
      </c>
      <c r="O37" s="3">
        <f t="shared" si="28"/>
        <v>1.5005107194719662E-2</v>
      </c>
      <c r="P37" s="3">
        <f t="shared" si="27"/>
        <v>1.5005107194178384E-2</v>
      </c>
      <c r="Q37" s="3">
        <f t="shared" si="27"/>
        <v>1.5005107188765581E-2</v>
      </c>
      <c r="R37" s="3">
        <f t="shared" si="27"/>
        <v>1.500510713463756E-2</v>
      </c>
      <c r="S37" s="3">
        <f t="shared" si="27"/>
        <v>1.5005106593357347E-2</v>
      </c>
      <c r="T37" s="3">
        <f t="shared" si="27"/>
        <v>1.5005101180556315E-2</v>
      </c>
      <c r="U37" s="3">
        <f t="shared" si="27"/>
        <v>1.5005047052653377E-2</v>
      </c>
      <c r="V37" s="3">
        <f t="shared" si="27"/>
        <v>1.5004505784362928E-2</v>
      </c>
      <c r="W37" s="3">
        <f t="shared" si="27"/>
        <v>1.4999094175209258E-2</v>
      </c>
      <c r="X37" s="3">
        <f t="shared" si="27"/>
        <v>1.494508531557699E-2</v>
      </c>
      <c r="Y37" s="3">
        <f t="shared" si="27"/>
        <v>1.4415578157405741E-2</v>
      </c>
      <c r="Z37" s="3">
        <f t="shared" si="27"/>
        <v>1.0050061742610554E-2</v>
      </c>
      <c r="AA37" s="3">
        <f t="shared" si="27"/>
        <v>2.726059794860181E-4</v>
      </c>
      <c r="AB37" s="3">
        <f t="shared" si="27"/>
        <v>5.8776247501485021E-20</v>
      </c>
      <c r="AC37" s="3">
        <f t="shared" si="27"/>
        <v>1.2760468954561361E-176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3.6961631144989404E-3</v>
      </c>
      <c r="C38" s="18">
        <f t="shared" si="3"/>
        <v>4.0905508263932881E-3</v>
      </c>
      <c r="D38" s="17"/>
      <c r="F38" s="3">
        <f t="shared" si="28"/>
        <v>4.0905508263932881E-3</v>
      </c>
      <c r="G38" s="3">
        <f t="shared" si="28"/>
        <v>4.0905508263932881E-3</v>
      </c>
      <c r="H38" s="3">
        <f t="shared" si="28"/>
        <v>4.0905508263932881E-3</v>
      </c>
      <c r="I38" s="3">
        <f t="shared" si="28"/>
        <v>4.0905508263932881E-3</v>
      </c>
      <c r="J38" s="3">
        <f t="shared" si="28"/>
        <v>4.0905508263932881E-3</v>
      </c>
      <c r="K38" s="3">
        <f t="shared" si="28"/>
        <v>4.0905508263932881E-3</v>
      </c>
      <c r="L38" s="3">
        <f t="shared" si="28"/>
        <v>4.0905508263932864E-3</v>
      </c>
      <c r="M38" s="3">
        <f t="shared" si="28"/>
        <v>4.0905508263932733E-3</v>
      </c>
      <c r="N38" s="3">
        <f t="shared" si="28"/>
        <v>4.0905508263931398E-3</v>
      </c>
      <c r="O38" s="3">
        <f t="shared" si="28"/>
        <v>4.0905508263918092E-3</v>
      </c>
      <c r="P38" s="3">
        <f t="shared" si="27"/>
        <v>4.0905508263784978E-3</v>
      </c>
      <c r="Q38" s="3">
        <f t="shared" si="27"/>
        <v>4.0905508262453882E-3</v>
      </c>
      <c r="R38" s="3">
        <f t="shared" si="27"/>
        <v>4.0905508249142854E-3</v>
      </c>
      <c r="S38" s="3">
        <f t="shared" si="27"/>
        <v>4.0905508116032621E-3</v>
      </c>
      <c r="T38" s="3">
        <f t="shared" si="27"/>
        <v>4.0905506784930327E-3</v>
      </c>
      <c r="U38" s="3">
        <f t="shared" si="27"/>
        <v>4.090549347390976E-3</v>
      </c>
      <c r="V38" s="3">
        <f t="shared" si="27"/>
        <v>4.0905360363942284E-3</v>
      </c>
      <c r="W38" s="3">
        <f t="shared" si="27"/>
        <v>4.090402928809066E-3</v>
      </c>
      <c r="X38" s="3">
        <f t="shared" si="27"/>
        <v>4.0890720911595946E-3</v>
      </c>
      <c r="Y38" s="3">
        <f t="shared" si="27"/>
        <v>4.0757875062251165E-3</v>
      </c>
      <c r="Z38" s="3">
        <f t="shared" si="27"/>
        <v>3.9452924151701547E-3</v>
      </c>
      <c r="AA38" s="3">
        <f t="shared" si="27"/>
        <v>2.8494158519553727E-3</v>
      </c>
      <c r="AB38" s="3">
        <f t="shared" si="27"/>
        <v>1.100328143025402E-4</v>
      </c>
      <c r="AC38" s="3">
        <f t="shared" si="27"/>
        <v>8.1130858347616587E-19</v>
      </c>
      <c r="AD38" s="3">
        <f t="shared" si="27"/>
        <v>3.8532267622191243E-160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4.1752279474864384E-3</v>
      </c>
      <c r="C39" s="18">
        <f t="shared" si="3"/>
        <v>4.6207327982835155E-3</v>
      </c>
      <c r="D39" s="17"/>
      <c r="F39" s="3">
        <f t="shared" si="28"/>
        <v>4.6207327982835155E-3</v>
      </c>
      <c r="G39" s="3">
        <f t="shared" si="28"/>
        <v>4.6207327982835155E-3</v>
      </c>
      <c r="H39" s="3">
        <f t="shared" si="28"/>
        <v>4.6207327982835155E-3</v>
      </c>
      <c r="I39" s="3">
        <f t="shared" si="28"/>
        <v>4.6207327982835155E-3</v>
      </c>
      <c r="J39" s="3">
        <f t="shared" si="28"/>
        <v>4.6207327982835155E-3</v>
      </c>
      <c r="K39" s="3">
        <f t="shared" si="28"/>
        <v>4.6207327982835155E-3</v>
      </c>
      <c r="L39" s="3">
        <f t="shared" si="28"/>
        <v>4.6207327982835146E-3</v>
      </c>
      <c r="M39" s="3">
        <f t="shared" si="28"/>
        <v>4.6207327982835111E-3</v>
      </c>
      <c r="N39" s="3">
        <f t="shared" si="28"/>
        <v>4.6207327982834695E-3</v>
      </c>
      <c r="O39" s="3">
        <f t="shared" si="28"/>
        <v>4.6207327982830532E-3</v>
      </c>
      <c r="P39" s="3">
        <f t="shared" si="27"/>
        <v>4.620732798278895E-3</v>
      </c>
      <c r="Q39" s="3">
        <f t="shared" si="27"/>
        <v>4.6207327982373085E-3</v>
      </c>
      <c r="R39" s="3">
        <f t="shared" si="27"/>
        <v>4.6207327978214424E-3</v>
      </c>
      <c r="S39" s="3">
        <f t="shared" si="27"/>
        <v>4.6207327936627829E-3</v>
      </c>
      <c r="T39" s="3">
        <f t="shared" si="27"/>
        <v>4.6207327520761876E-3</v>
      </c>
      <c r="U39" s="3">
        <f t="shared" si="27"/>
        <v>4.6207323362102591E-3</v>
      </c>
      <c r="V39" s="3">
        <f t="shared" si="27"/>
        <v>4.620728177553028E-3</v>
      </c>
      <c r="W39" s="3">
        <f t="shared" si="27"/>
        <v>4.6206865911865682E-3</v>
      </c>
      <c r="X39" s="3">
        <f t="shared" si="27"/>
        <v>4.6202707481065811E-3</v>
      </c>
      <c r="Y39" s="3">
        <f t="shared" si="27"/>
        <v>4.616114375081702E-3</v>
      </c>
      <c r="Z39" s="3">
        <f t="shared" si="27"/>
        <v>4.5747557387399232E-3</v>
      </c>
      <c r="AA39" s="3">
        <f t="shared" si="27"/>
        <v>4.1810119346329302E-3</v>
      </c>
      <c r="AB39" s="3">
        <f t="shared" si="27"/>
        <v>1.6998725996350947E-3</v>
      </c>
      <c r="AC39" s="3">
        <f t="shared" si="27"/>
        <v>2.0978094449328171E-7</v>
      </c>
      <c r="AD39" s="3">
        <f t="shared" si="27"/>
        <v>1.7189477074506037E-46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1.8612815821993311E-3</v>
      </c>
      <c r="C40" s="18">
        <f t="shared" si="3"/>
        <v>2.0598839061917876E-3</v>
      </c>
      <c r="D40" s="17"/>
      <c r="F40" s="3">
        <f t="shared" si="28"/>
        <v>2.0598839061917876E-3</v>
      </c>
      <c r="G40" s="3">
        <f t="shared" si="28"/>
        <v>2.0598839061917876E-3</v>
      </c>
      <c r="H40" s="3">
        <f t="shared" si="28"/>
        <v>2.0598839061917876E-3</v>
      </c>
      <c r="I40" s="3">
        <f t="shared" si="28"/>
        <v>2.0598839061917876E-3</v>
      </c>
      <c r="J40" s="3">
        <f t="shared" si="28"/>
        <v>2.0598839061917876E-3</v>
      </c>
      <c r="K40" s="3">
        <f t="shared" si="28"/>
        <v>2.0598839061917876E-3</v>
      </c>
      <c r="L40" s="3">
        <f t="shared" si="28"/>
        <v>2.0598839061917876E-3</v>
      </c>
      <c r="M40" s="3">
        <f t="shared" si="28"/>
        <v>2.0598839061917872E-3</v>
      </c>
      <c r="N40" s="3">
        <f t="shared" si="28"/>
        <v>2.0598839061917854E-3</v>
      </c>
      <c r="O40" s="3">
        <f t="shared" si="28"/>
        <v>2.0598839061917672E-3</v>
      </c>
      <c r="P40" s="3">
        <f t="shared" si="27"/>
        <v>2.0598839061915816E-3</v>
      </c>
      <c r="Q40" s="3">
        <f t="shared" si="27"/>
        <v>2.0598839061897276E-3</v>
      </c>
      <c r="R40" s="3">
        <f t="shared" si="27"/>
        <v>2.0598839061711886E-3</v>
      </c>
      <c r="S40" s="3">
        <f t="shared" si="27"/>
        <v>2.0598839059857992E-3</v>
      </c>
      <c r="T40" s="3">
        <f t="shared" si="27"/>
        <v>2.0598839041319037E-3</v>
      </c>
      <c r="U40" s="3">
        <f t="shared" si="27"/>
        <v>2.0598838855929486E-3</v>
      </c>
      <c r="V40" s="3">
        <f t="shared" si="27"/>
        <v>2.0598837002034072E-3</v>
      </c>
      <c r="W40" s="3">
        <f t="shared" si="27"/>
        <v>2.0598818463089114E-3</v>
      </c>
      <c r="X40" s="3">
        <f t="shared" si="27"/>
        <v>2.0598633074557196E-3</v>
      </c>
      <c r="Y40" s="3">
        <f t="shared" si="27"/>
        <v>2.0596779281002444E-3</v>
      </c>
      <c r="Z40" s="3">
        <f t="shared" si="27"/>
        <v>2.0578250518843207E-3</v>
      </c>
      <c r="AA40" s="3">
        <f t="shared" si="27"/>
        <v>2.0393877188677662E-3</v>
      </c>
      <c r="AB40" s="3">
        <f t="shared" si="27"/>
        <v>1.8638600351324037E-3</v>
      </c>
      <c r="AC40" s="3">
        <f t="shared" si="27"/>
        <v>7.5778894028788262E-4</v>
      </c>
      <c r="AD40" s="3">
        <f t="shared" si="27"/>
        <v>9.3518584659980099E-8</v>
      </c>
      <c r="AE40" s="3">
        <f t="shared" si="27"/>
        <v>7.6629246328160264E-47</v>
      </c>
      <c r="AF40" s="3">
        <f t="shared" si="29"/>
        <v>0</v>
      </c>
      <c r="AG40" s="3">
        <f t="shared" si="29"/>
        <v>0</v>
      </c>
      <c r="AH40" s="3">
        <f t="shared" si="29"/>
        <v>0</v>
      </c>
      <c r="AI40" s="3">
        <f t="shared" si="29"/>
        <v>0</v>
      </c>
      <c r="AJ40" s="3">
        <f t="shared" si="29"/>
        <v>0</v>
      </c>
    </row>
    <row r="41" spans="1:36" x14ac:dyDescent="0.25">
      <c r="A41" s="3">
        <f t="shared" si="30"/>
        <v>1000000000</v>
      </c>
      <c r="B41" s="106">
        <v>1.8788541287153781E-3</v>
      </c>
      <c r="C41" s="18">
        <f t="shared" si="3"/>
        <v>2.0793314772124174E-3</v>
      </c>
      <c r="D41" s="17"/>
      <c r="F41" s="3">
        <f t="shared" si="28"/>
        <v>2.0793314772124174E-3</v>
      </c>
      <c r="G41" s="3">
        <f t="shared" si="28"/>
        <v>2.0793314772124174E-3</v>
      </c>
      <c r="H41" s="3">
        <f t="shared" si="28"/>
        <v>2.0793314772124174E-3</v>
      </c>
      <c r="I41" s="3">
        <f t="shared" si="28"/>
        <v>2.0793314772124174E-3</v>
      </c>
      <c r="J41" s="3">
        <f t="shared" si="28"/>
        <v>2.0793314772124174E-3</v>
      </c>
      <c r="K41" s="3">
        <f t="shared" si="28"/>
        <v>2.0793314772124174E-3</v>
      </c>
      <c r="L41" s="3">
        <f t="shared" si="28"/>
        <v>2.0793314772124174E-3</v>
      </c>
      <c r="M41" s="3">
        <f t="shared" si="28"/>
        <v>2.0793314772124174E-3</v>
      </c>
      <c r="N41" s="3">
        <f t="shared" si="28"/>
        <v>2.079331477212417E-3</v>
      </c>
      <c r="O41" s="3">
        <f t="shared" si="28"/>
        <v>2.0793314772124152E-3</v>
      </c>
      <c r="P41" s="3">
        <f t="shared" si="27"/>
        <v>2.0793314772123966E-3</v>
      </c>
      <c r="Q41" s="3">
        <f t="shared" si="27"/>
        <v>2.0793314772122092E-3</v>
      </c>
      <c r="R41" s="3">
        <f t="shared" si="27"/>
        <v>2.0793314772103379E-3</v>
      </c>
      <c r="S41" s="3">
        <f t="shared" si="27"/>
        <v>2.0793314771916241E-3</v>
      </c>
      <c r="T41" s="3">
        <f t="shared" si="27"/>
        <v>2.0793314770044843E-3</v>
      </c>
      <c r="U41" s="3">
        <f t="shared" si="27"/>
        <v>2.0793314751330859E-3</v>
      </c>
      <c r="V41" s="3">
        <f t="shared" si="27"/>
        <v>2.0793314564191028E-3</v>
      </c>
      <c r="W41" s="3">
        <f t="shared" si="27"/>
        <v>2.0793312692792801E-3</v>
      </c>
      <c r="X41" s="3">
        <f t="shared" si="27"/>
        <v>2.07932939788198E-3</v>
      </c>
      <c r="Y41" s="3">
        <f t="shared" si="27"/>
        <v>2.0793106840016114E-3</v>
      </c>
      <c r="Z41" s="3">
        <f t="shared" si="27"/>
        <v>2.0791235544610071E-3</v>
      </c>
      <c r="AA41" s="3">
        <f t="shared" si="27"/>
        <v>2.077253185054475E-3</v>
      </c>
      <c r="AB41" s="3">
        <f t="shared" si="27"/>
        <v>2.0586417833235661E-3</v>
      </c>
      <c r="AC41" s="3">
        <f t="shared" si="27"/>
        <v>1.8814569250817812E-3</v>
      </c>
      <c r="AD41" s="3">
        <f t="shared" si="27"/>
        <v>7.6494330184709379E-4</v>
      </c>
      <c r="AE41" s="3">
        <f t="shared" si="27"/>
        <v>9.4401503018367629E-8</v>
      </c>
      <c r="AF41" s="3">
        <f t="shared" si="29"/>
        <v>7.7352710745618308E-47</v>
      </c>
      <c r="AG41" s="3">
        <f t="shared" si="29"/>
        <v>0</v>
      </c>
      <c r="AH41" s="3">
        <f t="shared" si="29"/>
        <v>0</v>
      </c>
      <c r="AI41" s="3">
        <f t="shared" si="29"/>
        <v>0</v>
      </c>
      <c r="AJ41" s="3">
        <f t="shared" si="29"/>
        <v>0</v>
      </c>
    </row>
    <row r="42" spans="1:36" x14ac:dyDescent="0.25">
      <c r="A42" s="3">
        <f t="shared" si="30"/>
        <v>10000000000</v>
      </c>
      <c r="B42" s="106">
        <v>0</v>
      </c>
      <c r="C42" s="18">
        <f t="shared" si="3"/>
        <v>0</v>
      </c>
      <c r="D42" s="17"/>
      <c r="F42" s="3">
        <f t="shared" si="28"/>
        <v>0</v>
      </c>
      <c r="G42" s="3">
        <f t="shared" si="28"/>
        <v>0</v>
      </c>
      <c r="H42" s="3">
        <f t="shared" si="28"/>
        <v>0</v>
      </c>
      <c r="I42" s="3">
        <f t="shared" si="28"/>
        <v>0</v>
      </c>
      <c r="J42" s="3">
        <f t="shared" si="28"/>
        <v>0</v>
      </c>
      <c r="K42" s="3">
        <f t="shared" si="28"/>
        <v>0</v>
      </c>
      <c r="L42" s="3">
        <f t="shared" si="28"/>
        <v>0</v>
      </c>
      <c r="M42" s="3">
        <f t="shared" si="28"/>
        <v>0</v>
      </c>
      <c r="N42" s="3">
        <f t="shared" si="28"/>
        <v>0</v>
      </c>
      <c r="O42" s="3">
        <f t="shared" si="28"/>
        <v>0</v>
      </c>
      <c r="P42" s="3">
        <f t="shared" si="27"/>
        <v>0</v>
      </c>
      <c r="Q42" s="3">
        <f t="shared" si="27"/>
        <v>0</v>
      </c>
      <c r="R42" s="3">
        <f t="shared" si="27"/>
        <v>0</v>
      </c>
      <c r="S42" s="3">
        <f t="shared" si="27"/>
        <v>0</v>
      </c>
      <c r="T42" s="3">
        <f t="shared" si="27"/>
        <v>0</v>
      </c>
      <c r="U42" s="3">
        <f t="shared" si="27"/>
        <v>0</v>
      </c>
      <c r="V42" s="3">
        <f t="shared" si="27"/>
        <v>0</v>
      </c>
      <c r="W42" s="3">
        <f t="shared" si="27"/>
        <v>0</v>
      </c>
      <c r="X42" s="3">
        <f t="shared" si="27"/>
        <v>0</v>
      </c>
      <c r="Y42" s="3">
        <f t="shared" si="27"/>
        <v>0</v>
      </c>
      <c r="Z42" s="3">
        <f t="shared" si="27"/>
        <v>0</v>
      </c>
      <c r="AA42" s="3">
        <f t="shared" si="27"/>
        <v>0</v>
      </c>
      <c r="AB42" s="3">
        <f t="shared" si="27"/>
        <v>0</v>
      </c>
      <c r="AC42" s="3">
        <f t="shared" si="27"/>
        <v>0</v>
      </c>
      <c r="AD42" s="3">
        <f t="shared" si="27"/>
        <v>0</v>
      </c>
      <c r="AE42" s="3">
        <f t="shared" si="27"/>
        <v>0</v>
      </c>
      <c r="AF42" s="3">
        <f t="shared" si="29"/>
        <v>0</v>
      </c>
      <c r="AG42" s="3">
        <f t="shared" si="29"/>
        <v>0</v>
      </c>
      <c r="AH42" s="3">
        <f t="shared" si="29"/>
        <v>0</v>
      </c>
      <c r="AI42" s="3">
        <f t="shared" si="29"/>
        <v>0</v>
      </c>
      <c r="AJ42" s="3">
        <f t="shared" si="29"/>
        <v>0</v>
      </c>
    </row>
    <row r="43" spans="1:36" x14ac:dyDescent="0.25">
      <c r="A43" s="3">
        <f t="shared" si="30"/>
        <v>100000000000</v>
      </c>
      <c r="B43" s="106">
        <v>2.2933443587331423E-3</v>
      </c>
      <c r="C43" s="18">
        <f t="shared" si="3"/>
        <v>2.538048611821601E-3</v>
      </c>
      <c r="D43" s="17"/>
      <c r="F43" s="3">
        <f t="shared" si="28"/>
        <v>2.538048611821601E-3</v>
      </c>
      <c r="G43" s="3">
        <f t="shared" si="28"/>
        <v>2.538048611821601E-3</v>
      </c>
      <c r="H43" s="3">
        <f t="shared" si="28"/>
        <v>2.538048611821601E-3</v>
      </c>
      <c r="I43" s="3">
        <f t="shared" si="28"/>
        <v>2.538048611821601E-3</v>
      </c>
      <c r="J43" s="3">
        <f t="shared" si="28"/>
        <v>2.538048611821601E-3</v>
      </c>
      <c r="K43" s="3">
        <f t="shared" si="28"/>
        <v>2.538048611821601E-3</v>
      </c>
      <c r="L43" s="3">
        <f t="shared" si="28"/>
        <v>2.538048611821601E-3</v>
      </c>
      <c r="M43" s="3">
        <f t="shared" si="28"/>
        <v>2.538048611821601E-3</v>
      </c>
      <c r="N43" s="3">
        <f t="shared" si="28"/>
        <v>2.538048611821601E-3</v>
      </c>
      <c r="O43" s="3">
        <f t="shared" si="28"/>
        <v>2.538048611821601E-3</v>
      </c>
      <c r="P43" s="3">
        <f t="shared" si="27"/>
        <v>2.5380486118216005E-3</v>
      </c>
      <c r="Q43" s="3">
        <f t="shared" si="27"/>
        <v>2.5380486118215984E-3</v>
      </c>
      <c r="R43" s="3">
        <f t="shared" si="27"/>
        <v>2.5380486118215758E-3</v>
      </c>
      <c r="S43" s="3">
        <f t="shared" si="27"/>
        <v>2.5380486118213473E-3</v>
      </c>
      <c r="T43" s="3">
        <f t="shared" si="27"/>
        <v>2.5380486118190631E-3</v>
      </c>
      <c r="U43" s="3">
        <f t="shared" si="27"/>
        <v>2.5380486117962207E-3</v>
      </c>
      <c r="V43" s="3">
        <f t="shared" si="27"/>
        <v>2.5380486115677962E-3</v>
      </c>
      <c r="W43" s="3">
        <f t="shared" si="27"/>
        <v>2.5380486092835526E-3</v>
      </c>
      <c r="X43" s="3">
        <f t="shared" si="27"/>
        <v>2.5380485864411151E-3</v>
      </c>
      <c r="Y43" s="3">
        <f t="shared" si="27"/>
        <v>2.5380483580167527E-3</v>
      </c>
      <c r="Z43" s="3">
        <f t="shared" si="27"/>
        <v>2.5380460737742584E-3</v>
      </c>
      <c r="AA43" s="3">
        <f t="shared" si="27"/>
        <v>2.5380232314623848E-3</v>
      </c>
      <c r="AB43" s="3">
        <f t="shared" si="27"/>
        <v>2.5377948196502391E-3</v>
      </c>
      <c r="AC43" s="3">
        <f t="shared" si="27"/>
        <v>2.5355118318111831E-3</v>
      </c>
      <c r="AD43" s="3">
        <f t="shared" si="27"/>
        <v>2.5127946061812827E-3</v>
      </c>
      <c r="AE43" s="3">
        <f t="shared" si="27"/>
        <v>2.2965213527704085E-3</v>
      </c>
      <c r="AF43" s="3">
        <f t="shared" si="29"/>
        <v>9.3369590498288552E-4</v>
      </c>
      <c r="AG43" s="3">
        <f t="shared" si="29"/>
        <v>1.1522722871047288E-7</v>
      </c>
      <c r="AH43" s="3">
        <f t="shared" si="29"/>
        <v>9.4417336668105709E-47</v>
      </c>
      <c r="AI43" s="3">
        <f t="shared" si="29"/>
        <v>0</v>
      </c>
      <c r="AJ43" s="3">
        <f t="shared" si="29"/>
        <v>0</v>
      </c>
    </row>
    <row r="44" spans="1:36" x14ac:dyDescent="0.25">
      <c r="A44" s="3">
        <f t="shared" si="30"/>
        <v>1000000000000</v>
      </c>
      <c r="B44" s="106">
        <v>1.0723060137803206E-7</v>
      </c>
      <c r="C44" s="18">
        <f t="shared" si="3"/>
        <v>1.186723127453265E-7</v>
      </c>
      <c r="D44" s="17"/>
      <c r="F44" s="3">
        <f t="shared" si="28"/>
        <v>1.186723127453265E-7</v>
      </c>
      <c r="G44" s="3">
        <f t="shared" si="28"/>
        <v>1.186723127453265E-7</v>
      </c>
      <c r="H44" s="3">
        <f t="shared" si="28"/>
        <v>1.186723127453265E-7</v>
      </c>
      <c r="I44" s="3">
        <f t="shared" si="28"/>
        <v>1.186723127453265E-7</v>
      </c>
      <c r="J44" s="3">
        <f t="shared" si="28"/>
        <v>1.186723127453265E-7</v>
      </c>
      <c r="K44" s="3">
        <f t="shared" si="28"/>
        <v>1.186723127453265E-7</v>
      </c>
      <c r="L44" s="3">
        <f t="shared" si="28"/>
        <v>1.186723127453265E-7</v>
      </c>
      <c r="M44" s="3">
        <f t="shared" si="28"/>
        <v>1.186723127453265E-7</v>
      </c>
      <c r="N44" s="3">
        <f t="shared" si="28"/>
        <v>1.186723127453265E-7</v>
      </c>
      <c r="O44" s="3">
        <f t="shared" si="28"/>
        <v>1.186723127453265E-7</v>
      </c>
      <c r="P44" s="3">
        <f t="shared" si="27"/>
        <v>1.186723127453265E-7</v>
      </c>
      <c r="Q44" s="3">
        <f t="shared" si="27"/>
        <v>1.1867231274532648E-7</v>
      </c>
      <c r="R44" s="3">
        <f t="shared" si="27"/>
        <v>1.1867231274532638E-7</v>
      </c>
      <c r="S44" s="3">
        <f t="shared" si="27"/>
        <v>1.1867231274532531E-7</v>
      </c>
      <c r="T44" s="3">
        <f t="shared" si="27"/>
        <v>1.1867231274531463E-7</v>
      </c>
      <c r="U44" s="3">
        <f t="shared" si="27"/>
        <v>1.1867231274520783E-7</v>
      </c>
      <c r="V44" s="3">
        <f t="shared" si="27"/>
        <v>1.1867231274413978E-7</v>
      </c>
      <c r="W44" s="3">
        <f t="shared" si="27"/>
        <v>1.1867231273345926E-7</v>
      </c>
      <c r="X44" s="3">
        <f t="shared" si="27"/>
        <v>1.1867231262665419E-7</v>
      </c>
      <c r="Y44" s="3">
        <f t="shared" si="27"/>
        <v>1.1867231155860337E-7</v>
      </c>
      <c r="Z44" s="3">
        <f t="shared" si="27"/>
        <v>1.1867230087809582E-7</v>
      </c>
      <c r="AA44" s="3">
        <f t="shared" si="27"/>
        <v>1.1867219407307309E-7</v>
      </c>
      <c r="AB44" s="3">
        <f t="shared" si="27"/>
        <v>1.1867112602813264E-7</v>
      </c>
      <c r="AC44" s="3">
        <f t="shared" si="27"/>
        <v>1.1866044610739375E-7</v>
      </c>
      <c r="AD44" s="3">
        <f t="shared" si="27"/>
        <v>1.1855369974896377E-7</v>
      </c>
      <c r="AE44" s="3">
        <f t="shared" si="27"/>
        <v>1.1749150350413978E-7</v>
      </c>
      <c r="AF44" s="3">
        <f t="shared" si="29"/>
        <v>1.0737914905683712E-7</v>
      </c>
      <c r="AG44" s="3">
        <f t="shared" si="29"/>
        <v>4.3657104095273345E-8</v>
      </c>
      <c r="AH44" s="3">
        <f t="shared" si="29"/>
        <v>5.3877146633894588E-12</v>
      </c>
      <c r="AI44" s="3">
        <f t="shared" si="29"/>
        <v>4.414700196627204E-51</v>
      </c>
      <c r="AJ44" s="3">
        <f t="shared" si="29"/>
        <v>0</v>
      </c>
    </row>
    <row r="45" spans="1:36" x14ac:dyDescent="0.25">
      <c r="A45" s="3">
        <f t="shared" si="30"/>
        <v>10000000000000</v>
      </c>
      <c r="B45" s="106">
        <v>1.3826451836555708E-4</v>
      </c>
      <c r="C45" s="18">
        <f t="shared" si="3"/>
        <v>1.5301760835243074E-4</v>
      </c>
      <c r="D45" s="17"/>
      <c r="F45" s="3">
        <f t="shared" si="28"/>
        <v>1.5301760835243074E-4</v>
      </c>
      <c r="G45" s="3">
        <f t="shared" si="28"/>
        <v>1.5301760835243074E-4</v>
      </c>
      <c r="H45" s="3">
        <f t="shared" si="28"/>
        <v>1.5301760835243074E-4</v>
      </c>
      <c r="I45" s="3">
        <f t="shared" si="28"/>
        <v>1.5301760835243074E-4</v>
      </c>
      <c r="J45" s="3">
        <f t="shared" si="28"/>
        <v>1.5301760835243074E-4</v>
      </c>
      <c r="K45" s="3">
        <f t="shared" si="28"/>
        <v>1.5301760835243074E-4</v>
      </c>
      <c r="L45" s="3">
        <f t="shared" si="28"/>
        <v>1.5301760835243074E-4</v>
      </c>
      <c r="M45" s="3">
        <f t="shared" si="28"/>
        <v>1.5301760835243074E-4</v>
      </c>
      <c r="N45" s="3">
        <f t="shared" si="28"/>
        <v>1.5301760835243074E-4</v>
      </c>
      <c r="O45" s="3">
        <f t="shared" si="28"/>
        <v>1.5301760835243074E-4</v>
      </c>
      <c r="P45" s="3">
        <f t="shared" si="27"/>
        <v>1.5301760835243074E-4</v>
      </c>
      <c r="Q45" s="3">
        <f t="shared" si="27"/>
        <v>1.5301760835243074E-4</v>
      </c>
      <c r="R45" s="3">
        <f t="shared" si="27"/>
        <v>1.5301760835243072E-4</v>
      </c>
      <c r="S45" s="3">
        <f t="shared" si="27"/>
        <v>1.5301760835243058E-4</v>
      </c>
      <c r="T45" s="3">
        <f t="shared" si="27"/>
        <v>1.5301760835242923E-4</v>
      </c>
      <c r="U45" s="3">
        <f t="shared" si="27"/>
        <v>1.5301760835241543E-4</v>
      </c>
      <c r="V45" s="3">
        <f t="shared" si="27"/>
        <v>1.5301760835227774E-4</v>
      </c>
      <c r="W45" s="3">
        <f t="shared" si="27"/>
        <v>1.5301760835090055E-4</v>
      </c>
      <c r="X45" s="3">
        <f t="shared" si="27"/>
        <v>1.5301760833712899E-4</v>
      </c>
      <c r="Y45" s="3">
        <f t="shared" si="27"/>
        <v>1.5301760819941314E-4</v>
      </c>
      <c r="Z45" s="3">
        <f t="shared" si="27"/>
        <v>1.5301760682225467E-4</v>
      </c>
      <c r="AA45" s="3">
        <f t="shared" si="27"/>
        <v>1.5301759305067067E-4</v>
      </c>
      <c r="AB45" s="3">
        <f t="shared" si="27"/>
        <v>1.5301745533489891E-4</v>
      </c>
      <c r="AC45" s="3">
        <f t="shared" si="27"/>
        <v>1.5301607818399808E-4</v>
      </c>
      <c r="AD45" s="3">
        <f t="shared" si="27"/>
        <v>1.5300230735665804E-4</v>
      </c>
      <c r="AE45" s="3">
        <f t="shared" si="27"/>
        <v>1.5286466722738592E-4</v>
      </c>
      <c r="AF45" s="3">
        <f t="shared" si="29"/>
        <v>1.5149505771001938E-4</v>
      </c>
      <c r="AG45" s="3">
        <f t="shared" si="29"/>
        <v>1.384560576556511E-4</v>
      </c>
      <c r="AH45" s="3">
        <f t="shared" si="29"/>
        <v>5.6292032250082849E-5</v>
      </c>
      <c r="AI45" s="3">
        <f t="shared" si="29"/>
        <v>6.9469886716237716E-9</v>
      </c>
      <c r="AJ45" s="3">
        <f t="shared" si="29"/>
        <v>5.6923712874004286E-48</v>
      </c>
    </row>
    <row r="46" spans="1:36" x14ac:dyDescent="0.25">
      <c r="A46" s="3">
        <f t="shared" si="30"/>
        <v>100000000000000</v>
      </c>
      <c r="B46" s="106">
        <v>1.637349832972084E-4</v>
      </c>
      <c r="C46" s="18">
        <f t="shared" si="3"/>
        <v>1.8120582087099855E-4</v>
      </c>
      <c r="D46" s="17"/>
      <c r="F46" s="3">
        <f t="shared" si="28"/>
        <v>1.8120582087099855E-4</v>
      </c>
      <c r="G46" s="3">
        <f t="shared" si="28"/>
        <v>1.8120582087099855E-4</v>
      </c>
      <c r="H46" s="3">
        <f t="shared" si="28"/>
        <v>1.8120582087099855E-4</v>
      </c>
      <c r="I46" s="3">
        <f t="shared" si="28"/>
        <v>1.8120582087099855E-4</v>
      </c>
      <c r="J46" s="3">
        <f t="shared" si="28"/>
        <v>1.8120582087099855E-4</v>
      </c>
      <c r="K46" s="3">
        <f t="shared" si="28"/>
        <v>1.8120582087099855E-4</v>
      </c>
      <c r="L46" s="3">
        <f t="shared" si="28"/>
        <v>1.8120582087099855E-4</v>
      </c>
      <c r="M46" s="3">
        <f t="shared" si="28"/>
        <v>1.8120582087099855E-4</v>
      </c>
      <c r="N46" s="3">
        <f t="shared" si="28"/>
        <v>1.8120582087099855E-4</v>
      </c>
      <c r="O46" s="3">
        <f t="shared" si="28"/>
        <v>1.8120582087099855E-4</v>
      </c>
      <c r="P46" s="3">
        <f t="shared" si="27"/>
        <v>1.8120582087099855E-4</v>
      </c>
      <c r="Q46" s="3">
        <f t="shared" si="27"/>
        <v>1.8120582087099855E-4</v>
      </c>
      <c r="R46" s="3">
        <f t="shared" si="27"/>
        <v>1.8120582087099855E-4</v>
      </c>
      <c r="S46" s="3">
        <f t="shared" si="27"/>
        <v>1.8120582087099852E-4</v>
      </c>
      <c r="T46" s="3">
        <f t="shared" si="27"/>
        <v>1.8120582087099836E-4</v>
      </c>
      <c r="U46" s="3">
        <f t="shared" si="27"/>
        <v>1.8120582087099673E-4</v>
      </c>
      <c r="V46" s="3">
        <f t="shared" si="27"/>
        <v>1.8120582087098041E-4</v>
      </c>
      <c r="W46" s="3">
        <f t="shared" si="27"/>
        <v>1.8120582087081735E-4</v>
      </c>
      <c r="X46" s="3">
        <f t="shared" si="27"/>
        <v>1.8120582086918649E-4</v>
      </c>
      <c r="Y46" s="3">
        <f t="shared" si="27"/>
        <v>1.8120582085287795E-4</v>
      </c>
      <c r="Z46" s="3">
        <f t="shared" si="27"/>
        <v>1.8120582068979272E-4</v>
      </c>
      <c r="AA46" s="3">
        <f t="shared" si="27"/>
        <v>1.8120581905894034E-4</v>
      </c>
      <c r="AB46" s="3">
        <f t="shared" si="27"/>
        <v>1.8120580275041737E-4</v>
      </c>
      <c r="AC46" s="3">
        <f t="shared" si="27"/>
        <v>1.8120563966526827E-4</v>
      </c>
      <c r="AD46" s="3">
        <f t="shared" si="27"/>
        <v>1.8120400882185009E-4</v>
      </c>
      <c r="AE46" s="3">
        <f t="shared" si="27"/>
        <v>1.8118770119491035E-4</v>
      </c>
      <c r="AF46" s="3">
        <f t="shared" si="29"/>
        <v>1.8102470562284456E-4</v>
      </c>
      <c r="AG46" s="3">
        <f t="shared" si="29"/>
        <v>1.7940279282771364E-4</v>
      </c>
      <c r="AH46" s="3">
        <f t="shared" si="29"/>
        <v>1.6396180709000091E-4</v>
      </c>
      <c r="AI46" s="3">
        <f t="shared" si="29"/>
        <v>6.6661896119035426E-5</v>
      </c>
      <c r="AJ46" s="3">
        <f t="shared" si="29"/>
        <v>8.2267315400967466E-9</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0</v>
      </c>
      <c r="C48" s="18">
        <f t="shared" si="3"/>
        <v>0</v>
      </c>
      <c r="D48" s="17"/>
      <c r="F48" s="3">
        <f t="shared" si="28"/>
        <v>0</v>
      </c>
      <c r="G48" s="3">
        <f t="shared" si="28"/>
        <v>0</v>
      </c>
      <c r="H48" s="3">
        <f t="shared" si="28"/>
        <v>0</v>
      </c>
      <c r="I48" s="3">
        <f t="shared" si="28"/>
        <v>0</v>
      </c>
      <c r="J48" s="3">
        <f t="shared" si="28"/>
        <v>0</v>
      </c>
      <c r="K48" s="3">
        <f t="shared" si="28"/>
        <v>0</v>
      </c>
      <c r="L48" s="3">
        <f t="shared" si="28"/>
        <v>0</v>
      </c>
      <c r="M48" s="3">
        <f t="shared" si="28"/>
        <v>0</v>
      </c>
      <c r="N48" s="3">
        <f t="shared" si="28"/>
        <v>0</v>
      </c>
      <c r="O48" s="3">
        <f t="shared" si="28"/>
        <v>0</v>
      </c>
      <c r="P48" s="3">
        <f t="shared" si="27"/>
        <v>0</v>
      </c>
      <c r="Q48" s="3">
        <f t="shared" si="27"/>
        <v>0</v>
      </c>
      <c r="R48" s="3">
        <f t="shared" si="27"/>
        <v>0</v>
      </c>
      <c r="S48" s="3">
        <f t="shared" si="27"/>
        <v>0</v>
      </c>
      <c r="T48" s="3">
        <f t="shared" si="27"/>
        <v>0</v>
      </c>
      <c r="U48" s="3">
        <f t="shared" si="27"/>
        <v>0</v>
      </c>
      <c r="V48" s="3">
        <f t="shared" si="27"/>
        <v>0</v>
      </c>
      <c r="W48" s="3">
        <f t="shared" si="27"/>
        <v>0</v>
      </c>
      <c r="X48" s="3">
        <f t="shared" si="27"/>
        <v>0</v>
      </c>
      <c r="Y48" s="3">
        <f t="shared" si="27"/>
        <v>0</v>
      </c>
      <c r="Z48" s="3">
        <f t="shared" si="27"/>
        <v>0</v>
      </c>
      <c r="AA48" s="3">
        <f t="shared" si="27"/>
        <v>0</v>
      </c>
      <c r="AB48" s="3">
        <f t="shared" si="27"/>
        <v>0</v>
      </c>
      <c r="AC48" s="3">
        <f t="shared" si="27"/>
        <v>0</v>
      </c>
      <c r="AD48" s="3">
        <f t="shared" si="27"/>
        <v>0</v>
      </c>
      <c r="AE48" s="3">
        <f t="shared" si="27"/>
        <v>0</v>
      </c>
      <c r="AF48" s="3">
        <f t="shared" si="29"/>
        <v>0</v>
      </c>
      <c r="AG48" s="3">
        <f t="shared" si="29"/>
        <v>0</v>
      </c>
      <c r="AH48" s="3">
        <f t="shared" si="29"/>
        <v>0</v>
      </c>
      <c r="AI48" s="3">
        <f t="shared" si="29"/>
        <v>0</v>
      </c>
      <c r="AJ48" s="3">
        <f t="shared" si="29"/>
        <v>0</v>
      </c>
    </row>
    <row r="49" spans="1:36" x14ac:dyDescent="0.25">
      <c r="B49" s="16">
        <f>SUM(B17:B48)</f>
        <v>0.90358567131114553</v>
      </c>
      <c r="C49" s="18">
        <f>SUM(C17:C48)</f>
        <v>0.99999999999999989</v>
      </c>
      <c r="F49" s="3">
        <f t="shared" ref="F49:AJ49" si="31">F16-F17</f>
        <v>58.154737305882918</v>
      </c>
      <c r="G49" s="3">
        <f t="shared" si="31"/>
        <v>-75.202925185355525</v>
      </c>
      <c r="H49" s="3">
        <f t="shared" si="31"/>
        <v>19.914343019526314</v>
      </c>
      <c r="I49" s="3">
        <f t="shared" si="31"/>
        <v>-3.2512539816898425</v>
      </c>
      <c r="J49" s="3">
        <f t="shared" si="31"/>
        <v>0.44688737758406205</v>
      </c>
      <c r="K49" s="3">
        <f t="shared" si="31"/>
        <v>-4.5519478321693896E-2</v>
      </c>
      <c r="L49" s="3">
        <f t="shared" si="31"/>
        <v>-2.1639273973960371E-2</v>
      </c>
      <c r="M49" s="3">
        <f t="shared" si="31"/>
        <v>8.2367030332534341E-2</v>
      </c>
      <c r="N49" s="3">
        <f t="shared" si="31"/>
        <v>-0.19441758007815224</v>
      </c>
      <c r="O49" s="3">
        <f t="shared" si="31"/>
        <v>0.39554736566333304</v>
      </c>
      <c r="P49" s="3">
        <f t="shared" si="31"/>
        <v>-0.67232908061760099</v>
      </c>
      <c r="Q49" s="3">
        <f t="shared" si="31"/>
        <v>0.97160608541253168</v>
      </c>
      <c r="R49" s="3">
        <f t="shared" si="31"/>
        <v>-1.1890955121843945</v>
      </c>
      <c r="S49" s="3">
        <f t="shared" si="31"/>
        <v>1.2359835880929495</v>
      </c>
      <c r="T49" s="3">
        <f t="shared" si="31"/>
        <v>-1.1093992051373789</v>
      </c>
      <c r="U49" s="3">
        <f t="shared" si="31"/>
        <v>0.85150190958574967</v>
      </c>
      <c r="V49" s="3">
        <f t="shared" si="31"/>
        <v>-0.57462013230315279</v>
      </c>
      <c r="W49" s="3">
        <f t="shared" si="31"/>
        <v>0.33117908966255527</v>
      </c>
      <c r="X49" s="3">
        <f t="shared" si="31"/>
        <v>-0.15998241549550585</v>
      </c>
      <c r="Y49" s="3">
        <f t="shared" si="31"/>
        <v>6.9180849157646662E-2</v>
      </c>
      <c r="Z49" s="3">
        <f t="shared" si="31"/>
        <v>-2.7693074640978921E-2</v>
      </c>
      <c r="AA49" s="3">
        <f t="shared" si="31"/>
        <v>1.2697278015252778E-2</v>
      </c>
      <c r="AB49" s="3">
        <f t="shared" si="31"/>
        <v>-1.054475900758689E-2</v>
      </c>
      <c r="AC49" s="3">
        <f t="shared" si="31"/>
        <v>1.4864760222423001E-2</v>
      </c>
      <c r="AD49" s="3">
        <f t="shared" si="31"/>
        <v>-1.592301545380792E-2</v>
      </c>
      <c r="AE49" s="3">
        <f t="shared" si="31"/>
        <v>-3.3294950563657721E-2</v>
      </c>
      <c r="AF49" s="3">
        <f t="shared" si="31"/>
        <v>9.4278902516521157E-2</v>
      </c>
      <c r="AG49" s="3">
        <f t="shared" si="31"/>
        <v>-0.12600568334480045</v>
      </c>
      <c r="AH49" s="3">
        <f t="shared" si="31"/>
        <v>0.17741480568051315</v>
      </c>
      <c r="AI49" s="3">
        <f t="shared" si="31"/>
        <v>-0.24284254103949365</v>
      </c>
      <c r="AJ49" s="3">
        <f t="shared" si="31"/>
        <v>0.13872547110494793</v>
      </c>
    </row>
    <row r="50" spans="1:36" x14ac:dyDescent="0.25">
      <c r="F50" s="57">
        <f t="shared" ref="F50:AJ50" si="32">F49/F17</f>
        <v>1.0169694082565954E-2</v>
      </c>
      <c r="G50" s="57">
        <f t="shared" si="32"/>
        <v>-1.331757096741959E-2</v>
      </c>
      <c r="H50" s="57">
        <f t="shared" si="32"/>
        <v>3.700965844316798E-3</v>
      </c>
      <c r="I50" s="57">
        <f t="shared" si="32"/>
        <v>-6.2304621440440247E-4</v>
      </c>
      <c r="J50" s="57">
        <f t="shared" si="32"/>
        <v>8.9646806651406372E-5</v>
      </c>
      <c r="K50" s="57">
        <f t="shared" si="32"/>
        <v>-9.5661700996958469E-6</v>
      </c>
      <c r="L50" s="57">
        <f t="shared" si="32"/>
        <v>-4.7397036860186302E-6</v>
      </c>
      <c r="M50" s="57">
        <f t="shared" si="32"/>
        <v>1.878470593791964E-5</v>
      </c>
      <c r="N50" s="57">
        <f t="shared" si="32"/>
        <v>-4.6252899331964948E-5</v>
      </c>
      <c r="O50" s="57">
        <f t="shared" si="32"/>
        <v>9.8237940509264681E-5</v>
      </c>
      <c r="P50" s="57">
        <f t="shared" si="32"/>
        <v>-1.7492639330282114E-4</v>
      </c>
      <c r="Q50" s="57">
        <f t="shared" si="32"/>
        <v>2.6714952082616312E-4</v>
      </c>
      <c r="R50" s="57">
        <f t="shared" si="32"/>
        <v>-3.4888878002544083E-4</v>
      </c>
      <c r="S50" s="57">
        <f t="shared" si="32"/>
        <v>3.9306413041965147E-4</v>
      </c>
      <c r="T50" s="57">
        <f t="shared" si="32"/>
        <v>-3.9075938607014928E-4</v>
      </c>
      <c r="U50" s="57">
        <f t="shared" si="32"/>
        <v>3.5108923425141401E-4</v>
      </c>
      <c r="V50" s="57">
        <f t="shared" si="32"/>
        <v>-3.0970433791146059E-4</v>
      </c>
      <c r="W50" s="57">
        <f t="shared" si="32"/>
        <v>2.6100879069840949E-4</v>
      </c>
      <c r="X50" s="57">
        <f t="shared" si="32"/>
        <v>-1.9790789931144084E-4</v>
      </c>
      <c r="Y50" s="57">
        <f t="shared" si="32"/>
        <v>1.359260067554711E-4</v>
      </c>
      <c r="Z50" s="57">
        <f t="shared" si="32"/>
        <v>-8.048403951345552E-5</v>
      </c>
      <c r="AA50" s="57">
        <f t="shared" si="32"/>
        <v>4.8330127567419274E-5</v>
      </c>
      <c r="AB50" s="57">
        <f t="shared" si="32"/>
        <v>-4.7296427699836751E-5</v>
      </c>
      <c r="AC50" s="57">
        <f t="shared" si="32"/>
        <v>7.3841147162556623E-5</v>
      </c>
      <c r="AD50" s="57">
        <f t="shared" si="32"/>
        <v>-8.4678145610188029E-5</v>
      </c>
      <c r="AE50" s="57">
        <f t="shared" si="32"/>
        <v>-1.8376778624451935E-4</v>
      </c>
      <c r="AF50" s="57">
        <f t="shared" si="32"/>
        <v>5.492873201326389E-4</v>
      </c>
      <c r="AG50" s="57">
        <f t="shared" si="32"/>
        <v>-7.636353837928312E-4</v>
      </c>
      <c r="AH50" s="57">
        <f t="shared" si="32"/>
        <v>1.0796642769236309E-3</v>
      </c>
      <c r="AI50" s="57">
        <f t="shared" si="32"/>
        <v>-1.4875489280096771E-3</v>
      </c>
      <c r="AJ50" s="57">
        <f t="shared" si="32"/>
        <v>8.5220580409194806E-4</v>
      </c>
    </row>
    <row r="51" spans="1:36" x14ac:dyDescent="0.25">
      <c r="A51" s="13" t="s">
        <v>21</v>
      </c>
      <c r="B51" s="3">
        <f>STUTT!D8</f>
        <v>6992.4087</v>
      </c>
      <c r="E51" s="11" t="s">
        <v>24</v>
      </c>
      <c r="F51" s="20">
        <f t="shared" ref="F51:AJ51" si="33">(F16-F17)^2</f>
        <v>3381.9734711162505</v>
      </c>
      <c r="G51" s="20">
        <f t="shared" si="33"/>
        <v>5655.4799564341802</v>
      </c>
      <c r="H51" s="20">
        <f t="shared" si="33"/>
        <v>396.58105789935644</v>
      </c>
      <c r="I51" s="20">
        <f t="shared" si="33"/>
        <v>10.570652453454054</v>
      </c>
      <c r="J51" s="20">
        <f t="shared" si="33"/>
        <v>0.19970832824396004</v>
      </c>
      <c r="K51" s="20">
        <f t="shared" si="33"/>
        <v>2.0720229066791603E-3</v>
      </c>
      <c r="L51" s="20">
        <f t="shared" si="33"/>
        <v>4.6825817812011869E-4</v>
      </c>
      <c r="M51" s="20">
        <f t="shared" si="33"/>
        <v>6.7843276858006321E-3</v>
      </c>
      <c r="N51" s="20">
        <f t="shared" si="33"/>
        <v>3.7798195443444739E-2</v>
      </c>
      <c r="O51" s="20">
        <f t="shared" si="33"/>
        <v>0.1564577184832025</v>
      </c>
      <c r="P51" s="20">
        <f t="shared" si="33"/>
        <v>0.4520263926441086</v>
      </c>
      <c r="Q51" s="20">
        <f t="shared" si="33"/>
        <v>0.94401838521066384</v>
      </c>
      <c r="R51" s="20">
        <f t="shared" si="33"/>
        <v>1.4139481370970675</v>
      </c>
      <c r="S51" s="20">
        <f t="shared" si="33"/>
        <v>1.5276554300351219</v>
      </c>
      <c r="T51" s="20">
        <f t="shared" si="33"/>
        <v>1.2307665963594481</v>
      </c>
      <c r="U51" s="20">
        <f t="shared" si="33"/>
        <v>0.72505550202817826</v>
      </c>
      <c r="V51" s="20">
        <f t="shared" si="33"/>
        <v>0.33018829644809283</v>
      </c>
      <c r="W51" s="20">
        <f t="shared" si="33"/>
        <v>0.10967958942971882</v>
      </c>
      <c r="X51" s="20">
        <f t="shared" si="33"/>
        <v>2.5594373267776669E-2</v>
      </c>
      <c r="Y51" s="20">
        <f t="shared" si="33"/>
        <v>4.7859898901730612E-3</v>
      </c>
      <c r="Z51" s="20">
        <f t="shared" si="33"/>
        <v>7.6690638307082976E-4</v>
      </c>
      <c r="AA51" s="20">
        <f t="shared" si="33"/>
        <v>1.6122086899662152E-4</v>
      </c>
      <c r="AB51" s="20">
        <f t="shared" si="33"/>
        <v>1.1119194252808486E-4</v>
      </c>
      <c r="AC51" s="20">
        <f t="shared" si="33"/>
        <v>2.2096109647012913E-4</v>
      </c>
      <c r="AD51" s="20">
        <f t="shared" si="33"/>
        <v>2.5354242114220585E-4</v>
      </c>
      <c r="AE51" s="20">
        <f t="shared" si="33"/>
        <v>1.1085537330364117E-3</v>
      </c>
      <c r="AF51" s="20">
        <f t="shared" si="33"/>
        <v>8.8885114597196998E-3</v>
      </c>
      <c r="AG51" s="20">
        <f t="shared" si="33"/>
        <v>1.5877432235190121E-2</v>
      </c>
      <c r="AH51" s="20">
        <f t="shared" si="33"/>
        <v>3.1476013274654241E-2</v>
      </c>
      <c r="AI51" s="20">
        <f t="shared" si="33"/>
        <v>5.8972499738518161E-2</v>
      </c>
      <c r="AJ51" s="20">
        <f t="shared" si="33"/>
        <v>1.9244756333289741E-2</v>
      </c>
    </row>
    <row r="52" spans="1:36" x14ac:dyDescent="0.25">
      <c r="A52" s="13"/>
    </row>
    <row r="53" spans="1:36" x14ac:dyDescent="0.25">
      <c r="E53" s="118" t="s">
        <v>25</v>
      </c>
      <c r="F53" s="118"/>
      <c r="G53" s="104">
        <f>SUM(F51:AJ51)</f>
        <v>9451.9092270360816</v>
      </c>
      <c r="I53" s="3">
        <f>G53+C123</f>
        <v>9451.9092270360816</v>
      </c>
      <c r="K53" s="3">
        <f>SUM(Z51:AJ51)</f>
        <v>0.13708158948661625</v>
      </c>
    </row>
    <row r="55" spans="1:36" x14ac:dyDescent="0.25">
      <c r="E55" s="30" t="s">
        <v>30</v>
      </c>
      <c r="F55" s="31">
        <f t="shared" ref="F55:AJ55" si="34">ABS(F17-F16)/F16</f>
        <v>1.0067312593258947E-2</v>
      </c>
      <c r="G55" s="31">
        <f t="shared" si="34"/>
        <v>1.349732251792217E-2</v>
      </c>
      <c r="H55" s="31">
        <f t="shared" si="34"/>
        <v>3.6873192018934968E-3</v>
      </c>
      <c r="I55" s="31">
        <f t="shared" si="34"/>
        <v>6.2343464299865136E-4</v>
      </c>
      <c r="J55" s="31">
        <f t="shared" si="34"/>
        <v>8.9638770821850032E-5</v>
      </c>
      <c r="K55" s="31">
        <f t="shared" si="34"/>
        <v>9.5662616121816482E-6</v>
      </c>
      <c r="L55" s="31">
        <f t="shared" si="34"/>
        <v>4.7397261509161389E-6</v>
      </c>
      <c r="M55" s="31">
        <f t="shared" si="34"/>
        <v>1.878435307937081E-5</v>
      </c>
      <c r="N55" s="31">
        <f t="shared" si="34"/>
        <v>4.6255038761616384E-5</v>
      </c>
      <c r="O55" s="31">
        <f t="shared" si="34"/>
        <v>9.8228290764280243E-5</v>
      </c>
      <c r="P55" s="31">
        <f t="shared" si="34"/>
        <v>1.7495699789944679E-4</v>
      </c>
      <c r="Q55" s="31">
        <f t="shared" si="34"/>
        <v>2.6707817102075178E-4</v>
      </c>
      <c r="R55" s="31">
        <f t="shared" si="34"/>
        <v>3.4901054588901207E-4</v>
      </c>
      <c r="S55" s="31">
        <f t="shared" si="34"/>
        <v>3.9290969171334474E-4</v>
      </c>
      <c r="T55" s="31">
        <f t="shared" si="34"/>
        <v>3.9091213865745844E-4</v>
      </c>
      <c r="U55" s="31">
        <f t="shared" si="34"/>
        <v>3.5096601386235883E-4</v>
      </c>
      <c r="V55" s="31">
        <f t="shared" si="34"/>
        <v>3.0980028440342653E-4</v>
      </c>
      <c r="W55" s="31">
        <f t="shared" si="34"/>
        <v>2.6094068288632532E-4</v>
      </c>
      <c r="X55" s="31">
        <f t="shared" si="34"/>
        <v>1.9794707460114999E-4</v>
      </c>
      <c r="Y55" s="31">
        <f t="shared" si="34"/>
        <v>1.359075333871698E-4</v>
      </c>
      <c r="Z55" s="31">
        <f t="shared" si="34"/>
        <v>8.0490517715463785E-5</v>
      </c>
      <c r="AA55" s="31">
        <f t="shared" si="34"/>
        <v>4.8327791879072704E-5</v>
      </c>
      <c r="AB55" s="31">
        <f t="shared" si="34"/>
        <v>4.7298664757714763E-5</v>
      </c>
      <c r="AC55" s="31">
        <f t="shared" si="34"/>
        <v>7.3835695050132575E-5</v>
      </c>
      <c r="AD55" s="31">
        <f t="shared" si="34"/>
        <v>8.4685316605758612E-5</v>
      </c>
      <c r="AE55" s="31">
        <f t="shared" si="34"/>
        <v>1.838015630508695E-4</v>
      </c>
      <c r="AF55" s="31">
        <f t="shared" si="34"/>
        <v>5.4898576921067822E-4</v>
      </c>
      <c r="AG55" s="31">
        <f t="shared" si="34"/>
        <v>7.642189684380962E-4</v>
      </c>
      <c r="AH55" s="31">
        <f t="shared" si="34"/>
        <v>1.0784998591530362E-3</v>
      </c>
      <c r="AI55" s="31">
        <f t="shared" si="34"/>
        <v>1.4897650263776515E-3</v>
      </c>
      <c r="AJ55" s="31">
        <f t="shared" si="34"/>
        <v>8.514801677509215E-4</v>
      </c>
    </row>
    <row r="56" spans="1:36" x14ac:dyDescent="0.25">
      <c r="E56" s="13" t="s">
        <v>31</v>
      </c>
      <c r="F56" s="32">
        <f>AVERAGE(F55:AJ55)</f>
        <v>1.1685296732765586E-3</v>
      </c>
    </row>
    <row r="57" spans="1:36" x14ac:dyDescent="0.25">
      <c r="A57" s="42"/>
      <c r="B57" s="15"/>
      <c r="C57" s="15"/>
      <c r="D57" s="15"/>
      <c r="F57" s="60">
        <f>AVERAGE(S55:X55)</f>
        <v>3.1724598102067731E-4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-38.51735486656284</v>
      </c>
    </row>
    <row r="119" spans="1:14" x14ac:dyDescent="0.25">
      <c r="L119" s="11">
        <f>L118+1</f>
        <v>2</v>
      </c>
      <c r="M119" s="11">
        <f t="shared" ref="M119:M124" si="35">INDEX($B$125:$K$126,1,L119)</f>
        <v>0</v>
      </c>
      <c r="N119" s="11">
        <f t="shared" ref="N119:N124" si="36">IF(L119=$B$3,0,INDEX($B$125:$K$126,2,L119))</f>
        <v>-28.242675164746736</v>
      </c>
    </row>
    <row r="120" spans="1:14" x14ac:dyDescent="0.25">
      <c r="L120" s="11">
        <f t="shared" ref="L120:L124" si="37">L119+1</f>
        <v>3</v>
      </c>
      <c r="M120" s="11">
        <f t="shared" si="35"/>
        <v>25</v>
      </c>
      <c r="N120" s="11">
        <f t="shared" si="36"/>
        <v>-23.278137752401474</v>
      </c>
    </row>
    <row r="121" spans="1:14" x14ac:dyDescent="0.25">
      <c r="A121" s="103">
        <f>(A165+A204+A243+A282+A321+A360+A399)*10^9</f>
        <v>2.9119463900115752E+16</v>
      </c>
      <c r="L121" s="11">
        <f t="shared" si="37"/>
        <v>4</v>
      </c>
      <c r="M121" s="11">
        <f t="shared" si="35"/>
        <v>50</v>
      </c>
      <c r="N121" s="11">
        <f t="shared" si="36"/>
        <v>-19.200286419303232</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-12.289357784876906</v>
      </c>
    </row>
    <row r="123" spans="1:14" x14ac:dyDescent="0.25">
      <c r="A123" s="118"/>
      <c r="B123" s="118"/>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12.666793367234712</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-38.51735486656284</v>
      </c>
      <c r="C126" s="107">
        <v>-28.242675164746736</v>
      </c>
      <c r="D126" s="107">
        <v>-23.278137752401474</v>
      </c>
      <c r="E126" s="107">
        <v>-19.200286419303232</v>
      </c>
      <c r="F126" s="107">
        <v>-12.289357784876906</v>
      </c>
      <c r="G126" s="107">
        <v>-2.6218992684591837E-5</v>
      </c>
      <c r="H126" s="107">
        <v>12.666793367234712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7093.1154116431162</v>
      </c>
      <c r="C130" s="26">
        <f>INDEX(Comparison!$AM$3:$AS$33,G14,$B$122)</f>
        <v>7093.186769557813</v>
      </c>
      <c r="D130" s="26">
        <f>INDEX(Comparison!$AM$3:$AS$33,H14,$B$122)</f>
        <v>7093.1496241627792</v>
      </c>
      <c r="E130" s="26">
        <f>INDEX(Comparison!$AM$3:$AS$33,I14,$B$122)</f>
        <v>7093.139849123485</v>
      </c>
      <c r="F130" s="26">
        <f>INDEX(Comparison!$AM$3:$AS$33,J14,$B$122)</f>
        <v>7093.1370316171597</v>
      </c>
      <c r="G130" s="26">
        <f>INDEX(Comparison!$AM$3:$AS$33,K14,$B$122)</f>
        <v>7093.1361691156708</v>
      </c>
      <c r="H130" s="26">
        <f>INDEX(Comparison!$AM$3:$AS$33,L14,$B$122)</f>
        <v>7093.1358816152215</v>
      </c>
      <c r="I130" s="26">
        <f>INDEX(Comparison!$AM$3:$AS$33,M14,$B$122)</f>
        <v>7093.135709114963</v>
      </c>
      <c r="J130" s="26">
        <f>INDEX(Comparison!$AM$3:$AS$33,N14,$B$122)</f>
        <v>7093.1355366147118</v>
      </c>
      <c r="K130" s="26">
        <f>INDEX(Comparison!$AM$3:$AS$33,O14,$B$122)</f>
        <v>7093.1340991129555</v>
      </c>
      <c r="L130" s="26">
        <f>INDEX(Comparison!$AM$3:$AS$33,P14,$B$122)</f>
        <v>7093.1198391270691</v>
      </c>
      <c r="M130" s="26">
        <f>INDEX(Comparison!$AM$3:$AS$33,Q14,$B$122)</f>
        <v>7092.9771274266232</v>
      </c>
      <c r="N130" s="26">
        <f>INDEX(Comparison!$AM$3:$AS$33,R14,$B$122)</f>
        <v>7091.5625107943715</v>
      </c>
      <c r="O130" s="26">
        <f>INDEX(Comparison!$AM$3:$AS$33,S14,$B$122)</f>
        <v>7078.0585854387473</v>
      </c>
      <c r="P130" s="26">
        <f>INDEX(Comparison!$AM$3:$AS$33,T14,$B$122)</f>
        <v>6980.1771345591078</v>
      </c>
      <c r="Q130" s="26">
        <f>INDEX(Comparison!$AM$3:$AS$33,U14,$B$122)</f>
        <v>6817.7458366168885</v>
      </c>
      <c r="R130" s="26">
        <f>INDEX(Comparison!$AM$3:$AS$33,V14,$B$122)</f>
        <v>6700.2000319833087</v>
      </c>
      <c r="S130" s="26">
        <f>INDEX(Comparison!$AM$3:$AS$33,W14,$B$122)</f>
        <v>6581.4875752007347</v>
      </c>
      <c r="T130" s="26">
        <f>INDEX(Comparison!$AM$3:$AS$33,X14,$B$122)</f>
        <v>6449.3747740231202</v>
      </c>
      <c r="U130" s="26">
        <f>INDEX(Comparison!$AM$3:$AS$33,Y14,$B$122)</f>
        <v>6289.3605252793404</v>
      </c>
      <c r="V130" s="26">
        <f>INDEX(Comparison!$AM$3:$AS$33,Z14,$B$122)</f>
        <v>6015.8011652173718</v>
      </c>
      <c r="W130" s="26">
        <f>INDEX(Comparison!$AM$3:$AS$33,AA14,$B$122)</f>
        <v>5393.4478275395559</v>
      </c>
      <c r="X130" s="26">
        <f>INDEX(Comparison!$AM$3:$AS$33,AB14,$B$122)</f>
        <v>4577.424969740212</v>
      </c>
      <c r="Y130" s="26">
        <f>INDEX(Comparison!$AM$3:$AS$33,AC14,$B$122)</f>
        <v>3914.6236771373719</v>
      </c>
      <c r="Z130" s="26">
        <f>INDEX(Comparison!$AM$3:$AS$33,AD14,$B$122)</f>
        <v>3439.215903424868</v>
      </c>
      <c r="AA130" s="26">
        <f>INDEX(Comparison!$AM$3:$AS$33,AE14,$B$122)</f>
        <v>3078.9760704970804</v>
      </c>
      <c r="AB130" s="26">
        <f>INDEX(Comparison!$AM$3:$AS$33,AF14,$B$122)</f>
        <v>2798.5736498484516</v>
      </c>
      <c r="AC130" s="26">
        <f>INDEX(Comparison!$AM$3:$AS$33,AG14,$B$122)</f>
        <v>2590.4913778751102</v>
      </c>
      <c r="AD130" s="26">
        <f>INDEX(Comparison!$AM$3:$AS$33,AH14,$B$122)</f>
        <v>2428.2171958860131</v>
      </c>
      <c r="AE130" s="26">
        <f>INDEX(Comparison!$AM$3:$AS$33,AI14,$B$122)</f>
        <v>2284.9023004500814</v>
      </c>
      <c r="AF130" s="26">
        <f>INDEX(Comparison!$AM$3:$AS$33,AJ14,$B$122)</f>
        <v>2162.351794570352</v>
      </c>
    </row>
    <row r="131" spans="1:33" x14ac:dyDescent="0.25">
      <c r="A131" s="68" t="s">
        <v>22</v>
      </c>
      <c r="B131" s="27">
        <f>($C$17+SUM(B132:B162))*$B$51</f>
        <v>6992.4086999976316</v>
      </c>
      <c r="C131" s="27">
        <f t="shared" ref="C131:AF131" si="40">($C$17+SUM(C132:C162))*$B$51</f>
        <v>6992.4086999763267</v>
      </c>
      <c r="D131" s="27">
        <f t="shared" si="40"/>
        <v>6992.4086997632885</v>
      </c>
      <c r="E131" s="27">
        <f t="shared" si="40"/>
        <v>6992.4086976328999</v>
      </c>
      <c r="F131" s="27">
        <f t="shared" si="40"/>
        <v>6992.4086763290115</v>
      </c>
      <c r="G131" s="27">
        <f t="shared" si="40"/>
        <v>6992.4084632901522</v>
      </c>
      <c r="H131" s="27">
        <f t="shared" si="40"/>
        <v>6992.4063329035316</v>
      </c>
      <c r="I131" s="27">
        <f t="shared" si="40"/>
        <v>6992.3850292346469</v>
      </c>
      <c r="J131" s="27">
        <f t="shared" si="40"/>
        <v>6992.1720122772713</v>
      </c>
      <c r="K131" s="27">
        <f t="shared" si="40"/>
        <v>6990.0438146208999</v>
      </c>
      <c r="L131" s="27">
        <f t="shared" si="40"/>
        <v>6968.9578065770656</v>
      </c>
      <c r="M131" s="27">
        <f t="shared" si="40"/>
        <v>6776.5265552865158</v>
      </c>
      <c r="N131" s="27">
        <f t="shared" si="40"/>
        <v>5922.1356609695267</v>
      </c>
      <c r="O131" s="27">
        <f t="shared" si="40"/>
        <v>5727.4056030838656</v>
      </c>
      <c r="P131" s="27">
        <f t="shared" si="40"/>
        <v>5727.3902969252276</v>
      </c>
      <c r="Q131" s="27">
        <f t="shared" si="40"/>
        <v>5727.2373648379289</v>
      </c>
      <c r="R131" s="27">
        <f t="shared" si="40"/>
        <v>5725.7115373278821</v>
      </c>
      <c r="S131" s="27">
        <f t="shared" si="40"/>
        <v>5710.7971017620075</v>
      </c>
      <c r="T131" s="27">
        <f t="shared" si="40"/>
        <v>5591.1414790266972</v>
      </c>
      <c r="U131" s="27">
        <f t="shared" si="40"/>
        <v>5334.003346338196</v>
      </c>
      <c r="V131" s="27">
        <f t="shared" si="40"/>
        <v>5167.8656530753533</v>
      </c>
      <c r="W131" s="27">
        <f t="shared" si="40"/>
        <v>4924.1892274729471</v>
      </c>
      <c r="X131" s="27">
        <f t="shared" si="40"/>
        <v>4703.1686575916428</v>
      </c>
      <c r="Y131" s="27">
        <f t="shared" si="40"/>
        <v>4515.2079606542229</v>
      </c>
      <c r="Z131" s="27">
        <f t="shared" si="40"/>
        <v>4333.6927629209749</v>
      </c>
      <c r="AA131" s="27">
        <f t="shared" si="40"/>
        <v>4150.8470392156623</v>
      </c>
      <c r="AB131" s="27">
        <f t="shared" si="40"/>
        <v>3973.7223791169258</v>
      </c>
      <c r="AC131" s="27">
        <f t="shared" si="40"/>
        <v>3785.1123441555051</v>
      </c>
      <c r="AD131" s="27">
        <f t="shared" si="40"/>
        <v>3569.3953075171989</v>
      </c>
      <c r="AE131" s="27">
        <f t="shared" si="40"/>
        <v>3334.1477067857381</v>
      </c>
      <c r="AF131" s="27">
        <f t="shared" si="40"/>
        <v>3055.7834892134556</v>
      </c>
    </row>
    <row r="132" spans="1:33" x14ac:dyDescent="0.25">
      <c r="B132" s="3">
        <f t="shared" ref="B132:Z133" si="41">$C18*EXP(-B$129/$A18/EXP(-$B$126))</f>
        <v>0.18091067913282716</v>
      </c>
      <c r="C132" s="3">
        <f t="shared" ref="C132:AF132" si="42">$C18*EXP(-C$129/$A18/EXP(-$B$126))</f>
        <v>0.18091067912978043</v>
      </c>
      <c r="D132" s="3">
        <f t="shared" si="42"/>
        <v>0.18091067909931327</v>
      </c>
      <c r="E132" s="3">
        <f t="shared" si="42"/>
        <v>0.18091067879464162</v>
      </c>
      <c r="F132" s="3">
        <f t="shared" si="42"/>
        <v>0.18091067574792519</v>
      </c>
      <c r="G132" s="3">
        <f t="shared" si="42"/>
        <v>0.18091064528076384</v>
      </c>
      <c r="H132" s="3">
        <f t="shared" si="42"/>
        <v>0.18091034060943245</v>
      </c>
      <c r="I132" s="3">
        <f t="shared" si="42"/>
        <v>0.18090729392433891</v>
      </c>
      <c r="J132" s="3">
        <f t="shared" si="42"/>
        <v>0.18087682989524412</v>
      </c>
      <c r="K132" s="3">
        <f t="shared" si="42"/>
        <v>0.18057247161261109</v>
      </c>
      <c r="L132" s="3">
        <f t="shared" si="42"/>
        <v>0.17755691468240423</v>
      </c>
      <c r="M132" s="3">
        <f t="shared" si="42"/>
        <v>0.15003689343515439</v>
      </c>
      <c r="N132" s="3">
        <f t="shared" si="42"/>
        <v>2.7848563490129249E-2</v>
      </c>
      <c r="O132" s="3">
        <f t="shared" si="42"/>
        <v>1.3516061011117664E-9</v>
      </c>
      <c r="P132" s="3">
        <f t="shared" si="42"/>
        <v>9.8022009009671338E-83</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4.8747329106715996E-2</v>
      </c>
      <c r="C133" s="3">
        <f t="shared" si="41"/>
        <v>4.8747329106715996E-2</v>
      </c>
      <c r="D133" s="3">
        <f t="shared" si="41"/>
        <v>4.8747329106715996E-2</v>
      </c>
      <c r="E133" s="3">
        <f t="shared" si="41"/>
        <v>4.8747329106715975E-2</v>
      </c>
      <c r="F133" s="3">
        <f t="shared" si="41"/>
        <v>4.874732910671576E-2</v>
      </c>
      <c r="G133" s="3">
        <f t="shared" si="41"/>
        <v>4.8747329106713658E-2</v>
      </c>
      <c r="H133" s="3">
        <f t="shared" si="41"/>
        <v>4.8747329106692633E-2</v>
      </c>
      <c r="I133" s="3">
        <f t="shared" si="41"/>
        <v>4.8747329106482343E-2</v>
      </c>
      <c r="J133" s="3">
        <f t="shared" si="41"/>
        <v>4.8747329104379428E-2</v>
      </c>
      <c r="K133" s="3">
        <f t="shared" si="41"/>
        <v>4.8747329083350339E-2</v>
      </c>
      <c r="L133" s="3">
        <f t="shared" si="41"/>
        <v>4.8747328873059388E-2</v>
      </c>
      <c r="M133" s="3">
        <f t="shared" si="41"/>
        <v>4.8747326770150014E-2</v>
      </c>
      <c r="N133" s="3">
        <f t="shared" si="41"/>
        <v>4.874730574106121E-2</v>
      </c>
      <c r="O133" s="3">
        <f t="shared" si="41"/>
        <v>4.874709545067215E-2</v>
      </c>
      <c r="P133" s="3">
        <f t="shared" si="41"/>
        <v>4.8744992596675168E-2</v>
      </c>
      <c r="Q133" s="3">
        <f t="shared" si="41"/>
        <v>4.872396904527436E-2</v>
      </c>
      <c r="R133" s="3">
        <f t="shared" si="41"/>
        <v>4.851423159283804E-2</v>
      </c>
      <c r="S133" s="3">
        <f t="shared" si="41"/>
        <v>4.6465877338669609E-2</v>
      </c>
      <c r="T133" s="3">
        <f t="shared" si="41"/>
        <v>3.0184500070190825E-2</v>
      </c>
      <c r="U133" s="3">
        <f t="shared" si="41"/>
        <v>4.0390798925933586E-4</v>
      </c>
      <c r="V133" s="3">
        <f t="shared" si="41"/>
        <v>7.4347609038662553E-23</v>
      </c>
      <c r="W133" s="3">
        <f t="shared" si="41"/>
        <v>3.3198054689596324E-210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1.8089335916325222E-2</v>
      </c>
      <c r="C134" s="3">
        <f t="shared" si="44"/>
        <v>1.8089335916325222E-2</v>
      </c>
      <c r="D134" s="3">
        <f t="shared" si="44"/>
        <v>1.8089335916325222E-2</v>
      </c>
      <c r="E134" s="3">
        <f t="shared" si="44"/>
        <v>1.8089335916325222E-2</v>
      </c>
      <c r="F134" s="3">
        <f t="shared" si="44"/>
        <v>1.8089335916325215E-2</v>
      </c>
      <c r="G134" s="3">
        <f t="shared" si="44"/>
        <v>1.8089335916325142E-2</v>
      </c>
      <c r="H134" s="3">
        <f t="shared" si="44"/>
        <v>1.8089335916324441E-2</v>
      </c>
      <c r="I134" s="3">
        <f t="shared" si="44"/>
        <v>1.8089335916317398E-2</v>
      </c>
      <c r="J134" s="3">
        <f t="shared" si="44"/>
        <v>1.8089335916247007E-2</v>
      </c>
      <c r="K134" s="3">
        <f t="shared" si="44"/>
        <v>1.808933591554306E-2</v>
      </c>
      <c r="L134" s="3">
        <f t="shared" si="44"/>
        <v>1.8089335908503607E-2</v>
      </c>
      <c r="M134" s="3">
        <f t="shared" si="44"/>
        <v>1.808933583810907E-2</v>
      </c>
      <c r="N134" s="3">
        <f t="shared" si="44"/>
        <v>1.8089335134163713E-2</v>
      </c>
      <c r="O134" s="3">
        <f t="shared" si="44"/>
        <v>1.808932809471166E-2</v>
      </c>
      <c r="P134" s="3">
        <f t="shared" si="44"/>
        <v>1.8089257700341792E-2</v>
      </c>
      <c r="Q134" s="3">
        <f t="shared" si="44"/>
        <v>1.8088553771709575E-2</v>
      </c>
      <c r="R134" s="3">
        <f t="shared" si="44"/>
        <v>1.8081515991815816E-2</v>
      </c>
      <c r="S134" s="3">
        <f t="shared" si="44"/>
        <v>1.8011288619043924E-2</v>
      </c>
      <c r="T134" s="3">
        <f t="shared" si="44"/>
        <v>1.7323843152430362E-2</v>
      </c>
      <c r="U134" s="3">
        <f t="shared" si="44"/>
        <v>1.173920854250568E-2</v>
      </c>
      <c r="V134" s="3">
        <f t="shared" si="44"/>
        <v>2.3965393540728298E-4</v>
      </c>
      <c r="W134" s="3">
        <f t="shared" si="44"/>
        <v>3.0132976831425717E-21</v>
      </c>
      <c r="X134" s="3">
        <f t="shared" si="44"/>
        <v>2.9758892465893896E-190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3.7553125741215831E-2</v>
      </c>
      <c r="C135" s="3">
        <f t="shared" si="47"/>
        <v>3.7553125741215831E-2</v>
      </c>
      <c r="D135" s="3">
        <f t="shared" si="47"/>
        <v>3.7553125741215831E-2</v>
      </c>
      <c r="E135" s="3">
        <f t="shared" si="47"/>
        <v>3.7553125741215831E-2</v>
      </c>
      <c r="F135" s="3">
        <f t="shared" si="47"/>
        <v>3.7553125741215831E-2</v>
      </c>
      <c r="G135" s="3">
        <f t="shared" si="47"/>
        <v>3.7553125741215818E-2</v>
      </c>
      <c r="H135" s="3">
        <f t="shared" si="47"/>
        <v>3.7553125741215686E-2</v>
      </c>
      <c r="I135" s="3">
        <f t="shared" si="47"/>
        <v>3.7553125741214367E-2</v>
      </c>
      <c r="J135" s="3">
        <f t="shared" si="47"/>
        <v>3.7553125741201183E-2</v>
      </c>
      <c r="K135" s="3">
        <f t="shared" si="47"/>
        <v>3.7553125741069351E-2</v>
      </c>
      <c r="L135" s="3">
        <f t="shared" si="47"/>
        <v>3.7553125739751073E-2</v>
      </c>
      <c r="M135" s="3">
        <f t="shared" si="47"/>
        <v>3.7553125726568229E-2</v>
      </c>
      <c r="N135" s="3">
        <f t="shared" si="47"/>
        <v>3.755312559473982E-2</v>
      </c>
      <c r="O135" s="3">
        <f t="shared" si="47"/>
        <v>3.7553124276455734E-2</v>
      </c>
      <c r="P135" s="3">
        <f t="shared" si="47"/>
        <v>3.7553111093617468E-2</v>
      </c>
      <c r="Q135" s="3">
        <f t="shared" si="47"/>
        <v>3.7552979265489297E-2</v>
      </c>
      <c r="R135" s="3">
        <f t="shared" si="47"/>
        <v>3.7551661009659953E-2</v>
      </c>
      <c r="S135" s="3">
        <f t="shared" si="47"/>
        <v>3.753848099627375E-2</v>
      </c>
      <c r="T135" s="3">
        <f t="shared" si="47"/>
        <v>3.7406935022896486E-2</v>
      </c>
      <c r="U135" s="3">
        <f t="shared" si="47"/>
        <v>3.611656429384532E-2</v>
      </c>
      <c r="V135" s="3">
        <f t="shared" si="47"/>
        <v>2.5424327630374929E-2</v>
      </c>
      <c r="W135" s="3">
        <f t="shared" si="47"/>
        <v>7.5976615182876889E-4</v>
      </c>
      <c r="X135" s="3">
        <f t="shared" si="47"/>
        <v>4.3150376768213305E-19</v>
      </c>
      <c r="Y135" s="3">
        <f t="shared" si="47"/>
        <v>1.5067149530567415E-171</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3.4655462333825049E-2</v>
      </c>
      <c r="C136" s="3">
        <f t="shared" si="49"/>
        <v>3.4655462333825049E-2</v>
      </c>
      <c r="D136" s="3">
        <f t="shared" si="49"/>
        <v>3.4655462333825049E-2</v>
      </c>
      <c r="E136" s="3">
        <f t="shared" si="49"/>
        <v>3.4655462333825049E-2</v>
      </c>
      <c r="F136" s="3">
        <f t="shared" si="49"/>
        <v>3.4655462333825049E-2</v>
      </c>
      <c r="G136" s="3">
        <f t="shared" si="49"/>
        <v>3.4655462333825049E-2</v>
      </c>
      <c r="H136" s="3">
        <f t="shared" si="49"/>
        <v>3.4655462333825035E-2</v>
      </c>
      <c r="I136" s="3">
        <f t="shared" si="49"/>
        <v>3.4655462333824924E-2</v>
      </c>
      <c r="J136" s="3">
        <f t="shared" si="49"/>
        <v>3.4655462333823828E-2</v>
      </c>
      <c r="K136" s="3">
        <f t="shared" si="49"/>
        <v>3.4655462333812857E-2</v>
      </c>
      <c r="L136" s="3">
        <f t="shared" si="49"/>
        <v>3.4655462333703112E-2</v>
      </c>
      <c r="M136" s="3">
        <f t="shared" si="49"/>
        <v>3.465546233260567E-2</v>
      </c>
      <c r="N136" s="3">
        <f t="shared" si="49"/>
        <v>3.4655462321631261E-2</v>
      </c>
      <c r="O136" s="3">
        <f t="shared" si="49"/>
        <v>3.4655462211887152E-2</v>
      </c>
      <c r="P136" s="3">
        <f t="shared" si="49"/>
        <v>3.465546111444609E-2</v>
      </c>
      <c r="Q136" s="3">
        <f t="shared" si="49"/>
        <v>3.4655450140037389E-2</v>
      </c>
      <c r="R136" s="3">
        <f t="shared" si="49"/>
        <v>3.4655340396141529E-2</v>
      </c>
      <c r="S136" s="3">
        <f t="shared" si="49"/>
        <v>3.4654242976296781E-2</v>
      </c>
      <c r="T136" s="3">
        <f t="shared" si="49"/>
        <v>3.4643270689008535E-2</v>
      </c>
      <c r="U136" s="3">
        <f t="shared" si="49"/>
        <v>3.4533738708314964E-2</v>
      </c>
      <c r="V136" s="3">
        <f t="shared" si="49"/>
        <v>3.3457286336492337E-2</v>
      </c>
      <c r="W136" s="3">
        <f t="shared" si="49"/>
        <v>2.4375967261025217E-2</v>
      </c>
      <c r="X136" s="3">
        <f t="shared" si="49"/>
        <v>1.0272432718530066E-3</v>
      </c>
      <c r="Y136" s="3">
        <f t="shared" si="49"/>
        <v>1.814628722019013E-17</v>
      </c>
      <c r="Z136" s="3">
        <f t="shared" si="49"/>
        <v>5.3694837514084425E-155</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2.8039973666806786E-2</v>
      </c>
      <c r="C137" s="3">
        <f t="shared" si="51"/>
        <v>2.8039973666806786E-2</v>
      </c>
      <c r="D137" s="3">
        <f t="shared" si="51"/>
        <v>2.8039973666806786E-2</v>
      </c>
      <c r="E137" s="3">
        <f t="shared" si="51"/>
        <v>2.8039973666806786E-2</v>
      </c>
      <c r="F137" s="3">
        <f t="shared" si="51"/>
        <v>2.8039973666806786E-2</v>
      </c>
      <c r="G137" s="3">
        <f t="shared" si="51"/>
        <v>2.8039973666806786E-2</v>
      </c>
      <c r="H137" s="3">
        <f t="shared" si="51"/>
        <v>2.8039973666806786E-2</v>
      </c>
      <c r="I137" s="3">
        <f t="shared" si="51"/>
        <v>2.8039973666806776E-2</v>
      </c>
      <c r="J137" s="3">
        <f t="shared" si="51"/>
        <v>2.8039973666806696E-2</v>
      </c>
      <c r="K137" s="3">
        <f t="shared" si="51"/>
        <v>2.8039973666805895E-2</v>
      </c>
      <c r="L137" s="3">
        <f t="shared" si="51"/>
        <v>2.8039973666797887E-2</v>
      </c>
      <c r="M137" s="3">
        <f t="shared" si="51"/>
        <v>2.8039973666717788E-2</v>
      </c>
      <c r="N137" s="3">
        <f t="shared" si="51"/>
        <v>2.8039973665916783E-2</v>
      </c>
      <c r="O137" s="3">
        <f t="shared" si="51"/>
        <v>2.8039973657906763E-2</v>
      </c>
      <c r="P137" s="3">
        <f t="shared" si="51"/>
        <v>2.8039973577806541E-2</v>
      </c>
      <c r="Q137" s="3">
        <f t="shared" si="51"/>
        <v>2.8039972776804357E-2</v>
      </c>
      <c r="R137" s="3">
        <f t="shared" si="51"/>
        <v>2.8039964766783748E-2</v>
      </c>
      <c r="S137" s="3">
        <f t="shared" si="51"/>
        <v>2.8039884666703544E-2</v>
      </c>
      <c r="T137" s="3">
        <f t="shared" si="51"/>
        <v>2.8039083678486294E-2</v>
      </c>
      <c r="U137" s="3">
        <f t="shared" si="51"/>
        <v>2.803107505466397E-2</v>
      </c>
      <c r="V137" s="3">
        <f t="shared" si="51"/>
        <v>2.795111451855457E-2</v>
      </c>
      <c r="W137" s="3">
        <f t="shared" si="51"/>
        <v>2.7163947516064241E-2</v>
      </c>
      <c r="X137" s="3">
        <f t="shared" si="51"/>
        <v>2.0414108277192138E-2</v>
      </c>
      <c r="Y137" s="3">
        <f t="shared" si="51"/>
        <v>1.1730208365690416E-3</v>
      </c>
      <c r="Z137" s="3">
        <f t="shared" si="51"/>
        <v>4.60318949447593E-16</v>
      </c>
      <c r="AA137" s="3">
        <f t="shared" ref="AA137" si="52">$C23*EXP(-AA$129/$A23/EXP(-$B$126))</f>
        <v>3.9864848775458591E-140</v>
      </c>
      <c r="AB137" s="3">
        <f t="shared" si="46"/>
        <v>0</v>
      </c>
      <c r="AC137" s="3">
        <f t="shared" si="46"/>
        <v>0</v>
      </c>
      <c r="AD137" s="3">
        <f t="shared" si="46"/>
        <v>0</v>
      </c>
      <c r="AE137" s="3">
        <f t="shared" si="46"/>
        <v>0</v>
      </c>
      <c r="AF137" s="3">
        <f t="shared" si="46"/>
        <v>0</v>
      </c>
    </row>
    <row r="138" spans="1:33" x14ac:dyDescent="0.25">
      <c r="B138" s="3">
        <f t="shared" ref="B138:Z138" si="53">$C24*EXP(-B$129/$A24/EXP(-$B$126))</f>
        <v>2.6812375730219603E-2</v>
      </c>
      <c r="C138" s="3">
        <f t="shared" si="53"/>
        <v>2.6812375730219603E-2</v>
      </c>
      <c r="D138" s="3">
        <f t="shared" si="53"/>
        <v>2.6812375730219603E-2</v>
      </c>
      <c r="E138" s="3">
        <f t="shared" si="53"/>
        <v>2.6812375730219603E-2</v>
      </c>
      <c r="F138" s="3">
        <f t="shared" si="53"/>
        <v>2.6812375730219603E-2</v>
      </c>
      <c r="G138" s="3">
        <f t="shared" si="53"/>
        <v>2.6812375730219603E-2</v>
      </c>
      <c r="H138" s="3">
        <f t="shared" si="53"/>
        <v>2.6812375730219603E-2</v>
      </c>
      <c r="I138" s="3">
        <f t="shared" si="53"/>
        <v>2.6812375730219603E-2</v>
      </c>
      <c r="J138" s="3">
        <f t="shared" si="53"/>
        <v>2.6812375730219593E-2</v>
      </c>
      <c r="K138" s="3">
        <f t="shared" si="53"/>
        <v>2.6812375730219527E-2</v>
      </c>
      <c r="L138" s="3">
        <f t="shared" si="53"/>
        <v>2.6812375730218836E-2</v>
      </c>
      <c r="M138" s="3">
        <f t="shared" si="53"/>
        <v>2.6812375730211925E-2</v>
      </c>
      <c r="N138" s="3">
        <f t="shared" si="53"/>
        <v>2.6812375730142831E-2</v>
      </c>
      <c r="O138" s="3">
        <f t="shared" si="53"/>
        <v>2.6812375729451898E-2</v>
      </c>
      <c r="P138" s="3">
        <f t="shared" si="53"/>
        <v>2.6812375722542532E-2</v>
      </c>
      <c r="Q138" s="3">
        <f t="shared" si="53"/>
        <v>2.6812375653448905E-2</v>
      </c>
      <c r="R138" s="3">
        <f t="shared" si="53"/>
        <v>2.6812374962512639E-2</v>
      </c>
      <c r="S138" s="3">
        <f t="shared" si="53"/>
        <v>2.6812368053150962E-2</v>
      </c>
      <c r="T138" s="3">
        <f t="shared" si="53"/>
        <v>2.6812298959632108E-2</v>
      </c>
      <c r="U138" s="3">
        <f t="shared" si="53"/>
        <v>2.6811608034236201E-2</v>
      </c>
      <c r="V138" s="3">
        <f t="shared" si="53"/>
        <v>2.6804699759445463E-2</v>
      </c>
      <c r="W138" s="3">
        <f t="shared" si="53"/>
        <v>2.6735714835078948E-2</v>
      </c>
      <c r="X138" s="3">
        <f t="shared" si="53"/>
        <v>2.605555531367288E-2</v>
      </c>
      <c r="Y138" s="3">
        <f t="shared" si="53"/>
        <v>2.0136577864585219E-2</v>
      </c>
      <c r="Z138" s="3">
        <f t="shared" si="53"/>
        <v>1.5305199248947141E-3</v>
      </c>
      <c r="AA138" s="3">
        <f t="shared" ref="AA138" si="54">$C24*EXP(-AA$129/$A24/EXP(-$B$126))</f>
        <v>9.8485480426010131E-15</v>
      </c>
      <c r="AB138" s="3">
        <f t="shared" si="46"/>
        <v>1.1986831707862021E-126</v>
      </c>
      <c r="AC138" s="3">
        <f t="shared" si="46"/>
        <v>0</v>
      </c>
      <c r="AD138" s="3">
        <f t="shared" si="46"/>
        <v>0</v>
      </c>
      <c r="AE138" s="3">
        <f t="shared" si="46"/>
        <v>0</v>
      </c>
      <c r="AF138" s="3">
        <f t="shared" si="46"/>
        <v>0</v>
      </c>
    </row>
    <row r="139" spans="1:33" x14ac:dyDescent="0.25">
      <c r="B139" s="3">
        <f t="shared" ref="B139:Z139" si="55">$C25*EXP(-B$129/$A25/EXP(-$B$126))</f>
        <v>2.7632018567144069E-2</v>
      </c>
      <c r="C139" s="3">
        <f t="shared" si="55"/>
        <v>2.7632018567144069E-2</v>
      </c>
      <c r="D139" s="3">
        <f t="shared" si="55"/>
        <v>2.7632018567144069E-2</v>
      </c>
      <c r="E139" s="3">
        <f t="shared" si="55"/>
        <v>2.7632018567144069E-2</v>
      </c>
      <c r="F139" s="3">
        <f t="shared" si="55"/>
        <v>2.7632018567144069E-2</v>
      </c>
      <c r="G139" s="3">
        <f t="shared" si="55"/>
        <v>2.7632018567144069E-2</v>
      </c>
      <c r="H139" s="3">
        <f t="shared" si="55"/>
        <v>2.7632018567144069E-2</v>
      </c>
      <c r="I139" s="3">
        <f t="shared" si="55"/>
        <v>2.7632018567144069E-2</v>
      </c>
      <c r="J139" s="3">
        <f t="shared" si="55"/>
        <v>2.7632018567144069E-2</v>
      </c>
      <c r="K139" s="3">
        <f t="shared" si="55"/>
        <v>2.7632018567144062E-2</v>
      </c>
      <c r="L139" s="3">
        <f t="shared" si="55"/>
        <v>2.7632018567144E-2</v>
      </c>
      <c r="M139" s="3">
        <f t="shared" si="55"/>
        <v>2.7632018567143354E-2</v>
      </c>
      <c r="N139" s="3">
        <f t="shared" si="55"/>
        <v>2.7632018567136932E-2</v>
      </c>
      <c r="O139" s="3">
        <f t="shared" si="55"/>
        <v>2.7632018567072699E-2</v>
      </c>
      <c r="P139" s="3">
        <f t="shared" si="55"/>
        <v>2.7632018566430362E-2</v>
      </c>
      <c r="Q139" s="3">
        <f t="shared" si="55"/>
        <v>2.7632018560007007E-2</v>
      </c>
      <c r="R139" s="3">
        <f t="shared" si="55"/>
        <v>2.7632018495773462E-2</v>
      </c>
      <c r="S139" s="3">
        <f t="shared" si="55"/>
        <v>2.7632017853438006E-2</v>
      </c>
      <c r="T139" s="3">
        <f t="shared" si="55"/>
        <v>2.7632011430084265E-2</v>
      </c>
      <c r="U139" s="3">
        <f t="shared" si="55"/>
        <v>2.7631947196628953E-2</v>
      </c>
      <c r="V139" s="3">
        <f t="shared" si="55"/>
        <v>2.763130487028826E-2</v>
      </c>
      <c r="W139" s="3">
        <f t="shared" si="55"/>
        <v>2.7624882428050033E-2</v>
      </c>
      <c r="X139" s="3">
        <f t="shared" si="55"/>
        <v>2.756074005195068E-2</v>
      </c>
      <c r="Y139" s="3">
        <f t="shared" si="55"/>
        <v>2.6927450787552359E-2</v>
      </c>
      <c r="Z139" s="3">
        <f t="shared" si="55"/>
        <v>2.1342185978869038E-2</v>
      </c>
      <c r="AA139" s="3">
        <f t="shared" ref="AA139" si="56">$C25*EXP(-AA$129/$A25/EXP(-$B$126))</f>
        <v>2.0877355790782704E-3</v>
      </c>
      <c r="AB139" s="3">
        <f t="shared" si="46"/>
        <v>1.6751026150176929E-13</v>
      </c>
      <c r="AC139" s="3">
        <f t="shared" si="46"/>
        <v>1.8522544962827044E-114</v>
      </c>
      <c r="AD139" s="3">
        <f t="shared" si="46"/>
        <v>0</v>
      </c>
      <c r="AE139" s="3">
        <f t="shared" si="46"/>
        <v>0</v>
      </c>
      <c r="AF139" s="3">
        <f t="shared" si="46"/>
        <v>0</v>
      </c>
    </row>
    <row r="140" spans="1:33" x14ac:dyDescent="0.25">
      <c r="B140" s="3">
        <f t="shared" ref="B140:Z140" si="57">$C26*EXP(-B$129/$A26/EXP(-$B$126))</f>
        <v>2.5920837907154132E-2</v>
      </c>
      <c r="C140" s="3">
        <f t="shared" si="57"/>
        <v>2.5920837907154132E-2</v>
      </c>
      <c r="D140" s="3">
        <f t="shared" si="57"/>
        <v>2.5920837907154132E-2</v>
      </c>
      <c r="E140" s="3">
        <f t="shared" si="57"/>
        <v>2.5920837907154132E-2</v>
      </c>
      <c r="F140" s="3">
        <f t="shared" si="57"/>
        <v>2.5920837907154132E-2</v>
      </c>
      <c r="G140" s="3">
        <f t="shared" si="57"/>
        <v>2.5920837907154132E-2</v>
      </c>
      <c r="H140" s="3">
        <f t="shared" si="57"/>
        <v>2.5920837907154132E-2</v>
      </c>
      <c r="I140" s="3">
        <f t="shared" si="57"/>
        <v>2.5920837907154132E-2</v>
      </c>
      <c r="J140" s="3">
        <f t="shared" si="57"/>
        <v>2.5920837907154132E-2</v>
      </c>
      <c r="K140" s="3">
        <f t="shared" si="57"/>
        <v>2.5920837907154132E-2</v>
      </c>
      <c r="L140" s="3">
        <f t="shared" si="57"/>
        <v>2.5920837907154125E-2</v>
      </c>
      <c r="M140" s="3">
        <f t="shared" si="57"/>
        <v>2.5920837907154073E-2</v>
      </c>
      <c r="N140" s="3">
        <f t="shared" si="57"/>
        <v>2.5920837907153528E-2</v>
      </c>
      <c r="O140" s="3">
        <f t="shared" si="57"/>
        <v>2.5920837907148091E-2</v>
      </c>
      <c r="P140" s="3">
        <f t="shared" si="57"/>
        <v>2.5920837907093736E-2</v>
      </c>
      <c r="Q140" s="3">
        <f t="shared" si="57"/>
        <v>2.5920837906550177E-2</v>
      </c>
      <c r="R140" s="3">
        <f t="shared" si="57"/>
        <v>2.5920837901114612E-2</v>
      </c>
      <c r="S140" s="3">
        <f t="shared" si="57"/>
        <v>2.5920837846758932E-2</v>
      </c>
      <c r="T140" s="3">
        <f t="shared" si="57"/>
        <v>2.592083730320216E-2</v>
      </c>
      <c r="U140" s="3">
        <f t="shared" si="57"/>
        <v>2.5920831867635066E-2</v>
      </c>
      <c r="V140" s="3">
        <f t="shared" si="57"/>
        <v>2.5920777512026785E-2</v>
      </c>
      <c r="W140" s="3">
        <f t="shared" si="57"/>
        <v>2.5920233962213001E-2</v>
      </c>
      <c r="X140" s="3">
        <f t="shared" si="57"/>
        <v>2.5914799090928656E-2</v>
      </c>
      <c r="Y140" s="3">
        <f t="shared" si="57"/>
        <v>2.5860513014824643E-2</v>
      </c>
      <c r="Z140" s="3">
        <f t="shared" si="57"/>
        <v>2.5323867600192236E-2</v>
      </c>
      <c r="AA140" s="3">
        <f t="shared" ref="AA140" si="58">$C26*EXP(-AA$129/$A26/EXP(-$B$126))</f>
        <v>2.0533312467956921E-2</v>
      </c>
      <c r="AB140" s="3">
        <f t="shared" si="46"/>
        <v>2.5220217922376003E-3</v>
      </c>
      <c r="AC140" s="3">
        <f t="shared" si="46"/>
        <v>1.9708202800887089E-12</v>
      </c>
      <c r="AD140" s="3">
        <f t="shared" si="46"/>
        <v>1.673512264800139E-103</v>
      </c>
      <c r="AE140" s="3">
        <f t="shared" si="46"/>
        <v>0</v>
      </c>
      <c r="AF140" s="3">
        <f t="shared" si="46"/>
        <v>0</v>
      </c>
    </row>
    <row r="141" spans="1:33" x14ac:dyDescent="0.25">
      <c r="B141" s="3">
        <f t="shared" ref="B141:Z141" si="59">$C27*EXP(-B$129/$A27/EXP(-$B$126))</f>
        <v>2.7391939908773026E-2</v>
      </c>
      <c r="C141" s="3">
        <f t="shared" si="59"/>
        <v>2.7391939908773026E-2</v>
      </c>
      <c r="D141" s="3">
        <f t="shared" si="59"/>
        <v>2.7391939908773026E-2</v>
      </c>
      <c r="E141" s="3">
        <f t="shared" si="59"/>
        <v>2.7391939908773026E-2</v>
      </c>
      <c r="F141" s="3">
        <f t="shared" si="59"/>
        <v>2.7391939908773026E-2</v>
      </c>
      <c r="G141" s="3">
        <f t="shared" si="59"/>
        <v>2.7391939908773026E-2</v>
      </c>
      <c r="H141" s="3">
        <f t="shared" si="59"/>
        <v>2.7391939908773026E-2</v>
      </c>
      <c r="I141" s="3">
        <f t="shared" si="59"/>
        <v>2.7391939908773026E-2</v>
      </c>
      <c r="J141" s="3">
        <f t="shared" si="59"/>
        <v>2.7391939908773026E-2</v>
      </c>
      <c r="K141" s="3">
        <f t="shared" si="59"/>
        <v>2.7391939908773026E-2</v>
      </c>
      <c r="L141" s="3">
        <f t="shared" si="59"/>
        <v>2.7391939908773026E-2</v>
      </c>
      <c r="M141" s="3">
        <f t="shared" si="59"/>
        <v>2.7391939908773019E-2</v>
      </c>
      <c r="N141" s="3">
        <f t="shared" si="59"/>
        <v>2.7391939908772967E-2</v>
      </c>
      <c r="O141" s="3">
        <f t="shared" si="59"/>
        <v>2.739193990877245E-2</v>
      </c>
      <c r="P141" s="3">
        <f t="shared" si="59"/>
        <v>2.739193990876727E-2</v>
      </c>
      <c r="Q141" s="3">
        <f t="shared" si="59"/>
        <v>2.7391939908715451E-2</v>
      </c>
      <c r="R141" s="3">
        <f t="shared" si="59"/>
        <v>2.7391939908197292E-2</v>
      </c>
      <c r="S141" s="3">
        <f t="shared" si="59"/>
        <v>2.7391939903015673E-2</v>
      </c>
      <c r="T141" s="3">
        <f t="shared" si="59"/>
        <v>2.7391939851199511E-2</v>
      </c>
      <c r="U141" s="3">
        <f t="shared" si="59"/>
        <v>2.7391939333037872E-2</v>
      </c>
      <c r="V141" s="3">
        <f t="shared" si="59"/>
        <v>2.7391934151422034E-2</v>
      </c>
      <c r="W141" s="3">
        <f t="shared" si="59"/>
        <v>2.7391882335317572E-2</v>
      </c>
      <c r="X141" s="3">
        <f t="shared" si="59"/>
        <v>2.7391364179663896E-2</v>
      </c>
      <c r="Y141" s="3">
        <f t="shared" si="59"/>
        <v>2.7386183162186585E-2</v>
      </c>
      <c r="Z141" s="3">
        <f t="shared" si="59"/>
        <v>2.7334426855646202E-2</v>
      </c>
      <c r="AA141" s="3">
        <f t="shared" ref="AA141" si="60">$C27*EXP(-AA$129/$A27/EXP(-$B$126))</f>
        <v>2.6822213100443564E-2</v>
      </c>
      <c r="AB141" s="3">
        <f t="shared" si="46"/>
        <v>2.2199386571659711E-2</v>
      </c>
      <c r="AC141" s="3">
        <f t="shared" si="46"/>
        <v>3.3481478422787113E-3</v>
      </c>
      <c r="AD141" s="3">
        <f t="shared" si="46"/>
        <v>2.0391123456668023E-11</v>
      </c>
      <c r="AE141" s="3">
        <f t="shared" si="46"/>
        <v>1.4315496931214508E-93</v>
      </c>
      <c r="AF141" s="3">
        <f t="shared" si="46"/>
        <v>0</v>
      </c>
    </row>
    <row r="142" spans="1:33" x14ac:dyDescent="0.25">
      <c r="B142" s="3">
        <f t="shared" ref="B142:Z142" si="61">$C28*EXP(-B$129/$A28/EXP(-$B$126))</f>
        <v>3.256547684040112E-2</v>
      </c>
      <c r="C142" s="3">
        <f t="shared" si="61"/>
        <v>3.256547684040112E-2</v>
      </c>
      <c r="D142" s="3">
        <f t="shared" si="61"/>
        <v>3.256547684040112E-2</v>
      </c>
      <c r="E142" s="3">
        <f t="shared" si="61"/>
        <v>3.256547684040112E-2</v>
      </c>
      <c r="F142" s="3">
        <f t="shared" si="61"/>
        <v>3.256547684040112E-2</v>
      </c>
      <c r="G142" s="3">
        <f t="shared" si="61"/>
        <v>3.256547684040112E-2</v>
      </c>
      <c r="H142" s="3">
        <f t="shared" si="61"/>
        <v>3.256547684040112E-2</v>
      </c>
      <c r="I142" s="3">
        <f t="shared" si="61"/>
        <v>3.256547684040112E-2</v>
      </c>
      <c r="J142" s="3">
        <f t="shared" si="61"/>
        <v>3.256547684040112E-2</v>
      </c>
      <c r="K142" s="3">
        <f t="shared" si="61"/>
        <v>3.256547684040112E-2</v>
      </c>
      <c r="L142" s="3">
        <f t="shared" si="61"/>
        <v>3.256547684040112E-2</v>
      </c>
      <c r="M142" s="3">
        <f t="shared" si="61"/>
        <v>3.256547684040112E-2</v>
      </c>
      <c r="N142" s="3">
        <f t="shared" si="61"/>
        <v>3.2565476840401113E-2</v>
      </c>
      <c r="O142" s="3">
        <f t="shared" si="61"/>
        <v>3.2565476840401057E-2</v>
      </c>
      <c r="P142" s="3">
        <f t="shared" si="61"/>
        <v>3.2565476840400502E-2</v>
      </c>
      <c r="Q142" s="3">
        <f t="shared" si="61"/>
        <v>3.2565476840394944E-2</v>
      </c>
      <c r="R142" s="3">
        <f t="shared" si="61"/>
        <v>3.2565476840339377E-2</v>
      </c>
      <c r="S142" s="3">
        <f t="shared" si="61"/>
        <v>3.2565476839783662E-2</v>
      </c>
      <c r="T142" s="3">
        <f t="shared" si="61"/>
        <v>3.2565476834226587E-2</v>
      </c>
      <c r="U142" s="3">
        <f t="shared" si="61"/>
        <v>3.2565476778655809E-2</v>
      </c>
      <c r="V142" s="3">
        <f t="shared" si="61"/>
        <v>3.2565476222947996E-2</v>
      </c>
      <c r="W142" s="3">
        <f t="shared" si="61"/>
        <v>3.2565470665870434E-2</v>
      </c>
      <c r="X142" s="3">
        <f t="shared" si="61"/>
        <v>3.2565415095146925E-2</v>
      </c>
      <c r="Y142" s="3">
        <f t="shared" si="61"/>
        <v>3.2564859393127338E-2</v>
      </c>
      <c r="Z142" s="3">
        <f t="shared" si="61"/>
        <v>3.2559302894447653E-2</v>
      </c>
      <c r="AA142" s="3">
        <f t="shared" ref="AA142" si="62">$C28*EXP(-AA$129/$A28/EXP(-$B$126))</f>
        <v>3.2503790026356567E-2</v>
      </c>
      <c r="AB142" s="3">
        <f t="shared" si="46"/>
        <v>3.1953840458983113E-2</v>
      </c>
      <c r="AC142" s="3">
        <f t="shared" si="46"/>
        <v>2.6940996126120689E-2</v>
      </c>
      <c r="AD142" s="3">
        <f t="shared" si="46"/>
        <v>4.890120027599849E-3</v>
      </c>
      <c r="AE142" s="3">
        <f t="shared" si="46"/>
        <v>1.8983584261147045E-10</v>
      </c>
      <c r="AF142" s="3">
        <f t="shared" si="46"/>
        <v>1.4755881794421634E-84</v>
      </c>
    </row>
    <row r="143" spans="1:33" x14ac:dyDescent="0.25">
      <c r="B143" s="3">
        <f t="shared" ref="B143:Z143" si="63">$C29*EXP(-B$129/$A29/EXP(-$B$126))</f>
        <v>3.4198379990015168E-2</v>
      </c>
      <c r="C143" s="3">
        <f t="shared" si="63"/>
        <v>3.4198379990015168E-2</v>
      </c>
      <c r="D143" s="3">
        <f t="shared" si="63"/>
        <v>3.4198379990015168E-2</v>
      </c>
      <c r="E143" s="3">
        <f t="shared" si="63"/>
        <v>3.4198379990015168E-2</v>
      </c>
      <c r="F143" s="3">
        <f t="shared" si="63"/>
        <v>3.4198379990015168E-2</v>
      </c>
      <c r="G143" s="3">
        <f t="shared" si="63"/>
        <v>3.4198379990015168E-2</v>
      </c>
      <c r="H143" s="3">
        <f t="shared" si="63"/>
        <v>3.4198379990015168E-2</v>
      </c>
      <c r="I143" s="3">
        <f t="shared" si="63"/>
        <v>3.4198379990015168E-2</v>
      </c>
      <c r="J143" s="3">
        <f t="shared" si="63"/>
        <v>3.4198379990015168E-2</v>
      </c>
      <c r="K143" s="3">
        <f t="shared" si="63"/>
        <v>3.4198379990015168E-2</v>
      </c>
      <c r="L143" s="3">
        <f t="shared" si="63"/>
        <v>3.4198379990015168E-2</v>
      </c>
      <c r="M143" s="3">
        <f t="shared" si="63"/>
        <v>3.4198379990015168E-2</v>
      </c>
      <c r="N143" s="3">
        <f t="shared" si="63"/>
        <v>3.4198379990015168E-2</v>
      </c>
      <c r="O143" s="3">
        <f t="shared" si="63"/>
        <v>3.4198379990015161E-2</v>
      </c>
      <c r="P143" s="3">
        <f t="shared" si="63"/>
        <v>3.4198379990015113E-2</v>
      </c>
      <c r="Q143" s="3">
        <f t="shared" si="63"/>
        <v>3.4198379990014585E-2</v>
      </c>
      <c r="R143" s="3">
        <f t="shared" si="63"/>
        <v>3.4198379990009319E-2</v>
      </c>
      <c r="S143" s="3">
        <f t="shared" si="63"/>
        <v>3.4198379989956673E-2</v>
      </c>
      <c r="T143" s="3">
        <f t="shared" si="63"/>
        <v>3.419837998943024E-2</v>
      </c>
      <c r="U143" s="3">
        <f t="shared" si="63"/>
        <v>3.4198379984165937E-2</v>
      </c>
      <c r="V143" s="3">
        <f t="shared" si="63"/>
        <v>3.4198379931522874E-2</v>
      </c>
      <c r="W143" s="3">
        <f t="shared" si="63"/>
        <v>3.4198379405092204E-2</v>
      </c>
      <c r="X143" s="3">
        <f t="shared" si="63"/>
        <v>3.4198374140785956E-2</v>
      </c>
      <c r="Y143" s="3">
        <f t="shared" si="63"/>
        <v>3.4198321497768067E-2</v>
      </c>
      <c r="Z143" s="3">
        <f t="shared" si="63"/>
        <v>3.4197795072046108E-2</v>
      </c>
      <c r="AA143" s="3">
        <f t="shared" ref="AA143" si="64">$C29*EXP(-AA$129/$A29/EXP(-$B$126))</f>
        <v>3.4192531260495186E-2</v>
      </c>
      <c r="AB143" s="3">
        <f t="shared" si="46"/>
        <v>3.4139937686473963E-2</v>
      </c>
      <c r="AC143" s="3">
        <f t="shared" si="46"/>
        <v>3.3618430830258887E-2</v>
      </c>
      <c r="AD143" s="3">
        <f t="shared" si="46"/>
        <v>2.8822031110747871E-2</v>
      </c>
      <c r="AE143" s="3">
        <f t="shared" si="46"/>
        <v>6.1829541196786299E-3</v>
      </c>
      <c r="AF143" s="3">
        <f t="shared" si="46"/>
        <v>1.2761755979080944E-9</v>
      </c>
    </row>
    <row r="144" spans="1:33" x14ac:dyDescent="0.25">
      <c r="B144" s="3">
        <f t="shared" ref="B144:Z144" si="65">$C30*EXP(-B$129/$A30/EXP(-$B$126))</f>
        <v>4.2864410475860253E-2</v>
      </c>
      <c r="C144" s="3">
        <f t="shared" si="65"/>
        <v>4.2864410475860253E-2</v>
      </c>
      <c r="D144" s="3">
        <f t="shared" si="65"/>
        <v>4.2864410475860253E-2</v>
      </c>
      <c r="E144" s="3">
        <f t="shared" si="65"/>
        <v>4.2864410475860253E-2</v>
      </c>
      <c r="F144" s="3">
        <f t="shared" si="65"/>
        <v>4.2864410475860253E-2</v>
      </c>
      <c r="G144" s="3">
        <f t="shared" si="65"/>
        <v>4.2864410475860253E-2</v>
      </c>
      <c r="H144" s="3">
        <f t="shared" si="65"/>
        <v>4.2864410475860253E-2</v>
      </c>
      <c r="I144" s="3">
        <f t="shared" si="65"/>
        <v>4.2864410475860253E-2</v>
      </c>
      <c r="J144" s="3">
        <f t="shared" si="65"/>
        <v>4.2864410475860253E-2</v>
      </c>
      <c r="K144" s="3">
        <f t="shared" si="65"/>
        <v>4.2864410475860253E-2</v>
      </c>
      <c r="L144" s="3">
        <f t="shared" si="65"/>
        <v>4.2864410475860253E-2</v>
      </c>
      <c r="M144" s="3">
        <f t="shared" si="65"/>
        <v>4.2864410475860253E-2</v>
      </c>
      <c r="N144" s="3">
        <f t="shared" si="65"/>
        <v>4.2864410475860253E-2</v>
      </c>
      <c r="O144" s="3">
        <f t="shared" si="65"/>
        <v>4.2864410475860253E-2</v>
      </c>
      <c r="P144" s="3">
        <f t="shared" si="65"/>
        <v>4.2864410475860246E-2</v>
      </c>
      <c r="Q144" s="3">
        <f t="shared" si="65"/>
        <v>4.2864410475860183E-2</v>
      </c>
      <c r="R144" s="3">
        <f t="shared" si="65"/>
        <v>4.2864410475859593E-2</v>
      </c>
      <c r="S144" s="3">
        <f t="shared" si="65"/>
        <v>4.286441047585364E-2</v>
      </c>
      <c r="T144" s="3">
        <f t="shared" si="65"/>
        <v>4.2864410475794118E-2</v>
      </c>
      <c r="U144" s="3">
        <f t="shared" si="65"/>
        <v>4.2864410475198893E-2</v>
      </c>
      <c r="V144" s="3">
        <f t="shared" si="65"/>
        <v>4.2864410469246675E-2</v>
      </c>
      <c r="W144" s="3">
        <f t="shared" si="65"/>
        <v>4.2864410409724454E-2</v>
      </c>
      <c r="X144" s="3">
        <f t="shared" si="65"/>
        <v>4.2864409814502291E-2</v>
      </c>
      <c r="Y144" s="3">
        <f t="shared" si="65"/>
        <v>4.2864403862281089E-2</v>
      </c>
      <c r="Z144" s="3">
        <f t="shared" si="65"/>
        <v>4.2864344340114525E-2</v>
      </c>
      <c r="AA144" s="3">
        <f t="shared" ref="AA144" si="66">$C30*EXP(-AA$129/$A30/EXP(-$B$126))</f>
        <v>4.2863749122994857E-2</v>
      </c>
      <c r="AB144" s="3">
        <f t="shared" ref="AB144:AF153" si="67">$C30*EXP(-AB$129/$A30/EXP(-$B$126))</f>
        <v>4.2857797406366548E-2</v>
      </c>
      <c r="AC144" s="3">
        <f t="shared" si="67"/>
        <v>4.2798325673576755E-2</v>
      </c>
      <c r="AD144" s="3">
        <f t="shared" si="67"/>
        <v>4.2208128438282706E-2</v>
      </c>
      <c r="AE144" s="3">
        <f t="shared" si="67"/>
        <v>3.6735779345896571E-2</v>
      </c>
      <c r="AF144" s="3">
        <f t="shared" si="67"/>
        <v>9.1626454449809536E-3</v>
      </c>
    </row>
    <row r="145" spans="1:32" x14ac:dyDescent="0.25">
      <c r="B145" s="3">
        <f t="shared" ref="B145:Z145" si="68">$C31*EXP(-B$129/$A31/EXP(-$B$126))</f>
        <v>4.3714566142705795E-2</v>
      </c>
      <c r="C145" s="3">
        <f t="shared" si="68"/>
        <v>4.3714566142705795E-2</v>
      </c>
      <c r="D145" s="3">
        <f t="shared" si="68"/>
        <v>4.3714566142705795E-2</v>
      </c>
      <c r="E145" s="3">
        <f t="shared" si="68"/>
        <v>4.3714566142705795E-2</v>
      </c>
      <c r="F145" s="3">
        <f t="shared" si="68"/>
        <v>4.3714566142705795E-2</v>
      </c>
      <c r="G145" s="3">
        <f t="shared" si="68"/>
        <v>4.3714566142705795E-2</v>
      </c>
      <c r="H145" s="3">
        <f t="shared" si="68"/>
        <v>4.3714566142705795E-2</v>
      </c>
      <c r="I145" s="3">
        <f t="shared" si="68"/>
        <v>4.3714566142705795E-2</v>
      </c>
      <c r="J145" s="3">
        <f t="shared" si="68"/>
        <v>4.3714566142705795E-2</v>
      </c>
      <c r="K145" s="3">
        <f t="shared" si="68"/>
        <v>4.3714566142705795E-2</v>
      </c>
      <c r="L145" s="3">
        <f t="shared" si="68"/>
        <v>4.3714566142705795E-2</v>
      </c>
      <c r="M145" s="3">
        <f t="shared" si="68"/>
        <v>4.3714566142705795E-2</v>
      </c>
      <c r="N145" s="3">
        <f t="shared" si="68"/>
        <v>4.3714566142705795E-2</v>
      </c>
      <c r="O145" s="3">
        <f t="shared" si="68"/>
        <v>4.3714566142705795E-2</v>
      </c>
      <c r="P145" s="3">
        <f t="shared" si="68"/>
        <v>4.3714566142705795E-2</v>
      </c>
      <c r="Q145" s="3">
        <f t="shared" si="68"/>
        <v>4.3714566142705788E-2</v>
      </c>
      <c r="R145" s="3">
        <f t="shared" si="68"/>
        <v>4.3714566142705732E-2</v>
      </c>
      <c r="S145" s="3">
        <f t="shared" si="68"/>
        <v>4.3714566142705191E-2</v>
      </c>
      <c r="T145" s="3">
        <f t="shared" si="68"/>
        <v>4.371456614269971E-2</v>
      </c>
      <c r="U145" s="3">
        <f t="shared" si="68"/>
        <v>4.3714566142644955E-2</v>
      </c>
      <c r="V145" s="3">
        <f t="shared" si="68"/>
        <v>4.3714566142097365E-2</v>
      </c>
      <c r="W145" s="3">
        <f t="shared" si="68"/>
        <v>4.3714566136621467E-2</v>
      </c>
      <c r="X145" s="3">
        <f t="shared" si="68"/>
        <v>4.3714566081862534E-2</v>
      </c>
      <c r="Y145" s="3">
        <f t="shared" si="68"/>
        <v>4.3714565534273164E-2</v>
      </c>
      <c r="Z145" s="3">
        <f t="shared" si="68"/>
        <v>4.3714560058379905E-2</v>
      </c>
      <c r="AA145" s="3">
        <f t="shared" ref="AA145" si="69">$C31*EXP(-AA$129/$A31/EXP(-$B$126))</f>
        <v>4.3714505299484986E-2</v>
      </c>
      <c r="AB145" s="3">
        <f t="shared" si="67"/>
        <v>4.3713957714308409E-2</v>
      </c>
      <c r="AC145" s="3">
        <f t="shared" si="67"/>
        <v>4.3708482239788293E-2</v>
      </c>
      <c r="AD145" s="3">
        <f t="shared" si="67"/>
        <v>4.3653765201667014E-2</v>
      </c>
      <c r="AE145" s="3">
        <f t="shared" si="67"/>
        <v>4.3110348110390655E-2</v>
      </c>
      <c r="AF145" s="3">
        <f t="shared" si="67"/>
        <v>3.8034678111176091E-2</v>
      </c>
    </row>
    <row r="146" spans="1:32" x14ac:dyDescent="0.25">
      <c r="B146" s="3">
        <f t="shared" ref="B146:Z146" si="70">$C32*EXP(-B$129/$A32/EXP(-$B$126))</f>
        <v>7.7757179566671539E-2</v>
      </c>
      <c r="C146" s="3">
        <f t="shared" si="70"/>
        <v>7.7757179566671539E-2</v>
      </c>
      <c r="D146" s="3">
        <f t="shared" si="70"/>
        <v>7.7757179566671539E-2</v>
      </c>
      <c r="E146" s="3">
        <f t="shared" si="70"/>
        <v>7.7757179566671539E-2</v>
      </c>
      <c r="F146" s="3">
        <f t="shared" si="70"/>
        <v>7.7757179566671539E-2</v>
      </c>
      <c r="G146" s="3">
        <f t="shared" si="70"/>
        <v>7.7757179566671539E-2</v>
      </c>
      <c r="H146" s="3">
        <f t="shared" si="70"/>
        <v>7.7757179566671539E-2</v>
      </c>
      <c r="I146" s="3">
        <f t="shared" si="70"/>
        <v>7.7757179566671539E-2</v>
      </c>
      <c r="J146" s="3">
        <f t="shared" si="70"/>
        <v>7.7757179566671539E-2</v>
      </c>
      <c r="K146" s="3">
        <f t="shared" si="70"/>
        <v>7.7757179566671539E-2</v>
      </c>
      <c r="L146" s="3">
        <f t="shared" si="70"/>
        <v>7.7757179566671539E-2</v>
      </c>
      <c r="M146" s="3">
        <f t="shared" si="70"/>
        <v>7.7757179566671539E-2</v>
      </c>
      <c r="N146" s="3">
        <f t="shared" si="70"/>
        <v>7.7757179566671539E-2</v>
      </c>
      <c r="O146" s="3">
        <f t="shared" si="70"/>
        <v>7.7757179566671539E-2</v>
      </c>
      <c r="P146" s="3">
        <f t="shared" si="70"/>
        <v>7.7757179566671539E-2</v>
      </c>
      <c r="Q146" s="3">
        <f t="shared" si="70"/>
        <v>7.7757179566671539E-2</v>
      </c>
      <c r="R146" s="3">
        <f t="shared" si="70"/>
        <v>7.7757179566671525E-2</v>
      </c>
      <c r="S146" s="3">
        <f t="shared" si="70"/>
        <v>7.7757179566671442E-2</v>
      </c>
      <c r="T146" s="3">
        <f t="shared" si="70"/>
        <v>7.7757179566670567E-2</v>
      </c>
      <c r="U146" s="3">
        <f t="shared" si="70"/>
        <v>7.7757179566661769E-2</v>
      </c>
      <c r="V146" s="3">
        <f t="shared" si="70"/>
        <v>7.7757179566573909E-2</v>
      </c>
      <c r="W146" s="3">
        <f t="shared" si="70"/>
        <v>7.7757179565695264E-2</v>
      </c>
      <c r="X146" s="3">
        <f t="shared" si="70"/>
        <v>7.7757179556908765E-2</v>
      </c>
      <c r="Y146" s="3">
        <f t="shared" si="70"/>
        <v>7.7757179469043758E-2</v>
      </c>
      <c r="Z146" s="3">
        <f t="shared" si="70"/>
        <v>7.7757178590393744E-2</v>
      </c>
      <c r="AA146" s="3">
        <f t="shared" ref="AA146" si="71">$C32*EXP(-AA$129/$A32/EXP(-$B$126))</f>
        <v>7.7757169803894105E-2</v>
      </c>
      <c r="AB146" s="3">
        <f t="shared" si="67"/>
        <v>7.7757081938952352E-2</v>
      </c>
      <c r="AC146" s="3">
        <f t="shared" si="67"/>
        <v>7.7756203294995552E-2</v>
      </c>
      <c r="AD146" s="3">
        <f t="shared" si="67"/>
        <v>7.7747417401479418E-2</v>
      </c>
      <c r="AE146" s="3">
        <f t="shared" si="67"/>
        <v>7.765961304867762E-2</v>
      </c>
      <c r="AF146" s="3">
        <f t="shared" si="67"/>
        <v>7.678700500469797E-2</v>
      </c>
    </row>
    <row r="147" spans="1:32" x14ac:dyDescent="0.25">
      <c r="B147" s="3">
        <f t="shared" ref="B147:Z147" si="72">$C33*EXP(-B$129/$A33/EXP(-$B$126))</f>
        <v>9.5507274749383017E-2</v>
      </c>
      <c r="C147" s="3">
        <f t="shared" si="72"/>
        <v>9.5507274749383017E-2</v>
      </c>
      <c r="D147" s="3">
        <f t="shared" si="72"/>
        <v>9.5507274749383017E-2</v>
      </c>
      <c r="E147" s="3">
        <f t="shared" si="72"/>
        <v>9.5507274749383017E-2</v>
      </c>
      <c r="F147" s="3">
        <f t="shared" si="72"/>
        <v>9.5507274749383017E-2</v>
      </c>
      <c r="G147" s="3">
        <f t="shared" si="72"/>
        <v>9.5507274749383017E-2</v>
      </c>
      <c r="H147" s="3">
        <f t="shared" si="72"/>
        <v>9.5507274749383017E-2</v>
      </c>
      <c r="I147" s="3">
        <f t="shared" si="72"/>
        <v>9.5507274749383017E-2</v>
      </c>
      <c r="J147" s="3">
        <f t="shared" si="72"/>
        <v>9.5507274749383017E-2</v>
      </c>
      <c r="K147" s="3">
        <f t="shared" si="72"/>
        <v>9.5507274749383017E-2</v>
      </c>
      <c r="L147" s="3">
        <f t="shared" si="72"/>
        <v>9.5507274749383017E-2</v>
      </c>
      <c r="M147" s="3">
        <f t="shared" si="72"/>
        <v>9.5507274749383017E-2</v>
      </c>
      <c r="N147" s="3">
        <f t="shared" si="72"/>
        <v>9.5507274749383017E-2</v>
      </c>
      <c r="O147" s="3">
        <f t="shared" si="72"/>
        <v>9.5507274749383017E-2</v>
      </c>
      <c r="P147" s="3">
        <f t="shared" si="72"/>
        <v>9.5507274749383017E-2</v>
      </c>
      <c r="Q147" s="3">
        <f t="shared" si="72"/>
        <v>9.5507274749383017E-2</v>
      </c>
      <c r="R147" s="3">
        <f t="shared" si="72"/>
        <v>9.5507274749383017E-2</v>
      </c>
      <c r="S147" s="3">
        <f t="shared" si="72"/>
        <v>9.5507274749383003E-2</v>
      </c>
      <c r="T147" s="3">
        <f t="shared" si="72"/>
        <v>9.5507274749382906E-2</v>
      </c>
      <c r="U147" s="3">
        <f t="shared" si="72"/>
        <v>9.5507274749381935E-2</v>
      </c>
      <c r="V147" s="3">
        <f t="shared" si="72"/>
        <v>9.5507274749372206E-2</v>
      </c>
      <c r="W147" s="3">
        <f t="shared" si="72"/>
        <v>9.550727474927484E-2</v>
      </c>
      <c r="X147" s="3">
        <f t="shared" si="72"/>
        <v>9.5507274748301299E-2</v>
      </c>
      <c r="Y147" s="3">
        <f t="shared" si="72"/>
        <v>9.5507274738565795E-2</v>
      </c>
      <c r="Z147" s="3">
        <f t="shared" si="72"/>
        <v>9.550727464121074E-2</v>
      </c>
      <c r="AA147" s="3">
        <f t="shared" ref="AA147" si="73">$C33*EXP(-AA$129/$A33/EXP(-$B$126))</f>
        <v>9.5507273667660278E-2</v>
      </c>
      <c r="AB147" s="3">
        <f t="shared" si="67"/>
        <v>9.5507263932156208E-2</v>
      </c>
      <c r="AC147" s="3">
        <f t="shared" si="67"/>
        <v>9.5507166577170066E-2</v>
      </c>
      <c r="AD147" s="3">
        <f t="shared" si="67"/>
        <v>9.5506193032766709E-2</v>
      </c>
      <c r="AE147" s="3">
        <f t="shared" si="67"/>
        <v>9.5496458134522427E-2</v>
      </c>
      <c r="AF147" s="3">
        <f t="shared" si="67"/>
        <v>9.5399163710425172E-2</v>
      </c>
    </row>
    <row r="148" spans="1:32" x14ac:dyDescent="0.25">
      <c r="B148" s="3">
        <f t="shared" ref="B148:Z148" si="74">$C34*EXP(-B$129/$A34/EXP(-$B$126))</f>
        <v>8.003075559639232E-2</v>
      </c>
      <c r="C148" s="3">
        <f t="shared" si="74"/>
        <v>8.003075559639232E-2</v>
      </c>
      <c r="D148" s="3">
        <f t="shared" si="74"/>
        <v>8.003075559639232E-2</v>
      </c>
      <c r="E148" s="3">
        <f t="shared" si="74"/>
        <v>8.003075559639232E-2</v>
      </c>
      <c r="F148" s="3">
        <f t="shared" si="74"/>
        <v>8.003075559639232E-2</v>
      </c>
      <c r="G148" s="3">
        <f t="shared" si="74"/>
        <v>8.003075559639232E-2</v>
      </c>
      <c r="H148" s="3">
        <f t="shared" si="74"/>
        <v>8.003075559639232E-2</v>
      </c>
      <c r="I148" s="3">
        <f t="shared" si="74"/>
        <v>8.003075559639232E-2</v>
      </c>
      <c r="J148" s="3">
        <f t="shared" si="74"/>
        <v>8.003075559639232E-2</v>
      </c>
      <c r="K148" s="3">
        <f t="shared" si="74"/>
        <v>8.003075559639232E-2</v>
      </c>
      <c r="L148" s="3">
        <f t="shared" si="74"/>
        <v>8.003075559639232E-2</v>
      </c>
      <c r="M148" s="3">
        <f t="shared" si="74"/>
        <v>8.003075559639232E-2</v>
      </c>
      <c r="N148" s="3">
        <f t="shared" si="74"/>
        <v>8.003075559639232E-2</v>
      </c>
      <c r="O148" s="3">
        <f t="shared" si="74"/>
        <v>8.003075559639232E-2</v>
      </c>
      <c r="P148" s="3">
        <f t="shared" si="74"/>
        <v>8.003075559639232E-2</v>
      </c>
      <c r="Q148" s="3">
        <f t="shared" si="74"/>
        <v>8.003075559639232E-2</v>
      </c>
      <c r="R148" s="3">
        <f t="shared" si="74"/>
        <v>8.003075559639232E-2</v>
      </c>
      <c r="S148" s="3">
        <f t="shared" si="74"/>
        <v>8.003075559639232E-2</v>
      </c>
      <c r="T148" s="3">
        <f t="shared" si="74"/>
        <v>8.0030755596392306E-2</v>
      </c>
      <c r="U148" s="3">
        <f t="shared" si="74"/>
        <v>8.0030755596392236E-2</v>
      </c>
      <c r="V148" s="3">
        <f t="shared" si="74"/>
        <v>8.0030755596391501E-2</v>
      </c>
      <c r="W148" s="3">
        <f t="shared" si="74"/>
        <v>8.0030755596384145E-2</v>
      </c>
      <c r="X148" s="3">
        <f t="shared" si="74"/>
        <v>8.0030755596310552E-2</v>
      </c>
      <c r="Y148" s="3">
        <f t="shared" si="74"/>
        <v>8.003075559557464E-2</v>
      </c>
      <c r="Z148" s="3">
        <f t="shared" si="74"/>
        <v>8.0030755588215527E-2</v>
      </c>
      <c r="AA148" s="3">
        <f>$C34*EXP(-AA$129/$A34/EXP(-$B$126))</f>
        <v>8.003075551462438E-2</v>
      </c>
      <c r="AB148" s="3">
        <f t="shared" si="67"/>
        <v>8.0030754778712992E-2</v>
      </c>
      <c r="AC148" s="3">
        <f t="shared" si="67"/>
        <v>8.0030747419599507E-2</v>
      </c>
      <c r="AD148" s="3">
        <f t="shared" si="67"/>
        <v>8.0030673828501792E-2</v>
      </c>
      <c r="AE148" s="3">
        <f t="shared" si="67"/>
        <v>8.0029937921246477E-2</v>
      </c>
      <c r="AF148" s="3">
        <f t="shared" si="67"/>
        <v>8.0022579220862491E-2</v>
      </c>
    </row>
    <row r="149" spans="1:32" x14ac:dyDescent="0.25">
      <c r="B149" s="3">
        <f t="shared" ref="B149:Z149" si="75">$C35*EXP(-B$129/$A35/EXP(-$B$126))</f>
        <v>5.3976889971713508E-2</v>
      </c>
      <c r="C149" s="3">
        <f t="shared" si="75"/>
        <v>5.3976889971713508E-2</v>
      </c>
      <c r="D149" s="3">
        <f t="shared" si="75"/>
        <v>5.3976889971713508E-2</v>
      </c>
      <c r="E149" s="3">
        <f t="shared" si="75"/>
        <v>5.3976889971713508E-2</v>
      </c>
      <c r="F149" s="3">
        <f t="shared" si="75"/>
        <v>5.3976889971713508E-2</v>
      </c>
      <c r="G149" s="3">
        <f t="shared" si="75"/>
        <v>5.3976889971713508E-2</v>
      </c>
      <c r="H149" s="3">
        <f t="shared" si="75"/>
        <v>5.3976889971713508E-2</v>
      </c>
      <c r="I149" s="3">
        <f t="shared" si="75"/>
        <v>5.3976889971713508E-2</v>
      </c>
      <c r="J149" s="3">
        <f t="shared" si="75"/>
        <v>5.3976889971713508E-2</v>
      </c>
      <c r="K149" s="3">
        <f t="shared" si="75"/>
        <v>5.3976889971713508E-2</v>
      </c>
      <c r="L149" s="3">
        <f t="shared" si="75"/>
        <v>5.3976889971713508E-2</v>
      </c>
      <c r="M149" s="3">
        <f t="shared" si="75"/>
        <v>5.3976889971713508E-2</v>
      </c>
      <c r="N149" s="3">
        <f t="shared" si="75"/>
        <v>5.3976889971713508E-2</v>
      </c>
      <c r="O149" s="3">
        <f t="shared" si="75"/>
        <v>5.3976889971713508E-2</v>
      </c>
      <c r="P149" s="3">
        <f t="shared" si="75"/>
        <v>5.3976889971713508E-2</v>
      </c>
      <c r="Q149" s="3">
        <f t="shared" si="75"/>
        <v>5.3976889971713508E-2</v>
      </c>
      <c r="R149" s="3">
        <f t="shared" si="75"/>
        <v>5.3976889971713508E-2</v>
      </c>
      <c r="S149" s="3">
        <f t="shared" si="75"/>
        <v>5.3976889971713508E-2</v>
      </c>
      <c r="T149" s="3">
        <f t="shared" si="75"/>
        <v>5.3976889971713508E-2</v>
      </c>
      <c r="U149" s="3">
        <f t="shared" si="75"/>
        <v>5.3976889971713501E-2</v>
      </c>
      <c r="V149" s="3">
        <f t="shared" si="75"/>
        <v>5.397688997171346E-2</v>
      </c>
      <c r="W149" s="3">
        <f t="shared" si="75"/>
        <v>5.3976889971713009E-2</v>
      </c>
      <c r="X149" s="3">
        <f t="shared" si="75"/>
        <v>5.3976889971708533E-2</v>
      </c>
      <c r="Y149" s="3">
        <f t="shared" si="75"/>
        <v>5.3976889971663757E-2</v>
      </c>
      <c r="Z149" s="3">
        <f t="shared" si="75"/>
        <v>5.3976889971216024E-2</v>
      </c>
      <c r="AA149" s="3">
        <f t="shared" ref="AA149" si="76">$C35*EXP(-AA$129/$A35/EXP(-$B$126))</f>
        <v>5.3976889966738655E-2</v>
      </c>
      <c r="AB149" s="3">
        <f t="shared" si="67"/>
        <v>5.3976889921964942E-2</v>
      </c>
      <c r="AC149" s="3">
        <f t="shared" si="67"/>
        <v>5.3976889474227872E-2</v>
      </c>
      <c r="AD149" s="3">
        <f t="shared" si="67"/>
        <v>5.3976884996857363E-2</v>
      </c>
      <c r="AE149" s="3">
        <f t="shared" si="67"/>
        <v>5.3976840223172666E-2</v>
      </c>
      <c r="AF149" s="3">
        <f t="shared" si="67"/>
        <v>5.3976392488368413E-2</v>
      </c>
    </row>
    <row r="150" spans="1:32" x14ac:dyDescent="0.25">
      <c r="B150" s="3">
        <f t="shared" ref="B150:Z150" si="77">$C36*EXP(-B$129/$A36/EXP(-$B$126))</f>
        <v>2.9623895965477303E-2</v>
      </c>
      <c r="C150" s="3">
        <f t="shared" si="77"/>
        <v>2.9623895965477303E-2</v>
      </c>
      <c r="D150" s="3">
        <f t="shared" si="77"/>
        <v>2.9623895965477303E-2</v>
      </c>
      <c r="E150" s="3">
        <f t="shared" si="77"/>
        <v>2.9623895965477303E-2</v>
      </c>
      <c r="F150" s="3">
        <f t="shared" si="77"/>
        <v>2.9623895965477303E-2</v>
      </c>
      <c r="G150" s="3">
        <f t="shared" si="77"/>
        <v>2.9623895965477303E-2</v>
      </c>
      <c r="H150" s="3">
        <f t="shared" si="77"/>
        <v>2.9623895965477303E-2</v>
      </c>
      <c r="I150" s="3">
        <f t="shared" si="77"/>
        <v>2.9623895965477303E-2</v>
      </c>
      <c r="J150" s="3">
        <f t="shared" si="77"/>
        <v>2.9623895965477303E-2</v>
      </c>
      <c r="K150" s="3">
        <f t="shared" si="77"/>
        <v>2.9623895965477303E-2</v>
      </c>
      <c r="L150" s="3">
        <f t="shared" si="77"/>
        <v>2.9623895965477303E-2</v>
      </c>
      <c r="M150" s="3">
        <f t="shared" si="77"/>
        <v>2.9623895965477303E-2</v>
      </c>
      <c r="N150" s="3">
        <f t="shared" si="77"/>
        <v>2.9623895965477303E-2</v>
      </c>
      <c r="O150" s="3">
        <f t="shared" si="77"/>
        <v>2.9623895965477303E-2</v>
      </c>
      <c r="P150" s="3">
        <f t="shared" si="77"/>
        <v>2.9623895965477303E-2</v>
      </c>
      <c r="Q150" s="3">
        <f t="shared" si="77"/>
        <v>2.9623895965477303E-2</v>
      </c>
      <c r="R150" s="3">
        <f t="shared" si="77"/>
        <v>2.9623895965477303E-2</v>
      </c>
      <c r="S150" s="3">
        <f t="shared" si="77"/>
        <v>2.9623895965477303E-2</v>
      </c>
      <c r="T150" s="3">
        <f t="shared" si="77"/>
        <v>2.9623895965477303E-2</v>
      </c>
      <c r="U150" s="3">
        <f t="shared" si="77"/>
        <v>2.9623895965477303E-2</v>
      </c>
      <c r="V150" s="3">
        <f t="shared" si="77"/>
        <v>2.96238959654773E-2</v>
      </c>
      <c r="W150" s="3">
        <f t="shared" si="77"/>
        <v>2.9623895965477279E-2</v>
      </c>
      <c r="X150" s="3">
        <f t="shared" si="77"/>
        <v>2.9623895965477057E-2</v>
      </c>
      <c r="Y150" s="3">
        <f t="shared" si="77"/>
        <v>2.962389596547484E-2</v>
      </c>
      <c r="Z150" s="3">
        <f t="shared" si="77"/>
        <v>2.9623895965452673E-2</v>
      </c>
      <c r="AA150" s="3">
        <f t="shared" ref="AA150" si="78">$C36*EXP(-AA$129/$A36/EXP(-$B$126))</f>
        <v>2.9623895965231007E-2</v>
      </c>
      <c r="AB150" s="3">
        <f t="shared" si="67"/>
        <v>2.9623895963014318E-2</v>
      </c>
      <c r="AC150" s="3">
        <f t="shared" si="67"/>
        <v>2.962389594084747E-2</v>
      </c>
      <c r="AD150" s="3">
        <f t="shared" si="67"/>
        <v>2.9623895719178981E-2</v>
      </c>
      <c r="AE150" s="3">
        <f t="shared" si="67"/>
        <v>2.962389350249418E-2</v>
      </c>
      <c r="AF150" s="3">
        <f t="shared" si="67"/>
        <v>2.9623871335655277E-2</v>
      </c>
    </row>
    <row r="151" spans="1:32" x14ac:dyDescent="0.25">
      <c r="B151" s="3">
        <f t="shared" ref="B151:Z151" si="79">$C37*EXP(-B$129/$A37/EXP(-$B$126))</f>
        <v>1.5005107194779805E-2</v>
      </c>
      <c r="C151" s="3">
        <f t="shared" si="79"/>
        <v>1.5005107194779805E-2</v>
      </c>
      <c r="D151" s="3">
        <f t="shared" si="79"/>
        <v>1.5005107194779805E-2</v>
      </c>
      <c r="E151" s="3">
        <f t="shared" si="79"/>
        <v>1.5005107194779805E-2</v>
      </c>
      <c r="F151" s="3">
        <f t="shared" si="79"/>
        <v>1.5005107194779805E-2</v>
      </c>
      <c r="G151" s="3">
        <f t="shared" si="79"/>
        <v>1.5005107194779805E-2</v>
      </c>
      <c r="H151" s="3">
        <f t="shared" si="79"/>
        <v>1.5005107194779805E-2</v>
      </c>
      <c r="I151" s="3">
        <f t="shared" si="79"/>
        <v>1.5005107194779805E-2</v>
      </c>
      <c r="J151" s="3">
        <f t="shared" si="79"/>
        <v>1.5005107194779805E-2</v>
      </c>
      <c r="K151" s="3">
        <f t="shared" si="79"/>
        <v>1.5005107194779805E-2</v>
      </c>
      <c r="L151" s="3">
        <f t="shared" si="79"/>
        <v>1.5005107194779805E-2</v>
      </c>
      <c r="M151" s="3">
        <f t="shared" si="79"/>
        <v>1.5005107194779805E-2</v>
      </c>
      <c r="N151" s="3">
        <f t="shared" si="79"/>
        <v>1.5005107194779805E-2</v>
      </c>
      <c r="O151" s="3">
        <f t="shared" si="79"/>
        <v>1.5005107194779805E-2</v>
      </c>
      <c r="P151" s="3">
        <f t="shared" si="79"/>
        <v>1.5005107194779805E-2</v>
      </c>
      <c r="Q151" s="3">
        <f t="shared" si="79"/>
        <v>1.5005107194779805E-2</v>
      </c>
      <c r="R151" s="3">
        <f t="shared" si="79"/>
        <v>1.5005107194779805E-2</v>
      </c>
      <c r="S151" s="3">
        <f t="shared" si="79"/>
        <v>1.5005107194779805E-2</v>
      </c>
      <c r="T151" s="3">
        <f t="shared" si="79"/>
        <v>1.5005107194779805E-2</v>
      </c>
      <c r="U151" s="3">
        <f t="shared" si="79"/>
        <v>1.5005107194779805E-2</v>
      </c>
      <c r="V151" s="3">
        <f t="shared" si="79"/>
        <v>1.5005107194779805E-2</v>
      </c>
      <c r="W151" s="3">
        <f t="shared" si="79"/>
        <v>1.5005107194779804E-2</v>
      </c>
      <c r="X151" s="3">
        <f t="shared" si="79"/>
        <v>1.5005107194779793E-2</v>
      </c>
      <c r="Y151" s="3">
        <f t="shared" si="79"/>
        <v>1.5005107194779693E-2</v>
      </c>
      <c r="Z151" s="3">
        <f t="shared" si="79"/>
        <v>1.5005107194778679E-2</v>
      </c>
      <c r="AA151" s="3">
        <f t="shared" ref="AA151" si="80">$C37*EXP(-AA$129/$A37/EXP(-$B$126))</f>
        <v>1.5005107194768552E-2</v>
      </c>
      <c r="AB151" s="3">
        <f t="shared" si="67"/>
        <v>1.5005107194667265E-2</v>
      </c>
      <c r="AC151" s="3">
        <f t="shared" si="67"/>
        <v>1.500510719365441E-2</v>
      </c>
      <c r="AD151" s="3">
        <f t="shared" si="67"/>
        <v>1.5005107183525856E-2</v>
      </c>
      <c r="AE151" s="3">
        <f t="shared" si="67"/>
        <v>1.5005107082240307E-2</v>
      </c>
      <c r="AF151" s="3">
        <f t="shared" si="67"/>
        <v>1.5005106069384868E-2</v>
      </c>
    </row>
    <row r="152" spans="1:32" x14ac:dyDescent="0.25">
      <c r="B152" s="3">
        <f t="shared" ref="B152:Z152" si="81">$C38*EXP(-B$129/$A38/EXP(-$B$126))</f>
        <v>4.0905508263932881E-3</v>
      </c>
      <c r="C152" s="3">
        <f t="shared" si="81"/>
        <v>4.0905508263932881E-3</v>
      </c>
      <c r="D152" s="3">
        <f t="shared" si="81"/>
        <v>4.0905508263932881E-3</v>
      </c>
      <c r="E152" s="3">
        <f t="shared" si="81"/>
        <v>4.0905508263932881E-3</v>
      </c>
      <c r="F152" s="3">
        <f t="shared" si="81"/>
        <v>4.0905508263932881E-3</v>
      </c>
      <c r="G152" s="3">
        <f t="shared" si="81"/>
        <v>4.0905508263932881E-3</v>
      </c>
      <c r="H152" s="3">
        <f t="shared" si="81"/>
        <v>4.0905508263932881E-3</v>
      </c>
      <c r="I152" s="3">
        <f t="shared" si="81"/>
        <v>4.0905508263932881E-3</v>
      </c>
      <c r="J152" s="3">
        <f t="shared" si="81"/>
        <v>4.0905508263932881E-3</v>
      </c>
      <c r="K152" s="3">
        <f t="shared" si="81"/>
        <v>4.0905508263932881E-3</v>
      </c>
      <c r="L152" s="3">
        <f t="shared" si="81"/>
        <v>4.0905508263932881E-3</v>
      </c>
      <c r="M152" s="3">
        <f t="shared" si="81"/>
        <v>4.0905508263932881E-3</v>
      </c>
      <c r="N152" s="3">
        <f t="shared" si="81"/>
        <v>4.0905508263932881E-3</v>
      </c>
      <c r="O152" s="3">
        <f t="shared" si="81"/>
        <v>4.0905508263932881E-3</v>
      </c>
      <c r="P152" s="3">
        <f t="shared" si="81"/>
        <v>4.0905508263932881E-3</v>
      </c>
      <c r="Q152" s="3">
        <f t="shared" si="81"/>
        <v>4.0905508263932881E-3</v>
      </c>
      <c r="R152" s="3">
        <f t="shared" si="81"/>
        <v>4.0905508263932881E-3</v>
      </c>
      <c r="S152" s="3">
        <f t="shared" si="81"/>
        <v>4.0905508263932881E-3</v>
      </c>
      <c r="T152" s="3">
        <f t="shared" si="81"/>
        <v>4.0905508263932881E-3</v>
      </c>
      <c r="U152" s="3">
        <f t="shared" si="81"/>
        <v>4.0905508263932881E-3</v>
      </c>
      <c r="V152" s="3">
        <f t="shared" si="81"/>
        <v>4.0905508263932881E-3</v>
      </c>
      <c r="W152" s="3">
        <f t="shared" si="81"/>
        <v>4.0905508263932881E-3</v>
      </c>
      <c r="X152" s="3">
        <f t="shared" si="81"/>
        <v>4.0905508263932872E-3</v>
      </c>
      <c r="Y152" s="3">
        <f t="shared" si="81"/>
        <v>4.0905508263932855E-3</v>
      </c>
      <c r="Z152" s="3">
        <f t="shared" si="81"/>
        <v>4.0905508263932603E-3</v>
      </c>
      <c r="AA152" s="3">
        <f t="shared" ref="AA152" si="82">$C38*EXP(-AA$129/$A38/EXP(-$B$126))</f>
        <v>4.0905508263930114E-3</v>
      </c>
      <c r="AB152" s="3">
        <f t="shared" si="67"/>
        <v>4.0905508263905203E-3</v>
      </c>
      <c r="AC152" s="3">
        <f t="shared" si="67"/>
        <v>4.0905508263656123E-3</v>
      </c>
      <c r="AD152" s="3">
        <f t="shared" si="67"/>
        <v>4.0905508261165338E-3</v>
      </c>
      <c r="AE152" s="3">
        <f t="shared" si="67"/>
        <v>4.0905508236257458E-3</v>
      </c>
      <c r="AF152" s="3">
        <f t="shared" si="67"/>
        <v>4.0905507987178662E-3</v>
      </c>
    </row>
    <row r="153" spans="1:32" x14ac:dyDescent="0.25">
      <c r="B153" s="3">
        <f t="shared" ref="B153:Z153" si="83">$C39*EXP(-B$129/$A39/EXP(-$B$126))</f>
        <v>4.6207327982835155E-3</v>
      </c>
      <c r="C153" s="3">
        <f t="shared" si="83"/>
        <v>4.6207327982835155E-3</v>
      </c>
      <c r="D153" s="3">
        <f t="shared" si="83"/>
        <v>4.6207327982835155E-3</v>
      </c>
      <c r="E153" s="3">
        <f t="shared" si="83"/>
        <v>4.6207327982835155E-3</v>
      </c>
      <c r="F153" s="3">
        <f t="shared" si="83"/>
        <v>4.6207327982835155E-3</v>
      </c>
      <c r="G153" s="3">
        <f t="shared" si="83"/>
        <v>4.6207327982835155E-3</v>
      </c>
      <c r="H153" s="3">
        <f t="shared" si="83"/>
        <v>4.6207327982835155E-3</v>
      </c>
      <c r="I153" s="3">
        <f t="shared" si="83"/>
        <v>4.6207327982835155E-3</v>
      </c>
      <c r="J153" s="3">
        <f t="shared" si="83"/>
        <v>4.6207327982835155E-3</v>
      </c>
      <c r="K153" s="3">
        <f t="shared" si="83"/>
        <v>4.6207327982835155E-3</v>
      </c>
      <c r="L153" s="3">
        <f t="shared" si="83"/>
        <v>4.6207327982835155E-3</v>
      </c>
      <c r="M153" s="3">
        <f t="shared" si="83"/>
        <v>4.6207327982835155E-3</v>
      </c>
      <c r="N153" s="3">
        <f t="shared" si="83"/>
        <v>4.6207327982835155E-3</v>
      </c>
      <c r="O153" s="3">
        <f t="shared" si="83"/>
        <v>4.6207327982835155E-3</v>
      </c>
      <c r="P153" s="3">
        <f t="shared" si="83"/>
        <v>4.6207327982835155E-3</v>
      </c>
      <c r="Q153" s="3">
        <f t="shared" si="83"/>
        <v>4.6207327982835155E-3</v>
      </c>
      <c r="R153" s="3">
        <f t="shared" si="83"/>
        <v>4.6207327982835155E-3</v>
      </c>
      <c r="S153" s="3">
        <f t="shared" si="83"/>
        <v>4.6207327982835155E-3</v>
      </c>
      <c r="T153" s="3">
        <f t="shared" si="83"/>
        <v>4.6207327982835155E-3</v>
      </c>
      <c r="U153" s="3">
        <f t="shared" si="83"/>
        <v>4.6207327982835155E-3</v>
      </c>
      <c r="V153" s="3">
        <f t="shared" si="83"/>
        <v>4.6207327982835155E-3</v>
      </c>
      <c r="W153" s="3">
        <f t="shared" si="83"/>
        <v>4.6207327982835155E-3</v>
      </c>
      <c r="X153" s="3">
        <f t="shared" si="83"/>
        <v>4.6207327982835155E-3</v>
      </c>
      <c r="Y153" s="3">
        <f t="shared" si="83"/>
        <v>4.6207327982835146E-3</v>
      </c>
      <c r="Z153" s="3">
        <f t="shared" si="83"/>
        <v>4.6207327982835068E-3</v>
      </c>
      <c r="AA153" s="3">
        <f t="shared" ref="AA153" si="84">$C39*EXP(-AA$129/$A39/EXP(-$B$126))</f>
        <v>4.6207327982834287E-3</v>
      </c>
      <c r="AB153" s="3">
        <f t="shared" si="67"/>
        <v>4.6207327982826507E-3</v>
      </c>
      <c r="AC153" s="3">
        <f t="shared" si="67"/>
        <v>4.6207327982748696E-3</v>
      </c>
      <c r="AD153" s="3">
        <f t="shared" si="67"/>
        <v>4.6207327981970508E-3</v>
      </c>
      <c r="AE153" s="3">
        <f t="shared" si="67"/>
        <v>4.6207327974188738E-3</v>
      </c>
      <c r="AF153" s="3">
        <f t="shared" si="67"/>
        <v>4.6207327896370986E-3</v>
      </c>
    </row>
    <row r="154" spans="1:32" x14ac:dyDescent="0.25">
      <c r="B154" s="3">
        <f t="shared" ref="B154:Z154" si="85">$C40*EXP(-B$129/$A40/EXP(-$B$126))</f>
        <v>2.0598839061917876E-3</v>
      </c>
      <c r="C154" s="3">
        <f t="shared" si="85"/>
        <v>2.0598839061917876E-3</v>
      </c>
      <c r="D154" s="3">
        <f t="shared" si="85"/>
        <v>2.0598839061917876E-3</v>
      </c>
      <c r="E154" s="3">
        <f t="shared" si="85"/>
        <v>2.0598839061917876E-3</v>
      </c>
      <c r="F154" s="3">
        <f t="shared" si="85"/>
        <v>2.0598839061917876E-3</v>
      </c>
      <c r="G154" s="3">
        <f t="shared" si="85"/>
        <v>2.0598839061917876E-3</v>
      </c>
      <c r="H154" s="3">
        <f t="shared" si="85"/>
        <v>2.0598839061917876E-3</v>
      </c>
      <c r="I154" s="3">
        <f t="shared" si="85"/>
        <v>2.0598839061917876E-3</v>
      </c>
      <c r="J154" s="3">
        <f t="shared" si="85"/>
        <v>2.0598839061917876E-3</v>
      </c>
      <c r="K154" s="3">
        <f t="shared" si="85"/>
        <v>2.0598839061917876E-3</v>
      </c>
      <c r="L154" s="3">
        <f t="shared" si="85"/>
        <v>2.0598839061917876E-3</v>
      </c>
      <c r="M154" s="3">
        <f t="shared" si="85"/>
        <v>2.0598839061917876E-3</v>
      </c>
      <c r="N154" s="3">
        <f t="shared" si="85"/>
        <v>2.0598839061917876E-3</v>
      </c>
      <c r="O154" s="3">
        <f t="shared" si="85"/>
        <v>2.0598839061917876E-3</v>
      </c>
      <c r="P154" s="3">
        <f t="shared" si="85"/>
        <v>2.0598839061917876E-3</v>
      </c>
      <c r="Q154" s="3">
        <f t="shared" si="85"/>
        <v>2.0598839061917876E-3</v>
      </c>
      <c r="R154" s="3">
        <f t="shared" si="85"/>
        <v>2.0598839061917876E-3</v>
      </c>
      <c r="S154" s="3">
        <f t="shared" si="85"/>
        <v>2.0598839061917876E-3</v>
      </c>
      <c r="T154" s="3">
        <f t="shared" si="85"/>
        <v>2.0598839061917876E-3</v>
      </c>
      <c r="U154" s="3">
        <f t="shared" si="85"/>
        <v>2.0598839061917876E-3</v>
      </c>
      <c r="V154" s="3">
        <f t="shared" si="85"/>
        <v>2.0598839061917876E-3</v>
      </c>
      <c r="W154" s="3">
        <f t="shared" si="85"/>
        <v>2.0598839061917876E-3</v>
      </c>
      <c r="X154" s="3">
        <f t="shared" si="85"/>
        <v>2.0598839061917876E-3</v>
      </c>
      <c r="Y154" s="3">
        <f t="shared" si="85"/>
        <v>2.0598839061917876E-3</v>
      </c>
      <c r="Z154" s="3">
        <f t="shared" si="85"/>
        <v>2.0598839061917872E-3</v>
      </c>
      <c r="AA154" s="3">
        <f t="shared" ref="AA154:AF154" si="86">$C40*EXP(-AA$129/$A40/EXP(-$B$126))</f>
        <v>2.0598839061917837E-3</v>
      </c>
      <c r="AB154" s="3">
        <f t="shared" si="86"/>
        <v>2.059883906191749E-3</v>
      </c>
      <c r="AC154" s="3">
        <f t="shared" si="86"/>
        <v>2.0598839061914021E-3</v>
      </c>
      <c r="AD154" s="3">
        <f t="shared" si="86"/>
        <v>2.0598839061879331E-3</v>
      </c>
      <c r="AE154" s="3">
        <f t="shared" si="86"/>
        <v>2.0598839061532425E-3</v>
      </c>
      <c r="AF154" s="3">
        <f t="shared" si="86"/>
        <v>2.0598839058063377E-3</v>
      </c>
    </row>
    <row r="155" spans="1:32" x14ac:dyDescent="0.25">
      <c r="B155" s="3">
        <f t="shared" ref="B155:Z155" si="87">$C41*EXP(-B$129/$A41/EXP(-$B$126))</f>
        <v>2.0793314772124174E-3</v>
      </c>
      <c r="C155" s="3">
        <f t="shared" si="87"/>
        <v>2.0793314772124174E-3</v>
      </c>
      <c r="D155" s="3">
        <f t="shared" si="87"/>
        <v>2.0793314772124174E-3</v>
      </c>
      <c r="E155" s="3">
        <f t="shared" si="87"/>
        <v>2.0793314772124174E-3</v>
      </c>
      <c r="F155" s="3">
        <f t="shared" si="87"/>
        <v>2.0793314772124174E-3</v>
      </c>
      <c r="G155" s="3">
        <f t="shared" si="87"/>
        <v>2.0793314772124174E-3</v>
      </c>
      <c r="H155" s="3">
        <f t="shared" si="87"/>
        <v>2.0793314772124174E-3</v>
      </c>
      <c r="I155" s="3">
        <f t="shared" si="87"/>
        <v>2.0793314772124174E-3</v>
      </c>
      <c r="J155" s="3">
        <f t="shared" si="87"/>
        <v>2.0793314772124174E-3</v>
      </c>
      <c r="K155" s="3">
        <f t="shared" si="87"/>
        <v>2.0793314772124174E-3</v>
      </c>
      <c r="L155" s="3">
        <f t="shared" si="87"/>
        <v>2.0793314772124174E-3</v>
      </c>
      <c r="M155" s="3">
        <f t="shared" si="87"/>
        <v>2.0793314772124174E-3</v>
      </c>
      <c r="N155" s="3">
        <f t="shared" si="87"/>
        <v>2.0793314772124174E-3</v>
      </c>
      <c r="O155" s="3">
        <f t="shared" si="87"/>
        <v>2.0793314772124174E-3</v>
      </c>
      <c r="P155" s="3">
        <f t="shared" si="87"/>
        <v>2.0793314772124174E-3</v>
      </c>
      <c r="Q155" s="3">
        <f t="shared" si="87"/>
        <v>2.0793314772124174E-3</v>
      </c>
      <c r="R155" s="3">
        <f t="shared" si="87"/>
        <v>2.0793314772124174E-3</v>
      </c>
      <c r="S155" s="3">
        <f t="shared" si="87"/>
        <v>2.0793314772124174E-3</v>
      </c>
      <c r="T155" s="3">
        <f t="shared" si="87"/>
        <v>2.0793314772124174E-3</v>
      </c>
      <c r="U155" s="3">
        <f t="shared" si="87"/>
        <v>2.0793314772124174E-3</v>
      </c>
      <c r="V155" s="3">
        <f t="shared" si="87"/>
        <v>2.0793314772124174E-3</v>
      </c>
      <c r="W155" s="3">
        <f t="shared" si="87"/>
        <v>2.0793314772124174E-3</v>
      </c>
      <c r="X155" s="3">
        <f t="shared" si="87"/>
        <v>2.0793314772124174E-3</v>
      </c>
      <c r="Y155" s="3">
        <f t="shared" si="87"/>
        <v>2.0793314772124174E-3</v>
      </c>
      <c r="Z155" s="3">
        <f t="shared" si="87"/>
        <v>2.0793314772124174E-3</v>
      </c>
      <c r="AA155" s="3">
        <f t="shared" ref="AA155:AF155" si="88">$C41*EXP(-AA$129/$A41/EXP(-$B$126))</f>
        <v>2.079331477212417E-3</v>
      </c>
      <c r="AB155" s="3">
        <f t="shared" si="88"/>
        <v>2.0793314772124135E-3</v>
      </c>
      <c r="AC155" s="3">
        <f t="shared" si="88"/>
        <v>2.0793314772123784E-3</v>
      </c>
      <c r="AD155" s="3">
        <f t="shared" si="88"/>
        <v>2.0793314772120284E-3</v>
      </c>
      <c r="AE155" s="3">
        <f t="shared" si="88"/>
        <v>2.0793314772085264E-3</v>
      </c>
      <c r="AF155" s="3">
        <f t="shared" si="88"/>
        <v>2.0793314771735084E-3</v>
      </c>
    </row>
    <row r="156" spans="1:32" x14ac:dyDescent="0.25">
      <c r="B156" s="3">
        <f t="shared" ref="B156:Z156" si="89">$C42*EXP(-B$129/$A42/EXP(-$B$126))</f>
        <v>0</v>
      </c>
      <c r="C156" s="3">
        <f t="shared" si="89"/>
        <v>0</v>
      </c>
      <c r="D156" s="3">
        <f t="shared" si="89"/>
        <v>0</v>
      </c>
      <c r="E156" s="3">
        <f t="shared" si="89"/>
        <v>0</v>
      </c>
      <c r="F156" s="3">
        <f t="shared" si="89"/>
        <v>0</v>
      </c>
      <c r="G156" s="3">
        <f t="shared" si="89"/>
        <v>0</v>
      </c>
      <c r="H156" s="3">
        <f t="shared" si="89"/>
        <v>0</v>
      </c>
      <c r="I156" s="3">
        <f t="shared" si="89"/>
        <v>0</v>
      </c>
      <c r="J156" s="3">
        <f t="shared" si="89"/>
        <v>0</v>
      </c>
      <c r="K156" s="3">
        <f t="shared" si="89"/>
        <v>0</v>
      </c>
      <c r="L156" s="3">
        <f t="shared" si="89"/>
        <v>0</v>
      </c>
      <c r="M156" s="3">
        <f t="shared" si="89"/>
        <v>0</v>
      </c>
      <c r="N156" s="3">
        <f t="shared" si="89"/>
        <v>0</v>
      </c>
      <c r="O156" s="3">
        <f t="shared" si="89"/>
        <v>0</v>
      </c>
      <c r="P156" s="3">
        <f t="shared" si="89"/>
        <v>0</v>
      </c>
      <c r="Q156" s="3">
        <f t="shared" si="89"/>
        <v>0</v>
      </c>
      <c r="R156" s="3">
        <f t="shared" si="89"/>
        <v>0</v>
      </c>
      <c r="S156" s="3">
        <f t="shared" si="89"/>
        <v>0</v>
      </c>
      <c r="T156" s="3">
        <f t="shared" si="89"/>
        <v>0</v>
      </c>
      <c r="U156" s="3">
        <f t="shared" si="89"/>
        <v>0</v>
      </c>
      <c r="V156" s="3">
        <f t="shared" si="89"/>
        <v>0</v>
      </c>
      <c r="W156" s="3">
        <f t="shared" si="89"/>
        <v>0</v>
      </c>
      <c r="X156" s="3">
        <f t="shared" si="89"/>
        <v>0</v>
      </c>
      <c r="Y156" s="3">
        <f t="shared" si="89"/>
        <v>0</v>
      </c>
      <c r="Z156" s="3">
        <f t="shared" si="89"/>
        <v>0</v>
      </c>
      <c r="AA156" s="3">
        <f t="shared" ref="AA156:AF156" si="90">$C42*EXP(-AA$129/$A42/EXP(-$B$126))</f>
        <v>0</v>
      </c>
      <c r="AB156" s="3">
        <f t="shared" si="90"/>
        <v>0</v>
      </c>
      <c r="AC156" s="3">
        <f t="shared" si="90"/>
        <v>0</v>
      </c>
      <c r="AD156" s="3">
        <f t="shared" si="90"/>
        <v>0</v>
      </c>
      <c r="AE156" s="3">
        <f t="shared" si="90"/>
        <v>0</v>
      </c>
      <c r="AF156" s="3">
        <f t="shared" si="90"/>
        <v>0</v>
      </c>
    </row>
    <row r="157" spans="1:32" x14ac:dyDescent="0.25">
      <c r="B157" s="3">
        <f t="shared" ref="B157:Z157" si="91">$C43*EXP(-B$129/$A43/EXP(-$B$126))</f>
        <v>2.538048611821601E-3</v>
      </c>
      <c r="C157" s="3">
        <f t="shared" si="91"/>
        <v>2.538048611821601E-3</v>
      </c>
      <c r="D157" s="3">
        <f t="shared" si="91"/>
        <v>2.538048611821601E-3</v>
      </c>
      <c r="E157" s="3">
        <f t="shared" si="91"/>
        <v>2.538048611821601E-3</v>
      </c>
      <c r="F157" s="3">
        <f t="shared" si="91"/>
        <v>2.538048611821601E-3</v>
      </c>
      <c r="G157" s="3">
        <f t="shared" si="91"/>
        <v>2.538048611821601E-3</v>
      </c>
      <c r="H157" s="3">
        <f t="shared" si="91"/>
        <v>2.538048611821601E-3</v>
      </c>
      <c r="I157" s="3">
        <f t="shared" si="91"/>
        <v>2.538048611821601E-3</v>
      </c>
      <c r="J157" s="3">
        <f t="shared" si="91"/>
        <v>2.538048611821601E-3</v>
      </c>
      <c r="K157" s="3">
        <f t="shared" si="91"/>
        <v>2.538048611821601E-3</v>
      </c>
      <c r="L157" s="3">
        <f t="shared" si="91"/>
        <v>2.538048611821601E-3</v>
      </c>
      <c r="M157" s="3">
        <f t="shared" si="91"/>
        <v>2.538048611821601E-3</v>
      </c>
      <c r="N157" s="3">
        <f t="shared" si="91"/>
        <v>2.538048611821601E-3</v>
      </c>
      <c r="O157" s="3">
        <f t="shared" si="91"/>
        <v>2.538048611821601E-3</v>
      </c>
      <c r="P157" s="3">
        <f t="shared" si="91"/>
        <v>2.538048611821601E-3</v>
      </c>
      <c r="Q157" s="3">
        <f t="shared" si="91"/>
        <v>2.538048611821601E-3</v>
      </c>
      <c r="R157" s="3">
        <f t="shared" si="91"/>
        <v>2.538048611821601E-3</v>
      </c>
      <c r="S157" s="3">
        <f t="shared" si="91"/>
        <v>2.538048611821601E-3</v>
      </c>
      <c r="T157" s="3">
        <f t="shared" si="91"/>
        <v>2.538048611821601E-3</v>
      </c>
      <c r="U157" s="3">
        <f t="shared" si="91"/>
        <v>2.538048611821601E-3</v>
      </c>
      <c r="V157" s="3">
        <f t="shared" si="91"/>
        <v>2.538048611821601E-3</v>
      </c>
      <c r="W157" s="3">
        <f t="shared" si="91"/>
        <v>2.538048611821601E-3</v>
      </c>
      <c r="X157" s="3">
        <f t="shared" si="91"/>
        <v>2.538048611821601E-3</v>
      </c>
      <c r="Y157" s="3">
        <f t="shared" si="91"/>
        <v>2.538048611821601E-3</v>
      </c>
      <c r="Z157" s="3">
        <f t="shared" si="91"/>
        <v>2.538048611821601E-3</v>
      </c>
      <c r="AA157" s="3">
        <f t="shared" ref="AA157:AF157" si="92">$C43*EXP(-AA$129/$A43/EXP(-$B$126))</f>
        <v>2.538048611821601E-3</v>
      </c>
      <c r="AB157" s="3">
        <f t="shared" si="92"/>
        <v>2.538048611821601E-3</v>
      </c>
      <c r="AC157" s="3">
        <f t="shared" si="92"/>
        <v>2.5380486118216005E-3</v>
      </c>
      <c r="AD157" s="3">
        <f t="shared" si="92"/>
        <v>2.5380486118215962E-3</v>
      </c>
      <c r="AE157" s="3">
        <f t="shared" si="92"/>
        <v>2.5380486118215533E-3</v>
      </c>
      <c r="AF157" s="3">
        <f t="shared" si="92"/>
        <v>2.5380486118211261E-3</v>
      </c>
    </row>
    <row r="158" spans="1:32" x14ac:dyDescent="0.25">
      <c r="B158" s="3">
        <f t="shared" ref="B158:Z158" si="93">$C44*EXP(-B$129/$A44/EXP(-$B$126))</f>
        <v>1.186723127453265E-7</v>
      </c>
      <c r="C158" s="3">
        <f t="shared" si="93"/>
        <v>1.186723127453265E-7</v>
      </c>
      <c r="D158" s="3">
        <f t="shared" si="93"/>
        <v>1.186723127453265E-7</v>
      </c>
      <c r="E158" s="3">
        <f t="shared" si="93"/>
        <v>1.186723127453265E-7</v>
      </c>
      <c r="F158" s="3">
        <f t="shared" si="93"/>
        <v>1.186723127453265E-7</v>
      </c>
      <c r="G158" s="3">
        <f t="shared" si="93"/>
        <v>1.186723127453265E-7</v>
      </c>
      <c r="H158" s="3">
        <f t="shared" si="93"/>
        <v>1.186723127453265E-7</v>
      </c>
      <c r="I158" s="3">
        <f t="shared" si="93"/>
        <v>1.186723127453265E-7</v>
      </c>
      <c r="J158" s="3">
        <f t="shared" si="93"/>
        <v>1.186723127453265E-7</v>
      </c>
      <c r="K158" s="3">
        <f t="shared" si="93"/>
        <v>1.186723127453265E-7</v>
      </c>
      <c r="L158" s="3">
        <f t="shared" si="93"/>
        <v>1.186723127453265E-7</v>
      </c>
      <c r="M158" s="3">
        <f t="shared" si="93"/>
        <v>1.186723127453265E-7</v>
      </c>
      <c r="N158" s="3">
        <f t="shared" si="93"/>
        <v>1.186723127453265E-7</v>
      </c>
      <c r="O158" s="3">
        <f t="shared" si="93"/>
        <v>1.186723127453265E-7</v>
      </c>
      <c r="P158" s="3">
        <f t="shared" si="93"/>
        <v>1.186723127453265E-7</v>
      </c>
      <c r="Q158" s="3">
        <f t="shared" si="93"/>
        <v>1.186723127453265E-7</v>
      </c>
      <c r="R158" s="3">
        <f t="shared" si="93"/>
        <v>1.186723127453265E-7</v>
      </c>
      <c r="S158" s="3">
        <f t="shared" si="93"/>
        <v>1.186723127453265E-7</v>
      </c>
      <c r="T158" s="3">
        <f t="shared" si="93"/>
        <v>1.186723127453265E-7</v>
      </c>
      <c r="U158" s="3">
        <f t="shared" si="93"/>
        <v>1.186723127453265E-7</v>
      </c>
      <c r="V158" s="3">
        <f t="shared" si="93"/>
        <v>1.186723127453265E-7</v>
      </c>
      <c r="W158" s="3">
        <f t="shared" si="93"/>
        <v>1.186723127453265E-7</v>
      </c>
      <c r="X158" s="3">
        <f t="shared" si="93"/>
        <v>1.186723127453265E-7</v>
      </c>
      <c r="Y158" s="3">
        <f t="shared" si="93"/>
        <v>1.186723127453265E-7</v>
      </c>
      <c r="Z158" s="3">
        <f t="shared" si="93"/>
        <v>1.186723127453265E-7</v>
      </c>
      <c r="AA158" s="3">
        <f t="shared" ref="AA158:AF158" si="94">$C44*EXP(-AA$129/$A44/EXP(-$B$126))</f>
        <v>1.186723127453265E-7</v>
      </c>
      <c r="AB158" s="3">
        <f t="shared" si="94"/>
        <v>1.186723127453265E-7</v>
      </c>
      <c r="AC158" s="3">
        <f t="shared" si="94"/>
        <v>1.186723127453265E-7</v>
      </c>
      <c r="AD158" s="3">
        <f t="shared" si="94"/>
        <v>1.1867231274532647E-7</v>
      </c>
      <c r="AE158" s="3">
        <f t="shared" si="94"/>
        <v>1.1867231274532627E-7</v>
      </c>
      <c r="AF158" s="3">
        <f t="shared" si="94"/>
        <v>1.1867231274532427E-7</v>
      </c>
    </row>
    <row r="159" spans="1:32" x14ac:dyDescent="0.25">
      <c r="A159" s="11" t="s">
        <v>75</v>
      </c>
      <c r="B159" s="3">
        <f t="shared" ref="B159:Z159" si="95">$C45*EXP(-B$129/$A45/EXP(-$B$126))</f>
        <v>1.5301760835243074E-4</v>
      </c>
      <c r="C159" s="3">
        <f t="shared" si="95"/>
        <v>1.5301760835243074E-4</v>
      </c>
      <c r="D159" s="3">
        <f t="shared" si="95"/>
        <v>1.5301760835243074E-4</v>
      </c>
      <c r="E159" s="3">
        <f t="shared" si="95"/>
        <v>1.5301760835243074E-4</v>
      </c>
      <c r="F159" s="3">
        <f t="shared" si="95"/>
        <v>1.5301760835243074E-4</v>
      </c>
      <c r="G159" s="3">
        <f t="shared" si="95"/>
        <v>1.5301760835243074E-4</v>
      </c>
      <c r="H159" s="3">
        <f t="shared" si="95"/>
        <v>1.5301760835243074E-4</v>
      </c>
      <c r="I159" s="3">
        <f t="shared" si="95"/>
        <v>1.5301760835243074E-4</v>
      </c>
      <c r="J159" s="3">
        <f t="shared" si="95"/>
        <v>1.5301760835243074E-4</v>
      </c>
      <c r="K159" s="3">
        <f t="shared" si="95"/>
        <v>1.5301760835243074E-4</v>
      </c>
      <c r="L159" s="3">
        <f t="shared" si="95"/>
        <v>1.5301760835243074E-4</v>
      </c>
      <c r="M159" s="3">
        <f t="shared" si="95"/>
        <v>1.5301760835243074E-4</v>
      </c>
      <c r="N159" s="3">
        <f t="shared" si="95"/>
        <v>1.5301760835243074E-4</v>
      </c>
      <c r="O159" s="3">
        <f t="shared" si="95"/>
        <v>1.5301760835243074E-4</v>
      </c>
      <c r="P159" s="3">
        <f t="shared" si="95"/>
        <v>1.5301760835243074E-4</v>
      </c>
      <c r="Q159" s="3">
        <f t="shared" si="95"/>
        <v>1.5301760835243074E-4</v>
      </c>
      <c r="R159" s="3">
        <f t="shared" si="95"/>
        <v>1.5301760835243074E-4</v>
      </c>
      <c r="S159" s="3">
        <f t="shared" si="95"/>
        <v>1.5301760835243074E-4</v>
      </c>
      <c r="T159" s="3">
        <f t="shared" si="95"/>
        <v>1.5301760835243074E-4</v>
      </c>
      <c r="U159" s="3">
        <f t="shared" si="95"/>
        <v>1.5301760835243074E-4</v>
      </c>
      <c r="V159" s="3">
        <f t="shared" si="95"/>
        <v>1.5301760835243074E-4</v>
      </c>
      <c r="W159" s="3">
        <f t="shared" si="95"/>
        <v>1.5301760835243074E-4</v>
      </c>
      <c r="X159" s="3">
        <f t="shared" si="95"/>
        <v>1.5301760835243074E-4</v>
      </c>
      <c r="Y159" s="3">
        <f t="shared" si="95"/>
        <v>1.5301760835243074E-4</v>
      </c>
      <c r="Z159" s="3">
        <f t="shared" si="95"/>
        <v>1.5301760835243074E-4</v>
      </c>
      <c r="AA159" s="3">
        <f t="shared" ref="AA159:AF159" si="96">$C45*EXP(-AA$129/$A45/EXP(-$B$126))</f>
        <v>1.5301760835243074E-4</v>
      </c>
      <c r="AB159" s="3">
        <f t="shared" si="96"/>
        <v>1.5301760835243074E-4</v>
      </c>
      <c r="AC159" s="3">
        <f t="shared" si="96"/>
        <v>1.5301760835243074E-4</v>
      </c>
      <c r="AD159" s="3">
        <f t="shared" si="96"/>
        <v>1.5301760835243074E-4</v>
      </c>
      <c r="AE159" s="3">
        <f t="shared" si="96"/>
        <v>1.5301760835243072E-4</v>
      </c>
      <c r="AF159" s="3">
        <f t="shared" si="96"/>
        <v>1.5301760835243045E-4</v>
      </c>
    </row>
    <row r="160" spans="1:32" x14ac:dyDescent="0.25">
      <c r="B160" s="3">
        <f t="shared" ref="B160:Z160" si="97">$C46*EXP(-B$129/$A46/EXP(-$B$126))</f>
        <v>1.8120582087099855E-4</v>
      </c>
      <c r="C160" s="3">
        <f t="shared" si="97"/>
        <v>1.8120582087099855E-4</v>
      </c>
      <c r="D160" s="3">
        <f t="shared" si="97"/>
        <v>1.8120582087099855E-4</v>
      </c>
      <c r="E160" s="3">
        <f t="shared" si="97"/>
        <v>1.8120582087099855E-4</v>
      </c>
      <c r="F160" s="3">
        <f t="shared" si="97"/>
        <v>1.8120582087099855E-4</v>
      </c>
      <c r="G160" s="3">
        <f t="shared" si="97"/>
        <v>1.8120582087099855E-4</v>
      </c>
      <c r="H160" s="3">
        <f t="shared" si="97"/>
        <v>1.8120582087099855E-4</v>
      </c>
      <c r="I160" s="3">
        <f t="shared" si="97"/>
        <v>1.8120582087099855E-4</v>
      </c>
      <c r="J160" s="3">
        <f t="shared" si="97"/>
        <v>1.8120582087099855E-4</v>
      </c>
      <c r="K160" s="3">
        <f t="shared" si="97"/>
        <v>1.8120582087099855E-4</v>
      </c>
      <c r="L160" s="3">
        <f t="shared" si="97"/>
        <v>1.8120582087099855E-4</v>
      </c>
      <c r="M160" s="3">
        <f t="shared" si="97"/>
        <v>1.8120582087099855E-4</v>
      </c>
      <c r="N160" s="3">
        <f t="shared" si="97"/>
        <v>1.8120582087099855E-4</v>
      </c>
      <c r="O160" s="3">
        <f t="shared" si="97"/>
        <v>1.8120582087099855E-4</v>
      </c>
      <c r="P160" s="3">
        <f t="shared" si="97"/>
        <v>1.8120582087099855E-4</v>
      </c>
      <c r="Q160" s="3">
        <f t="shared" si="97"/>
        <v>1.8120582087099855E-4</v>
      </c>
      <c r="R160" s="3">
        <f t="shared" si="97"/>
        <v>1.8120582087099855E-4</v>
      </c>
      <c r="S160" s="3">
        <f t="shared" si="97"/>
        <v>1.8120582087099855E-4</v>
      </c>
      <c r="T160" s="3">
        <f t="shared" si="97"/>
        <v>1.8120582087099855E-4</v>
      </c>
      <c r="U160" s="3">
        <f t="shared" si="97"/>
        <v>1.8120582087099855E-4</v>
      </c>
      <c r="V160" s="3">
        <f t="shared" si="97"/>
        <v>1.8120582087099855E-4</v>
      </c>
      <c r="W160" s="3">
        <f t="shared" si="97"/>
        <v>1.8120582087099855E-4</v>
      </c>
      <c r="X160" s="3">
        <f t="shared" si="97"/>
        <v>1.8120582087099855E-4</v>
      </c>
      <c r="Y160" s="3">
        <f t="shared" si="97"/>
        <v>1.8120582087099855E-4</v>
      </c>
      <c r="Z160" s="3">
        <f t="shared" si="97"/>
        <v>1.8120582087099855E-4</v>
      </c>
      <c r="AA160" s="3">
        <f t="shared" ref="AA160:AF160" si="98">$C46*EXP(-AA$129/$A46/EXP(-$B$126))</f>
        <v>1.8120582087099855E-4</v>
      </c>
      <c r="AB160" s="3">
        <f t="shared" si="98"/>
        <v>1.8120582087099855E-4</v>
      </c>
      <c r="AC160" s="3">
        <f t="shared" si="98"/>
        <v>1.8120582087099855E-4</v>
      </c>
      <c r="AD160" s="3">
        <f t="shared" si="98"/>
        <v>1.8120582087099855E-4</v>
      </c>
      <c r="AE160" s="3">
        <f t="shared" si="98"/>
        <v>1.8120582087099855E-4</v>
      </c>
      <c r="AF160" s="3">
        <f t="shared" si="98"/>
        <v>1.8120582087099852E-4</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0</v>
      </c>
      <c r="C162" s="3">
        <f t="shared" si="101"/>
        <v>0</v>
      </c>
      <c r="D162" s="3">
        <f t="shared" si="101"/>
        <v>0</v>
      </c>
      <c r="E162" s="3">
        <f t="shared" si="101"/>
        <v>0</v>
      </c>
      <c r="F162" s="3">
        <f t="shared" si="101"/>
        <v>0</v>
      </c>
      <c r="G162" s="3">
        <f t="shared" si="101"/>
        <v>0</v>
      </c>
      <c r="H162" s="3">
        <f t="shared" si="101"/>
        <v>0</v>
      </c>
      <c r="I162" s="3">
        <f t="shared" si="101"/>
        <v>0</v>
      </c>
      <c r="J162" s="3">
        <f t="shared" si="101"/>
        <v>0</v>
      </c>
      <c r="K162" s="3">
        <f t="shared" si="101"/>
        <v>0</v>
      </c>
      <c r="L162" s="3">
        <f t="shared" si="101"/>
        <v>0</v>
      </c>
      <c r="M162" s="3">
        <f t="shared" si="101"/>
        <v>0</v>
      </c>
      <c r="N162" s="3">
        <f t="shared" si="101"/>
        <v>0</v>
      </c>
      <c r="O162" s="3">
        <f t="shared" si="101"/>
        <v>0</v>
      </c>
      <c r="P162" s="3">
        <f t="shared" si="101"/>
        <v>0</v>
      </c>
      <c r="Q162" s="3">
        <f t="shared" si="101"/>
        <v>0</v>
      </c>
      <c r="R162" s="3">
        <f t="shared" si="101"/>
        <v>0</v>
      </c>
      <c r="S162" s="3">
        <f t="shared" si="101"/>
        <v>0</v>
      </c>
      <c r="T162" s="3">
        <f t="shared" si="101"/>
        <v>0</v>
      </c>
      <c r="U162" s="3">
        <f t="shared" si="101"/>
        <v>0</v>
      </c>
      <c r="V162" s="3">
        <f t="shared" si="101"/>
        <v>0</v>
      </c>
      <c r="W162" s="3">
        <f t="shared" si="101"/>
        <v>0</v>
      </c>
      <c r="X162" s="3">
        <f t="shared" si="101"/>
        <v>0</v>
      </c>
      <c r="Y162" s="3">
        <f t="shared" si="101"/>
        <v>0</v>
      </c>
      <c r="Z162" s="3">
        <f t="shared" si="101"/>
        <v>0</v>
      </c>
      <c r="AA162" s="3">
        <f t="shared" ref="AA162:AF162" si="102">$C48*EXP(-AA$129/$A48/EXP(-$B$126))</f>
        <v>0</v>
      </c>
      <c r="AB162" s="3">
        <f t="shared" si="102"/>
        <v>0</v>
      </c>
      <c r="AC162" s="3">
        <f t="shared" si="102"/>
        <v>0</v>
      </c>
      <c r="AD162" s="3">
        <f t="shared" si="102"/>
        <v>0</v>
      </c>
      <c r="AE162" s="3">
        <f t="shared" si="102"/>
        <v>0</v>
      </c>
      <c r="AF162" s="3">
        <f t="shared" si="102"/>
        <v>0</v>
      </c>
    </row>
    <row r="163" spans="1:34" x14ac:dyDescent="0.25">
      <c r="A163" s="79">
        <f>AVERAGE(B163:AF163)</f>
        <v>4.7126928529288688E-2</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1.7504572792510966E-2</v>
      </c>
      <c r="M163" s="80">
        <f t="shared" si="103"/>
        <v>4.4614633101871803E-2</v>
      </c>
      <c r="N163" s="80">
        <f t="shared" si="103"/>
        <v>0.16490397539961185</v>
      </c>
      <c r="O163" s="80">
        <f t="shared" si="103"/>
        <v>0.19082252090050464</v>
      </c>
      <c r="P163" s="80">
        <f t="shared" si="103"/>
        <v>0.17947780027404855</v>
      </c>
      <c r="Q163" s="80">
        <f t="shared" si="103"/>
        <v>0.15995147045846655</v>
      </c>
      <c r="R163" s="80">
        <f t="shared" si="103"/>
        <v>0.14544170174080173</v>
      </c>
      <c r="S163" s="80">
        <f t="shared" si="103"/>
        <v>0.13229387178660307</v>
      </c>
      <c r="T163" s="80">
        <f t="shared" si="103"/>
        <v>0.13307232484817394</v>
      </c>
      <c r="U163" s="80">
        <f t="shared" si="103"/>
        <v>0.15190052710465543</v>
      </c>
      <c r="V163" s="80">
        <f t="shared" si="103"/>
        <v>0.14095138600070065</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10141.841770446779</v>
      </c>
      <c r="C164" s="21">
        <f t="shared" ref="C164:AF164" si="104">(C131-C130)^2</f>
        <v>10156.219308570895</v>
      </c>
      <c r="D164" s="21">
        <f t="shared" si="104"/>
        <v>10148.733848863905</v>
      </c>
      <c r="E164" s="21">
        <f t="shared" si="104"/>
        <v>10146.764880619192</v>
      </c>
      <c r="F164" s="21">
        <f t="shared" si="104"/>
        <v>10146.201559055398</v>
      </c>
      <c r="G164" s="21">
        <f t="shared" si="104"/>
        <v>10146.070720872207</v>
      </c>
      <c r="H164" s="21">
        <f t="shared" si="104"/>
        <v>10146.441983660699</v>
      </c>
      <c r="I164" s="21">
        <f t="shared" si="104"/>
        <v>10150.699496345922</v>
      </c>
      <c r="J164" s="21">
        <f t="shared" si="104"/>
        <v>10193.63324663694</v>
      </c>
      <c r="K164" s="21">
        <f t="shared" si="104"/>
        <v>10627.606756652962</v>
      </c>
      <c r="L164" s="21">
        <f t="shared" si="104"/>
        <v>15416.210326948119</v>
      </c>
      <c r="M164" s="21">
        <f t="shared" si="104"/>
        <v>100140.96460780132</v>
      </c>
      <c r="N164" s="21">
        <f t="shared" si="104"/>
        <v>1367559.1570912602</v>
      </c>
      <c r="O164" s="21">
        <f t="shared" si="104"/>
        <v>1824263.4787441364</v>
      </c>
      <c r="P164" s="21">
        <f t="shared" si="104"/>
        <v>1569474.8605486981</v>
      </c>
      <c r="Q164" s="21">
        <f t="shared" si="104"/>
        <v>1189208.7270216818</v>
      </c>
      <c r="R164" s="21">
        <f t="shared" si="104"/>
        <v>949627.82621579943</v>
      </c>
      <c r="S164" s="21">
        <f t="shared" si="104"/>
        <v>758101.90053695487</v>
      </c>
      <c r="T164" s="21">
        <f t="shared" si="104"/>
        <v>736564.38864041714</v>
      </c>
      <c r="U164" s="21">
        <f t="shared" si="104"/>
        <v>912707.33935438178</v>
      </c>
      <c r="V164" s="21">
        <f t="shared" si="104"/>
        <v>718994.63275154727</v>
      </c>
      <c r="W164" s="21">
        <f t="shared" si="104"/>
        <v>220203.63373647348</v>
      </c>
      <c r="X164" s="21">
        <f t="shared" si="104"/>
        <v>15811.475034478086</v>
      </c>
      <c r="Y164" s="21">
        <f t="shared" si="104"/>
        <v>360701.48160744924</v>
      </c>
      <c r="Z164" s="21">
        <f t="shared" si="104"/>
        <v>800088.85217401828</v>
      </c>
      <c r="AA164" s="21">
        <f t="shared" si="104"/>
        <v>1148907.3735817112</v>
      </c>
      <c r="AB164" s="21">
        <f t="shared" si="104"/>
        <v>1380974.5359013097</v>
      </c>
      <c r="AC164" s="21">
        <f t="shared" si="104"/>
        <v>1427119.2530767045</v>
      </c>
      <c r="AD164" s="21">
        <f t="shared" si="104"/>
        <v>1302287.4824661193</v>
      </c>
      <c r="AE164" s="21">
        <f t="shared" si="104"/>
        <v>1100915.9227164774</v>
      </c>
      <c r="AF164" s="21">
        <f t="shared" si="104"/>
        <v>798220.19299284788</v>
      </c>
    </row>
    <row r="165" spans="1:34" x14ac:dyDescent="0.25">
      <c r="A165" s="71">
        <f>SUM(B165:AF165)</f>
        <v>10142059.485839624</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15416.210326948119</v>
      </c>
      <c r="M165" s="60">
        <f t="shared" si="105"/>
        <v>100140.96460780132</v>
      </c>
      <c r="N165" s="60">
        <f t="shared" si="105"/>
        <v>1367559.1570912602</v>
      </c>
      <c r="O165" s="60">
        <f t="shared" si="105"/>
        <v>1824263.4787441364</v>
      </c>
      <c r="P165" s="60">
        <f t="shared" si="105"/>
        <v>1569474.8605486981</v>
      </c>
      <c r="Q165" s="60">
        <f t="shared" si="105"/>
        <v>1189208.7270216818</v>
      </c>
      <c r="R165" s="60">
        <f t="shared" si="105"/>
        <v>949627.82621579943</v>
      </c>
      <c r="S165" s="60">
        <f t="shared" si="105"/>
        <v>758101.90053695487</v>
      </c>
      <c r="T165" s="60">
        <f t="shared" si="105"/>
        <v>736564.38864041714</v>
      </c>
      <c r="U165" s="60">
        <f t="shared" si="105"/>
        <v>912707.33935438178</v>
      </c>
      <c r="V165" s="60">
        <f t="shared" si="105"/>
        <v>718994.63275154727</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7031.9211529245395</v>
      </c>
      <c r="C169" s="26">
        <f>INDEX(Comparison!$AM$3:$AS$33,G$14,$C$122)</f>
        <v>7031.9907762783369</v>
      </c>
      <c r="D169" s="26">
        <f>INDEX(Comparison!$AM$3:$AS$33,H$14,$C$122)</f>
        <v>7031.9539299810422</v>
      </c>
      <c r="E169" s="26">
        <f>INDEX(Comparison!$AM$3:$AS$33,I$14,$C$122)</f>
        <v>7031.9433621725511</v>
      </c>
      <c r="F169" s="26">
        <f>INDEX(Comparison!$AM$3:$AS$33,J$14,$C$122)</f>
        <v>7031.9306469370567</v>
      </c>
      <c r="G169" s="26">
        <f>INDEX(Comparison!$AM$3:$AS$33,K$14,$C$122)</f>
        <v>7031.8305090006179</v>
      </c>
      <c r="H169" s="26">
        <f>INDEX(Comparison!$AM$3:$AS$33,L$14,$C$122)</f>
        <v>7030.8436925650376</v>
      </c>
      <c r="I169" s="26">
        <f>INDEX(Comparison!$AM$3:$AS$33,M$14,$C$122)</f>
        <v>7021.3347469085647</v>
      </c>
      <c r="J169" s="26">
        <f>INDEX(Comparison!$AM$3:$AS$33,N$14,$C$122)</f>
        <v>6946.0273669032786</v>
      </c>
      <c r="K169" s="26">
        <f>INDEX(Comparison!$AM$3:$AS$33,O$14,$C$122)</f>
        <v>6777.7782322116691</v>
      </c>
      <c r="L169" s="26">
        <f>INDEX(Comparison!$AM$3:$AS$33,P$14,$C$122)</f>
        <v>6659.4311503256295</v>
      </c>
      <c r="M169" s="26">
        <f>INDEX(Comparison!$AM$3:$AS$33,Q$14,$C$122)</f>
        <v>6544.645454565718</v>
      </c>
      <c r="N169" s="26">
        <f>INDEX(Comparison!$AM$3:$AS$33,R$14,$C$122)</f>
        <v>6415.8365900058752</v>
      </c>
      <c r="O169" s="26">
        <f>INDEX(Comparison!$AM$3:$AS$33,S$14,$C$122)</f>
        <v>6279.1797519689544</v>
      </c>
      <c r="P169" s="26">
        <f>INDEX(Comparison!$AM$3:$AS$33,T$14,$C$122)</f>
        <v>6124.6018825038309</v>
      </c>
      <c r="Q169" s="26">
        <f>INDEX(Comparison!$AM$3:$AS$33,U$14,$C$122)</f>
        <v>5956.8287989294422</v>
      </c>
      <c r="R169" s="26">
        <f>INDEX(Comparison!$AM$3:$AS$33,V$14,$C$122)</f>
        <v>5777.56401011038</v>
      </c>
      <c r="S169" s="26">
        <f>INDEX(Comparison!$AM$3:$AS$33,W$14,$C$122)</f>
        <v>5602.1564627366897</v>
      </c>
      <c r="T169" s="26">
        <f>INDEX(Comparison!$AM$3:$AS$33,X$14,$C$122)</f>
        <v>5348.811853446321</v>
      </c>
      <c r="U169" s="26">
        <f>INDEX(Comparison!$AM$3:$AS$33,Y$14,$C$122)</f>
        <v>4793.3449045957559</v>
      </c>
      <c r="V169" s="26">
        <f>INDEX(Comparison!$AM$3:$AS$33,Z$14,$C$122)</f>
        <v>4005.8829435497059</v>
      </c>
      <c r="W169" s="26">
        <f>INDEX(Comparison!$AM$3:$AS$33,AA$14,$C$122)</f>
        <v>3346.4776601581179</v>
      </c>
      <c r="X169" s="26">
        <f>INDEX(Comparison!$AM$3:$AS$33,AB$14,$C$122)</f>
        <v>2892.1899665732253</v>
      </c>
      <c r="Y169" s="26">
        <f>INDEX(Comparison!$AM$3:$AS$33,AC$14,$C$122)</f>
        <v>2569.6224142495339</v>
      </c>
      <c r="Z169" s="26">
        <f>INDEX(Comparison!$AM$3:$AS$33,AD$14,$C$122)</f>
        <v>2337.0503651981739</v>
      </c>
      <c r="AA169" s="26">
        <f>INDEX(Comparison!$AM$3:$AS$33,AE$14,$C$122)</f>
        <v>2151.250620328482</v>
      </c>
      <c r="AB169" s="26">
        <f>INDEX(Comparison!$AM$3:$AS$33,AF$14,$C$122)</f>
        <v>1990.2744047049448</v>
      </c>
      <c r="AC169" s="26">
        <f>INDEX(Comparison!$AM$3:$AS$33,AG$14,$C$122)</f>
        <v>1828.3308494849296</v>
      </c>
      <c r="AD169" s="26">
        <f>INDEX(Comparison!$AM$3:$AS$33,AH$14,$C$122)</f>
        <v>1665.1765081389453</v>
      </c>
      <c r="AE169" s="26">
        <f>INDEX(Comparison!$AM$3:$AS$33,AI$14,$C$122)</f>
        <v>1489.3314845424752</v>
      </c>
      <c r="AF169" s="26">
        <f>INDEX(Comparison!$AM$3:$AS$33,AJ$14,$C$122)</f>
        <v>1297.0734642842888</v>
      </c>
      <c r="AG169" s="26"/>
      <c r="AH169" s="26"/>
    </row>
    <row r="170" spans="1:34" x14ac:dyDescent="0.25">
      <c r="A170" s="70" t="s">
        <v>22</v>
      </c>
      <c r="B170" s="27">
        <f>($C$17+SUM(B171:B201))*$B$51</f>
        <v>6992.4086313796288</v>
      </c>
      <c r="C170" s="27">
        <f t="shared" ref="C170:AF170" si="106">($C$17+SUM(C171:C201))*$B$51</f>
        <v>6992.4080137964747</v>
      </c>
      <c r="D170" s="27">
        <f t="shared" si="106"/>
        <v>6992.4018379815161</v>
      </c>
      <c r="E170" s="27">
        <f t="shared" si="106"/>
        <v>6992.3400814901879</v>
      </c>
      <c r="F170" s="27">
        <f t="shared" si="106"/>
        <v>6991.7226823735027</v>
      </c>
      <c r="G170" s="27">
        <f t="shared" si="106"/>
        <v>6985.5652409558761</v>
      </c>
      <c r="H170" s="27">
        <f t="shared" si="106"/>
        <v>6925.6162931431991</v>
      </c>
      <c r="I170" s="27">
        <f t="shared" si="106"/>
        <v>6462.7786090214586</v>
      </c>
      <c r="J170" s="27">
        <f t="shared" si="106"/>
        <v>5732.981841643842</v>
      </c>
      <c r="K170" s="27">
        <f t="shared" si="106"/>
        <v>5727.402366105277</v>
      </c>
      <c r="L170" s="27">
        <f t="shared" si="106"/>
        <v>5727.358024266161</v>
      </c>
      <c r="M170" s="27">
        <f t="shared" si="106"/>
        <v>5726.9148998174323</v>
      </c>
      <c r="N170" s="27">
        <f t="shared" si="106"/>
        <v>5722.5129143958111</v>
      </c>
      <c r="O170" s="27">
        <f t="shared" si="106"/>
        <v>5681.2883590003166</v>
      </c>
      <c r="P170" s="27">
        <f t="shared" si="106"/>
        <v>5453.3665961015677</v>
      </c>
      <c r="Q170" s="27">
        <f t="shared" si="106"/>
        <v>5265.4417030067671</v>
      </c>
      <c r="R170" s="27">
        <f t="shared" si="106"/>
        <v>5056.7686997812752</v>
      </c>
      <c r="S170" s="27">
        <f t="shared" si="106"/>
        <v>4823.5862377421263</v>
      </c>
      <c r="T170" s="27">
        <f t="shared" si="106"/>
        <v>4620.703999452121</v>
      </c>
      <c r="U170" s="27">
        <f t="shared" si="106"/>
        <v>4438.0753005354918</v>
      </c>
      <c r="V170" s="27">
        <f t="shared" si="106"/>
        <v>4256.6692897810526</v>
      </c>
      <c r="W170" s="27">
        <f t="shared" si="106"/>
        <v>4076.7802649132518</v>
      </c>
      <c r="X170" s="27">
        <f t="shared" si="106"/>
        <v>3896.4417084991728</v>
      </c>
      <c r="Y170" s="27">
        <f t="shared" si="106"/>
        <v>3696.6921522910034</v>
      </c>
      <c r="Z170" s="27">
        <f t="shared" si="106"/>
        <v>3470.7732851589553</v>
      </c>
      <c r="AA170" s="27">
        <f t="shared" si="106"/>
        <v>3218.0457656933313</v>
      </c>
      <c r="AB170" s="27">
        <f t="shared" si="106"/>
        <v>2919.1683096941042</v>
      </c>
      <c r="AC170" s="27">
        <f t="shared" si="106"/>
        <v>2549.5554930646053</v>
      </c>
      <c r="AD170" s="27">
        <f t="shared" si="106"/>
        <v>1999.6280020384449</v>
      </c>
      <c r="AE170" s="27">
        <f t="shared" si="106"/>
        <v>1392.9421311606056</v>
      </c>
      <c r="AF170" s="27">
        <f t="shared" si="106"/>
        <v>897.49939061129589</v>
      </c>
      <c r="AG170" s="27"/>
      <c r="AH170" s="27"/>
    </row>
    <row r="171" spans="1:34" x14ac:dyDescent="0.25">
      <c r="B171" s="3">
        <f t="shared" ref="B171:AF171" si="107">$C18*EXP(-B$168/$A18/EXP(-$C$126))</f>
        <v>0.180910669319614</v>
      </c>
      <c r="C171" s="3">
        <f t="shared" si="107"/>
        <v>0.18091058099767279</v>
      </c>
      <c r="D171" s="3">
        <f t="shared" si="107"/>
        <v>0.18090969778063262</v>
      </c>
      <c r="E171" s="3">
        <f t="shared" si="107"/>
        <v>0.18090086584738288</v>
      </c>
      <c r="F171" s="3">
        <f t="shared" si="107"/>
        <v>0.18081257022582681</v>
      </c>
      <c r="G171" s="3">
        <f t="shared" si="107"/>
        <v>0.17993198082690129</v>
      </c>
      <c r="H171" s="3">
        <f t="shared" si="107"/>
        <v>0.17135854841609749</v>
      </c>
      <c r="I171" s="3">
        <f t="shared" si="107"/>
        <v>0.10516710285934133</v>
      </c>
      <c r="J171" s="3">
        <f t="shared" si="107"/>
        <v>7.9729908530301867E-4</v>
      </c>
      <c r="K171" s="3">
        <f t="shared" si="107"/>
        <v>5.0007463065547142E-25</v>
      </c>
      <c r="L171" s="3">
        <f t="shared" si="107"/>
        <v>4.7116214792614079E-237</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4.8747329106715323E-2</v>
      </c>
      <c r="C172" s="3">
        <f t="shared" si="108"/>
        <v>4.8747329106709217E-2</v>
      </c>
      <c r="D172" s="3">
        <f t="shared" si="108"/>
        <v>4.8747329106648259E-2</v>
      </c>
      <c r="E172" s="3">
        <f t="shared" si="108"/>
        <v>4.8747329106038642E-2</v>
      </c>
      <c r="F172" s="3">
        <f t="shared" si="108"/>
        <v>4.874732909994247E-2</v>
      </c>
      <c r="G172" s="3">
        <f t="shared" si="108"/>
        <v>4.8747329038980748E-2</v>
      </c>
      <c r="H172" s="3">
        <f t="shared" si="108"/>
        <v>4.8747328429363468E-2</v>
      </c>
      <c r="I172" s="3">
        <f t="shared" si="108"/>
        <v>4.8747322333191158E-2</v>
      </c>
      <c r="J172" s="3">
        <f t="shared" si="108"/>
        <v>4.8747261371509976E-2</v>
      </c>
      <c r="K172" s="3">
        <f t="shared" si="108"/>
        <v>4.8746651758891139E-2</v>
      </c>
      <c r="L172" s="3">
        <f t="shared" si="108"/>
        <v>4.8740556051982645E-2</v>
      </c>
      <c r="M172" s="3">
        <f t="shared" si="108"/>
        <v>4.8679640891496435E-2</v>
      </c>
      <c r="N172" s="3">
        <f t="shared" si="108"/>
        <v>4.8074660819704157E-2</v>
      </c>
      <c r="O172" s="3">
        <f t="shared" si="108"/>
        <v>4.2423340178096923E-2</v>
      </c>
      <c r="P172" s="3">
        <f t="shared" si="108"/>
        <v>1.2147619094768147E-2</v>
      </c>
      <c r="Q172" s="3">
        <f t="shared" si="108"/>
        <v>4.5014686154935517E-8</v>
      </c>
      <c r="R172" s="3">
        <f t="shared" si="108"/>
        <v>2.197783135758997E-62</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1.8089335916325201E-2</v>
      </c>
      <c r="C173" s="3">
        <f t="shared" si="109"/>
        <v>1.8089335916324997E-2</v>
      </c>
      <c r="D173" s="3">
        <f t="shared" si="109"/>
        <v>1.8089335916322953E-2</v>
      </c>
      <c r="E173" s="3">
        <f t="shared" si="109"/>
        <v>1.8089335916302549E-2</v>
      </c>
      <c r="F173" s="3">
        <f t="shared" si="109"/>
        <v>1.808933591609848E-2</v>
      </c>
      <c r="G173" s="3">
        <f t="shared" si="109"/>
        <v>1.8089335914057796E-2</v>
      </c>
      <c r="H173" s="3">
        <f t="shared" si="109"/>
        <v>1.808933589365096E-2</v>
      </c>
      <c r="I173" s="3">
        <f t="shared" si="109"/>
        <v>1.8089335689582611E-2</v>
      </c>
      <c r="J173" s="3">
        <f t="shared" si="109"/>
        <v>1.8089333648899236E-2</v>
      </c>
      <c r="K173" s="3">
        <f t="shared" si="109"/>
        <v>1.8089313242078148E-2</v>
      </c>
      <c r="L173" s="3">
        <f t="shared" si="109"/>
        <v>1.8089109175133421E-2</v>
      </c>
      <c r="M173" s="3">
        <f t="shared" si="109"/>
        <v>1.8087068632297091E-2</v>
      </c>
      <c r="N173" s="3">
        <f t="shared" si="109"/>
        <v>1.8066675859744724E-2</v>
      </c>
      <c r="O173" s="3">
        <f t="shared" si="109"/>
        <v>1.7864008448654198E-2</v>
      </c>
      <c r="P173" s="3">
        <f t="shared" si="109"/>
        <v>1.595826020064936E-2</v>
      </c>
      <c r="Q173" s="3">
        <f t="shared" si="109"/>
        <v>5.1647797673839172E-3</v>
      </c>
      <c r="R173" s="3">
        <f t="shared" si="109"/>
        <v>6.5120010416589848E-8</v>
      </c>
      <c r="S173" s="3">
        <f t="shared" si="109"/>
        <v>6.6121241739070825E-57</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3.7553125741215825E-2</v>
      </c>
      <c r="C174" s="3">
        <f t="shared" si="110"/>
        <v>3.755312574121579E-2</v>
      </c>
      <c r="D174" s="3">
        <f t="shared" si="110"/>
        <v>3.7553125741215408E-2</v>
      </c>
      <c r="E174" s="3">
        <f t="shared" si="110"/>
        <v>3.7553125741211585E-2</v>
      </c>
      <c r="F174" s="3">
        <f t="shared" si="110"/>
        <v>3.7553125741173365E-2</v>
      </c>
      <c r="G174" s="3">
        <f t="shared" si="110"/>
        <v>3.7553125740791206E-2</v>
      </c>
      <c r="H174" s="3">
        <f t="shared" si="110"/>
        <v>3.7553125736969603E-2</v>
      </c>
      <c r="I174" s="3">
        <f t="shared" si="110"/>
        <v>3.7553125698753562E-2</v>
      </c>
      <c r="J174" s="3">
        <f t="shared" si="110"/>
        <v>3.755312531659314E-2</v>
      </c>
      <c r="K174" s="3">
        <f t="shared" si="110"/>
        <v>3.7553121494989093E-2</v>
      </c>
      <c r="L174" s="3">
        <f t="shared" si="110"/>
        <v>3.7553083278970022E-2</v>
      </c>
      <c r="M174" s="3">
        <f t="shared" si="110"/>
        <v>3.7552701120918297E-2</v>
      </c>
      <c r="N174" s="3">
        <f t="shared" si="110"/>
        <v>3.7548879754290776E-2</v>
      </c>
      <c r="O174" s="3">
        <f t="shared" si="110"/>
        <v>3.751068746893349E-2</v>
      </c>
      <c r="P174" s="3">
        <f t="shared" si="110"/>
        <v>3.7130894678434417E-2</v>
      </c>
      <c r="Q174" s="3">
        <f t="shared" si="110"/>
        <v>3.3538166393694835E-2</v>
      </c>
      <c r="R174" s="3">
        <f t="shared" si="110"/>
        <v>1.2122112994304633E-2</v>
      </c>
      <c r="S174" s="3">
        <f t="shared" si="110"/>
        <v>4.6128406918801908E-7</v>
      </c>
      <c r="T174" s="3">
        <f t="shared" si="110"/>
        <v>2.9367686728098404E-51</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3.4655462333825049E-2</v>
      </c>
      <c r="C175" s="3">
        <f t="shared" si="111"/>
        <v>3.4655462333825042E-2</v>
      </c>
      <c r="D175" s="3">
        <f t="shared" si="111"/>
        <v>3.4655462333825014E-2</v>
      </c>
      <c r="E175" s="3">
        <f t="shared" si="111"/>
        <v>3.4655462333824695E-2</v>
      </c>
      <c r="F175" s="3">
        <f t="shared" si="111"/>
        <v>3.465546233382151E-2</v>
      </c>
      <c r="G175" s="3">
        <f t="shared" si="111"/>
        <v>3.4655462333789702E-2</v>
      </c>
      <c r="H175" s="3">
        <f t="shared" si="111"/>
        <v>3.4655462333471561E-2</v>
      </c>
      <c r="I175" s="3">
        <f t="shared" si="111"/>
        <v>3.4655462330290161E-2</v>
      </c>
      <c r="J175" s="3">
        <f t="shared" si="111"/>
        <v>3.4655462298476193E-2</v>
      </c>
      <c r="K175" s="3">
        <f t="shared" si="111"/>
        <v>3.4655461980336463E-2</v>
      </c>
      <c r="L175" s="3">
        <f t="shared" si="111"/>
        <v>3.4655458798939311E-2</v>
      </c>
      <c r="M175" s="3">
        <f t="shared" si="111"/>
        <v>3.4655426984983903E-2</v>
      </c>
      <c r="N175" s="3">
        <f t="shared" si="111"/>
        <v>3.4655108847036105E-2</v>
      </c>
      <c r="O175" s="3">
        <f t="shared" si="111"/>
        <v>3.465192762818213E-2</v>
      </c>
      <c r="P175" s="3">
        <f t="shared" si="111"/>
        <v>3.4620131496587499E-2</v>
      </c>
      <c r="Q175" s="3">
        <f t="shared" si="111"/>
        <v>3.4303770434573458E-2</v>
      </c>
      <c r="R175" s="3">
        <f t="shared" si="111"/>
        <v>3.1294880643626045E-2</v>
      </c>
      <c r="S175" s="3">
        <f t="shared" si="111"/>
        <v>1.2496480662471726E-2</v>
      </c>
      <c r="T175" s="3">
        <f t="shared" si="111"/>
        <v>1.2880476839712741E-6</v>
      </c>
      <c r="U175" s="3">
        <f t="shared" si="111"/>
        <v>1.7433080547308759E-46</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2.8039973666806786E-2</v>
      </c>
      <c r="C176" s="3">
        <f t="shared" si="112"/>
        <v>2.8039973666806786E-2</v>
      </c>
      <c r="D176" s="3">
        <f t="shared" si="112"/>
        <v>2.8039973666806783E-2</v>
      </c>
      <c r="E176" s="3">
        <f t="shared" si="112"/>
        <v>2.8039973666806762E-2</v>
      </c>
      <c r="F176" s="3">
        <f t="shared" si="112"/>
        <v>2.8039973666806529E-2</v>
      </c>
      <c r="G176" s="3">
        <f t="shared" si="112"/>
        <v>2.8039973666804205E-2</v>
      </c>
      <c r="H176" s="3">
        <f t="shared" si="112"/>
        <v>2.8039973666780984E-2</v>
      </c>
      <c r="I176" s="3">
        <f t="shared" si="112"/>
        <v>2.8039973666548781E-2</v>
      </c>
      <c r="J176" s="3">
        <f t="shared" si="112"/>
        <v>2.8039973664226735E-2</v>
      </c>
      <c r="K176" s="3">
        <f t="shared" si="112"/>
        <v>2.8039973641006299E-2</v>
      </c>
      <c r="L176" s="3">
        <f t="shared" si="112"/>
        <v>2.8039973408801922E-2</v>
      </c>
      <c r="M176" s="3">
        <f t="shared" si="112"/>
        <v>2.8039971086758243E-2</v>
      </c>
      <c r="N176" s="3">
        <f t="shared" si="112"/>
        <v>2.8039947866332019E-2</v>
      </c>
      <c r="O176" s="3">
        <f t="shared" si="112"/>
        <v>2.8039715663127403E-2</v>
      </c>
      <c r="P176" s="3">
        <f t="shared" si="112"/>
        <v>2.8037393736838754E-2</v>
      </c>
      <c r="Q176" s="3">
        <f t="shared" si="112"/>
        <v>2.8014185046461044E-2</v>
      </c>
      <c r="R176" s="3">
        <f t="shared" si="112"/>
        <v>2.7783152161269392E-2</v>
      </c>
      <c r="S176" s="3">
        <f t="shared" si="112"/>
        <v>2.5575065907064782E-2</v>
      </c>
      <c r="T176" s="3">
        <f t="shared" si="112"/>
        <v>1.1172984665787785E-2</v>
      </c>
      <c r="U176" s="3">
        <f t="shared" si="112"/>
        <v>2.8293952123996962E-6</v>
      </c>
      <c r="V176" s="3">
        <f t="shared" si="112"/>
        <v>3.0685819800053029E-42</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2.6812375730219603E-2</v>
      </c>
      <c r="C177" s="3">
        <f t="shared" si="113"/>
        <v>2.6812375730219603E-2</v>
      </c>
      <c r="D177" s="3">
        <f t="shared" si="113"/>
        <v>2.6812375730219603E-2</v>
      </c>
      <c r="E177" s="3">
        <f t="shared" si="113"/>
        <v>2.6812375730219599E-2</v>
      </c>
      <c r="F177" s="3">
        <f t="shared" si="113"/>
        <v>2.6812375730219582E-2</v>
      </c>
      <c r="G177" s="3">
        <f t="shared" si="113"/>
        <v>2.6812375730219381E-2</v>
      </c>
      <c r="H177" s="3">
        <f t="shared" si="113"/>
        <v>2.6812375730217376E-2</v>
      </c>
      <c r="I177" s="3">
        <f t="shared" si="113"/>
        <v>2.681237573019735E-2</v>
      </c>
      <c r="J177" s="3">
        <f t="shared" si="113"/>
        <v>2.6812375729997052E-2</v>
      </c>
      <c r="K177" s="3">
        <f t="shared" si="113"/>
        <v>2.6812375727994078E-2</v>
      </c>
      <c r="L177" s="3">
        <f t="shared" si="113"/>
        <v>2.6812375707964367E-2</v>
      </c>
      <c r="M177" s="3">
        <f t="shared" si="113"/>
        <v>2.6812375507667255E-2</v>
      </c>
      <c r="N177" s="3">
        <f t="shared" si="113"/>
        <v>2.6812373504696198E-2</v>
      </c>
      <c r="O177" s="3">
        <f t="shared" si="113"/>
        <v>2.6812353474993882E-2</v>
      </c>
      <c r="P177" s="3">
        <f t="shared" si="113"/>
        <v>2.6812153178793655E-2</v>
      </c>
      <c r="Q177" s="3">
        <f t="shared" si="113"/>
        <v>2.6810150299084509E-2</v>
      </c>
      <c r="R177" s="3">
        <f t="shared" si="113"/>
        <v>2.6790129729029246E-2</v>
      </c>
      <c r="S177" s="3">
        <f t="shared" si="113"/>
        <v>2.6590744462665735E-2</v>
      </c>
      <c r="T177" s="3">
        <f t="shared" si="113"/>
        <v>2.4676712124004518E-2</v>
      </c>
      <c r="U177" s="3">
        <f t="shared" si="113"/>
        <v>1.1691097349556997E-2</v>
      </c>
      <c r="V177" s="3">
        <f t="shared" si="113"/>
        <v>6.6609335041654082E-6</v>
      </c>
      <c r="W177" s="3">
        <f t="shared" si="113"/>
        <v>2.4006746763925095E-38</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2.7632018567144069E-2</v>
      </c>
      <c r="C178" s="3">
        <f t="shared" si="114"/>
        <v>2.7632018567144069E-2</v>
      </c>
      <c r="D178" s="3">
        <f t="shared" si="114"/>
        <v>2.7632018567144069E-2</v>
      </c>
      <c r="E178" s="3">
        <f t="shared" si="114"/>
        <v>2.7632018567144069E-2</v>
      </c>
      <c r="F178" s="3">
        <f t="shared" si="114"/>
        <v>2.7632018567144066E-2</v>
      </c>
      <c r="G178" s="3">
        <f t="shared" si="114"/>
        <v>2.7632018567144048E-2</v>
      </c>
      <c r="H178" s="3">
        <f t="shared" si="114"/>
        <v>2.7632018567143864E-2</v>
      </c>
      <c r="I178" s="3">
        <f t="shared" si="114"/>
        <v>2.7632018567142001E-2</v>
      </c>
      <c r="J178" s="3">
        <f t="shared" si="114"/>
        <v>2.7632018567123381E-2</v>
      </c>
      <c r="K178" s="3">
        <f t="shared" si="114"/>
        <v>2.7632018566937172E-2</v>
      </c>
      <c r="L178" s="3">
        <f t="shared" si="114"/>
        <v>2.7632018565075092E-2</v>
      </c>
      <c r="M178" s="3">
        <f t="shared" si="114"/>
        <v>2.7632018546454279E-2</v>
      </c>
      <c r="N178" s="3">
        <f t="shared" si="114"/>
        <v>2.7632018360246164E-2</v>
      </c>
      <c r="O178" s="3">
        <f t="shared" si="114"/>
        <v>2.7632016498165112E-2</v>
      </c>
      <c r="P178" s="3">
        <f t="shared" si="114"/>
        <v>2.7631997877361467E-2</v>
      </c>
      <c r="Q178" s="3">
        <f t="shared" si="114"/>
        <v>2.7631811670015157E-2</v>
      </c>
      <c r="R178" s="3">
        <f t="shared" si="114"/>
        <v>2.7629949665565742E-2</v>
      </c>
      <c r="S178" s="3">
        <f t="shared" si="114"/>
        <v>2.7611336520720071E-2</v>
      </c>
      <c r="T178" s="3">
        <f t="shared" si="114"/>
        <v>2.7425893319865877E-2</v>
      </c>
      <c r="U178" s="3">
        <f t="shared" si="114"/>
        <v>2.5638600506337216E-2</v>
      </c>
      <c r="V178" s="3">
        <f t="shared" si="114"/>
        <v>1.3068617443594568E-2</v>
      </c>
      <c r="W178" s="3">
        <f t="shared" si="114"/>
        <v>1.5473299880828431E-5</v>
      </c>
      <c r="X178" s="3">
        <f t="shared" si="114"/>
        <v>8.3775285466515022E-35</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2.5920837907154132E-2</v>
      </c>
      <c r="C179" s="3">
        <f t="shared" si="115"/>
        <v>2.5920837907154132E-2</v>
      </c>
      <c r="D179" s="3">
        <f t="shared" si="115"/>
        <v>2.5920837907154132E-2</v>
      </c>
      <c r="E179" s="3">
        <f t="shared" si="115"/>
        <v>2.5920837907154132E-2</v>
      </c>
      <c r="F179" s="3">
        <f t="shared" si="115"/>
        <v>2.5920837907154132E-2</v>
      </c>
      <c r="G179" s="3">
        <f t="shared" si="115"/>
        <v>2.5920837907154128E-2</v>
      </c>
      <c r="H179" s="3">
        <f t="shared" si="115"/>
        <v>2.5920837907154114E-2</v>
      </c>
      <c r="I179" s="3">
        <f t="shared" si="115"/>
        <v>2.5920837907153955E-2</v>
      </c>
      <c r="J179" s="3">
        <f t="shared" si="115"/>
        <v>2.5920837907152383E-2</v>
      </c>
      <c r="K179" s="3">
        <f t="shared" si="115"/>
        <v>2.5920837907136625E-2</v>
      </c>
      <c r="L179" s="3">
        <f t="shared" si="115"/>
        <v>2.592083790697905E-2</v>
      </c>
      <c r="M179" s="3">
        <f t="shared" si="115"/>
        <v>2.592083790540332E-2</v>
      </c>
      <c r="N179" s="3">
        <f t="shared" si="115"/>
        <v>2.5920837889646029E-2</v>
      </c>
      <c r="O179" s="3">
        <f t="shared" si="115"/>
        <v>2.5920837732073095E-2</v>
      </c>
      <c r="P179" s="3">
        <f t="shared" si="115"/>
        <v>2.5920836156343843E-2</v>
      </c>
      <c r="Q179" s="3">
        <f t="shared" si="115"/>
        <v>2.5920820399056552E-2</v>
      </c>
      <c r="R179" s="3">
        <f t="shared" si="115"/>
        <v>2.5920662826710492E-2</v>
      </c>
      <c r="S179" s="3">
        <f t="shared" si="115"/>
        <v>2.5919087155932354E-2</v>
      </c>
      <c r="T179" s="3">
        <f t="shared" si="115"/>
        <v>2.5903335715212E-2</v>
      </c>
      <c r="U179" s="3">
        <f t="shared" si="115"/>
        <v>2.574634683135122E-2</v>
      </c>
      <c r="V179" s="3">
        <f t="shared" si="115"/>
        <v>2.4227847277422797E-2</v>
      </c>
      <c r="W179" s="3">
        <f t="shared" si="115"/>
        <v>1.3191887756655448E-2</v>
      </c>
      <c r="X179" s="3">
        <f t="shared" si="115"/>
        <v>3.0215386099957193E-5</v>
      </c>
      <c r="Y179" s="3">
        <f t="shared" si="115"/>
        <v>1.2007156054034184E-31</v>
      </c>
      <c r="Z179" s="3">
        <f t="shared" si="115"/>
        <v>1.1791260237358749E-295</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2.7391939908773026E-2</v>
      </c>
      <c r="C180" s="3">
        <f t="shared" si="116"/>
        <v>2.7391939908773026E-2</v>
      </c>
      <c r="D180" s="3">
        <f t="shared" si="116"/>
        <v>2.7391939908773026E-2</v>
      </c>
      <c r="E180" s="3">
        <f t="shared" si="116"/>
        <v>2.7391939908773026E-2</v>
      </c>
      <c r="F180" s="3">
        <f t="shared" si="116"/>
        <v>2.7391939908773026E-2</v>
      </c>
      <c r="G180" s="3">
        <f t="shared" si="116"/>
        <v>2.7391939908773026E-2</v>
      </c>
      <c r="H180" s="3">
        <f t="shared" si="116"/>
        <v>2.7391939908773023E-2</v>
      </c>
      <c r="I180" s="3">
        <f t="shared" si="116"/>
        <v>2.7391939908773012E-2</v>
      </c>
      <c r="J180" s="3">
        <f t="shared" si="116"/>
        <v>2.739193990877286E-2</v>
      </c>
      <c r="K180" s="3">
        <f t="shared" si="116"/>
        <v>2.7391939908771357E-2</v>
      </c>
      <c r="L180" s="3">
        <f t="shared" si="116"/>
        <v>2.7391939908756338E-2</v>
      </c>
      <c r="M180" s="3">
        <f t="shared" si="116"/>
        <v>2.7391939908606125E-2</v>
      </c>
      <c r="N180" s="3">
        <f t="shared" si="116"/>
        <v>2.7391939907104014E-2</v>
      </c>
      <c r="O180" s="3">
        <f t="shared" si="116"/>
        <v>2.7391939892082905E-2</v>
      </c>
      <c r="P180" s="3">
        <f t="shared" si="116"/>
        <v>2.7391939741871828E-2</v>
      </c>
      <c r="Q180" s="3">
        <f t="shared" si="116"/>
        <v>2.7391938239761111E-2</v>
      </c>
      <c r="R180" s="3">
        <f t="shared" si="116"/>
        <v>2.7391923218658461E-2</v>
      </c>
      <c r="S180" s="3">
        <f t="shared" si="116"/>
        <v>2.739177300808502E-2</v>
      </c>
      <c r="T180" s="3">
        <f t="shared" si="116"/>
        <v>2.7390270947654331E-2</v>
      </c>
      <c r="U180" s="3">
        <f t="shared" si="116"/>
        <v>2.7375254872802072E-2</v>
      </c>
      <c r="V180" s="3">
        <f t="shared" si="116"/>
        <v>2.7225546152064465E-2</v>
      </c>
      <c r="W180" s="3">
        <f t="shared" si="116"/>
        <v>2.5772757859151035E-2</v>
      </c>
      <c r="X180" s="3">
        <f t="shared" si="116"/>
        <v>1.4893741863801815E-2</v>
      </c>
      <c r="Y180" s="3">
        <f t="shared" si="116"/>
        <v>6.1863304135522079E-5</v>
      </c>
      <c r="Z180" s="3">
        <f t="shared" si="116"/>
        <v>9.4564037892621441E-29</v>
      </c>
      <c r="AA180" s="3">
        <f t="shared" si="116"/>
        <v>6.5865041696290896E-267</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3.256547684040112E-2</v>
      </c>
      <c r="C181" s="3">
        <f t="shared" si="117"/>
        <v>3.256547684040112E-2</v>
      </c>
      <c r="D181" s="3">
        <f t="shared" si="117"/>
        <v>3.256547684040112E-2</v>
      </c>
      <c r="E181" s="3">
        <f t="shared" si="117"/>
        <v>3.256547684040112E-2</v>
      </c>
      <c r="F181" s="3">
        <f t="shared" si="117"/>
        <v>3.256547684040112E-2</v>
      </c>
      <c r="G181" s="3">
        <f t="shared" si="117"/>
        <v>3.256547684040112E-2</v>
      </c>
      <c r="H181" s="3">
        <f t="shared" si="117"/>
        <v>3.256547684040112E-2</v>
      </c>
      <c r="I181" s="3">
        <f t="shared" si="117"/>
        <v>3.256547684040112E-2</v>
      </c>
      <c r="J181" s="3">
        <f t="shared" si="117"/>
        <v>3.2565476840401099E-2</v>
      </c>
      <c r="K181" s="3">
        <f t="shared" si="117"/>
        <v>3.2565476840400939E-2</v>
      </c>
      <c r="L181" s="3">
        <f t="shared" si="117"/>
        <v>3.2565476840399329E-2</v>
      </c>
      <c r="M181" s="3">
        <f t="shared" si="117"/>
        <v>3.2565476840383217E-2</v>
      </c>
      <c r="N181" s="3">
        <f t="shared" si="117"/>
        <v>3.2565476840222124E-2</v>
      </c>
      <c r="O181" s="3">
        <f t="shared" si="117"/>
        <v>3.256547683861117E-2</v>
      </c>
      <c r="P181" s="3">
        <f t="shared" si="117"/>
        <v>3.2565476822501625E-2</v>
      </c>
      <c r="Q181" s="3">
        <f t="shared" si="117"/>
        <v>3.2565476661406204E-2</v>
      </c>
      <c r="R181" s="3">
        <f t="shared" si="117"/>
        <v>3.2565475050452021E-2</v>
      </c>
      <c r="S181" s="3">
        <f t="shared" si="117"/>
        <v>3.2565458940914581E-2</v>
      </c>
      <c r="T181" s="3">
        <f t="shared" si="117"/>
        <v>3.2565297845978454E-2</v>
      </c>
      <c r="U181" s="3">
        <f t="shared" si="117"/>
        <v>3.256368694044634E-2</v>
      </c>
      <c r="V181" s="3">
        <f t="shared" si="117"/>
        <v>3.2547582267235753E-2</v>
      </c>
      <c r="W181" s="3">
        <f t="shared" si="117"/>
        <v>3.2386972945180996E-2</v>
      </c>
      <c r="X181" s="3">
        <f t="shared" si="117"/>
        <v>3.0823830611742375E-2</v>
      </c>
      <c r="Y181" s="3">
        <f t="shared" si="117"/>
        <v>1.8795293789614691E-2</v>
      </c>
      <c r="Z181" s="3">
        <f t="shared" si="117"/>
        <v>1.3355932337715581E-4</v>
      </c>
      <c r="AA181" s="3">
        <f t="shared" si="117"/>
        <v>4.384551006403461E-26</v>
      </c>
      <c r="AB181" s="3">
        <f t="shared" si="117"/>
        <v>6.3743263032665157E-241</v>
      </c>
      <c r="AC181" s="3">
        <f t="shared" si="117"/>
        <v>0</v>
      </c>
      <c r="AD181" s="3">
        <f t="shared" si="117"/>
        <v>0</v>
      </c>
      <c r="AE181" s="3">
        <f t="shared" si="117"/>
        <v>0</v>
      </c>
      <c r="AF181" s="3">
        <f t="shared" si="117"/>
        <v>0</v>
      </c>
      <c r="AG181" s="3"/>
      <c r="AH181" s="3"/>
    </row>
    <row r="182" spans="2:34" x14ac:dyDescent="0.25">
      <c r="B182" s="3">
        <f t="shared" ref="B182:AF182" si="118">$C29*EXP(-B$168/$A29/EXP(-$C$126))</f>
        <v>3.4198379990015168E-2</v>
      </c>
      <c r="C182" s="3">
        <f t="shared" si="118"/>
        <v>3.4198379990015168E-2</v>
      </c>
      <c r="D182" s="3">
        <f t="shared" si="118"/>
        <v>3.4198379990015168E-2</v>
      </c>
      <c r="E182" s="3">
        <f t="shared" si="118"/>
        <v>3.4198379990015168E-2</v>
      </c>
      <c r="F182" s="3">
        <f t="shared" si="118"/>
        <v>3.4198379990015168E-2</v>
      </c>
      <c r="G182" s="3">
        <f t="shared" si="118"/>
        <v>3.4198379990015168E-2</v>
      </c>
      <c r="H182" s="3">
        <f t="shared" si="118"/>
        <v>3.4198379990015168E-2</v>
      </c>
      <c r="I182" s="3">
        <f t="shared" si="118"/>
        <v>3.4198379990015168E-2</v>
      </c>
      <c r="J182" s="3">
        <f t="shared" si="118"/>
        <v>3.4198379990015168E-2</v>
      </c>
      <c r="K182" s="3">
        <f t="shared" si="118"/>
        <v>3.4198379990015154E-2</v>
      </c>
      <c r="L182" s="3">
        <f t="shared" si="118"/>
        <v>3.4198379990014995E-2</v>
      </c>
      <c r="M182" s="3">
        <f t="shared" si="118"/>
        <v>3.4198379990013468E-2</v>
      </c>
      <c r="N182" s="3">
        <f t="shared" si="118"/>
        <v>3.4198379989998209E-2</v>
      </c>
      <c r="O182" s="3">
        <f t="shared" si="118"/>
        <v>3.4198379989845602E-2</v>
      </c>
      <c r="P182" s="3">
        <f t="shared" si="118"/>
        <v>3.4198379988319524E-2</v>
      </c>
      <c r="Q182" s="3">
        <f t="shared" si="118"/>
        <v>3.4198379973058704E-2</v>
      </c>
      <c r="R182" s="3">
        <f t="shared" si="118"/>
        <v>3.4198379820450493E-2</v>
      </c>
      <c r="S182" s="3">
        <f t="shared" si="118"/>
        <v>3.4198378294368489E-2</v>
      </c>
      <c r="T182" s="3">
        <f t="shared" si="118"/>
        <v>3.4198363033552129E-2</v>
      </c>
      <c r="U182" s="3">
        <f t="shared" si="118"/>
        <v>3.4198210425763112E-2</v>
      </c>
      <c r="V182" s="3">
        <f t="shared" si="118"/>
        <v>3.4196684385327518E-2</v>
      </c>
      <c r="W182" s="3">
        <f t="shared" si="118"/>
        <v>3.4181427725811467E-2</v>
      </c>
      <c r="X182" s="3">
        <f t="shared" si="118"/>
        <v>3.4029234997065672E-2</v>
      </c>
      <c r="Y182" s="3">
        <f t="shared" si="118"/>
        <v>3.2544084358215146E-2</v>
      </c>
      <c r="Z182" s="3">
        <f t="shared" si="118"/>
        <v>2.0829112588683963E-2</v>
      </c>
      <c r="AA182" s="3">
        <f t="shared" si="118"/>
        <v>2.402469443005899E-4</v>
      </c>
      <c r="AB182" s="3">
        <f t="shared" si="118"/>
        <v>1.0012186332620258E-23</v>
      </c>
      <c r="AC182" s="3">
        <f t="shared" si="118"/>
        <v>1.5821200432034139E-217</v>
      </c>
      <c r="AD182" s="3">
        <f t="shared" si="118"/>
        <v>0</v>
      </c>
      <c r="AE182" s="3">
        <f t="shared" si="118"/>
        <v>0</v>
      </c>
      <c r="AF182" s="3">
        <f t="shared" si="118"/>
        <v>0</v>
      </c>
      <c r="AG182" s="3"/>
      <c r="AH182" s="3"/>
    </row>
    <row r="183" spans="2:34" x14ac:dyDescent="0.25">
      <c r="B183" s="3">
        <f t="shared" ref="B183:AF183" si="119">$C30*EXP(-B$168/$A30/EXP(-$C$126))</f>
        <v>4.2864410475860253E-2</v>
      </c>
      <c r="C183" s="3">
        <f t="shared" si="119"/>
        <v>4.2864410475860253E-2</v>
      </c>
      <c r="D183" s="3">
        <f t="shared" si="119"/>
        <v>4.2864410475860253E-2</v>
      </c>
      <c r="E183" s="3">
        <f t="shared" si="119"/>
        <v>4.2864410475860253E-2</v>
      </c>
      <c r="F183" s="3">
        <f t="shared" si="119"/>
        <v>4.2864410475860253E-2</v>
      </c>
      <c r="G183" s="3">
        <f t="shared" si="119"/>
        <v>4.2864410475860253E-2</v>
      </c>
      <c r="H183" s="3">
        <f t="shared" si="119"/>
        <v>4.2864410475860253E-2</v>
      </c>
      <c r="I183" s="3">
        <f t="shared" si="119"/>
        <v>4.2864410475860253E-2</v>
      </c>
      <c r="J183" s="3">
        <f t="shared" si="119"/>
        <v>4.2864410475860253E-2</v>
      </c>
      <c r="K183" s="3">
        <f t="shared" si="119"/>
        <v>4.2864410475860253E-2</v>
      </c>
      <c r="L183" s="3">
        <f t="shared" si="119"/>
        <v>4.2864410475860232E-2</v>
      </c>
      <c r="M183" s="3">
        <f t="shared" si="119"/>
        <v>4.2864410475860065E-2</v>
      </c>
      <c r="N183" s="3">
        <f t="shared" si="119"/>
        <v>4.2864410475858337E-2</v>
      </c>
      <c r="O183" s="3">
        <f t="shared" si="119"/>
        <v>4.286441047584108E-2</v>
      </c>
      <c r="P183" s="3">
        <f t="shared" si="119"/>
        <v>4.2864410475668531E-2</v>
      </c>
      <c r="Q183" s="3">
        <f t="shared" si="119"/>
        <v>4.2864410473943029E-2</v>
      </c>
      <c r="R183" s="3">
        <f t="shared" si="119"/>
        <v>4.2864410456687992E-2</v>
      </c>
      <c r="S183" s="3">
        <f t="shared" si="119"/>
        <v>4.2864410284137663E-2</v>
      </c>
      <c r="T183" s="3">
        <f t="shared" si="119"/>
        <v>4.2864408558634395E-2</v>
      </c>
      <c r="U183" s="3">
        <f t="shared" si="119"/>
        <v>4.2864391303605524E-2</v>
      </c>
      <c r="V183" s="3">
        <f t="shared" si="119"/>
        <v>4.2864218753698828E-2</v>
      </c>
      <c r="W183" s="3">
        <f t="shared" si="119"/>
        <v>4.2862493292834244E-2</v>
      </c>
      <c r="X183" s="3">
        <f t="shared" si="119"/>
        <v>4.2845242503855956E-2</v>
      </c>
      <c r="Y183" s="3">
        <f t="shared" si="119"/>
        <v>4.267311601252069E-2</v>
      </c>
      <c r="Z183" s="3">
        <f t="shared" si="119"/>
        <v>4.0989428941745953E-2</v>
      </c>
      <c r="AA183" s="3">
        <f t="shared" si="119"/>
        <v>2.7406083841629354E-2</v>
      </c>
      <c r="AB183" s="3">
        <f t="shared" si="119"/>
        <v>4.8932580996766714E-4</v>
      </c>
      <c r="AC183" s="3">
        <f t="shared" si="119"/>
        <v>1.6110519323160748E-21</v>
      </c>
      <c r="AD183" s="3">
        <f t="shared" si="119"/>
        <v>2.4111470906110185E-196</v>
      </c>
      <c r="AE183" s="3">
        <f t="shared" si="119"/>
        <v>0</v>
      </c>
      <c r="AF183" s="3">
        <f t="shared" si="119"/>
        <v>0</v>
      </c>
      <c r="AG183" s="3"/>
      <c r="AH183" s="3"/>
    </row>
    <row r="184" spans="2:34" x14ac:dyDescent="0.25">
      <c r="B184" s="3">
        <f t="shared" ref="B184:AF184" si="120">$C31*EXP(-B$168/$A31/EXP(-$C$126))</f>
        <v>4.3714566142705795E-2</v>
      </c>
      <c r="C184" s="3">
        <f t="shared" si="120"/>
        <v>4.3714566142705795E-2</v>
      </c>
      <c r="D184" s="3">
        <f t="shared" si="120"/>
        <v>4.3714566142705795E-2</v>
      </c>
      <c r="E184" s="3">
        <f t="shared" si="120"/>
        <v>4.3714566142705795E-2</v>
      </c>
      <c r="F184" s="3">
        <f t="shared" si="120"/>
        <v>4.3714566142705795E-2</v>
      </c>
      <c r="G184" s="3">
        <f t="shared" si="120"/>
        <v>4.3714566142705795E-2</v>
      </c>
      <c r="H184" s="3">
        <f t="shared" si="120"/>
        <v>4.3714566142705795E-2</v>
      </c>
      <c r="I184" s="3">
        <f t="shared" si="120"/>
        <v>4.3714566142705795E-2</v>
      </c>
      <c r="J184" s="3">
        <f t="shared" si="120"/>
        <v>4.3714566142705795E-2</v>
      </c>
      <c r="K184" s="3">
        <f t="shared" si="120"/>
        <v>4.3714566142705795E-2</v>
      </c>
      <c r="L184" s="3">
        <f t="shared" si="120"/>
        <v>4.3714566142705795E-2</v>
      </c>
      <c r="M184" s="3">
        <f t="shared" si="120"/>
        <v>4.3714566142705774E-2</v>
      </c>
      <c r="N184" s="3">
        <f t="shared" si="120"/>
        <v>4.3714566142705621E-2</v>
      </c>
      <c r="O184" s="3">
        <f t="shared" si="120"/>
        <v>4.3714566142704032E-2</v>
      </c>
      <c r="P184" s="3">
        <f t="shared" si="120"/>
        <v>4.3714566142688156E-2</v>
      </c>
      <c r="Q184" s="3">
        <f t="shared" si="120"/>
        <v>4.3714566142529415E-2</v>
      </c>
      <c r="R184" s="3">
        <f t="shared" si="120"/>
        <v>4.3714566140941997E-2</v>
      </c>
      <c r="S184" s="3">
        <f t="shared" si="120"/>
        <v>4.37145661250678E-2</v>
      </c>
      <c r="T184" s="3">
        <f t="shared" si="120"/>
        <v>4.3714565966325857E-2</v>
      </c>
      <c r="U184" s="3">
        <f t="shared" si="120"/>
        <v>4.3714564378906411E-2</v>
      </c>
      <c r="V184" s="3">
        <f t="shared" si="120"/>
        <v>4.3714548504715137E-2</v>
      </c>
      <c r="W184" s="3">
        <f t="shared" si="120"/>
        <v>4.3714389763119414E-2</v>
      </c>
      <c r="X184" s="3">
        <f t="shared" si="120"/>
        <v>4.3712802378866218E-2</v>
      </c>
      <c r="Y184" s="3">
        <f t="shared" si="120"/>
        <v>4.3696931706303788E-2</v>
      </c>
      <c r="Z184" s="3">
        <f t="shared" si="120"/>
        <v>4.3538541552136489E-2</v>
      </c>
      <c r="AA184" s="3">
        <f t="shared" si="120"/>
        <v>4.198587591330033E-2</v>
      </c>
      <c r="AB184" s="3">
        <f t="shared" si="120"/>
        <v>2.9200926210899009E-2</v>
      </c>
      <c r="AC184" s="3">
        <f t="shared" si="120"/>
        <v>7.7326920737477635E-4</v>
      </c>
      <c r="AD184" s="3">
        <f t="shared" si="120"/>
        <v>1.3112080626510785E-19</v>
      </c>
      <c r="AE184" s="3">
        <f t="shared" si="120"/>
        <v>2.5767990894716204E-177</v>
      </c>
      <c r="AF184" s="3">
        <f t="shared" si="120"/>
        <v>0</v>
      </c>
      <c r="AG184" s="3"/>
      <c r="AH184" s="3"/>
    </row>
    <row r="185" spans="2:34" x14ac:dyDescent="0.25">
      <c r="B185" s="3">
        <f t="shared" ref="B185:AF185" si="121">$C32*EXP(-B$168/$A32/EXP(-$C$126))</f>
        <v>7.7757179566671539E-2</v>
      </c>
      <c r="C185" s="3">
        <f t="shared" si="121"/>
        <v>7.7757179566671539E-2</v>
      </c>
      <c r="D185" s="3">
        <f t="shared" si="121"/>
        <v>7.7757179566671539E-2</v>
      </c>
      <c r="E185" s="3">
        <f t="shared" si="121"/>
        <v>7.7757179566671539E-2</v>
      </c>
      <c r="F185" s="3">
        <f t="shared" si="121"/>
        <v>7.7757179566671539E-2</v>
      </c>
      <c r="G185" s="3">
        <f t="shared" si="121"/>
        <v>7.7757179566671539E-2</v>
      </c>
      <c r="H185" s="3">
        <f t="shared" si="121"/>
        <v>7.7757179566671539E-2</v>
      </c>
      <c r="I185" s="3">
        <f t="shared" si="121"/>
        <v>7.7757179566671539E-2</v>
      </c>
      <c r="J185" s="3">
        <f t="shared" si="121"/>
        <v>7.7757179566671539E-2</v>
      </c>
      <c r="K185" s="3">
        <f t="shared" si="121"/>
        <v>7.7757179566671539E-2</v>
      </c>
      <c r="L185" s="3">
        <f t="shared" si="121"/>
        <v>7.7757179566671539E-2</v>
      </c>
      <c r="M185" s="3">
        <f t="shared" si="121"/>
        <v>7.7757179566671539E-2</v>
      </c>
      <c r="N185" s="3">
        <f t="shared" si="121"/>
        <v>7.7757179566671511E-2</v>
      </c>
      <c r="O185" s="3">
        <f t="shared" si="121"/>
        <v>7.7757179566671247E-2</v>
      </c>
      <c r="P185" s="3">
        <f t="shared" si="121"/>
        <v>7.7757179566668708E-2</v>
      </c>
      <c r="Q185" s="3">
        <f t="shared" si="121"/>
        <v>7.7757179566643242E-2</v>
      </c>
      <c r="R185" s="3">
        <f t="shared" si="121"/>
        <v>7.7757179566388515E-2</v>
      </c>
      <c r="S185" s="3">
        <f t="shared" si="121"/>
        <v>7.7757179563841386E-2</v>
      </c>
      <c r="T185" s="3">
        <f t="shared" si="121"/>
        <v>7.7757179538369997E-2</v>
      </c>
      <c r="U185" s="3">
        <f t="shared" si="121"/>
        <v>7.7757179283656108E-2</v>
      </c>
      <c r="V185" s="3">
        <f t="shared" si="121"/>
        <v>7.7757176736517289E-2</v>
      </c>
      <c r="W185" s="3">
        <f t="shared" si="121"/>
        <v>7.7757151265133703E-2</v>
      </c>
      <c r="X185" s="3">
        <f t="shared" si="121"/>
        <v>7.7756896551756688E-2</v>
      </c>
      <c r="Y185" s="3">
        <f t="shared" si="121"/>
        <v>7.7754349463876896E-2</v>
      </c>
      <c r="Z185" s="3">
        <f t="shared" si="121"/>
        <v>7.7728883173560109E-2</v>
      </c>
      <c r="AA185" s="3">
        <f t="shared" si="121"/>
        <v>7.7474678562855601E-2</v>
      </c>
      <c r="AB185" s="3">
        <f t="shared" si="121"/>
        <v>7.4977911070807965E-2</v>
      </c>
      <c r="AC185" s="3">
        <f t="shared" si="121"/>
        <v>5.4034218111089036E-2</v>
      </c>
      <c r="AD185" s="3">
        <f t="shared" si="121"/>
        <v>2.04185181723213E-3</v>
      </c>
      <c r="AE185" s="3">
        <f t="shared" si="121"/>
        <v>1.2122095902332429E-17</v>
      </c>
      <c r="AF185" s="3">
        <f t="shared" si="121"/>
        <v>6.5934491547226623E-160</v>
      </c>
      <c r="AG185" s="3"/>
      <c r="AH185" s="3"/>
    </row>
    <row r="186" spans="2:34" x14ac:dyDescent="0.25">
      <c r="B186" s="3">
        <f t="shared" ref="B186:AF186" si="122">$C33*EXP(-B$168/$A33/EXP(-$C$126))</f>
        <v>9.5507274749383017E-2</v>
      </c>
      <c r="C186" s="3">
        <f t="shared" si="122"/>
        <v>9.5507274749383017E-2</v>
      </c>
      <c r="D186" s="3">
        <f t="shared" si="122"/>
        <v>9.5507274749383017E-2</v>
      </c>
      <c r="E186" s="3">
        <f t="shared" si="122"/>
        <v>9.5507274749383017E-2</v>
      </c>
      <c r="F186" s="3">
        <f t="shared" si="122"/>
        <v>9.5507274749383017E-2</v>
      </c>
      <c r="G186" s="3">
        <f t="shared" si="122"/>
        <v>9.5507274749383017E-2</v>
      </c>
      <c r="H186" s="3">
        <f t="shared" si="122"/>
        <v>9.5507274749383017E-2</v>
      </c>
      <c r="I186" s="3">
        <f t="shared" si="122"/>
        <v>9.5507274749383017E-2</v>
      </c>
      <c r="J186" s="3">
        <f t="shared" si="122"/>
        <v>9.5507274749383017E-2</v>
      </c>
      <c r="K186" s="3">
        <f t="shared" si="122"/>
        <v>9.5507274749383017E-2</v>
      </c>
      <c r="L186" s="3">
        <f t="shared" si="122"/>
        <v>9.5507274749383017E-2</v>
      </c>
      <c r="M186" s="3">
        <f t="shared" si="122"/>
        <v>9.5507274749383017E-2</v>
      </c>
      <c r="N186" s="3">
        <f t="shared" si="122"/>
        <v>9.5507274749383017E-2</v>
      </c>
      <c r="O186" s="3">
        <f t="shared" si="122"/>
        <v>9.5507274749382989E-2</v>
      </c>
      <c r="P186" s="3">
        <f t="shared" si="122"/>
        <v>9.5507274749382698E-2</v>
      </c>
      <c r="Q186" s="3">
        <f t="shared" si="122"/>
        <v>9.5507274749379881E-2</v>
      </c>
      <c r="R186" s="3">
        <f t="shared" si="122"/>
        <v>9.5507274749351667E-2</v>
      </c>
      <c r="S186" s="3">
        <f t="shared" si="122"/>
        <v>9.5507274749069435E-2</v>
      </c>
      <c r="T186" s="3">
        <f t="shared" si="122"/>
        <v>9.5507274746247192E-2</v>
      </c>
      <c r="U186" s="3">
        <f t="shared" si="122"/>
        <v>9.5507274718024712E-2</v>
      </c>
      <c r="V186" s="3">
        <f t="shared" si="122"/>
        <v>9.5507274435799913E-2</v>
      </c>
      <c r="W186" s="3">
        <f t="shared" si="122"/>
        <v>9.5507271613552006E-2</v>
      </c>
      <c r="X186" s="3">
        <f t="shared" si="122"/>
        <v>9.5507243391077509E-2</v>
      </c>
      <c r="Y186" s="3">
        <f t="shared" si="122"/>
        <v>9.5506961166791235E-2</v>
      </c>
      <c r="Z186" s="3">
        <f t="shared" si="122"/>
        <v>9.5504138969796731E-2</v>
      </c>
      <c r="AA186" s="3">
        <f t="shared" si="122"/>
        <v>9.5475921586165996E-2</v>
      </c>
      <c r="AB186" s="3">
        <f t="shared" si="122"/>
        <v>9.5194205880238345E-2</v>
      </c>
      <c r="AC186" s="3">
        <f t="shared" si="122"/>
        <v>9.2422364895248368E-2</v>
      </c>
      <c r="AD186" s="3">
        <f t="shared" si="122"/>
        <v>6.8776915427558871E-2</v>
      </c>
      <c r="AE186" s="3">
        <f t="shared" si="122"/>
        <v>3.5817796679781574E-3</v>
      </c>
      <c r="AF186" s="3">
        <f t="shared" si="122"/>
        <v>5.2560633694657546E-16</v>
      </c>
      <c r="AG186" s="3"/>
      <c r="AH186" s="3"/>
    </row>
    <row r="187" spans="2:34" x14ac:dyDescent="0.25">
      <c r="B187" s="3">
        <f t="shared" ref="B187:AF187" si="123">$C34*EXP(-B$168/$A34/EXP(-$C$126))</f>
        <v>8.003075559639232E-2</v>
      </c>
      <c r="C187" s="3">
        <f t="shared" si="123"/>
        <v>8.003075559639232E-2</v>
      </c>
      <c r="D187" s="3">
        <f t="shared" si="123"/>
        <v>8.003075559639232E-2</v>
      </c>
      <c r="E187" s="3">
        <f t="shared" si="123"/>
        <v>8.003075559639232E-2</v>
      </c>
      <c r="F187" s="3">
        <f t="shared" si="123"/>
        <v>8.003075559639232E-2</v>
      </c>
      <c r="G187" s="3">
        <f t="shared" si="123"/>
        <v>8.003075559639232E-2</v>
      </c>
      <c r="H187" s="3">
        <f t="shared" si="123"/>
        <v>8.003075559639232E-2</v>
      </c>
      <c r="I187" s="3">
        <f t="shared" si="123"/>
        <v>8.003075559639232E-2</v>
      </c>
      <c r="J187" s="3">
        <f t="shared" si="123"/>
        <v>8.003075559639232E-2</v>
      </c>
      <c r="K187" s="3">
        <f t="shared" si="123"/>
        <v>8.003075559639232E-2</v>
      </c>
      <c r="L187" s="3">
        <f t="shared" si="123"/>
        <v>8.003075559639232E-2</v>
      </c>
      <c r="M187" s="3">
        <f t="shared" si="123"/>
        <v>8.003075559639232E-2</v>
      </c>
      <c r="N187" s="3">
        <f t="shared" si="123"/>
        <v>8.003075559639232E-2</v>
      </c>
      <c r="O187" s="3">
        <f t="shared" si="123"/>
        <v>8.003075559639232E-2</v>
      </c>
      <c r="P187" s="3">
        <f t="shared" si="123"/>
        <v>8.0030755596392292E-2</v>
      </c>
      <c r="Q187" s="3">
        <f t="shared" si="123"/>
        <v>8.0030755596392084E-2</v>
      </c>
      <c r="R187" s="3">
        <f t="shared" si="123"/>
        <v>8.0030755596389946E-2</v>
      </c>
      <c r="S187" s="3">
        <f t="shared" si="123"/>
        <v>8.0030755596368616E-2</v>
      </c>
      <c r="T187" s="3">
        <f t="shared" si="123"/>
        <v>8.0030755596155287E-2</v>
      </c>
      <c r="U187" s="3">
        <f t="shared" si="123"/>
        <v>8.0030755594021924E-2</v>
      </c>
      <c r="V187" s="3">
        <f t="shared" si="123"/>
        <v>8.003075557268842E-2</v>
      </c>
      <c r="W187" s="3">
        <f t="shared" si="123"/>
        <v>8.0030755359353375E-2</v>
      </c>
      <c r="X187" s="3">
        <f t="shared" si="123"/>
        <v>8.0030753226002865E-2</v>
      </c>
      <c r="Y187" s="3">
        <f t="shared" si="123"/>
        <v>8.00307318925009E-2</v>
      </c>
      <c r="Z187" s="3">
        <f t="shared" si="123"/>
        <v>8.0030518557794014E-2</v>
      </c>
      <c r="AA187" s="3">
        <f t="shared" si="123"/>
        <v>8.0028385242002162E-2</v>
      </c>
      <c r="AB187" s="3">
        <f t="shared" si="123"/>
        <v>8.0007055211477843E-2</v>
      </c>
      <c r="AC187" s="3">
        <f t="shared" si="123"/>
        <v>7.9794067337420407E-2</v>
      </c>
      <c r="AD187" s="3">
        <f t="shared" si="123"/>
        <v>7.7695125750816274E-2</v>
      </c>
      <c r="AE187" s="3">
        <f t="shared" si="123"/>
        <v>5.9514869317282823E-2</v>
      </c>
      <c r="AF187" s="3">
        <f t="shared" si="123"/>
        <v>4.1394494938236702E-3</v>
      </c>
      <c r="AG187" s="3"/>
      <c r="AH187" s="3"/>
    </row>
    <row r="188" spans="2:34" x14ac:dyDescent="0.25">
      <c r="B188" s="3">
        <f t="shared" ref="B188:AF188" si="124">$C35*EXP(-B$168/$A35/EXP(-$C$126))</f>
        <v>5.3976889971713508E-2</v>
      </c>
      <c r="C188" s="3">
        <f t="shared" si="124"/>
        <v>5.3976889971713508E-2</v>
      </c>
      <c r="D188" s="3">
        <f t="shared" si="124"/>
        <v>5.3976889971713508E-2</v>
      </c>
      <c r="E188" s="3">
        <f t="shared" si="124"/>
        <v>5.3976889971713508E-2</v>
      </c>
      <c r="F188" s="3">
        <f t="shared" si="124"/>
        <v>5.3976889971713508E-2</v>
      </c>
      <c r="G188" s="3">
        <f t="shared" si="124"/>
        <v>5.3976889971713508E-2</v>
      </c>
      <c r="H188" s="3">
        <f t="shared" si="124"/>
        <v>5.3976889971713508E-2</v>
      </c>
      <c r="I188" s="3">
        <f t="shared" si="124"/>
        <v>5.3976889971713508E-2</v>
      </c>
      <c r="J188" s="3">
        <f t="shared" si="124"/>
        <v>5.3976889971713508E-2</v>
      </c>
      <c r="K188" s="3">
        <f t="shared" si="124"/>
        <v>5.3976889971713508E-2</v>
      </c>
      <c r="L188" s="3">
        <f t="shared" si="124"/>
        <v>5.3976889971713508E-2</v>
      </c>
      <c r="M188" s="3">
        <f t="shared" si="124"/>
        <v>5.3976889971713508E-2</v>
      </c>
      <c r="N188" s="3">
        <f t="shared" si="124"/>
        <v>5.3976889971713508E-2</v>
      </c>
      <c r="O188" s="3">
        <f t="shared" si="124"/>
        <v>5.3976889971713508E-2</v>
      </c>
      <c r="P188" s="3">
        <f t="shared" si="124"/>
        <v>5.3976889971713508E-2</v>
      </c>
      <c r="Q188" s="3">
        <f t="shared" si="124"/>
        <v>5.3976889971713495E-2</v>
      </c>
      <c r="R188" s="3">
        <f t="shared" si="124"/>
        <v>5.3976889971713363E-2</v>
      </c>
      <c r="S188" s="3">
        <f t="shared" si="124"/>
        <v>5.3976889971712065E-2</v>
      </c>
      <c r="T188" s="3">
        <f t="shared" si="124"/>
        <v>5.3976889971699082E-2</v>
      </c>
      <c r="U188" s="3">
        <f t="shared" si="124"/>
        <v>5.397688997156929E-2</v>
      </c>
      <c r="V188" s="3">
        <f t="shared" si="124"/>
        <v>5.3976889970271336E-2</v>
      </c>
      <c r="W188" s="3">
        <f t="shared" si="124"/>
        <v>5.3976889957291781E-2</v>
      </c>
      <c r="X188" s="3">
        <f t="shared" si="124"/>
        <v>5.3976889827496252E-2</v>
      </c>
      <c r="Y188" s="3">
        <f t="shared" si="124"/>
        <v>5.3976888529540912E-2</v>
      </c>
      <c r="Z188" s="3">
        <f t="shared" si="124"/>
        <v>5.397687554998927E-2</v>
      </c>
      <c r="AA188" s="3">
        <f t="shared" si="124"/>
        <v>5.397674575464452E-2</v>
      </c>
      <c r="AB188" s="3">
        <f t="shared" si="124"/>
        <v>5.397544781836304E-2</v>
      </c>
      <c r="AC188" s="3">
        <f t="shared" si="124"/>
        <v>5.3962470171999261E-2</v>
      </c>
      <c r="AD188" s="3">
        <f t="shared" si="124"/>
        <v>5.3832865200842656E-2</v>
      </c>
      <c r="AE188" s="3">
        <f t="shared" si="124"/>
        <v>5.2553813133460039E-2</v>
      </c>
      <c r="AF188" s="3">
        <f t="shared" si="124"/>
        <v>4.1321074311112413E-2</v>
      </c>
      <c r="AG188" s="3"/>
      <c r="AH188" s="3"/>
    </row>
    <row r="189" spans="2:34" x14ac:dyDescent="0.25">
      <c r="B189" s="3">
        <f t="shared" ref="B189:AF189" si="125">$C36*EXP(-B$168/$A36/EXP(-$C$126))</f>
        <v>2.9623895965477303E-2</v>
      </c>
      <c r="C189" s="3">
        <f t="shared" si="125"/>
        <v>2.9623895965477303E-2</v>
      </c>
      <c r="D189" s="3">
        <f t="shared" si="125"/>
        <v>2.9623895965477303E-2</v>
      </c>
      <c r="E189" s="3">
        <f t="shared" si="125"/>
        <v>2.9623895965477303E-2</v>
      </c>
      <c r="F189" s="3">
        <f t="shared" si="125"/>
        <v>2.9623895965477303E-2</v>
      </c>
      <c r="G189" s="3">
        <f t="shared" si="125"/>
        <v>2.9623895965477303E-2</v>
      </c>
      <c r="H189" s="3">
        <f t="shared" si="125"/>
        <v>2.9623895965477303E-2</v>
      </c>
      <c r="I189" s="3">
        <f t="shared" si="125"/>
        <v>2.9623895965477303E-2</v>
      </c>
      <c r="J189" s="3">
        <f t="shared" si="125"/>
        <v>2.9623895965477303E-2</v>
      </c>
      <c r="K189" s="3">
        <f t="shared" si="125"/>
        <v>2.9623895965477303E-2</v>
      </c>
      <c r="L189" s="3">
        <f t="shared" si="125"/>
        <v>2.9623895965477303E-2</v>
      </c>
      <c r="M189" s="3">
        <f t="shared" si="125"/>
        <v>2.9623895965477303E-2</v>
      </c>
      <c r="N189" s="3">
        <f t="shared" si="125"/>
        <v>2.9623895965477303E-2</v>
      </c>
      <c r="O189" s="3">
        <f t="shared" si="125"/>
        <v>2.9623895965477303E-2</v>
      </c>
      <c r="P189" s="3">
        <f t="shared" si="125"/>
        <v>2.9623895965477303E-2</v>
      </c>
      <c r="Q189" s="3">
        <f t="shared" si="125"/>
        <v>2.9623895965477303E-2</v>
      </c>
      <c r="R189" s="3">
        <f t="shared" si="125"/>
        <v>2.9623895965477296E-2</v>
      </c>
      <c r="S189" s="3">
        <f t="shared" si="125"/>
        <v>2.962389596547723E-2</v>
      </c>
      <c r="T189" s="3">
        <f t="shared" si="125"/>
        <v>2.9623895965476588E-2</v>
      </c>
      <c r="U189" s="3">
        <f t="shared" si="125"/>
        <v>2.9623895965470163E-2</v>
      </c>
      <c r="V189" s="3">
        <f t="shared" si="125"/>
        <v>2.9623895965405905E-2</v>
      </c>
      <c r="W189" s="3">
        <f t="shared" si="125"/>
        <v>2.9623895964763305E-2</v>
      </c>
      <c r="X189" s="3">
        <f t="shared" si="125"/>
        <v>2.9623895958337303E-2</v>
      </c>
      <c r="Y189" s="3">
        <f t="shared" si="125"/>
        <v>2.9623895894077313E-2</v>
      </c>
      <c r="Z189" s="3">
        <f t="shared" si="125"/>
        <v>2.9623895251477413E-2</v>
      </c>
      <c r="AA189" s="3">
        <f t="shared" si="125"/>
        <v>2.9623888825479148E-2</v>
      </c>
      <c r="AB189" s="3">
        <f t="shared" si="125"/>
        <v>2.9623824565573175E-2</v>
      </c>
      <c r="AC189" s="3">
        <f t="shared" si="125"/>
        <v>2.9623181974179968E-2</v>
      </c>
      <c r="AD189" s="3">
        <f t="shared" si="125"/>
        <v>2.9616756826837839E-2</v>
      </c>
      <c r="AE189" s="3">
        <f t="shared" si="125"/>
        <v>2.9552581950918515E-2</v>
      </c>
      <c r="AF189" s="3">
        <f t="shared" si="125"/>
        <v>2.8918431819698505E-2</v>
      </c>
      <c r="AG189" s="3"/>
      <c r="AH189" s="3"/>
    </row>
    <row r="190" spans="2:34" x14ac:dyDescent="0.25">
      <c r="B190" s="3">
        <f t="shared" ref="B190:AF190" si="126">$C37*EXP(-B$168/$A37/EXP(-$C$126))</f>
        <v>1.5005107194779805E-2</v>
      </c>
      <c r="C190" s="3">
        <f t="shared" si="126"/>
        <v>1.5005107194779805E-2</v>
      </c>
      <c r="D190" s="3">
        <f t="shared" si="126"/>
        <v>1.5005107194779805E-2</v>
      </c>
      <c r="E190" s="3">
        <f t="shared" si="126"/>
        <v>1.5005107194779805E-2</v>
      </c>
      <c r="F190" s="3">
        <f t="shared" si="126"/>
        <v>1.5005107194779805E-2</v>
      </c>
      <c r="G190" s="3">
        <f t="shared" si="126"/>
        <v>1.5005107194779805E-2</v>
      </c>
      <c r="H190" s="3">
        <f t="shared" si="126"/>
        <v>1.5005107194779805E-2</v>
      </c>
      <c r="I190" s="3">
        <f t="shared" si="126"/>
        <v>1.5005107194779805E-2</v>
      </c>
      <c r="J190" s="3">
        <f t="shared" si="126"/>
        <v>1.5005107194779805E-2</v>
      </c>
      <c r="K190" s="3">
        <f t="shared" si="126"/>
        <v>1.5005107194779805E-2</v>
      </c>
      <c r="L190" s="3">
        <f t="shared" si="126"/>
        <v>1.5005107194779805E-2</v>
      </c>
      <c r="M190" s="3">
        <f t="shared" si="126"/>
        <v>1.5005107194779805E-2</v>
      </c>
      <c r="N190" s="3">
        <f t="shared" si="126"/>
        <v>1.5005107194779805E-2</v>
      </c>
      <c r="O190" s="3">
        <f t="shared" si="126"/>
        <v>1.5005107194779805E-2</v>
      </c>
      <c r="P190" s="3">
        <f t="shared" si="126"/>
        <v>1.5005107194779805E-2</v>
      </c>
      <c r="Q190" s="3">
        <f t="shared" si="126"/>
        <v>1.5005107194779805E-2</v>
      </c>
      <c r="R190" s="3">
        <f t="shared" si="126"/>
        <v>1.5005107194779805E-2</v>
      </c>
      <c r="S190" s="3">
        <f t="shared" si="126"/>
        <v>1.5005107194779802E-2</v>
      </c>
      <c r="T190" s="3">
        <f t="shared" si="126"/>
        <v>1.5005107194779772E-2</v>
      </c>
      <c r="U190" s="3">
        <f t="shared" si="126"/>
        <v>1.5005107194779479E-2</v>
      </c>
      <c r="V190" s="3">
        <f t="shared" si="126"/>
        <v>1.5005107194776544E-2</v>
      </c>
      <c r="W190" s="3">
        <f t="shared" si="126"/>
        <v>1.500510719474718E-2</v>
      </c>
      <c r="X190" s="3">
        <f t="shared" si="126"/>
        <v>1.5005107194453561E-2</v>
      </c>
      <c r="Y190" s="3">
        <f t="shared" si="126"/>
        <v>1.5005107191517372E-2</v>
      </c>
      <c r="Z190" s="3">
        <f t="shared" si="126"/>
        <v>1.5005107162155472E-2</v>
      </c>
      <c r="AA190" s="3">
        <f t="shared" si="126"/>
        <v>1.5005106868536455E-2</v>
      </c>
      <c r="AB190" s="3">
        <f t="shared" si="126"/>
        <v>1.5005103932346634E-2</v>
      </c>
      <c r="AC190" s="3">
        <f t="shared" si="126"/>
        <v>1.5005074570480016E-2</v>
      </c>
      <c r="AD190" s="3">
        <f t="shared" si="126"/>
        <v>1.5004780954973828E-2</v>
      </c>
      <c r="AE190" s="3">
        <f t="shared" si="126"/>
        <v>1.5001845115890092E-2</v>
      </c>
      <c r="AF190" s="3">
        <f t="shared" si="126"/>
        <v>1.4972518299999535E-2</v>
      </c>
      <c r="AG190" s="3"/>
      <c r="AH190" s="3"/>
    </row>
    <row r="191" spans="2:34" x14ac:dyDescent="0.25">
      <c r="B191" s="3">
        <f t="shared" ref="B191:AF191" si="127">$C38*EXP(-B$168/$A38/EXP(-$C$126))</f>
        <v>4.0905508263932881E-3</v>
      </c>
      <c r="C191" s="3">
        <f t="shared" si="127"/>
        <v>4.0905508263932881E-3</v>
      </c>
      <c r="D191" s="3">
        <f t="shared" si="127"/>
        <v>4.0905508263932881E-3</v>
      </c>
      <c r="E191" s="3">
        <f t="shared" si="127"/>
        <v>4.0905508263932881E-3</v>
      </c>
      <c r="F191" s="3">
        <f t="shared" si="127"/>
        <v>4.0905508263932881E-3</v>
      </c>
      <c r="G191" s="3">
        <f t="shared" si="127"/>
        <v>4.0905508263932881E-3</v>
      </c>
      <c r="H191" s="3">
        <f t="shared" si="127"/>
        <v>4.0905508263932881E-3</v>
      </c>
      <c r="I191" s="3">
        <f t="shared" si="127"/>
        <v>4.0905508263932881E-3</v>
      </c>
      <c r="J191" s="3">
        <f t="shared" si="127"/>
        <v>4.0905508263932881E-3</v>
      </c>
      <c r="K191" s="3">
        <f t="shared" si="127"/>
        <v>4.0905508263932881E-3</v>
      </c>
      <c r="L191" s="3">
        <f t="shared" si="127"/>
        <v>4.0905508263932881E-3</v>
      </c>
      <c r="M191" s="3">
        <f t="shared" si="127"/>
        <v>4.0905508263932881E-3</v>
      </c>
      <c r="N191" s="3">
        <f t="shared" si="127"/>
        <v>4.0905508263932881E-3</v>
      </c>
      <c r="O191" s="3">
        <f t="shared" si="127"/>
        <v>4.0905508263932881E-3</v>
      </c>
      <c r="P191" s="3">
        <f t="shared" si="127"/>
        <v>4.0905508263932881E-3</v>
      </c>
      <c r="Q191" s="3">
        <f t="shared" si="127"/>
        <v>4.0905508263932881E-3</v>
      </c>
      <c r="R191" s="3">
        <f t="shared" si="127"/>
        <v>4.0905508263932881E-3</v>
      </c>
      <c r="S191" s="3">
        <f t="shared" si="127"/>
        <v>4.0905508263932881E-3</v>
      </c>
      <c r="T191" s="3">
        <f t="shared" si="127"/>
        <v>4.0905508263932872E-3</v>
      </c>
      <c r="U191" s="3">
        <f t="shared" si="127"/>
        <v>4.0905508263932803E-3</v>
      </c>
      <c r="V191" s="3">
        <f t="shared" si="127"/>
        <v>4.0905508263932074E-3</v>
      </c>
      <c r="W191" s="3">
        <f t="shared" si="127"/>
        <v>4.0905508263924858E-3</v>
      </c>
      <c r="X191" s="3">
        <f t="shared" si="127"/>
        <v>4.090550826385265E-3</v>
      </c>
      <c r="Y191" s="3">
        <f t="shared" si="127"/>
        <v>4.0905508263130597E-3</v>
      </c>
      <c r="Z191" s="3">
        <f t="shared" si="127"/>
        <v>4.0905508255909984E-3</v>
      </c>
      <c r="AA191" s="3">
        <f t="shared" si="127"/>
        <v>4.0905508183703958E-3</v>
      </c>
      <c r="AB191" s="3">
        <f t="shared" si="127"/>
        <v>4.0905507461643674E-3</v>
      </c>
      <c r="AC191" s="3">
        <f t="shared" si="127"/>
        <v>4.0905500241041537E-3</v>
      </c>
      <c r="AD191" s="3">
        <f t="shared" si="127"/>
        <v>4.0905428035090214E-3</v>
      </c>
      <c r="AE191" s="3">
        <f t="shared" si="127"/>
        <v>4.0904705982587131E-3</v>
      </c>
      <c r="AF191" s="3">
        <f t="shared" si="127"/>
        <v>4.0897486158521243E-3</v>
      </c>
      <c r="AG191" s="3"/>
      <c r="AH191" s="3"/>
    </row>
    <row r="192" spans="2:34" x14ac:dyDescent="0.25">
      <c r="B192" s="3">
        <f t="shared" ref="B192:AF192" si="128">$C39*EXP(-B$168/$A39/EXP(-$C$126))</f>
        <v>4.6207327982835155E-3</v>
      </c>
      <c r="C192" s="3">
        <f t="shared" si="128"/>
        <v>4.6207327982835155E-3</v>
      </c>
      <c r="D192" s="3">
        <f t="shared" si="128"/>
        <v>4.6207327982835155E-3</v>
      </c>
      <c r="E192" s="3">
        <f t="shared" si="128"/>
        <v>4.6207327982835155E-3</v>
      </c>
      <c r="F192" s="3">
        <f t="shared" si="128"/>
        <v>4.6207327982835155E-3</v>
      </c>
      <c r="G192" s="3">
        <f t="shared" si="128"/>
        <v>4.6207327982835155E-3</v>
      </c>
      <c r="H192" s="3">
        <f t="shared" si="128"/>
        <v>4.6207327982835155E-3</v>
      </c>
      <c r="I192" s="3">
        <f t="shared" si="128"/>
        <v>4.6207327982835155E-3</v>
      </c>
      <c r="J192" s="3">
        <f t="shared" si="128"/>
        <v>4.6207327982835155E-3</v>
      </c>
      <c r="K192" s="3">
        <f t="shared" si="128"/>
        <v>4.6207327982835155E-3</v>
      </c>
      <c r="L192" s="3">
        <f t="shared" si="128"/>
        <v>4.6207327982835155E-3</v>
      </c>
      <c r="M192" s="3">
        <f t="shared" si="128"/>
        <v>4.6207327982835155E-3</v>
      </c>
      <c r="N192" s="3">
        <f t="shared" si="128"/>
        <v>4.6207327982835155E-3</v>
      </c>
      <c r="O192" s="3">
        <f t="shared" si="128"/>
        <v>4.6207327982835155E-3</v>
      </c>
      <c r="P192" s="3">
        <f t="shared" si="128"/>
        <v>4.6207327982835155E-3</v>
      </c>
      <c r="Q192" s="3">
        <f t="shared" si="128"/>
        <v>4.6207327982835155E-3</v>
      </c>
      <c r="R192" s="3">
        <f t="shared" si="128"/>
        <v>4.6207327982835155E-3</v>
      </c>
      <c r="S192" s="3">
        <f t="shared" si="128"/>
        <v>4.6207327982835155E-3</v>
      </c>
      <c r="T192" s="3">
        <f t="shared" si="128"/>
        <v>4.6207327982835155E-3</v>
      </c>
      <c r="U192" s="3">
        <f t="shared" si="128"/>
        <v>4.6207327982835129E-3</v>
      </c>
      <c r="V192" s="3">
        <f t="shared" si="128"/>
        <v>4.6207327982834903E-3</v>
      </c>
      <c r="W192" s="3">
        <f t="shared" si="128"/>
        <v>4.6207327982832648E-3</v>
      </c>
      <c r="X192" s="3">
        <f t="shared" si="128"/>
        <v>4.6207327982810088E-3</v>
      </c>
      <c r="Y192" s="3">
        <f t="shared" si="128"/>
        <v>4.6207327982584505E-3</v>
      </c>
      <c r="Z192" s="3">
        <f t="shared" si="128"/>
        <v>4.6207327980328627E-3</v>
      </c>
      <c r="AA192" s="3">
        <f t="shared" si="128"/>
        <v>4.6207327957769858E-3</v>
      </c>
      <c r="AB192" s="3">
        <f t="shared" si="128"/>
        <v>4.6207327732182175E-3</v>
      </c>
      <c r="AC192" s="3">
        <f t="shared" si="128"/>
        <v>4.6207325476305397E-3</v>
      </c>
      <c r="AD192" s="3">
        <f t="shared" si="128"/>
        <v>4.6207302917543672E-3</v>
      </c>
      <c r="AE192" s="3">
        <f t="shared" si="128"/>
        <v>4.6207077330532153E-3</v>
      </c>
      <c r="AF192" s="3">
        <f t="shared" si="128"/>
        <v>4.6204821520989302E-3</v>
      </c>
      <c r="AG192" s="3"/>
      <c r="AH192" s="3"/>
    </row>
    <row r="193" spans="1:34" x14ac:dyDescent="0.25">
      <c r="B193" s="3">
        <f t="shared" ref="B193:AF193" si="129">$C40*EXP(-B$168/$A40/EXP(-$C$126))</f>
        <v>2.0598839061917876E-3</v>
      </c>
      <c r="C193" s="3">
        <f t="shared" si="129"/>
        <v>2.0598839061917876E-3</v>
      </c>
      <c r="D193" s="3">
        <f t="shared" si="129"/>
        <v>2.0598839061917876E-3</v>
      </c>
      <c r="E193" s="3">
        <f t="shared" si="129"/>
        <v>2.0598839061917876E-3</v>
      </c>
      <c r="F193" s="3">
        <f t="shared" si="129"/>
        <v>2.0598839061917876E-3</v>
      </c>
      <c r="G193" s="3">
        <f t="shared" si="129"/>
        <v>2.0598839061917876E-3</v>
      </c>
      <c r="H193" s="3">
        <f t="shared" si="129"/>
        <v>2.0598839061917876E-3</v>
      </c>
      <c r="I193" s="3">
        <f t="shared" si="129"/>
        <v>2.0598839061917876E-3</v>
      </c>
      <c r="J193" s="3">
        <f t="shared" si="129"/>
        <v>2.0598839061917876E-3</v>
      </c>
      <c r="K193" s="3">
        <f t="shared" si="129"/>
        <v>2.0598839061917876E-3</v>
      </c>
      <c r="L193" s="3">
        <f t="shared" si="129"/>
        <v>2.0598839061917876E-3</v>
      </c>
      <c r="M193" s="3">
        <f t="shared" si="129"/>
        <v>2.0598839061917876E-3</v>
      </c>
      <c r="N193" s="3">
        <f t="shared" si="129"/>
        <v>2.0598839061917876E-3</v>
      </c>
      <c r="O193" s="3">
        <f t="shared" si="129"/>
        <v>2.0598839061917876E-3</v>
      </c>
      <c r="P193" s="3">
        <f t="shared" si="129"/>
        <v>2.0598839061917876E-3</v>
      </c>
      <c r="Q193" s="3">
        <f t="shared" si="129"/>
        <v>2.0598839061917876E-3</v>
      </c>
      <c r="R193" s="3">
        <f t="shared" si="129"/>
        <v>2.0598839061917876E-3</v>
      </c>
      <c r="S193" s="3">
        <f t="shared" si="129"/>
        <v>2.0598839061917876E-3</v>
      </c>
      <c r="T193" s="3">
        <f t="shared" si="129"/>
        <v>2.0598839061917876E-3</v>
      </c>
      <c r="U193" s="3">
        <f t="shared" si="129"/>
        <v>2.0598839061917876E-3</v>
      </c>
      <c r="V193" s="3">
        <f t="shared" si="129"/>
        <v>2.0598839061917863E-3</v>
      </c>
      <c r="W193" s="3">
        <f t="shared" si="129"/>
        <v>2.0598839061917763E-3</v>
      </c>
      <c r="X193" s="3">
        <f t="shared" si="129"/>
        <v>2.0598839061916757E-3</v>
      </c>
      <c r="Y193" s="3">
        <f t="shared" si="129"/>
        <v>2.05988390619067E-3</v>
      </c>
      <c r="Z193" s="3">
        <f t="shared" si="129"/>
        <v>2.0598839061806138E-3</v>
      </c>
      <c r="AA193" s="3">
        <f t="shared" si="129"/>
        <v>2.0598839060800484E-3</v>
      </c>
      <c r="AB193" s="3">
        <f t="shared" si="129"/>
        <v>2.0598839050743976E-3</v>
      </c>
      <c r="AC193" s="3">
        <f t="shared" si="129"/>
        <v>2.0598838950178881E-3</v>
      </c>
      <c r="AD193" s="3">
        <f t="shared" si="129"/>
        <v>2.0598837944527941E-3</v>
      </c>
      <c r="AE193" s="3">
        <f t="shared" si="129"/>
        <v>2.0598827888021268E-3</v>
      </c>
      <c r="AF193" s="3">
        <f t="shared" si="129"/>
        <v>2.0598727323224569E-3</v>
      </c>
      <c r="AG193" s="3"/>
      <c r="AH193" s="3"/>
    </row>
    <row r="194" spans="1:34" x14ac:dyDescent="0.25">
      <c r="B194" s="3">
        <f t="shared" ref="B194:AF194" si="130">$C41*EXP(-B$168/$A41/EXP(-$C$126))</f>
        <v>2.0793314772124174E-3</v>
      </c>
      <c r="C194" s="3">
        <f t="shared" si="130"/>
        <v>2.0793314772124174E-3</v>
      </c>
      <c r="D194" s="3">
        <f t="shared" si="130"/>
        <v>2.0793314772124174E-3</v>
      </c>
      <c r="E194" s="3">
        <f t="shared" si="130"/>
        <v>2.0793314772124174E-3</v>
      </c>
      <c r="F194" s="3">
        <f t="shared" si="130"/>
        <v>2.0793314772124174E-3</v>
      </c>
      <c r="G194" s="3">
        <f t="shared" si="130"/>
        <v>2.0793314772124174E-3</v>
      </c>
      <c r="H194" s="3">
        <f t="shared" si="130"/>
        <v>2.0793314772124174E-3</v>
      </c>
      <c r="I194" s="3">
        <f t="shared" si="130"/>
        <v>2.0793314772124174E-3</v>
      </c>
      <c r="J194" s="3">
        <f t="shared" si="130"/>
        <v>2.0793314772124174E-3</v>
      </c>
      <c r="K194" s="3">
        <f t="shared" si="130"/>
        <v>2.0793314772124174E-3</v>
      </c>
      <c r="L194" s="3">
        <f t="shared" si="130"/>
        <v>2.0793314772124174E-3</v>
      </c>
      <c r="M194" s="3">
        <f t="shared" si="130"/>
        <v>2.0793314772124174E-3</v>
      </c>
      <c r="N194" s="3">
        <f t="shared" si="130"/>
        <v>2.0793314772124174E-3</v>
      </c>
      <c r="O194" s="3">
        <f t="shared" si="130"/>
        <v>2.0793314772124174E-3</v>
      </c>
      <c r="P194" s="3">
        <f t="shared" si="130"/>
        <v>2.0793314772124174E-3</v>
      </c>
      <c r="Q194" s="3">
        <f t="shared" si="130"/>
        <v>2.0793314772124174E-3</v>
      </c>
      <c r="R194" s="3">
        <f t="shared" si="130"/>
        <v>2.0793314772124174E-3</v>
      </c>
      <c r="S194" s="3">
        <f t="shared" si="130"/>
        <v>2.0793314772124174E-3</v>
      </c>
      <c r="T194" s="3">
        <f t="shared" si="130"/>
        <v>2.0793314772124174E-3</v>
      </c>
      <c r="U194" s="3">
        <f t="shared" si="130"/>
        <v>2.0793314772124174E-3</v>
      </c>
      <c r="V194" s="3">
        <f t="shared" si="130"/>
        <v>2.0793314772124174E-3</v>
      </c>
      <c r="W194" s="3">
        <f t="shared" si="130"/>
        <v>2.0793314772124161E-3</v>
      </c>
      <c r="X194" s="3">
        <f t="shared" si="130"/>
        <v>2.0793314772124061E-3</v>
      </c>
      <c r="Y194" s="3">
        <f t="shared" si="130"/>
        <v>2.0793314772123046E-3</v>
      </c>
      <c r="Z194" s="3">
        <f t="shared" si="130"/>
        <v>2.0793314772112894E-3</v>
      </c>
      <c r="AA194" s="3">
        <f t="shared" si="130"/>
        <v>2.0793314772011378E-3</v>
      </c>
      <c r="AB194" s="3">
        <f t="shared" si="130"/>
        <v>2.0793314770996235E-3</v>
      </c>
      <c r="AC194" s="3">
        <f t="shared" si="130"/>
        <v>2.0793314760844781E-3</v>
      </c>
      <c r="AD194" s="3">
        <f t="shared" si="130"/>
        <v>2.0793314659330237E-3</v>
      </c>
      <c r="AE194" s="3">
        <f t="shared" si="130"/>
        <v>2.0793313644184852E-3</v>
      </c>
      <c r="AF194" s="3">
        <f t="shared" si="130"/>
        <v>2.0793303492733688E-3</v>
      </c>
      <c r="AG194" s="3"/>
      <c r="AH194" s="3"/>
    </row>
    <row r="195" spans="1:34" x14ac:dyDescent="0.25">
      <c r="B195" s="3">
        <f t="shared" ref="B195:AF195" si="131">$C42*EXP(-B$168/$A42/EXP(-$C$126))</f>
        <v>0</v>
      </c>
      <c r="C195" s="3">
        <f t="shared" si="131"/>
        <v>0</v>
      </c>
      <c r="D195" s="3">
        <f t="shared" si="131"/>
        <v>0</v>
      </c>
      <c r="E195" s="3">
        <f t="shared" si="131"/>
        <v>0</v>
      </c>
      <c r="F195" s="3">
        <f t="shared" si="131"/>
        <v>0</v>
      </c>
      <c r="G195" s="3">
        <f t="shared" si="131"/>
        <v>0</v>
      </c>
      <c r="H195" s="3">
        <f t="shared" si="131"/>
        <v>0</v>
      </c>
      <c r="I195" s="3">
        <f t="shared" si="131"/>
        <v>0</v>
      </c>
      <c r="J195" s="3">
        <f t="shared" si="131"/>
        <v>0</v>
      </c>
      <c r="K195" s="3">
        <f t="shared" si="131"/>
        <v>0</v>
      </c>
      <c r="L195" s="3">
        <f t="shared" si="131"/>
        <v>0</v>
      </c>
      <c r="M195" s="3">
        <f t="shared" si="131"/>
        <v>0</v>
      </c>
      <c r="N195" s="3">
        <f t="shared" si="131"/>
        <v>0</v>
      </c>
      <c r="O195" s="3">
        <f t="shared" si="131"/>
        <v>0</v>
      </c>
      <c r="P195" s="3">
        <f t="shared" si="131"/>
        <v>0</v>
      </c>
      <c r="Q195" s="3">
        <f t="shared" si="131"/>
        <v>0</v>
      </c>
      <c r="R195" s="3">
        <f t="shared" si="131"/>
        <v>0</v>
      </c>
      <c r="S195" s="3">
        <f t="shared" si="131"/>
        <v>0</v>
      </c>
      <c r="T195" s="3">
        <f t="shared" si="131"/>
        <v>0</v>
      </c>
      <c r="U195" s="3">
        <f t="shared" si="131"/>
        <v>0</v>
      </c>
      <c r="V195" s="3">
        <f t="shared" si="131"/>
        <v>0</v>
      </c>
      <c r="W195" s="3">
        <f t="shared" si="131"/>
        <v>0</v>
      </c>
      <c r="X195" s="3">
        <f t="shared" si="131"/>
        <v>0</v>
      </c>
      <c r="Y195" s="3">
        <f t="shared" si="131"/>
        <v>0</v>
      </c>
      <c r="Z195" s="3">
        <f t="shared" si="131"/>
        <v>0</v>
      </c>
      <c r="AA195" s="3">
        <f t="shared" si="131"/>
        <v>0</v>
      </c>
      <c r="AB195" s="3">
        <f t="shared" si="131"/>
        <v>0</v>
      </c>
      <c r="AC195" s="3">
        <f t="shared" si="131"/>
        <v>0</v>
      </c>
      <c r="AD195" s="3">
        <f t="shared" si="131"/>
        <v>0</v>
      </c>
      <c r="AE195" s="3">
        <f t="shared" si="131"/>
        <v>0</v>
      </c>
      <c r="AF195" s="3">
        <f t="shared" si="131"/>
        <v>0</v>
      </c>
      <c r="AG195" s="3"/>
      <c r="AH195" s="3"/>
    </row>
    <row r="196" spans="1:34" x14ac:dyDescent="0.25">
      <c r="B196" s="3">
        <f t="shared" ref="B196:AF196" si="132">$C43*EXP(-B$168/$A43/EXP(-$C$126))</f>
        <v>2.538048611821601E-3</v>
      </c>
      <c r="C196" s="3">
        <f t="shared" si="132"/>
        <v>2.538048611821601E-3</v>
      </c>
      <c r="D196" s="3">
        <f t="shared" si="132"/>
        <v>2.538048611821601E-3</v>
      </c>
      <c r="E196" s="3">
        <f t="shared" si="132"/>
        <v>2.538048611821601E-3</v>
      </c>
      <c r="F196" s="3">
        <f t="shared" si="132"/>
        <v>2.538048611821601E-3</v>
      </c>
      <c r="G196" s="3">
        <f t="shared" si="132"/>
        <v>2.538048611821601E-3</v>
      </c>
      <c r="H196" s="3">
        <f t="shared" si="132"/>
        <v>2.538048611821601E-3</v>
      </c>
      <c r="I196" s="3">
        <f t="shared" si="132"/>
        <v>2.538048611821601E-3</v>
      </c>
      <c r="J196" s="3">
        <f t="shared" si="132"/>
        <v>2.538048611821601E-3</v>
      </c>
      <c r="K196" s="3">
        <f t="shared" si="132"/>
        <v>2.538048611821601E-3</v>
      </c>
      <c r="L196" s="3">
        <f t="shared" si="132"/>
        <v>2.538048611821601E-3</v>
      </c>
      <c r="M196" s="3">
        <f t="shared" si="132"/>
        <v>2.538048611821601E-3</v>
      </c>
      <c r="N196" s="3">
        <f t="shared" si="132"/>
        <v>2.538048611821601E-3</v>
      </c>
      <c r="O196" s="3">
        <f t="shared" si="132"/>
        <v>2.538048611821601E-3</v>
      </c>
      <c r="P196" s="3">
        <f t="shared" si="132"/>
        <v>2.538048611821601E-3</v>
      </c>
      <c r="Q196" s="3">
        <f t="shared" si="132"/>
        <v>2.538048611821601E-3</v>
      </c>
      <c r="R196" s="3">
        <f t="shared" si="132"/>
        <v>2.538048611821601E-3</v>
      </c>
      <c r="S196" s="3">
        <f t="shared" si="132"/>
        <v>2.538048611821601E-3</v>
      </c>
      <c r="T196" s="3">
        <f t="shared" si="132"/>
        <v>2.538048611821601E-3</v>
      </c>
      <c r="U196" s="3">
        <f t="shared" si="132"/>
        <v>2.538048611821601E-3</v>
      </c>
      <c r="V196" s="3">
        <f t="shared" si="132"/>
        <v>2.538048611821601E-3</v>
      </c>
      <c r="W196" s="3">
        <f t="shared" si="132"/>
        <v>2.538048611821601E-3</v>
      </c>
      <c r="X196" s="3">
        <f t="shared" si="132"/>
        <v>2.538048611821601E-3</v>
      </c>
      <c r="Y196" s="3">
        <f t="shared" si="132"/>
        <v>2.5380486118215997E-3</v>
      </c>
      <c r="Z196" s="3">
        <f t="shared" si="132"/>
        <v>2.5380486118215871E-3</v>
      </c>
      <c r="AA196" s="3">
        <f t="shared" si="132"/>
        <v>2.5380486118214631E-3</v>
      </c>
      <c r="AB196" s="3">
        <f t="shared" si="132"/>
        <v>2.538048611820224E-3</v>
      </c>
      <c r="AC196" s="3">
        <f t="shared" si="132"/>
        <v>2.5380486118078333E-3</v>
      </c>
      <c r="AD196" s="3">
        <f t="shared" si="132"/>
        <v>2.5380486116839238E-3</v>
      </c>
      <c r="AE196" s="3">
        <f t="shared" si="132"/>
        <v>2.5380486104448294E-3</v>
      </c>
      <c r="AF196" s="3">
        <f t="shared" si="132"/>
        <v>2.5380485980538831E-3</v>
      </c>
      <c r="AG196" s="3"/>
      <c r="AH196" s="3"/>
    </row>
    <row r="197" spans="1:34" x14ac:dyDescent="0.25">
      <c r="B197" s="3">
        <f t="shared" ref="B197:AF197" si="133">$C44*EXP(-B$168/$A44/EXP(-$C$126))</f>
        <v>1.186723127453265E-7</v>
      </c>
      <c r="C197" s="3">
        <f t="shared" si="133"/>
        <v>1.186723127453265E-7</v>
      </c>
      <c r="D197" s="3">
        <f t="shared" si="133"/>
        <v>1.186723127453265E-7</v>
      </c>
      <c r="E197" s="3">
        <f t="shared" si="133"/>
        <v>1.186723127453265E-7</v>
      </c>
      <c r="F197" s="3">
        <f t="shared" si="133"/>
        <v>1.186723127453265E-7</v>
      </c>
      <c r="G197" s="3">
        <f t="shared" si="133"/>
        <v>1.186723127453265E-7</v>
      </c>
      <c r="H197" s="3">
        <f t="shared" si="133"/>
        <v>1.186723127453265E-7</v>
      </c>
      <c r="I197" s="3">
        <f t="shared" si="133"/>
        <v>1.186723127453265E-7</v>
      </c>
      <c r="J197" s="3">
        <f t="shared" si="133"/>
        <v>1.186723127453265E-7</v>
      </c>
      <c r="K197" s="3">
        <f t="shared" si="133"/>
        <v>1.186723127453265E-7</v>
      </c>
      <c r="L197" s="3">
        <f t="shared" si="133"/>
        <v>1.186723127453265E-7</v>
      </c>
      <c r="M197" s="3">
        <f t="shared" si="133"/>
        <v>1.186723127453265E-7</v>
      </c>
      <c r="N197" s="3">
        <f t="shared" si="133"/>
        <v>1.186723127453265E-7</v>
      </c>
      <c r="O197" s="3">
        <f t="shared" si="133"/>
        <v>1.186723127453265E-7</v>
      </c>
      <c r="P197" s="3">
        <f t="shared" si="133"/>
        <v>1.186723127453265E-7</v>
      </c>
      <c r="Q197" s="3">
        <f t="shared" si="133"/>
        <v>1.186723127453265E-7</v>
      </c>
      <c r="R197" s="3">
        <f t="shared" si="133"/>
        <v>1.186723127453265E-7</v>
      </c>
      <c r="S197" s="3">
        <f t="shared" si="133"/>
        <v>1.186723127453265E-7</v>
      </c>
      <c r="T197" s="3">
        <f t="shared" si="133"/>
        <v>1.186723127453265E-7</v>
      </c>
      <c r="U197" s="3">
        <f t="shared" si="133"/>
        <v>1.186723127453265E-7</v>
      </c>
      <c r="V197" s="3">
        <f t="shared" si="133"/>
        <v>1.186723127453265E-7</v>
      </c>
      <c r="W197" s="3">
        <f t="shared" si="133"/>
        <v>1.186723127453265E-7</v>
      </c>
      <c r="X197" s="3">
        <f t="shared" si="133"/>
        <v>1.186723127453265E-7</v>
      </c>
      <c r="Y197" s="3">
        <f t="shared" si="133"/>
        <v>1.186723127453265E-7</v>
      </c>
      <c r="Z197" s="3">
        <f t="shared" si="133"/>
        <v>1.1867231274532643E-7</v>
      </c>
      <c r="AA197" s="3">
        <f t="shared" si="133"/>
        <v>1.1867231274532585E-7</v>
      </c>
      <c r="AB197" s="3">
        <f t="shared" si="133"/>
        <v>1.1867231274532005E-7</v>
      </c>
      <c r="AC197" s="3">
        <f t="shared" si="133"/>
        <v>1.1867231274526212E-7</v>
      </c>
      <c r="AD197" s="3">
        <f t="shared" si="133"/>
        <v>1.1867231274468275E-7</v>
      </c>
      <c r="AE197" s="3">
        <f t="shared" si="133"/>
        <v>1.1867231273888909E-7</v>
      </c>
      <c r="AF197" s="3">
        <f t="shared" si="133"/>
        <v>1.1867231268095236E-7</v>
      </c>
      <c r="AG197" s="3"/>
      <c r="AH197" s="3"/>
    </row>
    <row r="198" spans="1:34" x14ac:dyDescent="0.25">
      <c r="B198" s="3">
        <f t="shared" ref="B198:AF198" si="134">$C45*EXP(-B$168/$A45/EXP(-$C$126))</f>
        <v>1.5301760835243074E-4</v>
      </c>
      <c r="C198" s="3">
        <f t="shared" si="134"/>
        <v>1.5301760835243074E-4</v>
      </c>
      <c r="D198" s="3">
        <f t="shared" si="134"/>
        <v>1.5301760835243074E-4</v>
      </c>
      <c r="E198" s="3">
        <f t="shared" si="134"/>
        <v>1.5301760835243074E-4</v>
      </c>
      <c r="F198" s="3">
        <f t="shared" si="134"/>
        <v>1.5301760835243074E-4</v>
      </c>
      <c r="G198" s="3">
        <f t="shared" si="134"/>
        <v>1.5301760835243074E-4</v>
      </c>
      <c r="H198" s="3">
        <f t="shared" si="134"/>
        <v>1.5301760835243074E-4</v>
      </c>
      <c r="I198" s="3">
        <f t="shared" si="134"/>
        <v>1.5301760835243074E-4</v>
      </c>
      <c r="J198" s="3">
        <f t="shared" si="134"/>
        <v>1.5301760835243074E-4</v>
      </c>
      <c r="K198" s="3">
        <f t="shared" si="134"/>
        <v>1.5301760835243074E-4</v>
      </c>
      <c r="L198" s="3">
        <f t="shared" si="134"/>
        <v>1.5301760835243074E-4</v>
      </c>
      <c r="M198" s="3">
        <f t="shared" si="134"/>
        <v>1.5301760835243074E-4</v>
      </c>
      <c r="N198" s="3">
        <f t="shared" si="134"/>
        <v>1.5301760835243074E-4</v>
      </c>
      <c r="O198" s="3">
        <f t="shared" si="134"/>
        <v>1.5301760835243074E-4</v>
      </c>
      <c r="P198" s="3">
        <f t="shared" si="134"/>
        <v>1.5301760835243074E-4</v>
      </c>
      <c r="Q198" s="3">
        <f t="shared" si="134"/>
        <v>1.5301760835243074E-4</v>
      </c>
      <c r="R198" s="3">
        <f t="shared" si="134"/>
        <v>1.5301760835243074E-4</v>
      </c>
      <c r="S198" s="3">
        <f t="shared" si="134"/>
        <v>1.5301760835243074E-4</v>
      </c>
      <c r="T198" s="3">
        <f t="shared" si="134"/>
        <v>1.5301760835243074E-4</v>
      </c>
      <c r="U198" s="3">
        <f t="shared" si="134"/>
        <v>1.5301760835243074E-4</v>
      </c>
      <c r="V198" s="3">
        <f t="shared" si="134"/>
        <v>1.5301760835243074E-4</v>
      </c>
      <c r="W198" s="3">
        <f t="shared" si="134"/>
        <v>1.5301760835243074E-4</v>
      </c>
      <c r="X198" s="3">
        <f t="shared" si="134"/>
        <v>1.5301760835243074E-4</v>
      </c>
      <c r="Y198" s="3">
        <f t="shared" si="134"/>
        <v>1.5301760835243074E-4</v>
      </c>
      <c r="Z198" s="3">
        <f t="shared" si="134"/>
        <v>1.5301760835243074E-4</v>
      </c>
      <c r="AA198" s="3">
        <f t="shared" si="134"/>
        <v>1.5301760835243066E-4</v>
      </c>
      <c r="AB198" s="3">
        <f t="shared" si="134"/>
        <v>1.530176083524299E-4</v>
      </c>
      <c r="AC198" s="3">
        <f t="shared" si="134"/>
        <v>1.5301760835242245E-4</v>
      </c>
      <c r="AD198" s="3">
        <f t="shared" si="134"/>
        <v>1.5301760835234775E-4</v>
      </c>
      <c r="AE198" s="3">
        <f t="shared" si="134"/>
        <v>1.5301760835160071E-4</v>
      </c>
      <c r="AF198" s="3">
        <f t="shared" si="134"/>
        <v>1.5301760834413025E-4</v>
      </c>
      <c r="AG198" s="3"/>
      <c r="AH198" s="3"/>
    </row>
    <row r="199" spans="1:34" x14ac:dyDescent="0.25">
      <c r="B199" s="3">
        <f t="shared" ref="B199:AF199" si="135">$C46*EXP(-B$168/$A46/EXP(-$C$126))</f>
        <v>1.8120582087099855E-4</v>
      </c>
      <c r="C199" s="3">
        <f t="shared" si="135"/>
        <v>1.8120582087099855E-4</v>
      </c>
      <c r="D199" s="3">
        <f t="shared" si="135"/>
        <v>1.8120582087099855E-4</v>
      </c>
      <c r="E199" s="3">
        <f t="shared" si="135"/>
        <v>1.8120582087099855E-4</v>
      </c>
      <c r="F199" s="3">
        <f t="shared" si="135"/>
        <v>1.8120582087099855E-4</v>
      </c>
      <c r="G199" s="3">
        <f t="shared" si="135"/>
        <v>1.8120582087099855E-4</v>
      </c>
      <c r="H199" s="3">
        <f t="shared" si="135"/>
        <v>1.8120582087099855E-4</v>
      </c>
      <c r="I199" s="3">
        <f t="shared" si="135"/>
        <v>1.8120582087099855E-4</v>
      </c>
      <c r="J199" s="3">
        <f t="shared" si="135"/>
        <v>1.8120582087099855E-4</v>
      </c>
      <c r="K199" s="3">
        <f t="shared" si="135"/>
        <v>1.8120582087099855E-4</v>
      </c>
      <c r="L199" s="3">
        <f t="shared" si="135"/>
        <v>1.8120582087099855E-4</v>
      </c>
      <c r="M199" s="3">
        <f t="shared" si="135"/>
        <v>1.8120582087099855E-4</v>
      </c>
      <c r="N199" s="3">
        <f t="shared" si="135"/>
        <v>1.8120582087099855E-4</v>
      </c>
      <c r="O199" s="3">
        <f t="shared" si="135"/>
        <v>1.8120582087099855E-4</v>
      </c>
      <c r="P199" s="3">
        <f t="shared" si="135"/>
        <v>1.8120582087099855E-4</v>
      </c>
      <c r="Q199" s="3">
        <f t="shared" si="135"/>
        <v>1.8120582087099855E-4</v>
      </c>
      <c r="R199" s="3">
        <f t="shared" si="135"/>
        <v>1.8120582087099855E-4</v>
      </c>
      <c r="S199" s="3">
        <f t="shared" si="135"/>
        <v>1.8120582087099855E-4</v>
      </c>
      <c r="T199" s="3">
        <f t="shared" si="135"/>
        <v>1.8120582087099855E-4</v>
      </c>
      <c r="U199" s="3">
        <f t="shared" si="135"/>
        <v>1.8120582087099855E-4</v>
      </c>
      <c r="V199" s="3">
        <f t="shared" si="135"/>
        <v>1.8120582087099855E-4</v>
      </c>
      <c r="W199" s="3">
        <f t="shared" si="135"/>
        <v>1.8120582087099855E-4</v>
      </c>
      <c r="X199" s="3">
        <f t="shared" si="135"/>
        <v>1.8120582087099855E-4</v>
      </c>
      <c r="Y199" s="3">
        <f t="shared" si="135"/>
        <v>1.8120582087099855E-4</v>
      </c>
      <c r="Z199" s="3">
        <f t="shared" si="135"/>
        <v>1.8120582087099855E-4</v>
      </c>
      <c r="AA199" s="3">
        <f t="shared" si="135"/>
        <v>1.8120582087099855E-4</v>
      </c>
      <c r="AB199" s="3">
        <f t="shared" si="135"/>
        <v>1.8120582087099844E-4</v>
      </c>
      <c r="AC199" s="3">
        <f t="shared" si="135"/>
        <v>1.8120582087099757E-4</v>
      </c>
      <c r="AD199" s="3">
        <f t="shared" si="135"/>
        <v>1.8120582087098871E-4</v>
      </c>
      <c r="AE199" s="3">
        <f t="shared" si="135"/>
        <v>1.8120582087090026E-4</v>
      </c>
      <c r="AF199" s="3">
        <f t="shared" si="135"/>
        <v>1.8120582087001558E-4</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0</v>
      </c>
      <c r="C201" s="3">
        <f t="shared" si="137"/>
        <v>0</v>
      </c>
      <c r="D201" s="3">
        <f t="shared" si="137"/>
        <v>0</v>
      </c>
      <c r="E201" s="3">
        <f t="shared" si="137"/>
        <v>0</v>
      </c>
      <c r="F201" s="3">
        <f t="shared" si="137"/>
        <v>0</v>
      </c>
      <c r="G201" s="3">
        <f t="shared" si="137"/>
        <v>0</v>
      </c>
      <c r="H201" s="3">
        <f t="shared" si="137"/>
        <v>0</v>
      </c>
      <c r="I201" s="3">
        <f t="shared" si="137"/>
        <v>0</v>
      </c>
      <c r="J201" s="3">
        <f t="shared" si="137"/>
        <v>0</v>
      </c>
      <c r="K201" s="3">
        <f t="shared" si="137"/>
        <v>0</v>
      </c>
      <c r="L201" s="3">
        <f t="shared" si="137"/>
        <v>0</v>
      </c>
      <c r="M201" s="3">
        <f t="shared" si="137"/>
        <v>0</v>
      </c>
      <c r="N201" s="3">
        <f t="shared" si="137"/>
        <v>0</v>
      </c>
      <c r="O201" s="3">
        <f t="shared" si="137"/>
        <v>0</v>
      </c>
      <c r="P201" s="3">
        <f t="shared" si="137"/>
        <v>0</v>
      </c>
      <c r="Q201" s="3">
        <f t="shared" si="137"/>
        <v>0</v>
      </c>
      <c r="R201" s="3">
        <f t="shared" si="137"/>
        <v>0</v>
      </c>
      <c r="S201" s="3">
        <f t="shared" si="137"/>
        <v>0</v>
      </c>
      <c r="T201" s="3">
        <f t="shared" si="137"/>
        <v>0</v>
      </c>
      <c r="U201" s="3">
        <f t="shared" si="137"/>
        <v>0</v>
      </c>
      <c r="V201" s="3">
        <f t="shared" si="137"/>
        <v>0</v>
      </c>
      <c r="W201" s="3">
        <f t="shared" si="137"/>
        <v>0</v>
      </c>
      <c r="X201" s="3">
        <f t="shared" si="137"/>
        <v>0</v>
      </c>
      <c r="Y201" s="3">
        <f t="shared" si="137"/>
        <v>0</v>
      </c>
      <c r="Z201" s="3">
        <f t="shared" si="137"/>
        <v>0</v>
      </c>
      <c r="AA201" s="3">
        <f t="shared" si="137"/>
        <v>0</v>
      </c>
      <c r="AB201" s="3">
        <f t="shared" si="137"/>
        <v>0</v>
      </c>
      <c r="AC201" s="3">
        <f t="shared" si="137"/>
        <v>0</v>
      </c>
      <c r="AD201" s="3">
        <f t="shared" si="137"/>
        <v>0</v>
      </c>
      <c r="AE201" s="3">
        <f t="shared" si="137"/>
        <v>0</v>
      </c>
      <c r="AF201" s="3">
        <f t="shared" si="137"/>
        <v>0</v>
      </c>
      <c r="AG201" s="3"/>
      <c r="AH201" s="3"/>
    </row>
    <row r="202" spans="1:34" x14ac:dyDescent="0.25">
      <c r="A202" s="79">
        <f>AVERAGE(B202:AF202)</f>
        <v>3.9691490132195813E-2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0.13996287445871294</v>
      </c>
      <c r="M202" s="80">
        <f t="shared" si="138"/>
        <v>0.1249465017509566</v>
      </c>
      <c r="N202" s="80">
        <f t="shared" si="138"/>
        <v>0.10806442244649334</v>
      </c>
      <c r="O202" s="80">
        <f t="shared" si="138"/>
        <v>9.5218072516741969E-2</v>
      </c>
      <c r="P202" s="80">
        <f t="shared" si="138"/>
        <v>0.109596558156667</v>
      </c>
      <c r="Q202" s="80">
        <f t="shared" si="138"/>
        <v>0.11606630293738353</v>
      </c>
      <c r="R202" s="80">
        <f t="shared" si="138"/>
        <v>0.12475765029478816</v>
      </c>
      <c r="S202" s="80">
        <f t="shared" si="138"/>
        <v>0.13897687973788345</v>
      </c>
      <c r="T202" s="80">
        <f t="shared" si="138"/>
        <v>0.13612515712719808</v>
      </c>
      <c r="U202" s="80">
        <f t="shared" si="138"/>
        <v>7.4117262815709184E-2</v>
      </c>
      <c r="V202" s="80">
        <f t="shared" si="138"/>
        <v>6.2604511855535908E-2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1561.2393588370298</v>
      </c>
      <c r="C203" s="21">
        <f t="shared" ref="C203:AF203" si="139">(C170-C169)^2</f>
        <v>1566.7950856955113</v>
      </c>
      <c r="D203" s="21">
        <f t="shared" si="139"/>
        <v>1564.367981538973</v>
      </c>
      <c r="E203" s="21">
        <f t="shared" si="139"/>
        <v>1568.4198408060438</v>
      </c>
      <c r="F203" s="21">
        <f t="shared" si="139"/>
        <v>1616.6804143440154</v>
      </c>
      <c r="G203" s="21">
        <f t="shared" si="139"/>
        <v>2140.4750272518058</v>
      </c>
      <c r="H203" s="21">
        <f t="shared" si="139"/>
        <v>11072.805589083144</v>
      </c>
      <c r="I203" s="21">
        <f t="shared" si="139"/>
        <v>311984.95917135995</v>
      </c>
      <c r="J203" s="21">
        <f t="shared" si="139"/>
        <v>1471479.4463519424</v>
      </c>
      <c r="K203" s="21">
        <f t="shared" si="139"/>
        <v>1103289.4600987535</v>
      </c>
      <c r="L203" s="21">
        <f t="shared" si="139"/>
        <v>868760.31232226978</v>
      </c>
      <c r="M203" s="21">
        <f t="shared" si="139"/>
        <v>668683.2601689389</v>
      </c>
      <c r="N203" s="21">
        <f t="shared" si="139"/>
        <v>480697.71916144941</v>
      </c>
      <c r="O203" s="21">
        <f t="shared" si="139"/>
        <v>357474.11778597801</v>
      </c>
      <c r="P203" s="21">
        <f t="shared" si="139"/>
        <v>450556.80971152836</v>
      </c>
      <c r="Q203" s="21">
        <f t="shared" si="139"/>
        <v>478016.1164083904</v>
      </c>
      <c r="R203" s="21">
        <f t="shared" si="139"/>
        <v>519545.87939243036</v>
      </c>
      <c r="S203" s="21">
        <f t="shared" si="139"/>
        <v>606171.5952480851</v>
      </c>
      <c r="T203" s="21">
        <f t="shared" si="139"/>
        <v>530141.04704803927</v>
      </c>
      <c r="U203" s="21">
        <f t="shared" si="139"/>
        <v>126216.49156913682</v>
      </c>
      <c r="V203" s="21">
        <f t="shared" si="139"/>
        <v>62893.791456068888</v>
      </c>
      <c r="W203" s="21">
        <f t="shared" si="139"/>
        <v>533341.89451213332</v>
      </c>
      <c r="X203" s="21">
        <f t="shared" si="139"/>
        <v>1008521.5611612998</v>
      </c>
      <c r="Y203" s="21">
        <f t="shared" si="139"/>
        <v>1270286.1944088666</v>
      </c>
      <c r="Z203" s="21">
        <f t="shared" si="139"/>
        <v>1285327.6592444002</v>
      </c>
      <c r="AA203" s="21">
        <f t="shared" si="139"/>
        <v>1138051.8821740099</v>
      </c>
      <c r="AB203" s="21">
        <f t="shared" si="139"/>
        <v>862843.88672600954</v>
      </c>
      <c r="AC203" s="21">
        <f t="shared" si="139"/>
        <v>520164.98650663038</v>
      </c>
      <c r="AD203" s="21">
        <f t="shared" si="139"/>
        <v>111857.80177160703</v>
      </c>
      <c r="AE203" s="21">
        <f t="shared" si="139"/>
        <v>9290.9074453749308</v>
      </c>
      <c r="AF203" s="21">
        <f t="shared" si="139"/>
        <v>159659.44035163033</v>
      </c>
      <c r="AG203" s="3"/>
      <c r="AH203" s="3"/>
    </row>
    <row r="204" spans="1:34" x14ac:dyDescent="0.25">
      <c r="A204" s="71">
        <f>SUM(B204:AF204)</f>
        <v>5149157.1402723165</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868760.31232226978</v>
      </c>
      <c r="M204" s="60">
        <f t="shared" ref="M204" si="150">IF($A$64&lt;=M168,IF($B$64&gt;=M168,ABS(M203),0),0)</f>
        <v>668683.2601689389</v>
      </c>
      <c r="N204" s="60">
        <f t="shared" ref="N204" si="151">IF($A$64&lt;=N168,IF($B$64&gt;=N168,ABS(N203),0),0)</f>
        <v>480697.71916144941</v>
      </c>
      <c r="O204" s="60">
        <f t="shared" ref="O204" si="152">IF($A$64&lt;=O168,IF($B$64&gt;=O168,ABS(O203),0),0)</f>
        <v>357474.11778597801</v>
      </c>
      <c r="P204" s="60">
        <f t="shared" ref="P204" si="153">IF($A$64&lt;=P168,IF($B$64&gt;=P168,ABS(P203),0),0)</f>
        <v>450556.80971152836</v>
      </c>
      <c r="Q204" s="60">
        <f t="shared" ref="Q204" si="154">IF($A$64&lt;=Q168,IF($B$64&gt;=Q168,ABS(Q203),0),0)</f>
        <v>478016.1164083904</v>
      </c>
      <c r="R204" s="60">
        <f t="shared" ref="R204" si="155">IF($A$64&lt;=R168,IF($B$64&gt;=R168,ABS(R203),0),0)</f>
        <v>519545.87939243036</v>
      </c>
      <c r="S204" s="60">
        <f t="shared" ref="S204" si="156">IF($A$64&lt;=S168,IF($B$64&gt;=S168,ABS(S203),0),0)</f>
        <v>606171.5952480851</v>
      </c>
      <c r="T204" s="60">
        <f t="shared" ref="T204" si="157">IF($A$64&lt;=T168,IF($B$64&gt;=T168,ABS(T203),0),0)</f>
        <v>530141.04704803927</v>
      </c>
      <c r="U204" s="60">
        <f t="shared" ref="U204" si="158">IF($A$64&lt;=U168,IF($B$64&gt;=U168,ABS(U203),0),0)</f>
        <v>126216.49156913682</v>
      </c>
      <c r="V204" s="60">
        <f t="shared" ref="V204" si="159">IF($A$64&lt;=V168,IF($B$64&gt;=V168,ABS(V203),0),0)</f>
        <v>62893.791456068888</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6992.3964680806075</v>
      </c>
      <c r="C208" s="26">
        <f>INDEX(Comparison!$AM$3:$AS$33,G$14,$D$122)</f>
        <v>6992.459052459466</v>
      </c>
      <c r="D208" s="26">
        <f>INDEX(Comparison!$AM$3:$AS$33,H$14,$D$122)</f>
        <v>6992.3628853177524</v>
      </c>
      <c r="E208" s="26">
        <f>INDEX(Comparison!$AM$3:$AS$33,I$14,$D$122)</f>
        <v>6991.7590094248426</v>
      </c>
      <c r="F208" s="26">
        <f>INDEX(Comparison!$AM$3:$AS$33,J$14,$D$122)</f>
        <v>6985.9675385002447</v>
      </c>
      <c r="G208" s="26">
        <f>INDEX(Comparison!$AM$3:$AS$33,K$14,$D$122)</f>
        <v>6936.0316435873456</v>
      </c>
      <c r="H208" s="26">
        <f>INDEX(Comparison!$AM$3:$AS$33,L$14,$D$122)</f>
        <v>6767.3497232459458</v>
      </c>
      <c r="I208" s="26">
        <f>INDEX(Comparison!$AM$3:$AS$33,M$14,$D$122)</f>
        <v>6644.5309370841214</v>
      </c>
      <c r="J208" s="26">
        <f>INDEX(Comparison!$AM$3:$AS$33,N$14,$D$122)</f>
        <v>6532.7504586905397</v>
      </c>
      <c r="K208" s="26">
        <f>INDEX(Comparison!$AM$3:$AS$33,O$14,$D$122)</f>
        <v>6406.2589516029093</v>
      </c>
      <c r="L208" s="26">
        <f>INDEX(Comparison!$AM$3:$AS$33,P$14,$D$122)</f>
        <v>6273.617616065887</v>
      </c>
      <c r="M208" s="26">
        <f>INDEX(Comparison!$AM$3:$AS$33,Q$14,$D$122)</f>
        <v>6123.1895749079549</v>
      </c>
      <c r="N208" s="26">
        <f>INDEX(Comparison!$AM$3:$AS$33,R$14,$D$122)</f>
        <v>5959.0875608576071</v>
      </c>
      <c r="O208" s="26">
        <f>INDEX(Comparison!$AM$3:$AS$33,S$14,$D$122)</f>
        <v>5781.2083401997561</v>
      </c>
      <c r="P208" s="26">
        <f>INDEX(Comparison!$AM$3:$AS$33,T$14,$D$122)</f>
        <v>5618.3452185734377</v>
      </c>
      <c r="Q208" s="26">
        <f>INDEX(Comparison!$AM$3:$AS$33,U$14,$D$122)</f>
        <v>5440.9922001853329</v>
      </c>
      <c r="R208" s="26">
        <f>INDEX(Comparison!$AM$3:$AS$33,V$14,$D$122)</f>
        <v>5221.4874412485688</v>
      </c>
      <c r="S208" s="26">
        <f>INDEX(Comparison!$AM$3:$AS$33,W$14,$D$122)</f>
        <v>4926.1795387850607</v>
      </c>
      <c r="T208" s="26">
        <f>INDEX(Comparison!$AM$3:$AS$33,X$14,$D$122)</f>
        <v>4442.9821588725517</v>
      </c>
      <c r="U208" s="26">
        <f>INDEX(Comparison!$AM$3:$AS$33,Y$14,$D$122)</f>
        <v>3752.7744100380223</v>
      </c>
      <c r="V208" s="26">
        <f>INDEX(Comparison!$AM$3:$AS$33,Z$14,$D$122)</f>
        <v>3130.6377978974938</v>
      </c>
      <c r="W208" s="26">
        <f>INDEX(Comparison!$AM$3:$AS$33,AA$14,$D$122)</f>
        <v>2685.7977977575347</v>
      </c>
      <c r="X208" s="26">
        <f>INDEX(Comparison!$AM$3:$AS$33,AB$14,$D$122)</f>
        <v>2368.346654493816</v>
      </c>
      <c r="Y208" s="26">
        <f>INDEX(Comparison!$AM$3:$AS$33,AC$14,$D$122)</f>
        <v>2132.4244867059297</v>
      </c>
      <c r="Z208" s="26">
        <f>INDEX(Comparison!$AM$3:$AS$33,AD$14,$D$122)</f>
        <v>1927.1689592855932</v>
      </c>
      <c r="AA208" s="26">
        <f>INDEX(Comparison!$AM$3:$AS$33,AE$14,$D$122)</f>
        <v>1740.579877269425</v>
      </c>
      <c r="AB208" s="26">
        <f>INDEX(Comparison!$AM$3:$AS$33,AF$14,$D$122)</f>
        <v>1552.3921804639763</v>
      </c>
      <c r="AC208" s="26">
        <f>INDEX(Comparison!$AM$3:$AS$33,AG$14,$D$122)</f>
        <v>1355.3669215252155</v>
      </c>
      <c r="AD208" s="26">
        <f>INDEX(Comparison!$AM$3:$AS$33,AH$14,$D$122)</f>
        <v>1134.9160288600715</v>
      </c>
      <c r="AE208" s="26">
        <f>INDEX(Comparison!$AM$3:$AS$33,AI$14,$D$122)</f>
        <v>892.49692017162795</v>
      </c>
      <c r="AF208" s="26">
        <f>INDEX(Comparison!$AM$3:$AS$33,AJ$14,$D$122)</f>
        <v>651.2901745739025</v>
      </c>
      <c r="AG208" s="26"/>
      <c r="AH208" s="26"/>
    </row>
    <row r="209" spans="1:34" x14ac:dyDescent="0.25">
      <c r="A209" s="70" t="s">
        <v>22</v>
      </c>
      <c r="B209" s="27">
        <f>($C$17+SUM(B210:B240))*$B$51</f>
        <v>6992.3988707002891</v>
      </c>
      <c r="C209" s="27">
        <f t="shared" ref="C209:AF209" si="170">($C$17+SUM(C210:C240))*$B$51</f>
        <v>6992.3104104397371</v>
      </c>
      <c r="D209" s="27">
        <f t="shared" si="170"/>
        <v>6991.4261479919132</v>
      </c>
      <c r="E209" s="27">
        <f t="shared" si="170"/>
        <v>6982.6174514335289</v>
      </c>
      <c r="F209" s="27">
        <f t="shared" si="170"/>
        <v>6897.8371079370854</v>
      </c>
      <c r="G209" s="27">
        <f t="shared" si="170"/>
        <v>6309.0210348239134</v>
      </c>
      <c r="H209" s="27">
        <f t="shared" si="170"/>
        <v>5727.9405712669368</v>
      </c>
      <c r="I209" s="27">
        <f t="shared" si="170"/>
        <v>5727.4002354919921</v>
      </c>
      <c r="J209" s="27">
        <f t="shared" si="170"/>
        <v>5727.3367212576495</v>
      </c>
      <c r="K209" s="27">
        <f t="shared" si="170"/>
        <v>5726.7021819018883</v>
      </c>
      <c r="L209" s="27">
        <f t="shared" si="170"/>
        <v>5720.4166904720123</v>
      </c>
      <c r="M209" s="27">
        <f t="shared" si="170"/>
        <v>5663.1743392826484</v>
      </c>
      <c r="N209" s="27">
        <f t="shared" si="170"/>
        <v>5407.7331747539311</v>
      </c>
      <c r="O209" s="27">
        <f t="shared" si="170"/>
        <v>5237.9983836912634</v>
      </c>
      <c r="P209" s="27">
        <f t="shared" si="170"/>
        <v>5013.7002389534537</v>
      </c>
      <c r="Q209" s="27">
        <f t="shared" si="170"/>
        <v>4784.7080294342368</v>
      </c>
      <c r="R209" s="27">
        <f t="shared" si="170"/>
        <v>4588.2874241045056</v>
      </c>
      <c r="S209" s="27">
        <f t="shared" si="170"/>
        <v>4407.1093941310028</v>
      </c>
      <c r="T209" s="27">
        <f t="shared" si="170"/>
        <v>4225.9114020108145</v>
      </c>
      <c r="U209" s="27">
        <f t="shared" si="170"/>
        <v>4048.0305897429762</v>
      </c>
      <c r="V209" s="27">
        <f t="shared" si="170"/>
        <v>3866.483344047524</v>
      </c>
      <c r="W209" s="27">
        <f t="shared" si="170"/>
        <v>3663.0218959258709</v>
      </c>
      <c r="X209" s="27">
        <f t="shared" si="170"/>
        <v>3435.7026928662817</v>
      </c>
      <c r="Y209" s="27">
        <f t="shared" si="170"/>
        <v>3176.829996208869</v>
      </c>
      <c r="Z209" s="27">
        <f t="shared" si="170"/>
        <v>2874.3433867279796</v>
      </c>
      <c r="AA209" s="27">
        <f t="shared" si="170"/>
        <v>2480.1992731110836</v>
      </c>
      <c r="AB209" s="27">
        <f t="shared" si="170"/>
        <v>1917.283905107792</v>
      </c>
      <c r="AC209" s="27">
        <f t="shared" si="170"/>
        <v>1319.4777072054376</v>
      </c>
      <c r="AD209" s="27">
        <f t="shared" si="170"/>
        <v>842.871985038498</v>
      </c>
      <c r="AE209" s="27">
        <f t="shared" si="170"/>
        <v>529.20614726958274</v>
      </c>
      <c r="AF209" s="27">
        <f t="shared" si="170"/>
        <v>355.07369609651698</v>
      </c>
      <c r="AG209" s="27"/>
      <c r="AH209" s="27"/>
    </row>
    <row r="210" spans="1:34" x14ac:dyDescent="0.25">
      <c r="B210" s="3">
        <f t="shared" ref="B210:AF210" si="171">$C18*EXP(-B$207/$A18/EXP(-$D$126))</f>
        <v>0.18090927342314145</v>
      </c>
      <c r="C210" s="3">
        <f t="shared" si="171"/>
        <v>0.18089662252443167</v>
      </c>
      <c r="D210" s="3">
        <f t="shared" si="171"/>
        <v>0.18077016218404821</v>
      </c>
      <c r="E210" s="3">
        <f t="shared" si="171"/>
        <v>0.17951041088787825</v>
      </c>
      <c r="F210" s="3">
        <f t="shared" si="171"/>
        <v>0.16738578534298562</v>
      </c>
      <c r="G210" s="3">
        <f t="shared" si="171"/>
        <v>8.3177891489149489E-2</v>
      </c>
      <c r="H210" s="3">
        <f t="shared" si="171"/>
        <v>7.6366209561528185E-5</v>
      </c>
      <c r="I210" s="3">
        <f t="shared" si="171"/>
        <v>3.2496344757100879E-35</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4.874732910661897E-2</v>
      </c>
      <c r="C211" s="3">
        <f t="shared" si="172"/>
        <v>4.8747329105745744E-2</v>
      </c>
      <c r="D211" s="3">
        <f t="shared" si="172"/>
        <v>4.8747329097013445E-2</v>
      </c>
      <c r="E211" s="3">
        <f t="shared" si="172"/>
        <v>4.8747329009690477E-2</v>
      </c>
      <c r="F211" s="3">
        <f t="shared" si="172"/>
        <v>4.8747328136460849E-2</v>
      </c>
      <c r="G211" s="3">
        <f t="shared" si="172"/>
        <v>4.8747319404165358E-2</v>
      </c>
      <c r="H211" s="3">
        <f t="shared" si="172"/>
        <v>4.8747232081296527E-2</v>
      </c>
      <c r="I211" s="3">
        <f t="shared" si="172"/>
        <v>4.8746358861211543E-2</v>
      </c>
      <c r="J211" s="3">
        <f t="shared" si="172"/>
        <v>4.8737627520635735E-2</v>
      </c>
      <c r="K211" s="3">
        <f t="shared" si="172"/>
        <v>4.8650400085291402E-2</v>
      </c>
      <c r="L211" s="3">
        <f t="shared" si="172"/>
        <v>4.7786666064443553E-2</v>
      </c>
      <c r="M211" s="3">
        <f t="shared" si="172"/>
        <v>3.9949366072588713E-2</v>
      </c>
      <c r="N211" s="3">
        <f t="shared" si="172"/>
        <v>6.6610315847647848E-3</v>
      </c>
      <c r="O211" s="3">
        <f t="shared" si="172"/>
        <v>1.1062607414880368E-10</v>
      </c>
      <c r="P211" s="3">
        <f t="shared" si="172"/>
        <v>1.7661092982235976E-88</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1.8089335916321975E-2</v>
      </c>
      <c r="C212" s="3">
        <f t="shared" si="173"/>
        <v>1.8089335916292745E-2</v>
      </c>
      <c r="D212" s="3">
        <f t="shared" si="173"/>
        <v>1.808933591600043E-2</v>
      </c>
      <c r="E212" s="3">
        <f t="shared" si="173"/>
        <v>1.808933591307731E-2</v>
      </c>
      <c r="F212" s="3">
        <f t="shared" si="173"/>
        <v>1.8089335883846095E-2</v>
      </c>
      <c r="G212" s="3">
        <f t="shared" si="173"/>
        <v>1.8089335591533952E-2</v>
      </c>
      <c r="H212" s="3">
        <f t="shared" si="173"/>
        <v>1.8089332668412793E-2</v>
      </c>
      <c r="I212" s="3">
        <f t="shared" si="173"/>
        <v>1.8089303437227165E-2</v>
      </c>
      <c r="J212" s="3">
        <f t="shared" si="173"/>
        <v>1.8089011127968839E-2</v>
      </c>
      <c r="K212" s="3">
        <f t="shared" si="173"/>
        <v>1.8086088295165125E-2</v>
      </c>
      <c r="L212" s="3">
        <f t="shared" si="173"/>
        <v>1.8056885929556017E-2</v>
      </c>
      <c r="M212" s="3">
        <f t="shared" si="173"/>
        <v>1.7767443060293965E-2</v>
      </c>
      <c r="N212" s="3">
        <f t="shared" si="173"/>
        <v>1.5116307248311742E-2</v>
      </c>
      <c r="O212" s="3">
        <f t="shared" si="173"/>
        <v>3.0036788310530559E-3</v>
      </c>
      <c r="P212" s="3">
        <f t="shared" si="173"/>
        <v>2.8822478594614622E-10</v>
      </c>
      <c r="Q212" s="3">
        <f t="shared" si="173"/>
        <v>1.9076980712583589E-80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3.7553125741215221E-2</v>
      </c>
      <c r="C213" s="3">
        <f t="shared" si="174"/>
        <v>3.7553125741209746E-2</v>
      </c>
      <c r="D213" s="3">
        <f t="shared" si="174"/>
        <v>3.7553125741155005E-2</v>
      </c>
      <c r="E213" s="3">
        <f t="shared" si="174"/>
        <v>3.7553125740607589E-2</v>
      </c>
      <c r="F213" s="3">
        <f t="shared" si="174"/>
        <v>3.755312573513344E-2</v>
      </c>
      <c r="G213" s="3">
        <f t="shared" si="174"/>
        <v>3.7553125680391909E-2</v>
      </c>
      <c r="H213" s="3">
        <f t="shared" si="174"/>
        <v>3.7553125132976629E-2</v>
      </c>
      <c r="I213" s="3">
        <f t="shared" si="174"/>
        <v>3.7553119658824283E-2</v>
      </c>
      <c r="J213" s="3">
        <f t="shared" si="174"/>
        <v>3.7553064917344704E-2</v>
      </c>
      <c r="K213" s="3">
        <f t="shared" si="174"/>
        <v>3.7552517506937694E-2</v>
      </c>
      <c r="L213" s="3">
        <f t="shared" si="174"/>
        <v>3.7547043841726031E-2</v>
      </c>
      <c r="M213" s="3">
        <f t="shared" si="174"/>
        <v>3.7492351051787977E-2</v>
      </c>
      <c r="N213" s="3">
        <f t="shared" si="174"/>
        <v>3.6949785805064889E-2</v>
      </c>
      <c r="O213" s="3">
        <f t="shared" si="174"/>
        <v>3.1937758223810828E-2</v>
      </c>
      <c r="P213" s="3">
        <f t="shared" si="174"/>
        <v>7.4341182654437165E-3</v>
      </c>
      <c r="Q213" s="3">
        <f t="shared" si="174"/>
        <v>3.4712015810467071E-9</v>
      </c>
      <c r="R213" s="3">
        <f t="shared" si="174"/>
        <v>1.7099504526271587E-72</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3.4655462333825E-2</v>
      </c>
      <c r="C214" s="3">
        <f t="shared" si="175"/>
        <v>3.4655462333824542E-2</v>
      </c>
      <c r="D214" s="3">
        <f t="shared" si="175"/>
        <v>3.4655462333819984E-2</v>
      </c>
      <c r="E214" s="3">
        <f t="shared" si="175"/>
        <v>3.4655462333774416E-2</v>
      </c>
      <c r="F214" s="3">
        <f t="shared" si="175"/>
        <v>3.4655462333318704E-2</v>
      </c>
      <c r="G214" s="3">
        <f t="shared" si="175"/>
        <v>3.4655462328761599E-2</v>
      </c>
      <c r="H214" s="3">
        <f t="shared" si="175"/>
        <v>3.4655462283190538E-2</v>
      </c>
      <c r="I214" s="3">
        <f t="shared" si="175"/>
        <v>3.4655461827479958E-2</v>
      </c>
      <c r="J214" s="3">
        <f t="shared" si="175"/>
        <v>3.4655457270374487E-2</v>
      </c>
      <c r="K214" s="3">
        <f t="shared" si="175"/>
        <v>3.4655411699352739E-2</v>
      </c>
      <c r="L214" s="3">
        <f t="shared" si="175"/>
        <v>3.4654955992431055E-2</v>
      </c>
      <c r="M214" s="3">
        <f t="shared" si="175"/>
        <v>3.4650399252782793E-2</v>
      </c>
      <c r="N214" s="3">
        <f t="shared" si="175"/>
        <v>3.4604864797124685E-2</v>
      </c>
      <c r="O214" s="3">
        <f t="shared" si="175"/>
        <v>3.4152798352164983E-2</v>
      </c>
      <c r="P214" s="3">
        <f t="shared" si="175"/>
        <v>2.9944541353719097E-2</v>
      </c>
      <c r="Q214" s="3">
        <f t="shared" si="175"/>
        <v>8.0395433650699132E-3</v>
      </c>
      <c r="R214" s="3">
        <f t="shared" si="175"/>
        <v>1.564474711343918E-8</v>
      </c>
      <c r="S214" s="3">
        <f t="shared" si="175"/>
        <v>1.2182606058129405E-65</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2.8039973666806783E-2</v>
      </c>
      <c r="C215" s="3">
        <f t="shared" si="176"/>
        <v>2.8039973666806748E-2</v>
      </c>
      <c r="D215" s="3">
        <f t="shared" si="176"/>
        <v>2.8039973666806415E-2</v>
      </c>
      <c r="E215" s="3">
        <f t="shared" si="176"/>
        <v>2.8039973666803091E-2</v>
      </c>
      <c r="F215" s="3">
        <f t="shared" si="176"/>
        <v>2.803997366676983E-2</v>
      </c>
      <c r="G215" s="3">
        <f t="shared" si="176"/>
        <v>2.8039973666437214E-2</v>
      </c>
      <c r="H215" s="3">
        <f t="shared" si="176"/>
        <v>2.8039973663111065E-2</v>
      </c>
      <c r="I215" s="3">
        <f t="shared" si="176"/>
        <v>2.8039973629849581E-2</v>
      </c>
      <c r="J215" s="3">
        <f t="shared" si="176"/>
        <v>2.8039973297234753E-2</v>
      </c>
      <c r="K215" s="3">
        <f t="shared" si="176"/>
        <v>2.8039969971086681E-2</v>
      </c>
      <c r="L215" s="3">
        <f t="shared" si="176"/>
        <v>2.8039936709627681E-2</v>
      </c>
      <c r="M215" s="3">
        <f t="shared" si="176"/>
        <v>2.8039604097207668E-2</v>
      </c>
      <c r="N215" s="3">
        <f t="shared" si="176"/>
        <v>2.8036278190001256E-2</v>
      </c>
      <c r="O215" s="3">
        <f t="shared" si="176"/>
        <v>2.8003040807786553E-2</v>
      </c>
      <c r="P215" s="3">
        <f t="shared" si="176"/>
        <v>2.7672826481031955E-2</v>
      </c>
      <c r="Q215" s="3">
        <f t="shared" si="176"/>
        <v>2.457744801399828E-2</v>
      </c>
      <c r="R215" s="3">
        <f t="shared" si="176"/>
        <v>7.5053240600400726E-3</v>
      </c>
      <c r="S215" s="3">
        <f t="shared" si="176"/>
        <v>5.2929290662895545E-8</v>
      </c>
      <c r="T215" s="3">
        <f t="shared" si="176"/>
        <v>1.6105059178235172E-59</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2.6812375730219603E-2</v>
      </c>
      <c r="C216" s="3">
        <f t="shared" si="177"/>
        <v>2.6812375730219599E-2</v>
      </c>
      <c r="D216" s="3">
        <f t="shared" si="177"/>
        <v>2.6812375730219572E-2</v>
      </c>
      <c r="E216" s="3">
        <f t="shared" si="177"/>
        <v>2.6812375730219284E-2</v>
      </c>
      <c r="F216" s="3">
        <f t="shared" si="177"/>
        <v>2.6812375730216415E-2</v>
      </c>
      <c r="G216" s="3">
        <f t="shared" si="177"/>
        <v>2.6812375730187726E-2</v>
      </c>
      <c r="H216" s="3">
        <f t="shared" si="177"/>
        <v>2.6812375729900813E-2</v>
      </c>
      <c r="I216" s="3">
        <f t="shared" si="177"/>
        <v>2.6812375727031712E-2</v>
      </c>
      <c r="J216" s="3">
        <f t="shared" si="177"/>
        <v>2.6812375698340701E-2</v>
      </c>
      <c r="K216" s="3">
        <f t="shared" si="177"/>
        <v>2.6812375411430563E-2</v>
      </c>
      <c r="L216" s="3">
        <f t="shared" si="177"/>
        <v>2.6812372542329356E-2</v>
      </c>
      <c r="M216" s="3">
        <f t="shared" si="177"/>
        <v>2.6812343851334176E-2</v>
      </c>
      <c r="N216" s="3">
        <f t="shared" si="177"/>
        <v>2.6812056943070952E-2</v>
      </c>
      <c r="O216" s="3">
        <f t="shared" si="177"/>
        <v>2.6809188029288302E-2</v>
      </c>
      <c r="P216" s="3">
        <f t="shared" si="177"/>
        <v>2.6780515769740314E-2</v>
      </c>
      <c r="Q216" s="3">
        <f t="shared" si="177"/>
        <v>2.649547433866932E-2</v>
      </c>
      <c r="R216" s="3">
        <f t="shared" si="177"/>
        <v>2.3806706582998865E-2</v>
      </c>
      <c r="S216" s="3">
        <f t="shared" si="177"/>
        <v>8.1653634996253516E-3</v>
      </c>
      <c r="T216" s="3">
        <f t="shared" si="177"/>
        <v>1.8396599809165472E-7</v>
      </c>
      <c r="U216" s="3">
        <f t="shared" si="177"/>
        <v>6.1995182127744417E-54</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2.7632018567144069E-2</v>
      </c>
      <c r="C217" s="3">
        <f t="shared" si="178"/>
        <v>2.7632018567144069E-2</v>
      </c>
      <c r="D217" s="3">
        <f t="shared" si="178"/>
        <v>2.7632018567144066E-2</v>
      </c>
      <c r="E217" s="3">
        <f t="shared" si="178"/>
        <v>2.7632018567144038E-2</v>
      </c>
      <c r="F217" s="3">
        <f t="shared" si="178"/>
        <v>2.7632018567143771E-2</v>
      </c>
      <c r="G217" s="3">
        <f t="shared" si="178"/>
        <v>2.7632018567141106E-2</v>
      </c>
      <c r="H217" s="3">
        <f t="shared" si="178"/>
        <v>2.7632018567114433E-2</v>
      </c>
      <c r="I217" s="3">
        <f t="shared" si="178"/>
        <v>2.7632018566847705E-2</v>
      </c>
      <c r="J217" s="3">
        <f t="shared" si="178"/>
        <v>2.7632018564180415E-2</v>
      </c>
      <c r="K217" s="3">
        <f t="shared" si="178"/>
        <v>2.7632018537507543E-2</v>
      </c>
      <c r="L217" s="3">
        <f t="shared" si="178"/>
        <v>2.763201827077881E-2</v>
      </c>
      <c r="M217" s="3">
        <f t="shared" si="178"/>
        <v>2.7632015603491634E-2</v>
      </c>
      <c r="N217" s="3">
        <f t="shared" si="178"/>
        <v>2.7631988930634017E-2</v>
      </c>
      <c r="O217" s="3">
        <f t="shared" si="178"/>
        <v>2.7631722203473961E-2</v>
      </c>
      <c r="P217" s="3">
        <f t="shared" si="178"/>
        <v>2.762905507347637E-2</v>
      </c>
      <c r="Q217" s="3">
        <f t="shared" si="178"/>
        <v>2.7602397928744117E-2</v>
      </c>
      <c r="R217" s="3">
        <f t="shared" si="178"/>
        <v>2.7337236963174538E-2</v>
      </c>
      <c r="S217" s="3">
        <f t="shared" si="178"/>
        <v>2.4821765294512844E-2</v>
      </c>
      <c r="T217" s="3">
        <f t="shared" si="178"/>
        <v>9.4539464781919925E-3</v>
      </c>
      <c r="U217" s="3">
        <f t="shared" si="178"/>
        <v>6.0732042117713942E-7</v>
      </c>
      <c r="V217" s="3">
        <f t="shared" si="178"/>
        <v>7.2688438097775751E-49</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2.5920837907154132E-2</v>
      </c>
      <c r="C218" s="3">
        <f t="shared" si="179"/>
        <v>2.5920837907154132E-2</v>
      </c>
      <c r="D218" s="3">
        <f t="shared" si="179"/>
        <v>2.5920837907154132E-2</v>
      </c>
      <c r="E218" s="3">
        <f t="shared" si="179"/>
        <v>2.5920837907154128E-2</v>
      </c>
      <c r="F218" s="3">
        <f t="shared" si="179"/>
        <v>2.5920837907154107E-2</v>
      </c>
      <c r="G218" s="3">
        <f t="shared" si="179"/>
        <v>2.5920837907153882E-2</v>
      </c>
      <c r="H218" s="3">
        <f t="shared" si="179"/>
        <v>2.5920837907151627E-2</v>
      </c>
      <c r="I218" s="3">
        <f t="shared" si="179"/>
        <v>2.5920837907129051E-2</v>
      </c>
      <c r="J218" s="3">
        <f t="shared" si="179"/>
        <v>2.5920837906903339E-2</v>
      </c>
      <c r="K218" s="3">
        <f t="shared" si="179"/>
        <v>2.5920837904646232E-2</v>
      </c>
      <c r="L218" s="3">
        <f t="shared" si="179"/>
        <v>2.5920837882075127E-2</v>
      </c>
      <c r="M218" s="3">
        <f t="shared" si="179"/>
        <v>2.592083765636408E-2</v>
      </c>
      <c r="N218" s="3">
        <f t="shared" si="179"/>
        <v>2.5920835399253717E-2</v>
      </c>
      <c r="O218" s="3">
        <f t="shared" si="179"/>
        <v>2.5920812828160892E-2</v>
      </c>
      <c r="P218" s="3">
        <f t="shared" si="179"/>
        <v>2.5920587118313618E-2</v>
      </c>
      <c r="Q218" s="3">
        <f t="shared" si="179"/>
        <v>2.5918330127935419E-2</v>
      </c>
      <c r="R218" s="3">
        <f t="shared" si="179"/>
        <v>2.5895771030125234E-2</v>
      </c>
      <c r="S218" s="3">
        <f t="shared" si="179"/>
        <v>2.5671257175772264E-2</v>
      </c>
      <c r="T218" s="3">
        <f t="shared" si="179"/>
        <v>2.3530440029232162E-2</v>
      </c>
      <c r="U218" s="3">
        <f t="shared" si="179"/>
        <v>9.8505200894979314E-3</v>
      </c>
      <c r="V218" s="3">
        <f t="shared" si="179"/>
        <v>1.628359470020017E-6</v>
      </c>
      <c r="W218" s="3">
        <f t="shared" si="179"/>
        <v>2.481198533738334E-44</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2.7391939908773026E-2</v>
      </c>
      <c r="C219" s="3">
        <f t="shared" si="180"/>
        <v>2.7391939908773026E-2</v>
      </c>
      <c r="D219" s="3">
        <f t="shared" si="180"/>
        <v>2.7391939908773026E-2</v>
      </c>
      <c r="E219" s="3">
        <f t="shared" si="180"/>
        <v>2.7391939908773026E-2</v>
      </c>
      <c r="F219" s="3">
        <f t="shared" si="180"/>
        <v>2.7391939908773023E-2</v>
      </c>
      <c r="G219" s="3">
        <f t="shared" si="180"/>
        <v>2.7391939908773002E-2</v>
      </c>
      <c r="H219" s="3">
        <f t="shared" si="180"/>
        <v>2.7391939908772787E-2</v>
      </c>
      <c r="I219" s="3">
        <f t="shared" si="180"/>
        <v>2.7391939908770636E-2</v>
      </c>
      <c r="J219" s="3">
        <f t="shared" si="180"/>
        <v>2.7391939908749122E-2</v>
      </c>
      <c r="K219" s="3">
        <f t="shared" si="180"/>
        <v>2.7391939908533953E-2</v>
      </c>
      <c r="L219" s="3">
        <f t="shared" si="180"/>
        <v>2.7391939906382296E-2</v>
      </c>
      <c r="M219" s="3">
        <f t="shared" si="180"/>
        <v>2.7391939884865719E-2</v>
      </c>
      <c r="N219" s="3">
        <f t="shared" si="180"/>
        <v>2.7391939669699963E-2</v>
      </c>
      <c r="O219" s="3">
        <f t="shared" si="180"/>
        <v>2.7391937518042458E-2</v>
      </c>
      <c r="P219" s="3">
        <f t="shared" si="180"/>
        <v>2.7391916001476738E-2</v>
      </c>
      <c r="Q219" s="3">
        <f t="shared" si="180"/>
        <v>2.7391700836749095E-2</v>
      </c>
      <c r="R219" s="3">
        <f t="shared" si="180"/>
        <v>2.7389549282427577E-2</v>
      </c>
      <c r="S219" s="3">
        <f t="shared" si="180"/>
        <v>2.7368043031999464E-2</v>
      </c>
      <c r="T219" s="3">
        <f t="shared" si="180"/>
        <v>2.7153907111255843E-2</v>
      </c>
      <c r="U219" s="3">
        <f t="shared" si="180"/>
        <v>2.5102568905751708E-2</v>
      </c>
      <c r="V219" s="3">
        <f t="shared" si="180"/>
        <v>1.1443966198962485E-2</v>
      </c>
      <c r="W219" s="3">
        <f t="shared" si="180"/>
        <v>4.4377266916080217E-6</v>
      </c>
      <c r="X219" s="3">
        <f t="shared" si="180"/>
        <v>3.4119322887489204E-40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3.256547684040112E-2</v>
      </c>
      <c r="C220" s="3">
        <f t="shared" si="181"/>
        <v>3.256547684040112E-2</v>
      </c>
      <c r="D220" s="3">
        <f t="shared" si="181"/>
        <v>3.256547684040112E-2</v>
      </c>
      <c r="E220" s="3">
        <f t="shared" si="181"/>
        <v>3.256547684040112E-2</v>
      </c>
      <c r="F220" s="3">
        <f t="shared" si="181"/>
        <v>3.256547684040112E-2</v>
      </c>
      <c r="G220" s="3">
        <f t="shared" si="181"/>
        <v>3.2565476840401113E-2</v>
      </c>
      <c r="H220" s="3">
        <f t="shared" si="181"/>
        <v>3.2565476840401092E-2</v>
      </c>
      <c r="I220" s="3">
        <f t="shared" si="181"/>
        <v>3.2565476840400863E-2</v>
      </c>
      <c r="J220" s="3">
        <f t="shared" si="181"/>
        <v>3.2565476840398559E-2</v>
      </c>
      <c r="K220" s="3">
        <f t="shared" si="181"/>
        <v>3.256547684037548E-2</v>
      </c>
      <c r="L220" s="3">
        <f t="shared" si="181"/>
        <v>3.2565476840144721E-2</v>
      </c>
      <c r="M220" s="3">
        <f t="shared" si="181"/>
        <v>3.2565476837837157E-2</v>
      </c>
      <c r="N220" s="3">
        <f t="shared" si="181"/>
        <v>3.2565476814761483E-2</v>
      </c>
      <c r="O220" s="3">
        <f t="shared" si="181"/>
        <v>3.2565476584004736E-2</v>
      </c>
      <c r="P220" s="3">
        <f t="shared" si="181"/>
        <v>3.2565474276437377E-2</v>
      </c>
      <c r="Q220" s="3">
        <f t="shared" si="181"/>
        <v>3.2565451200772824E-2</v>
      </c>
      <c r="R220" s="3">
        <f t="shared" si="181"/>
        <v>3.2565220445026542E-2</v>
      </c>
      <c r="S220" s="3">
        <f t="shared" si="181"/>
        <v>3.25629129774931E-2</v>
      </c>
      <c r="T220" s="3">
        <f t="shared" si="181"/>
        <v>3.2539847292735312E-2</v>
      </c>
      <c r="U220" s="3">
        <f t="shared" si="181"/>
        <v>3.2310087150144065E-2</v>
      </c>
      <c r="V220" s="3">
        <f t="shared" si="181"/>
        <v>3.0099849143041549E-2</v>
      </c>
      <c r="W220" s="3">
        <f t="shared" si="181"/>
        <v>1.4819249643886215E-2</v>
      </c>
      <c r="X220" s="3">
        <f t="shared" si="181"/>
        <v>1.2400670455159803E-5</v>
      </c>
      <c r="Y220" s="3">
        <f t="shared" si="181"/>
        <v>2.0875394349487782E-36</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3.4198379990015168E-2</v>
      </c>
      <c r="C221" s="3">
        <f t="shared" si="182"/>
        <v>3.4198379990015168E-2</v>
      </c>
      <c r="D221" s="3">
        <f t="shared" si="182"/>
        <v>3.4198379990015168E-2</v>
      </c>
      <c r="E221" s="3">
        <f t="shared" si="182"/>
        <v>3.4198379990015168E-2</v>
      </c>
      <c r="F221" s="3">
        <f t="shared" si="182"/>
        <v>3.4198379990015168E-2</v>
      </c>
      <c r="G221" s="3">
        <f t="shared" si="182"/>
        <v>3.4198379990015168E-2</v>
      </c>
      <c r="H221" s="3">
        <f t="shared" si="182"/>
        <v>3.4198379990015161E-2</v>
      </c>
      <c r="I221" s="3">
        <f t="shared" si="182"/>
        <v>3.4198379990015147E-2</v>
      </c>
      <c r="J221" s="3">
        <f t="shared" si="182"/>
        <v>3.4198379990014925E-2</v>
      </c>
      <c r="K221" s="3">
        <f t="shared" si="182"/>
        <v>3.4198379990012739E-2</v>
      </c>
      <c r="L221" s="3">
        <f t="shared" si="182"/>
        <v>3.4198379989990882E-2</v>
      </c>
      <c r="M221" s="3">
        <f t="shared" si="182"/>
        <v>3.4198379989772279E-2</v>
      </c>
      <c r="N221" s="3">
        <f t="shared" si="182"/>
        <v>3.4198379987586285E-2</v>
      </c>
      <c r="O221" s="3">
        <f t="shared" si="182"/>
        <v>3.419837996572634E-2</v>
      </c>
      <c r="P221" s="3">
        <f t="shared" si="182"/>
        <v>3.4198379747126882E-2</v>
      </c>
      <c r="Q221" s="3">
        <f t="shared" si="182"/>
        <v>3.4198377561132351E-2</v>
      </c>
      <c r="R221" s="3">
        <f t="shared" si="182"/>
        <v>3.419835570119472E-2</v>
      </c>
      <c r="S221" s="3">
        <f t="shared" si="182"/>
        <v>3.4198137102586984E-2</v>
      </c>
      <c r="T221" s="3">
        <f t="shared" si="182"/>
        <v>3.4195951193359622E-2</v>
      </c>
      <c r="U221" s="3">
        <f t="shared" si="182"/>
        <v>3.41740997842696E-2</v>
      </c>
      <c r="V221" s="3">
        <f t="shared" si="182"/>
        <v>3.3956352197699199E-2</v>
      </c>
      <c r="W221" s="3">
        <f t="shared" si="182"/>
        <v>3.1853744502445373E-2</v>
      </c>
      <c r="X221" s="3">
        <f t="shared" si="182"/>
        <v>1.6809512576103743E-2</v>
      </c>
      <c r="Y221" s="3">
        <f t="shared" si="182"/>
        <v>2.8151491021667098E-5</v>
      </c>
      <c r="Z221" s="3">
        <f t="shared" si="182"/>
        <v>4.8861209842865207E-33</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4.2864410475860253E-2</v>
      </c>
      <c r="C222" s="3">
        <f t="shared" si="183"/>
        <v>4.2864410475860253E-2</v>
      </c>
      <c r="D222" s="3">
        <f t="shared" si="183"/>
        <v>4.2864410475860253E-2</v>
      </c>
      <c r="E222" s="3">
        <f t="shared" si="183"/>
        <v>4.2864410475860253E-2</v>
      </c>
      <c r="F222" s="3">
        <f t="shared" si="183"/>
        <v>4.2864410475860253E-2</v>
      </c>
      <c r="G222" s="3">
        <f t="shared" si="183"/>
        <v>4.2864410475860253E-2</v>
      </c>
      <c r="H222" s="3">
        <f t="shared" si="183"/>
        <v>4.2864410475860253E-2</v>
      </c>
      <c r="I222" s="3">
        <f t="shared" si="183"/>
        <v>4.2864410475860246E-2</v>
      </c>
      <c r="J222" s="3">
        <f t="shared" si="183"/>
        <v>4.2864410475860225E-2</v>
      </c>
      <c r="K222" s="3">
        <f t="shared" si="183"/>
        <v>4.2864410475859975E-2</v>
      </c>
      <c r="L222" s="3">
        <f t="shared" si="183"/>
        <v>4.2864410475857505E-2</v>
      </c>
      <c r="M222" s="3">
        <f t="shared" si="183"/>
        <v>4.2864410475832788E-2</v>
      </c>
      <c r="N222" s="3">
        <f t="shared" si="183"/>
        <v>4.2864410475585625E-2</v>
      </c>
      <c r="O222" s="3">
        <f t="shared" si="183"/>
        <v>4.2864410473113977E-2</v>
      </c>
      <c r="P222" s="3">
        <f t="shared" si="183"/>
        <v>4.2864410448397477E-2</v>
      </c>
      <c r="Q222" s="3">
        <f t="shared" si="183"/>
        <v>4.2864410201232453E-2</v>
      </c>
      <c r="R222" s="3">
        <f t="shared" si="183"/>
        <v>4.2864407729582388E-2</v>
      </c>
      <c r="S222" s="3">
        <f t="shared" si="183"/>
        <v>4.2864383013089473E-2</v>
      </c>
      <c r="T222" s="3">
        <f t="shared" si="183"/>
        <v>4.2864135848944274E-2</v>
      </c>
      <c r="U222" s="3">
        <f t="shared" si="183"/>
        <v>4.2861664285876629E-2</v>
      </c>
      <c r="V222" s="3">
        <f t="shared" si="183"/>
        <v>4.2836956491966331E-2</v>
      </c>
      <c r="W222" s="3">
        <f t="shared" si="183"/>
        <v>4.2590660560084058E-2</v>
      </c>
      <c r="X222" s="3">
        <f t="shared" si="183"/>
        <v>4.0204258974817685E-2</v>
      </c>
      <c r="Y222" s="3">
        <f t="shared" si="183"/>
        <v>2.2586499164122094E-2</v>
      </c>
      <c r="Z222" s="3">
        <f t="shared" si="183"/>
        <v>7.0732257988402817E-5</v>
      </c>
      <c r="AA222" s="3">
        <f t="shared" si="183"/>
        <v>6.4165787200255489E-30</v>
      </c>
      <c r="AB222" s="3">
        <f t="shared" si="183"/>
        <v>2.4219410610953204E-280</v>
      </c>
      <c r="AC222" s="3">
        <f t="shared" si="183"/>
        <v>0</v>
      </c>
      <c r="AD222" s="3">
        <f t="shared" si="183"/>
        <v>0</v>
      </c>
      <c r="AE222" s="3">
        <f t="shared" si="183"/>
        <v>0</v>
      </c>
      <c r="AF222" s="3">
        <f t="shared" si="183"/>
        <v>0</v>
      </c>
      <c r="AG222" s="3"/>
      <c r="AH222" s="3"/>
    </row>
    <row r="223" spans="1:34" x14ac:dyDescent="0.25">
      <c r="B223" s="3">
        <f t="shared" ref="B223:AF223" si="184">$C31*EXP(-B$207/$A31/EXP(-$D$126))</f>
        <v>4.3714566142705795E-2</v>
      </c>
      <c r="C223" s="3">
        <f t="shared" si="184"/>
        <v>4.3714566142705795E-2</v>
      </c>
      <c r="D223" s="3">
        <f t="shared" si="184"/>
        <v>4.3714566142705795E-2</v>
      </c>
      <c r="E223" s="3">
        <f t="shared" si="184"/>
        <v>4.3714566142705795E-2</v>
      </c>
      <c r="F223" s="3">
        <f t="shared" si="184"/>
        <v>4.3714566142705795E-2</v>
      </c>
      <c r="G223" s="3">
        <f t="shared" si="184"/>
        <v>4.3714566142705795E-2</v>
      </c>
      <c r="H223" s="3">
        <f t="shared" si="184"/>
        <v>4.3714566142705795E-2</v>
      </c>
      <c r="I223" s="3">
        <f t="shared" si="184"/>
        <v>4.3714566142705795E-2</v>
      </c>
      <c r="J223" s="3">
        <f t="shared" si="184"/>
        <v>4.3714566142705788E-2</v>
      </c>
      <c r="K223" s="3">
        <f t="shared" si="184"/>
        <v>4.3714566142705774E-2</v>
      </c>
      <c r="L223" s="3">
        <f t="shared" si="184"/>
        <v>4.3714566142705545E-2</v>
      </c>
      <c r="M223" s="3">
        <f t="shared" si="184"/>
        <v>4.3714566142703269E-2</v>
      </c>
      <c r="N223" s="3">
        <f t="shared" si="184"/>
        <v>4.371456614268053E-2</v>
      </c>
      <c r="O223" s="3">
        <f t="shared" si="184"/>
        <v>4.3714566142453143E-2</v>
      </c>
      <c r="P223" s="3">
        <f t="shared" si="184"/>
        <v>4.3714566140179288E-2</v>
      </c>
      <c r="Q223" s="3">
        <f t="shared" si="184"/>
        <v>4.3714566117440734E-2</v>
      </c>
      <c r="R223" s="3">
        <f t="shared" si="184"/>
        <v>4.3714565890055158E-2</v>
      </c>
      <c r="S223" s="3">
        <f t="shared" si="184"/>
        <v>4.3714563616199485E-2</v>
      </c>
      <c r="T223" s="3">
        <f t="shared" si="184"/>
        <v>4.371454087764929E-2</v>
      </c>
      <c r="U223" s="3">
        <f t="shared" si="184"/>
        <v>4.3714313492797849E-2</v>
      </c>
      <c r="V223" s="3">
        <f t="shared" si="184"/>
        <v>4.3712039709334294E-2</v>
      </c>
      <c r="W223" s="3">
        <f t="shared" si="184"/>
        <v>4.3689308378533014E-2</v>
      </c>
      <c r="X223" s="3">
        <f t="shared" si="184"/>
        <v>4.3462644203966491E-2</v>
      </c>
      <c r="Y223" s="3">
        <f t="shared" si="184"/>
        <v>4.1259683678531472E-2</v>
      </c>
      <c r="Z223" s="3">
        <f t="shared" si="184"/>
        <v>2.4525811646908559E-2</v>
      </c>
      <c r="AA223" s="3">
        <f t="shared" si="184"/>
        <v>1.3508226505437029E-4</v>
      </c>
      <c r="AB223" s="3">
        <f t="shared" si="184"/>
        <v>3.4701463438512399E-27</v>
      </c>
      <c r="AC223" s="3">
        <f t="shared" si="184"/>
        <v>4.3435252574009802E-253</v>
      </c>
      <c r="AD223" s="3">
        <f t="shared" si="184"/>
        <v>0</v>
      </c>
      <c r="AE223" s="3">
        <f t="shared" si="184"/>
        <v>0</v>
      </c>
      <c r="AF223" s="3">
        <f t="shared" si="184"/>
        <v>0</v>
      </c>
      <c r="AG223" s="3"/>
      <c r="AH223" s="3"/>
    </row>
    <row r="224" spans="1:34" x14ac:dyDescent="0.25">
      <c r="B224" s="3">
        <f t="shared" ref="B224:AF224" si="185">$C32*EXP(-B$207/$A32/EXP(-$D$126))</f>
        <v>7.7757179566671539E-2</v>
      </c>
      <c r="C224" s="3">
        <f t="shared" si="185"/>
        <v>7.7757179566671539E-2</v>
      </c>
      <c r="D224" s="3">
        <f t="shared" si="185"/>
        <v>7.7757179566671539E-2</v>
      </c>
      <c r="E224" s="3">
        <f t="shared" si="185"/>
        <v>7.7757179566671539E-2</v>
      </c>
      <c r="F224" s="3">
        <f t="shared" si="185"/>
        <v>7.7757179566671539E-2</v>
      </c>
      <c r="G224" s="3">
        <f t="shared" si="185"/>
        <v>7.7757179566671539E-2</v>
      </c>
      <c r="H224" s="3">
        <f t="shared" si="185"/>
        <v>7.7757179566671539E-2</v>
      </c>
      <c r="I224" s="3">
        <f t="shared" si="185"/>
        <v>7.7757179566671539E-2</v>
      </c>
      <c r="J224" s="3">
        <f t="shared" si="185"/>
        <v>7.7757179566671539E-2</v>
      </c>
      <c r="K224" s="3">
        <f t="shared" si="185"/>
        <v>7.7757179566671539E-2</v>
      </c>
      <c r="L224" s="3">
        <f t="shared" si="185"/>
        <v>7.7757179566671497E-2</v>
      </c>
      <c r="M224" s="3">
        <f t="shared" si="185"/>
        <v>7.7757179566671136E-2</v>
      </c>
      <c r="N224" s="3">
        <f t="shared" si="185"/>
        <v>7.7757179566667486E-2</v>
      </c>
      <c r="O224" s="3">
        <f t="shared" si="185"/>
        <v>7.7757179566631002E-2</v>
      </c>
      <c r="P224" s="3">
        <f t="shared" si="185"/>
        <v>7.7757179566266141E-2</v>
      </c>
      <c r="Q224" s="3">
        <f t="shared" si="185"/>
        <v>7.7757179562617559E-2</v>
      </c>
      <c r="R224" s="3">
        <f t="shared" si="185"/>
        <v>7.7757179526131759E-2</v>
      </c>
      <c r="S224" s="3">
        <f t="shared" si="185"/>
        <v>7.7757179161273809E-2</v>
      </c>
      <c r="T224" s="3">
        <f t="shared" si="185"/>
        <v>7.7757175512694302E-2</v>
      </c>
      <c r="U224" s="3">
        <f t="shared" si="185"/>
        <v>7.7757139026908673E-2</v>
      </c>
      <c r="V224" s="3">
        <f t="shared" si="185"/>
        <v>7.7756774169994047E-2</v>
      </c>
      <c r="W224" s="3">
        <f t="shared" si="185"/>
        <v>7.7753125695006739E-2</v>
      </c>
      <c r="X224" s="3">
        <f t="shared" si="185"/>
        <v>7.7716650359391001E-2</v>
      </c>
      <c r="Y224" s="3">
        <f t="shared" si="185"/>
        <v>7.7352836796576105E-2</v>
      </c>
      <c r="Z224" s="3">
        <f t="shared" si="185"/>
        <v>7.3807069164943576E-2</v>
      </c>
      <c r="AA224" s="3">
        <f t="shared" si="185"/>
        <v>4.616524098136137E-2</v>
      </c>
      <c r="AB224" s="3">
        <f t="shared" si="185"/>
        <v>4.2314242931430751E-4</v>
      </c>
      <c r="AC224" s="3">
        <f t="shared" si="185"/>
        <v>1.7709294356095754E-24</v>
      </c>
      <c r="AD224" s="3">
        <f t="shared" si="185"/>
        <v>2.9197661714693294E-228</v>
      </c>
      <c r="AE224" s="3">
        <f t="shared" si="185"/>
        <v>0</v>
      </c>
      <c r="AF224" s="3">
        <f t="shared" si="185"/>
        <v>0</v>
      </c>
      <c r="AG224" s="3"/>
      <c r="AH224" s="3"/>
    </row>
    <row r="225" spans="2:34" x14ac:dyDescent="0.25">
      <c r="B225" s="3">
        <f t="shared" ref="B225:AF225" si="186">$C33*EXP(-B$207/$A33/EXP(-$D$126))</f>
        <v>9.5507274749383017E-2</v>
      </c>
      <c r="C225" s="3">
        <f t="shared" si="186"/>
        <v>9.5507274749383017E-2</v>
      </c>
      <c r="D225" s="3">
        <f t="shared" si="186"/>
        <v>9.5507274749383017E-2</v>
      </c>
      <c r="E225" s="3">
        <f t="shared" si="186"/>
        <v>9.5507274749383017E-2</v>
      </c>
      <c r="F225" s="3">
        <f t="shared" si="186"/>
        <v>9.5507274749383017E-2</v>
      </c>
      <c r="G225" s="3">
        <f t="shared" si="186"/>
        <v>9.5507274749383017E-2</v>
      </c>
      <c r="H225" s="3">
        <f t="shared" si="186"/>
        <v>9.5507274749383017E-2</v>
      </c>
      <c r="I225" s="3">
        <f t="shared" si="186"/>
        <v>9.5507274749383017E-2</v>
      </c>
      <c r="J225" s="3">
        <f t="shared" si="186"/>
        <v>9.5507274749383017E-2</v>
      </c>
      <c r="K225" s="3">
        <f t="shared" si="186"/>
        <v>9.5507274749383017E-2</v>
      </c>
      <c r="L225" s="3">
        <f t="shared" si="186"/>
        <v>9.5507274749383017E-2</v>
      </c>
      <c r="M225" s="3">
        <f t="shared" si="186"/>
        <v>9.5507274749382975E-2</v>
      </c>
      <c r="N225" s="3">
        <f t="shared" si="186"/>
        <v>9.5507274749382573E-2</v>
      </c>
      <c r="O225" s="3">
        <f t="shared" si="186"/>
        <v>9.5507274749378521E-2</v>
      </c>
      <c r="P225" s="3">
        <f t="shared" si="186"/>
        <v>9.5507274749338095E-2</v>
      </c>
      <c r="Q225" s="3">
        <f t="shared" si="186"/>
        <v>9.5507274748933835E-2</v>
      </c>
      <c r="R225" s="3">
        <f t="shared" si="186"/>
        <v>9.550727474489118E-2</v>
      </c>
      <c r="S225" s="3">
        <f t="shared" si="186"/>
        <v>9.5507274704464656E-2</v>
      </c>
      <c r="T225" s="3">
        <f t="shared" si="186"/>
        <v>9.5507274300199452E-2</v>
      </c>
      <c r="U225" s="3">
        <f t="shared" si="186"/>
        <v>9.5507270257547433E-2</v>
      </c>
      <c r="V225" s="3">
        <f t="shared" si="186"/>
        <v>9.5507229831036669E-2</v>
      </c>
      <c r="W225" s="3">
        <f t="shared" si="186"/>
        <v>9.5506825566870207E-2</v>
      </c>
      <c r="X225" s="3">
        <f t="shared" si="186"/>
        <v>9.5502783019318957E-2</v>
      </c>
      <c r="Y225" s="3">
        <f t="shared" si="186"/>
        <v>9.5462366953671746E-2</v>
      </c>
      <c r="Z225" s="3">
        <f t="shared" si="186"/>
        <v>9.505914581167714E-2</v>
      </c>
      <c r="AA225" s="3">
        <f t="shared" si="186"/>
        <v>9.11194309357551E-2</v>
      </c>
      <c r="AB225" s="3">
        <f t="shared" si="186"/>
        <v>5.9673555109474669E-2</v>
      </c>
      <c r="AC225" s="3">
        <f t="shared" si="186"/>
        <v>8.6594646846632642E-4</v>
      </c>
      <c r="AD225" s="3">
        <f t="shared" si="186"/>
        <v>3.5857695768364178E-22</v>
      </c>
      <c r="AE225" s="3">
        <f t="shared" si="186"/>
        <v>5.3149074420334758E-206</v>
      </c>
      <c r="AF225" s="3">
        <f t="shared" si="186"/>
        <v>0</v>
      </c>
      <c r="AG225" s="3"/>
      <c r="AH225" s="3"/>
    </row>
    <row r="226" spans="2:34" x14ac:dyDescent="0.25">
      <c r="B226" s="3">
        <f t="shared" ref="B226:AF226" si="187">$C34*EXP(-B$207/$A34/EXP(-$D$126))</f>
        <v>8.003075559639232E-2</v>
      </c>
      <c r="C226" s="3">
        <f t="shared" si="187"/>
        <v>8.003075559639232E-2</v>
      </c>
      <c r="D226" s="3">
        <f t="shared" si="187"/>
        <v>8.003075559639232E-2</v>
      </c>
      <c r="E226" s="3">
        <f t="shared" si="187"/>
        <v>8.003075559639232E-2</v>
      </c>
      <c r="F226" s="3">
        <f t="shared" si="187"/>
        <v>8.003075559639232E-2</v>
      </c>
      <c r="G226" s="3">
        <f t="shared" si="187"/>
        <v>8.003075559639232E-2</v>
      </c>
      <c r="H226" s="3">
        <f t="shared" si="187"/>
        <v>8.003075559639232E-2</v>
      </c>
      <c r="I226" s="3">
        <f t="shared" si="187"/>
        <v>8.003075559639232E-2</v>
      </c>
      <c r="J226" s="3">
        <f t="shared" si="187"/>
        <v>8.003075559639232E-2</v>
      </c>
      <c r="K226" s="3">
        <f t="shared" si="187"/>
        <v>8.003075559639232E-2</v>
      </c>
      <c r="L226" s="3">
        <f t="shared" si="187"/>
        <v>8.003075559639232E-2</v>
      </c>
      <c r="M226" s="3">
        <f t="shared" si="187"/>
        <v>8.003075559639232E-2</v>
      </c>
      <c r="N226" s="3">
        <f t="shared" si="187"/>
        <v>8.0030755596392278E-2</v>
      </c>
      <c r="O226" s="3">
        <f t="shared" si="187"/>
        <v>8.0030755596391986E-2</v>
      </c>
      <c r="P226" s="3">
        <f t="shared" si="187"/>
        <v>8.0030755596388919E-2</v>
      </c>
      <c r="Q226" s="3">
        <f t="shared" si="187"/>
        <v>8.0030755596358374E-2</v>
      </c>
      <c r="R226" s="3">
        <f t="shared" si="187"/>
        <v>8.0030755596052786E-2</v>
      </c>
      <c r="S226" s="3">
        <f t="shared" si="187"/>
        <v>8.0030755592996924E-2</v>
      </c>
      <c r="T226" s="3">
        <f t="shared" si="187"/>
        <v>8.0030755562438327E-2</v>
      </c>
      <c r="U226" s="3">
        <f t="shared" si="187"/>
        <v>8.003075525685234E-2</v>
      </c>
      <c r="V226" s="3">
        <f t="shared" si="187"/>
        <v>8.0030752200992608E-2</v>
      </c>
      <c r="W226" s="3">
        <f t="shared" si="187"/>
        <v>8.0030721642401673E-2</v>
      </c>
      <c r="X226" s="3">
        <f t="shared" si="187"/>
        <v>8.0030416057134041E-2</v>
      </c>
      <c r="Y226" s="3">
        <f t="shared" si="187"/>
        <v>8.0027360268632663E-2</v>
      </c>
      <c r="Z226" s="3">
        <f t="shared" si="187"/>
        <v>7.9996808800211303E-2</v>
      </c>
      <c r="AA226" s="3">
        <f t="shared" si="187"/>
        <v>7.9691934869632039E-2</v>
      </c>
      <c r="AB226" s="3">
        <f t="shared" si="187"/>
        <v>7.670637484710173E-2</v>
      </c>
      <c r="AC226" s="3">
        <f t="shared" si="187"/>
        <v>5.2360324467770079E-2</v>
      </c>
      <c r="AD226" s="3">
        <f t="shared" si="187"/>
        <v>1.1500349429881557E-3</v>
      </c>
      <c r="AE226" s="3">
        <f t="shared" si="187"/>
        <v>3.0046791804260093E-20</v>
      </c>
      <c r="AF226" s="3">
        <f t="shared" si="187"/>
        <v>4.4531653630287351E-186</v>
      </c>
      <c r="AG226" s="3"/>
      <c r="AH226" s="3"/>
    </row>
    <row r="227" spans="2:34" x14ac:dyDescent="0.25">
      <c r="B227" s="3">
        <f t="shared" ref="B227:AF227" si="188">$C35*EXP(-B$207/$A35/EXP(-$D$126))</f>
        <v>5.3976889971713508E-2</v>
      </c>
      <c r="C227" s="3">
        <f t="shared" si="188"/>
        <v>5.3976889971713508E-2</v>
      </c>
      <c r="D227" s="3">
        <f t="shared" si="188"/>
        <v>5.3976889971713508E-2</v>
      </c>
      <c r="E227" s="3">
        <f t="shared" si="188"/>
        <v>5.3976889971713508E-2</v>
      </c>
      <c r="F227" s="3">
        <f t="shared" si="188"/>
        <v>5.3976889971713508E-2</v>
      </c>
      <c r="G227" s="3">
        <f t="shared" si="188"/>
        <v>5.3976889971713508E-2</v>
      </c>
      <c r="H227" s="3">
        <f t="shared" si="188"/>
        <v>5.3976889971713508E-2</v>
      </c>
      <c r="I227" s="3">
        <f t="shared" si="188"/>
        <v>5.3976889971713508E-2</v>
      </c>
      <c r="J227" s="3">
        <f t="shared" si="188"/>
        <v>5.3976889971713508E-2</v>
      </c>
      <c r="K227" s="3">
        <f t="shared" si="188"/>
        <v>5.3976889971713508E-2</v>
      </c>
      <c r="L227" s="3">
        <f t="shared" si="188"/>
        <v>5.3976889971713508E-2</v>
      </c>
      <c r="M227" s="3">
        <f t="shared" si="188"/>
        <v>5.3976889971713508E-2</v>
      </c>
      <c r="N227" s="3">
        <f t="shared" si="188"/>
        <v>5.3976889971713508E-2</v>
      </c>
      <c r="O227" s="3">
        <f t="shared" si="188"/>
        <v>5.3976889971713488E-2</v>
      </c>
      <c r="P227" s="3">
        <f t="shared" si="188"/>
        <v>5.3976889971713307E-2</v>
      </c>
      <c r="Q227" s="3">
        <f t="shared" si="188"/>
        <v>5.3976889971711441E-2</v>
      </c>
      <c r="R227" s="3">
        <f t="shared" si="188"/>
        <v>5.3976889971692851E-2</v>
      </c>
      <c r="S227" s="3">
        <f t="shared" si="188"/>
        <v>5.3976889971506931E-2</v>
      </c>
      <c r="T227" s="3">
        <f t="shared" si="188"/>
        <v>5.3976889969647709E-2</v>
      </c>
      <c r="U227" s="3">
        <f t="shared" si="188"/>
        <v>5.3976889951055498E-2</v>
      </c>
      <c r="V227" s="3">
        <f t="shared" si="188"/>
        <v>5.3976889765133422E-2</v>
      </c>
      <c r="W227" s="3">
        <f t="shared" si="188"/>
        <v>5.3976887905912714E-2</v>
      </c>
      <c r="X227" s="3">
        <f t="shared" si="188"/>
        <v>5.3976869313709118E-2</v>
      </c>
      <c r="Y227" s="3">
        <f t="shared" si="188"/>
        <v>5.3976683392025403E-2</v>
      </c>
      <c r="Z227" s="3">
        <f t="shared" si="188"/>
        <v>5.3974824210409965E-2</v>
      </c>
      <c r="AA227" s="3">
        <f t="shared" si="188"/>
        <v>5.3956235915979048E-2</v>
      </c>
      <c r="AB227" s="3">
        <f t="shared" si="188"/>
        <v>5.3770704695600802E-2</v>
      </c>
      <c r="AC227" s="3">
        <f t="shared" si="188"/>
        <v>5.1950120728292172E-2</v>
      </c>
      <c r="AD227" s="3">
        <f t="shared" si="188"/>
        <v>3.6812464294230525E-2</v>
      </c>
      <c r="AE227" s="3">
        <f t="shared" si="188"/>
        <v>1.1751090966260929E-3</v>
      </c>
      <c r="AF227" s="3">
        <f t="shared" si="188"/>
        <v>1.2909551702295521E-18</v>
      </c>
      <c r="AG227" s="3"/>
      <c r="AH227" s="3"/>
    </row>
    <row r="228" spans="2:34" x14ac:dyDescent="0.25">
      <c r="B228" s="3">
        <f t="shared" ref="B228:AF228" si="189">$C36*EXP(-B$207/$A36/EXP(-$D$126))</f>
        <v>2.9623895965477303E-2</v>
      </c>
      <c r="C228" s="3">
        <f t="shared" si="189"/>
        <v>2.9623895965477303E-2</v>
      </c>
      <c r="D228" s="3">
        <f t="shared" si="189"/>
        <v>2.9623895965477303E-2</v>
      </c>
      <c r="E228" s="3">
        <f t="shared" si="189"/>
        <v>2.9623895965477303E-2</v>
      </c>
      <c r="F228" s="3">
        <f t="shared" si="189"/>
        <v>2.9623895965477303E-2</v>
      </c>
      <c r="G228" s="3">
        <f t="shared" si="189"/>
        <v>2.9623895965477303E-2</v>
      </c>
      <c r="H228" s="3">
        <f t="shared" si="189"/>
        <v>2.9623895965477303E-2</v>
      </c>
      <c r="I228" s="3">
        <f t="shared" si="189"/>
        <v>2.9623895965477303E-2</v>
      </c>
      <c r="J228" s="3">
        <f t="shared" si="189"/>
        <v>2.9623895965477303E-2</v>
      </c>
      <c r="K228" s="3">
        <f t="shared" si="189"/>
        <v>2.9623895965477303E-2</v>
      </c>
      <c r="L228" s="3">
        <f t="shared" si="189"/>
        <v>2.9623895965477303E-2</v>
      </c>
      <c r="M228" s="3">
        <f t="shared" si="189"/>
        <v>2.9623895965477303E-2</v>
      </c>
      <c r="N228" s="3">
        <f t="shared" si="189"/>
        <v>2.9623895965477303E-2</v>
      </c>
      <c r="O228" s="3">
        <f t="shared" si="189"/>
        <v>2.9623895965477303E-2</v>
      </c>
      <c r="P228" s="3">
        <f t="shared" si="189"/>
        <v>2.9623895965477293E-2</v>
      </c>
      <c r="Q228" s="3">
        <f t="shared" si="189"/>
        <v>2.9623895965477202E-2</v>
      </c>
      <c r="R228" s="3">
        <f t="shared" si="189"/>
        <v>2.962389596547628E-2</v>
      </c>
      <c r="S228" s="3">
        <f t="shared" si="189"/>
        <v>2.9623895965467075E-2</v>
      </c>
      <c r="T228" s="3">
        <f t="shared" si="189"/>
        <v>2.9623895965375027E-2</v>
      </c>
      <c r="U228" s="3">
        <f t="shared" si="189"/>
        <v>2.9623895964454552E-2</v>
      </c>
      <c r="V228" s="3">
        <f t="shared" si="189"/>
        <v>2.9623895955249807E-2</v>
      </c>
      <c r="W228" s="3">
        <f t="shared" si="189"/>
        <v>2.9623895863202333E-2</v>
      </c>
      <c r="X228" s="3">
        <f t="shared" si="189"/>
        <v>2.9623894942727633E-2</v>
      </c>
      <c r="Y228" s="3">
        <f t="shared" si="189"/>
        <v>2.9623885737982195E-2</v>
      </c>
      <c r="Z228" s="3">
        <f t="shared" si="189"/>
        <v>2.9623793690685123E-2</v>
      </c>
      <c r="AA228" s="3">
        <f t="shared" si="189"/>
        <v>2.9622873233444744E-2</v>
      </c>
      <c r="AB228" s="3">
        <f t="shared" si="189"/>
        <v>2.9613670233896276E-2</v>
      </c>
      <c r="AC228" s="3">
        <f t="shared" si="189"/>
        <v>2.9521797343265876E-2</v>
      </c>
      <c r="AD228" s="3">
        <f t="shared" si="189"/>
        <v>2.8618599795742987E-2</v>
      </c>
      <c r="AE228" s="3">
        <f t="shared" si="189"/>
        <v>2.0975110144722725E-2</v>
      </c>
      <c r="AF228" s="3">
        <f t="shared" si="189"/>
        <v>9.3812980923240158E-4</v>
      </c>
      <c r="AG228" s="3"/>
      <c r="AH228" s="3"/>
    </row>
    <row r="229" spans="2:34" x14ac:dyDescent="0.25">
      <c r="B229" s="3">
        <f t="shared" ref="B229:AF229" si="190">$C37*EXP(-B$207/$A37/EXP(-$D$126))</f>
        <v>1.5005107194779805E-2</v>
      </c>
      <c r="C229" s="3">
        <f t="shared" si="190"/>
        <v>1.5005107194779805E-2</v>
      </c>
      <c r="D229" s="3">
        <f t="shared" si="190"/>
        <v>1.5005107194779805E-2</v>
      </c>
      <c r="E229" s="3">
        <f t="shared" si="190"/>
        <v>1.5005107194779805E-2</v>
      </c>
      <c r="F229" s="3">
        <f t="shared" si="190"/>
        <v>1.5005107194779805E-2</v>
      </c>
      <c r="G229" s="3">
        <f t="shared" si="190"/>
        <v>1.5005107194779805E-2</v>
      </c>
      <c r="H229" s="3">
        <f t="shared" si="190"/>
        <v>1.5005107194779805E-2</v>
      </c>
      <c r="I229" s="3">
        <f t="shared" si="190"/>
        <v>1.5005107194779805E-2</v>
      </c>
      <c r="J229" s="3">
        <f t="shared" si="190"/>
        <v>1.5005107194779805E-2</v>
      </c>
      <c r="K229" s="3">
        <f t="shared" si="190"/>
        <v>1.5005107194779805E-2</v>
      </c>
      <c r="L229" s="3">
        <f t="shared" si="190"/>
        <v>1.5005107194779805E-2</v>
      </c>
      <c r="M229" s="3">
        <f t="shared" si="190"/>
        <v>1.5005107194779805E-2</v>
      </c>
      <c r="N229" s="3">
        <f t="shared" si="190"/>
        <v>1.5005107194779805E-2</v>
      </c>
      <c r="O229" s="3">
        <f t="shared" si="190"/>
        <v>1.5005107194779805E-2</v>
      </c>
      <c r="P229" s="3">
        <f t="shared" si="190"/>
        <v>1.5005107194779805E-2</v>
      </c>
      <c r="Q229" s="3">
        <f t="shared" si="190"/>
        <v>1.50051071947798E-2</v>
      </c>
      <c r="R229" s="3">
        <f t="shared" si="190"/>
        <v>1.5005107194779758E-2</v>
      </c>
      <c r="S229" s="3">
        <f t="shared" si="190"/>
        <v>1.5005107194779337E-2</v>
      </c>
      <c r="T229" s="3">
        <f t="shared" si="190"/>
        <v>1.5005107194775132E-2</v>
      </c>
      <c r="U229" s="3">
        <f t="shared" si="190"/>
        <v>1.5005107194733074E-2</v>
      </c>
      <c r="V229" s="3">
        <f t="shared" si="190"/>
        <v>1.5005107194312486E-2</v>
      </c>
      <c r="W229" s="3">
        <f t="shared" si="190"/>
        <v>1.5005107190106622E-2</v>
      </c>
      <c r="X229" s="3">
        <f t="shared" si="190"/>
        <v>1.5005107148047966E-2</v>
      </c>
      <c r="Y229" s="3">
        <f t="shared" si="190"/>
        <v>1.500510672746142E-2</v>
      </c>
      <c r="Z229" s="3">
        <f t="shared" si="190"/>
        <v>1.50051025215966E-2</v>
      </c>
      <c r="AA229" s="3">
        <f t="shared" si="190"/>
        <v>1.5005060463013255E-2</v>
      </c>
      <c r="AB229" s="3">
        <f t="shared" si="190"/>
        <v>1.5004639883663601E-2</v>
      </c>
      <c r="AC229" s="3">
        <f t="shared" si="190"/>
        <v>1.500043473847943E-2</v>
      </c>
      <c r="AD229" s="3">
        <f t="shared" si="190"/>
        <v>1.4958448050689578E-2</v>
      </c>
      <c r="AE229" s="3">
        <f t="shared" si="190"/>
        <v>1.4544990912192381E-2</v>
      </c>
      <c r="AF229" s="3">
        <f t="shared" si="190"/>
        <v>1.0989618628931434E-2</v>
      </c>
      <c r="AG229" s="3"/>
      <c r="AH229" s="3"/>
    </row>
    <row r="230" spans="2:34" x14ac:dyDescent="0.25">
      <c r="B230" s="3">
        <f t="shared" ref="B230:AF230" si="191">$C38*EXP(-B$207/$A38/EXP(-$D$126))</f>
        <v>4.0905508263932881E-3</v>
      </c>
      <c r="C230" s="3">
        <f t="shared" si="191"/>
        <v>4.0905508263932881E-3</v>
      </c>
      <c r="D230" s="3">
        <f t="shared" si="191"/>
        <v>4.0905508263932881E-3</v>
      </c>
      <c r="E230" s="3">
        <f t="shared" si="191"/>
        <v>4.0905508263932881E-3</v>
      </c>
      <c r="F230" s="3">
        <f t="shared" si="191"/>
        <v>4.0905508263932881E-3</v>
      </c>
      <c r="G230" s="3">
        <f t="shared" si="191"/>
        <v>4.0905508263932881E-3</v>
      </c>
      <c r="H230" s="3">
        <f t="shared" si="191"/>
        <v>4.0905508263932881E-3</v>
      </c>
      <c r="I230" s="3">
        <f t="shared" si="191"/>
        <v>4.0905508263932881E-3</v>
      </c>
      <c r="J230" s="3">
        <f t="shared" si="191"/>
        <v>4.0905508263932881E-3</v>
      </c>
      <c r="K230" s="3">
        <f t="shared" si="191"/>
        <v>4.0905508263932881E-3</v>
      </c>
      <c r="L230" s="3">
        <f t="shared" si="191"/>
        <v>4.0905508263932881E-3</v>
      </c>
      <c r="M230" s="3">
        <f t="shared" si="191"/>
        <v>4.0905508263932881E-3</v>
      </c>
      <c r="N230" s="3">
        <f t="shared" si="191"/>
        <v>4.0905508263932881E-3</v>
      </c>
      <c r="O230" s="3">
        <f t="shared" si="191"/>
        <v>4.0905508263932881E-3</v>
      </c>
      <c r="P230" s="3">
        <f t="shared" si="191"/>
        <v>4.0905508263932881E-3</v>
      </c>
      <c r="Q230" s="3">
        <f t="shared" si="191"/>
        <v>4.0905508263932881E-3</v>
      </c>
      <c r="R230" s="3">
        <f t="shared" si="191"/>
        <v>4.0905508263932864E-3</v>
      </c>
      <c r="S230" s="3">
        <f t="shared" si="191"/>
        <v>4.0905508263932768E-3</v>
      </c>
      <c r="T230" s="3">
        <f t="shared" si="191"/>
        <v>4.0905508263931736E-3</v>
      </c>
      <c r="U230" s="3">
        <f t="shared" si="191"/>
        <v>4.0905508263921388E-3</v>
      </c>
      <c r="V230" s="3">
        <f t="shared" si="191"/>
        <v>4.0905508263817964E-3</v>
      </c>
      <c r="W230" s="3">
        <f t="shared" si="191"/>
        <v>4.0905508262783661E-3</v>
      </c>
      <c r="X230" s="3">
        <f t="shared" si="191"/>
        <v>4.0905508252440711E-3</v>
      </c>
      <c r="Y230" s="3">
        <f t="shared" si="191"/>
        <v>4.0905508149011154E-3</v>
      </c>
      <c r="Z230" s="3">
        <f t="shared" si="191"/>
        <v>4.0905507114715588E-3</v>
      </c>
      <c r="AA230" s="3">
        <f t="shared" si="191"/>
        <v>4.0905496771761456E-3</v>
      </c>
      <c r="AB230" s="3">
        <f t="shared" si="191"/>
        <v>4.090539334236391E-3</v>
      </c>
      <c r="AC230" s="3">
        <f t="shared" si="191"/>
        <v>4.0904359062771973E-3</v>
      </c>
      <c r="AD230" s="3">
        <f t="shared" si="191"/>
        <v>4.0894017705071818E-3</v>
      </c>
      <c r="AE230" s="3">
        <f t="shared" si="191"/>
        <v>4.0790747815530153E-3</v>
      </c>
      <c r="AF230" s="3">
        <f t="shared" si="191"/>
        <v>3.9772284144379833E-3</v>
      </c>
      <c r="AG230" s="3"/>
      <c r="AH230" s="3"/>
    </row>
    <row r="231" spans="2:34" x14ac:dyDescent="0.25">
      <c r="B231" s="3">
        <f t="shared" ref="B231:AF231" si="192">$C39*EXP(-B$207/$A39/EXP(-$D$126))</f>
        <v>4.6207327982835155E-3</v>
      </c>
      <c r="C231" s="3">
        <f t="shared" si="192"/>
        <v>4.6207327982835155E-3</v>
      </c>
      <c r="D231" s="3">
        <f t="shared" si="192"/>
        <v>4.6207327982835155E-3</v>
      </c>
      <c r="E231" s="3">
        <f t="shared" si="192"/>
        <v>4.6207327982835155E-3</v>
      </c>
      <c r="F231" s="3">
        <f t="shared" si="192"/>
        <v>4.6207327982835155E-3</v>
      </c>
      <c r="G231" s="3">
        <f t="shared" si="192"/>
        <v>4.6207327982835155E-3</v>
      </c>
      <c r="H231" s="3">
        <f t="shared" si="192"/>
        <v>4.6207327982835155E-3</v>
      </c>
      <c r="I231" s="3">
        <f t="shared" si="192"/>
        <v>4.6207327982835155E-3</v>
      </c>
      <c r="J231" s="3">
        <f t="shared" si="192"/>
        <v>4.6207327982835155E-3</v>
      </c>
      <c r="K231" s="3">
        <f t="shared" si="192"/>
        <v>4.6207327982835155E-3</v>
      </c>
      <c r="L231" s="3">
        <f t="shared" si="192"/>
        <v>4.6207327982835155E-3</v>
      </c>
      <c r="M231" s="3">
        <f t="shared" si="192"/>
        <v>4.6207327982835155E-3</v>
      </c>
      <c r="N231" s="3">
        <f t="shared" si="192"/>
        <v>4.6207327982835155E-3</v>
      </c>
      <c r="O231" s="3">
        <f t="shared" si="192"/>
        <v>4.6207327982835155E-3</v>
      </c>
      <c r="P231" s="3">
        <f t="shared" si="192"/>
        <v>4.6207327982835155E-3</v>
      </c>
      <c r="Q231" s="3">
        <f t="shared" si="192"/>
        <v>4.6207327982835155E-3</v>
      </c>
      <c r="R231" s="3">
        <f t="shared" si="192"/>
        <v>4.6207327982835146E-3</v>
      </c>
      <c r="S231" s="3">
        <f t="shared" si="192"/>
        <v>4.620732798283512E-3</v>
      </c>
      <c r="T231" s="3">
        <f t="shared" si="192"/>
        <v>4.6207327982834799E-3</v>
      </c>
      <c r="U231" s="3">
        <f t="shared" si="192"/>
        <v>4.6207327982831564E-3</v>
      </c>
      <c r="V231" s="3">
        <f t="shared" si="192"/>
        <v>4.6207327982799246E-3</v>
      </c>
      <c r="W231" s="3">
        <f t="shared" si="192"/>
        <v>4.620732798247611E-3</v>
      </c>
      <c r="X231" s="3">
        <f t="shared" si="192"/>
        <v>4.6207327979244745E-3</v>
      </c>
      <c r="Y231" s="3">
        <f t="shared" si="192"/>
        <v>4.6207327946931045E-3</v>
      </c>
      <c r="Z231" s="3">
        <f t="shared" si="192"/>
        <v>4.6207327623794129E-3</v>
      </c>
      <c r="AA231" s="3">
        <f t="shared" si="192"/>
        <v>4.6207324392424998E-3</v>
      </c>
      <c r="AB231" s="3">
        <f t="shared" si="192"/>
        <v>4.6207292078746147E-3</v>
      </c>
      <c r="AC231" s="3">
        <f t="shared" si="192"/>
        <v>4.6206968943200517E-3</v>
      </c>
      <c r="AD231" s="3">
        <f t="shared" si="192"/>
        <v>4.6203737712027428E-3</v>
      </c>
      <c r="AE231" s="3">
        <f t="shared" si="192"/>
        <v>4.6171437825404272E-3</v>
      </c>
      <c r="AF231" s="3">
        <f t="shared" si="192"/>
        <v>4.5849678260972589E-3</v>
      </c>
      <c r="AG231" s="3"/>
      <c r="AH231" s="3"/>
    </row>
    <row r="232" spans="2:34" x14ac:dyDescent="0.25">
      <c r="B232" s="3">
        <f t="shared" ref="B232:AF232" si="193">$C40*EXP(-B$207/$A40/EXP(-$D$126))</f>
        <v>2.0598839061917876E-3</v>
      </c>
      <c r="C232" s="3">
        <f t="shared" si="193"/>
        <v>2.0598839061917876E-3</v>
      </c>
      <c r="D232" s="3">
        <f t="shared" si="193"/>
        <v>2.0598839061917876E-3</v>
      </c>
      <c r="E232" s="3">
        <f t="shared" si="193"/>
        <v>2.0598839061917876E-3</v>
      </c>
      <c r="F232" s="3">
        <f t="shared" si="193"/>
        <v>2.0598839061917876E-3</v>
      </c>
      <c r="G232" s="3">
        <f t="shared" si="193"/>
        <v>2.0598839061917876E-3</v>
      </c>
      <c r="H232" s="3">
        <f t="shared" si="193"/>
        <v>2.0598839061917876E-3</v>
      </c>
      <c r="I232" s="3">
        <f t="shared" si="193"/>
        <v>2.0598839061917876E-3</v>
      </c>
      <c r="J232" s="3">
        <f t="shared" si="193"/>
        <v>2.0598839061917876E-3</v>
      </c>
      <c r="K232" s="3">
        <f t="shared" si="193"/>
        <v>2.0598839061917876E-3</v>
      </c>
      <c r="L232" s="3">
        <f t="shared" si="193"/>
        <v>2.0598839061917876E-3</v>
      </c>
      <c r="M232" s="3">
        <f t="shared" si="193"/>
        <v>2.0598839061917876E-3</v>
      </c>
      <c r="N232" s="3">
        <f t="shared" si="193"/>
        <v>2.0598839061917876E-3</v>
      </c>
      <c r="O232" s="3">
        <f t="shared" si="193"/>
        <v>2.0598839061917876E-3</v>
      </c>
      <c r="P232" s="3">
        <f t="shared" si="193"/>
        <v>2.0598839061917876E-3</v>
      </c>
      <c r="Q232" s="3">
        <f t="shared" si="193"/>
        <v>2.0598839061917876E-3</v>
      </c>
      <c r="R232" s="3">
        <f t="shared" si="193"/>
        <v>2.0598839061917876E-3</v>
      </c>
      <c r="S232" s="3">
        <f t="shared" si="193"/>
        <v>2.0598839061917872E-3</v>
      </c>
      <c r="T232" s="3">
        <f t="shared" si="193"/>
        <v>2.0598839061917859E-3</v>
      </c>
      <c r="U232" s="3">
        <f t="shared" si="193"/>
        <v>2.0598839061917716E-3</v>
      </c>
      <c r="V232" s="3">
        <f t="shared" si="193"/>
        <v>2.0598839061916276E-3</v>
      </c>
      <c r="W232" s="3">
        <f t="shared" si="193"/>
        <v>2.0598839061901869E-3</v>
      </c>
      <c r="X232" s="3">
        <f t="shared" si="193"/>
        <v>2.0598839061757817E-3</v>
      </c>
      <c r="Y232" s="3">
        <f t="shared" si="193"/>
        <v>2.0598839060317303E-3</v>
      </c>
      <c r="Z232" s="3">
        <f t="shared" si="193"/>
        <v>2.0598839045912129E-3</v>
      </c>
      <c r="AA232" s="3">
        <f t="shared" si="193"/>
        <v>2.0598838901860397E-3</v>
      </c>
      <c r="AB232" s="3">
        <f t="shared" si="193"/>
        <v>2.0598837461343156E-3</v>
      </c>
      <c r="AC232" s="3">
        <f t="shared" si="193"/>
        <v>2.0598823056176292E-3</v>
      </c>
      <c r="AD232" s="3">
        <f t="shared" si="193"/>
        <v>2.0598679005061665E-3</v>
      </c>
      <c r="AE232" s="3">
        <f t="shared" si="193"/>
        <v>2.0597238549319866E-3</v>
      </c>
      <c r="AF232" s="3">
        <f t="shared" si="193"/>
        <v>2.0582839530910581E-3</v>
      </c>
      <c r="AG232" s="3"/>
      <c r="AH232" s="3"/>
    </row>
    <row r="233" spans="2:34" x14ac:dyDescent="0.25">
      <c r="B233" s="3">
        <f t="shared" ref="B233:AF233" si="194">$C41*EXP(-B$207/$A41/EXP(-$D$126))</f>
        <v>2.0793314772124174E-3</v>
      </c>
      <c r="C233" s="3">
        <f t="shared" si="194"/>
        <v>2.0793314772124174E-3</v>
      </c>
      <c r="D233" s="3">
        <f t="shared" si="194"/>
        <v>2.0793314772124174E-3</v>
      </c>
      <c r="E233" s="3">
        <f t="shared" si="194"/>
        <v>2.0793314772124174E-3</v>
      </c>
      <c r="F233" s="3">
        <f t="shared" si="194"/>
        <v>2.0793314772124174E-3</v>
      </c>
      <c r="G233" s="3">
        <f t="shared" si="194"/>
        <v>2.0793314772124174E-3</v>
      </c>
      <c r="H233" s="3">
        <f t="shared" si="194"/>
        <v>2.0793314772124174E-3</v>
      </c>
      <c r="I233" s="3">
        <f t="shared" si="194"/>
        <v>2.0793314772124174E-3</v>
      </c>
      <c r="J233" s="3">
        <f t="shared" si="194"/>
        <v>2.0793314772124174E-3</v>
      </c>
      <c r="K233" s="3">
        <f t="shared" si="194"/>
        <v>2.0793314772124174E-3</v>
      </c>
      <c r="L233" s="3">
        <f t="shared" si="194"/>
        <v>2.0793314772124174E-3</v>
      </c>
      <c r="M233" s="3">
        <f t="shared" si="194"/>
        <v>2.0793314772124174E-3</v>
      </c>
      <c r="N233" s="3">
        <f t="shared" si="194"/>
        <v>2.0793314772124174E-3</v>
      </c>
      <c r="O233" s="3">
        <f t="shared" si="194"/>
        <v>2.0793314772124174E-3</v>
      </c>
      <c r="P233" s="3">
        <f t="shared" si="194"/>
        <v>2.0793314772124174E-3</v>
      </c>
      <c r="Q233" s="3">
        <f t="shared" si="194"/>
        <v>2.0793314772124174E-3</v>
      </c>
      <c r="R233" s="3">
        <f t="shared" si="194"/>
        <v>2.0793314772124174E-3</v>
      </c>
      <c r="S233" s="3">
        <f t="shared" si="194"/>
        <v>2.0793314772124174E-3</v>
      </c>
      <c r="T233" s="3">
        <f t="shared" si="194"/>
        <v>2.079331477212417E-3</v>
      </c>
      <c r="U233" s="3">
        <f t="shared" si="194"/>
        <v>2.0793314772124157E-3</v>
      </c>
      <c r="V233" s="3">
        <f t="shared" si="194"/>
        <v>2.0793314772124013E-3</v>
      </c>
      <c r="W233" s="3">
        <f t="shared" si="194"/>
        <v>2.0793314772122556E-3</v>
      </c>
      <c r="X233" s="3">
        <f t="shared" si="194"/>
        <v>2.0793314772108015E-3</v>
      </c>
      <c r="Y233" s="3">
        <f t="shared" si="194"/>
        <v>2.0793314771962606E-3</v>
      </c>
      <c r="Z233" s="3">
        <f t="shared" si="194"/>
        <v>2.0793314770508487E-3</v>
      </c>
      <c r="AA233" s="3">
        <f t="shared" si="194"/>
        <v>2.0793314755967315E-3</v>
      </c>
      <c r="AB233" s="3">
        <f t="shared" si="194"/>
        <v>2.0793314610555577E-3</v>
      </c>
      <c r="AC233" s="3">
        <f t="shared" si="194"/>
        <v>2.0793313156438268E-3</v>
      </c>
      <c r="AD233" s="3">
        <f t="shared" si="194"/>
        <v>2.0793298615270771E-3</v>
      </c>
      <c r="AE233" s="3">
        <f t="shared" si="194"/>
        <v>2.0793153204155096E-3</v>
      </c>
      <c r="AF233" s="3">
        <f t="shared" si="194"/>
        <v>2.0791699148925836E-3</v>
      </c>
      <c r="AG233" s="3"/>
      <c r="AH233" s="3"/>
    </row>
    <row r="234" spans="2:34" x14ac:dyDescent="0.25">
      <c r="B234" s="3">
        <f t="shared" ref="B234:AF234" si="195">$C42*EXP(-B$207/$A42/EXP(-$D$126))</f>
        <v>0</v>
      </c>
      <c r="C234" s="3">
        <f t="shared" si="195"/>
        <v>0</v>
      </c>
      <c r="D234" s="3">
        <f t="shared" si="195"/>
        <v>0</v>
      </c>
      <c r="E234" s="3">
        <f t="shared" si="195"/>
        <v>0</v>
      </c>
      <c r="F234" s="3">
        <f t="shared" si="195"/>
        <v>0</v>
      </c>
      <c r="G234" s="3">
        <f t="shared" si="195"/>
        <v>0</v>
      </c>
      <c r="H234" s="3">
        <f t="shared" si="195"/>
        <v>0</v>
      </c>
      <c r="I234" s="3">
        <f t="shared" si="195"/>
        <v>0</v>
      </c>
      <c r="J234" s="3">
        <f t="shared" si="195"/>
        <v>0</v>
      </c>
      <c r="K234" s="3">
        <f t="shared" si="195"/>
        <v>0</v>
      </c>
      <c r="L234" s="3">
        <f t="shared" si="195"/>
        <v>0</v>
      </c>
      <c r="M234" s="3">
        <f t="shared" si="195"/>
        <v>0</v>
      </c>
      <c r="N234" s="3">
        <f t="shared" si="195"/>
        <v>0</v>
      </c>
      <c r="O234" s="3">
        <f t="shared" si="195"/>
        <v>0</v>
      </c>
      <c r="P234" s="3">
        <f t="shared" si="195"/>
        <v>0</v>
      </c>
      <c r="Q234" s="3">
        <f t="shared" si="195"/>
        <v>0</v>
      </c>
      <c r="R234" s="3">
        <f t="shared" si="195"/>
        <v>0</v>
      </c>
      <c r="S234" s="3">
        <f t="shared" si="195"/>
        <v>0</v>
      </c>
      <c r="T234" s="3">
        <f t="shared" si="195"/>
        <v>0</v>
      </c>
      <c r="U234" s="3">
        <f t="shared" si="195"/>
        <v>0</v>
      </c>
      <c r="V234" s="3">
        <f t="shared" si="195"/>
        <v>0</v>
      </c>
      <c r="W234" s="3">
        <f t="shared" si="195"/>
        <v>0</v>
      </c>
      <c r="X234" s="3">
        <f t="shared" si="195"/>
        <v>0</v>
      </c>
      <c r="Y234" s="3">
        <f t="shared" si="195"/>
        <v>0</v>
      </c>
      <c r="Z234" s="3">
        <f t="shared" si="195"/>
        <v>0</v>
      </c>
      <c r="AA234" s="3">
        <f t="shared" si="195"/>
        <v>0</v>
      </c>
      <c r="AB234" s="3">
        <f t="shared" si="195"/>
        <v>0</v>
      </c>
      <c r="AC234" s="3">
        <f t="shared" si="195"/>
        <v>0</v>
      </c>
      <c r="AD234" s="3">
        <f t="shared" si="195"/>
        <v>0</v>
      </c>
      <c r="AE234" s="3">
        <f t="shared" si="195"/>
        <v>0</v>
      </c>
      <c r="AF234" s="3">
        <f t="shared" si="195"/>
        <v>0</v>
      </c>
      <c r="AG234" s="3"/>
      <c r="AH234" s="3"/>
    </row>
    <row r="235" spans="2:34" x14ac:dyDescent="0.25">
      <c r="B235" s="3">
        <f t="shared" ref="B235:AF235" si="196">$C43*EXP(-B$207/$A43/EXP(-$D$126))</f>
        <v>2.538048611821601E-3</v>
      </c>
      <c r="C235" s="3">
        <f t="shared" si="196"/>
        <v>2.538048611821601E-3</v>
      </c>
      <c r="D235" s="3">
        <f t="shared" si="196"/>
        <v>2.538048611821601E-3</v>
      </c>
      <c r="E235" s="3">
        <f t="shared" si="196"/>
        <v>2.538048611821601E-3</v>
      </c>
      <c r="F235" s="3">
        <f t="shared" si="196"/>
        <v>2.538048611821601E-3</v>
      </c>
      <c r="G235" s="3">
        <f t="shared" si="196"/>
        <v>2.538048611821601E-3</v>
      </c>
      <c r="H235" s="3">
        <f t="shared" si="196"/>
        <v>2.538048611821601E-3</v>
      </c>
      <c r="I235" s="3">
        <f t="shared" si="196"/>
        <v>2.538048611821601E-3</v>
      </c>
      <c r="J235" s="3">
        <f t="shared" si="196"/>
        <v>2.538048611821601E-3</v>
      </c>
      <c r="K235" s="3">
        <f t="shared" si="196"/>
        <v>2.538048611821601E-3</v>
      </c>
      <c r="L235" s="3">
        <f t="shared" si="196"/>
        <v>2.538048611821601E-3</v>
      </c>
      <c r="M235" s="3">
        <f t="shared" si="196"/>
        <v>2.538048611821601E-3</v>
      </c>
      <c r="N235" s="3">
        <f t="shared" si="196"/>
        <v>2.538048611821601E-3</v>
      </c>
      <c r="O235" s="3">
        <f t="shared" si="196"/>
        <v>2.538048611821601E-3</v>
      </c>
      <c r="P235" s="3">
        <f t="shared" si="196"/>
        <v>2.538048611821601E-3</v>
      </c>
      <c r="Q235" s="3">
        <f t="shared" si="196"/>
        <v>2.538048611821601E-3</v>
      </c>
      <c r="R235" s="3">
        <f t="shared" si="196"/>
        <v>2.538048611821601E-3</v>
      </c>
      <c r="S235" s="3">
        <f t="shared" si="196"/>
        <v>2.538048611821601E-3</v>
      </c>
      <c r="T235" s="3">
        <f t="shared" si="196"/>
        <v>2.538048611821601E-3</v>
      </c>
      <c r="U235" s="3">
        <f t="shared" si="196"/>
        <v>2.538048611821601E-3</v>
      </c>
      <c r="V235" s="3">
        <f t="shared" si="196"/>
        <v>2.5380486118216005E-3</v>
      </c>
      <c r="W235" s="3">
        <f t="shared" si="196"/>
        <v>2.5380486118215988E-3</v>
      </c>
      <c r="X235" s="3">
        <f t="shared" si="196"/>
        <v>2.5380486118215815E-3</v>
      </c>
      <c r="Y235" s="3">
        <f t="shared" si="196"/>
        <v>2.5380486118214036E-3</v>
      </c>
      <c r="Z235" s="3">
        <f t="shared" si="196"/>
        <v>2.5380486118196286E-3</v>
      </c>
      <c r="AA235" s="3">
        <f t="shared" si="196"/>
        <v>2.5380486118018798E-3</v>
      </c>
      <c r="AB235" s="3">
        <f t="shared" si="196"/>
        <v>2.5380486116243889E-3</v>
      </c>
      <c r="AC235" s="3">
        <f t="shared" si="196"/>
        <v>2.5380486098494815E-3</v>
      </c>
      <c r="AD235" s="3">
        <f t="shared" si="196"/>
        <v>2.5380485921004088E-3</v>
      </c>
      <c r="AE235" s="3">
        <f t="shared" si="196"/>
        <v>2.5380484146096884E-3</v>
      </c>
      <c r="AF235" s="3">
        <f t="shared" si="196"/>
        <v>2.538046639703168E-3</v>
      </c>
      <c r="AG235" s="3"/>
      <c r="AH235" s="3"/>
    </row>
    <row r="236" spans="2:34" x14ac:dyDescent="0.25">
      <c r="B236" s="3">
        <f t="shared" ref="B236:AF236" si="197">$C44*EXP(-B$207/$A44/EXP(-$D$126))</f>
        <v>1.186723127453265E-7</v>
      </c>
      <c r="C236" s="3">
        <f t="shared" si="197"/>
        <v>1.186723127453265E-7</v>
      </c>
      <c r="D236" s="3">
        <f t="shared" si="197"/>
        <v>1.186723127453265E-7</v>
      </c>
      <c r="E236" s="3">
        <f t="shared" si="197"/>
        <v>1.186723127453265E-7</v>
      </c>
      <c r="F236" s="3">
        <f t="shared" si="197"/>
        <v>1.186723127453265E-7</v>
      </c>
      <c r="G236" s="3">
        <f t="shared" si="197"/>
        <v>1.186723127453265E-7</v>
      </c>
      <c r="H236" s="3">
        <f t="shared" si="197"/>
        <v>1.186723127453265E-7</v>
      </c>
      <c r="I236" s="3">
        <f t="shared" si="197"/>
        <v>1.186723127453265E-7</v>
      </c>
      <c r="J236" s="3">
        <f t="shared" si="197"/>
        <v>1.186723127453265E-7</v>
      </c>
      <c r="K236" s="3">
        <f t="shared" si="197"/>
        <v>1.186723127453265E-7</v>
      </c>
      <c r="L236" s="3">
        <f t="shared" si="197"/>
        <v>1.186723127453265E-7</v>
      </c>
      <c r="M236" s="3">
        <f t="shared" si="197"/>
        <v>1.186723127453265E-7</v>
      </c>
      <c r="N236" s="3">
        <f t="shared" si="197"/>
        <v>1.186723127453265E-7</v>
      </c>
      <c r="O236" s="3">
        <f t="shared" si="197"/>
        <v>1.186723127453265E-7</v>
      </c>
      <c r="P236" s="3">
        <f t="shared" si="197"/>
        <v>1.186723127453265E-7</v>
      </c>
      <c r="Q236" s="3">
        <f t="shared" si="197"/>
        <v>1.186723127453265E-7</v>
      </c>
      <c r="R236" s="3">
        <f t="shared" si="197"/>
        <v>1.186723127453265E-7</v>
      </c>
      <c r="S236" s="3">
        <f t="shared" si="197"/>
        <v>1.186723127453265E-7</v>
      </c>
      <c r="T236" s="3">
        <f t="shared" si="197"/>
        <v>1.186723127453265E-7</v>
      </c>
      <c r="U236" s="3">
        <f t="shared" si="197"/>
        <v>1.186723127453265E-7</v>
      </c>
      <c r="V236" s="3">
        <f t="shared" si="197"/>
        <v>1.186723127453265E-7</v>
      </c>
      <c r="W236" s="3">
        <f t="shared" si="197"/>
        <v>1.1867231274532648E-7</v>
      </c>
      <c r="X236" s="3">
        <f t="shared" si="197"/>
        <v>1.186723127453264E-7</v>
      </c>
      <c r="Y236" s="3">
        <f t="shared" si="197"/>
        <v>1.1867231274532557E-7</v>
      </c>
      <c r="Z236" s="3">
        <f t="shared" si="197"/>
        <v>1.1867231274531727E-7</v>
      </c>
      <c r="AA236" s="3">
        <f t="shared" si="197"/>
        <v>1.1867231274523429E-7</v>
      </c>
      <c r="AB236" s="3">
        <f t="shared" si="197"/>
        <v>1.1867231274440438E-7</v>
      </c>
      <c r="AC236" s="3">
        <f t="shared" si="197"/>
        <v>1.1867231273610541E-7</v>
      </c>
      <c r="AD236" s="3">
        <f t="shared" si="197"/>
        <v>1.1867231265311551E-7</v>
      </c>
      <c r="AE236" s="3">
        <f t="shared" si="197"/>
        <v>1.1867231182321672E-7</v>
      </c>
      <c r="AF236" s="3">
        <f t="shared" si="197"/>
        <v>1.1867230352422899E-7</v>
      </c>
      <c r="AG236" s="3"/>
      <c r="AH236" s="3"/>
    </row>
    <row r="237" spans="2:34" x14ac:dyDescent="0.25">
      <c r="B237" s="3">
        <f t="shared" ref="B237:AF237" si="198">$C45*EXP(-B$207/$A45/EXP(-$D$126))</f>
        <v>1.5301760835243074E-4</v>
      </c>
      <c r="C237" s="3">
        <f t="shared" si="198"/>
        <v>1.5301760835243074E-4</v>
      </c>
      <c r="D237" s="3">
        <f t="shared" si="198"/>
        <v>1.5301760835243074E-4</v>
      </c>
      <c r="E237" s="3">
        <f t="shared" si="198"/>
        <v>1.5301760835243074E-4</v>
      </c>
      <c r="F237" s="3">
        <f t="shared" si="198"/>
        <v>1.5301760835243074E-4</v>
      </c>
      <c r="G237" s="3">
        <f t="shared" si="198"/>
        <v>1.5301760835243074E-4</v>
      </c>
      <c r="H237" s="3">
        <f t="shared" si="198"/>
        <v>1.5301760835243074E-4</v>
      </c>
      <c r="I237" s="3">
        <f t="shared" si="198"/>
        <v>1.5301760835243074E-4</v>
      </c>
      <c r="J237" s="3">
        <f t="shared" si="198"/>
        <v>1.5301760835243074E-4</v>
      </c>
      <c r="K237" s="3">
        <f t="shared" si="198"/>
        <v>1.5301760835243074E-4</v>
      </c>
      <c r="L237" s="3">
        <f t="shared" si="198"/>
        <v>1.5301760835243074E-4</v>
      </c>
      <c r="M237" s="3">
        <f t="shared" si="198"/>
        <v>1.5301760835243074E-4</v>
      </c>
      <c r="N237" s="3">
        <f t="shared" si="198"/>
        <v>1.5301760835243074E-4</v>
      </c>
      <c r="O237" s="3">
        <f t="shared" si="198"/>
        <v>1.5301760835243074E-4</v>
      </c>
      <c r="P237" s="3">
        <f t="shared" si="198"/>
        <v>1.5301760835243074E-4</v>
      </c>
      <c r="Q237" s="3">
        <f t="shared" si="198"/>
        <v>1.5301760835243074E-4</v>
      </c>
      <c r="R237" s="3">
        <f t="shared" si="198"/>
        <v>1.5301760835243074E-4</v>
      </c>
      <c r="S237" s="3">
        <f t="shared" si="198"/>
        <v>1.5301760835243074E-4</v>
      </c>
      <c r="T237" s="3">
        <f t="shared" si="198"/>
        <v>1.5301760835243074E-4</v>
      </c>
      <c r="U237" s="3">
        <f t="shared" si="198"/>
        <v>1.5301760835243074E-4</v>
      </c>
      <c r="V237" s="3">
        <f t="shared" si="198"/>
        <v>1.5301760835243074E-4</v>
      </c>
      <c r="W237" s="3">
        <f t="shared" si="198"/>
        <v>1.5301760835243074E-4</v>
      </c>
      <c r="X237" s="3">
        <f t="shared" si="198"/>
        <v>1.5301760835243072E-4</v>
      </c>
      <c r="Y237" s="3">
        <f t="shared" si="198"/>
        <v>1.5301760835243063E-4</v>
      </c>
      <c r="Z237" s="3">
        <f t="shared" si="198"/>
        <v>1.5301760835242955E-4</v>
      </c>
      <c r="AA237" s="3">
        <f t="shared" si="198"/>
        <v>1.5301760835241884E-4</v>
      </c>
      <c r="AB237" s="3">
        <f t="shared" si="198"/>
        <v>1.5301760835231183E-4</v>
      </c>
      <c r="AC237" s="3">
        <f t="shared" si="198"/>
        <v>1.5301760835124175E-4</v>
      </c>
      <c r="AD237" s="3">
        <f t="shared" si="198"/>
        <v>1.5301760834054095E-4</v>
      </c>
      <c r="AE237" s="3">
        <f t="shared" si="198"/>
        <v>1.5301760823353271E-4</v>
      </c>
      <c r="AF237" s="3">
        <f t="shared" si="198"/>
        <v>1.5301760716345051E-4</v>
      </c>
      <c r="AG237" s="3"/>
      <c r="AH237" s="3"/>
    </row>
    <row r="238" spans="2:34" x14ac:dyDescent="0.25">
      <c r="B238" s="3">
        <f t="shared" ref="B238:AF238" si="199">$C46*EXP(-B$207/$A46/EXP(-$D$126))</f>
        <v>1.8120582087099855E-4</v>
      </c>
      <c r="C238" s="3">
        <f t="shared" si="199"/>
        <v>1.8120582087099855E-4</v>
      </c>
      <c r="D238" s="3">
        <f t="shared" si="199"/>
        <v>1.8120582087099855E-4</v>
      </c>
      <c r="E238" s="3">
        <f t="shared" si="199"/>
        <v>1.8120582087099855E-4</v>
      </c>
      <c r="F238" s="3">
        <f t="shared" si="199"/>
        <v>1.8120582087099855E-4</v>
      </c>
      <c r="G238" s="3">
        <f t="shared" si="199"/>
        <v>1.8120582087099855E-4</v>
      </c>
      <c r="H238" s="3">
        <f t="shared" si="199"/>
        <v>1.8120582087099855E-4</v>
      </c>
      <c r="I238" s="3">
        <f t="shared" si="199"/>
        <v>1.8120582087099855E-4</v>
      </c>
      <c r="J238" s="3">
        <f t="shared" si="199"/>
        <v>1.8120582087099855E-4</v>
      </c>
      <c r="K238" s="3">
        <f t="shared" si="199"/>
        <v>1.8120582087099855E-4</v>
      </c>
      <c r="L238" s="3">
        <f t="shared" si="199"/>
        <v>1.8120582087099855E-4</v>
      </c>
      <c r="M238" s="3">
        <f t="shared" si="199"/>
        <v>1.8120582087099855E-4</v>
      </c>
      <c r="N238" s="3">
        <f t="shared" si="199"/>
        <v>1.8120582087099855E-4</v>
      </c>
      <c r="O238" s="3">
        <f t="shared" si="199"/>
        <v>1.8120582087099855E-4</v>
      </c>
      <c r="P238" s="3">
        <f t="shared" si="199"/>
        <v>1.8120582087099855E-4</v>
      </c>
      <c r="Q238" s="3">
        <f t="shared" si="199"/>
        <v>1.8120582087099855E-4</v>
      </c>
      <c r="R238" s="3">
        <f t="shared" si="199"/>
        <v>1.8120582087099855E-4</v>
      </c>
      <c r="S238" s="3">
        <f t="shared" si="199"/>
        <v>1.8120582087099855E-4</v>
      </c>
      <c r="T238" s="3">
        <f t="shared" si="199"/>
        <v>1.8120582087099855E-4</v>
      </c>
      <c r="U238" s="3">
        <f t="shared" si="199"/>
        <v>1.8120582087099855E-4</v>
      </c>
      <c r="V238" s="3">
        <f t="shared" si="199"/>
        <v>1.8120582087099855E-4</v>
      </c>
      <c r="W238" s="3">
        <f t="shared" si="199"/>
        <v>1.8120582087099855E-4</v>
      </c>
      <c r="X238" s="3">
        <f t="shared" si="199"/>
        <v>1.8120582087099855E-4</v>
      </c>
      <c r="Y238" s="3">
        <f t="shared" si="199"/>
        <v>1.8120582087099852E-4</v>
      </c>
      <c r="Z238" s="3">
        <f t="shared" si="199"/>
        <v>1.8120582087099841E-4</v>
      </c>
      <c r="AA238" s="3">
        <f t="shared" si="199"/>
        <v>1.8120582087099714E-4</v>
      </c>
      <c r="AB238" s="3">
        <f t="shared" si="199"/>
        <v>1.8120582087098445E-4</v>
      </c>
      <c r="AC238" s="3">
        <f t="shared" si="199"/>
        <v>1.8120582087085773E-4</v>
      </c>
      <c r="AD238" s="3">
        <f t="shared" si="199"/>
        <v>1.8120582086959055E-4</v>
      </c>
      <c r="AE238" s="3">
        <f t="shared" si="199"/>
        <v>1.8120582085691845E-4</v>
      </c>
      <c r="AF238" s="3">
        <f t="shared" si="199"/>
        <v>1.8120582073019765E-4</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0</v>
      </c>
      <c r="C240" s="3">
        <f t="shared" si="201"/>
        <v>0</v>
      </c>
      <c r="D240" s="3">
        <f t="shared" si="201"/>
        <v>0</v>
      </c>
      <c r="E240" s="3">
        <f t="shared" si="201"/>
        <v>0</v>
      </c>
      <c r="F240" s="3">
        <f t="shared" si="201"/>
        <v>0</v>
      </c>
      <c r="G240" s="3">
        <f t="shared" si="201"/>
        <v>0</v>
      </c>
      <c r="H240" s="3">
        <f t="shared" si="201"/>
        <v>0</v>
      </c>
      <c r="I240" s="3">
        <f t="shared" si="201"/>
        <v>0</v>
      </c>
      <c r="J240" s="3">
        <f t="shared" si="201"/>
        <v>0</v>
      </c>
      <c r="K240" s="3">
        <f t="shared" si="201"/>
        <v>0</v>
      </c>
      <c r="L240" s="3">
        <f t="shared" si="201"/>
        <v>0</v>
      </c>
      <c r="M240" s="3">
        <f t="shared" si="201"/>
        <v>0</v>
      </c>
      <c r="N240" s="3">
        <f t="shared" si="201"/>
        <v>0</v>
      </c>
      <c r="O240" s="3">
        <f t="shared" si="201"/>
        <v>0</v>
      </c>
      <c r="P240" s="3">
        <f t="shared" si="201"/>
        <v>0</v>
      </c>
      <c r="Q240" s="3">
        <f t="shared" si="201"/>
        <v>0</v>
      </c>
      <c r="R240" s="3">
        <f t="shared" si="201"/>
        <v>0</v>
      </c>
      <c r="S240" s="3">
        <f t="shared" si="201"/>
        <v>0</v>
      </c>
      <c r="T240" s="3">
        <f t="shared" si="201"/>
        <v>0</v>
      </c>
      <c r="U240" s="3">
        <f t="shared" si="201"/>
        <v>0</v>
      </c>
      <c r="V240" s="3">
        <f t="shared" si="201"/>
        <v>0</v>
      </c>
      <c r="W240" s="3">
        <f t="shared" si="201"/>
        <v>0</v>
      </c>
      <c r="X240" s="3">
        <f t="shared" si="201"/>
        <v>0</v>
      </c>
      <c r="Y240" s="3">
        <f t="shared" si="201"/>
        <v>0</v>
      </c>
      <c r="Z240" s="3">
        <f t="shared" si="201"/>
        <v>0</v>
      </c>
      <c r="AA240" s="3">
        <f t="shared" si="201"/>
        <v>0</v>
      </c>
      <c r="AB240" s="3">
        <f t="shared" si="201"/>
        <v>0</v>
      </c>
      <c r="AC240" s="3">
        <f t="shared" si="201"/>
        <v>0</v>
      </c>
      <c r="AD240" s="3">
        <f t="shared" si="201"/>
        <v>0</v>
      </c>
      <c r="AE240" s="3">
        <f t="shared" si="201"/>
        <v>0</v>
      </c>
      <c r="AF240" s="3">
        <f t="shared" si="201"/>
        <v>0</v>
      </c>
      <c r="AG240" s="3"/>
      <c r="AH240" s="3"/>
    </row>
    <row r="241" spans="1:34" x14ac:dyDescent="0.25">
      <c r="A241" s="79">
        <f>AVERAGE(B241:AF241)</f>
        <v>3.7653117974613404E-2</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8.8178935894531074E-2</v>
      </c>
      <c r="M241" s="80">
        <f t="shared" si="202"/>
        <v>7.5126734195914813E-2</v>
      </c>
      <c r="N241" s="80">
        <f t="shared" si="202"/>
        <v>9.2523289928689578E-2</v>
      </c>
      <c r="O241" s="80">
        <f t="shared" si="202"/>
        <v>9.3961318212884781E-2</v>
      </c>
      <c r="P241" s="80">
        <f t="shared" si="202"/>
        <v>0.10761976277661171</v>
      </c>
      <c r="Q241" s="80">
        <f t="shared" si="202"/>
        <v>0.12061847299261733</v>
      </c>
      <c r="R241" s="80">
        <f t="shared" si="202"/>
        <v>0.12126812987079627</v>
      </c>
      <c r="S241" s="80">
        <f t="shared" si="202"/>
        <v>0.10536971715449814</v>
      </c>
      <c r="T241" s="80">
        <f t="shared" si="202"/>
        <v>4.8856994941618437E-2</v>
      </c>
      <c r="U241" s="80">
        <f t="shared" si="202"/>
        <v>7.8676772820448423E-2</v>
      </c>
      <c r="V241" s="80">
        <f t="shared" si="202"/>
        <v>0.2350465284244051</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5.7725813342251997E-6</v>
      </c>
      <c r="C242" s="21">
        <f t="shared" ref="C242:AF242" si="203">(C209-C208)^2</f>
        <v>2.2094450029077194E-2</v>
      </c>
      <c r="D242" s="21">
        <f t="shared" si="203"/>
        <v>0.87747681762038221</v>
      </c>
      <c r="E242" s="21">
        <f t="shared" si="203"/>
        <v>83.568082508550916</v>
      </c>
      <c r="F242" s="21">
        <f t="shared" si="203"/>
        <v>7766.9727912478393</v>
      </c>
      <c r="G242" s="21">
        <f t="shared" si="203"/>
        <v>393142.30350188981</v>
      </c>
      <c r="H242" s="21">
        <f t="shared" si="203"/>
        <v>1080371.3852177227</v>
      </c>
      <c r="I242" s="21">
        <f t="shared" si="203"/>
        <v>841128.7238028713</v>
      </c>
      <c r="J242" s="21">
        <f t="shared" si="203"/>
        <v>648691.28844561661</v>
      </c>
      <c r="K242" s="21">
        <f t="shared" si="203"/>
        <v>461797.40324648656</v>
      </c>
      <c r="L242" s="21">
        <f t="shared" si="203"/>
        <v>306031.26407791965</v>
      </c>
      <c r="M242" s="21">
        <f t="shared" si="203"/>
        <v>211614.01700740631</v>
      </c>
      <c r="N242" s="21">
        <f t="shared" si="203"/>
        <v>303991.65907576145</v>
      </c>
      <c r="O242" s="21">
        <f t="shared" si="203"/>
        <v>295077.05684995855</v>
      </c>
      <c r="P242" s="21">
        <f t="shared" si="203"/>
        <v>365595.55137965089</v>
      </c>
      <c r="Q242" s="21">
        <f t="shared" si="203"/>
        <v>430708.91277845384</v>
      </c>
      <c r="R242" s="21">
        <f t="shared" si="203"/>
        <v>400942.26171124191</v>
      </c>
      <c r="S242" s="21">
        <f t="shared" si="203"/>
        <v>269433.8150711846</v>
      </c>
      <c r="T242" s="21">
        <f t="shared" si="203"/>
        <v>47119.713484527434</v>
      </c>
      <c r="U242" s="21">
        <f t="shared" si="203"/>
        <v>87176.211653964012</v>
      </c>
      <c r="V242" s="21">
        <f t="shared" si="203"/>
        <v>541468.66778883629</v>
      </c>
      <c r="W242" s="21">
        <f t="shared" si="203"/>
        <v>954966.93804091809</v>
      </c>
      <c r="X242" s="21">
        <f t="shared" si="203"/>
        <v>1139248.9126501644</v>
      </c>
      <c r="Y242" s="21">
        <f t="shared" si="203"/>
        <v>1090782.8682800943</v>
      </c>
      <c r="Z242" s="21">
        <f t="shared" si="203"/>
        <v>897139.39600081241</v>
      </c>
      <c r="AA242" s="21">
        <f t="shared" si="203"/>
        <v>547036.85070518008</v>
      </c>
      <c r="AB242" s="21">
        <f t="shared" si="203"/>
        <v>133145.97071353821</v>
      </c>
      <c r="AC242" s="21">
        <f t="shared" si="203"/>
        <v>1288.0357044909526</v>
      </c>
      <c r="AD242" s="21">
        <f t="shared" si="203"/>
        <v>85289.723531657146</v>
      </c>
      <c r="AE242" s="21">
        <f t="shared" si="203"/>
        <v>131980.18567576539</v>
      </c>
      <c r="AF242" s="21">
        <f t="shared" si="203"/>
        <v>87744.202121543407</v>
      </c>
      <c r="AG242" s="3"/>
      <c r="AH242" s="3"/>
    </row>
    <row r="243" spans="1:34" x14ac:dyDescent="0.25">
      <c r="A243" s="71">
        <f>SUM(B243:AF243)</f>
        <v>3259159.1308789048</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306031.26407791965</v>
      </c>
      <c r="M243" s="60">
        <f t="shared" ref="M243" si="214">IF($A$64&lt;=M207,IF($B$64&gt;=M207,ABS(M242),0),0)</f>
        <v>211614.01700740631</v>
      </c>
      <c r="N243" s="60">
        <f t="shared" ref="N243" si="215">IF($A$64&lt;=N207,IF($B$64&gt;=N207,ABS(N242),0),0)</f>
        <v>303991.65907576145</v>
      </c>
      <c r="O243" s="60">
        <f t="shared" ref="O243" si="216">IF($A$64&lt;=O207,IF($B$64&gt;=O207,ABS(O242),0),0)</f>
        <v>295077.05684995855</v>
      </c>
      <c r="P243" s="60">
        <f t="shared" ref="P243" si="217">IF($A$64&lt;=P207,IF($B$64&gt;=P207,ABS(P242),0),0)</f>
        <v>365595.55137965089</v>
      </c>
      <c r="Q243" s="60">
        <f t="shared" ref="Q243" si="218">IF($A$64&lt;=Q207,IF($B$64&gt;=Q207,ABS(Q242),0),0)</f>
        <v>430708.91277845384</v>
      </c>
      <c r="R243" s="60">
        <f t="shared" ref="R243" si="219">IF($A$64&lt;=R207,IF($B$64&gt;=R207,ABS(R242),0),0)</f>
        <v>400942.26171124191</v>
      </c>
      <c r="S243" s="60">
        <f t="shared" ref="S243" si="220">IF($A$64&lt;=S207,IF($B$64&gt;=S207,ABS(S242),0),0)</f>
        <v>269433.8150711846</v>
      </c>
      <c r="T243" s="60">
        <f t="shared" ref="T243" si="221">IF($A$64&lt;=T207,IF($B$64&gt;=T207,ABS(T242),0),0)</f>
        <v>47119.713484527434</v>
      </c>
      <c r="U243" s="60">
        <f t="shared" ref="U243" si="222">IF($A$64&lt;=U207,IF($B$64&gt;=U207,ABS(U242),0),0)</f>
        <v>87176.211653964012</v>
      </c>
      <c r="V243" s="60">
        <f t="shared" ref="V243" si="223">IF($A$64&lt;=V207,IF($B$64&gt;=V207,ABS(V242),0),0)</f>
        <v>541468.66778883629</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6951.7769139036336</v>
      </c>
      <c r="C247" s="26">
        <f>INDEX(Comparison!$AM$3:$AS$33,G$14,$E$122)</f>
        <v>6950.7516447504031</v>
      </c>
      <c r="D247" s="26">
        <f>INDEX(Comparison!$AM$3:$AS$33,H$14,$E$122)</f>
        <v>6940.1985301294053</v>
      </c>
      <c r="E247" s="26">
        <f>INDEX(Comparison!$AM$3:$AS$33,I$14,$E$122)</f>
        <v>6859.1289652487367</v>
      </c>
      <c r="F247" s="26">
        <f>INDEX(Comparison!$AM$3:$AS$33,J$14,$E$122)</f>
        <v>6695.6616107202954</v>
      </c>
      <c r="G247" s="26">
        <f>INDEX(Comparison!$AM$3:$AS$33,K$14,$E$122)</f>
        <v>6579.8912612434069</v>
      </c>
      <c r="H247" s="26">
        <f>INDEX(Comparison!$AM$3:$AS$33,L$14,$E$122)</f>
        <v>6466.0632255652681</v>
      </c>
      <c r="I247" s="26">
        <f>INDEX(Comparison!$AM$3:$AS$33,M$14,$E$122)</f>
        <v>6338.9884403076148</v>
      </c>
      <c r="J247" s="26">
        <f>INDEX(Comparison!$AM$3:$AS$33,N$14,$E$122)</f>
        <v>6203.5301972004399</v>
      </c>
      <c r="K247" s="26">
        <f>INDEX(Comparison!$AM$3:$AS$33,O$14,$E$122)</f>
        <v>6050.6164561665273</v>
      </c>
      <c r="L247" s="26">
        <f>INDEX(Comparison!$AM$3:$AS$33,P$14,$E$122)</f>
        <v>5884.895018012654</v>
      </c>
      <c r="M247" s="26">
        <f>INDEX(Comparison!$AM$3:$AS$33,Q$14,$E$122)</f>
        <v>5709.3519393565812</v>
      </c>
      <c r="N247" s="26">
        <f>INDEX(Comparison!$AM$3:$AS$33,R$14,$E$122)</f>
        <v>5547.9132434192643</v>
      </c>
      <c r="O247" s="26">
        <f>INDEX(Comparison!$AM$3:$AS$33,S$14,$E$122)</f>
        <v>5364.2356794540465</v>
      </c>
      <c r="P247" s="26">
        <f>INDEX(Comparison!$AM$3:$AS$33,T$14,$E$122)</f>
        <v>5142.9380897638539</v>
      </c>
      <c r="Q247" s="26">
        <f>INDEX(Comparison!$AM$3:$AS$33,U$14,$E$122)</f>
        <v>4901.2536857987861</v>
      </c>
      <c r="R247" s="26">
        <f>INDEX(Comparison!$AM$3:$AS$33,V$14,$E$122)</f>
        <v>4661.3568218837227</v>
      </c>
      <c r="S247" s="26">
        <f>INDEX(Comparison!$AM$3:$AS$33,W$14,$E$122)</f>
        <v>4298.6774546472579</v>
      </c>
      <c r="T247" s="26">
        <f>INDEX(Comparison!$AM$3:$AS$33,X$14,$E$122)</f>
        <v>3673.7236771243274</v>
      </c>
      <c r="U247" s="26">
        <f>INDEX(Comparison!$AM$3:$AS$33,Y$14,$E$122)</f>
        <v>3055.9581241953465</v>
      </c>
      <c r="V247" s="26">
        <f>INDEX(Comparison!$AM$3:$AS$33,Z$14,$E$122)</f>
        <v>2586.4007874245467</v>
      </c>
      <c r="W247" s="26">
        <f>INDEX(Comparison!$AM$3:$AS$33,AA$14,$E$122)</f>
        <v>2247.3343211844494</v>
      </c>
      <c r="X247" s="26">
        <f>INDEX(Comparison!$AM$3:$AS$33,AB$14,$E$122)</f>
        <v>1979.307169199863</v>
      </c>
      <c r="Y247" s="26">
        <f>INDEX(Comparison!$AM$3:$AS$33,AC$14,$E$122)</f>
        <v>1753.9456058771568</v>
      </c>
      <c r="Z247" s="26">
        <f>INDEX(Comparison!$AM$3:$AS$33,AD$14,$E$122)</f>
        <v>1541.283272452644</v>
      </c>
      <c r="AA247" s="26">
        <f>INDEX(Comparison!$AM$3:$AS$33,AE$14,$E$122)</f>
        <v>1325.7320252858156</v>
      </c>
      <c r="AB247" s="26">
        <f>INDEX(Comparison!$AM$3:$AS$33,AF$14,$E$122)</f>
        <v>1090.3481138846798</v>
      </c>
      <c r="AC247" s="26">
        <f>INDEX(Comparison!$AM$3:$AS$33,AG$14,$E$122)</f>
        <v>838.64271647474698</v>
      </c>
      <c r="AD247" s="26">
        <f>INDEX(Comparison!$AM$3:$AS$33,AH$14,$E$122)</f>
        <v>600.54666630574377</v>
      </c>
      <c r="AE247" s="26">
        <f>INDEX(Comparison!$AM$3:$AS$33,AI$14,$E$122)</f>
        <v>415.97655166325364</v>
      </c>
      <c r="AF247" s="26">
        <f>INDEX(Comparison!$AM$3:$AS$33,AJ$14,$E$122)</f>
        <v>297.69240550814368</v>
      </c>
      <c r="AG247" s="26"/>
      <c r="AH247" s="26"/>
    </row>
    <row r="248" spans="1:34" x14ac:dyDescent="0.25">
      <c r="A248" s="70" t="s">
        <v>22</v>
      </c>
      <c r="B248" s="27">
        <f>($C$17+SUM(B249:B279))*$B$51</f>
        <v>6991.8287199972065</v>
      </c>
      <c r="C248" s="27">
        <f t="shared" ref="C248:AF248" si="234">($C$17+SUM(C249:C279))*$B$51</f>
        <v>6986.6208513122492</v>
      </c>
      <c r="D248" s="27">
        <f t="shared" si="234"/>
        <v>6935.7074587435227</v>
      </c>
      <c r="E248" s="27">
        <f t="shared" si="234"/>
        <v>6527.111288623737</v>
      </c>
      <c r="F248" s="27">
        <f t="shared" si="234"/>
        <v>5740.3034345251353</v>
      </c>
      <c r="G248" s="27">
        <f t="shared" si="234"/>
        <v>5727.4031278722214</v>
      </c>
      <c r="H248" s="27">
        <f t="shared" si="234"/>
        <v>5727.3656410881267</v>
      </c>
      <c r="I248" s="27">
        <f t="shared" si="234"/>
        <v>5726.9909833422043</v>
      </c>
      <c r="J248" s="27">
        <f t="shared" si="234"/>
        <v>5723.2653336631447</v>
      </c>
      <c r="K248" s="27">
        <f t="shared" si="234"/>
        <v>5688.0222375190278</v>
      </c>
      <c r="L248" s="27">
        <f t="shared" si="234"/>
        <v>5476.4015395289816</v>
      </c>
      <c r="M248" s="27">
        <f t="shared" si="234"/>
        <v>5277.7116571910219</v>
      </c>
      <c r="N248" s="27">
        <f t="shared" si="234"/>
        <v>5076.7446653632096</v>
      </c>
      <c r="O248" s="27">
        <f t="shared" si="234"/>
        <v>4841.3526846622981</v>
      </c>
      <c r="P248" s="27">
        <f t="shared" si="234"/>
        <v>4635.1536017707367</v>
      </c>
      <c r="Q248" s="27">
        <f t="shared" si="234"/>
        <v>4451.626781582946</v>
      </c>
      <c r="R248" s="27">
        <f t="shared" si="234"/>
        <v>4269.9851148913995</v>
      </c>
      <c r="S248" s="27">
        <f t="shared" si="234"/>
        <v>4089.0888416988669</v>
      </c>
      <c r="T248" s="27">
        <f t="shared" si="234"/>
        <v>3909.1630003434339</v>
      </c>
      <c r="U248" s="27">
        <f t="shared" si="234"/>
        <v>3711.005694763609</v>
      </c>
      <c r="V248" s="27">
        <f t="shared" si="234"/>
        <v>3485.8408739429465</v>
      </c>
      <c r="W248" s="27">
        <f t="shared" si="234"/>
        <v>3235.8810269527694</v>
      </c>
      <c r="X248" s="27">
        <f t="shared" si="234"/>
        <v>2939.0452449978266</v>
      </c>
      <c r="Y248" s="27">
        <f t="shared" si="234"/>
        <v>2579.6697274071794</v>
      </c>
      <c r="Z248" s="27">
        <f t="shared" si="234"/>
        <v>2038.1135009192644</v>
      </c>
      <c r="AA248" s="27">
        <f t="shared" si="234"/>
        <v>1430.606623242245</v>
      </c>
      <c r="AB248" s="27">
        <f t="shared" si="234"/>
        <v>927.28631752499393</v>
      </c>
      <c r="AC248" s="27">
        <f t="shared" si="234"/>
        <v>584.06439710702557</v>
      </c>
      <c r="AD248" s="27">
        <f t="shared" si="234"/>
        <v>386.40404961277937</v>
      </c>
      <c r="AE248" s="27">
        <f t="shared" si="234"/>
        <v>283.52925108008094</v>
      </c>
      <c r="AF248" s="27">
        <f t="shared" si="234"/>
        <v>236.97355688652814</v>
      </c>
      <c r="AG248" s="27"/>
      <c r="AH248" s="27"/>
    </row>
    <row r="249" spans="1:34" x14ac:dyDescent="0.25">
      <c r="B249" s="3">
        <f t="shared" ref="B249:AF249" si="235">$C18*EXP(-B$246/$A18/EXP(-$E$126))</f>
        <v>0.18082773490235476</v>
      </c>
      <c r="C249" s="3">
        <f t="shared" si="235"/>
        <v>0.18008294601293146</v>
      </c>
      <c r="D249" s="3">
        <f t="shared" si="235"/>
        <v>0.17280170845886589</v>
      </c>
      <c r="E249" s="3">
        <f t="shared" si="235"/>
        <v>0.11436746209814197</v>
      </c>
      <c r="F249" s="3">
        <f t="shared" si="235"/>
        <v>1.8443655566538885E-3</v>
      </c>
      <c r="G249" s="3">
        <f t="shared" si="235"/>
        <v>2.1942807669863782E-21</v>
      </c>
      <c r="H249" s="3">
        <f t="shared" si="235"/>
        <v>1.2466488174997673E-200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4.8747329100989695E-2</v>
      </c>
      <c r="C250" s="3">
        <f t="shared" si="236"/>
        <v>4.8747329049452968E-2</v>
      </c>
      <c r="D250" s="3">
        <f t="shared" si="236"/>
        <v>4.874732853408574E-2</v>
      </c>
      <c r="E250" s="3">
        <f t="shared" si="236"/>
        <v>4.8747323380413744E-2</v>
      </c>
      <c r="F250" s="3">
        <f t="shared" si="236"/>
        <v>4.8747271843723745E-2</v>
      </c>
      <c r="G250" s="3">
        <f t="shared" si="236"/>
        <v>4.8746756479820512E-2</v>
      </c>
      <c r="H250" s="3">
        <f t="shared" si="236"/>
        <v>4.8741603140446586E-2</v>
      </c>
      <c r="I250" s="3">
        <f t="shared" si="236"/>
        <v>4.8690099700838339E-2</v>
      </c>
      <c r="J250" s="3">
        <f t="shared" si="236"/>
        <v>4.8178049033700258E-2</v>
      </c>
      <c r="K250" s="3">
        <f t="shared" si="236"/>
        <v>4.3344566510458059E-2</v>
      </c>
      <c r="L250" s="3">
        <f t="shared" si="236"/>
        <v>1.505875994613649E-2</v>
      </c>
      <c r="M250" s="3">
        <f t="shared" si="236"/>
        <v>3.8577552673245822E-7</v>
      </c>
      <c r="N250" s="3">
        <f t="shared" si="236"/>
        <v>4.6966619266151652E-53</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1.8089335916133535E-2</v>
      </c>
      <c r="C251" s="3">
        <f t="shared" si="237"/>
        <v>1.8089335914408353E-2</v>
      </c>
      <c r="D251" s="3">
        <f t="shared" si="237"/>
        <v>1.8089335897156521E-2</v>
      </c>
      <c r="E251" s="3">
        <f t="shared" si="237"/>
        <v>1.8089335724638216E-2</v>
      </c>
      <c r="F251" s="3">
        <f t="shared" si="237"/>
        <v>1.8089333999455226E-2</v>
      </c>
      <c r="G251" s="3">
        <f t="shared" si="237"/>
        <v>1.8089316747634417E-2</v>
      </c>
      <c r="H251" s="3">
        <f t="shared" si="237"/>
        <v>1.8089144230331231E-2</v>
      </c>
      <c r="I251" s="3">
        <f t="shared" si="237"/>
        <v>1.8087419147787893E-2</v>
      </c>
      <c r="J251" s="3">
        <f t="shared" si="237"/>
        <v>1.8070177368012922E-2</v>
      </c>
      <c r="K251" s="3">
        <f t="shared" si="237"/>
        <v>1.7898660952294483E-2</v>
      </c>
      <c r="L251" s="3">
        <f t="shared" si="237"/>
        <v>1.6270533814407098E-2</v>
      </c>
      <c r="M251" s="3">
        <f t="shared" si="237"/>
        <v>6.2692329182666238E-3</v>
      </c>
      <c r="N251" s="3">
        <f t="shared" si="237"/>
        <v>4.522102900050122E-7</v>
      </c>
      <c r="O251" s="3">
        <f t="shared" si="237"/>
        <v>1.7242522125378017E-48</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3.7553125741179937E-2</v>
      </c>
      <c r="C252" s="3">
        <f t="shared" si="238"/>
        <v>3.7553125740856855E-2</v>
      </c>
      <c r="D252" s="3">
        <f t="shared" si="238"/>
        <v>3.7553125737626099E-2</v>
      </c>
      <c r="E252" s="3">
        <f t="shared" si="238"/>
        <v>3.7553125705318449E-2</v>
      </c>
      <c r="F252" s="3">
        <f t="shared" si="238"/>
        <v>3.7553125382242043E-2</v>
      </c>
      <c r="G252" s="3">
        <f t="shared" si="238"/>
        <v>3.7553122151478102E-2</v>
      </c>
      <c r="H252" s="3">
        <f t="shared" si="238"/>
        <v>3.7553089843853929E-2</v>
      </c>
      <c r="I252" s="3">
        <f t="shared" si="238"/>
        <v>3.7552766769140968E-2</v>
      </c>
      <c r="J252" s="3">
        <f t="shared" si="238"/>
        <v>3.7549536174877648E-2</v>
      </c>
      <c r="K252" s="3">
        <f t="shared" si="238"/>
        <v>3.7517245514008986E-2</v>
      </c>
      <c r="L252" s="3">
        <f t="shared" si="238"/>
        <v>3.7195862228496961E-2</v>
      </c>
      <c r="M252" s="3">
        <f t="shared" si="238"/>
        <v>3.4129622256076568E-2</v>
      </c>
      <c r="N252" s="3">
        <f t="shared" si="238"/>
        <v>1.4437765805777492E-2</v>
      </c>
      <c r="O252" s="3">
        <f t="shared" si="238"/>
        <v>2.6496292281601491E-6</v>
      </c>
      <c r="P252" s="3">
        <f t="shared" si="238"/>
        <v>1.1482494225373709E-43</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3.4655462333822058E-2</v>
      </c>
      <c r="C253" s="3">
        <f t="shared" si="239"/>
        <v>3.4655462333795163E-2</v>
      </c>
      <c r="D253" s="3">
        <f t="shared" si="239"/>
        <v>3.4655462333526212E-2</v>
      </c>
      <c r="E253" s="3">
        <f t="shared" si="239"/>
        <v>3.4655462330836675E-2</v>
      </c>
      <c r="F253" s="3">
        <f t="shared" si="239"/>
        <v>3.4655462303941308E-2</v>
      </c>
      <c r="G253" s="3">
        <f t="shared" si="239"/>
        <v>3.4655462034987657E-2</v>
      </c>
      <c r="H253" s="3">
        <f t="shared" si="239"/>
        <v>3.4655459345451257E-2</v>
      </c>
      <c r="I253" s="3">
        <f t="shared" si="239"/>
        <v>3.4655432450098736E-2</v>
      </c>
      <c r="J253" s="3">
        <f t="shared" si="239"/>
        <v>3.4655163497721499E-2</v>
      </c>
      <c r="K253" s="3">
        <f t="shared" si="239"/>
        <v>3.4652474088746534E-2</v>
      </c>
      <c r="L253" s="3">
        <f t="shared" si="239"/>
        <v>3.4625591475440635E-2</v>
      </c>
      <c r="M253" s="3">
        <f t="shared" si="239"/>
        <v>3.435790969813219E-2</v>
      </c>
      <c r="N253" s="3">
        <f t="shared" si="239"/>
        <v>3.1792308595502729E-2</v>
      </c>
      <c r="O253" s="3">
        <f t="shared" si="239"/>
        <v>1.4631046122067486E-2</v>
      </c>
      <c r="P253" s="3">
        <f t="shared" si="239"/>
        <v>6.2345989176826795E-6</v>
      </c>
      <c r="Q253" s="3">
        <f t="shared" si="239"/>
        <v>1.2306652121933727E-39</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2.8039973666806568E-2</v>
      </c>
      <c r="C254" s="3">
        <f t="shared" si="240"/>
        <v>2.8039973666804604E-2</v>
      </c>
      <c r="D254" s="3">
        <f t="shared" si="240"/>
        <v>2.8039973666784977E-2</v>
      </c>
      <c r="E254" s="3">
        <f t="shared" si="240"/>
        <v>2.8039973666588669E-2</v>
      </c>
      <c r="F254" s="3">
        <f t="shared" si="240"/>
        <v>2.8039973664625625E-2</v>
      </c>
      <c r="G254" s="3">
        <f t="shared" si="240"/>
        <v>2.8039973644995192E-2</v>
      </c>
      <c r="H254" s="3">
        <f t="shared" si="240"/>
        <v>2.8039973448690834E-2</v>
      </c>
      <c r="I254" s="3">
        <f t="shared" si="240"/>
        <v>2.8039971485647332E-2</v>
      </c>
      <c r="J254" s="3">
        <f t="shared" si="240"/>
        <v>2.8039951855219875E-2</v>
      </c>
      <c r="K254" s="3">
        <f t="shared" si="240"/>
        <v>2.8039755551701195E-2</v>
      </c>
      <c r="L254" s="3">
        <f t="shared" si="240"/>
        <v>2.8037792592098831E-2</v>
      </c>
      <c r="M254" s="3">
        <f t="shared" si="240"/>
        <v>2.8018170552562945E-2</v>
      </c>
      <c r="N254" s="3">
        <f t="shared" si="240"/>
        <v>2.7822703852265384E-2</v>
      </c>
      <c r="O254" s="3">
        <f t="shared" si="240"/>
        <v>2.5941490062932154E-2</v>
      </c>
      <c r="P254" s="3">
        <f t="shared" si="240"/>
        <v>1.2881035221492166E-2</v>
      </c>
      <c r="Q254" s="3">
        <f t="shared" si="240"/>
        <v>1.1735707174870702E-5</v>
      </c>
      <c r="R254" s="3">
        <f t="shared" si="240"/>
        <v>4.6248135969222981E-36</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2.6812375730219586E-2</v>
      </c>
      <c r="C255" s="3">
        <f t="shared" si="241"/>
        <v>2.6812375730219416E-2</v>
      </c>
      <c r="D255" s="3">
        <f t="shared" si="241"/>
        <v>2.6812375730217722E-2</v>
      </c>
      <c r="E255" s="3">
        <f t="shared" si="241"/>
        <v>2.6812375730200788E-2</v>
      </c>
      <c r="F255" s="3">
        <f t="shared" si="241"/>
        <v>2.6812375730031458E-2</v>
      </c>
      <c r="G255" s="3">
        <f t="shared" si="241"/>
        <v>2.6812375728338157E-2</v>
      </c>
      <c r="H255" s="3">
        <f t="shared" si="241"/>
        <v>2.6812375711405143E-2</v>
      </c>
      <c r="I255" s="3">
        <f t="shared" si="241"/>
        <v>2.681237554207502E-2</v>
      </c>
      <c r="J255" s="3">
        <f t="shared" si="241"/>
        <v>2.681237384877384E-2</v>
      </c>
      <c r="K255" s="3">
        <f t="shared" si="241"/>
        <v>2.6812356915767895E-2</v>
      </c>
      <c r="L255" s="3">
        <f t="shared" si="241"/>
        <v>2.6812187586296596E-2</v>
      </c>
      <c r="M255" s="3">
        <f t="shared" si="241"/>
        <v>2.6810494350398159E-2</v>
      </c>
      <c r="N255" s="3">
        <f t="shared" si="241"/>
        <v>2.6793567871491931E-2</v>
      </c>
      <c r="O255" s="3">
        <f t="shared" si="241"/>
        <v>2.6624889718572447E-2</v>
      </c>
      <c r="P255" s="3">
        <f t="shared" si="241"/>
        <v>2.4995423866952308E-2</v>
      </c>
      <c r="Q255" s="3">
        <f t="shared" si="241"/>
        <v>1.3291909883974974E-2</v>
      </c>
      <c r="R255" s="3">
        <f t="shared" si="241"/>
        <v>2.4035668854700727E-5</v>
      </c>
      <c r="S255" s="3">
        <f t="shared" si="241"/>
        <v>8.9855455481672162E-33</v>
      </c>
      <c r="T255" s="3">
        <f t="shared" si="241"/>
        <v>4.7910072699885045E-307</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2.7632018567144066E-2</v>
      </c>
      <c r="C256" s="3">
        <f t="shared" si="242"/>
        <v>2.7632018567144052E-2</v>
      </c>
      <c r="D256" s="3">
        <f t="shared" si="242"/>
        <v>2.7632018567143896E-2</v>
      </c>
      <c r="E256" s="3">
        <f t="shared" si="242"/>
        <v>2.763201856714232E-2</v>
      </c>
      <c r="F256" s="3">
        <f t="shared" si="242"/>
        <v>2.7632018567126576E-2</v>
      </c>
      <c r="G256" s="3">
        <f t="shared" si="242"/>
        <v>2.763201856696916E-2</v>
      </c>
      <c r="H256" s="3">
        <f t="shared" si="242"/>
        <v>2.7632018565394965E-2</v>
      </c>
      <c r="I256" s="3">
        <f t="shared" si="242"/>
        <v>2.7632018549653029E-2</v>
      </c>
      <c r="J256" s="3">
        <f t="shared" si="242"/>
        <v>2.763201839223367E-2</v>
      </c>
      <c r="K256" s="3">
        <f t="shared" si="242"/>
        <v>2.7632016818040155E-2</v>
      </c>
      <c r="L256" s="3">
        <f t="shared" si="242"/>
        <v>2.7632001076109913E-2</v>
      </c>
      <c r="M256" s="3">
        <f t="shared" si="242"/>
        <v>2.7631843657300727E-2</v>
      </c>
      <c r="N256" s="3">
        <f t="shared" si="242"/>
        <v>2.7630269518532671E-2</v>
      </c>
      <c r="O256" s="3">
        <f t="shared" si="242"/>
        <v>2.7614533062188539E-2</v>
      </c>
      <c r="P256" s="3">
        <f t="shared" si="242"/>
        <v>2.745766059450605E-2</v>
      </c>
      <c r="Q256" s="3">
        <f t="shared" si="242"/>
        <v>2.5937123828733501E-2</v>
      </c>
      <c r="R256" s="3">
        <f t="shared" si="242"/>
        <v>1.4672517832856651E-2</v>
      </c>
      <c r="S256" s="3">
        <f t="shared" si="242"/>
        <v>4.9241690239534994E-5</v>
      </c>
      <c r="T256" s="3">
        <f t="shared" si="242"/>
        <v>8.9251599913207154E-30</v>
      </c>
      <c r="U256" s="3">
        <f t="shared" si="242"/>
        <v>3.4154394563311402E-277</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2.5920837907154132E-2</v>
      </c>
      <c r="C257" s="3">
        <f t="shared" si="243"/>
        <v>2.5920837907154128E-2</v>
      </c>
      <c r="D257" s="3">
        <f t="shared" si="243"/>
        <v>2.5920837907154118E-2</v>
      </c>
      <c r="E257" s="3">
        <f t="shared" si="243"/>
        <v>2.5920837907153986E-2</v>
      </c>
      <c r="F257" s="3">
        <f t="shared" si="243"/>
        <v>2.5920837907152654E-2</v>
      </c>
      <c r="G257" s="3">
        <f t="shared" si="243"/>
        <v>2.5920837907139331E-2</v>
      </c>
      <c r="H257" s="3">
        <f t="shared" si="243"/>
        <v>2.5920837907006118E-2</v>
      </c>
      <c r="I257" s="3">
        <f t="shared" si="243"/>
        <v>2.5920837905674007E-2</v>
      </c>
      <c r="J257" s="3">
        <f t="shared" si="243"/>
        <v>2.5920837892352871E-2</v>
      </c>
      <c r="K257" s="3">
        <f t="shared" si="243"/>
        <v>2.5920837759141547E-2</v>
      </c>
      <c r="L257" s="3">
        <f t="shared" si="243"/>
        <v>2.5920836427028332E-2</v>
      </c>
      <c r="M257" s="3">
        <f t="shared" si="243"/>
        <v>2.5920823105899961E-2</v>
      </c>
      <c r="N257" s="3">
        <f t="shared" si="243"/>
        <v>2.5920689894992757E-2</v>
      </c>
      <c r="O257" s="3">
        <f t="shared" si="243"/>
        <v>2.5919357823572593E-2</v>
      </c>
      <c r="P257" s="3">
        <f t="shared" si="243"/>
        <v>2.5906040873844072E-2</v>
      </c>
      <c r="Q257" s="3">
        <f t="shared" si="243"/>
        <v>2.5773247109043336E-2</v>
      </c>
      <c r="R257" s="3">
        <f t="shared" si="243"/>
        <v>2.4482177973195851E-2</v>
      </c>
      <c r="S257" s="3">
        <f t="shared" si="243"/>
        <v>1.464398181073435E-2</v>
      </c>
      <c r="T257" s="3">
        <f t="shared" si="243"/>
        <v>8.5852012742888386E-5</v>
      </c>
      <c r="U257" s="3">
        <f t="shared" si="243"/>
        <v>4.1177832929521713E-27</v>
      </c>
      <c r="V257" s="3">
        <f t="shared" si="243"/>
        <v>2.6533439198963067E-250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2.7391939908773026E-2</v>
      </c>
      <c r="C258" s="3">
        <f t="shared" si="244"/>
        <v>2.7391939908773026E-2</v>
      </c>
      <c r="D258" s="3">
        <f t="shared" si="244"/>
        <v>2.7391939908773026E-2</v>
      </c>
      <c r="E258" s="3">
        <f t="shared" si="244"/>
        <v>2.7391939908773012E-2</v>
      </c>
      <c r="F258" s="3">
        <f t="shared" si="244"/>
        <v>2.7391939908772887E-2</v>
      </c>
      <c r="G258" s="3">
        <f t="shared" si="244"/>
        <v>2.7391939908771614E-2</v>
      </c>
      <c r="H258" s="3">
        <f t="shared" si="244"/>
        <v>2.7391939908758916E-2</v>
      </c>
      <c r="I258" s="3">
        <f t="shared" si="244"/>
        <v>2.7391939908631927E-2</v>
      </c>
      <c r="J258" s="3">
        <f t="shared" si="244"/>
        <v>2.7391939907362051E-2</v>
      </c>
      <c r="K258" s="3">
        <f t="shared" si="244"/>
        <v>2.7391939894663288E-2</v>
      </c>
      <c r="L258" s="3">
        <f t="shared" si="244"/>
        <v>2.7391939767675632E-2</v>
      </c>
      <c r="M258" s="3">
        <f t="shared" si="244"/>
        <v>2.7391938497799147E-2</v>
      </c>
      <c r="N258" s="3">
        <f t="shared" si="244"/>
        <v>2.7391925799037497E-2</v>
      </c>
      <c r="O258" s="3">
        <f t="shared" si="244"/>
        <v>2.7391798811744767E-2</v>
      </c>
      <c r="P258" s="3">
        <f t="shared" si="244"/>
        <v>2.7390528971195836E-2</v>
      </c>
      <c r="Q258" s="3">
        <f t="shared" si="244"/>
        <v>2.7377833802985457E-2</v>
      </c>
      <c r="R258" s="3">
        <f t="shared" si="244"/>
        <v>2.7251205294171268E-2</v>
      </c>
      <c r="S258" s="3">
        <f t="shared" si="244"/>
        <v>2.6016690002371723E-2</v>
      </c>
      <c r="T258" s="3">
        <f t="shared" si="244"/>
        <v>1.6364973630182991E-2</v>
      </c>
      <c r="U258" s="3">
        <f t="shared" si="244"/>
        <v>1.5868942483342207E-4</v>
      </c>
      <c r="V258" s="3">
        <f t="shared" si="244"/>
        <v>1.1664731541726343E-24</v>
      </c>
      <c r="W258" s="3">
        <f t="shared" si="244"/>
        <v>5.3720787357485864E-226</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3.256547684040112E-2</v>
      </c>
      <c r="C259" s="3">
        <f t="shared" si="245"/>
        <v>3.256547684040112E-2</v>
      </c>
      <c r="D259" s="3">
        <f t="shared" si="245"/>
        <v>3.256547684040112E-2</v>
      </c>
      <c r="E259" s="3">
        <f t="shared" si="245"/>
        <v>3.256547684040112E-2</v>
      </c>
      <c r="F259" s="3">
        <f t="shared" si="245"/>
        <v>3.2565476840401106E-2</v>
      </c>
      <c r="G259" s="3">
        <f t="shared" si="245"/>
        <v>3.2565476840400967E-2</v>
      </c>
      <c r="H259" s="3">
        <f t="shared" si="245"/>
        <v>3.2565476840399607E-2</v>
      </c>
      <c r="I259" s="3">
        <f t="shared" si="245"/>
        <v>3.2565476840385986E-2</v>
      </c>
      <c r="J259" s="3">
        <f t="shared" si="245"/>
        <v>3.2565476840249796E-2</v>
      </c>
      <c r="K259" s="3">
        <f t="shared" si="245"/>
        <v>3.2565476838887907E-2</v>
      </c>
      <c r="L259" s="3">
        <f t="shared" si="245"/>
        <v>3.2565476825268988E-2</v>
      </c>
      <c r="M259" s="3">
        <f t="shared" si="245"/>
        <v>3.2565476689079761E-2</v>
      </c>
      <c r="N259" s="3">
        <f t="shared" si="245"/>
        <v>3.2565475327187579E-2</v>
      </c>
      <c r="O259" s="3">
        <f t="shared" si="245"/>
        <v>3.2565461708268913E-2</v>
      </c>
      <c r="P259" s="3">
        <f t="shared" si="245"/>
        <v>3.2565325519395498E-2</v>
      </c>
      <c r="Q259" s="3">
        <f t="shared" si="245"/>
        <v>3.2563963661985745E-2</v>
      </c>
      <c r="R259" s="3">
        <f t="shared" si="245"/>
        <v>3.2550348219847175E-2</v>
      </c>
      <c r="S259" s="3">
        <f t="shared" si="245"/>
        <v>3.2414506510273534E-2</v>
      </c>
      <c r="T259" s="3">
        <f t="shared" si="245"/>
        <v>3.108688208788651E-2</v>
      </c>
      <c r="U259" s="3">
        <f t="shared" si="245"/>
        <v>2.046231112388187E-2</v>
      </c>
      <c r="V259" s="3">
        <f t="shared" si="245"/>
        <v>3.124135498506548E-4</v>
      </c>
      <c r="W259" s="3">
        <f t="shared" si="245"/>
        <v>2.1502137800292327E-22</v>
      </c>
      <c r="X259" s="3">
        <f t="shared" si="245"/>
        <v>5.1286071369654571E-204</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3.4198379990015168E-2</v>
      </c>
      <c r="C260" s="3">
        <f t="shared" si="246"/>
        <v>3.4198379990015168E-2</v>
      </c>
      <c r="D260" s="3">
        <f t="shared" si="246"/>
        <v>3.4198379990015168E-2</v>
      </c>
      <c r="E260" s="3">
        <f t="shared" si="246"/>
        <v>3.4198379990015168E-2</v>
      </c>
      <c r="F260" s="3">
        <f t="shared" si="246"/>
        <v>3.4198379990015168E-2</v>
      </c>
      <c r="G260" s="3">
        <f t="shared" si="246"/>
        <v>3.4198379990015154E-2</v>
      </c>
      <c r="H260" s="3">
        <f t="shared" si="246"/>
        <v>3.4198379990015022E-2</v>
      </c>
      <c r="I260" s="3">
        <f t="shared" si="246"/>
        <v>3.4198379990013732E-2</v>
      </c>
      <c r="J260" s="3">
        <f t="shared" si="246"/>
        <v>3.4198379990000832E-2</v>
      </c>
      <c r="K260" s="3">
        <f t="shared" si="246"/>
        <v>3.4198379989871817E-2</v>
      </c>
      <c r="L260" s="3">
        <f t="shared" si="246"/>
        <v>3.4198379988581676E-2</v>
      </c>
      <c r="M260" s="3">
        <f t="shared" si="246"/>
        <v>3.419837997568026E-2</v>
      </c>
      <c r="N260" s="3">
        <f t="shared" si="246"/>
        <v>3.4198379846666085E-2</v>
      </c>
      <c r="O260" s="3">
        <f t="shared" si="246"/>
        <v>3.4198378556524398E-2</v>
      </c>
      <c r="P260" s="3">
        <f t="shared" si="246"/>
        <v>3.4198365655110155E-2</v>
      </c>
      <c r="Q260" s="3">
        <f t="shared" si="246"/>
        <v>3.4198236641235412E-2</v>
      </c>
      <c r="R260" s="3">
        <f t="shared" si="246"/>
        <v>3.419694652925661E-2</v>
      </c>
      <c r="S260" s="3">
        <f t="shared" si="246"/>
        <v>3.4184048085952518E-2</v>
      </c>
      <c r="T260" s="3">
        <f t="shared" si="246"/>
        <v>3.405533092808985E-2</v>
      </c>
      <c r="U260" s="3">
        <f t="shared" si="246"/>
        <v>3.2794517530373983E-2</v>
      </c>
      <c r="V260" s="3">
        <f t="shared" si="246"/>
        <v>2.2488612308080049E-2</v>
      </c>
      <c r="W260" s="3">
        <f t="shared" si="246"/>
        <v>5.1710266097991292E-4</v>
      </c>
      <c r="X260" s="3">
        <f t="shared" si="246"/>
        <v>2.1365739251179786E-20</v>
      </c>
      <c r="Y260" s="3">
        <f t="shared" si="246"/>
        <v>3.0983425903658313E-184</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4.2864410475860253E-2</v>
      </c>
      <c r="C261" s="3">
        <f t="shared" si="247"/>
        <v>4.2864410475860253E-2</v>
      </c>
      <c r="D261" s="3">
        <f t="shared" si="247"/>
        <v>4.2864410475860253E-2</v>
      </c>
      <c r="E261" s="3">
        <f t="shared" si="247"/>
        <v>4.2864410475860253E-2</v>
      </c>
      <c r="F261" s="3">
        <f t="shared" si="247"/>
        <v>4.2864410475860253E-2</v>
      </c>
      <c r="G261" s="3">
        <f t="shared" si="247"/>
        <v>4.2864410475860253E-2</v>
      </c>
      <c r="H261" s="3">
        <f t="shared" si="247"/>
        <v>4.2864410475860239E-2</v>
      </c>
      <c r="I261" s="3">
        <f t="shared" si="247"/>
        <v>4.2864410475860093E-2</v>
      </c>
      <c r="J261" s="3">
        <f t="shared" si="247"/>
        <v>4.2864410475858629E-2</v>
      </c>
      <c r="K261" s="3">
        <f t="shared" si="247"/>
        <v>4.2864410475844043E-2</v>
      </c>
      <c r="L261" s="3">
        <f t="shared" si="247"/>
        <v>4.2864410475698167E-2</v>
      </c>
      <c r="M261" s="3">
        <f t="shared" si="247"/>
        <v>4.2864410474239438E-2</v>
      </c>
      <c r="N261" s="3">
        <f t="shared" si="247"/>
        <v>4.2864410459652127E-2</v>
      </c>
      <c r="O261" s="3">
        <f t="shared" si="247"/>
        <v>4.2864410313778988E-2</v>
      </c>
      <c r="P261" s="3">
        <f t="shared" si="247"/>
        <v>4.2864408855047616E-2</v>
      </c>
      <c r="Q261" s="3">
        <f t="shared" si="247"/>
        <v>4.2864394267736611E-2</v>
      </c>
      <c r="R261" s="3">
        <f t="shared" si="247"/>
        <v>4.2864248394899628E-2</v>
      </c>
      <c r="S261" s="3">
        <f t="shared" si="247"/>
        <v>4.286278969383283E-2</v>
      </c>
      <c r="T261" s="3">
        <f t="shared" si="247"/>
        <v>4.2848205413121433E-2</v>
      </c>
      <c r="U261" s="3">
        <f t="shared" si="247"/>
        <v>4.2702635258233951E-2</v>
      </c>
      <c r="V261" s="3">
        <f t="shared" si="247"/>
        <v>4.1273858722522976E-2</v>
      </c>
      <c r="W261" s="3">
        <f t="shared" si="247"/>
        <v>2.9368315453588756E-2</v>
      </c>
      <c r="X261" s="3">
        <f t="shared" si="247"/>
        <v>9.770542263839463E-4</v>
      </c>
      <c r="Y261" s="3">
        <f t="shared" si="247"/>
        <v>1.622986772851047E-18</v>
      </c>
      <c r="Z261" s="3">
        <f t="shared" si="247"/>
        <v>2.59584111922529E-166</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4.3714566142705795E-2</v>
      </c>
      <c r="C262" s="3">
        <f t="shared" si="248"/>
        <v>4.3714566142705795E-2</v>
      </c>
      <c r="D262" s="3">
        <f t="shared" si="248"/>
        <v>4.3714566142705795E-2</v>
      </c>
      <c r="E262" s="3">
        <f t="shared" si="248"/>
        <v>4.3714566142705795E-2</v>
      </c>
      <c r="F262" s="3">
        <f t="shared" si="248"/>
        <v>4.3714566142705795E-2</v>
      </c>
      <c r="G262" s="3">
        <f t="shared" si="248"/>
        <v>4.3714566142705795E-2</v>
      </c>
      <c r="H262" s="3">
        <f t="shared" si="248"/>
        <v>4.3714566142705795E-2</v>
      </c>
      <c r="I262" s="3">
        <f t="shared" si="248"/>
        <v>4.3714566142705781E-2</v>
      </c>
      <c r="J262" s="3">
        <f t="shared" si="248"/>
        <v>4.3714566142705642E-2</v>
      </c>
      <c r="K262" s="3">
        <f t="shared" si="248"/>
        <v>4.3714566142704303E-2</v>
      </c>
      <c r="L262" s="3">
        <f t="shared" si="248"/>
        <v>4.3714566142690883E-2</v>
      </c>
      <c r="M262" s="3">
        <f t="shared" si="248"/>
        <v>4.3714566142556685E-2</v>
      </c>
      <c r="N262" s="3">
        <f t="shared" si="248"/>
        <v>4.3714566141214689E-2</v>
      </c>
      <c r="O262" s="3">
        <f t="shared" si="248"/>
        <v>4.3714566127794723E-2</v>
      </c>
      <c r="P262" s="3">
        <f t="shared" si="248"/>
        <v>4.371456599359512E-2</v>
      </c>
      <c r="Q262" s="3">
        <f t="shared" si="248"/>
        <v>4.3714564651599085E-2</v>
      </c>
      <c r="R262" s="3">
        <f t="shared" si="248"/>
        <v>4.3714551231641009E-2</v>
      </c>
      <c r="S262" s="3">
        <f t="shared" si="248"/>
        <v>4.3714417032286769E-2</v>
      </c>
      <c r="T262" s="3">
        <f t="shared" si="248"/>
        <v>4.371307506140306E-2</v>
      </c>
      <c r="U262" s="3">
        <f t="shared" si="248"/>
        <v>4.3699657618170899E-2</v>
      </c>
      <c r="V262" s="3">
        <f t="shared" si="248"/>
        <v>4.3565709489215294E-2</v>
      </c>
      <c r="W262" s="3">
        <f t="shared" si="248"/>
        <v>4.2248603583276263E-2</v>
      </c>
      <c r="X262" s="3">
        <f t="shared" si="248"/>
        <v>3.1080502974349316E-2</v>
      </c>
      <c r="Y262" s="3">
        <f t="shared" si="248"/>
        <v>1.4429285659097726E-3</v>
      </c>
      <c r="Z262" s="3">
        <f t="shared" si="248"/>
        <v>6.7113943936545784E-17</v>
      </c>
      <c r="AA262" s="3">
        <f t="shared" si="248"/>
        <v>3.180475508836406E-150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7.7757179566671539E-2</v>
      </c>
      <c r="C263" s="3">
        <f t="shared" si="249"/>
        <v>7.7757179566671539E-2</v>
      </c>
      <c r="D263" s="3">
        <f t="shared" si="249"/>
        <v>7.7757179566671539E-2</v>
      </c>
      <c r="E263" s="3">
        <f t="shared" si="249"/>
        <v>7.7757179566671539E-2</v>
      </c>
      <c r="F263" s="3">
        <f t="shared" si="249"/>
        <v>7.7757179566671539E-2</v>
      </c>
      <c r="G263" s="3">
        <f t="shared" si="249"/>
        <v>7.7757179566671539E-2</v>
      </c>
      <c r="H263" s="3">
        <f t="shared" si="249"/>
        <v>7.7757179566671539E-2</v>
      </c>
      <c r="I263" s="3">
        <f t="shared" si="249"/>
        <v>7.7757179566671539E-2</v>
      </c>
      <c r="J263" s="3">
        <f t="shared" si="249"/>
        <v>7.7757179566671511E-2</v>
      </c>
      <c r="K263" s="3">
        <f t="shared" si="249"/>
        <v>7.7757179566671303E-2</v>
      </c>
      <c r="L263" s="3">
        <f t="shared" si="249"/>
        <v>7.7757179566669152E-2</v>
      </c>
      <c r="M263" s="3">
        <f t="shared" si="249"/>
        <v>7.7757179566647613E-2</v>
      </c>
      <c r="N263" s="3">
        <f t="shared" si="249"/>
        <v>7.7757179566432286E-2</v>
      </c>
      <c r="O263" s="3">
        <f t="shared" si="249"/>
        <v>7.7757179564278939E-2</v>
      </c>
      <c r="P263" s="3">
        <f t="shared" si="249"/>
        <v>7.7757179542745566E-2</v>
      </c>
      <c r="Q263" s="3">
        <f t="shared" si="249"/>
        <v>7.7757179327411788E-2</v>
      </c>
      <c r="R263" s="3">
        <f t="shared" si="249"/>
        <v>7.7757177174074057E-2</v>
      </c>
      <c r="S263" s="3">
        <f t="shared" si="249"/>
        <v>7.7757155640699974E-2</v>
      </c>
      <c r="T263" s="3">
        <f t="shared" si="249"/>
        <v>7.7756940307287151E-2</v>
      </c>
      <c r="U263" s="3">
        <f t="shared" si="249"/>
        <v>7.7754787005956519E-2</v>
      </c>
      <c r="V263" s="3">
        <f t="shared" si="249"/>
        <v>7.7733257272070297E-2</v>
      </c>
      <c r="W263" s="3">
        <f t="shared" si="249"/>
        <v>7.7518287539450378E-2</v>
      </c>
      <c r="X263" s="3">
        <f t="shared" si="249"/>
        <v>7.5401017629456307E-2</v>
      </c>
      <c r="Y263" s="3">
        <f t="shared" si="249"/>
        <v>5.7162021435056366E-2</v>
      </c>
      <c r="Z263" s="3">
        <f t="shared" si="249"/>
        <v>3.5843572633470124E-3</v>
      </c>
      <c r="AA263" s="3">
        <f t="shared" si="249"/>
        <v>3.3685919885410588E-15</v>
      </c>
      <c r="AB263" s="3">
        <f t="shared" si="249"/>
        <v>1.8105879278657524E-135</v>
      </c>
      <c r="AC263" s="3">
        <f t="shared" si="249"/>
        <v>0</v>
      </c>
      <c r="AD263" s="3">
        <f t="shared" si="249"/>
        <v>0</v>
      </c>
      <c r="AE263" s="3">
        <f t="shared" si="249"/>
        <v>0</v>
      </c>
      <c r="AF263" s="3">
        <f t="shared" si="249"/>
        <v>0</v>
      </c>
      <c r="AG263" s="3"/>
      <c r="AH263" s="3"/>
    </row>
    <row r="264" spans="2:34" x14ac:dyDescent="0.25">
      <c r="B264" s="3">
        <f t="shared" ref="B264:AF264" si="250">$C33*EXP(-B$246/$A33/EXP(-$E$126))</f>
        <v>9.5507274749383017E-2</v>
      </c>
      <c r="C264" s="3">
        <f t="shared" si="250"/>
        <v>9.5507274749383017E-2</v>
      </c>
      <c r="D264" s="3">
        <f t="shared" si="250"/>
        <v>9.5507274749383017E-2</v>
      </c>
      <c r="E264" s="3">
        <f t="shared" si="250"/>
        <v>9.5507274749383017E-2</v>
      </c>
      <c r="F264" s="3">
        <f t="shared" si="250"/>
        <v>9.5507274749383017E-2</v>
      </c>
      <c r="G264" s="3">
        <f t="shared" si="250"/>
        <v>9.5507274749383017E-2</v>
      </c>
      <c r="H264" s="3">
        <f t="shared" si="250"/>
        <v>9.5507274749383017E-2</v>
      </c>
      <c r="I264" s="3">
        <f t="shared" si="250"/>
        <v>9.5507274749383017E-2</v>
      </c>
      <c r="J264" s="3">
        <f t="shared" si="250"/>
        <v>9.5507274749383017E-2</v>
      </c>
      <c r="K264" s="3">
        <f t="shared" si="250"/>
        <v>9.5507274749382989E-2</v>
      </c>
      <c r="L264" s="3">
        <f t="shared" si="250"/>
        <v>9.5507274749382753E-2</v>
      </c>
      <c r="M264" s="3">
        <f t="shared" si="250"/>
        <v>9.5507274749380366E-2</v>
      </c>
      <c r="N264" s="3">
        <f t="shared" si="250"/>
        <v>9.5507274749356511E-2</v>
      </c>
      <c r="O264" s="3">
        <f t="shared" si="250"/>
        <v>9.5507274749117924E-2</v>
      </c>
      <c r="P264" s="3">
        <f t="shared" si="250"/>
        <v>9.5507274746731999E-2</v>
      </c>
      <c r="Q264" s="3">
        <f t="shared" si="250"/>
        <v>9.5507274722872862E-2</v>
      </c>
      <c r="R264" s="3">
        <f t="shared" si="250"/>
        <v>9.5507274484281507E-2</v>
      </c>
      <c r="S264" s="3">
        <f t="shared" si="250"/>
        <v>9.5507272098367998E-2</v>
      </c>
      <c r="T264" s="3">
        <f t="shared" si="250"/>
        <v>9.5507248239236175E-2</v>
      </c>
      <c r="U264" s="3">
        <f t="shared" si="250"/>
        <v>9.5507009648245725E-2</v>
      </c>
      <c r="V264" s="3">
        <f t="shared" si="250"/>
        <v>9.5504623771123009E-2</v>
      </c>
      <c r="W264" s="3">
        <f t="shared" si="250"/>
        <v>9.5480768277760614E-2</v>
      </c>
      <c r="X264" s="3">
        <f t="shared" si="250"/>
        <v>9.5242540827844238E-2</v>
      </c>
      <c r="Y264" s="3">
        <f t="shared" si="250"/>
        <v>9.2892714013407734E-2</v>
      </c>
      <c r="Z264" s="3">
        <f t="shared" si="250"/>
        <v>7.2358314352600983E-2</v>
      </c>
      <c r="AA264" s="3">
        <f t="shared" si="250"/>
        <v>5.9505393938819708E-3</v>
      </c>
      <c r="AB264" s="3">
        <f t="shared" si="250"/>
        <v>8.4185107495869719E-14</v>
      </c>
      <c r="AC264" s="3">
        <f t="shared" si="250"/>
        <v>2.7041117293562836E-122</v>
      </c>
      <c r="AD264" s="3">
        <f t="shared" si="250"/>
        <v>0</v>
      </c>
      <c r="AE264" s="3">
        <f t="shared" si="250"/>
        <v>0</v>
      </c>
      <c r="AF264" s="3">
        <f t="shared" si="250"/>
        <v>0</v>
      </c>
      <c r="AG264" s="3"/>
      <c r="AH264" s="3"/>
    </row>
    <row r="265" spans="2:34" x14ac:dyDescent="0.25">
      <c r="B265" s="3">
        <f t="shared" ref="B265:AF265" si="251">$C34*EXP(-B$246/$A34/EXP(-$E$126))</f>
        <v>8.003075559639232E-2</v>
      </c>
      <c r="C265" s="3">
        <f t="shared" si="251"/>
        <v>8.003075559639232E-2</v>
      </c>
      <c r="D265" s="3">
        <f t="shared" si="251"/>
        <v>8.003075559639232E-2</v>
      </c>
      <c r="E265" s="3">
        <f t="shared" si="251"/>
        <v>8.003075559639232E-2</v>
      </c>
      <c r="F265" s="3">
        <f t="shared" si="251"/>
        <v>8.003075559639232E-2</v>
      </c>
      <c r="G265" s="3">
        <f t="shared" si="251"/>
        <v>8.003075559639232E-2</v>
      </c>
      <c r="H265" s="3">
        <f t="shared" si="251"/>
        <v>8.003075559639232E-2</v>
      </c>
      <c r="I265" s="3">
        <f t="shared" si="251"/>
        <v>8.003075559639232E-2</v>
      </c>
      <c r="J265" s="3">
        <f t="shared" si="251"/>
        <v>8.003075559639232E-2</v>
      </c>
      <c r="K265" s="3">
        <f t="shared" si="251"/>
        <v>8.003075559639232E-2</v>
      </c>
      <c r="L265" s="3">
        <f t="shared" si="251"/>
        <v>8.0030755596392306E-2</v>
      </c>
      <c r="M265" s="3">
        <f t="shared" si="251"/>
        <v>8.0030755596392111E-2</v>
      </c>
      <c r="N265" s="3">
        <f t="shared" si="251"/>
        <v>8.0030755596390307E-2</v>
      </c>
      <c r="O265" s="3">
        <f t="shared" si="251"/>
        <v>8.003075559637228E-2</v>
      </c>
      <c r="P265" s="3">
        <f t="shared" si="251"/>
        <v>8.0030755596191938E-2</v>
      </c>
      <c r="Q265" s="3">
        <f t="shared" si="251"/>
        <v>8.0030755594388409E-2</v>
      </c>
      <c r="R265" s="3">
        <f t="shared" si="251"/>
        <v>8.0030755576353169E-2</v>
      </c>
      <c r="S265" s="3">
        <f t="shared" si="251"/>
        <v>8.0030755396000838E-2</v>
      </c>
      <c r="T265" s="3">
        <f t="shared" si="251"/>
        <v>8.0030753592477563E-2</v>
      </c>
      <c r="U265" s="3">
        <f t="shared" si="251"/>
        <v>8.0030735557247004E-2</v>
      </c>
      <c r="V265" s="3">
        <f t="shared" si="251"/>
        <v>8.0030555205164999E-2</v>
      </c>
      <c r="W265" s="3">
        <f t="shared" si="251"/>
        <v>8.0028751706698459E-2</v>
      </c>
      <c r="X265" s="3">
        <f t="shared" si="251"/>
        <v>8.0010718957195193E-2</v>
      </c>
      <c r="Y265" s="3">
        <f t="shared" si="251"/>
        <v>7.9830614792130244E-2</v>
      </c>
      <c r="Z265" s="3">
        <f t="shared" si="251"/>
        <v>7.8051721040866981E-2</v>
      </c>
      <c r="AA265" s="3">
        <f t="shared" si="251"/>
        <v>6.2303519710931926E-2</v>
      </c>
      <c r="AB265" s="3">
        <f t="shared" si="251"/>
        <v>6.5435520952990076E-3</v>
      </c>
      <c r="AC265" s="3">
        <f t="shared" si="251"/>
        <v>1.0686202216263268E-12</v>
      </c>
      <c r="AD265" s="3">
        <f t="shared" si="251"/>
        <v>1.4418551276357486E-110</v>
      </c>
      <c r="AE265" s="3">
        <f t="shared" si="251"/>
        <v>0</v>
      </c>
      <c r="AF265" s="3">
        <f t="shared" si="251"/>
        <v>0</v>
      </c>
      <c r="AG265" s="3"/>
      <c r="AH265" s="3"/>
    </row>
    <row r="266" spans="2:34" x14ac:dyDescent="0.25">
      <c r="B266" s="3">
        <f t="shared" ref="B266:AF266" si="252">$C35*EXP(-B$246/$A35/EXP(-$E$126))</f>
        <v>5.3976889971713508E-2</v>
      </c>
      <c r="C266" s="3">
        <f t="shared" si="252"/>
        <v>5.3976889971713508E-2</v>
      </c>
      <c r="D266" s="3">
        <f t="shared" si="252"/>
        <v>5.3976889971713508E-2</v>
      </c>
      <c r="E266" s="3">
        <f t="shared" si="252"/>
        <v>5.3976889971713508E-2</v>
      </c>
      <c r="F266" s="3">
        <f t="shared" si="252"/>
        <v>5.3976889971713508E-2</v>
      </c>
      <c r="G266" s="3">
        <f t="shared" si="252"/>
        <v>5.3976889971713508E-2</v>
      </c>
      <c r="H266" s="3">
        <f t="shared" si="252"/>
        <v>5.3976889971713508E-2</v>
      </c>
      <c r="I266" s="3">
        <f t="shared" si="252"/>
        <v>5.3976889971713508E-2</v>
      </c>
      <c r="J266" s="3">
        <f t="shared" si="252"/>
        <v>5.3976889971713508E-2</v>
      </c>
      <c r="K266" s="3">
        <f t="shared" si="252"/>
        <v>5.3976889971713508E-2</v>
      </c>
      <c r="L266" s="3">
        <f t="shared" si="252"/>
        <v>5.3976889971713508E-2</v>
      </c>
      <c r="M266" s="3">
        <f t="shared" si="252"/>
        <v>5.3976889971713495E-2</v>
      </c>
      <c r="N266" s="3">
        <f t="shared" si="252"/>
        <v>5.397688997171339E-2</v>
      </c>
      <c r="O266" s="3">
        <f t="shared" si="252"/>
        <v>5.3976889971712294E-2</v>
      </c>
      <c r="P266" s="3">
        <f t="shared" si="252"/>
        <v>5.3976889971701317E-2</v>
      </c>
      <c r="Q266" s="3">
        <f t="shared" si="252"/>
        <v>5.3976889971591585E-2</v>
      </c>
      <c r="R266" s="3">
        <f t="shared" si="252"/>
        <v>5.3976889970494303E-2</v>
      </c>
      <c r="S266" s="3">
        <f t="shared" si="252"/>
        <v>5.3976889959521455E-2</v>
      </c>
      <c r="T266" s="3">
        <f t="shared" si="252"/>
        <v>5.3976889849792993E-2</v>
      </c>
      <c r="U266" s="3">
        <f t="shared" si="252"/>
        <v>5.3976888752508397E-2</v>
      </c>
      <c r="V266" s="3">
        <f t="shared" si="252"/>
        <v>5.3976877779663611E-2</v>
      </c>
      <c r="W266" s="3">
        <f t="shared" si="252"/>
        <v>5.3976768051338463E-2</v>
      </c>
      <c r="X266" s="3">
        <f t="shared" si="252"/>
        <v>5.3975670780355423E-2</v>
      </c>
      <c r="Y266" s="3">
        <f t="shared" si="252"/>
        <v>5.3964699297277964E-2</v>
      </c>
      <c r="Z266" s="3">
        <f t="shared" si="252"/>
        <v>5.3855107049578022E-2</v>
      </c>
      <c r="AA266" s="3">
        <f t="shared" si="252"/>
        <v>5.2771351176554425E-2</v>
      </c>
      <c r="AB266" s="3">
        <f t="shared" si="252"/>
        <v>4.3063707876250509E-2</v>
      </c>
      <c r="AC266" s="3">
        <f t="shared" si="252"/>
        <v>5.6395374756823009E-3</v>
      </c>
      <c r="AD266" s="3">
        <f t="shared" si="252"/>
        <v>8.3668917254625029E-12</v>
      </c>
      <c r="AE266" s="3">
        <f t="shared" si="252"/>
        <v>4.3228559931232915E-100</v>
      </c>
      <c r="AF266" s="3">
        <f t="shared" si="252"/>
        <v>0</v>
      </c>
      <c r="AG266" s="3"/>
      <c r="AH266" s="3"/>
    </row>
    <row r="267" spans="2:34" x14ac:dyDescent="0.25">
      <c r="B267" s="3">
        <f t="shared" ref="B267:AF267" si="253">$C36*EXP(-B$246/$A36/EXP(-$E$126))</f>
        <v>2.9623895965477303E-2</v>
      </c>
      <c r="C267" s="3">
        <f t="shared" si="253"/>
        <v>2.9623895965477303E-2</v>
      </c>
      <c r="D267" s="3">
        <f t="shared" si="253"/>
        <v>2.9623895965477303E-2</v>
      </c>
      <c r="E267" s="3">
        <f t="shared" si="253"/>
        <v>2.9623895965477303E-2</v>
      </c>
      <c r="F267" s="3">
        <f t="shared" si="253"/>
        <v>2.9623895965477303E-2</v>
      </c>
      <c r="G267" s="3">
        <f t="shared" si="253"/>
        <v>2.9623895965477303E-2</v>
      </c>
      <c r="H267" s="3">
        <f t="shared" si="253"/>
        <v>2.9623895965477303E-2</v>
      </c>
      <c r="I267" s="3">
        <f t="shared" si="253"/>
        <v>2.9623895965477303E-2</v>
      </c>
      <c r="J267" s="3">
        <f t="shared" si="253"/>
        <v>2.9623895965477303E-2</v>
      </c>
      <c r="K267" s="3">
        <f t="shared" si="253"/>
        <v>2.9623895965477303E-2</v>
      </c>
      <c r="L267" s="3">
        <f t="shared" si="253"/>
        <v>2.9623895965477303E-2</v>
      </c>
      <c r="M267" s="3">
        <f t="shared" si="253"/>
        <v>2.9623895965477303E-2</v>
      </c>
      <c r="N267" s="3">
        <f t="shared" si="253"/>
        <v>2.9623895965477296E-2</v>
      </c>
      <c r="O267" s="3">
        <f t="shared" si="253"/>
        <v>2.9623895965477244E-2</v>
      </c>
      <c r="P267" s="3">
        <f t="shared" si="253"/>
        <v>2.9623895965476699E-2</v>
      </c>
      <c r="Q267" s="3">
        <f t="shared" si="253"/>
        <v>2.9623895965471266E-2</v>
      </c>
      <c r="R267" s="3">
        <f t="shared" si="253"/>
        <v>2.9623895965416942E-2</v>
      </c>
      <c r="S267" s="3">
        <f t="shared" si="253"/>
        <v>2.9623895964873692E-2</v>
      </c>
      <c r="T267" s="3">
        <f t="shared" si="253"/>
        <v>2.9623895959441187E-2</v>
      </c>
      <c r="U267" s="3">
        <f t="shared" si="253"/>
        <v>2.9623895905116125E-2</v>
      </c>
      <c r="V267" s="3">
        <f t="shared" si="253"/>
        <v>2.9623895361865556E-2</v>
      </c>
      <c r="W267" s="3">
        <f t="shared" si="253"/>
        <v>2.9623889929360388E-2</v>
      </c>
      <c r="X267" s="3">
        <f t="shared" si="253"/>
        <v>2.9623835604363501E-2</v>
      </c>
      <c r="Y267" s="3">
        <f t="shared" si="253"/>
        <v>2.9623292359873828E-2</v>
      </c>
      <c r="Z267" s="3">
        <f t="shared" si="253"/>
        <v>2.961786046286051E-2</v>
      </c>
      <c r="AA267" s="3">
        <f t="shared" si="253"/>
        <v>2.9563596243914112E-2</v>
      </c>
      <c r="AB267" s="3">
        <f t="shared" si="253"/>
        <v>2.9026392205122972E-2</v>
      </c>
      <c r="AC267" s="3">
        <f t="shared" si="253"/>
        <v>2.4163009618632342E-2</v>
      </c>
      <c r="AD267" s="3">
        <f t="shared" si="253"/>
        <v>3.8612747312102313E-3</v>
      </c>
      <c r="AE267" s="3">
        <f t="shared" si="253"/>
        <v>4.1930251239513333E-11</v>
      </c>
      <c r="AF267" s="3">
        <f t="shared" si="253"/>
        <v>9.560818671593361E-91</v>
      </c>
      <c r="AG267" s="3"/>
      <c r="AH267" s="3"/>
    </row>
    <row r="268" spans="2:34" x14ac:dyDescent="0.25">
      <c r="B268" s="3">
        <f t="shared" ref="B268:AF268" si="254">$C37*EXP(-B$246/$A37/EXP(-$E$126))</f>
        <v>1.5005107194779805E-2</v>
      </c>
      <c r="C268" s="3">
        <f t="shared" si="254"/>
        <v>1.5005107194779805E-2</v>
      </c>
      <c r="D268" s="3">
        <f t="shared" si="254"/>
        <v>1.5005107194779805E-2</v>
      </c>
      <c r="E268" s="3">
        <f t="shared" si="254"/>
        <v>1.5005107194779805E-2</v>
      </c>
      <c r="F268" s="3">
        <f t="shared" si="254"/>
        <v>1.5005107194779805E-2</v>
      </c>
      <c r="G268" s="3">
        <f t="shared" si="254"/>
        <v>1.5005107194779805E-2</v>
      </c>
      <c r="H268" s="3">
        <f t="shared" si="254"/>
        <v>1.5005107194779805E-2</v>
      </c>
      <c r="I268" s="3">
        <f t="shared" si="254"/>
        <v>1.5005107194779805E-2</v>
      </c>
      <c r="J268" s="3">
        <f t="shared" si="254"/>
        <v>1.5005107194779805E-2</v>
      </c>
      <c r="K268" s="3">
        <f t="shared" si="254"/>
        <v>1.5005107194779805E-2</v>
      </c>
      <c r="L268" s="3">
        <f t="shared" si="254"/>
        <v>1.5005107194779805E-2</v>
      </c>
      <c r="M268" s="3">
        <f t="shared" si="254"/>
        <v>1.5005107194779805E-2</v>
      </c>
      <c r="N268" s="3">
        <f t="shared" si="254"/>
        <v>1.5005107194779805E-2</v>
      </c>
      <c r="O268" s="3">
        <f t="shared" si="254"/>
        <v>1.5005107194779802E-2</v>
      </c>
      <c r="P268" s="3">
        <f t="shared" si="254"/>
        <v>1.5005107194779778E-2</v>
      </c>
      <c r="Q268" s="3">
        <f t="shared" si="254"/>
        <v>1.5005107194779529E-2</v>
      </c>
      <c r="R268" s="3">
        <f t="shared" si="254"/>
        <v>1.5005107194777047E-2</v>
      </c>
      <c r="S268" s="3">
        <f t="shared" si="254"/>
        <v>1.5005107194752225E-2</v>
      </c>
      <c r="T268" s="3">
        <f t="shared" si="254"/>
        <v>1.5005107194504E-2</v>
      </c>
      <c r="U268" s="3">
        <f t="shared" si="254"/>
        <v>1.5005107192021762E-2</v>
      </c>
      <c r="V268" s="3">
        <f t="shared" si="254"/>
        <v>1.5005107167199364E-2</v>
      </c>
      <c r="W268" s="3">
        <f t="shared" si="254"/>
        <v>1.5005106918975396E-2</v>
      </c>
      <c r="X268" s="3">
        <f t="shared" si="254"/>
        <v>1.5005104436735955E-2</v>
      </c>
      <c r="Y268" s="3">
        <f t="shared" si="254"/>
        <v>1.5005079614364111E-2</v>
      </c>
      <c r="Z268" s="3">
        <f t="shared" si="254"/>
        <v>1.5004831392904103E-2</v>
      </c>
      <c r="AA268" s="3">
        <f t="shared" si="254"/>
        <v>1.5002349404133954E-2</v>
      </c>
      <c r="AB268" s="3">
        <f t="shared" si="254"/>
        <v>1.4977552085608229E-2</v>
      </c>
      <c r="AC268" s="3">
        <f t="shared" si="254"/>
        <v>1.4731822064758612E-2</v>
      </c>
      <c r="AD268" s="3">
        <f t="shared" si="254"/>
        <v>1.2485695117647138E-2</v>
      </c>
      <c r="AE268" s="3">
        <f t="shared" si="254"/>
        <v>2.3876756917044547E-3</v>
      </c>
      <c r="AF268" s="3">
        <f t="shared" si="254"/>
        <v>1.5617138403880618E-10</v>
      </c>
      <c r="AG268" s="3"/>
      <c r="AH268" s="3"/>
    </row>
    <row r="269" spans="2:34" x14ac:dyDescent="0.25">
      <c r="B269" s="3">
        <f t="shared" ref="B269:AF269" si="255">$C38*EXP(-B$246/$A38/EXP(-$E$126))</f>
        <v>4.0905508263932881E-3</v>
      </c>
      <c r="C269" s="3">
        <f t="shared" si="255"/>
        <v>4.0905508263932881E-3</v>
      </c>
      <c r="D269" s="3">
        <f t="shared" si="255"/>
        <v>4.0905508263932881E-3</v>
      </c>
      <c r="E269" s="3">
        <f t="shared" si="255"/>
        <v>4.0905508263932881E-3</v>
      </c>
      <c r="F269" s="3">
        <f t="shared" si="255"/>
        <v>4.0905508263932881E-3</v>
      </c>
      <c r="G269" s="3">
        <f t="shared" si="255"/>
        <v>4.0905508263932881E-3</v>
      </c>
      <c r="H269" s="3">
        <f t="shared" si="255"/>
        <v>4.0905508263932881E-3</v>
      </c>
      <c r="I269" s="3">
        <f t="shared" si="255"/>
        <v>4.0905508263932881E-3</v>
      </c>
      <c r="J269" s="3">
        <f t="shared" si="255"/>
        <v>4.0905508263932881E-3</v>
      </c>
      <c r="K269" s="3">
        <f t="shared" si="255"/>
        <v>4.0905508263932881E-3</v>
      </c>
      <c r="L269" s="3">
        <f t="shared" si="255"/>
        <v>4.0905508263932881E-3</v>
      </c>
      <c r="M269" s="3">
        <f t="shared" si="255"/>
        <v>4.0905508263932881E-3</v>
      </c>
      <c r="N269" s="3">
        <f t="shared" si="255"/>
        <v>4.0905508263932881E-3</v>
      </c>
      <c r="O269" s="3">
        <f t="shared" si="255"/>
        <v>4.0905508263932881E-3</v>
      </c>
      <c r="P269" s="3">
        <f t="shared" si="255"/>
        <v>4.0905508263932872E-3</v>
      </c>
      <c r="Q269" s="3">
        <f t="shared" si="255"/>
        <v>4.0905508263932812E-3</v>
      </c>
      <c r="R269" s="3">
        <f t="shared" si="255"/>
        <v>4.0905508263932204E-3</v>
      </c>
      <c r="S269" s="3">
        <f t="shared" si="255"/>
        <v>4.0905508263926098E-3</v>
      </c>
      <c r="T269" s="3">
        <f t="shared" si="255"/>
        <v>4.0905508263865053E-3</v>
      </c>
      <c r="U269" s="3">
        <f t="shared" si="255"/>
        <v>4.090550826325463E-3</v>
      </c>
      <c r="V269" s="3">
        <f t="shared" si="255"/>
        <v>4.0905508257150372E-3</v>
      </c>
      <c r="W269" s="3">
        <f t="shared" si="255"/>
        <v>4.0905508196107778E-3</v>
      </c>
      <c r="X269" s="3">
        <f t="shared" si="255"/>
        <v>4.0905507585681814E-3</v>
      </c>
      <c r="Y269" s="3">
        <f t="shared" si="255"/>
        <v>4.0905501481422728E-3</v>
      </c>
      <c r="Z269" s="3">
        <f t="shared" si="255"/>
        <v>4.0905440438881941E-3</v>
      </c>
      <c r="AA269" s="3">
        <f t="shared" si="255"/>
        <v>4.0904830018484188E-3</v>
      </c>
      <c r="AB269" s="3">
        <f t="shared" si="255"/>
        <v>4.0898726315486524E-3</v>
      </c>
      <c r="AC269" s="3">
        <f t="shared" si="255"/>
        <v>4.0837739355843432E-3</v>
      </c>
      <c r="AD269" s="3">
        <f t="shared" si="255"/>
        <v>4.0232849256711736E-3</v>
      </c>
      <c r="AE269" s="3">
        <f t="shared" si="255"/>
        <v>3.465546741978332E-3</v>
      </c>
      <c r="AF269" s="3">
        <f t="shared" si="255"/>
        <v>7.7925835742908103E-4</v>
      </c>
      <c r="AG269" s="3"/>
      <c r="AH269" s="3"/>
    </row>
    <row r="270" spans="2:34" x14ac:dyDescent="0.25">
      <c r="B270" s="3">
        <f t="shared" ref="B270:AF270" si="256">$C39*EXP(-B$246/$A39/EXP(-$E$126))</f>
        <v>4.6207327982835155E-3</v>
      </c>
      <c r="C270" s="3">
        <f t="shared" si="256"/>
        <v>4.6207327982835155E-3</v>
      </c>
      <c r="D270" s="3">
        <f t="shared" si="256"/>
        <v>4.6207327982835155E-3</v>
      </c>
      <c r="E270" s="3">
        <f t="shared" si="256"/>
        <v>4.6207327982835155E-3</v>
      </c>
      <c r="F270" s="3">
        <f t="shared" si="256"/>
        <v>4.6207327982835155E-3</v>
      </c>
      <c r="G270" s="3">
        <f t="shared" si="256"/>
        <v>4.6207327982835155E-3</v>
      </c>
      <c r="H270" s="3">
        <f t="shared" si="256"/>
        <v>4.6207327982835155E-3</v>
      </c>
      <c r="I270" s="3">
        <f t="shared" si="256"/>
        <v>4.6207327982835155E-3</v>
      </c>
      <c r="J270" s="3">
        <f t="shared" si="256"/>
        <v>4.6207327982835155E-3</v>
      </c>
      <c r="K270" s="3">
        <f t="shared" si="256"/>
        <v>4.6207327982835155E-3</v>
      </c>
      <c r="L270" s="3">
        <f t="shared" si="256"/>
        <v>4.6207327982835155E-3</v>
      </c>
      <c r="M270" s="3">
        <f t="shared" si="256"/>
        <v>4.6207327982835155E-3</v>
      </c>
      <c r="N270" s="3">
        <f t="shared" si="256"/>
        <v>4.6207327982835155E-3</v>
      </c>
      <c r="O270" s="3">
        <f t="shared" si="256"/>
        <v>4.6207327982835155E-3</v>
      </c>
      <c r="P270" s="3">
        <f t="shared" si="256"/>
        <v>4.6207327982835155E-3</v>
      </c>
      <c r="Q270" s="3">
        <f t="shared" si="256"/>
        <v>4.6207327982835137E-3</v>
      </c>
      <c r="R270" s="3">
        <f t="shared" si="256"/>
        <v>4.6207327982834947E-3</v>
      </c>
      <c r="S270" s="3">
        <f t="shared" si="256"/>
        <v>4.6207327982833038E-3</v>
      </c>
      <c r="T270" s="3">
        <f t="shared" si="256"/>
        <v>4.6207327982813965E-3</v>
      </c>
      <c r="U270" s="3">
        <f t="shared" si="256"/>
        <v>4.620732798262325E-3</v>
      </c>
      <c r="V270" s="3">
        <f t="shared" si="256"/>
        <v>4.6207327980716147E-3</v>
      </c>
      <c r="W270" s="3">
        <f t="shared" si="256"/>
        <v>4.6207327961645082E-3</v>
      </c>
      <c r="X270" s="3">
        <f t="shared" si="256"/>
        <v>4.6207327770934449E-3</v>
      </c>
      <c r="Y270" s="3">
        <f t="shared" si="256"/>
        <v>4.6207325863828102E-3</v>
      </c>
      <c r="Z270" s="3">
        <f t="shared" si="256"/>
        <v>4.6207306792768977E-3</v>
      </c>
      <c r="AA270" s="3">
        <f t="shared" si="256"/>
        <v>4.6207116082610687E-3</v>
      </c>
      <c r="AB270" s="3">
        <f t="shared" si="256"/>
        <v>4.6205209024318466E-3</v>
      </c>
      <c r="AC270" s="3">
        <f t="shared" si="256"/>
        <v>4.6186142769802253E-3</v>
      </c>
      <c r="AD270" s="3">
        <f t="shared" si="256"/>
        <v>4.5995912404981042E-3</v>
      </c>
      <c r="AE270" s="3">
        <f t="shared" si="256"/>
        <v>4.4136174033571861E-3</v>
      </c>
      <c r="AF270" s="3">
        <f t="shared" si="256"/>
        <v>2.9211182319664984E-3</v>
      </c>
      <c r="AG270" s="3"/>
      <c r="AH270" s="3"/>
    </row>
    <row r="271" spans="2:34" x14ac:dyDescent="0.25">
      <c r="B271" s="3">
        <f t="shared" ref="B271:AF271" si="257">$C40*EXP(-B$246/$A40/EXP(-$E$126))</f>
        <v>2.0598839061917876E-3</v>
      </c>
      <c r="C271" s="3">
        <f t="shared" si="257"/>
        <v>2.0598839061917876E-3</v>
      </c>
      <c r="D271" s="3">
        <f t="shared" si="257"/>
        <v>2.0598839061917876E-3</v>
      </c>
      <c r="E271" s="3">
        <f t="shared" si="257"/>
        <v>2.0598839061917876E-3</v>
      </c>
      <c r="F271" s="3">
        <f t="shared" si="257"/>
        <v>2.0598839061917876E-3</v>
      </c>
      <c r="G271" s="3">
        <f t="shared" si="257"/>
        <v>2.0598839061917876E-3</v>
      </c>
      <c r="H271" s="3">
        <f t="shared" si="257"/>
        <v>2.0598839061917876E-3</v>
      </c>
      <c r="I271" s="3">
        <f t="shared" si="257"/>
        <v>2.0598839061917876E-3</v>
      </c>
      <c r="J271" s="3">
        <f t="shared" si="257"/>
        <v>2.0598839061917876E-3</v>
      </c>
      <c r="K271" s="3">
        <f t="shared" si="257"/>
        <v>2.0598839061917876E-3</v>
      </c>
      <c r="L271" s="3">
        <f t="shared" si="257"/>
        <v>2.0598839061917876E-3</v>
      </c>
      <c r="M271" s="3">
        <f t="shared" si="257"/>
        <v>2.0598839061917876E-3</v>
      </c>
      <c r="N271" s="3">
        <f t="shared" si="257"/>
        <v>2.0598839061917876E-3</v>
      </c>
      <c r="O271" s="3">
        <f t="shared" si="257"/>
        <v>2.0598839061917876E-3</v>
      </c>
      <c r="P271" s="3">
        <f t="shared" si="257"/>
        <v>2.0598839061917876E-3</v>
      </c>
      <c r="Q271" s="3">
        <f t="shared" si="257"/>
        <v>2.0598839061917876E-3</v>
      </c>
      <c r="R271" s="3">
        <f t="shared" si="257"/>
        <v>2.0598839061917867E-3</v>
      </c>
      <c r="S271" s="3">
        <f t="shared" si="257"/>
        <v>2.0598839061917781E-3</v>
      </c>
      <c r="T271" s="3">
        <f t="shared" si="257"/>
        <v>2.0598839061916931E-3</v>
      </c>
      <c r="U271" s="3">
        <f t="shared" si="257"/>
        <v>2.0598839061908431E-3</v>
      </c>
      <c r="V271" s="3">
        <f t="shared" si="257"/>
        <v>2.0598839061823412E-3</v>
      </c>
      <c r="W271" s="3">
        <f t="shared" si="257"/>
        <v>2.0598839060973241E-3</v>
      </c>
      <c r="X271" s="3">
        <f t="shared" si="257"/>
        <v>2.0598839052471522E-3</v>
      </c>
      <c r="Y271" s="3">
        <f t="shared" si="257"/>
        <v>2.059883896745432E-3</v>
      </c>
      <c r="Z271" s="3">
        <f t="shared" si="257"/>
        <v>2.0598838117282313E-3</v>
      </c>
      <c r="AA271" s="3">
        <f t="shared" si="257"/>
        <v>2.0598829615564194E-3</v>
      </c>
      <c r="AB271" s="3">
        <f t="shared" si="257"/>
        <v>2.0598744598575988E-3</v>
      </c>
      <c r="AC271" s="3">
        <f t="shared" si="257"/>
        <v>2.0597894447992563E-3</v>
      </c>
      <c r="AD271" s="3">
        <f t="shared" si="257"/>
        <v>2.0589394871725376E-3</v>
      </c>
      <c r="AE271" s="3">
        <f t="shared" si="257"/>
        <v>2.0504591771422806E-3</v>
      </c>
      <c r="AF271" s="3">
        <f t="shared" si="257"/>
        <v>1.9675536011605627E-3</v>
      </c>
      <c r="AG271" s="3"/>
      <c r="AH271" s="3"/>
    </row>
    <row r="272" spans="2:34" x14ac:dyDescent="0.25">
      <c r="B272" s="3">
        <f t="shared" ref="B272:AF272" si="258">$C41*EXP(-B$246/$A41/EXP(-$E$126))</f>
        <v>2.0793314772124174E-3</v>
      </c>
      <c r="C272" s="3">
        <f t="shared" si="258"/>
        <v>2.0793314772124174E-3</v>
      </c>
      <c r="D272" s="3">
        <f t="shared" si="258"/>
        <v>2.0793314772124174E-3</v>
      </c>
      <c r="E272" s="3">
        <f t="shared" si="258"/>
        <v>2.0793314772124174E-3</v>
      </c>
      <c r="F272" s="3">
        <f t="shared" si="258"/>
        <v>2.0793314772124174E-3</v>
      </c>
      <c r="G272" s="3">
        <f t="shared" si="258"/>
        <v>2.0793314772124174E-3</v>
      </c>
      <c r="H272" s="3">
        <f t="shared" si="258"/>
        <v>2.0793314772124174E-3</v>
      </c>
      <c r="I272" s="3">
        <f t="shared" si="258"/>
        <v>2.0793314772124174E-3</v>
      </c>
      <c r="J272" s="3">
        <f t="shared" si="258"/>
        <v>2.0793314772124174E-3</v>
      </c>
      <c r="K272" s="3">
        <f t="shared" si="258"/>
        <v>2.0793314772124174E-3</v>
      </c>
      <c r="L272" s="3">
        <f t="shared" si="258"/>
        <v>2.0793314772124174E-3</v>
      </c>
      <c r="M272" s="3">
        <f t="shared" si="258"/>
        <v>2.0793314772124174E-3</v>
      </c>
      <c r="N272" s="3">
        <f t="shared" si="258"/>
        <v>2.0793314772124174E-3</v>
      </c>
      <c r="O272" s="3">
        <f t="shared" si="258"/>
        <v>2.0793314772124174E-3</v>
      </c>
      <c r="P272" s="3">
        <f t="shared" si="258"/>
        <v>2.0793314772124174E-3</v>
      </c>
      <c r="Q272" s="3">
        <f t="shared" si="258"/>
        <v>2.0793314772124174E-3</v>
      </c>
      <c r="R272" s="3">
        <f t="shared" si="258"/>
        <v>2.0793314772124174E-3</v>
      </c>
      <c r="S272" s="3">
        <f t="shared" si="258"/>
        <v>2.0793314772124165E-3</v>
      </c>
      <c r="T272" s="3">
        <f t="shared" si="258"/>
        <v>2.0793314772124078E-3</v>
      </c>
      <c r="U272" s="3">
        <f t="shared" si="258"/>
        <v>2.079331477212322E-3</v>
      </c>
      <c r="V272" s="3">
        <f t="shared" si="258"/>
        <v>2.0793314772114637E-3</v>
      </c>
      <c r="W272" s="3">
        <f t="shared" si="258"/>
        <v>2.0793314772028816E-3</v>
      </c>
      <c r="X272" s="3">
        <f t="shared" si="258"/>
        <v>2.0793314771170622E-3</v>
      </c>
      <c r="Y272" s="3">
        <f t="shared" si="258"/>
        <v>2.0793314762588633E-3</v>
      </c>
      <c r="Z272" s="3">
        <f t="shared" si="258"/>
        <v>2.0793314676768775E-3</v>
      </c>
      <c r="AA272" s="3">
        <f t="shared" si="258"/>
        <v>2.0793313818570211E-3</v>
      </c>
      <c r="AB272" s="3">
        <f t="shared" si="258"/>
        <v>2.0793305236586515E-3</v>
      </c>
      <c r="AC272" s="3">
        <f t="shared" si="258"/>
        <v>2.079321941694438E-3</v>
      </c>
      <c r="AD272" s="3">
        <f t="shared" si="258"/>
        <v>2.0792361240003837E-3</v>
      </c>
      <c r="AE272" s="3">
        <f t="shared" si="258"/>
        <v>2.0783781418382725E-3</v>
      </c>
      <c r="AF272" s="3">
        <f t="shared" si="258"/>
        <v>2.0698177683485678E-3</v>
      </c>
      <c r="AG272" s="3"/>
      <c r="AH272" s="3"/>
    </row>
    <row r="273" spans="1:34" x14ac:dyDescent="0.25">
      <c r="B273" s="3">
        <f t="shared" ref="B273:AF273" si="259">$C42*EXP(-B$246/$A42/EXP(-$E$126))</f>
        <v>0</v>
      </c>
      <c r="C273" s="3">
        <f t="shared" si="259"/>
        <v>0</v>
      </c>
      <c r="D273" s="3">
        <f t="shared" si="259"/>
        <v>0</v>
      </c>
      <c r="E273" s="3">
        <f t="shared" si="259"/>
        <v>0</v>
      </c>
      <c r="F273" s="3">
        <f t="shared" si="259"/>
        <v>0</v>
      </c>
      <c r="G273" s="3">
        <f t="shared" si="259"/>
        <v>0</v>
      </c>
      <c r="H273" s="3">
        <f t="shared" si="259"/>
        <v>0</v>
      </c>
      <c r="I273" s="3">
        <f t="shared" si="259"/>
        <v>0</v>
      </c>
      <c r="J273" s="3">
        <f t="shared" si="259"/>
        <v>0</v>
      </c>
      <c r="K273" s="3">
        <f t="shared" si="259"/>
        <v>0</v>
      </c>
      <c r="L273" s="3">
        <f t="shared" si="259"/>
        <v>0</v>
      </c>
      <c r="M273" s="3">
        <f t="shared" si="259"/>
        <v>0</v>
      </c>
      <c r="N273" s="3">
        <f t="shared" si="259"/>
        <v>0</v>
      </c>
      <c r="O273" s="3">
        <f t="shared" si="259"/>
        <v>0</v>
      </c>
      <c r="P273" s="3">
        <f t="shared" si="259"/>
        <v>0</v>
      </c>
      <c r="Q273" s="3">
        <f t="shared" si="259"/>
        <v>0</v>
      </c>
      <c r="R273" s="3">
        <f t="shared" si="259"/>
        <v>0</v>
      </c>
      <c r="S273" s="3">
        <f t="shared" si="259"/>
        <v>0</v>
      </c>
      <c r="T273" s="3">
        <f t="shared" si="259"/>
        <v>0</v>
      </c>
      <c r="U273" s="3">
        <f t="shared" si="259"/>
        <v>0</v>
      </c>
      <c r="V273" s="3">
        <f t="shared" si="259"/>
        <v>0</v>
      </c>
      <c r="W273" s="3">
        <f t="shared" si="259"/>
        <v>0</v>
      </c>
      <c r="X273" s="3">
        <f t="shared" si="259"/>
        <v>0</v>
      </c>
      <c r="Y273" s="3">
        <f t="shared" si="259"/>
        <v>0</v>
      </c>
      <c r="Z273" s="3">
        <f t="shared" si="259"/>
        <v>0</v>
      </c>
      <c r="AA273" s="3">
        <f t="shared" si="259"/>
        <v>0</v>
      </c>
      <c r="AB273" s="3">
        <f t="shared" si="259"/>
        <v>0</v>
      </c>
      <c r="AC273" s="3">
        <f t="shared" si="259"/>
        <v>0</v>
      </c>
      <c r="AD273" s="3">
        <f t="shared" si="259"/>
        <v>0</v>
      </c>
      <c r="AE273" s="3">
        <f t="shared" si="259"/>
        <v>0</v>
      </c>
      <c r="AF273" s="3">
        <f t="shared" si="259"/>
        <v>0</v>
      </c>
      <c r="AG273" s="3"/>
      <c r="AH273" s="3"/>
    </row>
    <row r="274" spans="1:34" x14ac:dyDescent="0.25">
      <c r="B274" s="3">
        <f t="shared" ref="B274:AF274" si="260">$C43*EXP(-B$246/$A43/EXP(-$E$126))</f>
        <v>2.538048611821601E-3</v>
      </c>
      <c r="C274" s="3">
        <f t="shared" si="260"/>
        <v>2.538048611821601E-3</v>
      </c>
      <c r="D274" s="3">
        <f t="shared" si="260"/>
        <v>2.538048611821601E-3</v>
      </c>
      <c r="E274" s="3">
        <f t="shared" si="260"/>
        <v>2.538048611821601E-3</v>
      </c>
      <c r="F274" s="3">
        <f t="shared" si="260"/>
        <v>2.538048611821601E-3</v>
      </c>
      <c r="G274" s="3">
        <f t="shared" si="260"/>
        <v>2.538048611821601E-3</v>
      </c>
      <c r="H274" s="3">
        <f t="shared" si="260"/>
        <v>2.538048611821601E-3</v>
      </c>
      <c r="I274" s="3">
        <f t="shared" si="260"/>
        <v>2.538048611821601E-3</v>
      </c>
      <c r="J274" s="3">
        <f t="shared" si="260"/>
        <v>2.538048611821601E-3</v>
      </c>
      <c r="K274" s="3">
        <f t="shared" si="260"/>
        <v>2.538048611821601E-3</v>
      </c>
      <c r="L274" s="3">
        <f t="shared" si="260"/>
        <v>2.538048611821601E-3</v>
      </c>
      <c r="M274" s="3">
        <f t="shared" si="260"/>
        <v>2.538048611821601E-3</v>
      </c>
      <c r="N274" s="3">
        <f t="shared" si="260"/>
        <v>2.538048611821601E-3</v>
      </c>
      <c r="O274" s="3">
        <f t="shared" si="260"/>
        <v>2.538048611821601E-3</v>
      </c>
      <c r="P274" s="3">
        <f t="shared" si="260"/>
        <v>2.538048611821601E-3</v>
      </c>
      <c r="Q274" s="3">
        <f t="shared" si="260"/>
        <v>2.538048611821601E-3</v>
      </c>
      <c r="R274" s="3">
        <f t="shared" si="260"/>
        <v>2.538048611821601E-3</v>
      </c>
      <c r="S274" s="3">
        <f t="shared" si="260"/>
        <v>2.538048611821601E-3</v>
      </c>
      <c r="T274" s="3">
        <f t="shared" si="260"/>
        <v>2.538048611821601E-3</v>
      </c>
      <c r="U274" s="3">
        <f t="shared" si="260"/>
        <v>2.5380486118215997E-3</v>
      </c>
      <c r="V274" s="3">
        <f t="shared" si="260"/>
        <v>2.5380486118215893E-3</v>
      </c>
      <c r="W274" s="3">
        <f t="shared" si="260"/>
        <v>2.5380486118214847E-3</v>
      </c>
      <c r="X274" s="3">
        <f t="shared" si="260"/>
        <v>2.538048611820437E-3</v>
      </c>
      <c r="Y274" s="3">
        <f t="shared" si="260"/>
        <v>2.5380486118099618E-3</v>
      </c>
      <c r="Z274" s="3">
        <f t="shared" si="260"/>
        <v>2.5380486117052097E-3</v>
      </c>
      <c r="AA274" s="3">
        <f t="shared" si="260"/>
        <v>2.5380486106576852E-3</v>
      </c>
      <c r="AB274" s="3">
        <f t="shared" si="260"/>
        <v>2.5380486001824452E-3</v>
      </c>
      <c r="AC274" s="3">
        <f t="shared" si="260"/>
        <v>2.5380484954300427E-3</v>
      </c>
      <c r="AD274" s="3">
        <f t="shared" si="260"/>
        <v>2.5380474479062571E-3</v>
      </c>
      <c r="AE274" s="3">
        <f t="shared" si="260"/>
        <v>2.5380369726921807E-3</v>
      </c>
      <c r="AF274" s="3">
        <f t="shared" si="260"/>
        <v>2.5379322229292637E-3</v>
      </c>
      <c r="AG274" s="3"/>
      <c r="AH274" s="3"/>
    </row>
    <row r="275" spans="1:34" x14ac:dyDescent="0.25">
      <c r="B275" s="3">
        <f t="shared" ref="B275:AF275" si="261">$C44*EXP(-B$246/$A44/EXP(-$E$126))</f>
        <v>1.186723127453265E-7</v>
      </c>
      <c r="C275" s="3">
        <f t="shared" si="261"/>
        <v>1.186723127453265E-7</v>
      </c>
      <c r="D275" s="3">
        <f t="shared" si="261"/>
        <v>1.186723127453265E-7</v>
      </c>
      <c r="E275" s="3">
        <f t="shared" si="261"/>
        <v>1.186723127453265E-7</v>
      </c>
      <c r="F275" s="3">
        <f t="shared" si="261"/>
        <v>1.186723127453265E-7</v>
      </c>
      <c r="G275" s="3">
        <f t="shared" si="261"/>
        <v>1.186723127453265E-7</v>
      </c>
      <c r="H275" s="3">
        <f t="shared" si="261"/>
        <v>1.186723127453265E-7</v>
      </c>
      <c r="I275" s="3">
        <f t="shared" si="261"/>
        <v>1.186723127453265E-7</v>
      </c>
      <c r="J275" s="3">
        <f t="shared" si="261"/>
        <v>1.186723127453265E-7</v>
      </c>
      <c r="K275" s="3">
        <f t="shared" si="261"/>
        <v>1.186723127453265E-7</v>
      </c>
      <c r="L275" s="3">
        <f t="shared" si="261"/>
        <v>1.186723127453265E-7</v>
      </c>
      <c r="M275" s="3">
        <f t="shared" si="261"/>
        <v>1.186723127453265E-7</v>
      </c>
      <c r="N275" s="3">
        <f t="shared" si="261"/>
        <v>1.186723127453265E-7</v>
      </c>
      <c r="O275" s="3">
        <f t="shared" si="261"/>
        <v>1.186723127453265E-7</v>
      </c>
      <c r="P275" s="3">
        <f t="shared" si="261"/>
        <v>1.186723127453265E-7</v>
      </c>
      <c r="Q275" s="3">
        <f t="shared" si="261"/>
        <v>1.186723127453265E-7</v>
      </c>
      <c r="R275" s="3">
        <f t="shared" si="261"/>
        <v>1.186723127453265E-7</v>
      </c>
      <c r="S275" s="3">
        <f t="shared" si="261"/>
        <v>1.186723127453265E-7</v>
      </c>
      <c r="T275" s="3">
        <f t="shared" si="261"/>
        <v>1.186723127453265E-7</v>
      </c>
      <c r="U275" s="3">
        <f t="shared" si="261"/>
        <v>1.186723127453265E-7</v>
      </c>
      <c r="V275" s="3">
        <f t="shared" si="261"/>
        <v>1.1867231274532644E-7</v>
      </c>
      <c r="W275" s="3">
        <f t="shared" si="261"/>
        <v>1.1867231274532595E-7</v>
      </c>
      <c r="X275" s="3">
        <f t="shared" si="261"/>
        <v>1.1867231274532106E-7</v>
      </c>
      <c r="Y275" s="3">
        <f t="shared" si="261"/>
        <v>1.1867231274527208E-7</v>
      </c>
      <c r="Z275" s="3">
        <f t="shared" si="261"/>
        <v>1.1867231274478228E-7</v>
      </c>
      <c r="AA275" s="3">
        <f t="shared" si="261"/>
        <v>1.1867231273988435E-7</v>
      </c>
      <c r="AB275" s="3">
        <f t="shared" si="261"/>
        <v>1.1867231269090493E-7</v>
      </c>
      <c r="AC275" s="3">
        <f t="shared" si="261"/>
        <v>1.1867231220111094E-7</v>
      </c>
      <c r="AD275" s="3">
        <f t="shared" si="261"/>
        <v>1.1867230730317091E-7</v>
      </c>
      <c r="AE275" s="3">
        <f t="shared" si="261"/>
        <v>1.1867225832378191E-7</v>
      </c>
      <c r="AF275" s="3">
        <f t="shared" si="261"/>
        <v>1.1867176853100366E-7</v>
      </c>
      <c r="AG275" s="3"/>
      <c r="AH275" s="3"/>
    </row>
    <row r="276" spans="1:34" x14ac:dyDescent="0.25">
      <c r="B276" s="3">
        <f t="shared" ref="B276:AF276" si="262">$C45*EXP(-B$246/$A45/EXP(-$E$126))</f>
        <v>1.5301760835243074E-4</v>
      </c>
      <c r="C276" s="3">
        <f t="shared" si="262"/>
        <v>1.5301760835243074E-4</v>
      </c>
      <c r="D276" s="3">
        <f t="shared" si="262"/>
        <v>1.5301760835243074E-4</v>
      </c>
      <c r="E276" s="3">
        <f t="shared" si="262"/>
        <v>1.5301760835243074E-4</v>
      </c>
      <c r="F276" s="3">
        <f t="shared" si="262"/>
        <v>1.5301760835243074E-4</v>
      </c>
      <c r="G276" s="3">
        <f t="shared" si="262"/>
        <v>1.5301760835243074E-4</v>
      </c>
      <c r="H276" s="3">
        <f t="shared" si="262"/>
        <v>1.5301760835243074E-4</v>
      </c>
      <c r="I276" s="3">
        <f t="shared" si="262"/>
        <v>1.5301760835243074E-4</v>
      </c>
      <c r="J276" s="3">
        <f t="shared" si="262"/>
        <v>1.5301760835243074E-4</v>
      </c>
      <c r="K276" s="3">
        <f t="shared" si="262"/>
        <v>1.5301760835243074E-4</v>
      </c>
      <c r="L276" s="3">
        <f t="shared" si="262"/>
        <v>1.5301760835243074E-4</v>
      </c>
      <c r="M276" s="3">
        <f t="shared" si="262"/>
        <v>1.5301760835243074E-4</v>
      </c>
      <c r="N276" s="3">
        <f t="shared" si="262"/>
        <v>1.5301760835243074E-4</v>
      </c>
      <c r="O276" s="3">
        <f t="shared" si="262"/>
        <v>1.5301760835243074E-4</v>
      </c>
      <c r="P276" s="3">
        <f t="shared" si="262"/>
        <v>1.5301760835243074E-4</v>
      </c>
      <c r="Q276" s="3">
        <f t="shared" si="262"/>
        <v>1.5301760835243074E-4</v>
      </c>
      <c r="R276" s="3">
        <f t="shared" si="262"/>
        <v>1.5301760835243074E-4</v>
      </c>
      <c r="S276" s="3">
        <f t="shared" si="262"/>
        <v>1.5301760835243074E-4</v>
      </c>
      <c r="T276" s="3">
        <f t="shared" si="262"/>
        <v>1.5301760835243074E-4</v>
      </c>
      <c r="U276" s="3">
        <f t="shared" si="262"/>
        <v>1.5301760835243074E-4</v>
      </c>
      <c r="V276" s="3">
        <f t="shared" si="262"/>
        <v>1.5301760835243074E-4</v>
      </c>
      <c r="W276" s="3">
        <f t="shared" si="262"/>
        <v>1.5301760835243066E-4</v>
      </c>
      <c r="X276" s="3">
        <f t="shared" si="262"/>
        <v>1.5301760835243004E-4</v>
      </c>
      <c r="Y276" s="3">
        <f t="shared" si="262"/>
        <v>1.5301760835242372E-4</v>
      </c>
      <c r="Z276" s="3">
        <f t="shared" si="262"/>
        <v>1.5301760835236057E-4</v>
      </c>
      <c r="AA276" s="3">
        <f t="shared" si="262"/>
        <v>1.5301760835172902E-4</v>
      </c>
      <c r="AB276" s="3">
        <f t="shared" si="262"/>
        <v>1.5301760834541357E-4</v>
      </c>
      <c r="AC276" s="3">
        <f t="shared" si="262"/>
        <v>1.5301760828225887E-4</v>
      </c>
      <c r="AD276" s="3">
        <f t="shared" si="262"/>
        <v>1.5301760765071219E-4</v>
      </c>
      <c r="AE276" s="3">
        <f t="shared" si="262"/>
        <v>1.5301760133524525E-4</v>
      </c>
      <c r="AF276" s="3">
        <f t="shared" si="262"/>
        <v>1.5301753818059029E-4</v>
      </c>
      <c r="AG276" s="3"/>
      <c r="AH276" s="3"/>
    </row>
    <row r="277" spans="1:34" x14ac:dyDescent="0.25">
      <c r="B277" s="3">
        <f t="shared" ref="B277:AF277" si="263">$C46*EXP(-B$246/$A46/EXP(-$E$126))</f>
        <v>1.8120582087099855E-4</v>
      </c>
      <c r="C277" s="3">
        <f t="shared" si="263"/>
        <v>1.8120582087099855E-4</v>
      </c>
      <c r="D277" s="3">
        <f t="shared" si="263"/>
        <v>1.8120582087099855E-4</v>
      </c>
      <c r="E277" s="3">
        <f t="shared" si="263"/>
        <v>1.8120582087099855E-4</v>
      </c>
      <c r="F277" s="3">
        <f t="shared" si="263"/>
        <v>1.8120582087099855E-4</v>
      </c>
      <c r="G277" s="3">
        <f t="shared" si="263"/>
        <v>1.8120582087099855E-4</v>
      </c>
      <c r="H277" s="3">
        <f t="shared" si="263"/>
        <v>1.8120582087099855E-4</v>
      </c>
      <c r="I277" s="3">
        <f t="shared" si="263"/>
        <v>1.8120582087099855E-4</v>
      </c>
      <c r="J277" s="3">
        <f t="shared" si="263"/>
        <v>1.8120582087099855E-4</v>
      </c>
      <c r="K277" s="3">
        <f t="shared" si="263"/>
        <v>1.8120582087099855E-4</v>
      </c>
      <c r="L277" s="3">
        <f t="shared" si="263"/>
        <v>1.8120582087099855E-4</v>
      </c>
      <c r="M277" s="3">
        <f t="shared" si="263"/>
        <v>1.8120582087099855E-4</v>
      </c>
      <c r="N277" s="3">
        <f t="shared" si="263"/>
        <v>1.8120582087099855E-4</v>
      </c>
      <c r="O277" s="3">
        <f t="shared" si="263"/>
        <v>1.8120582087099855E-4</v>
      </c>
      <c r="P277" s="3">
        <f t="shared" si="263"/>
        <v>1.8120582087099855E-4</v>
      </c>
      <c r="Q277" s="3">
        <f t="shared" si="263"/>
        <v>1.8120582087099855E-4</v>
      </c>
      <c r="R277" s="3">
        <f t="shared" si="263"/>
        <v>1.8120582087099855E-4</v>
      </c>
      <c r="S277" s="3">
        <f t="shared" si="263"/>
        <v>1.8120582087099855E-4</v>
      </c>
      <c r="T277" s="3">
        <f t="shared" si="263"/>
        <v>1.8120582087099855E-4</v>
      </c>
      <c r="U277" s="3">
        <f t="shared" si="263"/>
        <v>1.8120582087099855E-4</v>
      </c>
      <c r="V277" s="3">
        <f t="shared" si="263"/>
        <v>1.8120582087099855E-4</v>
      </c>
      <c r="W277" s="3">
        <f t="shared" si="263"/>
        <v>1.8120582087099855E-4</v>
      </c>
      <c r="X277" s="3">
        <f t="shared" si="263"/>
        <v>1.8120582087099846E-4</v>
      </c>
      <c r="Y277" s="3">
        <f t="shared" si="263"/>
        <v>1.8120582087099773E-4</v>
      </c>
      <c r="Z277" s="3">
        <f t="shared" si="263"/>
        <v>1.8120582087099022E-4</v>
      </c>
      <c r="AA277" s="3">
        <f t="shared" si="263"/>
        <v>1.8120582087091544E-4</v>
      </c>
      <c r="AB277" s="3">
        <f t="shared" si="263"/>
        <v>1.8120582087016756E-4</v>
      </c>
      <c r="AC277" s="3">
        <f t="shared" si="263"/>
        <v>1.8120582086268868E-4</v>
      </c>
      <c r="AD277" s="3">
        <f t="shared" si="263"/>
        <v>1.8120582078789995E-4</v>
      </c>
      <c r="AE277" s="3">
        <f t="shared" si="263"/>
        <v>1.8120582004001258E-4</v>
      </c>
      <c r="AF277" s="3">
        <f t="shared" si="263"/>
        <v>1.8120581256113883E-4</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0</v>
      </c>
      <c r="C279" s="3">
        <f t="shared" si="265"/>
        <v>0</v>
      </c>
      <c r="D279" s="3">
        <f t="shared" si="265"/>
        <v>0</v>
      </c>
      <c r="E279" s="3">
        <f t="shared" si="265"/>
        <v>0</v>
      </c>
      <c r="F279" s="3">
        <f t="shared" si="265"/>
        <v>0</v>
      </c>
      <c r="G279" s="3">
        <f t="shared" si="265"/>
        <v>0</v>
      </c>
      <c r="H279" s="3">
        <f t="shared" si="265"/>
        <v>0</v>
      </c>
      <c r="I279" s="3">
        <f t="shared" si="265"/>
        <v>0</v>
      </c>
      <c r="J279" s="3">
        <f t="shared" si="265"/>
        <v>0</v>
      </c>
      <c r="K279" s="3">
        <f t="shared" si="265"/>
        <v>0</v>
      </c>
      <c r="L279" s="3">
        <f t="shared" si="265"/>
        <v>0</v>
      </c>
      <c r="M279" s="3">
        <f t="shared" si="265"/>
        <v>0</v>
      </c>
      <c r="N279" s="3">
        <f t="shared" si="265"/>
        <v>0</v>
      </c>
      <c r="O279" s="3">
        <f t="shared" si="265"/>
        <v>0</v>
      </c>
      <c r="P279" s="3">
        <f t="shared" si="265"/>
        <v>0</v>
      </c>
      <c r="Q279" s="3">
        <f t="shared" si="265"/>
        <v>0</v>
      </c>
      <c r="R279" s="3">
        <f t="shared" si="265"/>
        <v>0</v>
      </c>
      <c r="S279" s="3">
        <f t="shared" si="265"/>
        <v>0</v>
      </c>
      <c r="T279" s="3">
        <f t="shared" si="265"/>
        <v>0</v>
      </c>
      <c r="U279" s="3">
        <f t="shared" si="265"/>
        <v>0</v>
      </c>
      <c r="V279" s="3">
        <f t="shared" si="265"/>
        <v>0</v>
      </c>
      <c r="W279" s="3">
        <f t="shared" si="265"/>
        <v>0</v>
      </c>
      <c r="X279" s="3">
        <f t="shared" si="265"/>
        <v>0</v>
      </c>
      <c r="Y279" s="3">
        <f t="shared" si="265"/>
        <v>0</v>
      </c>
      <c r="Z279" s="3">
        <f t="shared" si="265"/>
        <v>0</v>
      </c>
      <c r="AA279" s="3">
        <f t="shared" si="265"/>
        <v>0</v>
      </c>
      <c r="AB279" s="3">
        <f t="shared" si="265"/>
        <v>0</v>
      </c>
      <c r="AC279" s="3">
        <f t="shared" si="265"/>
        <v>0</v>
      </c>
      <c r="AD279" s="3">
        <f t="shared" si="265"/>
        <v>0</v>
      </c>
      <c r="AE279" s="3">
        <f t="shared" si="265"/>
        <v>0</v>
      </c>
      <c r="AF279" s="3">
        <f t="shared" si="265"/>
        <v>0</v>
      </c>
      <c r="AG279" s="3"/>
      <c r="AH279" s="3"/>
    </row>
    <row r="280" spans="1:34" x14ac:dyDescent="0.25">
      <c r="A280" s="79">
        <f>AVERAGE(B280:AF280)</f>
        <v>0.10815144566605496</v>
      </c>
      <c r="B280" s="80">
        <f>IF($D$61&lt;=B246,IF($E$61&gt;=B246,ABS((B248-B247)/B247),0),0)</f>
        <v>5.7613767802975353E-3</v>
      </c>
      <c r="C280" s="80">
        <f t="shared" ref="C280:AF280" si="266">IF($D$61&lt;=C246,IF($E$61&gt;=C246,ABS((C248-C247)/C247),0),0)</f>
        <v>5.1604788079195069E-3</v>
      </c>
      <c r="D280" s="80">
        <f t="shared" si="266"/>
        <v>6.4710993012455885E-4</v>
      </c>
      <c r="E280" s="80">
        <f t="shared" si="266"/>
        <v>4.8405224381571244E-2</v>
      </c>
      <c r="F280" s="80">
        <f t="shared" si="266"/>
        <v>0.14268316288050675</v>
      </c>
      <c r="G280" s="80">
        <f t="shared" si="266"/>
        <v>0.12955960813402412</v>
      </c>
      <c r="H280" s="80">
        <f t="shared" si="266"/>
        <v>0.1142422458160489</v>
      </c>
      <c r="I280" s="80">
        <f t="shared" si="266"/>
        <v>9.6544971288149539E-2</v>
      </c>
      <c r="J280" s="80">
        <f t="shared" si="266"/>
        <v>7.7417993992200049E-2</v>
      </c>
      <c r="K280" s="80">
        <f t="shared" si="266"/>
        <v>5.9926822543504489E-2</v>
      </c>
      <c r="L280" s="80">
        <f t="shared" si="266"/>
        <v>6.9413893915412916E-2</v>
      </c>
      <c r="M280" s="80">
        <f t="shared" si="266"/>
        <v>7.5602325228912623E-2</v>
      </c>
      <c r="N280" s="80">
        <f t="shared" si="266"/>
        <v>8.4927171241356014E-2</v>
      </c>
      <c r="O280" s="80">
        <f t="shared" si="266"/>
        <v>9.7475768410862515E-2</v>
      </c>
      <c r="P280" s="80">
        <f t="shared" si="266"/>
        <v>9.8734318619113096E-2</v>
      </c>
      <c r="Q280" s="80">
        <f t="shared" si="266"/>
        <v>9.1737121365216945E-2</v>
      </c>
      <c r="R280" s="80">
        <f t="shared" si="266"/>
        <v>8.3960898499541206E-2</v>
      </c>
      <c r="S280" s="80">
        <f t="shared" si="266"/>
        <v>4.8756533878066818E-2</v>
      </c>
      <c r="T280" s="80">
        <f t="shared" si="266"/>
        <v>6.4087379430616501E-2</v>
      </c>
      <c r="U280" s="80">
        <f t="shared" si="266"/>
        <v>0.21435096423015965</v>
      </c>
      <c r="V280" s="80">
        <f t="shared" si="266"/>
        <v>0.34775742835047341</v>
      </c>
      <c r="W280" s="80">
        <f t="shared" si="266"/>
        <v>0.43987523193581185</v>
      </c>
      <c r="X280" s="80">
        <f t="shared" si="266"/>
        <v>0.48488586851627419</v>
      </c>
      <c r="Y280" s="80">
        <f t="shared" si="266"/>
        <v>0.47078091747153916</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1604.1471713571593</v>
      </c>
      <c r="C281" s="21">
        <f t="shared" ref="C281:AF281" si="267">(C248-C247)^2</f>
        <v>1286.5999793763842</v>
      </c>
      <c r="D281" s="21">
        <f t="shared" si="267"/>
        <v>20.169722193093509</v>
      </c>
      <c r="E281" s="21">
        <f t="shared" si="267"/>
        <v>110235.73759146286</v>
      </c>
      <c r="F281" s="21">
        <f t="shared" si="267"/>
        <v>912709.24482294242</v>
      </c>
      <c r="G281" s="21">
        <f t="shared" si="267"/>
        <v>726736.01753868826</v>
      </c>
      <c r="H281" s="21">
        <f t="shared" si="267"/>
        <v>545674.12131236342</v>
      </c>
      <c r="I281" s="21">
        <f t="shared" si="267"/>
        <v>374540.88733212947</v>
      </c>
      <c r="J281" s="21">
        <f t="shared" si="267"/>
        <v>230654.33914849683</v>
      </c>
      <c r="K281" s="21">
        <f t="shared" si="267"/>
        <v>131474.56739659066</v>
      </c>
      <c r="L281" s="21">
        <f t="shared" si="267"/>
        <v>166866.92196369046</v>
      </c>
      <c r="M281" s="21">
        <f t="shared" si="267"/>
        <v>186313.33318796361</v>
      </c>
      <c r="N281" s="21">
        <f t="shared" si="267"/>
        <v>221999.8289473645</v>
      </c>
      <c r="O281" s="21">
        <f t="shared" si="267"/>
        <v>273406.62624238757</v>
      </c>
      <c r="P281" s="21">
        <f t="shared" si="267"/>
        <v>257845.08624643215</v>
      </c>
      <c r="Q281" s="21">
        <f t="shared" si="267"/>
        <v>202164.35299472025</v>
      </c>
      <c r="R281" s="21">
        <f t="shared" si="267"/>
        <v>153171.81303408489</v>
      </c>
      <c r="S281" s="21">
        <f t="shared" si="267"/>
        <v>43927.386677630486</v>
      </c>
      <c r="T281" s="21">
        <f t="shared" si="267"/>
        <v>55431.674917870863</v>
      </c>
      <c r="U281" s="21">
        <f t="shared" si="267"/>
        <v>429087.31970738282</v>
      </c>
      <c r="V281" s="21">
        <f t="shared" si="267"/>
        <v>808992.4692362264</v>
      </c>
      <c r="W281" s="21">
        <f t="shared" si="267"/>
        <v>977224.58948539733</v>
      </c>
      <c r="X281" s="21">
        <f t="shared" si="267"/>
        <v>921097.17413637764</v>
      </c>
      <c r="Y281" s="21">
        <f t="shared" si="267"/>
        <v>681820.32487652742</v>
      </c>
      <c r="Z281" s="21">
        <f t="shared" si="267"/>
        <v>246840.27591819421</v>
      </c>
      <c r="AA281" s="21">
        <f t="shared" si="267"/>
        <v>10998.681296522705</v>
      </c>
      <c r="AB281" s="21">
        <f t="shared" si="267"/>
        <v>26589.149432047674</v>
      </c>
      <c r="AC281" s="21">
        <f t="shared" si="267"/>
        <v>64810.120692093558</v>
      </c>
      <c r="AD281" s="21">
        <f t="shared" si="267"/>
        <v>45857.060284109873</v>
      </c>
      <c r="AE281" s="21">
        <f t="shared" si="267"/>
        <v>17542.287431769302</v>
      </c>
      <c r="AF281" s="21">
        <f t="shared" si="267"/>
        <v>3686.7785779346627</v>
      </c>
      <c r="AG281" s="3"/>
      <c r="AH281" s="3"/>
    </row>
    <row r="282" spans="1:34" s="3" customFormat="1" x14ac:dyDescent="0.25">
      <c r="A282" s="71">
        <f>SUM(B282:AF282)</f>
        <v>8414284.7336696573</v>
      </c>
      <c r="B282" s="21">
        <f>IF($D$61&lt;=B246,IF($E$61&gt;=B246,ABS(B281),0),0)</f>
        <v>1604.1471713571593</v>
      </c>
      <c r="C282" s="21">
        <f t="shared" ref="C282:AF282" si="268">IF($D$61&lt;=C246,IF($E$61&gt;=C246,ABS(C281),0),0)</f>
        <v>1286.5999793763842</v>
      </c>
      <c r="D282" s="21">
        <f t="shared" si="268"/>
        <v>20.169722193093509</v>
      </c>
      <c r="E282" s="21">
        <f t="shared" si="268"/>
        <v>110235.73759146286</v>
      </c>
      <c r="F282" s="21">
        <f t="shared" si="268"/>
        <v>912709.24482294242</v>
      </c>
      <c r="G282" s="21">
        <f t="shared" si="268"/>
        <v>726736.01753868826</v>
      </c>
      <c r="H282" s="21">
        <f t="shared" si="268"/>
        <v>545674.12131236342</v>
      </c>
      <c r="I282" s="21">
        <f t="shared" si="268"/>
        <v>374540.88733212947</v>
      </c>
      <c r="J282" s="21">
        <f t="shared" si="268"/>
        <v>230654.33914849683</v>
      </c>
      <c r="K282" s="21">
        <f t="shared" si="268"/>
        <v>131474.56739659066</v>
      </c>
      <c r="L282" s="21">
        <f t="shared" si="268"/>
        <v>166866.92196369046</v>
      </c>
      <c r="M282" s="21">
        <f t="shared" si="268"/>
        <v>186313.33318796361</v>
      </c>
      <c r="N282" s="21">
        <f t="shared" si="268"/>
        <v>221999.8289473645</v>
      </c>
      <c r="O282" s="21">
        <f t="shared" si="268"/>
        <v>273406.62624238757</v>
      </c>
      <c r="P282" s="21">
        <f t="shared" si="268"/>
        <v>257845.08624643215</v>
      </c>
      <c r="Q282" s="21">
        <f t="shared" si="268"/>
        <v>202164.35299472025</v>
      </c>
      <c r="R282" s="21">
        <f t="shared" si="268"/>
        <v>153171.81303408489</v>
      </c>
      <c r="S282" s="21">
        <f t="shared" si="268"/>
        <v>43927.386677630486</v>
      </c>
      <c r="T282" s="21">
        <f t="shared" si="268"/>
        <v>55431.674917870863</v>
      </c>
      <c r="U282" s="21">
        <f t="shared" si="268"/>
        <v>429087.31970738282</v>
      </c>
      <c r="V282" s="21">
        <f t="shared" si="268"/>
        <v>808992.4692362264</v>
      </c>
      <c r="W282" s="21">
        <f t="shared" si="268"/>
        <v>977224.58948539733</v>
      </c>
      <c r="X282" s="21">
        <f t="shared" si="268"/>
        <v>921097.17413637764</v>
      </c>
      <c r="Y282" s="21">
        <f t="shared" si="268"/>
        <v>681820.32487652742</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6840.5863197092085</v>
      </c>
      <c r="C286" s="26">
        <f>INDEX(Comparison!$AM$3:$AS$33,G$14,$F$122)</f>
        <v>6643.5965561721414</v>
      </c>
      <c r="D286" s="26">
        <f>INDEX(Comparison!$AM$3:$AS$33,H$14,$F$122)</f>
        <v>6527.1577578820725</v>
      </c>
      <c r="E286" s="26">
        <f>INDEX(Comparison!$AM$3:$AS$33,I$14,$F$122)</f>
        <v>6412.9995296962652</v>
      </c>
      <c r="F286" s="26">
        <f>INDEX(Comparison!$AM$3:$AS$33,J$14,$F$122)</f>
        <v>6286.8028992665704</v>
      </c>
      <c r="G286" s="26">
        <f>INDEX(Comparison!$AM$3:$AS$33,K$14,$F$122)</f>
        <v>6151.4165633211096</v>
      </c>
      <c r="H286" s="26">
        <f>INDEX(Comparison!$AM$3:$AS$33,L$14,$F$122)</f>
        <v>5999.0572498672</v>
      </c>
      <c r="I286" s="26">
        <f>INDEX(Comparison!$AM$3:$AS$33,M$14,$F$122)</f>
        <v>5834.1918541119712</v>
      </c>
      <c r="J286" s="26">
        <f>INDEX(Comparison!$AM$3:$AS$33,N$14,$F$122)</f>
        <v>5660.667941479277</v>
      </c>
      <c r="K286" s="26">
        <f>INDEX(Comparison!$AM$3:$AS$33,O$14,$F$122)</f>
        <v>5500.6338050295499</v>
      </c>
      <c r="L286" s="26">
        <f>INDEX(Comparison!$AM$3:$AS$33,P$14,$F$122)</f>
        <v>5316.0543139142828</v>
      </c>
      <c r="M286" s="26">
        <f>INDEX(Comparison!$AM$3:$AS$33,Q$14,$F$122)</f>
        <v>5094.9618199282804</v>
      </c>
      <c r="N286" s="26">
        <f>INDEX(Comparison!$AM$3:$AS$33,R$14,$F$122)</f>
        <v>4859.6753740182503</v>
      </c>
      <c r="O286" s="26">
        <f>INDEX(Comparison!$AM$3:$AS$33,S$14,$F$122)</f>
        <v>4653.8175879978271</v>
      </c>
      <c r="P286" s="26">
        <f>INDEX(Comparison!$AM$3:$AS$33,T$14,$F$122)</f>
        <v>4469.1753341299773</v>
      </c>
      <c r="Q286" s="26">
        <f>INDEX(Comparison!$AM$3:$AS$33,U$14,$F$122)</f>
        <v>4267.9652571239076</v>
      </c>
      <c r="R286" s="26">
        <f>INDEX(Comparison!$AM$3:$AS$33,V$14,$F$122)</f>
        <v>3976.7785402340392</v>
      </c>
      <c r="S286" s="26">
        <f>INDEX(Comparison!$AM$3:$AS$33,W$14,$F$122)</f>
        <v>3445.6591436468279</v>
      </c>
      <c r="T286" s="26">
        <f>INDEX(Comparison!$AM$3:$AS$33,X$14,$F$122)</f>
        <v>2839.3657389117534</v>
      </c>
      <c r="U286" s="26">
        <f>INDEX(Comparison!$AM$3:$AS$33,Y$14,$F$122)</f>
        <v>2338.5721090290958</v>
      </c>
      <c r="V286" s="26">
        <f>INDEX(Comparison!$AM$3:$AS$33,Z$14,$F$122)</f>
        <v>1960.3272335044344</v>
      </c>
      <c r="W286" s="26">
        <f>INDEX(Comparison!$AM$3:$AS$33,AA$14,$F$122)</f>
        <v>1656.3185875611684</v>
      </c>
      <c r="X286" s="26">
        <f>INDEX(Comparison!$AM$3:$AS$33,AB$14,$F$122)</f>
        <v>1387.2108481854204</v>
      </c>
      <c r="Y286" s="26">
        <f>INDEX(Comparison!$AM$3:$AS$33,AC$14,$F$122)</f>
        <v>1120.1049206759617</v>
      </c>
      <c r="Z286" s="26">
        <f>INDEX(Comparison!$AM$3:$AS$33,AD$14,$F$122)</f>
        <v>849.29779427462438</v>
      </c>
      <c r="AA286" s="26">
        <f>INDEX(Comparison!$AM$3:$AS$33,AE$14,$F$122)</f>
        <v>602.02056954985051</v>
      </c>
      <c r="AB286" s="26">
        <f>INDEX(Comparison!$AM$3:$AS$33,AF$14,$F$122)</f>
        <v>414.55153000594095</v>
      </c>
      <c r="AC286" s="26">
        <f>INDEX(Comparison!$AM$3:$AS$33,AG$14,$F$122)</f>
        <v>296.76424848335745</v>
      </c>
      <c r="AD286" s="26">
        <f>INDEX(Comparison!$AM$3:$AS$33,AH$14,$F$122)</f>
        <v>236.5039430342818</v>
      </c>
      <c r="AE286" s="26">
        <f>INDEX(Comparison!$AM$3:$AS$33,AI$14,$F$122)</f>
        <v>206.64782998877558</v>
      </c>
      <c r="AF286" s="26">
        <f>INDEX(Comparison!$AM$3:$AS$33,AJ$14,$F$122)</f>
        <v>191.80670583863778</v>
      </c>
      <c r="AG286" s="26"/>
      <c r="AH286" s="26"/>
    </row>
    <row r="287" spans="1:34" x14ac:dyDescent="0.25">
      <c r="A287" s="70" t="s">
        <v>22</v>
      </c>
      <c r="B287" s="27">
        <f>($C$17+SUM(B288:B318))*$B$51</f>
        <v>6525.946512624485</v>
      </c>
      <c r="C287" s="27">
        <f t="shared" ref="C287:AF287" si="269">($C$17+SUM(C288:C318))*$B$51</f>
        <v>5740.1168201032406</v>
      </c>
      <c r="D287" s="27">
        <f t="shared" si="269"/>
        <v>5727.4031146328971</v>
      </c>
      <c r="E287" s="27">
        <f t="shared" si="269"/>
        <v>5727.3655087084098</v>
      </c>
      <c r="F287" s="27">
        <f t="shared" si="269"/>
        <v>5726.9896608959116</v>
      </c>
      <c r="G287" s="27">
        <f t="shared" si="269"/>
        <v>5723.2522435063738</v>
      </c>
      <c r="H287" s="27">
        <f t="shared" si="269"/>
        <v>5687.9040146853959</v>
      </c>
      <c r="I287" s="27">
        <f t="shared" si="269"/>
        <v>5475.9622017331203</v>
      </c>
      <c r="J287" s="27">
        <f t="shared" si="269"/>
        <v>5277.4845501536502</v>
      </c>
      <c r="K287" s="27">
        <f t="shared" si="269"/>
        <v>5076.3721091412235</v>
      </c>
      <c r="L287" s="27">
        <f t="shared" si="269"/>
        <v>4841.0226979499921</v>
      </c>
      <c r="M287" s="27">
        <f t="shared" si="269"/>
        <v>4634.8868078166633</v>
      </c>
      <c r="N287" s="27">
        <f t="shared" si="269"/>
        <v>4451.3776119223539</v>
      </c>
      <c r="O287" s="27">
        <f t="shared" si="269"/>
        <v>4269.7406415112409</v>
      </c>
      <c r="P287" s="27">
        <f t="shared" si="269"/>
        <v>4088.8628227864656</v>
      </c>
      <c r="Q287" s="27">
        <f t="shared" si="269"/>
        <v>3908.9293368833628</v>
      </c>
      <c r="R287" s="27">
        <f t="shared" si="269"/>
        <v>3710.7419875108458</v>
      </c>
      <c r="S287" s="27">
        <f t="shared" si="269"/>
        <v>3485.5609048553151</v>
      </c>
      <c r="T287" s="27">
        <f t="shared" si="269"/>
        <v>3235.5485555918376</v>
      </c>
      <c r="U287" s="27">
        <f t="shared" si="269"/>
        <v>2938.6702290169364</v>
      </c>
      <c r="V287" s="27">
        <f t="shared" si="269"/>
        <v>2579.1081880874517</v>
      </c>
      <c r="W287" s="27">
        <f t="shared" si="269"/>
        <v>2037.3771231683709</v>
      </c>
      <c r="X287" s="27">
        <f t="shared" si="269"/>
        <v>1429.8666855124061</v>
      </c>
      <c r="Y287" s="27">
        <f t="shared" si="269"/>
        <v>926.69374263533098</v>
      </c>
      <c r="Z287" s="27">
        <f t="shared" si="269"/>
        <v>583.66670267854556</v>
      </c>
      <c r="AA287" s="27">
        <f t="shared" si="269"/>
        <v>386.17679419397894</v>
      </c>
      <c r="AB287" s="27">
        <f t="shared" si="269"/>
        <v>283.41450201065948</v>
      </c>
      <c r="AC287" s="27">
        <f t="shared" si="269"/>
        <v>236.91294744120145</v>
      </c>
      <c r="AD287" s="27">
        <f t="shared" si="269"/>
        <v>206.16346591806305</v>
      </c>
      <c r="AE287" s="27">
        <f t="shared" si="269"/>
        <v>192.11024325256648</v>
      </c>
      <c r="AF287" s="27">
        <f t="shared" si="269"/>
        <v>182.21645519891516</v>
      </c>
      <c r="AG287" s="27"/>
      <c r="AH287" s="27"/>
    </row>
    <row r="288" spans="1:34" x14ac:dyDescent="0.25">
      <c r="B288" s="3">
        <f t="shared" ref="B288:AF288" si="270">$C18*EXP(-B$285/$A18/EXP(-$F$126))</f>
        <v>0.11420088489751902</v>
      </c>
      <c r="C288" s="3">
        <f t="shared" si="270"/>
        <v>1.8176776003350496E-3</v>
      </c>
      <c r="D288" s="3">
        <f t="shared" si="270"/>
        <v>1.8966653828741632E-21</v>
      </c>
      <c r="E288" s="3">
        <f t="shared" si="270"/>
        <v>2.9022133900630467E-201</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4.8747323362213289E-2</v>
      </c>
      <c r="C289" s="3">
        <f t="shared" si="271"/>
        <v>4.8747271661719403E-2</v>
      </c>
      <c r="D289" s="3">
        <f t="shared" si="271"/>
        <v>4.8746754659796276E-2</v>
      </c>
      <c r="E289" s="3">
        <f t="shared" si="271"/>
        <v>4.874158494213137E-2</v>
      </c>
      <c r="F289" s="3">
        <f t="shared" si="271"/>
        <v>4.8689917910286443E-2</v>
      </c>
      <c r="G289" s="3">
        <f t="shared" si="271"/>
        <v>4.8176250276452455E-2</v>
      </c>
      <c r="H289" s="3">
        <f t="shared" si="271"/>
        <v>4.3328386267197448E-2</v>
      </c>
      <c r="I289" s="3">
        <f t="shared" si="271"/>
        <v>1.5002640914338831E-2</v>
      </c>
      <c r="J289" s="3">
        <f t="shared" si="271"/>
        <v>3.7163766027624062E-7</v>
      </c>
      <c r="K289" s="3">
        <f t="shared" si="271"/>
        <v>3.233253401567116E-53</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1.8089335724028956E-2</v>
      </c>
      <c r="C290" s="3">
        <f t="shared" si="272"/>
        <v>1.8089333993362655E-2</v>
      </c>
      <c r="D290" s="3">
        <f t="shared" si="272"/>
        <v>1.808931668670876E-2</v>
      </c>
      <c r="E290" s="3">
        <f t="shared" si="272"/>
        <v>1.8089143621080502E-2</v>
      </c>
      <c r="F290" s="3">
        <f t="shared" si="272"/>
        <v>1.8087413055862506E-2</v>
      </c>
      <c r="G290" s="3">
        <f t="shared" si="272"/>
        <v>1.8070116506922383E-2</v>
      </c>
      <c r="H290" s="3">
        <f t="shared" si="272"/>
        <v>1.7898058127268149E-2</v>
      </c>
      <c r="I290" s="3">
        <f t="shared" si="272"/>
        <v>1.6265054746114917E-2</v>
      </c>
      <c r="J290" s="3">
        <f t="shared" si="272"/>
        <v>6.248153370250361E-3</v>
      </c>
      <c r="K290" s="3">
        <f t="shared" si="272"/>
        <v>4.3723327055154361E-7</v>
      </c>
      <c r="L290" s="3">
        <f t="shared" si="272"/>
        <v>1.2311994194604861E-48</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3.7553125705204353E-2</v>
      </c>
      <c r="C291" s="3">
        <f t="shared" si="273"/>
        <v>3.7553125381101081E-2</v>
      </c>
      <c r="D291" s="3">
        <f t="shared" si="273"/>
        <v>3.7553122140068486E-2</v>
      </c>
      <c r="E291" s="3">
        <f t="shared" si="273"/>
        <v>3.755308972975796E-2</v>
      </c>
      <c r="F291" s="3">
        <f t="shared" si="273"/>
        <v>3.7552765628191077E-2</v>
      </c>
      <c r="G291" s="3">
        <f t="shared" si="273"/>
        <v>3.7549524766361857E-2</v>
      </c>
      <c r="H291" s="3">
        <f t="shared" si="273"/>
        <v>3.7517131527114299E-2</v>
      </c>
      <c r="I291" s="3">
        <f t="shared" si="273"/>
        <v>3.7194732139439163E-2</v>
      </c>
      <c r="J291" s="3">
        <f t="shared" si="273"/>
        <v>3.4119254371701956E-2</v>
      </c>
      <c r="K291" s="3">
        <f t="shared" si="273"/>
        <v>1.4393966719804642E-2</v>
      </c>
      <c r="L291" s="3">
        <f t="shared" si="273"/>
        <v>2.5703373046310815E-6</v>
      </c>
      <c r="M291" s="3">
        <f t="shared" si="273"/>
        <v>8.4739592517159138E-44</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3.4655462330827176E-2</v>
      </c>
      <c r="C292" s="3">
        <f t="shared" si="274"/>
        <v>3.4655462303846328E-2</v>
      </c>
      <c r="D292" s="3">
        <f t="shared" si="274"/>
        <v>3.4655462034037833E-2</v>
      </c>
      <c r="E292" s="3">
        <f t="shared" si="274"/>
        <v>3.4655459335953022E-2</v>
      </c>
      <c r="F292" s="3">
        <f t="shared" si="274"/>
        <v>3.4655432355116464E-2</v>
      </c>
      <c r="G292" s="3">
        <f t="shared" si="274"/>
        <v>3.4655162547906168E-2</v>
      </c>
      <c r="H292" s="3">
        <f t="shared" si="274"/>
        <v>3.4652464591331526E-2</v>
      </c>
      <c r="I292" s="3">
        <f t="shared" si="274"/>
        <v>3.4625496575086422E-2</v>
      </c>
      <c r="J292" s="3">
        <f t="shared" si="274"/>
        <v>3.4356968042712682E-2</v>
      </c>
      <c r="K292" s="3">
        <f t="shared" si="274"/>
        <v>3.1783596276283084E-2</v>
      </c>
      <c r="L292" s="3">
        <f t="shared" si="274"/>
        <v>1.4591000818122207E-2</v>
      </c>
      <c r="M292" s="3">
        <f t="shared" si="274"/>
        <v>6.0660438350610634E-6</v>
      </c>
      <c r="N292" s="3">
        <f t="shared" si="274"/>
        <v>9.3564299299132326E-40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2.8039973666587979E-2</v>
      </c>
      <c r="C293" s="3">
        <f t="shared" si="275"/>
        <v>2.8039973664618696E-2</v>
      </c>
      <c r="D293" s="3">
        <f t="shared" si="275"/>
        <v>2.8039973644925865E-2</v>
      </c>
      <c r="E293" s="3">
        <f t="shared" si="275"/>
        <v>2.8039973447997576E-2</v>
      </c>
      <c r="F293" s="3">
        <f t="shared" si="275"/>
        <v>2.8039971478714745E-2</v>
      </c>
      <c r="G293" s="3">
        <f t="shared" si="275"/>
        <v>2.8039951785894045E-2</v>
      </c>
      <c r="H293" s="3">
        <f t="shared" si="275"/>
        <v>2.803975485844775E-2</v>
      </c>
      <c r="I293" s="3">
        <f t="shared" si="275"/>
        <v>2.8037785660050472E-2</v>
      </c>
      <c r="J293" s="3">
        <f t="shared" si="275"/>
        <v>2.8018101280669838E-2</v>
      </c>
      <c r="K293" s="3">
        <f t="shared" si="275"/>
        <v>2.7822015973690079E-2</v>
      </c>
      <c r="L293" s="3">
        <f t="shared" si="275"/>
        <v>2.5935077095261477E-2</v>
      </c>
      <c r="M293" s="3">
        <f t="shared" si="275"/>
        <v>1.2849227553953079E-2</v>
      </c>
      <c r="N293" s="3">
        <f t="shared" si="275"/>
        <v>1.1449111648086453E-5</v>
      </c>
      <c r="O293" s="3">
        <f t="shared" si="275"/>
        <v>3.611765057169146E-36</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2.6812375730200726E-2</v>
      </c>
      <c r="C294" s="3">
        <f t="shared" si="276"/>
        <v>2.6812375730030862E-2</v>
      </c>
      <c r="D294" s="3">
        <f t="shared" si="276"/>
        <v>2.6812375728332179E-2</v>
      </c>
      <c r="E294" s="3">
        <f t="shared" si="276"/>
        <v>2.6812375711345343E-2</v>
      </c>
      <c r="F294" s="3">
        <f t="shared" si="276"/>
        <v>2.6812375541477022E-2</v>
      </c>
      <c r="G294" s="3">
        <f t="shared" si="276"/>
        <v>2.6812373842793859E-2</v>
      </c>
      <c r="H294" s="3">
        <f t="shared" si="276"/>
        <v>2.6812356855968139E-2</v>
      </c>
      <c r="I294" s="3">
        <f t="shared" si="276"/>
        <v>2.6812186988302834E-2</v>
      </c>
      <c r="J294" s="3">
        <f t="shared" si="276"/>
        <v>2.6810488370838777E-2</v>
      </c>
      <c r="K294" s="3">
        <f t="shared" si="276"/>
        <v>2.679350811370931E-2</v>
      </c>
      <c r="L294" s="3">
        <f t="shared" si="276"/>
        <v>2.662429590874036E-2</v>
      </c>
      <c r="M294" s="3">
        <f t="shared" si="276"/>
        <v>2.4989849744745791E-2</v>
      </c>
      <c r="N294" s="3">
        <f t="shared" si="276"/>
        <v>1.3262297894719267E-2</v>
      </c>
      <c r="O294" s="3">
        <f t="shared" si="276"/>
        <v>2.3505533735438553E-5</v>
      </c>
      <c r="P294" s="3">
        <f t="shared" si="276"/>
        <v>7.1892485867384373E-33</v>
      </c>
      <c r="Q294" s="3">
        <f t="shared" si="276"/>
        <v>5.1501198666933529E-308</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2.7632018567142314E-2</v>
      </c>
      <c r="C295" s="3">
        <f t="shared" si="277"/>
        <v>2.7632018567126521E-2</v>
      </c>
      <c r="D295" s="3">
        <f t="shared" si="277"/>
        <v>2.7632018566968602E-2</v>
      </c>
      <c r="E295" s="3">
        <f t="shared" si="277"/>
        <v>2.7632018565389407E-2</v>
      </c>
      <c r="F295" s="3">
        <f t="shared" si="277"/>
        <v>2.7632018549597435E-2</v>
      </c>
      <c r="G295" s="3">
        <f t="shared" si="277"/>
        <v>2.763201839167774E-2</v>
      </c>
      <c r="H295" s="3">
        <f t="shared" si="277"/>
        <v>2.7632016812480811E-2</v>
      </c>
      <c r="I295" s="3">
        <f t="shared" si="277"/>
        <v>2.7632001020516498E-2</v>
      </c>
      <c r="J295" s="3">
        <f t="shared" si="277"/>
        <v>2.7631843101369773E-2</v>
      </c>
      <c r="K295" s="3">
        <f t="shared" si="277"/>
        <v>2.76302639595403E-2</v>
      </c>
      <c r="L295" s="3">
        <f t="shared" si="277"/>
        <v>2.7614477503975627E-2</v>
      </c>
      <c r="M295" s="3">
        <f t="shared" si="277"/>
        <v>2.745710817352583E-2</v>
      </c>
      <c r="N295" s="3">
        <f t="shared" si="277"/>
        <v>2.5931906008308709E-2</v>
      </c>
      <c r="O295" s="3">
        <f t="shared" si="277"/>
        <v>1.4643027556887031E-2</v>
      </c>
      <c r="P295" s="3">
        <f t="shared" si="277"/>
        <v>4.8260885749188644E-5</v>
      </c>
      <c r="Q295" s="3">
        <f t="shared" si="277"/>
        <v>7.2985968554439221E-30</v>
      </c>
      <c r="R295" s="3">
        <f t="shared" si="277"/>
        <v>4.5675177974558141E-278</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2.5920837907153983E-2</v>
      </c>
      <c r="C296" s="3">
        <f t="shared" si="278"/>
        <v>2.5920837907152647E-2</v>
      </c>
      <c r="D296" s="3">
        <f t="shared" si="278"/>
        <v>2.5920837907139282E-2</v>
      </c>
      <c r="E296" s="3">
        <f t="shared" si="278"/>
        <v>2.592083790700565E-2</v>
      </c>
      <c r="F296" s="3">
        <f t="shared" si="278"/>
        <v>2.5920837905669302E-2</v>
      </c>
      <c r="G296" s="3">
        <f t="shared" si="278"/>
        <v>2.5920837892305829E-2</v>
      </c>
      <c r="H296" s="3">
        <f t="shared" si="278"/>
        <v>2.5920837758671107E-2</v>
      </c>
      <c r="I296" s="3">
        <f t="shared" si="278"/>
        <v>2.5920836422323911E-2</v>
      </c>
      <c r="J296" s="3">
        <f t="shared" si="278"/>
        <v>2.5920823058855728E-2</v>
      </c>
      <c r="K296" s="3">
        <f t="shared" si="278"/>
        <v>2.5920689424552862E-2</v>
      </c>
      <c r="L296" s="3">
        <f t="shared" si="278"/>
        <v>2.5919353119415792E-2</v>
      </c>
      <c r="M296" s="3">
        <f t="shared" si="278"/>
        <v>2.5905993856483667E-2</v>
      </c>
      <c r="N296" s="3">
        <f t="shared" si="278"/>
        <v>2.5772779349358527E-2</v>
      </c>
      <c r="O296" s="3">
        <f t="shared" si="278"/>
        <v>2.4477735055865858E-2</v>
      </c>
      <c r="P296" s="3">
        <f t="shared" si="278"/>
        <v>1.4617428252425686E-2</v>
      </c>
      <c r="Q296" s="3">
        <f t="shared" si="278"/>
        <v>8.4307921415206427E-5</v>
      </c>
      <c r="R296" s="3">
        <f t="shared" si="278"/>
        <v>3.4343337203528095E-27</v>
      </c>
      <c r="S296" s="3">
        <f t="shared" si="278"/>
        <v>4.3209935108366529E-251</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2.7391939908773012E-2</v>
      </c>
      <c r="C297" s="3">
        <f t="shared" si="279"/>
        <v>2.7391939908772884E-2</v>
      </c>
      <c r="D297" s="3">
        <f t="shared" si="279"/>
        <v>2.7391939908771611E-2</v>
      </c>
      <c r="E297" s="3">
        <f t="shared" si="279"/>
        <v>2.7391939908758874E-2</v>
      </c>
      <c r="F297" s="3">
        <f t="shared" si="279"/>
        <v>2.739193990863148E-2</v>
      </c>
      <c r="G297" s="3">
        <f t="shared" si="279"/>
        <v>2.7391939907357568E-2</v>
      </c>
      <c r="H297" s="3">
        <f t="shared" si="279"/>
        <v>2.7391939894618439E-2</v>
      </c>
      <c r="I297" s="3">
        <f t="shared" si="279"/>
        <v>2.7391939767227171E-2</v>
      </c>
      <c r="J297" s="3">
        <f t="shared" si="279"/>
        <v>2.7391938493314512E-2</v>
      </c>
      <c r="K297" s="3">
        <f t="shared" si="279"/>
        <v>2.7391925754191183E-2</v>
      </c>
      <c r="L297" s="3">
        <f t="shared" si="279"/>
        <v>2.7391798363283714E-2</v>
      </c>
      <c r="M297" s="3">
        <f t="shared" si="279"/>
        <v>2.7390524486793539E-2</v>
      </c>
      <c r="N297" s="3">
        <f t="shared" si="279"/>
        <v>2.7377788979780146E-2</v>
      </c>
      <c r="O297" s="3">
        <f t="shared" si="279"/>
        <v>2.7250759138577146E-2</v>
      </c>
      <c r="P297" s="3">
        <f t="shared" si="279"/>
        <v>2.6012430874553721E-2</v>
      </c>
      <c r="Q297" s="3">
        <f t="shared" si="279"/>
        <v>1.6338202665241098E-2</v>
      </c>
      <c r="R297" s="3">
        <f t="shared" si="279"/>
        <v>1.5611249932640956E-4</v>
      </c>
      <c r="S297" s="3">
        <f t="shared" si="279"/>
        <v>9.903111185559178E-25</v>
      </c>
      <c r="T297" s="3">
        <f t="shared" si="279"/>
        <v>1.0449883243808149E-226</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3.256547684040112E-2</v>
      </c>
      <c r="C298" s="3">
        <f t="shared" si="280"/>
        <v>3.2565476840401106E-2</v>
      </c>
      <c r="D298" s="3">
        <f t="shared" si="280"/>
        <v>3.2565476840400967E-2</v>
      </c>
      <c r="E298" s="3">
        <f t="shared" si="280"/>
        <v>3.25654768403996E-2</v>
      </c>
      <c r="F298" s="3">
        <f t="shared" si="280"/>
        <v>3.2565476840385937E-2</v>
      </c>
      <c r="G298" s="3">
        <f t="shared" si="280"/>
        <v>3.2565476840249317E-2</v>
      </c>
      <c r="H298" s="3">
        <f t="shared" si="280"/>
        <v>3.2565476838883098E-2</v>
      </c>
      <c r="I298" s="3">
        <f t="shared" si="280"/>
        <v>3.2565476825220888E-2</v>
      </c>
      <c r="J298" s="3">
        <f t="shared" si="280"/>
        <v>3.2565476688598806E-2</v>
      </c>
      <c r="K298" s="3">
        <f t="shared" si="280"/>
        <v>3.2565475322377989E-2</v>
      </c>
      <c r="L298" s="3">
        <f t="shared" si="280"/>
        <v>3.2565461660173017E-2</v>
      </c>
      <c r="M298" s="3">
        <f t="shared" si="280"/>
        <v>3.2565325038438557E-2</v>
      </c>
      <c r="N298" s="3">
        <f t="shared" si="280"/>
        <v>3.2563958852617821E-2</v>
      </c>
      <c r="O298" s="3">
        <f t="shared" si="280"/>
        <v>3.255030014630849E-2</v>
      </c>
      <c r="P298" s="3">
        <f t="shared" si="280"/>
        <v>3.2414027784311607E-2</v>
      </c>
      <c r="Q298" s="3">
        <f t="shared" si="280"/>
        <v>3.1082291208644964E-2</v>
      </c>
      <c r="R298" s="3">
        <f t="shared" si="280"/>
        <v>2.0432112664175179E-2</v>
      </c>
      <c r="S298" s="3">
        <f t="shared" si="280"/>
        <v>3.078334226787133E-4</v>
      </c>
      <c r="T298" s="3">
        <f t="shared" si="280"/>
        <v>1.8549864243243123E-22</v>
      </c>
      <c r="U298" s="3">
        <f t="shared" si="280"/>
        <v>1.1710902909148264E-204</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3.4198379990015168E-2</v>
      </c>
      <c r="C299" s="3">
        <f t="shared" si="281"/>
        <v>3.4198379990015168E-2</v>
      </c>
      <c r="D299" s="3">
        <f t="shared" si="281"/>
        <v>3.4198379990015154E-2</v>
      </c>
      <c r="E299" s="3">
        <f t="shared" si="281"/>
        <v>3.4198379990015022E-2</v>
      </c>
      <c r="F299" s="3">
        <f t="shared" si="281"/>
        <v>3.4198379990013732E-2</v>
      </c>
      <c r="G299" s="3">
        <f t="shared" si="281"/>
        <v>3.4198379990000784E-2</v>
      </c>
      <c r="H299" s="3">
        <f t="shared" si="281"/>
        <v>3.4198379989871366E-2</v>
      </c>
      <c r="I299" s="3">
        <f t="shared" si="281"/>
        <v>3.4198379988577124E-2</v>
      </c>
      <c r="J299" s="3">
        <f t="shared" si="281"/>
        <v>3.4198379975634699E-2</v>
      </c>
      <c r="K299" s="3">
        <f t="shared" si="281"/>
        <v>3.4198379846210464E-2</v>
      </c>
      <c r="L299" s="3">
        <f t="shared" si="281"/>
        <v>3.4198378551968195E-2</v>
      </c>
      <c r="M299" s="3">
        <f t="shared" si="281"/>
        <v>3.4198365609548163E-2</v>
      </c>
      <c r="N299" s="3">
        <f t="shared" si="281"/>
        <v>3.4198236185617202E-2</v>
      </c>
      <c r="O299" s="3">
        <f t="shared" si="281"/>
        <v>3.4196941973246651E-2</v>
      </c>
      <c r="P299" s="3">
        <f t="shared" si="281"/>
        <v>3.4184002543064647E-2</v>
      </c>
      <c r="Q299" s="3">
        <f t="shared" si="281"/>
        <v>3.4054877216810414E-2</v>
      </c>
      <c r="R299" s="3">
        <f t="shared" si="281"/>
        <v>3.2790148654757101E-2</v>
      </c>
      <c r="S299" s="3">
        <f t="shared" si="281"/>
        <v>2.2458671001253046E-2</v>
      </c>
      <c r="T299" s="3">
        <f t="shared" si="281"/>
        <v>5.1025906555574453E-4</v>
      </c>
      <c r="U299" s="3">
        <f t="shared" si="281"/>
        <v>1.870068398991683E-20</v>
      </c>
      <c r="V299" s="3">
        <f t="shared" si="281"/>
        <v>8.1757031049823136E-185</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4.2864410475860253E-2</v>
      </c>
      <c r="C300" s="3">
        <f t="shared" si="282"/>
        <v>4.2864410475860253E-2</v>
      </c>
      <c r="D300" s="3">
        <f t="shared" si="282"/>
        <v>4.2864410475860253E-2</v>
      </c>
      <c r="E300" s="3">
        <f t="shared" si="282"/>
        <v>4.2864410475860239E-2</v>
      </c>
      <c r="F300" s="3">
        <f t="shared" si="282"/>
        <v>4.2864410475860093E-2</v>
      </c>
      <c r="G300" s="3">
        <f t="shared" si="282"/>
        <v>4.2864410475858622E-2</v>
      </c>
      <c r="H300" s="3">
        <f t="shared" si="282"/>
        <v>4.2864410475843995E-2</v>
      </c>
      <c r="I300" s="3">
        <f t="shared" si="282"/>
        <v>4.2864410475697654E-2</v>
      </c>
      <c r="J300" s="3">
        <f t="shared" si="282"/>
        <v>4.2864410474234289E-2</v>
      </c>
      <c r="K300" s="3">
        <f t="shared" si="282"/>
        <v>4.2864410459600606E-2</v>
      </c>
      <c r="L300" s="3">
        <f t="shared" si="282"/>
        <v>4.2864410313263823E-2</v>
      </c>
      <c r="M300" s="3">
        <f t="shared" si="282"/>
        <v>4.2864408849896028E-2</v>
      </c>
      <c r="N300" s="3">
        <f t="shared" si="282"/>
        <v>4.2864394216220784E-2</v>
      </c>
      <c r="O300" s="3">
        <f t="shared" si="282"/>
        <v>4.2864247879743154E-2</v>
      </c>
      <c r="P300" s="3">
        <f t="shared" si="282"/>
        <v>4.286278454244364E-2</v>
      </c>
      <c r="Q300" s="3">
        <f t="shared" si="282"/>
        <v>4.2848153916785217E-2</v>
      </c>
      <c r="R300" s="3">
        <f t="shared" si="282"/>
        <v>4.2702122047155809E-2</v>
      </c>
      <c r="S300" s="3">
        <f t="shared" si="282"/>
        <v>4.1268898593982015E-2</v>
      </c>
      <c r="T300" s="3">
        <f t="shared" si="282"/>
        <v>2.9333040858021062E-2</v>
      </c>
      <c r="U300" s="3">
        <f t="shared" si="282"/>
        <v>9.6538195193686144E-4</v>
      </c>
      <c r="V300" s="3">
        <f t="shared" si="282"/>
        <v>1.4391963760037972E-18</v>
      </c>
      <c r="W300" s="3">
        <f t="shared" si="282"/>
        <v>7.8042086356111719E-167</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4.3714566142705795E-2</v>
      </c>
      <c r="C301" s="3">
        <f t="shared" si="283"/>
        <v>4.3714566142705795E-2</v>
      </c>
      <c r="D301" s="3">
        <f t="shared" si="283"/>
        <v>4.3714566142705795E-2</v>
      </c>
      <c r="E301" s="3">
        <f t="shared" si="283"/>
        <v>4.3714566142705795E-2</v>
      </c>
      <c r="F301" s="3">
        <f t="shared" si="283"/>
        <v>4.3714566142705781E-2</v>
      </c>
      <c r="G301" s="3">
        <f t="shared" si="283"/>
        <v>4.3714566142705642E-2</v>
      </c>
      <c r="H301" s="3">
        <f t="shared" si="283"/>
        <v>4.3714566142704303E-2</v>
      </c>
      <c r="I301" s="3">
        <f t="shared" si="283"/>
        <v>4.3714566142690835E-2</v>
      </c>
      <c r="J301" s="3">
        <f t="shared" si="283"/>
        <v>4.3714566142556213E-2</v>
      </c>
      <c r="K301" s="3">
        <f t="shared" si="283"/>
        <v>4.371456614120995E-2</v>
      </c>
      <c r="L301" s="3">
        <f t="shared" si="283"/>
        <v>4.371456612774733E-2</v>
      </c>
      <c r="M301" s="3">
        <f t="shared" si="283"/>
        <v>4.3714565993121186E-2</v>
      </c>
      <c r="N301" s="3">
        <f t="shared" si="283"/>
        <v>4.3714564646859765E-2</v>
      </c>
      <c r="O301" s="3">
        <f t="shared" si="283"/>
        <v>4.3714551184247746E-2</v>
      </c>
      <c r="P301" s="3">
        <f t="shared" si="283"/>
        <v>4.3714416558355638E-2</v>
      </c>
      <c r="Q301" s="3">
        <f t="shared" si="283"/>
        <v>4.3713070322237493E-2</v>
      </c>
      <c r="R301" s="3">
        <f t="shared" si="283"/>
        <v>4.3699610241084916E-2</v>
      </c>
      <c r="S301" s="3">
        <f t="shared" si="283"/>
        <v>4.3565237172861558E-2</v>
      </c>
      <c r="T301" s="3">
        <f t="shared" si="283"/>
        <v>4.224402343684127E-2</v>
      </c>
      <c r="U301" s="3">
        <f t="shared" si="283"/>
        <v>3.1046825215334549E-2</v>
      </c>
      <c r="V301" s="3">
        <f t="shared" si="283"/>
        <v>1.4273695080353763E-3</v>
      </c>
      <c r="W301" s="3">
        <f t="shared" si="283"/>
        <v>6.0218314770039432E-17</v>
      </c>
      <c r="X301" s="3">
        <f t="shared" si="283"/>
        <v>1.07559908091559E-150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7.7757179566671539E-2</v>
      </c>
      <c r="C302" s="3">
        <f t="shared" si="284"/>
        <v>7.7757179566671539E-2</v>
      </c>
      <c r="D302" s="3">
        <f t="shared" si="284"/>
        <v>7.7757179566671539E-2</v>
      </c>
      <c r="E302" s="3">
        <f t="shared" si="284"/>
        <v>7.7757179566671539E-2</v>
      </c>
      <c r="F302" s="3">
        <f t="shared" si="284"/>
        <v>7.7757179566671539E-2</v>
      </c>
      <c r="G302" s="3">
        <f t="shared" si="284"/>
        <v>7.7757179566671511E-2</v>
      </c>
      <c r="H302" s="3">
        <f t="shared" si="284"/>
        <v>7.7757179566671303E-2</v>
      </c>
      <c r="I302" s="3">
        <f t="shared" si="284"/>
        <v>7.7757179566669138E-2</v>
      </c>
      <c r="J302" s="3">
        <f t="shared" si="284"/>
        <v>7.7757179566647544E-2</v>
      </c>
      <c r="K302" s="3">
        <f t="shared" si="284"/>
        <v>7.7757179566431522E-2</v>
      </c>
      <c r="L302" s="3">
        <f t="shared" si="284"/>
        <v>7.7757179564271348E-2</v>
      </c>
      <c r="M302" s="3">
        <f t="shared" si="284"/>
        <v>7.7757179542669516E-2</v>
      </c>
      <c r="N302" s="3">
        <f t="shared" si="284"/>
        <v>7.7757179326651327E-2</v>
      </c>
      <c r="O302" s="3">
        <f t="shared" si="284"/>
        <v>7.7757177166469432E-2</v>
      </c>
      <c r="P302" s="3">
        <f t="shared" si="284"/>
        <v>7.7757155564653777E-2</v>
      </c>
      <c r="Q302" s="3">
        <f t="shared" si="284"/>
        <v>7.7756939546827289E-2</v>
      </c>
      <c r="R302" s="3">
        <f t="shared" si="284"/>
        <v>7.7754779401568788E-2</v>
      </c>
      <c r="S302" s="3">
        <f t="shared" si="284"/>
        <v>7.7733181249282551E-2</v>
      </c>
      <c r="T302" s="3">
        <f t="shared" si="284"/>
        <v>7.7517529417303943E-2</v>
      </c>
      <c r="U302" s="3">
        <f t="shared" si="284"/>
        <v>7.5393643799682913E-2</v>
      </c>
      <c r="V302" s="3">
        <f t="shared" si="284"/>
        <v>5.7106144527356142E-2</v>
      </c>
      <c r="W302" s="3">
        <f t="shared" si="284"/>
        <v>3.5494732481657571E-3</v>
      </c>
      <c r="X302" s="3">
        <f t="shared" si="284"/>
        <v>3.0547423023500352E-15</v>
      </c>
      <c r="Y302" s="3">
        <f t="shared" si="284"/>
        <v>6.8089680602535028E-136</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9.5507274749383017E-2</v>
      </c>
      <c r="C303" s="3">
        <f t="shared" si="285"/>
        <v>9.5507274749383017E-2</v>
      </c>
      <c r="D303" s="3">
        <f t="shared" si="285"/>
        <v>9.5507274749383017E-2</v>
      </c>
      <c r="E303" s="3">
        <f t="shared" si="285"/>
        <v>9.5507274749383017E-2</v>
      </c>
      <c r="F303" s="3">
        <f t="shared" si="285"/>
        <v>9.5507274749383017E-2</v>
      </c>
      <c r="G303" s="3">
        <f t="shared" si="285"/>
        <v>9.5507274749383017E-2</v>
      </c>
      <c r="H303" s="3">
        <f t="shared" si="285"/>
        <v>9.5507274749382989E-2</v>
      </c>
      <c r="I303" s="3">
        <f t="shared" si="285"/>
        <v>9.5507274749382753E-2</v>
      </c>
      <c r="J303" s="3">
        <f t="shared" si="285"/>
        <v>9.5507274749380353E-2</v>
      </c>
      <c r="K303" s="3">
        <f t="shared" si="285"/>
        <v>9.5507274749356427E-2</v>
      </c>
      <c r="L303" s="3">
        <f t="shared" si="285"/>
        <v>9.5507274749117077E-2</v>
      </c>
      <c r="M303" s="3">
        <f t="shared" si="285"/>
        <v>9.5507274746723575E-2</v>
      </c>
      <c r="N303" s="3">
        <f t="shared" si="285"/>
        <v>9.550727472278861E-2</v>
      </c>
      <c r="O303" s="3">
        <f t="shared" si="285"/>
        <v>9.5507274483438917E-2</v>
      </c>
      <c r="P303" s="3">
        <f t="shared" si="285"/>
        <v>9.550727208994203E-2</v>
      </c>
      <c r="Q303" s="3">
        <f t="shared" si="285"/>
        <v>9.5507248154976451E-2</v>
      </c>
      <c r="R303" s="3">
        <f t="shared" si="285"/>
        <v>9.5507008805650551E-2</v>
      </c>
      <c r="S303" s="3">
        <f t="shared" si="285"/>
        <v>9.5504615345381974E-2</v>
      </c>
      <c r="T303" s="3">
        <f t="shared" si="285"/>
        <v>9.5480684041429842E-2</v>
      </c>
      <c r="U303" s="3">
        <f t="shared" si="285"/>
        <v>9.5241700569594662E-2</v>
      </c>
      <c r="V303" s="3">
        <f t="shared" si="285"/>
        <v>9.2884519065025983E-2</v>
      </c>
      <c r="W303" s="3">
        <f t="shared" si="285"/>
        <v>7.2294505548012922E-2</v>
      </c>
      <c r="X303" s="3">
        <f t="shared" si="285"/>
        <v>5.8982726163757087E-3</v>
      </c>
      <c r="Y303" s="3">
        <f t="shared" si="285"/>
        <v>7.7076208082853783E-14</v>
      </c>
      <c r="Z303" s="3">
        <f t="shared" si="285"/>
        <v>1.1191165786041652E-122</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8.003075559639232E-2</v>
      </c>
      <c r="C304" s="3">
        <f t="shared" si="286"/>
        <v>8.003075559639232E-2</v>
      </c>
      <c r="D304" s="3">
        <f t="shared" si="286"/>
        <v>8.003075559639232E-2</v>
      </c>
      <c r="E304" s="3">
        <f t="shared" si="286"/>
        <v>8.003075559639232E-2</v>
      </c>
      <c r="F304" s="3">
        <f t="shared" si="286"/>
        <v>8.003075559639232E-2</v>
      </c>
      <c r="G304" s="3">
        <f t="shared" si="286"/>
        <v>8.003075559639232E-2</v>
      </c>
      <c r="H304" s="3">
        <f t="shared" si="286"/>
        <v>8.003075559639232E-2</v>
      </c>
      <c r="I304" s="3">
        <f t="shared" si="286"/>
        <v>8.0030755596392306E-2</v>
      </c>
      <c r="J304" s="3">
        <f t="shared" si="286"/>
        <v>8.0030755596392111E-2</v>
      </c>
      <c r="K304" s="3">
        <f t="shared" si="286"/>
        <v>8.0030755596390307E-2</v>
      </c>
      <c r="L304" s="3">
        <f t="shared" si="286"/>
        <v>8.0030755596372211E-2</v>
      </c>
      <c r="M304" s="3">
        <f t="shared" si="286"/>
        <v>8.0030755596191286E-2</v>
      </c>
      <c r="N304" s="3">
        <f t="shared" si="286"/>
        <v>8.0030755594382039E-2</v>
      </c>
      <c r="O304" s="3">
        <f t="shared" si="286"/>
        <v>8.0030755576289483E-2</v>
      </c>
      <c r="P304" s="3">
        <f t="shared" si="286"/>
        <v>8.0030755395363917E-2</v>
      </c>
      <c r="Q304" s="3">
        <f t="shared" si="286"/>
        <v>8.0030753586108325E-2</v>
      </c>
      <c r="R304" s="3">
        <f t="shared" si="286"/>
        <v>8.0030735493554675E-2</v>
      </c>
      <c r="S304" s="3">
        <f t="shared" si="286"/>
        <v>8.0030554568243151E-2</v>
      </c>
      <c r="T304" s="3">
        <f t="shared" si="286"/>
        <v>8.0028745337623719E-2</v>
      </c>
      <c r="U304" s="3">
        <f t="shared" si="286"/>
        <v>8.001065528082206E-2</v>
      </c>
      <c r="V304" s="3">
        <f t="shared" si="286"/>
        <v>7.9829979464029602E-2</v>
      </c>
      <c r="W304" s="3">
        <f t="shared" si="286"/>
        <v>7.8045509554717854E-2</v>
      </c>
      <c r="X304" s="3">
        <f t="shared" si="286"/>
        <v>6.2253955283214896E-2</v>
      </c>
      <c r="Y304" s="3">
        <f t="shared" si="286"/>
        <v>6.491682021407796E-3</v>
      </c>
      <c r="Z304" s="3">
        <f t="shared" si="286"/>
        <v>9.8687042391256714E-13</v>
      </c>
      <c r="AA304" s="3">
        <f t="shared" si="286"/>
        <v>6.5056258168653936E-111</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5.3976889971713508E-2</v>
      </c>
      <c r="C305" s="3">
        <f t="shared" si="287"/>
        <v>5.3976889971713508E-2</v>
      </c>
      <c r="D305" s="3">
        <f t="shared" si="287"/>
        <v>5.3976889971713508E-2</v>
      </c>
      <c r="E305" s="3">
        <f t="shared" si="287"/>
        <v>5.3976889971713508E-2</v>
      </c>
      <c r="F305" s="3">
        <f t="shared" si="287"/>
        <v>5.3976889971713508E-2</v>
      </c>
      <c r="G305" s="3">
        <f t="shared" si="287"/>
        <v>5.3976889971713508E-2</v>
      </c>
      <c r="H305" s="3">
        <f t="shared" si="287"/>
        <v>5.3976889971713508E-2</v>
      </c>
      <c r="I305" s="3">
        <f t="shared" si="287"/>
        <v>5.3976889971713508E-2</v>
      </c>
      <c r="J305" s="3">
        <f t="shared" si="287"/>
        <v>5.3976889971713495E-2</v>
      </c>
      <c r="K305" s="3">
        <f t="shared" si="287"/>
        <v>5.397688997171339E-2</v>
      </c>
      <c r="L305" s="3">
        <f t="shared" si="287"/>
        <v>5.3976889971712287E-2</v>
      </c>
      <c r="M305" s="3">
        <f t="shared" si="287"/>
        <v>5.3976889971701275E-2</v>
      </c>
      <c r="N305" s="3">
        <f t="shared" si="287"/>
        <v>5.3976889971591197E-2</v>
      </c>
      <c r="O305" s="3">
        <f t="shared" si="287"/>
        <v>5.3976889970490431E-2</v>
      </c>
      <c r="P305" s="3">
        <f t="shared" si="287"/>
        <v>5.3976889959482709E-2</v>
      </c>
      <c r="Q305" s="3">
        <f t="shared" si="287"/>
        <v>5.3976889849405484E-2</v>
      </c>
      <c r="R305" s="3">
        <f t="shared" si="287"/>
        <v>5.3976888748633274E-2</v>
      </c>
      <c r="S305" s="3">
        <f t="shared" si="287"/>
        <v>5.3976877740912456E-2</v>
      </c>
      <c r="T305" s="3">
        <f t="shared" si="287"/>
        <v>5.3976767663827682E-2</v>
      </c>
      <c r="U305" s="3">
        <f t="shared" si="287"/>
        <v>5.3975666905326548E-2</v>
      </c>
      <c r="V305" s="3">
        <f t="shared" si="287"/>
        <v>5.3964660554878446E-2</v>
      </c>
      <c r="W305" s="3">
        <f t="shared" si="287"/>
        <v>5.3854720413617795E-2</v>
      </c>
      <c r="X305" s="3">
        <f t="shared" si="287"/>
        <v>5.2767562744220203E-2</v>
      </c>
      <c r="Y305" s="3">
        <f t="shared" si="287"/>
        <v>4.3032802613138035E-2</v>
      </c>
      <c r="Z305" s="3">
        <f t="shared" si="287"/>
        <v>5.5991950151353205E-3</v>
      </c>
      <c r="AA305" s="3">
        <f t="shared" si="287"/>
        <v>7.7872697322478321E-12</v>
      </c>
      <c r="AB305" s="3">
        <f t="shared" si="287"/>
        <v>2.1085381247988646E-100</v>
      </c>
      <c r="AC305" s="3">
        <f t="shared" si="287"/>
        <v>0</v>
      </c>
      <c r="AD305" s="3">
        <f t="shared" si="287"/>
        <v>0</v>
      </c>
      <c r="AE305" s="3">
        <f t="shared" si="287"/>
        <v>0</v>
      </c>
      <c r="AF305" s="3">
        <f t="shared" si="287"/>
        <v>0</v>
      </c>
      <c r="AG305" s="3"/>
      <c r="AH305" s="3"/>
    </row>
    <row r="306" spans="1:34" x14ac:dyDescent="0.25">
      <c r="B306" s="3">
        <f t="shared" ref="B306:AF306" si="288">$C36*EXP(-B$285/$A36/EXP(-$F$126))</f>
        <v>2.9623895965477303E-2</v>
      </c>
      <c r="C306" s="3">
        <f t="shared" si="288"/>
        <v>2.9623895965477303E-2</v>
      </c>
      <c r="D306" s="3">
        <f t="shared" si="288"/>
        <v>2.9623895965477303E-2</v>
      </c>
      <c r="E306" s="3">
        <f t="shared" si="288"/>
        <v>2.9623895965477303E-2</v>
      </c>
      <c r="F306" s="3">
        <f t="shared" si="288"/>
        <v>2.9623895965477303E-2</v>
      </c>
      <c r="G306" s="3">
        <f t="shared" si="288"/>
        <v>2.9623895965477303E-2</v>
      </c>
      <c r="H306" s="3">
        <f t="shared" si="288"/>
        <v>2.9623895965477303E-2</v>
      </c>
      <c r="I306" s="3">
        <f t="shared" si="288"/>
        <v>2.9623895965477303E-2</v>
      </c>
      <c r="J306" s="3">
        <f t="shared" si="288"/>
        <v>2.9623895965477303E-2</v>
      </c>
      <c r="K306" s="3">
        <f t="shared" si="288"/>
        <v>2.9623895965477296E-2</v>
      </c>
      <c r="L306" s="3">
        <f t="shared" si="288"/>
        <v>2.9623895965477244E-2</v>
      </c>
      <c r="M306" s="3">
        <f t="shared" si="288"/>
        <v>2.9623895965476699E-2</v>
      </c>
      <c r="N306" s="3">
        <f t="shared" si="288"/>
        <v>2.9623895965471249E-2</v>
      </c>
      <c r="O306" s="3">
        <f t="shared" si="288"/>
        <v>2.9623895965416751E-2</v>
      </c>
      <c r="P306" s="3">
        <f t="shared" si="288"/>
        <v>2.962389596487177E-2</v>
      </c>
      <c r="Q306" s="3">
        <f t="shared" si="288"/>
        <v>2.9623895959422001E-2</v>
      </c>
      <c r="R306" s="3">
        <f t="shared" si="288"/>
        <v>2.9623895904924275E-2</v>
      </c>
      <c r="S306" s="3">
        <f t="shared" si="288"/>
        <v>2.9623895359947038E-2</v>
      </c>
      <c r="T306" s="3">
        <f t="shared" si="288"/>
        <v>2.962388991017522E-2</v>
      </c>
      <c r="U306" s="3">
        <f t="shared" si="288"/>
        <v>2.9623835412512182E-2</v>
      </c>
      <c r="V306" s="3">
        <f t="shared" si="288"/>
        <v>2.9623290441395878E-2</v>
      </c>
      <c r="W306" s="3">
        <f t="shared" si="288"/>
        <v>2.9617841281604454E-2</v>
      </c>
      <c r="X306" s="3">
        <f t="shared" si="288"/>
        <v>2.9563404783339978E-2</v>
      </c>
      <c r="Y306" s="3">
        <f t="shared" si="288"/>
        <v>2.9024512444719708E-2</v>
      </c>
      <c r="Z306" s="3">
        <f t="shared" si="288"/>
        <v>2.4147366119399279E-2</v>
      </c>
      <c r="AA306" s="3">
        <f t="shared" si="288"/>
        <v>3.8363489566225007E-3</v>
      </c>
      <c r="AB306" s="3">
        <f t="shared" si="288"/>
        <v>3.9300807613514726E-11</v>
      </c>
      <c r="AC306" s="3">
        <f t="shared" si="288"/>
        <v>5.003053941705336E-91</v>
      </c>
      <c r="AD306" s="3">
        <f t="shared" si="288"/>
        <v>0</v>
      </c>
      <c r="AE306" s="3">
        <f t="shared" si="288"/>
        <v>0</v>
      </c>
      <c r="AF306" s="3">
        <f t="shared" si="288"/>
        <v>0</v>
      </c>
      <c r="AG306" s="3"/>
      <c r="AH306" s="3"/>
    </row>
    <row r="307" spans="1:34" x14ac:dyDescent="0.25">
      <c r="B307" s="3">
        <f t="shared" ref="B307:AF307" si="289">$C37*EXP(-B$285/$A37/EXP(-$F$126))</f>
        <v>1.5005107194779805E-2</v>
      </c>
      <c r="C307" s="3">
        <f t="shared" si="289"/>
        <v>1.5005107194779805E-2</v>
      </c>
      <c r="D307" s="3">
        <f t="shared" si="289"/>
        <v>1.5005107194779805E-2</v>
      </c>
      <c r="E307" s="3">
        <f t="shared" si="289"/>
        <v>1.5005107194779805E-2</v>
      </c>
      <c r="F307" s="3">
        <f t="shared" si="289"/>
        <v>1.5005107194779805E-2</v>
      </c>
      <c r="G307" s="3">
        <f t="shared" si="289"/>
        <v>1.5005107194779805E-2</v>
      </c>
      <c r="H307" s="3">
        <f t="shared" si="289"/>
        <v>1.5005107194779805E-2</v>
      </c>
      <c r="I307" s="3">
        <f t="shared" si="289"/>
        <v>1.5005107194779805E-2</v>
      </c>
      <c r="J307" s="3">
        <f t="shared" si="289"/>
        <v>1.5005107194779805E-2</v>
      </c>
      <c r="K307" s="3">
        <f t="shared" si="289"/>
        <v>1.5005107194779805E-2</v>
      </c>
      <c r="L307" s="3">
        <f t="shared" si="289"/>
        <v>1.5005107194779802E-2</v>
      </c>
      <c r="M307" s="3">
        <f t="shared" si="289"/>
        <v>1.5005107194779778E-2</v>
      </c>
      <c r="N307" s="3">
        <f t="shared" si="289"/>
        <v>1.5005107194779529E-2</v>
      </c>
      <c r="O307" s="3">
        <f t="shared" si="289"/>
        <v>1.5005107194777038E-2</v>
      </c>
      <c r="P307" s="3">
        <f t="shared" si="289"/>
        <v>1.5005107194752138E-2</v>
      </c>
      <c r="Q307" s="3">
        <f t="shared" si="289"/>
        <v>1.5005107194503124E-2</v>
      </c>
      <c r="R307" s="3">
        <f t="shared" si="289"/>
        <v>1.5005107192012994E-2</v>
      </c>
      <c r="S307" s="3">
        <f t="shared" si="289"/>
        <v>1.5005107167111703E-2</v>
      </c>
      <c r="T307" s="3">
        <f t="shared" si="289"/>
        <v>1.5005106918098782E-2</v>
      </c>
      <c r="U307" s="3">
        <f t="shared" si="289"/>
        <v>1.50051044279698E-2</v>
      </c>
      <c r="V307" s="3">
        <f t="shared" si="289"/>
        <v>1.5005079526702712E-2</v>
      </c>
      <c r="W307" s="3">
        <f t="shared" si="289"/>
        <v>1.5004830516304643E-2</v>
      </c>
      <c r="X307" s="3">
        <f t="shared" si="289"/>
        <v>1.5002340639591667E-2</v>
      </c>
      <c r="Y307" s="3">
        <f t="shared" si="289"/>
        <v>1.4977464585284121E-2</v>
      </c>
      <c r="Z307" s="3">
        <f t="shared" si="289"/>
        <v>1.4730961439931254E-2</v>
      </c>
      <c r="AA307" s="3">
        <f t="shared" si="289"/>
        <v>1.2478402961428737E-2</v>
      </c>
      <c r="AB307" s="3">
        <f t="shared" si="289"/>
        <v>2.3737672828687906E-3</v>
      </c>
      <c r="AC307" s="3">
        <f t="shared" si="289"/>
        <v>1.4730906625712387E-10</v>
      </c>
      <c r="AD307" s="3">
        <f t="shared" si="289"/>
        <v>1.2477938645192093E-82</v>
      </c>
      <c r="AE307" s="3">
        <f t="shared" si="289"/>
        <v>0</v>
      </c>
      <c r="AF307" s="3">
        <f t="shared" si="289"/>
        <v>0</v>
      </c>
      <c r="AG307" s="3"/>
      <c r="AH307" s="3"/>
    </row>
    <row r="308" spans="1:34" x14ac:dyDescent="0.25">
      <c r="B308" s="3">
        <f t="shared" ref="B308:AF308" si="290">$C38*EXP(-B$285/$A38/EXP(-$F$126))</f>
        <v>4.0905508263932881E-3</v>
      </c>
      <c r="C308" s="3">
        <f t="shared" si="290"/>
        <v>4.0905508263932881E-3</v>
      </c>
      <c r="D308" s="3">
        <f t="shared" si="290"/>
        <v>4.0905508263932881E-3</v>
      </c>
      <c r="E308" s="3">
        <f t="shared" si="290"/>
        <v>4.0905508263932881E-3</v>
      </c>
      <c r="F308" s="3">
        <f t="shared" si="290"/>
        <v>4.0905508263932881E-3</v>
      </c>
      <c r="G308" s="3">
        <f t="shared" si="290"/>
        <v>4.0905508263932881E-3</v>
      </c>
      <c r="H308" s="3">
        <f t="shared" si="290"/>
        <v>4.0905508263932881E-3</v>
      </c>
      <c r="I308" s="3">
        <f t="shared" si="290"/>
        <v>4.0905508263932881E-3</v>
      </c>
      <c r="J308" s="3">
        <f t="shared" si="290"/>
        <v>4.0905508263932881E-3</v>
      </c>
      <c r="K308" s="3">
        <f t="shared" si="290"/>
        <v>4.0905508263932881E-3</v>
      </c>
      <c r="L308" s="3">
        <f t="shared" si="290"/>
        <v>4.0905508263932881E-3</v>
      </c>
      <c r="M308" s="3">
        <f t="shared" si="290"/>
        <v>4.0905508263932872E-3</v>
      </c>
      <c r="N308" s="3">
        <f t="shared" si="290"/>
        <v>4.0905508263932812E-3</v>
      </c>
      <c r="O308" s="3">
        <f t="shared" si="290"/>
        <v>4.0905508263932196E-3</v>
      </c>
      <c r="P308" s="3">
        <f t="shared" si="290"/>
        <v>4.0905508263926081E-3</v>
      </c>
      <c r="Q308" s="3">
        <f t="shared" si="290"/>
        <v>4.0905508263864845E-3</v>
      </c>
      <c r="R308" s="3">
        <f t="shared" si="290"/>
        <v>4.0905508263252479E-3</v>
      </c>
      <c r="S308" s="3">
        <f t="shared" si="290"/>
        <v>4.090550825712881E-3</v>
      </c>
      <c r="T308" s="3">
        <f t="shared" si="290"/>
        <v>4.0905508195892195E-3</v>
      </c>
      <c r="U308" s="3">
        <f t="shared" si="290"/>
        <v>4.0905507583526065E-3</v>
      </c>
      <c r="V308" s="3">
        <f t="shared" si="290"/>
        <v>4.0905501459865224E-3</v>
      </c>
      <c r="W308" s="3">
        <f t="shared" si="290"/>
        <v>4.0905440223307256E-3</v>
      </c>
      <c r="X308" s="3">
        <f t="shared" si="290"/>
        <v>4.0904827862769588E-3</v>
      </c>
      <c r="Y308" s="3">
        <f t="shared" si="290"/>
        <v>4.0898704761562306E-3</v>
      </c>
      <c r="Z308" s="3">
        <f t="shared" si="290"/>
        <v>4.0837524138517389E-3</v>
      </c>
      <c r="AA308" s="3">
        <f t="shared" si="290"/>
        <v>4.0230729011803508E-3</v>
      </c>
      <c r="AB308" s="3">
        <f t="shared" si="290"/>
        <v>3.4637208544999625E-3</v>
      </c>
      <c r="AC308" s="3">
        <f t="shared" si="290"/>
        <v>7.751624109608871E-4</v>
      </c>
      <c r="AD308" s="3">
        <f t="shared" si="290"/>
        <v>2.4428168596672621E-10</v>
      </c>
      <c r="AE308" s="3">
        <f t="shared" si="290"/>
        <v>2.3597877791771228E-75</v>
      </c>
      <c r="AF308" s="3">
        <f t="shared" si="290"/>
        <v>0</v>
      </c>
      <c r="AG308" s="3"/>
      <c r="AH308" s="3"/>
    </row>
    <row r="309" spans="1:34" x14ac:dyDescent="0.25">
      <c r="B309" s="3">
        <f t="shared" ref="B309:AF309" si="291">$C39*EXP(-B$285/$A39/EXP(-$F$126))</f>
        <v>4.6207327982835155E-3</v>
      </c>
      <c r="C309" s="3">
        <f t="shared" si="291"/>
        <v>4.6207327982835155E-3</v>
      </c>
      <c r="D309" s="3">
        <f t="shared" si="291"/>
        <v>4.6207327982835155E-3</v>
      </c>
      <c r="E309" s="3">
        <f t="shared" si="291"/>
        <v>4.6207327982835155E-3</v>
      </c>
      <c r="F309" s="3">
        <f t="shared" si="291"/>
        <v>4.6207327982835155E-3</v>
      </c>
      <c r="G309" s="3">
        <f t="shared" si="291"/>
        <v>4.6207327982835155E-3</v>
      </c>
      <c r="H309" s="3">
        <f t="shared" si="291"/>
        <v>4.6207327982835155E-3</v>
      </c>
      <c r="I309" s="3">
        <f t="shared" si="291"/>
        <v>4.6207327982835155E-3</v>
      </c>
      <c r="J309" s="3">
        <f t="shared" si="291"/>
        <v>4.6207327982835155E-3</v>
      </c>
      <c r="K309" s="3">
        <f t="shared" si="291"/>
        <v>4.6207327982835155E-3</v>
      </c>
      <c r="L309" s="3">
        <f t="shared" si="291"/>
        <v>4.6207327982835155E-3</v>
      </c>
      <c r="M309" s="3">
        <f t="shared" si="291"/>
        <v>4.6207327982835155E-3</v>
      </c>
      <c r="N309" s="3">
        <f t="shared" si="291"/>
        <v>4.6207327982835137E-3</v>
      </c>
      <c r="O309" s="3">
        <f t="shared" si="291"/>
        <v>4.6207327982834947E-3</v>
      </c>
      <c r="P309" s="3">
        <f t="shared" si="291"/>
        <v>4.620732798283303E-3</v>
      </c>
      <c r="Q309" s="3">
        <f t="shared" si="291"/>
        <v>4.6207327982813896E-3</v>
      </c>
      <c r="R309" s="3">
        <f t="shared" si="291"/>
        <v>4.6207327982622582E-3</v>
      </c>
      <c r="S309" s="3">
        <f t="shared" si="291"/>
        <v>4.6207327980709416E-3</v>
      </c>
      <c r="T309" s="3">
        <f t="shared" si="291"/>
        <v>4.6207327961577732E-3</v>
      </c>
      <c r="U309" s="3">
        <f t="shared" si="291"/>
        <v>4.6207327770260943E-3</v>
      </c>
      <c r="V309" s="3">
        <f t="shared" si="291"/>
        <v>4.6207325857093055E-3</v>
      </c>
      <c r="W309" s="3">
        <f t="shared" si="291"/>
        <v>4.6207306725418573E-3</v>
      </c>
      <c r="X309" s="3">
        <f t="shared" si="291"/>
        <v>4.6207115409109441E-3</v>
      </c>
      <c r="Y309" s="3">
        <f t="shared" si="291"/>
        <v>4.6205202289584394E-3</v>
      </c>
      <c r="Z309" s="3">
        <f t="shared" si="291"/>
        <v>4.6186075450296068E-3</v>
      </c>
      <c r="AA309" s="3">
        <f t="shared" si="291"/>
        <v>4.5995241987055952E-3</v>
      </c>
      <c r="AB309" s="3">
        <f t="shared" si="291"/>
        <v>4.4129741344240917E-3</v>
      </c>
      <c r="AC309" s="3">
        <f t="shared" si="291"/>
        <v>2.9168635979224897E-3</v>
      </c>
      <c r="AD309" s="3">
        <f t="shared" si="291"/>
        <v>4.6426239428304059E-5</v>
      </c>
      <c r="AE309" s="3">
        <f t="shared" si="291"/>
        <v>4.8443707049292372E-23</v>
      </c>
      <c r="AF309" s="3">
        <f t="shared" si="291"/>
        <v>7.4126926411071535E-203</v>
      </c>
      <c r="AG309" s="3"/>
      <c r="AH309" s="3"/>
    </row>
    <row r="310" spans="1:34" x14ac:dyDescent="0.25">
      <c r="B310" s="3">
        <f t="shared" ref="B310:AF310" si="292">$C40*EXP(-B$285/$A40/EXP(-$F$126))</f>
        <v>2.0598839061917876E-3</v>
      </c>
      <c r="C310" s="3">
        <f t="shared" si="292"/>
        <v>2.0598839061917876E-3</v>
      </c>
      <c r="D310" s="3">
        <f t="shared" si="292"/>
        <v>2.0598839061917876E-3</v>
      </c>
      <c r="E310" s="3">
        <f t="shared" si="292"/>
        <v>2.0598839061917876E-3</v>
      </c>
      <c r="F310" s="3">
        <f t="shared" si="292"/>
        <v>2.0598839061917876E-3</v>
      </c>
      <c r="G310" s="3">
        <f t="shared" si="292"/>
        <v>2.0598839061917876E-3</v>
      </c>
      <c r="H310" s="3">
        <f t="shared" si="292"/>
        <v>2.0598839061917876E-3</v>
      </c>
      <c r="I310" s="3">
        <f t="shared" si="292"/>
        <v>2.0598839061917876E-3</v>
      </c>
      <c r="J310" s="3">
        <f t="shared" si="292"/>
        <v>2.0598839061917876E-3</v>
      </c>
      <c r="K310" s="3">
        <f t="shared" si="292"/>
        <v>2.0598839061917876E-3</v>
      </c>
      <c r="L310" s="3">
        <f t="shared" si="292"/>
        <v>2.0598839061917876E-3</v>
      </c>
      <c r="M310" s="3">
        <f t="shared" si="292"/>
        <v>2.0598839061917876E-3</v>
      </c>
      <c r="N310" s="3">
        <f t="shared" si="292"/>
        <v>2.0598839061917876E-3</v>
      </c>
      <c r="O310" s="3">
        <f t="shared" si="292"/>
        <v>2.0598839061917867E-3</v>
      </c>
      <c r="P310" s="3">
        <f t="shared" si="292"/>
        <v>2.0598839061917781E-3</v>
      </c>
      <c r="Q310" s="3">
        <f t="shared" si="292"/>
        <v>2.0598839061916931E-3</v>
      </c>
      <c r="R310" s="3">
        <f t="shared" si="292"/>
        <v>2.05988390619084E-3</v>
      </c>
      <c r="S310" s="3">
        <f t="shared" si="292"/>
        <v>2.0598839061823112E-3</v>
      </c>
      <c r="T310" s="3">
        <f t="shared" si="292"/>
        <v>2.059883906097024E-3</v>
      </c>
      <c r="U310" s="3">
        <f t="shared" si="292"/>
        <v>2.0598839052441498E-3</v>
      </c>
      <c r="V310" s="3">
        <f t="shared" si="292"/>
        <v>2.0598838967154074E-3</v>
      </c>
      <c r="W310" s="3">
        <f t="shared" si="292"/>
        <v>2.0598838114279888E-3</v>
      </c>
      <c r="X310" s="3">
        <f t="shared" si="292"/>
        <v>2.0598829585539947E-3</v>
      </c>
      <c r="Y310" s="3">
        <f t="shared" si="292"/>
        <v>2.0598744298334784E-3</v>
      </c>
      <c r="Z310" s="3">
        <f t="shared" si="292"/>
        <v>2.0597891445704626E-3</v>
      </c>
      <c r="AA310" s="3">
        <f t="shared" si="292"/>
        <v>2.0589364861254432E-3</v>
      </c>
      <c r="AB310" s="3">
        <f t="shared" si="292"/>
        <v>2.0504292904737673E-3</v>
      </c>
      <c r="AC310" s="3">
        <f t="shared" si="292"/>
        <v>1.9672668372682366E-3</v>
      </c>
      <c r="AD310" s="3">
        <f t="shared" si="292"/>
        <v>1.3003133148381091E-3</v>
      </c>
      <c r="AE310" s="3">
        <f t="shared" si="292"/>
        <v>2.0696427947293392E-5</v>
      </c>
      <c r="AF310" s="3">
        <f t="shared" si="292"/>
        <v>2.1595798082974167E-23</v>
      </c>
      <c r="AG310" s="3"/>
      <c r="AH310" s="3"/>
    </row>
    <row r="311" spans="1:34" x14ac:dyDescent="0.25">
      <c r="B311" s="3">
        <f t="shared" ref="B311:AF311" si="293">$C41*EXP(-B$285/$A41/EXP(-$F$126))</f>
        <v>2.0793314772124174E-3</v>
      </c>
      <c r="C311" s="3">
        <f t="shared" si="293"/>
        <v>2.0793314772124174E-3</v>
      </c>
      <c r="D311" s="3">
        <f t="shared" si="293"/>
        <v>2.0793314772124174E-3</v>
      </c>
      <c r="E311" s="3">
        <f t="shared" si="293"/>
        <v>2.0793314772124174E-3</v>
      </c>
      <c r="F311" s="3">
        <f t="shared" si="293"/>
        <v>2.0793314772124174E-3</v>
      </c>
      <c r="G311" s="3">
        <f t="shared" si="293"/>
        <v>2.0793314772124174E-3</v>
      </c>
      <c r="H311" s="3">
        <f t="shared" si="293"/>
        <v>2.0793314772124174E-3</v>
      </c>
      <c r="I311" s="3">
        <f t="shared" si="293"/>
        <v>2.0793314772124174E-3</v>
      </c>
      <c r="J311" s="3">
        <f t="shared" si="293"/>
        <v>2.0793314772124174E-3</v>
      </c>
      <c r="K311" s="3">
        <f t="shared" si="293"/>
        <v>2.0793314772124174E-3</v>
      </c>
      <c r="L311" s="3">
        <f t="shared" si="293"/>
        <v>2.0793314772124174E-3</v>
      </c>
      <c r="M311" s="3">
        <f t="shared" si="293"/>
        <v>2.0793314772124174E-3</v>
      </c>
      <c r="N311" s="3">
        <f t="shared" si="293"/>
        <v>2.0793314772124174E-3</v>
      </c>
      <c r="O311" s="3">
        <f t="shared" si="293"/>
        <v>2.0793314772124174E-3</v>
      </c>
      <c r="P311" s="3">
        <f t="shared" si="293"/>
        <v>2.0793314772124165E-3</v>
      </c>
      <c r="Q311" s="3">
        <f t="shared" si="293"/>
        <v>2.0793314772124078E-3</v>
      </c>
      <c r="R311" s="3">
        <f t="shared" si="293"/>
        <v>2.079331477212322E-3</v>
      </c>
      <c r="S311" s="3">
        <f t="shared" si="293"/>
        <v>2.0793314772114607E-3</v>
      </c>
      <c r="T311" s="3">
        <f t="shared" si="293"/>
        <v>2.0793314772028517E-3</v>
      </c>
      <c r="U311" s="3">
        <f t="shared" si="293"/>
        <v>2.0793314771167591E-3</v>
      </c>
      <c r="V311" s="3">
        <f t="shared" si="293"/>
        <v>2.0793314762558327E-3</v>
      </c>
      <c r="W311" s="3">
        <f t="shared" si="293"/>
        <v>2.0793314676465697E-3</v>
      </c>
      <c r="X311" s="3">
        <f t="shared" si="293"/>
        <v>2.0793313815539441E-3</v>
      </c>
      <c r="Y311" s="3">
        <f t="shared" si="293"/>
        <v>2.079330520627881E-3</v>
      </c>
      <c r="Z311" s="3">
        <f t="shared" si="293"/>
        <v>2.0793219113868569E-3</v>
      </c>
      <c r="AA311" s="3">
        <f t="shared" si="293"/>
        <v>2.0792358209371E-3</v>
      </c>
      <c r="AB311" s="3">
        <f t="shared" si="293"/>
        <v>2.0783751124579908E-3</v>
      </c>
      <c r="AC311" s="3">
        <f t="shared" si="293"/>
        <v>2.0697875995170124E-3</v>
      </c>
      <c r="AD311" s="3">
        <f t="shared" si="293"/>
        <v>1.9858400012311679E-3</v>
      </c>
      <c r="AE311" s="3">
        <f t="shared" si="293"/>
        <v>1.3125897035527216E-3</v>
      </c>
      <c r="AF311" s="3">
        <f t="shared" si="293"/>
        <v>2.0891825003976285E-5</v>
      </c>
      <c r="AG311" s="3"/>
      <c r="AH311" s="3"/>
    </row>
    <row r="312" spans="1:34" x14ac:dyDescent="0.25">
      <c r="B312" s="3">
        <f t="shared" ref="B312:AF312" si="294">$C42*EXP(-B$285/$A42/EXP(-$F$126))</f>
        <v>0</v>
      </c>
      <c r="C312" s="3">
        <f t="shared" si="294"/>
        <v>0</v>
      </c>
      <c r="D312" s="3">
        <f t="shared" si="294"/>
        <v>0</v>
      </c>
      <c r="E312" s="3">
        <f t="shared" si="294"/>
        <v>0</v>
      </c>
      <c r="F312" s="3">
        <f t="shared" si="294"/>
        <v>0</v>
      </c>
      <c r="G312" s="3">
        <f t="shared" si="294"/>
        <v>0</v>
      </c>
      <c r="H312" s="3">
        <f t="shared" si="294"/>
        <v>0</v>
      </c>
      <c r="I312" s="3">
        <f t="shared" si="294"/>
        <v>0</v>
      </c>
      <c r="J312" s="3">
        <f t="shared" si="294"/>
        <v>0</v>
      </c>
      <c r="K312" s="3">
        <f t="shared" si="294"/>
        <v>0</v>
      </c>
      <c r="L312" s="3">
        <f t="shared" si="294"/>
        <v>0</v>
      </c>
      <c r="M312" s="3">
        <f t="shared" si="294"/>
        <v>0</v>
      </c>
      <c r="N312" s="3">
        <f t="shared" si="294"/>
        <v>0</v>
      </c>
      <c r="O312" s="3">
        <f t="shared" si="294"/>
        <v>0</v>
      </c>
      <c r="P312" s="3">
        <f t="shared" si="294"/>
        <v>0</v>
      </c>
      <c r="Q312" s="3">
        <f t="shared" si="294"/>
        <v>0</v>
      </c>
      <c r="R312" s="3">
        <f t="shared" si="294"/>
        <v>0</v>
      </c>
      <c r="S312" s="3">
        <f t="shared" si="294"/>
        <v>0</v>
      </c>
      <c r="T312" s="3">
        <f t="shared" si="294"/>
        <v>0</v>
      </c>
      <c r="U312" s="3">
        <f t="shared" si="294"/>
        <v>0</v>
      </c>
      <c r="V312" s="3">
        <f t="shared" si="294"/>
        <v>0</v>
      </c>
      <c r="W312" s="3">
        <f t="shared" si="294"/>
        <v>0</v>
      </c>
      <c r="X312" s="3">
        <f t="shared" si="294"/>
        <v>0</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2.538048611821601E-3</v>
      </c>
      <c r="C313" s="3">
        <f t="shared" si="295"/>
        <v>2.538048611821601E-3</v>
      </c>
      <c r="D313" s="3">
        <f t="shared" si="295"/>
        <v>2.538048611821601E-3</v>
      </c>
      <c r="E313" s="3">
        <f t="shared" si="295"/>
        <v>2.538048611821601E-3</v>
      </c>
      <c r="F313" s="3">
        <f t="shared" si="295"/>
        <v>2.538048611821601E-3</v>
      </c>
      <c r="G313" s="3">
        <f t="shared" si="295"/>
        <v>2.538048611821601E-3</v>
      </c>
      <c r="H313" s="3">
        <f t="shared" si="295"/>
        <v>2.538048611821601E-3</v>
      </c>
      <c r="I313" s="3">
        <f t="shared" si="295"/>
        <v>2.538048611821601E-3</v>
      </c>
      <c r="J313" s="3">
        <f t="shared" si="295"/>
        <v>2.538048611821601E-3</v>
      </c>
      <c r="K313" s="3">
        <f t="shared" si="295"/>
        <v>2.538048611821601E-3</v>
      </c>
      <c r="L313" s="3">
        <f t="shared" si="295"/>
        <v>2.538048611821601E-3</v>
      </c>
      <c r="M313" s="3">
        <f t="shared" si="295"/>
        <v>2.538048611821601E-3</v>
      </c>
      <c r="N313" s="3">
        <f t="shared" si="295"/>
        <v>2.538048611821601E-3</v>
      </c>
      <c r="O313" s="3">
        <f t="shared" si="295"/>
        <v>2.538048611821601E-3</v>
      </c>
      <c r="P313" s="3">
        <f t="shared" si="295"/>
        <v>2.538048611821601E-3</v>
      </c>
      <c r="Q313" s="3">
        <f t="shared" si="295"/>
        <v>2.538048611821601E-3</v>
      </c>
      <c r="R313" s="3">
        <f t="shared" si="295"/>
        <v>2.5380486118215997E-3</v>
      </c>
      <c r="S313" s="3">
        <f t="shared" si="295"/>
        <v>2.5380486118215893E-3</v>
      </c>
      <c r="T313" s="3">
        <f t="shared" si="295"/>
        <v>2.5380486118214843E-3</v>
      </c>
      <c r="U313" s="3">
        <f t="shared" si="295"/>
        <v>2.5380486118204331E-3</v>
      </c>
      <c r="V313" s="3">
        <f t="shared" si="295"/>
        <v>2.538048611809925E-3</v>
      </c>
      <c r="W313" s="3">
        <f t="shared" si="295"/>
        <v>2.5380486117048393E-3</v>
      </c>
      <c r="X313" s="3">
        <f t="shared" si="295"/>
        <v>2.5380486106539859E-3</v>
      </c>
      <c r="Y313" s="3">
        <f t="shared" si="295"/>
        <v>2.5380486001454509E-3</v>
      </c>
      <c r="Z313" s="3">
        <f t="shared" si="295"/>
        <v>2.5380484950601042E-3</v>
      </c>
      <c r="AA313" s="3">
        <f t="shared" si="295"/>
        <v>2.5380474442068743E-3</v>
      </c>
      <c r="AB313" s="3">
        <f t="shared" si="295"/>
        <v>2.5380369356985052E-3</v>
      </c>
      <c r="AC313" s="3">
        <f t="shared" si="295"/>
        <v>2.5379318530077987E-3</v>
      </c>
      <c r="AD313" s="3">
        <f t="shared" si="295"/>
        <v>2.5368812653624295E-3</v>
      </c>
      <c r="AE313" s="3">
        <f t="shared" si="295"/>
        <v>2.5263992784653384E-3</v>
      </c>
      <c r="AF313" s="3">
        <f t="shared" si="295"/>
        <v>2.4239321693823842E-3</v>
      </c>
      <c r="AG313" s="3"/>
      <c r="AH313" s="3"/>
    </row>
    <row r="314" spans="1:34" x14ac:dyDescent="0.25">
      <c r="B314" s="3">
        <f t="shared" ref="B314:AF314" si="296">$C44*EXP(-B$285/$A44/EXP(-$F$126))</f>
        <v>1.186723127453265E-7</v>
      </c>
      <c r="C314" s="3">
        <f t="shared" si="296"/>
        <v>1.186723127453265E-7</v>
      </c>
      <c r="D314" s="3">
        <f t="shared" si="296"/>
        <v>1.186723127453265E-7</v>
      </c>
      <c r="E314" s="3">
        <f t="shared" si="296"/>
        <v>1.186723127453265E-7</v>
      </c>
      <c r="F314" s="3">
        <f t="shared" si="296"/>
        <v>1.186723127453265E-7</v>
      </c>
      <c r="G314" s="3">
        <f t="shared" si="296"/>
        <v>1.186723127453265E-7</v>
      </c>
      <c r="H314" s="3">
        <f t="shared" si="296"/>
        <v>1.186723127453265E-7</v>
      </c>
      <c r="I314" s="3">
        <f t="shared" si="296"/>
        <v>1.186723127453265E-7</v>
      </c>
      <c r="J314" s="3">
        <f t="shared" si="296"/>
        <v>1.186723127453265E-7</v>
      </c>
      <c r="K314" s="3">
        <f t="shared" si="296"/>
        <v>1.186723127453265E-7</v>
      </c>
      <c r="L314" s="3">
        <f t="shared" si="296"/>
        <v>1.186723127453265E-7</v>
      </c>
      <c r="M314" s="3">
        <f t="shared" si="296"/>
        <v>1.186723127453265E-7</v>
      </c>
      <c r="N314" s="3">
        <f t="shared" si="296"/>
        <v>1.186723127453265E-7</v>
      </c>
      <c r="O314" s="3">
        <f t="shared" si="296"/>
        <v>1.186723127453265E-7</v>
      </c>
      <c r="P314" s="3">
        <f t="shared" si="296"/>
        <v>1.186723127453265E-7</v>
      </c>
      <c r="Q314" s="3">
        <f t="shared" si="296"/>
        <v>1.186723127453265E-7</v>
      </c>
      <c r="R314" s="3">
        <f t="shared" si="296"/>
        <v>1.186723127453265E-7</v>
      </c>
      <c r="S314" s="3">
        <f t="shared" si="296"/>
        <v>1.1867231274532644E-7</v>
      </c>
      <c r="T314" s="3">
        <f t="shared" si="296"/>
        <v>1.1867231274532595E-7</v>
      </c>
      <c r="U314" s="3">
        <f t="shared" si="296"/>
        <v>1.1867231274532104E-7</v>
      </c>
      <c r="V314" s="3">
        <f t="shared" si="296"/>
        <v>1.186723127452719E-7</v>
      </c>
      <c r="W314" s="3">
        <f t="shared" si="296"/>
        <v>1.1867231274478056E-7</v>
      </c>
      <c r="X314" s="3">
        <f t="shared" si="296"/>
        <v>1.1867231273986705E-7</v>
      </c>
      <c r="Y314" s="3">
        <f t="shared" si="296"/>
        <v>1.1867231269073197E-7</v>
      </c>
      <c r="Z314" s="3">
        <f t="shared" si="296"/>
        <v>1.1867231219938119E-7</v>
      </c>
      <c r="AA314" s="3">
        <f t="shared" si="296"/>
        <v>1.186723072858736E-7</v>
      </c>
      <c r="AB314" s="3">
        <f t="shared" si="296"/>
        <v>1.1867225815080874E-7</v>
      </c>
      <c r="AC314" s="3">
        <f t="shared" si="296"/>
        <v>1.1867176680127908E-7</v>
      </c>
      <c r="AD314" s="3">
        <f t="shared" si="296"/>
        <v>1.1866685341787201E-7</v>
      </c>
      <c r="AE314" s="3">
        <f t="shared" si="296"/>
        <v>1.1861773077103346E-7</v>
      </c>
      <c r="AF314" s="3">
        <f t="shared" si="296"/>
        <v>1.1812762131392923E-7</v>
      </c>
      <c r="AG314" s="3"/>
      <c r="AH314" s="3"/>
    </row>
    <row r="315" spans="1:34" x14ac:dyDescent="0.25">
      <c r="B315" s="3">
        <f t="shared" ref="B315:AF315" si="297">$C45*EXP(-B$285/$A45/EXP(-$F$126))</f>
        <v>1.5301760835243074E-4</v>
      </c>
      <c r="C315" s="3">
        <f t="shared" si="297"/>
        <v>1.5301760835243074E-4</v>
      </c>
      <c r="D315" s="3">
        <f t="shared" si="297"/>
        <v>1.5301760835243074E-4</v>
      </c>
      <c r="E315" s="3">
        <f t="shared" si="297"/>
        <v>1.5301760835243074E-4</v>
      </c>
      <c r="F315" s="3">
        <f t="shared" si="297"/>
        <v>1.5301760835243074E-4</v>
      </c>
      <c r="G315" s="3">
        <f t="shared" si="297"/>
        <v>1.5301760835243074E-4</v>
      </c>
      <c r="H315" s="3">
        <f t="shared" si="297"/>
        <v>1.5301760835243074E-4</v>
      </c>
      <c r="I315" s="3">
        <f t="shared" si="297"/>
        <v>1.5301760835243074E-4</v>
      </c>
      <c r="J315" s="3">
        <f t="shared" si="297"/>
        <v>1.5301760835243074E-4</v>
      </c>
      <c r="K315" s="3">
        <f t="shared" si="297"/>
        <v>1.5301760835243074E-4</v>
      </c>
      <c r="L315" s="3">
        <f t="shared" si="297"/>
        <v>1.5301760835243074E-4</v>
      </c>
      <c r="M315" s="3">
        <f t="shared" si="297"/>
        <v>1.5301760835243074E-4</v>
      </c>
      <c r="N315" s="3">
        <f t="shared" si="297"/>
        <v>1.5301760835243074E-4</v>
      </c>
      <c r="O315" s="3">
        <f t="shared" si="297"/>
        <v>1.5301760835243074E-4</v>
      </c>
      <c r="P315" s="3">
        <f t="shared" si="297"/>
        <v>1.5301760835243074E-4</v>
      </c>
      <c r="Q315" s="3">
        <f t="shared" si="297"/>
        <v>1.5301760835243074E-4</v>
      </c>
      <c r="R315" s="3">
        <f t="shared" si="297"/>
        <v>1.5301760835243074E-4</v>
      </c>
      <c r="S315" s="3">
        <f t="shared" si="297"/>
        <v>1.5301760835243074E-4</v>
      </c>
      <c r="T315" s="3">
        <f t="shared" si="297"/>
        <v>1.5301760835243066E-4</v>
      </c>
      <c r="U315" s="3">
        <f t="shared" si="297"/>
        <v>1.5301760835243004E-4</v>
      </c>
      <c r="V315" s="3">
        <f t="shared" si="297"/>
        <v>1.5301760835242372E-4</v>
      </c>
      <c r="W315" s="3">
        <f t="shared" si="297"/>
        <v>1.5301760835236035E-4</v>
      </c>
      <c r="X315" s="3">
        <f t="shared" si="297"/>
        <v>1.530176083517268E-4</v>
      </c>
      <c r="Y315" s="3">
        <f t="shared" si="297"/>
        <v>1.5301760834539126E-4</v>
      </c>
      <c r="Z315" s="3">
        <f t="shared" si="297"/>
        <v>1.5301760828203585E-4</v>
      </c>
      <c r="AA315" s="3">
        <f t="shared" si="297"/>
        <v>1.5301760764848183E-4</v>
      </c>
      <c r="AB315" s="3">
        <f t="shared" si="297"/>
        <v>1.5301760131294188E-4</v>
      </c>
      <c r="AC315" s="3">
        <f t="shared" si="297"/>
        <v>1.5301753795755646E-4</v>
      </c>
      <c r="AD315" s="3">
        <f t="shared" si="297"/>
        <v>1.5301690440514516E-4</v>
      </c>
      <c r="AE315" s="3">
        <f t="shared" si="297"/>
        <v>1.5301056902530404E-4</v>
      </c>
      <c r="AF315" s="3">
        <f t="shared" si="297"/>
        <v>1.5294722965185381E-4</v>
      </c>
      <c r="AG315" s="3"/>
      <c r="AH315" s="3"/>
    </row>
    <row r="316" spans="1:34" x14ac:dyDescent="0.25">
      <c r="B316" s="3">
        <f t="shared" ref="B316:AF316" si="298">$C46*EXP(-B$285/$A46/EXP(-$F$126))</f>
        <v>1.8120582087099855E-4</v>
      </c>
      <c r="C316" s="3">
        <f t="shared" si="298"/>
        <v>1.8120582087099855E-4</v>
      </c>
      <c r="D316" s="3">
        <f t="shared" si="298"/>
        <v>1.8120582087099855E-4</v>
      </c>
      <c r="E316" s="3">
        <f t="shared" si="298"/>
        <v>1.8120582087099855E-4</v>
      </c>
      <c r="F316" s="3">
        <f t="shared" si="298"/>
        <v>1.8120582087099855E-4</v>
      </c>
      <c r="G316" s="3">
        <f t="shared" si="298"/>
        <v>1.8120582087099855E-4</v>
      </c>
      <c r="H316" s="3">
        <f t="shared" si="298"/>
        <v>1.8120582087099855E-4</v>
      </c>
      <c r="I316" s="3">
        <f t="shared" si="298"/>
        <v>1.8120582087099855E-4</v>
      </c>
      <c r="J316" s="3">
        <f t="shared" si="298"/>
        <v>1.8120582087099855E-4</v>
      </c>
      <c r="K316" s="3">
        <f t="shared" si="298"/>
        <v>1.8120582087099855E-4</v>
      </c>
      <c r="L316" s="3">
        <f t="shared" si="298"/>
        <v>1.8120582087099855E-4</v>
      </c>
      <c r="M316" s="3">
        <f t="shared" si="298"/>
        <v>1.8120582087099855E-4</v>
      </c>
      <c r="N316" s="3">
        <f t="shared" si="298"/>
        <v>1.8120582087099855E-4</v>
      </c>
      <c r="O316" s="3">
        <f t="shared" si="298"/>
        <v>1.8120582087099855E-4</v>
      </c>
      <c r="P316" s="3">
        <f t="shared" si="298"/>
        <v>1.8120582087099855E-4</v>
      </c>
      <c r="Q316" s="3">
        <f t="shared" si="298"/>
        <v>1.8120582087099855E-4</v>
      </c>
      <c r="R316" s="3">
        <f t="shared" si="298"/>
        <v>1.8120582087099855E-4</v>
      </c>
      <c r="S316" s="3">
        <f t="shared" si="298"/>
        <v>1.8120582087099855E-4</v>
      </c>
      <c r="T316" s="3">
        <f t="shared" si="298"/>
        <v>1.8120582087099855E-4</v>
      </c>
      <c r="U316" s="3">
        <f t="shared" si="298"/>
        <v>1.8120582087099846E-4</v>
      </c>
      <c r="V316" s="3">
        <f t="shared" si="298"/>
        <v>1.8120582087099773E-4</v>
      </c>
      <c r="W316" s="3">
        <f t="shared" si="298"/>
        <v>1.8120582087099022E-4</v>
      </c>
      <c r="X316" s="3">
        <f t="shared" si="298"/>
        <v>1.8120582087091517E-4</v>
      </c>
      <c r="Y316" s="3">
        <f t="shared" si="298"/>
        <v>1.8120582087016493E-4</v>
      </c>
      <c r="Z316" s="3">
        <f t="shared" si="298"/>
        <v>1.8120582086266228E-4</v>
      </c>
      <c r="AA316" s="3">
        <f t="shared" si="298"/>
        <v>1.8120582078763584E-4</v>
      </c>
      <c r="AB316" s="3">
        <f t="shared" si="298"/>
        <v>1.8120582003737135E-4</v>
      </c>
      <c r="AC316" s="3">
        <f t="shared" si="298"/>
        <v>1.8120581253472682E-4</v>
      </c>
      <c r="AD316" s="3">
        <f t="shared" si="298"/>
        <v>1.8120573750829853E-4</v>
      </c>
      <c r="AE316" s="3">
        <f t="shared" si="298"/>
        <v>1.8120498724572427E-4</v>
      </c>
      <c r="AF316" s="3">
        <f t="shared" si="298"/>
        <v>1.8119748479083033E-4</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0</v>
      </c>
      <c r="C318" s="3">
        <f t="shared" si="300"/>
        <v>0</v>
      </c>
      <c r="D318" s="3">
        <f t="shared" si="300"/>
        <v>0</v>
      </c>
      <c r="E318" s="3">
        <f t="shared" si="300"/>
        <v>0</v>
      </c>
      <c r="F318" s="3">
        <f t="shared" si="300"/>
        <v>0</v>
      </c>
      <c r="G318" s="3">
        <f t="shared" si="300"/>
        <v>0</v>
      </c>
      <c r="H318" s="3">
        <f t="shared" si="300"/>
        <v>0</v>
      </c>
      <c r="I318" s="3">
        <f t="shared" si="300"/>
        <v>0</v>
      </c>
      <c r="J318" s="3">
        <f t="shared" si="300"/>
        <v>0</v>
      </c>
      <c r="K318" s="3">
        <f t="shared" si="300"/>
        <v>0</v>
      </c>
      <c r="L318" s="3">
        <f t="shared" si="300"/>
        <v>0</v>
      </c>
      <c r="M318" s="3">
        <f t="shared" si="300"/>
        <v>0</v>
      </c>
      <c r="N318" s="3">
        <f t="shared" si="300"/>
        <v>0</v>
      </c>
      <c r="O318" s="3">
        <f t="shared" si="300"/>
        <v>0</v>
      </c>
      <c r="P318" s="3">
        <f t="shared" si="300"/>
        <v>0</v>
      </c>
      <c r="Q318" s="3">
        <f t="shared" si="300"/>
        <v>0</v>
      </c>
      <c r="R318" s="3">
        <f t="shared" si="300"/>
        <v>0</v>
      </c>
      <c r="S318" s="3">
        <f t="shared" si="300"/>
        <v>0</v>
      </c>
      <c r="T318" s="3">
        <f t="shared" si="300"/>
        <v>0</v>
      </c>
      <c r="U318" s="3">
        <f t="shared" si="300"/>
        <v>0</v>
      </c>
      <c r="V318" s="3">
        <f t="shared" si="300"/>
        <v>0</v>
      </c>
      <c r="W318" s="3">
        <f t="shared" si="300"/>
        <v>0</v>
      </c>
      <c r="X318" s="3">
        <f t="shared" si="300"/>
        <v>0</v>
      </c>
      <c r="Y318" s="3">
        <f t="shared" si="300"/>
        <v>0</v>
      </c>
      <c r="Z318" s="3">
        <f t="shared" si="300"/>
        <v>0</v>
      </c>
      <c r="AA318" s="3">
        <f t="shared" si="300"/>
        <v>0</v>
      </c>
      <c r="AB318" s="3">
        <f t="shared" si="300"/>
        <v>0</v>
      </c>
      <c r="AC318" s="3">
        <f t="shared" si="300"/>
        <v>0</v>
      </c>
      <c r="AD318" s="3">
        <f t="shared" si="300"/>
        <v>0</v>
      </c>
      <c r="AE318" s="3">
        <f t="shared" si="300"/>
        <v>0</v>
      </c>
      <c r="AF318" s="3">
        <f t="shared" si="300"/>
        <v>0</v>
      </c>
      <c r="AG318" s="3"/>
      <c r="AH318" s="3"/>
    </row>
    <row r="319" spans="1:34" x14ac:dyDescent="0.25">
      <c r="A319" s="79">
        <f>AVERAGE(B319:AF319)</f>
        <v>4.2119215898932853E-2</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8.9357931261337786E-2</v>
      </c>
      <c r="M319" s="80">
        <f t="shared" si="301"/>
        <v>9.0299992104375254E-2</v>
      </c>
      <c r="N319" s="80">
        <f t="shared" si="301"/>
        <v>8.401749719308782E-2</v>
      </c>
      <c r="O319" s="80">
        <f t="shared" si="301"/>
        <v>8.2529437225283331E-2</v>
      </c>
      <c r="P319" s="80">
        <f t="shared" si="301"/>
        <v>8.5096798158523765E-2</v>
      </c>
      <c r="Q319" s="80">
        <f t="shared" si="301"/>
        <v>8.4123440236833505E-2</v>
      </c>
      <c r="R319" s="80">
        <f t="shared" si="301"/>
        <v>6.6897502597048505E-2</v>
      </c>
      <c r="S319" s="80">
        <f t="shared" si="301"/>
        <v>1.1580298440737765E-2</v>
      </c>
      <c r="T319" s="80">
        <f t="shared" si="301"/>
        <v>0.13953215369568051</v>
      </c>
      <c r="U319" s="80">
        <f t="shared" si="301"/>
        <v>0.25660877322144371</v>
      </c>
      <c r="V319" s="80">
        <f t="shared" si="301"/>
        <v>0.31565186873256668</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98998.208202312046</v>
      </c>
      <c r="C320" s="21">
        <f t="shared" ref="C320:AF320" si="302">(C287-C286)^2</f>
        <v>816275.63348713063</v>
      </c>
      <c r="D320" s="21">
        <f t="shared" si="302"/>
        <v>639607.48939861578</v>
      </c>
      <c r="E320" s="21">
        <f t="shared" si="302"/>
        <v>470094.01073597488</v>
      </c>
      <c r="F320" s="21">
        <f t="shared" si="302"/>
        <v>313390.86185504409</v>
      </c>
      <c r="G320" s="21">
        <f t="shared" si="302"/>
        <v>183324.68476241536</v>
      </c>
      <c r="H320" s="21">
        <f t="shared" si="302"/>
        <v>96816.335764103103</v>
      </c>
      <c r="I320" s="21">
        <f t="shared" si="302"/>
        <v>128328.48384347236</v>
      </c>
      <c r="J320" s="21">
        <f t="shared" si="302"/>
        <v>146829.51138780851</v>
      </c>
      <c r="K320" s="21">
        <f t="shared" si="302"/>
        <v>179997.98659803873</v>
      </c>
      <c r="L320" s="21">
        <f t="shared" si="302"/>
        <v>225655.03616564538</v>
      </c>
      <c r="M320" s="21">
        <f t="shared" si="302"/>
        <v>211669.01676950458</v>
      </c>
      <c r="N320" s="21">
        <f t="shared" si="302"/>
        <v>166707.06253251719</v>
      </c>
      <c r="O320" s="21">
        <f t="shared" si="302"/>
        <v>147515.10082245996</v>
      </c>
      <c r="P320" s="21">
        <f t="shared" si="302"/>
        <v>144637.60628440871</v>
      </c>
      <c r="Q320" s="21">
        <f t="shared" si="302"/>
        <v>128906.79202297484</v>
      </c>
      <c r="R320" s="21">
        <f t="shared" si="302"/>
        <v>70775.447384840445</v>
      </c>
      <c r="S320" s="21">
        <f t="shared" si="302"/>
        <v>1592.150547539133</v>
      </c>
      <c r="T320" s="21">
        <f t="shared" si="302"/>
        <v>156960.82423256521</v>
      </c>
      <c r="U320" s="21">
        <f t="shared" si="302"/>
        <v>360117.75361294078</v>
      </c>
      <c r="V320" s="21">
        <f t="shared" si="302"/>
        <v>382889.86975467013</v>
      </c>
      <c r="W320" s="21">
        <f t="shared" si="302"/>
        <v>145205.60755910556</v>
      </c>
      <c r="X320" s="21">
        <f t="shared" si="302"/>
        <v>1819.5204580662621</v>
      </c>
      <c r="Y320" s="21">
        <f t="shared" si="302"/>
        <v>37407.883791064552</v>
      </c>
      <c r="Z320" s="21">
        <f t="shared" si="302"/>
        <v>70559.876822524413</v>
      </c>
      <c r="AA320" s="21">
        <f t="shared" si="302"/>
        <v>46588.535359875954</v>
      </c>
      <c r="AB320" s="21">
        <f t="shared" si="302"/>
        <v>17196.920111435236</v>
      </c>
      <c r="AC320" s="21">
        <f t="shared" si="302"/>
        <v>3582.1782364387832</v>
      </c>
      <c r="AD320" s="21">
        <f t="shared" si="302"/>
        <v>920.54455163979367</v>
      </c>
      <c r="AE320" s="21">
        <f t="shared" si="302"/>
        <v>211.34142811280296</v>
      </c>
      <c r="AF320" s="21">
        <f t="shared" si="302"/>
        <v>91.972907332700245</v>
      </c>
      <c r="AG320" s="3"/>
      <c r="AH320" s="3"/>
    </row>
    <row r="321" spans="1:34" x14ac:dyDescent="0.25">
      <c r="A321" s="71">
        <f>SUM(B321:AF321)</f>
        <v>1997426.6601300663</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225655.03616564538</v>
      </c>
      <c r="M321" s="60">
        <f t="shared" ref="M321" si="313">IF($A$64&lt;=M285,IF($B$64&gt;=M285,ABS(M320),0),0)</f>
        <v>211669.01676950458</v>
      </c>
      <c r="N321" s="60">
        <f t="shared" ref="N321" si="314">IF($A$64&lt;=N285,IF($B$64&gt;=N285,ABS(N320),0),0)</f>
        <v>166707.06253251719</v>
      </c>
      <c r="O321" s="60">
        <f t="shared" ref="O321" si="315">IF($A$64&lt;=O285,IF($B$64&gt;=O285,ABS(O320),0),0)</f>
        <v>147515.10082245996</v>
      </c>
      <c r="P321" s="60">
        <f t="shared" ref="P321" si="316">IF($A$64&lt;=P285,IF($B$64&gt;=P285,ABS(P320),0),0)</f>
        <v>144637.60628440871</v>
      </c>
      <c r="Q321" s="60">
        <f t="shared" ref="Q321" si="317">IF($A$64&lt;=Q285,IF($B$64&gt;=Q285,ABS(Q320),0),0)</f>
        <v>128906.79202297484</v>
      </c>
      <c r="R321" s="60">
        <f t="shared" ref="R321" si="318">IF($A$64&lt;=R285,IF($B$64&gt;=R285,ABS(R320),0),0)</f>
        <v>70775.447384840445</v>
      </c>
      <c r="S321" s="60">
        <f t="shared" ref="S321" si="319">IF($A$64&lt;=S285,IF($B$64&gt;=S285,ABS(S320),0),0)</f>
        <v>1592.150547539133</v>
      </c>
      <c r="T321" s="60">
        <f t="shared" ref="T321" si="320">IF($A$64&lt;=T285,IF($B$64&gt;=T285,ABS(T320),0),0)</f>
        <v>156960.82423256521</v>
      </c>
      <c r="U321" s="60">
        <f t="shared" ref="U321" si="321">IF($A$64&lt;=U285,IF($B$64&gt;=U285,ABS(U320),0),0)</f>
        <v>360117.75361294078</v>
      </c>
      <c r="V321" s="60">
        <f t="shared" ref="V321" si="322">IF($A$64&lt;=V285,IF($B$64&gt;=V285,ABS(V320),0),0)</f>
        <v>382889.86975467013</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5776.5900052436255</v>
      </c>
      <c r="C325" s="26">
        <f>INDEX(Comparison!$AM$3:$AS$33,G$14,$G$122)</f>
        <v>5571.6920956359099</v>
      </c>
      <c r="D325" s="26">
        <f>INDEX(Comparison!$AM$3:$AS$33,H$14,$G$122)</f>
        <v>5400.7646013667554</v>
      </c>
      <c r="E325" s="26">
        <f>INDEX(Comparison!$AM$3:$AS$33,I$14,$G$122)</f>
        <v>5215.0678795321228</v>
      </c>
      <c r="F325" s="26">
        <f>INDEX(Comparison!$AM$3:$AS$33,J$14,$G$122)</f>
        <v>4985.425095489265</v>
      </c>
      <c r="G325" s="26">
        <f>INDEX(Comparison!$AM$3:$AS$33,K$14,$G$122)</f>
        <v>4758.3350912889036</v>
      </c>
      <c r="H325" s="26">
        <f>INDEX(Comparison!$AM$3:$AS$33,L$14,$G$122)</f>
        <v>4565.5114420012915</v>
      </c>
      <c r="I325" s="26">
        <f>INDEX(Comparison!$AM$3:$AS$33,M$14,$G$122)</f>
        <v>4384.874474223483</v>
      </c>
      <c r="J325" s="26">
        <f>INDEX(Comparison!$AM$3:$AS$33,N$14,$G$122)</f>
        <v>4203.1654341512503</v>
      </c>
      <c r="K325" s="26">
        <f>INDEX(Comparison!$AM$3:$AS$33,O$14,$G$122)</f>
        <v>4026.8171479490911</v>
      </c>
      <c r="L325" s="26">
        <f>INDEX(Comparison!$AM$3:$AS$33,P$14,$G$122)</f>
        <v>3842.8247437350828</v>
      </c>
      <c r="M325" s="26">
        <f>INDEX(Comparison!$AM$3:$AS$33,Q$14,$G$122)</f>
        <v>3637.9090125528774</v>
      </c>
      <c r="N325" s="26">
        <f>INDEX(Comparison!$AM$3:$AS$33,R$14,$G$122)</f>
        <v>3407.0475124340101</v>
      </c>
      <c r="O325" s="26">
        <f>INDEX(Comparison!$AM$3:$AS$33,S$14,$G$122)</f>
        <v>3145.7192687287707</v>
      </c>
      <c r="P325" s="26">
        <f>INDEX(Comparison!$AM$3:$AS$33,T$14,$G$122)</f>
        <v>2837.9758401657195</v>
      </c>
      <c r="Q325" s="26">
        <f>INDEX(Comparison!$AM$3:$AS$33,U$14,$G$122)</f>
        <v>2426.1662837806571</v>
      </c>
      <c r="R325" s="26">
        <f>INDEX(Comparison!$AM$3:$AS$33,V$14,$G$122)</f>
        <v>1854.808278855141</v>
      </c>
      <c r="S325" s="26">
        <f>INDEX(Comparison!$AM$3:$AS$33,W$14,$G$122)</f>
        <v>1269.173844412863</v>
      </c>
      <c r="T325" s="26">
        <f>INDEX(Comparison!$AM$3:$AS$33,X$14,$G$122)</f>
        <v>808.20803145416335</v>
      </c>
      <c r="U325" s="26">
        <f>INDEX(Comparison!$AM$3:$AS$33,Y$14,$G$122)</f>
        <v>509.02880387480866</v>
      </c>
      <c r="V325" s="26">
        <f>INDEX(Comparison!$AM$3:$AS$33,Z$14,$G$122)</f>
        <v>344.05387649356049</v>
      </c>
      <c r="W325" s="26">
        <f>INDEX(Comparison!$AM$3:$AS$33,AA$14,$G$122)</f>
        <v>262.73242624087396</v>
      </c>
      <c r="X325" s="26">
        <f>INDEX(Comparison!$AM$3:$AS$33,AB$14,$G$122)</f>
        <v>222.939887660718</v>
      </c>
      <c r="Y325" s="26">
        <f>INDEX(Comparison!$AM$3:$AS$33,AC$14,$G$122)</f>
        <v>201.32214117210117</v>
      </c>
      <c r="Z325" s="26">
        <f>INDEX(Comparison!$AM$3:$AS$33,AD$14,$G$122)</f>
        <v>188.02569432355588</v>
      </c>
      <c r="AA325" s="26">
        <f>INDEX(Comparison!$AM$3:$AS$33,AE$14,$G$122)</f>
        <v>181.14617749166206</v>
      </c>
      <c r="AB325" s="26">
        <f>INDEX(Comparison!$AM$3:$AS$33,AF$14,$G$122)</f>
        <v>171.73287142228415</v>
      </c>
      <c r="AC325" s="26">
        <f>INDEX(Comparison!$AM$3:$AS$33,AG$14,$G$122)</f>
        <v>164.88164851800227</v>
      </c>
      <c r="AD325" s="26">
        <f>INDEX(Comparison!$AM$3:$AS$33,AH$14,$G$122)</f>
        <v>164.50146393142782</v>
      </c>
      <c r="AE325" s="26">
        <f>INDEX(Comparison!$AM$3:$AS$33,AI$14,$G$122)</f>
        <v>163.00727748318997</v>
      </c>
      <c r="AF325" s="26">
        <f>INDEX(Comparison!$AM$3:$AS$33,AJ$14,$G$122)</f>
        <v>162.92272722143832</v>
      </c>
      <c r="AG325" s="26"/>
      <c r="AH325" s="26"/>
    </row>
    <row r="326" spans="1:34" x14ac:dyDescent="0.25">
      <c r="A326" s="77" t="s">
        <v>22</v>
      </c>
      <c r="B326" s="27">
        <f>($C$17+SUM(B327:B357))*$B$51</f>
        <v>5718.4355002808179</v>
      </c>
      <c r="C326" s="27">
        <f t="shared" ref="C326:AF326" si="333">($C$17+SUM(C327:C357))*$B$51</f>
        <v>5646.8968832364153</v>
      </c>
      <c r="D326" s="27">
        <f t="shared" si="333"/>
        <v>5380.8527870011094</v>
      </c>
      <c r="E326" s="27">
        <f t="shared" si="333"/>
        <v>5218.3211854863412</v>
      </c>
      <c r="F326" s="27">
        <f t="shared" si="333"/>
        <v>4984.9810769253636</v>
      </c>
      <c r="G326" s="27">
        <f t="shared" si="333"/>
        <v>4758.3832507514308</v>
      </c>
      <c r="H326" s="27">
        <f t="shared" si="333"/>
        <v>4565.5354012020289</v>
      </c>
      <c r="I326" s="27">
        <f t="shared" si="333"/>
        <v>4384.7944095024395</v>
      </c>
      <c r="J326" s="27">
        <f t="shared" si="333"/>
        <v>4203.3621952729154</v>
      </c>
      <c r="K326" s="27">
        <f t="shared" si="333"/>
        <v>4026.4238746620281</v>
      </c>
      <c r="L326" s="27">
        <f t="shared" si="333"/>
        <v>3843.4995181793197</v>
      </c>
      <c r="M326" s="27">
        <f t="shared" si="333"/>
        <v>3636.9401977015277</v>
      </c>
      <c r="N326" s="27">
        <f t="shared" si="333"/>
        <v>3408.2395743761986</v>
      </c>
      <c r="O326" s="27">
        <f t="shared" si="333"/>
        <v>3144.4867920303545</v>
      </c>
      <c r="P326" s="27">
        <f t="shared" si="333"/>
        <v>2839.0890979942892</v>
      </c>
      <c r="Q326" s="27">
        <f t="shared" si="333"/>
        <v>2425.3207890737826</v>
      </c>
      <c r="R326" s="27">
        <f t="shared" si="333"/>
        <v>1855.3896109543168</v>
      </c>
      <c r="S326" s="27">
        <f t="shared" si="333"/>
        <v>1268.8480442264463</v>
      </c>
      <c r="T326" s="27">
        <f t="shared" si="333"/>
        <v>808.37157519411176</v>
      </c>
      <c r="U326" s="27">
        <f t="shared" si="333"/>
        <v>508.96163382122444</v>
      </c>
      <c r="V326" s="27">
        <f t="shared" si="333"/>
        <v>344.08262677891565</v>
      </c>
      <c r="W326" s="27">
        <f t="shared" si="333"/>
        <v>262.72019894206608</v>
      </c>
      <c r="X326" s="27">
        <f t="shared" si="333"/>
        <v>222.95085499540727</v>
      </c>
      <c r="Y326" s="27">
        <f t="shared" si="333"/>
        <v>201.30745068316915</v>
      </c>
      <c r="Z326" s="27">
        <f t="shared" si="333"/>
        <v>188.04176236043341</v>
      </c>
      <c r="AA326" s="27">
        <f t="shared" si="333"/>
        <v>181.17951474940588</v>
      </c>
      <c r="AB326" s="27">
        <f t="shared" si="333"/>
        <v>171.63876401078534</v>
      </c>
      <c r="AC326" s="27">
        <f t="shared" si="333"/>
        <v>165.00765728786743</v>
      </c>
      <c r="AD326" s="27">
        <f t="shared" si="333"/>
        <v>164.32406245193619</v>
      </c>
      <c r="AE326" s="27">
        <f t="shared" si="333"/>
        <v>163.25013225835337</v>
      </c>
      <c r="AF326" s="27">
        <f t="shared" si="333"/>
        <v>162.78400176541757</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4.7514533594897788E-2</v>
      </c>
      <c r="C328" s="3">
        <f t="shared" si="335"/>
        <v>3.7731778525791904E-2</v>
      </c>
      <c r="D328" s="3">
        <f t="shared" si="335"/>
        <v>3.7628364031595304E-3</v>
      </c>
      <c r="E328" s="3">
        <f t="shared" si="335"/>
        <v>3.6609680610803215E-13</v>
      </c>
      <c r="F328" s="3">
        <f t="shared" si="335"/>
        <v>2.7822872868575437E-113</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1.804758576246451E-2</v>
      </c>
      <c r="C329" s="3">
        <f t="shared" si="336"/>
        <v>1.7676143965074689E-2</v>
      </c>
      <c r="D329" s="3">
        <f t="shared" si="336"/>
        <v>1.4357264058264207E-2</v>
      </c>
      <c r="E329" s="3">
        <f t="shared" si="336"/>
        <v>1.7943752371584558E-3</v>
      </c>
      <c r="F329" s="3">
        <f t="shared" si="336"/>
        <v>1.6685109447847745E-12</v>
      </c>
      <c r="G329" s="3">
        <f t="shared" si="336"/>
        <v>8.0628203902524506E-103</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3.7545298935825241E-2</v>
      </c>
      <c r="C330" s="3">
        <f t="shared" si="337"/>
        <v>3.7474931053191406E-2</v>
      </c>
      <c r="D330" s="3">
        <f t="shared" si="337"/>
        <v>3.677846523626184E-2</v>
      </c>
      <c r="E330" s="3">
        <f t="shared" si="337"/>
        <v>3.0487456880582305E-2</v>
      </c>
      <c r="F330" s="3">
        <f t="shared" si="337"/>
        <v>4.6708634167351637E-3</v>
      </c>
      <c r="G330" s="3">
        <f t="shared" si="337"/>
        <v>3.3277972421727107E-11</v>
      </c>
      <c r="H330" s="3">
        <f t="shared" si="337"/>
        <v>1.1213824427047444E-92</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3.4654810708565895E-2</v>
      </c>
      <c r="C331" s="3">
        <f t="shared" si="338"/>
        <v>3.4648946632567616E-2</v>
      </c>
      <c r="D331" s="3">
        <f t="shared" si="338"/>
        <v>3.4590360420466704E-2</v>
      </c>
      <c r="E331" s="3">
        <f t="shared" si="338"/>
        <v>3.4009919086849499E-2</v>
      </c>
      <c r="F331" s="3">
        <f t="shared" si="338"/>
        <v>2.871512513874944E-2</v>
      </c>
      <c r="G331" s="3">
        <f t="shared" si="338"/>
        <v>5.2864223658949782E-3</v>
      </c>
      <c r="H331" s="3">
        <f t="shared" si="338"/>
        <v>2.3641406665014904E-10</v>
      </c>
      <c r="I331" s="3">
        <f t="shared" si="338"/>
        <v>7.5646329738794619E-84</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2.8039926105462555E-2</v>
      </c>
      <c r="C332" s="3">
        <f t="shared" si="339"/>
        <v>2.8039498056994742E-2</v>
      </c>
      <c r="D332" s="3">
        <f t="shared" si="339"/>
        <v>2.8035217931694886E-2</v>
      </c>
      <c r="E332" s="3">
        <f t="shared" si="339"/>
        <v>2.799245259623399E-2</v>
      </c>
      <c r="F332" s="3">
        <f t="shared" si="339"/>
        <v>2.7568370790505843E-2</v>
      </c>
      <c r="G332" s="3">
        <f t="shared" si="339"/>
        <v>2.3665331941680211E-2</v>
      </c>
      <c r="H332" s="3">
        <f t="shared" si="339"/>
        <v>5.1419469520759499E-3</v>
      </c>
      <c r="I332" s="3">
        <f t="shared" si="339"/>
        <v>1.2058061803835375E-9</v>
      </c>
      <c r="J332" s="3">
        <f t="shared" si="339"/>
        <v>6.0642436522725163E-76</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2.6812371627623701E-2</v>
      </c>
      <c r="C333" s="3">
        <f t="shared" si="340"/>
        <v>2.6812334704288829E-2</v>
      </c>
      <c r="D333" s="3">
        <f t="shared" si="340"/>
        <v>2.6811965473736689E-2</v>
      </c>
      <c r="E333" s="3">
        <f t="shared" si="340"/>
        <v>2.6808273447859202E-2</v>
      </c>
      <c r="F333" s="3">
        <f t="shared" si="340"/>
        <v>2.6771381139232546E-2</v>
      </c>
      <c r="G333" s="3">
        <f t="shared" si="340"/>
        <v>2.6405238878722731E-2</v>
      </c>
      <c r="H333" s="3">
        <f t="shared" si="340"/>
        <v>2.3008236746811989E-2</v>
      </c>
      <c r="I333" s="3">
        <f t="shared" si="340"/>
        <v>5.8051801908614118E-3</v>
      </c>
      <c r="J333" s="3">
        <f t="shared" si="340"/>
        <v>6.0693107828441494E-9</v>
      </c>
      <c r="K333" s="3">
        <f t="shared" si="340"/>
        <v>9.4705694623027387E-69</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2.7632018185742322E-2</v>
      </c>
      <c r="C334" s="3">
        <f t="shared" si="341"/>
        <v>2.7632014753126832E-2</v>
      </c>
      <c r="D334" s="3">
        <f t="shared" si="341"/>
        <v>2.7631980426995387E-2</v>
      </c>
      <c r="E334" s="3">
        <f t="shared" si="341"/>
        <v>2.7631637168026246E-2</v>
      </c>
      <c r="F334" s="3">
        <f t="shared" si="341"/>
        <v>2.7628204812853968E-2</v>
      </c>
      <c r="G334" s="3">
        <f t="shared" si="341"/>
        <v>2.759390470226869E-2</v>
      </c>
      <c r="H334" s="3">
        <f t="shared" si="341"/>
        <v>2.7253236971479352E-2</v>
      </c>
      <c r="I334" s="3">
        <f t="shared" si="341"/>
        <v>2.4069519280287305E-2</v>
      </c>
      <c r="J334" s="3">
        <f t="shared" si="341"/>
        <v>6.9496135829493133E-3</v>
      </c>
      <c r="K334" s="3">
        <f t="shared" si="341"/>
        <v>2.7982922192166985E-8</v>
      </c>
      <c r="L334" s="3">
        <f t="shared" si="341"/>
        <v>3.1348527107581273E-62</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2.5920837874879171E-2</v>
      </c>
      <c r="C335" s="3">
        <f t="shared" si="342"/>
        <v>2.5920837584404548E-2</v>
      </c>
      <c r="D335" s="3">
        <f t="shared" si="342"/>
        <v>2.5920834679658451E-2</v>
      </c>
      <c r="E335" s="3">
        <f t="shared" si="342"/>
        <v>2.5920805632215424E-2</v>
      </c>
      <c r="F335" s="3">
        <f t="shared" si="342"/>
        <v>2.5920515159575427E-2</v>
      </c>
      <c r="G335" s="3">
        <f t="shared" si="342"/>
        <v>2.5917610612198987E-2</v>
      </c>
      <c r="H335" s="3">
        <f t="shared" si="342"/>
        <v>2.588858303336453E-2</v>
      </c>
      <c r="I335" s="3">
        <f t="shared" si="342"/>
        <v>2.56000893404256E-2</v>
      </c>
      <c r="J335" s="3">
        <f t="shared" si="342"/>
        <v>2.288618915046416E-2</v>
      </c>
      <c r="K335" s="3">
        <f t="shared" si="342"/>
        <v>7.4626573875787722E-3</v>
      </c>
      <c r="L335" s="3">
        <f t="shared" si="342"/>
        <v>1.0141301834050695E-7</v>
      </c>
      <c r="M335" s="3">
        <f t="shared" si="342"/>
        <v>2.1781900062617462E-56</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2.7391939905696321E-2</v>
      </c>
      <c r="C336" s="3">
        <f t="shared" si="343"/>
        <v>2.7391939878005964E-2</v>
      </c>
      <c r="D336" s="3">
        <f t="shared" si="343"/>
        <v>2.7391939601102398E-2</v>
      </c>
      <c r="E336" s="3">
        <f t="shared" si="343"/>
        <v>2.7391936832066893E-2</v>
      </c>
      <c r="F336" s="3">
        <f t="shared" si="343"/>
        <v>2.7391909141727254E-2</v>
      </c>
      <c r="G336" s="3">
        <f t="shared" si="343"/>
        <v>2.7391632239870421E-2</v>
      </c>
      <c r="H336" s="3">
        <f t="shared" si="343"/>
        <v>2.7388863375251836E-2</v>
      </c>
      <c r="I336" s="3">
        <f t="shared" si="343"/>
        <v>2.7361190118283064E-2</v>
      </c>
      <c r="J336" s="3">
        <f t="shared" si="343"/>
        <v>2.708599072979433E-2</v>
      </c>
      <c r="K336" s="3">
        <f t="shared" si="343"/>
        <v>2.4481732176127112E-2</v>
      </c>
      <c r="L336" s="3">
        <f t="shared" si="343"/>
        <v>8.9087405924378818E-3</v>
      </c>
      <c r="M336" s="3">
        <f t="shared" si="343"/>
        <v>3.6270873908730128E-7</v>
      </c>
      <c r="N336" s="3">
        <f t="shared" si="343"/>
        <v>4.5391557360547871E-51</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3.2565476840071154E-2</v>
      </c>
      <c r="C337" s="3">
        <f t="shared" si="344"/>
        <v>3.2565476837101474E-2</v>
      </c>
      <c r="D337" s="3">
        <f t="shared" si="344"/>
        <v>3.2565476807404667E-2</v>
      </c>
      <c r="E337" s="3">
        <f t="shared" si="344"/>
        <v>3.2565476510436571E-2</v>
      </c>
      <c r="F337" s="3">
        <f t="shared" si="344"/>
        <v>3.2565473540755785E-2</v>
      </c>
      <c r="G337" s="3">
        <f t="shared" si="344"/>
        <v>3.2565443843962816E-2</v>
      </c>
      <c r="H337" s="3">
        <f t="shared" si="344"/>
        <v>3.2565146877522551E-2</v>
      </c>
      <c r="I337" s="3">
        <f t="shared" si="344"/>
        <v>3.2562177362058992E-2</v>
      </c>
      <c r="J337" s="3">
        <f t="shared" si="344"/>
        <v>3.2532497096303341E-2</v>
      </c>
      <c r="K337" s="3">
        <f t="shared" si="344"/>
        <v>3.2237178315366627E-2</v>
      </c>
      <c r="L337" s="3">
        <f t="shared" si="344"/>
        <v>2.9427491255913898E-2</v>
      </c>
      <c r="M337" s="3">
        <f t="shared" si="344"/>
        <v>1.1822665924591859E-2</v>
      </c>
      <c r="N337" s="3">
        <f t="shared" si="344"/>
        <v>1.2952010942678414E-6</v>
      </c>
      <c r="O337" s="3">
        <f t="shared" si="344"/>
        <v>3.2251881183226036E-46</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3.4198379989983908E-2</v>
      </c>
      <c r="C338" s="3">
        <f t="shared" si="345"/>
        <v>3.4198379989702585E-2</v>
      </c>
      <c r="D338" s="3">
        <f t="shared" si="345"/>
        <v>3.4198379986889363E-2</v>
      </c>
      <c r="E338" s="3">
        <f t="shared" si="345"/>
        <v>3.4198379958757109E-2</v>
      </c>
      <c r="F338" s="3">
        <f t="shared" si="345"/>
        <v>3.4198379677434609E-2</v>
      </c>
      <c r="G338" s="3">
        <f t="shared" si="345"/>
        <v>3.4198376864209699E-2</v>
      </c>
      <c r="H338" s="3">
        <f t="shared" si="345"/>
        <v>3.4198348731973319E-2</v>
      </c>
      <c r="I338" s="3">
        <f t="shared" si="345"/>
        <v>3.4198067410882382E-2</v>
      </c>
      <c r="J338" s="3">
        <f t="shared" si="345"/>
        <v>3.4195254327250443E-2</v>
      </c>
      <c r="K338" s="3">
        <f t="shared" si="345"/>
        <v>3.4167136214801601E-2</v>
      </c>
      <c r="L338" s="3">
        <f t="shared" si="345"/>
        <v>3.3887223613127335E-2</v>
      </c>
      <c r="M338" s="3">
        <f t="shared" si="345"/>
        <v>3.1211172375896719E-2</v>
      </c>
      <c r="N338" s="3">
        <f t="shared" si="345"/>
        <v>1.3710428241314521E-2</v>
      </c>
      <c r="O338" s="3">
        <f t="shared" si="345"/>
        <v>3.6682624337066077E-6</v>
      </c>
      <c r="P338" s="3">
        <f t="shared" si="345"/>
        <v>6.8953161020928577E-42</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4.2864410475856714E-2</v>
      </c>
      <c r="C339" s="3">
        <f t="shared" si="346"/>
        <v>4.2864410475824906E-2</v>
      </c>
      <c r="D339" s="3">
        <f t="shared" si="346"/>
        <v>4.2864410475506827E-2</v>
      </c>
      <c r="E339" s="3">
        <f t="shared" si="346"/>
        <v>4.2864410472325983E-2</v>
      </c>
      <c r="F339" s="3">
        <f t="shared" si="346"/>
        <v>4.2864410440517538E-2</v>
      </c>
      <c r="G339" s="3">
        <f t="shared" si="346"/>
        <v>4.2864410122433125E-2</v>
      </c>
      <c r="H339" s="3">
        <f t="shared" si="346"/>
        <v>4.2864406941589134E-2</v>
      </c>
      <c r="I339" s="3">
        <f t="shared" si="346"/>
        <v>4.2864375133162221E-2</v>
      </c>
      <c r="J339" s="3">
        <f t="shared" si="346"/>
        <v>4.2864057050191244E-2</v>
      </c>
      <c r="K339" s="3">
        <f t="shared" si="346"/>
        <v>4.2860876350300205E-2</v>
      </c>
      <c r="L339" s="3">
        <f t="shared" si="346"/>
        <v>4.2829082329699376E-2</v>
      </c>
      <c r="M339" s="3">
        <f t="shared" si="346"/>
        <v>4.2512436398297888E-2</v>
      </c>
      <c r="N339" s="3">
        <f t="shared" si="346"/>
        <v>3.9471920340859418E-2</v>
      </c>
      <c r="O339" s="3">
        <f t="shared" si="346"/>
        <v>1.8793638139365038E-2</v>
      </c>
      <c r="P339" s="3">
        <f t="shared" si="346"/>
        <v>1.1252186161952075E-5</v>
      </c>
      <c r="Q339" s="3">
        <f t="shared" si="346"/>
        <v>6.6603552022880593E-38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4.3714566142705469E-2</v>
      </c>
      <c r="C340" s="3">
        <f t="shared" si="347"/>
        <v>4.3714566142702541E-2</v>
      </c>
      <c r="D340" s="3">
        <f t="shared" si="347"/>
        <v>4.3714566142673279E-2</v>
      </c>
      <c r="E340" s="3">
        <f t="shared" si="347"/>
        <v>4.3714566142380645E-2</v>
      </c>
      <c r="F340" s="3">
        <f t="shared" si="347"/>
        <v>4.3714566139454354E-2</v>
      </c>
      <c r="G340" s="3">
        <f t="shared" si="347"/>
        <v>4.3714566110191387E-2</v>
      </c>
      <c r="H340" s="3">
        <f t="shared" si="347"/>
        <v>4.3714565817561765E-2</v>
      </c>
      <c r="I340" s="3">
        <f t="shared" si="347"/>
        <v>4.3714562891265588E-2</v>
      </c>
      <c r="J340" s="3">
        <f t="shared" si="347"/>
        <v>4.371453362831465E-2</v>
      </c>
      <c r="K340" s="3">
        <f t="shared" si="347"/>
        <v>4.371424099988263E-2</v>
      </c>
      <c r="L340" s="3">
        <f t="shared" si="347"/>
        <v>4.3711314823298507E-2</v>
      </c>
      <c r="M340" s="3">
        <f t="shared" si="347"/>
        <v>4.3682063828397094E-2</v>
      </c>
      <c r="N340" s="3">
        <f t="shared" si="347"/>
        <v>4.3390628310367864E-2</v>
      </c>
      <c r="O340" s="3">
        <f t="shared" si="347"/>
        <v>4.0581102039716738E-2</v>
      </c>
      <c r="P340" s="3">
        <f t="shared" si="347"/>
        <v>2.0777955672734071E-2</v>
      </c>
      <c r="Q340" s="3">
        <f t="shared" si="347"/>
        <v>2.572720469664402E-5</v>
      </c>
      <c r="R340" s="3">
        <f t="shared" si="347"/>
        <v>2.1791667680696176E-34</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7.7757179566671483E-2</v>
      </c>
      <c r="C341" s="3">
        <f t="shared" si="348"/>
        <v>7.7757179566671025E-2</v>
      </c>
      <c r="D341" s="3">
        <f t="shared" si="348"/>
        <v>7.7757179566666321E-2</v>
      </c>
      <c r="E341" s="3">
        <f t="shared" si="348"/>
        <v>7.7757179566619372E-2</v>
      </c>
      <c r="F341" s="3">
        <f t="shared" si="348"/>
        <v>7.7757179566149817E-2</v>
      </c>
      <c r="G341" s="3">
        <f t="shared" si="348"/>
        <v>7.7757179561454351E-2</v>
      </c>
      <c r="H341" s="3">
        <f t="shared" si="348"/>
        <v>7.7757179514499633E-2</v>
      </c>
      <c r="I341" s="3">
        <f t="shared" si="348"/>
        <v>7.7757179044952482E-2</v>
      </c>
      <c r="J341" s="3">
        <f t="shared" si="348"/>
        <v>7.7757174349481081E-2</v>
      </c>
      <c r="K341" s="3">
        <f t="shared" si="348"/>
        <v>7.7757127394782785E-2</v>
      </c>
      <c r="L341" s="3">
        <f t="shared" si="348"/>
        <v>7.775665784935927E-2</v>
      </c>
      <c r="M341" s="3">
        <f t="shared" si="348"/>
        <v>7.7751962551068449E-2</v>
      </c>
      <c r="N341" s="3">
        <f t="shared" si="348"/>
        <v>7.7705025159118549E-2</v>
      </c>
      <c r="O341" s="3">
        <f t="shared" si="348"/>
        <v>7.723720685758502E-2</v>
      </c>
      <c r="P341" s="3">
        <f t="shared" si="348"/>
        <v>7.27111653580121E-2</v>
      </c>
      <c r="Q341" s="3">
        <f t="shared" si="348"/>
        <v>3.9750862688511281E-2</v>
      </c>
      <c r="R341" s="3">
        <f t="shared" si="348"/>
        <v>9.4798417850413541E-5</v>
      </c>
      <c r="S341" s="3">
        <f t="shared" si="348"/>
        <v>5.6408739851236211E-31</v>
      </c>
      <c r="T341" s="3">
        <f t="shared" si="348"/>
        <v>3.139059044309181E-293</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9.5507274749383003E-2</v>
      </c>
      <c r="C342" s="3">
        <f t="shared" si="349"/>
        <v>9.5507274749382962E-2</v>
      </c>
      <c r="D342" s="3">
        <f t="shared" si="349"/>
        <v>9.5507274749382434E-2</v>
      </c>
      <c r="E342" s="3">
        <f t="shared" si="349"/>
        <v>9.5507274749377244E-2</v>
      </c>
      <c r="F342" s="3">
        <f t="shared" si="349"/>
        <v>9.5507274749325202E-2</v>
      </c>
      <c r="G342" s="3">
        <f t="shared" si="349"/>
        <v>9.5507274748804952E-2</v>
      </c>
      <c r="H342" s="3">
        <f t="shared" si="349"/>
        <v>9.5507274743602336E-2</v>
      </c>
      <c r="I342" s="3">
        <f t="shared" si="349"/>
        <v>9.5507274691576174E-2</v>
      </c>
      <c r="J342" s="3">
        <f t="shared" si="349"/>
        <v>9.5507274171314591E-2</v>
      </c>
      <c r="K342" s="3">
        <f t="shared" si="349"/>
        <v>9.5507268968698919E-2</v>
      </c>
      <c r="L342" s="3">
        <f t="shared" si="349"/>
        <v>9.5507216942557815E-2</v>
      </c>
      <c r="M342" s="3">
        <f t="shared" si="349"/>
        <v>9.5506696682705408E-2</v>
      </c>
      <c r="N342" s="3">
        <f t="shared" si="349"/>
        <v>9.5501494240050472E-2</v>
      </c>
      <c r="O342" s="3">
        <f t="shared" si="349"/>
        <v>9.5449485397270037E-2</v>
      </c>
      <c r="P342" s="3">
        <f t="shared" si="349"/>
        <v>9.4930952209991218E-2</v>
      </c>
      <c r="Q342" s="3">
        <f t="shared" si="349"/>
        <v>8.9898054922337628E-2</v>
      </c>
      <c r="R342" s="3">
        <f t="shared" si="349"/>
        <v>5.2140462173306722E-2</v>
      </c>
      <c r="S342" s="3">
        <f t="shared" si="349"/>
        <v>2.2460565604429455E-4</v>
      </c>
      <c r="T342" s="3">
        <f t="shared" si="349"/>
        <v>4.9417276787432556E-28</v>
      </c>
      <c r="U342" s="3">
        <f t="shared" si="349"/>
        <v>1.3135905545156587E-264</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8.003075559639232E-2</v>
      </c>
      <c r="C343" s="3">
        <f t="shared" si="350"/>
        <v>8.003075559639232E-2</v>
      </c>
      <c r="D343" s="3">
        <f t="shared" si="350"/>
        <v>8.0030755596392278E-2</v>
      </c>
      <c r="E343" s="3">
        <f t="shared" si="350"/>
        <v>8.0030755596391889E-2</v>
      </c>
      <c r="F343" s="3">
        <f t="shared" si="350"/>
        <v>8.0030755596387948E-2</v>
      </c>
      <c r="G343" s="3">
        <f t="shared" si="350"/>
        <v>8.0030755596348618E-2</v>
      </c>
      <c r="H343" s="3">
        <f t="shared" si="350"/>
        <v>8.003075559595535E-2</v>
      </c>
      <c r="I343" s="3">
        <f t="shared" si="350"/>
        <v>8.0030755592022676E-2</v>
      </c>
      <c r="J343" s="3">
        <f t="shared" si="350"/>
        <v>8.0030755552695856E-2</v>
      </c>
      <c r="K343" s="3">
        <f t="shared" si="350"/>
        <v>8.0030755159427674E-2</v>
      </c>
      <c r="L343" s="3">
        <f t="shared" si="350"/>
        <v>8.0030751226745939E-2</v>
      </c>
      <c r="M343" s="3">
        <f t="shared" si="350"/>
        <v>8.0030711899939183E-2</v>
      </c>
      <c r="N343" s="3">
        <f t="shared" si="350"/>
        <v>8.0030318632934638E-2</v>
      </c>
      <c r="O343" s="3">
        <f t="shared" si="350"/>
        <v>8.002638606917481E-2</v>
      </c>
      <c r="P343" s="3">
        <f t="shared" si="350"/>
        <v>7.998707105820918E-2</v>
      </c>
      <c r="Q343" s="3">
        <f t="shared" si="350"/>
        <v>7.9594981682258828E-2</v>
      </c>
      <c r="R343" s="3">
        <f t="shared" si="350"/>
        <v>7.5778257790322476E-2</v>
      </c>
      <c r="S343" s="3">
        <f t="shared" si="350"/>
        <v>4.6358983773299021E-2</v>
      </c>
      <c r="T343" s="3">
        <f t="shared" si="350"/>
        <v>3.4042921081164272E-4</v>
      </c>
      <c r="U343" s="3">
        <f t="shared" si="350"/>
        <v>1.5522294718974386E-25</v>
      </c>
      <c r="V343" s="3">
        <f t="shared" si="350"/>
        <v>6.0290237604168267E-239</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5.3976889971713508E-2</v>
      </c>
      <c r="C344" s="3">
        <f t="shared" si="351"/>
        <v>5.3976889971713508E-2</v>
      </c>
      <c r="D344" s="3">
        <f t="shared" si="351"/>
        <v>5.3976889971713508E-2</v>
      </c>
      <c r="E344" s="3">
        <f t="shared" si="351"/>
        <v>5.3976889971713488E-2</v>
      </c>
      <c r="F344" s="3">
        <f t="shared" si="351"/>
        <v>5.3976889971713245E-2</v>
      </c>
      <c r="G344" s="3">
        <f t="shared" si="351"/>
        <v>5.3976889971710851E-2</v>
      </c>
      <c r="H344" s="3">
        <f t="shared" si="351"/>
        <v>5.3976889971686925E-2</v>
      </c>
      <c r="I344" s="3">
        <f t="shared" si="351"/>
        <v>5.3976889971447659E-2</v>
      </c>
      <c r="J344" s="3">
        <f t="shared" si="351"/>
        <v>5.3976889969054961E-2</v>
      </c>
      <c r="K344" s="3">
        <f t="shared" si="351"/>
        <v>5.3976889945128073E-2</v>
      </c>
      <c r="L344" s="3">
        <f t="shared" si="351"/>
        <v>5.3976889705859121E-2</v>
      </c>
      <c r="M344" s="3">
        <f t="shared" si="351"/>
        <v>5.3976887313169672E-2</v>
      </c>
      <c r="N344" s="3">
        <f t="shared" si="351"/>
        <v>5.3976863386281028E-2</v>
      </c>
      <c r="O344" s="3">
        <f t="shared" si="351"/>
        <v>5.3976624117977962E-2</v>
      </c>
      <c r="P344" s="3">
        <f t="shared" si="351"/>
        <v>5.3974231493281032E-2</v>
      </c>
      <c r="Q344" s="3">
        <f t="shared" si="351"/>
        <v>5.3950311078726172E-2</v>
      </c>
      <c r="R344" s="3">
        <f t="shared" si="351"/>
        <v>5.3711689219165457E-2</v>
      </c>
      <c r="S344" s="3">
        <f t="shared" si="351"/>
        <v>5.1382755411497762E-2</v>
      </c>
      <c r="T344" s="3">
        <f t="shared" si="351"/>
        <v>3.2983988940601165E-2</v>
      </c>
      <c r="U344" s="3">
        <f t="shared" si="351"/>
        <v>3.9188716610768441E-4</v>
      </c>
      <c r="V344" s="3">
        <f t="shared" si="351"/>
        <v>2.1965428987053668E-23</v>
      </c>
      <c r="W344" s="3">
        <f t="shared" si="351"/>
        <v>6.7224282292533373E-216</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2.9623895965477303E-2</v>
      </c>
      <c r="C345" s="3">
        <f t="shared" si="352"/>
        <v>2.9623895965477303E-2</v>
      </c>
      <c r="D345" s="3">
        <f t="shared" si="352"/>
        <v>2.9623895965477303E-2</v>
      </c>
      <c r="E345" s="3">
        <f t="shared" si="352"/>
        <v>2.9623895965477303E-2</v>
      </c>
      <c r="F345" s="3">
        <f t="shared" si="352"/>
        <v>2.9623895965477289E-2</v>
      </c>
      <c r="G345" s="3">
        <f t="shared" si="352"/>
        <v>2.9623895965477171E-2</v>
      </c>
      <c r="H345" s="3">
        <f t="shared" si="352"/>
        <v>2.9623895965475988E-2</v>
      </c>
      <c r="I345" s="3">
        <f t="shared" si="352"/>
        <v>2.962389596546414E-2</v>
      </c>
      <c r="J345" s="3">
        <f t="shared" si="352"/>
        <v>2.9623895965345679E-2</v>
      </c>
      <c r="K345" s="3">
        <f t="shared" si="352"/>
        <v>2.9623895964161092E-2</v>
      </c>
      <c r="L345" s="3">
        <f t="shared" si="352"/>
        <v>2.9623895952315217E-2</v>
      </c>
      <c r="M345" s="3">
        <f t="shared" si="352"/>
        <v>2.9623895833856436E-2</v>
      </c>
      <c r="N345" s="3">
        <f t="shared" si="352"/>
        <v>2.9623894649268675E-2</v>
      </c>
      <c r="O345" s="3">
        <f t="shared" si="352"/>
        <v>2.962388280339364E-2</v>
      </c>
      <c r="P345" s="3">
        <f t="shared" si="352"/>
        <v>2.9623764344903835E-2</v>
      </c>
      <c r="Q345" s="3">
        <f t="shared" si="352"/>
        <v>2.9622579786058194E-2</v>
      </c>
      <c r="R345" s="3">
        <f t="shared" si="352"/>
        <v>2.9610736802457221E-2</v>
      </c>
      <c r="S345" s="3">
        <f t="shared" si="352"/>
        <v>2.9492567067005662E-2</v>
      </c>
      <c r="T345" s="3">
        <f t="shared" si="352"/>
        <v>2.8336499020540504E-2</v>
      </c>
      <c r="U345" s="3">
        <f t="shared" si="352"/>
        <v>1.899688334468469E-2</v>
      </c>
      <c r="V345" s="3">
        <f t="shared" si="352"/>
        <v>3.4837260299160452E-4</v>
      </c>
      <c r="W345" s="3">
        <f t="shared" si="352"/>
        <v>1.4985125016160354E-21</v>
      </c>
      <c r="X345" s="3">
        <f t="shared" si="352"/>
        <v>3.2495568555487432E-195</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1.5005107194779805E-2</v>
      </c>
      <c r="C346" s="3">
        <f t="shared" si="353"/>
        <v>1.5005107194779805E-2</v>
      </c>
      <c r="D346" s="3">
        <f t="shared" si="353"/>
        <v>1.5005107194779805E-2</v>
      </c>
      <c r="E346" s="3">
        <f t="shared" si="353"/>
        <v>1.5005107194779805E-2</v>
      </c>
      <c r="F346" s="3">
        <f t="shared" si="353"/>
        <v>1.5005107194779805E-2</v>
      </c>
      <c r="G346" s="3">
        <f t="shared" si="353"/>
        <v>1.5005107194779798E-2</v>
      </c>
      <c r="H346" s="3">
        <f t="shared" si="353"/>
        <v>1.5005107194779745E-2</v>
      </c>
      <c r="I346" s="3">
        <f t="shared" si="353"/>
        <v>1.5005107194779203E-2</v>
      </c>
      <c r="J346" s="3">
        <f t="shared" si="353"/>
        <v>1.5005107194773791E-2</v>
      </c>
      <c r="K346" s="3">
        <f t="shared" si="353"/>
        <v>1.5005107194719664E-2</v>
      </c>
      <c r="L346" s="3">
        <f t="shared" si="353"/>
        <v>1.5005107194178397E-2</v>
      </c>
      <c r="M346" s="3">
        <f t="shared" si="353"/>
        <v>1.5005107188765739E-2</v>
      </c>
      <c r="N346" s="3">
        <f t="shared" si="353"/>
        <v>1.5005107134639135E-2</v>
      </c>
      <c r="O346" s="3">
        <f t="shared" si="353"/>
        <v>1.5005106593373117E-2</v>
      </c>
      <c r="P346" s="3">
        <f t="shared" si="353"/>
        <v>1.5005101180713999E-2</v>
      </c>
      <c r="Q346" s="3">
        <f t="shared" si="353"/>
        <v>1.5005047054230218E-2</v>
      </c>
      <c r="R346" s="3">
        <f t="shared" si="353"/>
        <v>1.5004505800130781E-2</v>
      </c>
      <c r="S346" s="3">
        <f t="shared" si="353"/>
        <v>1.4999094332830915E-2</v>
      </c>
      <c r="T346" s="3">
        <f t="shared" si="353"/>
        <v>1.4945086886117986E-2</v>
      </c>
      <c r="U346" s="3">
        <f t="shared" si="353"/>
        <v>1.4415593306377277E-2</v>
      </c>
      <c r="V346" s="3">
        <f t="shared" si="353"/>
        <v>1.0050167356702189E-2</v>
      </c>
      <c r="W346" s="3">
        <f t="shared" si="353"/>
        <v>2.7263462845872094E-4</v>
      </c>
      <c r="X346" s="3">
        <f t="shared" si="353"/>
        <v>5.8838046427319499E-20</v>
      </c>
      <c r="Y346" s="3">
        <f t="shared" si="353"/>
        <v>1.2895272537337629E-176</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4.0905508263932881E-3</v>
      </c>
      <c r="C347" s="3">
        <f t="shared" si="354"/>
        <v>4.0905508263932881E-3</v>
      </c>
      <c r="D347" s="3">
        <f t="shared" si="354"/>
        <v>4.0905508263932881E-3</v>
      </c>
      <c r="E347" s="3">
        <f t="shared" si="354"/>
        <v>4.0905508263932881E-3</v>
      </c>
      <c r="F347" s="3">
        <f t="shared" si="354"/>
        <v>4.0905508263932881E-3</v>
      </c>
      <c r="G347" s="3">
        <f t="shared" si="354"/>
        <v>4.0905508263932881E-3</v>
      </c>
      <c r="H347" s="3">
        <f t="shared" si="354"/>
        <v>4.0905508263932864E-3</v>
      </c>
      <c r="I347" s="3">
        <f t="shared" si="354"/>
        <v>4.0905508263932733E-3</v>
      </c>
      <c r="J347" s="3">
        <f t="shared" si="354"/>
        <v>4.0905508263931398E-3</v>
      </c>
      <c r="K347" s="3">
        <f t="shared" si="354"/>
        <v>4.0905508263918092E-3</v>
      </c>
      <c r="L347" s="3">
        <f t="shared" si="354"/>
        <v>4.0905508263784987E-3</v>
      </c>
      <c r="M347" s="3">
        <f t="shared" si="354"/>
        <v>4.0905508262453916E-3</v>
      </c>
      <c r="N347" s="3">
        <f t="shared" si="354"/>
        <v>4.0905508249143244E-3</v>
      </c>
      <c r="O347" s="3">
        <f t="shared" si="354"/>
        <v>4.0905508116036498E-3</v>
      </c>
      <c r="P347" s="3">
        <f t="shared" si="354"/>
        <v>4.0905506784969107E-3</v>
      </c>
      <c r="Q347" s="3">
        <f t="shared" si="354"/>
        <v>4.0905493474297531E-3</v>
      </c>
      <c r="R347" s="3">
        <f t="shared" si="354"/>
        <v>4.0905360367820016E-3</v>
      </c>
      <c r="S347" s="3">
        <f t="shared" si="354"/>
        <v>4.0904029326866709E-3</v>
      </c>
      <c r="T347" s="3">
        <f t="shared" si="354"/>
        <v>4.0890721299230255E-3</v>
      </c>
      <c r="U347" s="3">
        <f t="shared" si="354"/>
        <v>4.0757878926001015E-3</v>
      </c>
      <c r="V347" s="3">
        <f t="shared" si="354"/>
        <v>3.9452961552153536E-3</v>
      </c>
      <c r="W347" s="3">
        <f t="shared" si="354"/>
        <v>2.849442863868343E-3</v>
      </c>
      <c r="X347" s="3">
        <f t="shared" si="354"/>
        <v>1.1004324564620085E-4</v>
      </c>
      <c r="Y347" s="3">
        <f t="shared" si="354"/>
        <v>8.1207804938763051E-19</v>
      </c>
      <c r="Z347" s="3">
        <f t="shared" si="354"/>
        <v>3.8899281211981708E-160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4.6207327982835155E-3</v>
      </c>
      <c r="C348" s="3">
        <f t="shared" si="355"/>
        <v>4.6207327982835155E-3</v>
      </c>
      <c r="D348" s="3">
        <f t="shared" si="355"/>
        <v>4.6207327982835155E-3</v>
      </c>
      <c r="E348" s="3">
        <f t="shared" si="355"/>
        <v>4.6207327982835155E-3</v>
      </c>
      <c r="F348" s="3">
        <f t="shared" si="355"/>
        <v>4.6207327982835155E-3</v>
      </c>
      <c r="G348" s="3">
        <f t="shared" si="355"/>
        <v>4.6207327982835155E-3</v>
      </c>
      <c r="H348" s="3">
        <f t="shared" si="355"/>
        <v>4.6207327982835146E-3</v>
      </c>
      <c r="I348" s="3">
        <f t="shared" si="355"/>
        <v>4.6207327982835111E-3</v>
      </c>
      <c r="J348" s="3">
        <f t="shared" si="355"/>
        <v>4.6207327982834695E-3</v>
      </c>
      <c r="K348" s="3">
        <f t="shared" si="355"/>
        <v>4.6207327982830532E-3</v>
      </c>
      <c r="L348" s="3">
        <f t="shared" si="355"/>
        <v>4.620732798278895E-3</v>
      </c>
      <c r="M348" s="3">
        <f t="shared" si="355"/>
        <v>4.6207327982373094E-3</v>
      </c>
      <c r="N348" s="3">
        <f t="shared" si="355"/>
        <v>4.6207327978214545E-3</v>
      </c>
      <c r="O348" s="3">
        <f t="shared" si="355"/>
        <v>4.6207327936629043E-3</v>
      </c>
      <c r="P348" s="3">
        <f t="shared" si="355"/>
        <v>4.6207327520773993E-3</v>
      </c>
      <c r="Q348" s="3">
        <f t="shared" si="355"/>
        <v>4.6207323362223735E-3</v>
      </c>
      <c r="R348" s="3">
        <f t="shared" si="355"/>
        <v>4.6207281776741767E-3</v>
      </c>
      <c r="S348" s="3">
        <f t="shared" si="355"/>
        <v>4.6206865923980496E-3</v>
      </c>
      <c r="T348" s="3">
        <f t="shared" si="355"/>
        <v>4.620270760220307E-3</v>
      </c>
      <c r="U348" s="3">
        <f t="shared" si="355"/>
        <v>4.6161144961099857E-3</v>
      </c>
      <c r="V348" s="3">
        <f t="shared" si="355"/>
        <v>4.574756938179228E-3</v>
      </c>
      <c r="W348" s="3">
        <f t="shared" si="355"/>
        <v>4.1810228966957267E-3</v>
      </c>
      <c r="X348" s="3">
        <f t="shared" si="355"/>
        <v>1.6999171685823441E-3</v>
      </c>
      <c r="Y348" s="3">
        <f t="shared" si="355"/>
        <v>2.0983595343370923E-7</v>
      </c>
      <c r="Z348" s="3">
        <f t="shared" si="355"/>
        <v>1.7234604694455183E-46</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2.0598839061917876E-3</v>
      </c>
      <c r="C349" s="3">
        <f t="shared" si="356"/>
        <v>2.0598839061917876E-3</v>
      </c>
      <c r="D349" s="3">
        <f t="shared" si="356"/>
        <v>2.0598839061917876E-3</v>
      </c>
      <c r="E349" s="3">
        <f t="shared" si="356"/>
        <v>2.0598839061917876E-3</v>
      </c>
      <c r="F349" s="3">
        <f t="shared" si="356"/>
        <v>2.0598839061917876E-3</v>
      </c>
      <c r="G349" s="3">
        <f t="shared" si="356"/>
        <v>2.0598839061917876E-3</v>
      </c>
      <c r="H349" s="3">
        <f t="shared" si="356"/>
        <v>2.0598839061917876E-3</v>
      </c>
      <c r="I349" s="3">
        <f t="shared" si="356"/>
        <v>2.0598839061917872E-3</v>
      </c>
      <c r="J349" s="3">
        <f t="shared" si="356"/>
        <v>2.0598839061917854E-3</v>
      </c>
      <c r="K349" s="3">
        <f t="shared" si="356"/>
        <v>2.0598839061917672E-3</v>
      </c>
      <c r="L349" s="3">
        <f t="shared" si="356"/>
        <v>2.0598839061915816E-3</v>
      </c>
      <c r="M349" s="3">
        <f t="shared" si="356"/>
        <v>2.0598839061897276E-3</v>
      </c>
      <c r="N349" s="3">
        <f t="shared" si="356"/>
        <v>2.0598839061711891E-3</v>
      </c>
      <c r="O349" s="3">
        <f t="shared" si="356"/>
        <v>2.0598839059858048E-3</v>
      </c>
      <c r="P349" s="3">
        <f t="shared" si="356"/>
        <v>2.0598839041319579E-3</v>
      </c>
      <c r="Q349" s="3">
        <f t="shared" si="356"/>
        <v>2.0598838855934885E-3</v>
      </c>
      <c r="R349" s="3">
        <f t="shared" si="356"/>
        <v>2.0598837002088078E-3</v>
      </c>
      <c r="S349" s="3">
        <f t="shared" si="356"/>
        <v>2.0598818463629185E-3</v>
      </c>
      <c r="T349" s="3">
        <f t="shared" si="356"/>
        <v>2.0598633079957876E-3</v>
      </c>
      <c r="U349" s="3">
        <f t="shared" si="356"/>
        <v>2.0596779335004421E-3</v>
      </c>
      <c r="V349" s="3">
        <f t="shared" si="356"/>
        <v>2.0578251058377141E-3</v>
      </c>
      <c r="W349" s="3">
        <f t="shared" si="356"/>
        <v>2.0393882535677437E-3</v>
      </c>
      <c r="X349" s="3">
        <f t="shared" si="356"/>
        <v>1.8638649219280092E-3</v>
      </c>
      <c r="Y349" s="3">
        <f t="shared" si="356"/>
        <v>7.5780880875056219E-4</v>
      </c>
      <c r="Z349" s="3">
        <f t="shared" si="356"/>
        <v>9.3543107184010361E-8</v>
      </c>
      <c r="AA349" s="3">
        <f t="shared" si="356"/>
        <v>7.6830421470969894E-47</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2.0793314772124174E-3</v>
      </c>
      <c r="C350" s="3">
        <f t="shared" si="357"/>
        <v>2.0793314772124174E-3</v>
      </c>
      <c r="D350" s="3">
        <f t="shared" si="357"/>
        <v>2.0793314772124174E-3</v>
      </c>
      <c r="E350" s="3">
        <f t="shared" si="357"/>
        <v>2.0793314772124174E-3</v>
      </c>
      <c r="F350" s="3">
        <f t="shared" si="357"/>
        <v>2.0793314772124174E-3</v>
      </c>
      <c r="G350" s="3">
        <f t="shared" si="357"/>
        <v>2.0793314772124174E-3</v>
      </c>
      <c r="H350" s="3">
        <f t="shared" si="357"/>
        <v>2.0793314772124174E-3</v>
      </c>
      <c r="I350" s="3">
        <f t="shared" si="357"/>
        <v>2.0793314772124174E-3</v>
      </c>
      <c r="J350" s="3">
        <f t="shared" si="357"/>
        <v>2.079331477212417E-3</v>
      </c>
      <c r="K350" s="3">
        <f t="shared" si="357"/>
        <v>2.0793314772124152E-3</v>
      </c>
      <c r="L350" s="3">
        <f t="shared" si="357"/>
        <v>2.0793314772123966E-3</v>
      </c>
      <c r="M350" s="3">
        <f t="shared" si="357"/>
        <v>2.0793314772122092E-3</v>
      </c>
      <c r="N350" s="3">
        <f t="shared" si="357"/>
        <v>2.0793314772103379E-3</v>
      </c>
      <c r="O350" s="3">
        <f t="shared" si="357"/>
        <v>2.0793314771916246E-3</v>
      </c>
      <c r="P350" s="3">
        <f t="shared" si="357"/>
        <v>2.07933147700449E-3</v>
      </c>
      <c r="Q350" s="3">
        <f t="shared" si="357"/>
        <v>2.0793314751331405E-3</v>
      </c>
      <c r="R350" s="3">
        <f t="shared" si="357"/>
        <v>2.079331456419648E-3</v>
      </c>
      <c r="S350" s="3">
        <f t="shared" si="357"/>
        <v>2.0793312692847319E-3</v>
      </c>
      <c r="T350" s="3">
        <f t="shared" si="357"/>
        <v>2.0793293979364971E-3</v>
      </c>
      <c r="U350" s="3">
        <f t="shared" si="357"/>
        <v>2.0793106845467786E-3</v>
      </c>
      <c r="V350" s="3">
        <f t="shared" si="357"/>
        <v>2.0791235599121882E-3</v>
      </c>
      <c r="W350" s="3">
        <f t="shared" si="357"/>
        <v>2.0772532395172479E-3</v>
      </c>
      <c r="X350" s="3">
        <f t="shared" si="357"/>
        <v>2.0586423230716995E-3</v>
      </c>
      <c r="Y350" s="3">
        <f t="shared" si="357"/>
        <v>1.8814618580141153E-3</v>
      </c>
      <c r="Z350" s="3">
        <f t="shared" si="357"/>
        <v>7.649633578899268E-4</v>
      </c>
      <c r="AA350" s="3">
        <f t="shared" si="357"/>
        <v>9.4426257062012295E-8</v>
      </c>
      <c r="AB350" s="3">
        <f t="shared" si="357"/>
        <v>7.7555785203173592E-47</v>
      </c>
      <c r="AC350" s="3">
        <f t="shared" si="357"/>
        <v>0</v>
      </c>
      <c r="AD350" s="3">
        <f t="shared" si="357"/>
        <v>0</v>
      </c>
      <c r="AE350" s="3">
        <f t="shared" si="357"/>
        <v>0</v>
      </c>
      <c r="AF350" s="3">
        <f t="shared" si="357"/>
        <v>0</v>
      </c>
      <c r="AG350" s="3"/>
      <c r="AH350" s="3"/>
    </row>
    <row r="351" spans="2:34" x14ac:dyDescent="0.25">
      <c r="B351" s="3">
        <f t="shared" ref="B351:AF351" si="358">$C42*EXP(-B$363/$A42/EXP(-$G$126))</f>
        <v>0</v>
      </c>
      <c r="C351" s="3">
        <f t="shared" si="358"/>
        <v>0</v>
      </c>
      <c r="D351" s="3">
        <f t="shared" si="358"/>
        <v>0</v>
      </c>
      <c r="E351" s="3">
        <f t="shared" si="358"/>
        <v>0</v>
      </c>
      <c r="F351" s="3">
        <f t="shared" si="358"/>
        <v>0</v>
      </c>
      <c r="G351" s="3">
        <f t="shared" si="358"/>
        <v>0</v>
      </c>
      <c r="H351" s="3">
        <f t="shared" si="358"/>
        <v>0</v>
      </c>
      <c r="I351" s="3">
        <f t="shared" si="358"/>
        <v>0</v>
      </c>
      <c r="J351" s="3">
        <f t="shared" si="358"/>
        <v>0</v>
      </c>
      <c r="K351" s="3">
        <f t="shared" si="358"/>
        <v>0</v>
      </c>
      <c r="L351" s="3">
        <f t="shared" si="358"/>
        <v>0</v>
      </c>
      <c r="M351" s="3">
        <f t="shared" si="358"/>
        <v>0</v>
      </c>
      <c r="N351" s="3">
        <f t="shared" si="358"/>
        <v>0</v>
      </c>
      <c r="O351" s="3">
        <f t="shared" si="358"/>
        <v>0</v>
      </c>
      <c r="P351" s="3">
        <f t="shared" si="358"/>
        <v>0</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2.538048611821601E-3</v>
      </c>
      <c r="C352" s="3">
        <f t="shared" si="359"/>
        <v>2.538048611821601E-3</v>
      </c>
      <c r="D352" s="3">
        <f t="shared" si="359"/>
        <v>2.538048611821601E-3</v>
      </c>
      <c r="E352" s="3">
        <f t="shared" si="359"/>
        <v>2.538048611821601E-3</v>
      </c>
      <c r="F352" s="3">
        <f t="shared" si="359"/>
        <v>2.538048611821601E-3</v>
      </c>
      <c r="G352" s="3">
        <f t="shared" si="359"/>
        <v>2.538048611821601E-3</v>
      </c>
      <c r="H352" s="3">
        <f t="shared" si="359"/>
        <v>2.538048611821601E-3</v>
      </c>
      <c r="I352" s="3">
        <f t="shared" si="359"/>
        <v>2.538048611821601E-3</v>
      </c>
      <c r="J352" s="3">
        <f t="shared" si="359"/>
        <v>2.538048611821601E-3</v>
      </c>
      <c r="K352" s="3">
        <f t="shared" si="359"/>
        <v>2.538048611821601E-3</v>
      </c>
      <c r="L352" s="3">
        <f t="shared" si="359"/>
        <v>2.5380486118216005E-3</v>
      </c>
      <c r="M352" s="3">
        <f t="shared" si="359"/>
        <v>2.5380486118215984E-3</v>
      </c>
      <c r="N352" s="3">
        <f t="shared" si="359"/>
        <v>2.5380486118215758E-3</v>
      </c>
      <c r="O352" s="3">
        <f t="shared" si="359"/>
        <v>2.5380486118213473E-3</v>
      </c>
      <c r="P352" s="3">
        <f t="shared" si="359"/>
        <v>2.5380486118190631E-3</v>
      </c>
      <c r="Q352" s="3">
        <f t="shared" si="359"/>
        <v>2.5380486117962211E-3</v>
      </c>
      <c r="R352" s="3">
        <f t="shared" si="359"/>
        <v>2.5380486115678027E-3</v>
      </c>
      <c r="S352" s="3">
        <f t="shared" si="359"/>
        <v>2.538048609283619E-3</v>
      </c>
      <c r="T352" s="3">
        <f t="shared" si="359"/>
        <v>2.5380485864417803E-3</v>
      </c>
      <c r="U352" s="3">
        <f t="shared" si="359"/>
        <v>2.5380483580234067E-3</v>
      </c>
      <c r="V352" s="3">
        <f t="shared" si="359"/>
        <v>2.5380460738408024E-3</v>
      </c>
      <c r="W352" s="3">
        <f t="shared" si="359"/>
        <v>2.5380232321278199E-3</v>
      </c>
      <c r="X352" s="3">
        <f t="shared" si="359"/>
        <v>2.5377948263039939E-3</v>
      </c>
      <c r="Y352" s="3">
        <f t="shared" si="359"/>
        <v>2.5355118982888785E-3</v>
      </c>
      <c r="Z352" s="3">
        <f t="shared" si="359"/>
        <v>2.5127952650021664E-3</v>
      </c>
      <c r="AA352" s="3">
        <f t="shared" si="359"/>
        <v>2.2965273739470222E-3</v>
      </c>
      <c r="AB352" s="3">
        <f t="shared" si="359"/>
        <v>9.3372038554898507E-4</v>
      </c>
      <c r="AC352" s="3">
        <f t="shared" si="359"/>
        <v>1.1525744369389319E-7</v>
      </c>
      <c r="AD352" s="3">
        <f t="shared" si="359"/>
        <v>9.4665210973257663E-47</v>
      </c>
      <c r="AE352" s="3">
        <f t="shared" si="359"/>
        <v>0</v>
      </c>
      <c r="AF352" s="3">
        <f t="shared" si="359"/>
        <v>0</v>
      </c>
      <c r="AG352" s="3"/>
      <c r="AH352" s="3"/>
    </row>
    <row r="353" spans="1:34" x14ac:dyDescent="0.25">
      <c r="B353" s="3">
        <f t="shared" ref="B353:AF353" si="360">$C44*EXP(-B$363/$A44/EXP(-$G$126))</f>
        <v>1.186723127453265E-7</v>
      </c>
      <c r="C353" s="3">
        <f t="shared" si="360"/>
        <v>1.186723127453265E-7</v>
      </c>
      <c r="D353" s="3">
        <f t="shared" si="360"/>
        <v>1.186723127453265E-7</v>
      </c>
      <c r="E353" s="3">
        <f t="shared" si="360"/>
        <v>1.186723127453265E-7</v>
      </c>
      <c r="F353" s="3">
        <f t="shared" si="360"/>
        <v>1.186723127453265E-7</v>
      </c>
      <c r="G353" s="3">
        <f t="shared" si="360"/>
        <v>1.186723127453265E-7</v>
      </c>
      <c r="H353" s="3">
        <f t="shared" si="360"/>
        <v>1.186723127453265E-7</v>
      </c>
      <c r="I353" s="3">
        <f t="shared" si="360"/>
        <v>1.186723127453265E-7</v>
      </c>
      <c r="J353" s="3">
        <f t="shared" si="360"/>
        <v>1.186723127453265E-7</v>
      </c>
      <c r="K353" s="3">
        <f t="shared" si="360"/>
        <v>1.186723127453265E-7</v>
      </c>
      <c r="L353" s="3">
        <f t="shared" si="360"/>
        <v>1.186723127453265E-7</v>
      </c>
      <c r="M353" s="3">
        <f t="shared" si="360"/>
        <v>1.1867231274532648E-7</v>
      </c>
      <c r="N353" s="3">
        <f t="shared" si="360"/>
        <v>1.1867231274532638E-7</v>
      </c>
      <c r="O353" s="3">
        <f t="shared" si="360"/>
        <v>1.1867231274532531E-7</v>
      </c>
      <c r="P353" s="3">
        <f t="shared" si="360"/>
        <v>1.1867231274531463E-7</v>
      </c>
      <c r="Q353" s="3">
        <f t="shared" si="360"/>
        <v>1.1867231274520783E-7</v>
      </c>
      <c r="R353" s="3">
        <f t="shared" si="360"/>
        <v>1.186723127441398E-7</v>
      </c>
      <c r="S353" s="3">
        <f t="shared" si="360"/>
        <v>1.1867231273345958E-7</v>
      </c>
      <c r="T353" s="3">
        <f t="shared" si="360"/>
        <v>1.186723126266573E-7</v>
      </c>
      <c r="U353" s="3">
        <f t="shared" si="360"/>
        <v>1.1867231155863449E-7</v>
      </c>
      <c r="V353" s="3">
        <f t="shared" si="360"/>
        <v>1.1867230087840695E-7</v>
      </c>
      <c r="W353" s="3">
        <f t="shared" si="360"/>
        <v>1.1867219407618451E-7</v>
      </c>
      <c r="X353" s="3">
        <f t="shared" si="360"/>
        <v>1.186711260592466E-7</v>
      </c>
      <c r="Y353" s="3">
        <f t="shared" si="360"/>
        <v>1.1866044641850541E-7</v>
      </c>
      <c r="Z353" s="3">
        <f t="shared" si="360"/>
        <v>1.1855370285728166E-7</v>
      </c>
      <c r="AA353" s="3">
        <f t="shared" si="360"/>
        <v>1.174915343088287E-7</v>
      </c>
      <c r="AB353" s="3">
        <f t="shared" si="360"/>
        <v>1.0737943059082778E-7</v>
      </c>
      <c r="AC353" s="3">
        <f t="shared" si="360"/>
        <v>4.365824874056612E-8</v>
      </c>
      <c r="AD353" s="3">
        <f t="shared" si="360"/>
        <v>5.3891274345812126E-12</v>
      </c>
      <c r="AE353" s="3">
        <f t="shared" si="360"/>
        <v>4.4262901310853194E-51</v>
      </c>
      <c r="AF353" s="3">
        <f t="shared" si="360"/>
        <v>0</v>
      </c>
      <c r="AG353" s="3"/>
      <c r="AH353" s="3"/>
    </row>
    <row r="354" spans="1:34" x14ac:dyDescent="0.25">
      <c r="B354" s="3">
        <f t="shared" ref="B354:AF354" si="361">$C45*EXP(-B$363/$A45/EXP(-$G$126))</f>
        <v>1.5301760835243074E-4</v>
      </c>
      <c r="C354" s="3">
        <f t="shared" si="361"/>
        <v>1.5301760835243074E-4</v>
      </c>
      <c r="D354" s="3">
        <f t="shared" si="361"/>
        <v>1.5301760835243074E-4</v>
      </c>
      <c r="E354" s="3">
        <f t="shared" si="361"/>
        <v>1.5301760835243074E-4</v>
      </c>
      <c r="F354" s="3">
        <f t="shared" si="361"/>
        <v>1.5301760835243074E-4</v>
      </c>
      <c r="G354" s="3">
        <f t="shared" si="361"/>
        <v>1.5301760835243074E-4</v>
      </c>
      <c r="H354" s="3">
        <f t="shared" si="361"/>
        <v>1.5301760835243074E-4</v>
      </c>
      <c r="I354" s="3">
        <f t="shared" si="361"/>
        <v>1.5301760835243074E-4</v>
      </c>
      <c r="J354" s="3">
        <f t="shared" si="361"/>
        <v>1.5301760835243074E-4</v>
      </c>
      <c r="K354" s="3">
        <f t="shared" si="361"/>
        <v>1.5301760835243074E-4</v>
      </c>
      <c r="L354" s="3">
        <f t="shared" si="361"/>
        <v>1.5301760835243074E-4</v>
      </c>
      <c r="M354" s="3">
        <f t="shared" si="361"/>
        <v>1.5301760835243074E-4</v>
      </c>
      <c r="N354" s="3">
        <f t="shared" si="361"/>
        <v>1.5301760835243072E-4</v>
      </c>
      <c r="O354" s="3">
        <f t="shared" si="361"/>
        <v>1.5301760835243058E-4</v>
      </c>
      <c r="P354" s="3">
        <f t="shared" si="361"/>
        <v>1.5301760835242923E-4</v>
      </c>
      <c r="Q354" s="3">
        <f t="shared" si="361"/>
        <v>1.5301760835241543E-4</v>
      </c>
      <c r="R354" s="3">
        <f t="shared" si="361"/>
        <v>1.5301760835227774E-4</v>
      </c>
      <c r="S354" s="3">
        <f t="shared" si="361"/>
        <v>1.5301760835090061E-4</v>
      </c>
      <c r="T354" s="3">
        <f t="shared" si="361"/>
        <v>1.530176083371294E-4</v>
      </c>
      <c r="U354" s="3">
        <f t="shared" si="361"/>
        <v>1.5301760819941716E-4</v>
      </c>
      <c r="V354" s="3">
        <f t="shared" si="361"/>
        <v>1.5301760682229478E-4</v>
      </c>
      <c r="W354" s="3">
        <f t="shared" si="361"/>
        <v>1.5301759305107185E-4</v>
      </c>
      <c r="X354" s="3">
        <f t="shared" si="361"/>
        <v>1.5301745533891081E-4</v>
      </c>
      <c r="Y354" s="3">
        <f t="shared" si="361"/>
        <v>1.5301607822411681E-4</v>
      </c>
      <c r="Z354" s="3">
        <f t="shared" si="361"/>
        <v>1.5300230775780943E-4</v>
      </c>
      <c r="AA354" s="3">
        <f t="shared" si="361"/>
        <v>1.5286467123529104E-4</v>
      </c>
      <c r="AB354" s="3">
        <f t="shared" si="361"/>
        <v>1.5149509742998197E-4</v>
      </c>
      <c r="AC354" s="3">
        <f t="shared" si="361"/>
        <v>1.3845642066920435E-4</v>
      </c>
      <c r="AD354" s="3">
        <f t="shared" si="361"/>
        <v>5.6293508170464446E-5</v>
      </c>
      <c r="AE354" s="3">
        <f t="shared" si="361"/>
        <v>6.9488103169925213E-9</v>
      </c>
      <c r="AF354" s="3">
        <f t="shared" si="361"/>
        <v>5.7073154981494699E-48</v>
      </c>
      <c r="AG354" s="3"/>
      <c r="AH354" s="3"/>
    </row>
    <row r="355" spans="1:34" x14ac:dyDescent="0.25">
      <c r="B355" s="3">
        <f t="shared" ref="B355:AF355" si="362">$C46*EXP(-B$363/$A46/EXP(-$G$126))</f>
        <v>1.8120582087099855E-4</v>
      </c>
      <c r="C355" s="3">
        <f t="shared" si="362"/>
        <v>1.8120582087099855E-4</v>
      </c>
      <c r="D355" s="3">
        <f t="shared" si="362"/>
        <v>1.8120582087099855E-4</v>
      </c>
      <c r="E355" s="3">
        <f t="shared" si="362"/>
        <v>1.8120582087099855E-4</v>
      </c>
      <c r="F355" s="3">
        <f t="shared" si="362"/>
        <v>1.8120582087099855E-4</v>
      </c>
      <c r="G355" s="3">
        <f t="shared" si="362"/>
        <v>1.8120582087099855E-4</v>
      </c>
      <c r="H355" s="3">
        <f t="shared" si="362"/>
        <v>1.8120582087099855E-4</v>
      </c>
      <c r="I355" s="3">
        <f t="shared" si="362"/>
        <v>1.8120582087099855E-4</v>
      </c>
      <c r="J355" s="3">
        <f t="shared" si="362"/>
        <v>1.8120582087099855E-4</v>
      </c>
      <c r="K355" s="3">
        <f t="shared" si="362"/>
        <v>1.8120582087099855E-4</v>
      </c>
      <c r="L355" s="3">
        <f t="shared" si="362"/>
        <v>1.8120582087099855E-4</v>
      </c>
      <c r="M355" s="3">
        <f t="shared" si="362"/>
        <v>1.8120582087099855E-4</v>
      </c>
      <c r="N355" s="3">
        <f t="shared" si="362"/>
        <v>1.8120582087099855E-4</v>
      </c>
      <c r="O355" s="3">
        <f t="shared" si="362"/>
        <v>1.8120582087099852E-4</v>
      </c>
      <c r="P355" s="3">
        <f t="shared" si="362"/>
        <v>1.8120582087099836E-4</v>
      </c>
      <c r="Q355" s="3">
        <f t="shared" si="362"/>
        <v>1.8120582087099673E-4</v>
      </c>
      <c r="R355" s="3">
        <f t="shared" si="362"/>
        <v>1.8120582087098041E-4</v>
      </c>
      <c r="S355" s="3">
        <f t="shared" si="362"/>
        <v>1.8120582087081735E-4</v>
      </c>
      <c r="T355" s="3">
        <f t="shared" si="362"/>
        <v>1.8120582086918652E-4</v>
      </c>
      <c r="U355" s="3">
        <f t="shared" si="362"/>
        <v>1.8120582085287844E-4</v>
      </c>
      <c r="V355" s="3">
        <f t="shared" si="362"/>
        <v>1.8120582068979749E-4</v>
      </c>
      <c r="W355" s="3">
        <f t="shared" si="362"/>
        <v>1.8120581905898785E-4</v>
      </c>
      <c r="X355" s="3">
        <f t="shared" si="362"/>
        <v>1.8120580275089246E-4</v>
      </c>
      <c r="Y355" s="3">
        <f t="shared" si="362"/>
        <v>1.8120563967001925E-4</v>
      </c>
      <c r="Z355" s="3">
        <f t="shared" si="362"/>
        <v>1.8120400886935934E-4</v>
      </c>
      <c r="AA355" s="3">
        <f t="shared" si="362"/>
        <v>1.8118770166996001E-4</v>
      </c>
      <c r="AB355" s="3">
        <f t="shared" si="362"/>
        <v>1.8102471036906783E-4</v>
      </c>
      <c r="AC355" s="3">
        <f t="shared" si="362"/>
        <v>1.794028398647083E-4</v>
      </c>
      <c r="AD355" s="3">
        <f t="shared" si="362"/>
        <v>1.6396223697627094E-4</v>
      </c>
      <c r="AE355" s="3">
        <f t="shared" si="362"/>
        <v>6.6663643926801917E-5</v>
      </c>
      <c r="AF355" s="3">
        <f t="shared" si="362"/>
        <v>8.2288887607456259E-9</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0</v>
      </c>
      <c r="C357" s="3">
        <f t="shared" si="364"/>
        <v>0</v>
      </c>
      <c r="D357" s="3">
        <f t="shared" si="364"/>
        <v>0</v>
      </c>
      <c r="E357" s="3">
        <f t="shared" si="364"/>
        <v>0</v>
      </c>
      <c r="F357" s="3">
        <f t="shared" si="364"/>
        <v>0</v>
      </c>
      <c r="G357" s="3">
        <f t="shared" si="364"/>
        <v>0</v>
      </c>
      <c r="H357" s="3">
        <f t="shared" si="364"/>
        <v>0</v>
      </c>
      <c r="I357" s="3">
        <f t="shared" si="364"/>
        <v>0</v>
      </c>
      <c r="J357" s="3">
        <f t="shared" si="364"/>
        <v>0</v>
      </c>
      <c r="K357" s="3">
        <f t="shared" si="364"/>
        <v>0</v>
      </c>
      <c r="L357" s="3">
        <f t="shared" si="364"/>
        <v>0</v>
      </c>
      <c r="M357" s="3">
        <f t="shared" si="364"/>
        <v>0</v>
      </c>
      <c r="N357" s="3">
        <f t="shared" si="364"/>
        <v>0</v>
      </c>
      <c r="O357" s="3">
        <f t="shared" si="364"/>
        <v>0</v>
      </c>
      <c r="P357" s="3">
        <f t="shared" si="364"/>
        <v>0</v>
      </c>
      <c r="Q357" s="3">
        <f t="shared" si="364"/>
        <v>0</v>
      </c>
      <c r="R357" s="3">
        <f t="shared" si="364"/>
        <v>0</v>
      </c>
      <c r="S357" s="3">
        <f t="shared" si="364"/>
        <v>0</v>
      </c>
      <c r="T357" s="3">
        <f t="shared" si="364"/>
        <v>0</v>
      </c>
      <c r="U357" s="3">
        <f t="shared" si="364"/>
        <v>0</v>
      </c>
      <c r="V357" s="3">
        <f t="shared" si="364"/>
        <v>0</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79">
        <f>AVERAGE(B358:AF358)</f>
        <v>9.3946380378996067E-5</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1.7559334323974141E-4</v>
      </c>
      <c r="M358" s="80">
        <f t="shared" si="365"/>
        <v>2.6631090772382326E-4</v>
      </c>
      <c r="N358" s="80">
        <f t="shared" si="365"/>
        <v>3.4988122056944484E-4</v>
      </c>
      <c r="O358" s="80">
        <f t="shared" si="365"/>
        <v>3.9179487841398597E-4</v>
      </c>
      <c r="P358" s="80">
        <f t="shared" si="365"/>
        <v>3.9227177793897325E-4</v>
      </c>
      <c r="Q358" s="80">
        <f t="shared" si="365"/>
        <v>3.4849000768278422E-4</v>
      </c>
      <c r="R358" s="80">
        <f t="shared" si="365"/>
        <v>3.134189693905427E-4</v>
      </c>
      <c r="S358" s="80">
        <f t="shared" si="365"/>
        <v>2.5670256903806551E-4</v>
      </c>
      <c r="T358" s="80">
        <f t="shared" si="365"/>
        <v>2.0235351986561419E-4</v>
      </c>
      <c r="U358" s="80">
        <f t="shared" si="365"/>
        <v>1.3195727446641797E-4</v>
      </c>
      <c r="V358" s="80">
        <f t="shared" si="365"/>
        <v>8.35633234194842E-5</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3381.9464474692081</v>
      </c>
      <c r="C359" s="21">
        <f t="shared" ref="C359:AF359" si="366">(C326-C325)^2</f>
        <v>5655.7600780371258</v>
      </c>
      <c r="D359" s="21">
        <f t="shared" si="366"/>
        <v>396.48035133194736</v>
      </c>
      <c r="E359" s="21">
        <f t="shared" si="366"/>
        <v>10.583999631752741</v>
      </c>
      <c r="F359" s="21">
        <f t="shared" si="366"/>
        <v>0.19715248508906957</v>
      </c>
      <c r="G359" s="21">
        <f t="shared" si="366"/>
        <v>2.3193338309001133E-3</v>
      </c>
      <c r="H359" s="21">
        <f t="shared" si="366"/>
        <v>5.7404329997543782E-4</v>
      </c>
      <c r="I359" s="21">
        <f t="shared" si="366"/>
        <v>6.4103595557778344E-3</v>
      </c>
      <c r="J359" s="21">
        <f t="shared" si="366"/>
        <v>3.8714938998899093E-2</v>
      </c>
      <c r="K359" s="21">
        <f t="shared" si="366"/>
        <v>0.15466387831736739</v>
      </c>
      <c r="L359" s="21">
        <f t="shared" si="366"/>
        <v>0.45532055059514404</v>
      </c>
      <c r="M359" s="21">
        <f t="shared" si="366"/>
        <v>0.93860221619561424</v>
      </c>
      <c r="N359" s="21">
        <f t="shared" si="366"/>
        <v>1.4210116740142238</v>
      </c>
      <c r="O359" s="21">
        <f t="shared" si="366"/>
        <v>1.5189988121387032</v>
      </c>
      <c r="P359" s="21">
        <f t="shared" si="366"/>
        <v>1.2393429928716304</v>
      </c>
      <c r="Q359" s="21">
        <f t="shared" si="366"/>
        <v>0.71486129935268372</v>
      </c>
      <c r="R359" s="21">
        <f t="shared" si="366"/>
        <v>0.33794700953217077</v>
      </c>
      <c r="S359" s="21">
        <f t="shared" si="366"/>
        <v>0.10614576146915644</v>
      </c>
      <c r="T359" s="21">
        <f t="shared" si="366"/>
        <v>2.6746554876312823E-2</v>
      </c>
      <c r="U359" s="21">
        <f t="shared" si="366"/>
        <v>4.511816098507062E-3</v>
      </c>
      <c r="V359" s="21">
        <f t="shared" si="366"/>
        <v>8.2657890800305091E-4</v>
      </c>
      <c r="W359" s="21">
        <f t="shared" si="366"/>
        <v>1.4950683613733527E-4</v>
      </c>
      <c r="X359" s="21">
        <f t="shared" si="366"/>
        <v>1.2028243018644616E-4</v>
      </c>
      <c r="Y359" s="21">
        <f t="shared" si="366"/>
        <v>2.1581046506175208E-4</v>
      </c>
      <c r="Z359" s="21">
        <f t="shared" si="366"/>
        <v>2.5818180909758202E-4</v>
      </c>
      <c r="AA359" s="21">
        <f t="shared" si="366"/>
        <v>1.1113727538781539E-3</v>
      </c>
      <c r="AB359" s="21">
        <f t="shared" si="366"/>
        <v>8.8562048990065804E-3</v>
      </c>
      <c r="AC359" s="21">
        <f t="shared" si="366"/>
        <v>1.5878210082932356E-2</v>
      </c>
      <c r="AD359" s="21">
        <f t="shared" si="366"/>
        <v>3.1471284925821144E-2</v>
      </c>
      <c r="AE359" s="21">
        <f t="shared" si="366"/>
        <v>5.8978441819669686E-2</v>
      </c>
      <c r="AF359" s="21">
        <f t="shared" si="366"/>
        <v>1.92447521481653E-2</v>
      </c>
      <c r="AG359" s="3"/>
      <c r="AH359" s="3"/>
    </row>
    <row r="360" spans="1:34" x14ac:dyDescent="0.25">
      <c r="A360" s="71">
        <f>SUM(B360:AF360)</f>
        <v>6.7643152660521508</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0.45532055059514404</v>
      </c>
      <c r="M360" s="60">
        <f t="shared" si="367"/>
        <v>0.93860221619561424</v>
      </c>
      <c r="N360" s="60">
        <f t="shared" si="367"/>
        <v>1.4210116740142238</v>
      </c>
      <c r="O360" s="60">
        <f t="shared" si="367"/>
        <v>1.5189988121387032</v>
      </c>
      <c r="P360" s="60">
        <f t="shared" si="367"/>
        <v>1.2393429928716304</v>
      </c>
      <c r="Q360" s="60">
        <f t="shared" si="367"/>
        <v>0.71486129935268372</v>
      </c>
      <c r="R360" s="60">
        <f t="shared" si="367"/>
        <v>0.33794700953217077</v>
      </c>
      <c r="S360" s="60">
        <f t="shared" si="367"/>
        <v>0.10614576146915644</v>
      </c>
      <c r="T360" s="60">
        <f t="shared" si="367"/>
        <v>2.6746554876312823E-2</v>
      </c>
      <c r="U360" s="60">
        <f t="shared" si="367"/>
        <v>4.511816098507062E-3</v>
      </c>
      <c r="V360" s="60">
        <f t="shared" si="367"/>
        <v>8.2657890800305091E-4</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4536.230397827354</v>
      </c>
      <c r="C364" s="26">
        <f>INDEX(Comparison!$AM$3:$AS$33,G$14,$H$122)</f>
        <v>4303.1205029931816</v>
      </c>
      <c r="D364" s="26">
        <f>INDEX(Comparison!$AM$3:$AS$33,H$14,$H$122)</f>
        <v>4127.6064584710148</v>
      </c>
      <c r="E364" s="26">
        <f>INDEX(Comparison!$AM$3:$AS$33,I$14,$H$122)</f>
        <v>3945.604356178083</v>
      </c>
      <c r="F364" s="26">
        <f>INDEX(Comparison!$AM$3:$AS$33,J$14,$H$122)</f>
        <v>3766.6240058114313</v>
      </c>
      <c r="G364" s="26">
        <f>INDEX(Comparison!$AM$3:$AS$33,K$14,$H$122)</f>
        <v>3551.9419942460731</v>
      </c>
      <c r="H364" s="26">
        <f>INDEX(Comparison!$AM$3:$AS$33,L$14,$H$122)</f>
        <v>3318.4500658255338</v>
      </c>
      <c r="I364" s="26">
        <f>INDEX(Comparison!$AM$3:$AS$33,M$14,$H$122)</f>
        <v>3050.6755206683788</v>
      </c>
      <c r="J364" s="26">
        <f>INDEX(Comparison!$AM$3:$AS$33,N$14,$H$122)</f>
        <v>2745.1346410108995</v>
      </c>
      <c r="K364" s="26">
        <f>INDEX(Comparison!$AM$3:$AS$33,O$14,$H$122)</f>
        <v>2379.9691784471511</v>
      </c>
      <c r="L364" s="26">
        <f>INDEX(Comparison!$AM$3:$AS$33,P$14,$H$122)</f>
        <v>1948.7143373862357</v>
      </c>
      <c r="M364" s="26">
        <f>INDEX(Comparison!$AM$3:$AS$33,Q$14,$H$122)</f>
        <v>1482.8611668944652</v>
      </c>
      <c r="N364" s="26">
        <f>INDEX(Comparison!$AM$3:$AS$33,R$14,$H$122)</f>
        <v>1064.7698916660522</v>
      </c>
      <c r="O364" s="26">
        <f>INDEX(Comparison!$AM$3:$AS$33,S$14,$H$122)</f>
        <v>756.04671038027936</v>
      </c>
      <c r="P364" s="26">
        <f>INDEX(Comparison!$AM$3:$AS$33,T$14,$H$122)</f>
        <v>574.27764486440731</v>
      </c>
      <c r="Q364" s="26">
        <f>INDEX(Comparison!$AM$3:$AS$33,U$14,$H$122)</f>
        <v>472.36033693576201</v>
      </c>
      <c r="R364" s="26">
        <f>INDEX(Comparison!$AM$3:$AS$33,V$14,$H$122)</f>
        <v>404.76609252146119</v>
      </c>
      <c r="S364" s="26">
        <f>INDEX(Comparison!$AM$3:$AS$33,W$14,$H$122)</f>
        <v>332.62382454066642</v>
      </c>
      <c r="T364" s="26">
        <f>INDEX(Comparison!$AM$3:$AS$33,X$14,$H$122)</f>
        <v>270.11210763785351</v>
      </c>
      <c r="U364" s="26">
        <f>INDEX(Comparison!$AM$3:$AS$33,Y$14,$H$122)</f>
        <v>230.23496622900356</v>
      </c>
      <c r="V364" s="26">
        <f>INDEX(Comparison!$AM$3:$AS$33,Z$14,$H$122)</f>
        <v>198.97748766430533</v>
      </c>
      <c r="W364" s="26">
        <f>INDEX(Comparison!$AM$3:$AS$33,AA$14,$H$122)</f>
        <v>182.67861803771595</v>
      </c>
      <c r="X364" s="26">
        <f>INDEX(Comparison!$AM$3:$AS$33,AB$14,$H$122)</f>
        <v>174.62746722417066</v>
      </c>
      <c r="Y364" s="26">
        <f>INDEX(Comparison!$AM$3:$AS$33,AC$14,$H$122)</f>
        <v>169.86894542912563</v>
      </c>
      <c r="Z364" s="26">
        <f>INDEX(Comparison!$AM$3:$AS$33,AD$14,$H$122)</f>
        <v>166.84170745231376</v>
      </c>
      <c r="AA364" s="26">
        <f>INDEX(Comparison!$AM$3:$AS$33,AE$14,$H$122)</f>
        <v>166.12540478353452</v>
      </c>
      <c r="AB364" s="26">
        <f>INDEX(Comparison!$AM$3:$AS$33,AF$14,$H$122)</f>
        <v>165.25800429032441</v>
      </c>
      <c r="AC364" s="26">
        <f>INDEX(Comparison!$AM$3:$AS$33,AG$14,$H$122)</f>
        <v>162.97529182821398</v>
      </c>
      <c r="AD364" s="26">
        <f>INDEX(Comparison!$AM$3:$AS$33,AH$14,$H$122)</f>
        <v>162.91152498499585</v>
      </c>
      <c r="AE364" s="26">
        <f>INDEX(Comparison!$AM$3:$AS$33,AI$14,$H$122)</f>
        <v>161.92883558935978</v>
      </c>
      <c r="AF364" s="26">
        <f>INDEX(Comparison!$AM$3:$AS$33,AJ$14,$H$122)</f>
        <v>161.56401350859798</v>
      </c>
      <c r="AG364" s="26"/>
      <c r="AH364" s="26"/>
    </row>
    <row r="365" spans="1:34" x14ac:dyDescent="0.25">
      <c r="A365" s="70" t="s">
        <v>22</v>
      </c>
      <c r="B365" s="27">
        <f>($C$17+SUM(B366:B396))*$B$51</f>
        <v>4664.4135691936481</v>
      </c>
      <c r="C365" s="27">
        <f t="shared" ref="C365:AF365" si="368">($C$17+SUM(C366:C396))*$B$51</f>
        <v>4478.8562884292751</v>
      </c>
      <c r="D365" s="27">
        <f t="shared" si="368"/>
        <v>4296.8031273848501</v>
      </c>
      <c r="E365" s="27">
        <f t="shared" si="368"/>
        <v>4114.184288496017</v>
      </c>
      <c r="F365" s="27">
        <f t="shared" si="368"/>
        <v>3935.2667702867648</v>
      </c>
      <c r="G365" s="27">
        <f t="shared" si="368"/>
        <v>3740.7746691676516</v>
      </c>
      <c r="H365" s="27">
        <f t="shared" si="368"/>
        <v>3518.3092019233895</v>
      </c>
      <c r="I365" s="27">
        <f t="shared" si="368"/>
        <v>3274.5752005695635</v>
      </c>
      <c r="J365" s="27">
        <f t="shared" si="368"/>
        <v>2983.938193637644</v>
      </c>
      <c r="K365" s="27">
        <f t="shared" si="368"/>
        <v>2644.3633699447878</v>
      </c>
      <c r="L365" s="27">
        <f t="shared" si="368"/>
        <v>2127.6074045142955</v>
      </c>
      <c r="M365" s="27">
        <f t="shared" si="368"/>
        <v>1524.7268658645326</v>
      </c>
      <c r="N365" s="27">
        <f t="shared" si="368"/>
        <v>1003.7169451420057</v>
      </c>
      <c r="O365" s="27">
        <f t="shared" si="368"/>
        <v>635.3886697791238</v>
      </c>
      <c r="P365" s="27">
        <f t="shared" si="368"/>
        <v>415.33207278670926</v>
      </c>
      <c r="Q365" s="27">
        <f t="shared" si="368"/>
        <v>298.01194344907054</v>
      </c>
      <c r="R365" s="27">
        <f t="shared" si="368"/>
        <v>243.93768258424996</v>
      </c>
      <c r="S365" s="27">
        <f t="shared" si="368"/>
        <v>208.79599253701468</v>
      </c>
      <c r="T365" s="27">
        <f t="shared" si="368"/>
        <v>194.00653184518941</v>
      </c>
      <c r="U365" s="27">
        <f t="shared" si="368"/>
        <v>182.92510794264726</v>
      </c>
      <c r="V365" s="27">
        <f t="shared" si="368"/>
        <v>178.04316708195347</v>
      </c>
      <c r="W365" s="27">
        <f t="shared" si="368"/>
        <v>165.82929315742004</v>
      </c>
      <c r="X365" s="27">
        <f t="shared" si="368"/>
        <v>164.79075521499158</v>
      </c>
      <c r="Y365" s="27">
        <f t="shared" si="368"/>
        <v>163.75166969157942</v>
      </c>
      <c r="Z365" s="27">
        <f t="shared" si="368"/>
        <v>162.83714252669063</v>
      </c>
      <c r="AA365" s="27">
        <f t="shared" si="368"/>
        <v>162.78394422566421</v>
      </c>
      <c r="AB365" s="27">
        <f t="shared" si="368"/>
        <v>162.78394422566419</v>
      </c>
      <c r="AC365" s="27">
        <f t="shared" si="368"/>
        <v>162.78394422566419</v>
      </c>
      <c r="AD365" s="27">
        <f t="shared" si="368"/>
        <v>162.78394422566419</v>
      </c>
      <c r="AE365" s="27">
        <f t="shared" si="368"/>
        <v>162.78394422566419</v>
      </c>
      <c r="AF365" s="27">
        <f t="shared" si="368"/>
        <v>162.78394422566419</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7.4746475576597227E-31</v>
      </c>
      <c r="C369" s="3">
        <f t="shared" si="372"/>
        <v>3.6651552446613745E-289</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8.9268396300996129E-5</v>
      </c>
      <c r="C370" s="3">
        <f t="shared" si="373"/>
        <v>4.4568914223306006E-28</v>
      </c>
      <c r="D370" s="3">
        <f t="shared" si="373"/>
        <v>4.2891898208881254E-261</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1.6376518902887927E-2</v>
      </c>
      <c r="C371" s="3">
        <f t="shared" si="374"/>
        <v>1.2948441392873259E-4</v>
      </c>
      <c r="D371" s="3">
        <f t="shared" si="374"/>
        <v>1.2364499500607444E-25</v>
      </c>
      <c r="E371" s="3">
        <f t="shared" si="374"/>
        <v>7.7941184325896482E-236</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2.5542688173079555E-2</v>
      </c>
      <c r="C372" s="3">
        <f t="shared" si="375"/>
        <v>1.6506247209054154E-2</v>
      </c>
      <c r="D372" s="3">
        <f t="shared" si="375"/>
        <v>2.0963595978872875E-4</v>
      </c>
      <c r="E372" s="3">
        <f t="shared" si="375"/>
        <v>2.2889702157602069E-23</v>
      </c>
      <c r="F372" s="3">
        <f t="shared" si="375"/>
        <v>5.5129460997920704E-213</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2.7511358769739817E-2</v>
      </c>
      <c r="C373" s="3">
        <f t="shared" si="376"/>
        <v>2.644885625306231E-2</v>
      </c>
      <c r="D373" s="3">
        <f t="shared" si="376"/>
        <v>1.7838381769728302E-2</v>
      </c>
      <c r="E373" s="3">
        <f t="shared" si="376"/>
        <v>3.4740897542912311E-4</v>
      </c>
      <c r="F373" s="3">
        <f t="shared" si="376"/>
        <v>2.7270734524348013E-21</v>
      </c>
      <c r="G373" s="3">
        <f t="shared" si="376"/>
        <v>2.422450144424578E-192</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2.5910607101724603E-2</v>
      </c>
      <c r="C374" s="3">
        <f t="shared" si="377"/>
        <v>2.5818711373534954E-2</v>
      </c>
      <c r="D374" s="3">
        <f t="shared" si="377"/>
        <v>2.4917490394178489E-2</v>
      </c>
      <c r="E374" s="3">
        <f t="shared" si="377"/>
        <v>1.7466330301145427E-2</v>
      </c>
      <c r="F374" s="3">
        <f t="shared" si="377"/>
        <v>5.0023648139389256E-4</v>
      </c>
      <c r="G374" s="3">
        <f t="shared" si="377"/>
        <v>1.8574292599801175E-19</v>
      </c>
      <c r="H374" s="3">
        <f t="shared" si="377"/>
        <v>9.2529773793407114E-174</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2.7390964451709042E-2</v>
      </c>
      <c r="C375" s="3">
        <f t="shared" si="378"/>
        <v>2.7382186901154133E-2</v>
      </c>
      <c r="D375" s="3">
        <f t="shared" si="378"/>
        <v>2.7294565951152081E-2</v>
      </c>
      <c r="E375" s="3">
        <f t="shared" si="378"/>
        <v>2.6433630283628134E-2</v>
      </c>
      <c r="F375" s="3">
        <f t="shared" si="378"/>
        <v>1.9185052929055899E-2</v>
      </c>
      <c r="G375" s="3">
        <f t="shared" si="378"/>
        <v>7.7808116882848105E-4</v>
      </c>
      <c r="H375" s="3">
        <f t="shared" si="378"/>
        <v>9.3679364050003739E-18</v>
      </c>
      <c r="I375" s="3">
        <f t="shared" si="378"/>
        <v>5.9956217437913296E-157</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3.2565372224804566E-2</v>
      </c>
      <c r="C376" s="3">
        <f t="shared" si="379"/>
        <v>3.2564430699558819E-2</v>
      </c>
      <c r="D376" s="3">
        <f t="shared" si="379"/>
        <v>3.2555016944139627E-2</v>
      </c>
      <c r="E376" s="3">
        <f t="shared" si="379"/>
        <v>3.246102893375602E-2</v>
      </c>
      <c r="F376" s="3">
        <f t="shared" si="379"/>
        <v>3.1535944465316067E-2</v>
      </c>
      <c r="G376" s="3">
        <f t="shared" si="379"/>
        <v>2.3617909057031351E-2</v>
      </c>
      <c r="H376" s="3">
        <f t="shared" si="379"/>
        <v>1.3109842806606593E-3</v>
      </c>
      <c r="I376" s="3">
        <f t="shared" si="379"/>
        <v>3.6404734469336094E-16</v>
      </c>
      <c r="J376" s="3">
        <f t="shared" si="379"/>
        <v>9.9257127309606945E-142</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3.4198370079602171E-2</v>
      </c>
      <c r="C377" s="3">
        <f t="shared" si="380"/>
        <v>3.4198280886014412E-2</v>
      </c>
      <c r="D377" s="3">
        <f t="shared" si="380"/>
        <v>3.4197388962931265E-2</v>
      </c>
      <c r="E377" s="3">
        <f t="shared" si="380"/>
        <v>3.4188471011419974E-2</v>
      </c>
      <c r="F377" s="3">
        <f t="shared" si="380"/>
        <v>3.4099419304953291E-2</v>
      </c>
      <c r="G377" s="3">
        <f t="shared" si="380"/>
        <v>3.3221560624371552E-2</v>
      </c>
      <c r="H377" s="3">
        <f t="shared" si="380"/>
        <v>2.559472683584773E-2</v>
      </c>
      <c r="I377" s="3">
        <f t="shared" si="380"/>
        <v>1.885624385098456E-3</v>
      </c>
      <c r="J377" s="3">
        <f t="shared" si="380"/>
        <v>8.8818218223965351E-15</v>
      </c>
      <c r="K377" s="3">
        <f t="shared" si="380"/>
        <v>4.7749712753525619E-128</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4.2864409355314166E-2</v>
      </c>
      <c r="C378" s="3">
        <f t="shared" si="381"/>
        <v>4.2864399270400706E-2</v>
      </c>
      <c r="D378" s="3">
        <f t="shared" si="381"/>
        <v>4.2864298421396628E-2</v>
      </c>
      <c r="E378" s="3">
        <f t="shared" si="381"/>
        <v>4.2863289944405671E-2</v>
      </c>
      <c r="F378" s="3">
        <f t="shared" si="381"/>
        <v>4.285320647936925E-2</v>
      </c>
      <c r="G378" s="3">
        <f t="shared" si="381"/>
        <v>4.2752502202803105E-2</v>
      </c>
      <c r="H378" s="3">
        <f t="shared" si="381"/>
        <v>4.1758384035079497E-2</v>
      </c>
      <c r="I378" s="3">
        <f t="shared" si="381"/>
        <v>3.3003890964408582E-2</v>
      </c>
      <c r="J378" s="3">
        <f t="shared" si="381"/>
        <v>3.1389163356977633E-3</v>
      </c>
      <c r="K378" s="3">
        <f t="shared" si="381"/>
        <v>1.9007530929154465E-13</v>
      </c>
      <c r="L378" s="3">
        <f t="shared" si="381"/>
        <v>1.2600429885901027E-115</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4.3714566039618381E-2</v>
      </c>
      <c r="C379" s="3">
        <f t="shared" si="382"/>
        <v>4.3714565111831687E-2</v>
      </c>
      <c r="D379" s="3">
        <f t="shared" si="382"/>
        <v>4.3714555833965808E-2</v>
      </c>
      <c r="E379" s="3">
        <f t="shared" si="382"/>
        <v>4.3714463055415306E-2</v>
      </c>
      <c r="F379" s="3">
        <f t="shared" si="382"/>
        <v>4.3713535280740318E-2</v>
      </c>
      <c r="G379" s="3">
        <f t="shared" si="382"/>
        <v>4.3704258616906806E-2</v>
      </c>
      <c r="H379" s="3">
        <f t="shared" si="382"/>
        <v>4.361160018521739E-2</v>
      </c>
      <c r="I379" s="3">
        <f t="shared" si="382"/>
        <v>4.2695752040782145E-2</v>
      </c>
      <c r="J379" s="3">
        <f t="shared" si="382"/>
        <v>3.4531156500880497E-2</v>
      </c>
      <c r="K379" s="3">
        <f t="shared" si="382"/>
        <v>4.1350016341088428E-3</v>
      </c>
      <c r="L379" s="3">
        <f t="shared" si="382"/>
        <v>2.5068093330293997E-12</v>
      </c>
      <c r="M379" s="3">
        <f t="shared" si="382"/>
        <v>1.6810377923657547E-104</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7.7757179550130354E-2</v>
      </c>
      <c r="C380" s="3">
        <f t="shared" si="383"/>
        <v>7.7757179401259716E-2</v>
      </c>
      <c r="D380" s="3">
        <f t="shared" si="383"/>
        <v>7.7757177912553307E-2</v>
      </c>
      <c r="E380" s="3">
        <f t="shared" si="383"/>
        <v>7.7757163025490739E-2</v>
      </c>
      <c r="F380" s="3">
        <f t="shared" si="383"/>
        <v>7.7757014155021897E-2</v>
      </c>
      <c r="G380" s="3">
        <f t="shared" si="383"/>
        <v>7.7755525466009542E-2</v>
      </c>
      <c r="H380" s="3">
        <f t="shared" si="383"/>
        <v>7.7740640143380904E-2</v>
      </c>
      <c r="I380" s="3">
        <f t="shared" si="383"/>
        <v>7.759194355560195E-2</v>
      </c>
      <c r="J380" s="3">
        <f t="shared" si="383"/>
        <v>7.6120531133911248E-2</v>
      </c>
      <c r="K380" s="3">
        <f t="shared" si="383"/>
        <v>6.2856993611888595E-2</v>
      </c>
      <c r="L380" s="3">
        <f t="shared" si="383"/>
        <v>9.265557573678718E-3</v>
      </c>
      <c r="M380" s="3">
        <f t="shared" si="383"/>
        <v>4.4879818911524997E-11</v>
      </c>
      <c r="N380" s="3">
        <f t="shared" si="383"/>
        <v>3.1904097574800716E-94</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9.5507274747550247E-2</v>
      </c>
      <c r="C381" s="3">
        <f t="shared" si="384"/>
        <v>9.5507274731055275E-2</v>
      </c>
      <c r="D381" s="3">
        <f t="shared" si="384"/>
        <v>9.5507274566105541E-2</v>
      </c>
      <c r="E381" s="3">
        <f t="shared" si="384"/>
        <v>9.5507272916608266E-2</v>
      </c>
      <c r="F381" s="3">
        <f t="shared" si="384"/>
        <v>9.5507256421637016E-2</v>
      </c>
      <c r="G381" s="3">
        <f t="shared" si="384"/>
        <v>9.5507091472081224E-2</v>
      </c>
      <c r="H381" s="3">
        <f t="shared" si="384"/>
        <v>9.5505441992191784E-2</v>
      </c>
      <c r="I381" s="3">
        <f t="shared" si="384"/>
        <v>9.5488948760043477E-2</v>
      </c>
      <c r="J381" s="3">
        <f t="shared" si="384"/>
        <v>9.5324173013096453E-2</v>
      </c>
      <c r="K381" s="3">
        <f t="shared" si="384"/>
        <v>9.3691973402961926E-2</v>
      </c>
      <c r="L381" s="3">
        <f t="shared" si="384"/>
        <v>7.8830773618988451E-2</v>
      </c>
      <c r="M381" s="3">
        <f t="shared" si="384"/>
        <v>1.4016184647072487E-2</v>
      </c>
      <c r="N381" s="3">
        <f t="shared" si="384"/>
        <v>4.4255782703713595E-10</v>
      </c>
      <c r="O381" s="3">
        <f t="shared" si="384"/>
        <v>4.3588526152936801E-85</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8.0030755596253778E-2</v>
      </c>
      <c r="C382" s="3">
        <f t="shared" si="385"/>
        <v>8.0030755595006914E-2</v>
      </c>
      <c r="D382" s="3">
        <f t="shared" si="385"/>
        <v>8.003075558253829E-2</v>
      </c>
      <c r="E382" s="3">
        <f t="shared" si="385"/>
        <v>8.0030755457852001E-2</v>
      </c>
      <c r="F382" s="3">
        <f t="shared" si="385"/>
        <v>8.0030754210989236E-2</v>
      </c>
      <c r="G382" s="3">
        <f t="shared" si="385"/>
        <v>8.0030741742362535E-2</v>
      </c>
      <c r="H382" s="3">
        <f t="shared" si="385"/>
        <v>8.0030617056202402E-2</v>
      </c>
      <c r="I382" s="3">
        <f t="shared" si="385"/>
        <v>8.002937020528525E-2</v>
      </c>
      <c r="J382" s="3">
        <f t="shared" si="385"/>
        <v>8.0016902764468031E-2</v>
      </c>
      <c r="K382" s="3">
        <f t="shared" si="385"/>
        <v>7.9892335130161307E-2</v>
      </c>
      <c r="L382" s="3">
        <f t="shared" si="385"/>
        <v>7.8657274879262676E-2</v>
      </c>
      <c r="M382" s="3">
        <f t="shared" si="385"/>
        <v>6.7309552744122966E-2</v>
      </c>
      <c r="N382" s="3">
        <f t="shared" si="385"/>
        <v>1.417277174447487E-2</v>
      </c>
      <c r="O382" s="3">
        <f t="shared" si="385"/>
        <v>2.4279272679954146E-9</v>
      </c>
      <c r="P382" s="3">
        <f t="shared" si="385"/>
        <v>5.2849936745616697E-77</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5.3976889971705078E-2</v>
      </c>
      <c r="C383" s="3">
        <f t="shared" si="386"/>
        <v>5.3976889971629215E-2</v>
      </c>
      <c r="D383" s="3">
        <f t="shared" si="386"/>
        <v>5.3976889970870613E-2</v>
      </c>
      <c r="E383" s="3">
        <f t="shared" si="386"/>
        <v>5.3976889963284556E-2</v>
      </c>
      <c r="F383" s="3">
        <f t="shared" si="386"/>
        <v>5.3976889887423968E-2</v>
      </c>
      <c r="G383" s="3">
        <f t="shared" si="386"/>
        <v>5.3976889128818109E-2</v>
      </c>
      <c r="H383" s="3">
        <f t="shared" si="386"/>
        <v>5.3976881542760126E-2</v>
      </c>
      <c r="I383" s="3">
        <f t="shared" si="386"/>
        <v>5.3976805682238865E-2</v>
      </c>
      <c r="J383" s="3">
        <f t="shared" si="386"/>
        <v>5.3976047082890138E-2</v>
      </c>
      <c r="K383" s="3">
        <f t="shared" si="386"/>
        <v>5.3968461675759978E-2</v>
      </c>
      <c r="L383" s="3">
        <f t="shared" si="386"/>
        <v>5.3892666209680903E-2</v>
      </c>
      <c r="M383" s="3">
        <f t="shared" si="386"/>
        <v>5.3140541710188199E-2</v>
      </c>
      <c r="N383" s="3">
        <f t="shared" si="386"/>
        <v>4.6173101952397988E-2</v>
      </c>
      <c r="O383" s="3">
        <f t="shared" si="386"/>
        <v>1.1324519858647231E-2</v>
      </c>
      <c r="P383" s="3">
        <f t="shared" si="386"/>
        <v>8.9192278016107458E-9</v>
      </c>
      <c r="Q383" s="3">
        <f t="shared" si="386"/>
        <v>8.192224419396756E-70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2.9623895965476887E-2</v>
      </c>
      <c r="C384" s="3">
        <f t="shared" si="387"/>
        <v>2.9623895965473129E-2</v>
      </c>
      <c r="D384" s="3">
        <f t="shared" si="387"/>
        <v>2.9623895965435573E-2</v>
      </c>
      <c r="E384" s="3">
        <f t="shared" si="387"/>
        <v>2.9623895965059995E-2</v>
      </c>
      <c r="F384" s="3">
        <f t="shared" si="387"/>
        <v>2.9623895961304245E-2</v>
      </c>
      <c r="G384" s="3">
        <f t="shared" si="387"/>
        <v>2.9623895923746708E-2</v>
      </c>
      <c r="H384" s="3">
        <f t="shared" si="387"/>
        <v>2.9623895548171342E-2</v>
      </c>
      <c r="I384" s="3">
        <f t="shared" si="387"/>
        <v>2.9623891792417943E-2</v>
      </c>
      <c r="J384" s="3">
        <f t="shared" si="387"/>
        <v>2.9623854234910152E-2</v>
      </c>
      <c r="K384" s="3">
        <f t="shared" si="387"/>
        <v>2.962347866245111E-2</v>
      </c>
      <c r="L384" s="3">
        <f t="shared" si="387"/>
        <v>2.9619723199734514E-2</v>
      </c>
      <c r="M384" s="3">
        <f t="shared" si="387"/>
        <v>2.9582194747670546E-2</v>
      </c>
      <c r="N384" s="3">
        <f t="shared" si="387"/>
        <v>2.9209515500267638E-2</v>
      </c>
      <c r="O384" s="3">
        <f t="shared" si="387"/>
        <v>2.5731432753459335E-2</v>
      </c>
      <c r="P384" s="3">
        <f t="shared" si="387"/>
        <v>7.2420267356592622E-3</v>
      </c>
      <c r="Q384" s="3">
        <f t="shared" si="387"/>
        <v>2.2585082069007393E-8</v>
      </c>
      <c r="R384" s="3">
        <f t="shared" si="387"/>
        <v>1.9653376112084314E-63</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1.5005107194779786E-2</v>
      </c>
      <c r="C385" s="3">
        <f t="shared" si="388"/>
        <v>1.5005107194779616E-2</v>
      </c>
      <c r="D385" s="3">
        <f t="shared" si="388"/>
        <v>1.5005107194777897E-2</v>
      </c>
      <c r="E385" s="3">
        <f t="shared" si="388"/>
        <v>1.5005107194760737E-2</v>
      </c>
      <c r="F385" s="3">
        <f t="shared" si="388"/>
        <v>1.5005107194589128E-2</v>
      </c>
      <c r="G385" s="3">
        <f t="shared" si="388"/>
        <v>1.5005107192873035E-2</v>
      </c>
      <c r="H385" s="3">
        <f t="shared" si="388"/>
        <v>1.5005107175712115E-2</v>
      </c>
      <c r="I385" s="3">
        <f t="shared" si="388"/>
        <v>1.5005107004102894E-2</v>
      </c>
      <c r="J385" s="3">
        <f t="shared" si="388"/>
        <v>1.5005105288010795E-2</v>
      </c>
      <c r="K385" s="3">
        <f t="shared" si="388"/>
        <v>1.5005088127100611E-2</v>
      </c>
      <c r="L385" s="3">
        <f t="shared" si="388"/>
        <v>1.5004916519078221E-2</v>
      </c>
      <c r="M385" s="3">
        <f t="shared" si="388"/>
        <v>1.5003200546794817E-2</v>
      </c>
      <c r="N385" s="3">
        <f t="shared" si="388"/>
        <v>1.4986051613444235E-2</v>
      </c>
      <c r="O385" s="3">
        <f t="shared" si="388"/>
        <v>1.4815636676554335E-2</v>
      </c>
      <c r="P385" s="3">
        <f t="shared" si="388"/>
        <v>1.3214516327031481E-2</v>
      </c>
      <c r="Q385" s="3">
        <f t="shared" si="388"/>
        <v>4.210762996616435E-3</v>
      </c>
      <c r="R385" s="3">
        <f t="shared" si="388"/>
        <v>4.5441855560030624E-8</v>
      </c>
      <c r="S385" s="3">
        <f t="shared" si="388"/>
        <v>9.7366295869047866E-58</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4.0905508263932872E-3</v>
      </c>
      <c r="C386" s="3">
        <f t="shared" si="389"/>
        <v>4.0905508263932838E-3</v>
      </c>
      <c r="D386" s="3">
        <f t="shared" si="389"/>
        <v>4.0905508263932413E-3</v>
      </c>
      <c r="E386" s="3">
        <f t="shared" si="389"/>
        <v>4.0905508263928188E-3</v>
      </c>
      <c r="F386" s="3">
        <f t="shared" si="389"/>
        <v>4.0905508263885991E-3</v>
      </c>
      <c r="G386" s="3">
        <f t="shared" si="389"/>
        <v>4.0905508263463976E-3</v>
      </c>
      <c r="H386" s="3">
        <f t="shared" si="389"/>
        <v>4.0905508259243802E-3</v>
      </c>
      <c r="I386" s="3">
        <f t="shared" si="389"/>
        <v>4.0905508217042108E-3</v>
      </c>
      <c r="J386" s="3">
        <f t="shared" si="389"/>
        <v>4.0905507795025156E-3</v>
      </c>
      <c r="K386" s="3">
        <f t="shared" si="389"/>
        <v>4.0905503574855829E-3</v>
      </c>
      <c r="L386" s="3">
        <f t="shared" si="389"/>
        <v>4.0905461373186526E-3</v>
      </c>
      <c r="M386" s="3">
        <f t="shared" si="389"/>
        <v>4.0905039358888184E-3</v>
      </c>
      <c r="N386" s="3">
        <f t="shared" si="389"/>
        <v>4.0900819455358802E-3</v>
      </c>
      <c r="O386" s="3">
        <f t="shared" si="389"/>
        <v>4.0858644356337372E-3</v>
      </c>
      <c r="P386" s="3">
        <f t="shared" si="389"/>
        <v>4.0439277881458213E-3</v>
      </c>
      <c r="Q386" s="3">
        <f t="shared" si="389"/>
        <v>3.6475208158288155E-3</v>
      </c>
      <c r="R386" s="3">
        <f t="shared" si="389"/>
        <v>1.2999949065786991E-3</v>
      </c>
      <c r="S386" s="3">
        <f t="shared" si="389"/>
        <v>4.2991279211951027E-8</v>
      </c>
      <c r="T386" s="3">
        <f t="shared" si="389"/>
        <v>6.7261653368641768E-53</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4.6207327982835155E-3</v>
      </c>
      <c r="C387" s="3">
        <f t="shared" si="390"/>
        <v>4.6207327982835137E-3</v>
      </c>
      <c r="D387" s="3">
        <f t="shared" si="390"/>
        <v>4.6207327982835007E-3</v>
      </c>
      <c r="E387" s="3">
        <f t="shared" si="390"/>
        <v>4.6207327982833689E-3</v>
      </c>
      <c r="F387" s="3">
        <f t="shared" si="390"/>
        <v>4.6207327982820505E-3</v>
      </c>
      <c r="G387" s="3">
        <f t="shared" si="390"/>
        <v>4.6207327982688657E-3</v>
      </c>
      <c r="H387" s="3">
        <f t="shared" si="390"/>
        <v>4.6207327981370181E-3</v>
      </c>
      <c r="I387" s="3">
        <f t="shared" si="390"/>
        <v>4.6207327968185441E-3</v>
      </c>
      <c r="J387" s="3">
        <f t="shared" si="390"/>
        <v>4.6207327836337957E-3</v>
      </c>
      <c r="K387" s="3">
        <f t="shared" si="390"/>
        <v>4.62073265178632E-3</v>
      </c>
      <c r="L387" s="3">
        <f t="shared" si="390"/>
        <v>4.6207313333117674E-3</v>
      </c>
      <c r="M387" s="3">
        <f t="shared" si="390"/>
        <v>4.6207181485869364E-3</v>
      </c>
      <c r="N387" s="3">
        <f t="shared" si="390"/>
        <v>4.6205863034077697E-3</v>
      </c>
      <c r="O387" s="3">
        <f t="shared" si="390"/>
        <v>4.619268058508502E-3</v>
      </c>
      <c r="P387" s="3">
        <f t="shared" si="390"/>
        <v>4.6061062769301052E-3</v>
      </c>
      <c r="Q387" s="3">
        <f t="shared" si="390"/>
        <v>4.4765335484066677E-3</v>
      </c>
      <c r="R387" s="3">
        <f t="shared" si="390"/>
        <v>3.3652763759853799E-3</v>
      </c>
      <c r="S387" s="3">
        <f t="shared" si="390"/>
        <v>1.9400354649961178E-4</v>
      </c>
      <c r="T387" s="3">
        <f t="shared" si="390"/>
        <v>7.8650048136998387E-17</v>
      </c>
      <c r="U387" s="3">
        <f t="shared" si="390"/>
        <v>9.4317488718048261E-141</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2.0598839061917876E-3</v>
      </c>
      <c r="C388" s="3">
        <f t="shared" si="391"/>
        <v>2.0598839061917876E-3</v>
      </c>
      <c r="D388" s="3">
        <f t="shared" si="391"/>
        <v>2.0598839061917867E-3</v>
      </c>
      <c r="E388" s="3">
        <f t="shared" si="391"/>
        <v>2.0598839061917811E-3</v>
      </c>
      <c r="F388" s="3">
        <f t="shared" si="391"/>
        <v>2.0598839061917221E-3</v>
      </c>
      <c r="G388" s="3">
        <f t="shared" si="391"/>
        <v>2.0598839061911345E-3</v>
      </c>
      <c r="H388" s="3">
        <f t="shared" si="391"/>
        <v>2.0598839061852568E-3</v>
      </c>
      <c r="I388" s="3">
        <f t="shared" si="391"/>
        <v>2.0598839061264805E-3</v>
      </c>
      <c r="J388" s="3">
        <f t="shared" si="391"/>
        <v>2.0598839055387154E-3</v>
      </c>
      <c r="K388" s="3">
        <f t="shared" si="391"/>
        <v>2.0598838996610655E-3</v>
      </c>
      <c r="L388" s="3">
        <f t="shared" si="391"/>
        <v>2.059883840884567E-3</v>
      </c>
      <c r="M388" s="3">
        <f t="shared" si="391"/>
        <v>2.0598832531196756E-3</v>
      </c>
      <c r="N388" s="3">
        <f t="shared" si="391"/>
        <v>2.0598773754799868E-3</v>
      </c>
      <c r="O388" s="3">
        <f t="shared" si="391"/>
        <v>2.0598186000055046E-3</v>
      </c>
      <c r="P388" s="3">
        <f t="shared" si="391"/>
        <v>2.0592309374915783E-3</v>
      </c>
      <c r="Q388" s="3">
        <f t="shared" si="391"/>
        <v>2.0533635257121694E-3</v>
      </c>
      <c r="R388" s="3">
        <f t="shared" si="391"/>
        <v>1.9956010906572934E-3</v>
      </c>
      <c r="S388" s="3">
        <f t="shared" si="391"/>
        <v>1.5002119684035392E-3</v>
      </c>
      <c r="T388" s="3">
        <f t="shared" si="391"/>
        <v>8.6485153031815826E-5</v>
      </c>
      <c r="U388" s="3">
        <f t="shared" si="391"/>
        <v>3.5061531460723056E-17</v>
      </c>
      <c r="V388" s="3">
        <f t="shared" si="391"/>
        <v>4.2045944997058549E-141</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2.0793314772124174E-3</v>
      </c>
      <c r="C389" s="3">
        <f t="shared" si="392"/>
        <v>2.0793314772124174E-3</v>
      </c>
      <c r="D389" s="3">
        <f t="shared" si="392"/>
        <v>2.0793314772124174E-3</v>
      </c>
      <c r="E389" s="3">
        <f t="shared" si="392"/>
        <v>2.0793314772124165E-3</v>
      </c>
      <c r="F389" s="3">
        <f t="shared" si="392"/>
        <v>2.0793314772124109E-3</v>
      </c>
      <c r="G389" s="3">
        <f t="shared" si="392"/>
        <v>2.0793314772123515E-3</v>
      </c>
      <c r="H389" s="3">
        <f t="shared" si="392"/>
        <v>2.0793314772117582E-3</v>
      </c>
      <c r="I389" s="3">
        <f t="shared" si="392"/>
        <v>2.079331477205825E-3</v>
      </c>
      <c r="J389" s="3">
        <f t="shared" si="392"/>
        <v>2.0793314771464936E-3</v>
      </c>
      <c r="K389" s="3">
        <f t="shared" si="392"/>
        <v>2.0793314765531795E-3</v>
      </c>
      <c r="L389" s="3">
        <f t="shared" si="392"/>
        <v>2.079331470620038E-3</v>
      </c>
      <c r="M389" s="3">
        <f t="shared" si="392"/>
        <v>2.0793314112886249E-3</v>
      </c>
      <c r="N389" s="3">
        <f t="shared" si="392"/>
        <v>2.079330817974586E-3</v>
      </c>
      <c r="O389" s="3">
        <f t="shared" si="392"/>
        <v>2.0793248848435101E-3</v>
      </c>
      <c r="P389" s="3">
        <f t="shared" si="392"/>
        <v>2.0792655544638649E-3</v>
      </c>
      <c r="Q389" s="3">
        <f t="shared" si="392"/>
        <v>2.078672343769072E-3</v>
      </c>
      <c r="R389" s="3">
        <f t="shared" si="392"/>
        <v>2.0727495371652537E-3</v>
      </c>
      <c r="S389" s="3">
        <f t="shared" si="392"/>
        <v>2.0144417611546676E-3</v>
      </c>
      <c r="T389" s="3">
        <f t="shared" si="392"/>
        <v>1.5143756204005418E-3</v>
      </c>
      <c r="U389" s="3">
        <f t="shared" si="392"/>
        <v>8.7301668055191946E-5</v>
      </c>
      <c r="V389" s="3">
        <f t="shared" si="392"/>
        <v>3.5392550903675577E-17</v>
      </c>
      <c r="W389" s="3">
        <f t="shared" si="392"/>
        <v>4.2442904990290156E-141</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v>
      </c>
      <c r="C390" s="3">
        <f t="shared" si="393"/>
        <v>0</v>
      </c>
      <c r="D390" s="3">
        <f t="shared" si="393"/>
        <v>0</v>
      </c>
      <c r="E390" s="3">
        <f t="shared" si="393"/>
        <v>0</v>
      </c>
      <c r="F390" s="3">
        <f t="shared" si="393"/>
        <v>0</v>
      </c>
      <c r="G390" s="3">
        <f t="shared" si="393"/>
        <v>0</v>
      </c>
      <c r="H390" s="3">
        <f t="shared" si="393"/>
        <v>0</v>
      </c>
      <c r="I390" s="3">
        <f t="shared" si="393"/>
        <v>0</v>
      </c>
      <c r="J390" s="3">
        <f t="shared" si="393"/>
        <v>0</v>
      </c>
      <c r="K390" s="3">
        <f t="shared" si="393"/>
        <v>0</v>
      </c>
      <c r="L390" s="3">
        <f t="shared" si="393"/>
        <v>0</v>
      </c>
      <c r="M390" s="3">
        <f t="shared" si="393"/>
        <v>0</v>
      </c>
      <c r="N390" s="3">
        <f t="shared" si="393"/>
        <v>0</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2.538048611821601E-3</v>
      </c>
      <c r="C391" s="3">
        <f t="shared" si="394"/>
        <v>2.538048611821601E-3</v>
      </c>
      <c r="D391" s="3">
        <f t="shared" si="394"/>
        <v>2.538048611821601E-3</v>
      </c>
      <c r="E391" s="3">
        <f t="shared" si="394"/>
        <v>2.538048611821601E-3</v>
      </c>
      <c r="F391" s="3">
        <f t="shared" si="394"/>
        <v>2.538048611821601E-3</v>
      </c>
      <c r="G391" s="3">
        <f t="shared" si="394"/>
        <v>2.5380486118216001E-3</v>
      </c>
      <c r="H391" s="3">
        <f t="shared" si="394"/>
        <v>2.5380486118215927E-3</v>
      </c>
      <c r="I391" s="3">
        <f t="shared" si="394"/>
        <v>2.5380486118215203E-3</v>
      </c>
      <c r="J391" s="3">
        <f t="shared" si="394"/>
        <v>2.5380486118207961E-3</v>
      </c>
      <c r="K391" s="3">
        <f t="shared" si="394"/>
        <v>2.538048611813554E-3</v>
      </c>
      <c r="L391" s="3">
        <f t="shared" si="394"/>
        <v>2.5380486117411341E-3</v>
      </c>
      <c r="M391" s="3">
        <f t="shared" si="394"/>
        <v>2.53804861101693E-3</v>
      </c>
      <c r="N391" s="3">
        <f t="shared" si="394"/>
        <v>2.5380486037748901E-3</v>
      </c>
      <c r="O391" s="3">
        <f t="shared" si="394"/>
        <v>2.5380485313544932E-3</v>
      </c>
      <c r="P391" s="3">
        <f t="shared" si="394"/>
        <v>2.5380478071506379E-3</v>
      </c>
      <c r="Q391" s="3">
        <f t="shared" si="394"/>
        <v>2.5380405651234499E-3</v>
      </c>
      <c r="R391" s="3">
        <f t="shared" si="394"/>
        <v>2.5379681459880943E-3</v>
      </c>
      <c r="S391" s="3">
        <f t="shared" si="394"/>
        <v>2.5372440682751673E-3</v>
      </c>
      <c r="T391" s="3">
        <f t="shared" si="394"/>
        <v>2.5300146432202155E-3</v>
      </c>
      <c r="U391" s="3">
        <f t="shared" si="394"/>
        <v>2.4588437060301207E-3</v>
      </c>
      <c r="V391" s="3">
        <f t="shared" si="394"/>
        <v>1.8484589798480823E-3</v>
      </c>
      <c r="W391" s="3">
        <f t="shared" si="394"/>
        <v>1.0656111343740057E-4</v>
      </c>
      <c r="X391" s="3">
        <f t="shared" si="394"/>
        <v>4.3200430366361747E-17</v>
      </c>
      <c r="Y391" s="3">
        <f t="shared" si="394"/>
        <v>5.1806148886225657E-141</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1.186723127453265E-7</v>
      </c>
      <c r="C392" s="3">
        <f t="shared" si="395"/>
        <v>1.186723127453265E-7</v>
      </c>
      <c r="D392" s="3">
        <f t="shared" si="395"/>
        <v>1.186723127453265E-7</v>
      </c>
      <c r="E392" s="3">
        <f t="shared" si="395"/>
        <v>1.186723127453265E-7</v>
      </c>
      <c r="F392" s="3">
        <f t="shared" si="395"/>
        <v>1.186723127453265E-7</v>
      </c>
      <c r="G392" s="3">
        <f t="shared" si="395"/>
        <v>1.186723127453265E-7</v>
      </c>
      <c r="H392" s="3">
        <f t="shared" si="395"/>
        <v>1.1867231274532646E-7</v>
      </c>
      <c r="I392" s="3">
        <f t="shared" si="395"/>
        <v>1.1867231274532611E-7</v>
      </c>
      <c r="J392" s="3">
        <f t="shared" si="395"/>
        <v>1.1867231274532273E-7</v>
      </c>
      <c r="K392" s="3">
        <f t="shared" si="395"/>
        <v>1.1867231274528887E-7</v>
      </c>
      <c r="L392" s="3">
        <f t="shared" si="395"/>
        <v>1.1867231274495026E-7</v>
      </c>
      <c r="M392" s="3">
        <f t="shared" si="395"/>
        <v>1.1867231274156407E-7</v>
      </c>
      <c r="N392" s="3">
        <f t="shared" si="395"/>
        <v>1.1867231270770225E-7</v>
      </c>
      <c r="O392" s="3">
        <f t="shared" si="395"/>
        <v>1.1867231236908398E-7</v>
      </c>
      <c r="P392" s="3">
        <f t="shared" si="395"/>
        <v>1.1867230898290141E-7</v>
      </c>
      <c r="Q392" s="3">
        <f t="shared" si="395"/>
        <v>1.1867227512108093E-7</v>
      </c>
      <c r="R392" s="3">
        <f t="shared" si="395"/>
        <v>1.1867193650340776E-7</v>
      </c>
      <c r="S392" s="3">
        <f t="shared" si="395"/>
        <v>1.1866855037981673E-7</v>
      </c>
      <c r="T392" s="3">
        <f t="shared" si="395"/>
        <v>1.1863469445743599E-7</v>
      </c>
      <c r="U392" s="3">
        <f t="shared" si="395"/>
        <v>1.1829666602602846E-7</v>
      </c>
      <c r="V392" s="3">
        <f t="shared" si="395"/>
        <v>1.1496890481717632E-7</v>
      </c>
      <c r="W392" s="3">
        <f t="shared" si="395"/>
        <v>8.6428960080476825E-8</v>
      </c>
      <c r="X392" s="3">
        <f t="shared" si="395"/>
        <v>4.9825104694339436E-9</v>
      </c>
      <c r="Y392" s="3">
        <f t="shared" si="395"/>
        <v>2.0199356936233241E-21</v>
      </c>
      <c r="Z392" s="3">
        <f t="shared" si="395"/>
        <v>2.4223158981752624E-145</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1.5301760835243074E-4</v>
      </c>
      <c r="C393" s="3">
        <f t="shared" si="396"/>
        <v>1.5301760835243074E-4</v>
      </c>
      <c r="D393" s="3">
        <f t="shared" si="396"/>
        <v>1.5301760835243074E-4</v>
      </c>
      <c r="E393" s="3">
        <f t="shared" si="396"/>
        <v>1.5301760835243074E-4</v>
      </c>
      <c r="F393" s="3">
        <f t="shared" si="396"/>
        <v>1.5301760835243074E-4</v>
      </c>
      <c r="G393" s="3">
        <f t="shared" si="396"/>
        <v>1.5301760835243074E-4</v>
      </c>
      <c r="H393" s="3">
        <f t="shared" si="396"/>
        <v>1.5301760835243074E-4</v>
      </c>
      <c r="I393" s="3">
        <f t="shared" si="396"/>
        <v>1.5301760835243069E-4</v>
      </c>
      <c r="J393" s="3">
        <f t="shared" si="396"/>
        <v>1.5301760835243026E-4</v>
      </c>
      <c r="K393" s="3">
        <f t="shared" si="396"/>
        <v>1.5301760835242589E-4</v>
      </c>
      <c r="L393" s="3">
        <f t="shared" si="396"/>
        <v>1.5301760835238223E-4</v>
      </c>
      <c r="M393" s="3">
        <f t="shared" si="396"/>
        <v>1.5301760835194562E-4</v>
      </c>
      <c r="N393" s="3">
        <f t="shared" si="396"/>
        <v>1.5301760834757943E-4</v>
      </c>
      <c r="O393" s="3">
        <f t="shared" si="396"/>
        <v>1.5301760830391755E-4</v>
      </c>
      <c r="P393" s="3">
        <f t="shared" si="396"/>
        <v>1.5301760786729879E-4</v>
      </c>
      <c r="Q393" s="3">
        <f t="shared" si="396"/>
        <v>1.5301760350111136E-4</v>
      </c>
      <c r="R393" s="3">
        <f t="shared" si="396"/>
        <v>1.5301755983924398E-4</v>
      </c>
      <c r="S393" s="3">
        <f t="shared" si="396"/>
        <v>1.5301712322125536E-4</v>
      </c>
      <c r="T393" s="3">
        <f t="shared" si="396"/>
        <v>1.5301275710988954E-4</v>
      </c>
      <c r="U393" s="3">
        <f t="shared" si="396"/>
        <v>1.5296910284756483E-4</v>
      </c>
      <c r="V393" s="3">
        <f t="shared" si="396"/>
        <v>1.5253324463487366E-4</v>
      </c>
      <c r="W393" s="3">
        <f t="shared" si="396"/>
        <v>1.4824238647624557E-4</v>
      </c>
      <c r="X393" s="3">
        <f t="shared" si="396"/>
        <v>1.1144261418654371E-4</v>
      </c>
      <c r="Y393" s="3">
        <f t="shared" si="396"/>
        <v>6.4245131655930758E-6</v>
      </c>
      <c r="Z393" s="3">
        <f t="shared" si="396"/>
        <v>2.6045310967121239E-18</v>
      </c>
      <c r="AA393" s="3">
        <f t="shared" si="396"/>
        <v>3.1233653144376411E-142</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1.8120582087099855E-4</v>
      </c>
      <c r="C394" s="3">
        <f t="shared" si="397"/>
        <v>1.8120582087099855E-4</v>
      </c>
      <c r="D394" s="3">
        <f t="shared" si="397"/>
        <v>1.8120582087099855E-4</v>
      </c>
      <c r="E394" s="3">
        <f t="shared" si="397"/>
        <v>1.8120582087099855E-4</v>
      </c>
      <c r="F394" s="3">
        <f t="shared" si="397"/>
        <v>1.8120582087099855E-4</v>
      </c>
      <c r="G394" s="3">
        <f t="shared" si="397"/>
        <v>1.8120582087099855E-4</v>
      </c>
      <c r="H394" s="3">
        <f t="shared" si="397"/>
        <v>1.8120582087099855E-4</v>
      </c>
      <c r="I394" s="3">
        <f t="shared" si="397"/>
        <v>1.8120582087099855E-4</v>
      </c>
      <c r="J394" s="3">
        <f t="shared" si="397"/>
        <v>1.8120582087099849E-4</v>
      </c>
      <c r="K394" s="3">
        <f t="shared" si="397"/>
        <v>1.8120582087099795E-4</v>
      </c>
      <c r="L394" s="3">
        <f t="shared" si="397"/>
        <v>1.812058208709928E-4</v>
      </c>
      <c r="M394" s="3">
        <f t="shared" si="397"/>
        <v>1.8120582087094108E-4</v>
      </c>
      <c r="N394" s="3">
        <f t="shared" si="397"/>
        <v>1.8120582087042403E-4</v>
      </c>
      <c r="O394" s="3">
        <f t="shared" si="397"/>
        <v>1.8120582086525355E-4</v>
      </c>
      <c r="P394" s="3">
        <f t="shared" si="397"/>
        <v>1.8120582081354849E-4</v>
      </c>
      <c r="Q394" s="3">
        <f t="shared" si="397"/>
        <v>1.8120582029649778E-4</v>
      </c>
      <c r="R394" s="3">
        <f t="shared" si="397"/>
        <v>1.8120581512599105E-4</v>
      </c>
      <c r="S394" s="3">
        <f t="shared" si="397"/>
        <v>1.8120576342093168E-4</v>
      </c>
      <c r="T394" s="3">
        <f t="shared" si="397"/>
        <v>1.8120524637114973E-4</v>
      </c>
      <c r="U394" s="3">
        <f t="shared" si="397"/>
        <v>1.81200075954473E-4</v>
      </c>
      <c r="V394" s="3">
        <f t="shared" si="397"/>
        <v>1.8114837990116097E-4</v>
      </c>
      <c r="W394" s="3">
        <f t="shared" si="397"/>
        <v>1.8063222985761719E-4</v>
      </c>
      <c r="X394" s="3">
        <f t="shared" si="397"/>
        <v>1.7555092919394183E-4</v>
      </c>
      <c r="Y394" s="3">
        <f t="shared" si="397"/>
        <v>1.3197206910443683E-4</v>
      </c>
      <c r="Z394" s="3">
        <f t="shared" si="397"/>
        <v>7.6080079567479245E-6</v>
      </c>
      <c r="AA394" s="3">
        <f t="shared" si="397"/>
        <v>3.0843260487822496E-18</v>
      </c>
      <c r="AB394" s="3">
        <f t="shared" si="397"/>
        <v>3.6987375621446684E-142</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0</v>
      </c>
      <c r="C396" s="3">
        <f t="shared" si="399"/>
        <v>0</v>
      </c>
      <c r="D396" s="3">
        <f t="shared" si="399"/>
        <v>0</v>
      </c>
      <c r="E396" s="3">
        <f t="shared" si="399"/>
        <v>0</v>
      </c>
      <c r="F396" s="3">
        <f t="shared" si="399"/>
        <v>0</v>
      </c>
      <c r="G396" s="3">
        <f t="shared" si="399"/>
        <v>0</v>
      </c>
      <c r="H396" s="3">
        <f t="shared" si="399"/>
        <v>0</v>
      </c>
      <c r="I396" s="3">
        <f t="shared" si="399"/>
        <v>0</v>
      </c>
      <c r="J396" s="3">
        <f t="shared" si="399"/>
        <v>0</v>
      </c>
      <c r="K396" s="3">
        <f t="shared" si="399"/>
        <v>0</v>
      </c>
      <c r="L396" s="3">
        <f t="shared" si="399"/>
        <v>0</v>
      </c>
      <c r="M396" s="3">
        <f t="shared" si="399"/>
        <v>0</v>
      </c>
      <c r="N396" s="3">
        <f t="shared" si="399"/>
        <v>0</v>
      </c>
      <c r="O396" s="3">
        <f t="shared" si="399"/>
        <v>0</v>
      </c>
      <c r="P396" s="3">
        <f t="shared" si="399"/>
        <v>0</v>
      </c>
      <c r="Q396" s="3">
        <f t="shared" si="399"/>
        <v>0</v>
      </c>
      <c r="R396" s="3">
        <f t="shared" si="399"/>
        <v>0</v>
      </c>
      <c r="S396" s="3">
        <f t="shared" si="399"/>
        <v>0</v>
      </c>
      <c r="T396" s="3">
        <f t="shared" si="399"/>
        <v>0</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7.564197782181098E-2</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9.18005598337234E-2</v>
      </c>
      <c r="M397" s="80">
        <f t="shared" si="400"/>
        <v>2.8233053710446859E-2</v>
      </c>
      <c r="N397" s="80">
        <f t="shared" si="400"/>
        <v>5.733909927572859E-2</v>
      </c>
      <c r="O397" s="80">
        <f t="shared" si="400"/>
        <v>0.15959072229871418</v>
      </c>
      <c r="P397" s="80">
        <f t="shared" si="400"/>
        <v>0.276774785679193</v>
      </c>
      <c r="Q397" s="80">
        <f t="shared" si="400"/>
        <v>0.36910040884825968</v>
      </c>
      <c r="R397" s="80">
        <f t="shared" si="400"/>
        <v>0.39733666655559574</v>
      </c>
      <c r="S397" s="80">
        <f t="shared" si="400"/>
        <v>0.372275895073513</v>
      </c>
      <c r="T397" s="80">
        <f t="shared" si="400"/>
        <v>0.28175551425003453</v>
      </c>
      <c r="U397" s="80">
        <f t="shared" si="400"/>
        <v>0.20548511401738814</v>
      </c>
      <c r="V397" s="80">
        <f t="shared" si="400"/>
        <v>0.10520949293354294</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16430.925421520726</v>
      </c>
      <c r="C398" s="21">
        <f t="shared" ref="C398:AF398" si="401">(C365-C364)^2</f>
        <v>30883.066282840678</v>
      </c>
      <c r="D398" s="21">
        <f t="shared" si="401"/>
        <v>28627.512771538004</v>
      </c>
      <c r="E398" s="21">
        <f t="shared" si="401"/>
        <v>28419.193580319203</v>
      </c>
      <c r="F398" s="21">
        <f t="shared" si="401"/>
        <v>28440.3820098828</v>
      </c>
      <c r="G398" s="21">
        <f t="shared" si="401"/>
        <v>35657.779118038532</v>
      </c>
      <c r="H398" s="21">
        <f t="shared" si="401"/>
        <v>39943.674281781226</v>
      </c>
      <c r="I398" s="21">
        <f t="shared" si="401"/>
        <v>50131.066659852993</v>
      </c>
      <c r="J398" s="21">
        <f t="shared" si="401"/>
        <v>57027.13674715432</v>
      </c>
      <c r="K398" s="21">
        <f t="shared" si="401"/>
        <v>69904.288497688991</v>
      </c>
      <c r="L398" s="21">
        <f t="shared" si="401"/>
        <v>32002.729466484503</v>
      </c>
      <c r="M398" s="21">
        <f t="shared" si="401"/>
        <v>1752.7367502522977</v>
      </c>
      <c r="N398" s="21">
        <f t="shared" si="401"/>
        <v>3727.4622792680875</v>
      </c>
      <c r="O398" s="21">
        <f t="shared" si="401"/>
        <v>14558.362761710105</v>
      </c>
      <c r="P398" s="21">
        <f t="shared" si="401"/>
        <v>25263.694883106706</v>
      </c>
      <c r="Q398" s="21">
        <f t="shared" si="401"/>
        <v>30397.362311390199</v>
      </c>
      <c r="R398" s="21">
        <f t="shared" si="401"/>
        <v>25865.777442931667</v>
      </c>
      <c r="S398" s="21">
        <f t="shared" si="401"/>
        <v>15333.331978724596</v>
      </c>
      <c r="T398" s="21">
        <f t="shared" si="401"/>
        <v>5792.0586667329399</v>
      </c>
      <c r="U398" s="21">
        <f t="shared" si="401"/>
        <v>2238.222691075116</v>
      </c>
      <c r="V398" s="21">
        <f t="shared" si="401"/>
        <v>438.24577824468065</v>
      </c>
      <c r="W398" s="21">
        <f t="shared" si="401"/>
        <v>283.89974892175877</v>
      </c>
      <c r="X398" s="21">
        <f t="shared" si="401"/>
        <v>96.760903151527955</v>
      </c>
      <c r="Y398" s="21">
        <f t="shared" si="401"/>
        <v>37.421062449171508</v>
      </c>
      <c r="Z398" s="21">
        <f t="shared" si="401"/>
        <v>16.036540243530972</v>
      </c>
      <c r="AA398" s="21">
        <f t="shared" si="401"/>
        <v>11.165358659802937</v>
      </c>
      <c r="AB398" s="21">
        <f t="shared" si="401"/>
        <v>6.1209732035465407</v>
      </c>
      <c r="AC398" s="21">
        <f t="shared" si="401"/>
        <v>3.6613905001555119E-2</v>
      </c>
      <c r="AD398" s="21">
        <f t="shared" si="401"/>
        <v>1.6276850151644033E-2</v>
      </c>
      <c r="AE398" s="21">
        <f t="shared" si="401"/>
        <v>0.73121077988238403</v>
      </c>
      <c r="AF398" s="21">
        <f t="shared" si="401"/>
        <v>1.4882309544416656</v>
      </c>
      <c r="AG398" s="3"/>
      <c r="AH398" s="3"/>
    </row>
    <row r="399" spans="1:34" x14ac:dyDescent="0.25">
      <c r="A399" s="71">
        <f>SUM(B399:AF399)</f>
        <v>157369.98500992093</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32002.729466484503</v>
      </c>
      <c r="M399" s="60">
        <f t="shared" ref="M399" si="412">IF($A$64&lt;=M363,IF($B$64&gt;=M363,ABS(M398),0),0)</f>
        <v>1752.7367502522977</v>
      </c>
      <c r="N399" s="60">
        <f t="shared" ref="N399" si="413">IF($A$64&lt;=N363,IF($B$64&gt;=N363,ABS(N398),0),0)</f>
        <v>3727.4622792680875</v>
      </c>
      <c r="O399" s="60">
        <f t="shared" ref="O399" si="414">IF($A$64&lt;=O363,IF($B$64&gt;=O363,ABS(O398),0),0)</f>
        <v>14558.362761710105</v>
      </c>
      <c r="P399" s="60">
        <f t="shared" ref="P399" si="415">IF($A$64&lt;=P363,IF($B$64&gt;=P363,ABS(P398),0),0)</f>
        <v>25263.694883106706</v>
      </c>
      <c r="Q399" s="60">
        <f t="shared" ref="Q399" si="416">IF($A$64&lt;=Q363,IF($B$64&gt;=Q363,ABS(Q398),0),0)</f>
        <v>30397.362311390199</v>
      </c>
      <c r="R399" s="60">
        <f t="shared" ref="R399" si="417">IF($A$64&lt;=R363,IF($B$64&gt;=R363,ABS(R398),0),0)</f>
        <v>25865.777442931667</v>
      </c>
      <c r="S399" s="60">
        <f t="shared" ref="S399" si="418">IF($A$64&lt;=S363,IF($B$64&gt;=S363,ABS(S398),0),0)</f>
        <v>15333.331978724596</v>
      </c>
      <c r="T399" s="60">
        <f t="shared" ref="T399" si="419">IF($A$64&lt;=T363,IF($B$64&gt;=T363,ABS(T398),0),0)</f>
        <v>5792.0586667329399</v>
      </c>
      <c r="U399" s="60">
        <f t="shared" ref="U399" si="420">IF($A$64&lt;=U363,IF($B$64&gt;=U363,ABS(U398),0),0)</f>
        <v>2238.222691075116</v>
      </c>
      <c r="V399" s="60">
        <f t="shared" ref="V399" si="421">IF($A$64&lt;=V363,IF($B$64&gt;=V363,ABS(V398),0),0)</f>
        <v>438.24577824468065</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-38.51735486656284</v>
      </c>
      <c r="C403" s="107">
        <f t="shared" ref="C403:H403" si="432">IF(C125=$B$2,0,C126)</f>
        <v>-28.242675164746736</v>
      </c>
      <c r="D403" s="107">
        <f t="shared" si="432"/>
        <v>-23.278137752401474</v>
      </c>
      <c r="E403" s="107">
        <f t="shared" si="432"/>
        <v>-19.200286419303232</v>
      </c>
      <c r="F403" s="107">
        <f t="shared" si="432"/>
        <v>-12.289357784876906</v>
      </c>
      <c r="G403" s="107">
        <f t="shared" si="432"/>
        <v>0</v>
      </c>
      <c r="H403" s="107">
        <f t="shared" si="432"/>
        <v>12.666793367234712</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1.871222039213402E-32</v>
      </c>
      <c r="C404" s="3">
        <f t="shared" ref="C404:H419" si="433">$A404/EXP(-C$403)</f>
        <v>5.4245288307272018E-28</v>
      </c>
      <c r="D404" s="3">
        <f t="shared" si="433"/>
        <v>7.7702183878814911E-26</v>
      </c>
      <c r="E404" s="3">
        <f t="shared" si="433"/>
        <v>4.5858680773869441E-24</v>
      </c>
      <c r="F404" s="3">
        <f t="shared" si="433"/>
        <v>4.6004437815300359E-21</v>
      </c>
      <c r="G404" s="3">
        <f t="shared" si="433"/>
        <v>1.0000000000000001E-15</v>
      </c>
      <c r="H404" s="3">
        <f t="shared" si="433"/>
        <v>3.1704321460228724E-10</v>
      </c>
      <c r="I404" s="109">
        <f>Comparison!AL3</f>
        <v>1.0000000000000001E-15</v>
      </c>
      <c r="J404" s="3">
        <f>Comparison!AM3</f>
        <v>7093.1154116431162</v>
      </c>
      <c r="K404" s="3">
        <f>Comparison!AN3</f>
        <v>7031.9211529245395</v>
      </c>
      <c r="L404" s="3">
        <f>Comparison!AO3</f>
        <v>6992.3964680806075</v>
      </c>
      <c r="M404" s="3">
        <f>Comparison!AP3</f>
        <v>6951.7769139036336</v>
      </c>
      <c r="N404" s="3">
        <f>Comparison!AQ3</f>
        <v>6840.5863197092085</v>
      </c>
      <c r="O404" s="3">
        <f>Comparison!AR3</f>
        <v>5776.5900052436255</v>
      </c>
      <c r="P404" s="3">
        <f>Comparison!AS3</f>
        <v>4536.230397827354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1.8712220392134017E-31</v>
      </c>
      <c r="C405" s="3">
        <f t="shared" si="433"/>
        <v>5.4245288307272016E-27</v>
      </c>
      <c r="D405" s="3">
        <f t="shared" si="433"/>
        <v>7.7702183878814911E-25</v>
      </c>
      <c r="E405" s="3">
        <f t="shared" si="433"/>
        <v>4.5858680773869437E-23</v>
      </c>
      <c r="F405" s="3">
        <f t="shared" si="433"/>
        <v>4.6004437815300358E-20</v>
      </c>
      <c r="G405" s="3">
        <f t="shared" si="433"/>
        <v>1E-14</v>
      </c>
      <c r="H405" s="3">
        <f t="shared" si="433"/>
        <v>3.1704321460228722E-9</v>
      </c>
      <c r="I405" s="109">
        <f>Comparison!AL4</f>
        <v>1E-14</v>
      </c>
      <c r="J405" s="3">
        <f>Comparison!AM4</f>
        <v>7093.186769557813</v>
      </c>
      <c r="K405" s="3">
        <f>Comparison!AN4</f>
        <v>7031.9907762783369</v>
      </c>
      <c r="L405" s="3">
        <f>Comparison!AO4</f>
        <v>6992.459052459466</v>
      </c>
      <c r="M405" s="3">
        <f>Comparison!AP4</f>
        <v>6950.7516447504031</v>
      </c>
      <c r="N405" s="3">
        <f>Comparison!AQ4</f>
        <v>6643.5965561721414</v>
      </c>
      <c r="O405" s="3">
        <f>Comparison!AR4</f>
        <v>5571.6920956359099</v>
      </c>
      <c r="P405" s="3">
        <f>Comparison!AS4</f>
        <v>4303.1205029931816</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1.8712220392134019E-30</v>
      </c>
      <c r="C406" s="3">
        <f t="shared" si="433"/>
        <v>5.424528830727202E-26</v>
      </c>
      <c r="D406" s="3">
        <f t="shared" si="433"/>
        <v>7.7702183878814911E-24</v>
      </c>
      <c r="E406" s="3">
        <f t="shared" si="433"/>
        <v>4.5858680773869436E-22</v>
      </c>
      <c r="F406" s="3">
        <f t="shared" si="433"/>
        <v>4.6004437815300362E-19</v>
      </c>
      <c r="G406" s="3">
        <f t="shared" si="433"/>
        <v>1E-13</v>
      </c>
      <c r="H406" s="3">
        <f t="shared" si="433"/>
        <v>3.1704321460228725E-8</v>
      </c>
      <c r="I406" s="109">
        <f>Comparison!AL5</f>
        <v>1E-13</v>
      </c>
      <c r="J406" s="3">
        <f>Comparison!AM5</f>
        <v>7093.1496241627792</v>
      </c>
      <c r="K406" s="3">
        <f>Comparison!AN5</f>
        <v>7031.9539299810422</v>
      </c>
      <c r="L406" s="3">
        <f>Comparison!AO5</f>
        <v>6992.3628853177524</v>
      </c>
      <c r="M406" s="3">
        <f>Comparison!AP5</f>
        <v>6940.1985301294053</v>
      </c>
      <c r="N406" s="3">
        <f>Comparison!AQ5</f>
        <v>6527.1577578820725</v>
      </c>
      <c r="O406" s="3">
        <f>Comparison!AR5</f>
        <v>5400.7646013667554</v>
      </c>
      <c r="P406" s="3">
        <f>Comparison!AS5</f>
        <v>4127.6064584710148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1.8712220392134017E-29</v>
      </c>
      <c r="C407" s="3">
        <f t="shared" si="433"/>
        <v>5.4245288307272013E-25</v>
      </c>
      <c r="D407" s="3">
        <f t="shared" si="433"/>
        <v>7.7702183878814908E-23</v>
      </c>
      <c r="E407" s="3">
        <f t="shared" si="433"/>
        <v>4.585868077386944E-21</v>
      </c>
      <c r="F407" s="3">
        <f t="shared" si="433"/>
        <v>4.6004437815300358E-18</v>
      </c>
      <c r="G407" s="3">
        <f t="shared" si="433"/>
        <v>9.9999999999999998E-13</v>
      </c>
      <c r="H407" s="3">
        <f t="shared" si="433"/>
        <v>3.1704321460228722E-7</v>
      </c>
      <c r="I407" s="109">
        <f>Comparison!AL6</f>
        <v>9.9999999999999998E-13</v>
      </c>
      <c r="J407" s="3">
        <f>Comparison!AM6</f>
        <v>7093.139849123485</v>
      </c>
      <c r="K407" s="3">
        <f>Comparison!AN6</f>
        <v>7031.9433621725511</v>
      </c>
      <c r="L407" s="3">
        <f>Comparison!AO6</f>
        <v>6991.7590094248426</v>
      </c>
      <c r="M407" s="3">
        <f>Comparison!AP6</f>
        <v>6859.1289652487367</v>
      </c>
      <c r="N407" s="3">
        <f>Comparison!AQ6</f>
        <v>6412.9995296962652</v>
      </c>
      <c r="O407" s="3">
        <f>Comparison!AR6</f>
        <v>5215.0678795321228</v>
      </c>
      <c r="P407" s="3">
        <f>Comparison!AS6</f>
        <v>3945.604356178083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1.8712220392134017E-28</v>
      </c>
      <c r="C408" s="3">
        <f t="shared" si="433"/>
        <v>5.4245288307272011E-24</v>
      </c>
      <c r="D408" s="3">
        <f t="shared" si="433"/>
        <v>7.7702183878814906E-22</v>
      </c>
      <c r="E408" s="3">
        <f t="shared" si="433"/>
        <v>4.5858680773869432E-20</v>
      </c>
      <c r="F408" s="3">
        <f t="shared" si="433"/>
        <v>4.6004437815300355E-17</v>
      </c>
      <c r="G408" s="3">
        <f t="shared" si="433"/>
        <v>9.9999999999999994E-12</v>
      </c>
      <c r="H408" s="3">
        <f t="shared" si="433"/>
        <v>3.1704321460228721E-6</v>
      </c>
      <c r="I408" s="109">
        <f>Comparison!AL7</f>
        <v>9.9999999999999994E-12</v>
      </c>
      <c r="J408" s="3">
        <f>Comparison!AM7</f>
        <v>7093.1370316171597</v>
      </c>
      <c r="K408" s="3">
        <f>Comparison!AN7</f>
        <v>7031.9306469370567</v>
      </c>
      <c r="L408" s="3">
        <f>Comparison!AO7</f>
        <v>6985.9675385002447</v>
      </c>
      <c r="M408" s="3">
        <f>Comparison!AP7</f>
        <v>6695.6616107202954</v>
      </c>
      <c r="N408" s="3">
        <f>Comparison!AQ7</f>
        <v>6286.8028992665704</v>
      </c>
      <c r="O408" s="3">
        <f>Comparison!AR7</f>
        <v>4985.425095489265</v>
      </c>
      <c r="P408" s="3">
        <f>Comparison!AS7</f>
        <v>3766.6240058114313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1.8712220392134018E-27</v>
      </c>
      <c r="C409" s="3">
        <f t="shared" si="433"/>
        <v>5.4245288307272013E-23</v>
      </c>
      <c r="D409" s="3">
        <f t="shared" si="433"/>
        <v>7.7702183878814908E-21</v>
      </c>
      <c r="E409" s="3">
        <f t="shared" si="433"/>
        <v>4.5858680773869442E-19</v>
      </c>
      <c r="F409" s="3">
        <f t="shared" si="433"/>
        <v>4.6004437815300355E-16</v>
      </c>
      <c r="G409" s="3">
        <f t="shared" si="433"/>
        <v>1E-10</v>
      </c>
      <c r="H409" s="3">
        <f t="shared" si="433"/>
        <v>3.1704321460228723E-5</v>
      </c>
      <c r="I409" s="109">
        <f>Comparison!AL8</f>
        <v>1E-10</v>
      </c>
      <c r="J409" s="3">
        <f>Comparison!AM8</f>
        <v>7093.1361691156708</v>
      </c>
      <c r="K409" s="3">
        <f>Comparison!AN8</f>
        <v>7031.8305090006179</v>
      </c>
      <c r="L409" s="3">
        <f>Comparison!AO8</f>
        <v>6936.0316435873456</v>
      </c>
      <c r="M409" s="3">
        <f>Comparison!AP8</f>
        <v>6579.8912612434069</v>
      </c>
      <c r="N409" s="3">
        <f>Comparison!AQ8</f>
        <v>6151.4165633211096</v>
      </c>
      <c r="O409" s="3">
        <f>Comparison!AR8</f>
        <v>4758.3350912889036</v>
      </c>
      <c r="P409" s="3">
        <f>Comparison!AS8</f>
        <v>3551.9419942460731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1.8712220392134019E-26</v>
      </c>
      <c r="C410" s="3">
        <f t="shared" si="433"/>
        <v>5.4245288307272015E-22</v>
      </c>
      <c r="D410" s="3">
        <f t="shared" si="433"/>
        <v>7.7702183878814911E-20</v>
      </c>
      <c r="E410" s="3">
        <f t="shared" si="433"/>
        <v>4.5858680773869442E-18</v>
      </c>
      <c r="F410" s="3">
        <f t="shared" si="433"/>
        <v>4.6004437815300363E-15</v>
      </c>
      <c r="G410" s="3">
        <f t="shared" si="433"/>
        <v>1.0000000000000001E-9</v>
      </c>
      <c r="H410" s="3">
        <f t="shared" si="433"/>
        <v>3.1704321460228726E-4</v>
      </c>
      <c r="I410" s="109">
        <f>Comparison!AL9</f>
        <v>1.0000000000000001E-9</v>
      </c>
      <c r="J410" s="3">
        <f>Comparison!AM9</f>
        <v>7093.1358816152215</v>
      </c>
      <c r="K410" s="3">
        <f>Comparison!AN9</f>
        <v>7030.8436925650376</v>
      </c>
      <c r="L410" s="3">
        <f>Comparison!AO9</f>
        <v>6767.3497232459458</v>
      </c>
      <c r="M410" s="3">
        <f>Comparison!AP9</f>
        <v>6466.0632255652681</v>
      </c>
      <c r="N410" s="3">
        <f>Comparison!AQ9</f>
        <v>5999.0572498672</v>
      </c>
      <c r="O410" s="3">
        <f>Comparison!AR9</f>
        <v>4565.5114420012915</v>
      </c>
      <c r="P410" s="3">
        <f>Comparison!AS9</f>
        <v>3318.4500658255338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1.8712220392134018E-25</v>
      </c>
      <c r="C411" s="3">
        <f t="shared" si="433"/>
        <v>5.4245288307272013E-21</v>
      </c>
      <c r="D411" s="3">
        <f t="shared" si="433"/>
        <v>7.7702183878814913E-19</v>
      </c>
      <c r="E411" s="3">
        <f t="shared" si="433"/>
        <v>4.585868077386944E-17</v>
      </c>
      <c r="F411" s="3">
        <f t="shared" si="433"/>
        <v>4.6004437815300357E-14</v>
      </c>
      <c r="G411" s="3">
        <f t="shared" si="433"/>
        <v>1E-8</v>
      </c>
      <c r="H411" s="3">
        <f t="shared" si="433"/>
        <v>3.1704321460228721E-3</v>
      </c>
      <c r="I411" s="109">
        <f>Comparison!AL10</f>
        <v>1E-8</v>
      </c>
      <c r="J411" s="3">
        <f>Comparison!AM10</f>
        <v>7093.135709114963</v>
      </c>
      <c r="K411" s="3">
        <f>Comparison!AN10</f>
        <v>7021.3347469085647</v>
      </c>
      <c r="L411" s="3">
        <f>Comparison!AO10</f>
        <v>6644.5309370841214</v>
      </c>
      <c r="M411" s="3">
        <f>Comparison!AP10</f>
        <v>6338.9884403076148</v>
      </c>
      <c r="N411" s="3">
        <f>Comparison!AQ10</f>
        <v>5834.1918541119712</v>
      </c>
      <c r="O411" s="3">
        <f>Comparison!AR10</f>
        <v>4384.874474223483</v>
      </c>
      <c r="P411" s="3">
        <f>Comparison!AS10</f>
        <v>3050.6755206683788</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1.8712220392134018E-24</v>
      </c>
      <c r="C412" s="3">
        <f t="shared" si="433"/>
        <v>5.4245288307272015E-20</v>
      </c>
      <c r="D412" s="3">
        <f t="shared" si="433"/>
        <v>7.7702183878814905E-18</v>
      </c>
      <c r="E412" s="3">
        <f t="shared" si="433"/>
        <v>4.5858680773869433E-16</v>
      </c>
      <c r="F412" s="3">
        <f t="shared" si="433"/>
        <v>4.6004437815300351E-13</v>
      </c>
      <c r="G412" s="3">
        <f t="shared" si="433"/>
        <v>9.9999999999999995E-8</v>
      </c>
      <c r="H412" s="3">
        <f t="shared" si="433"/>
        <v>3.1704321460228717E-2</v>
      </c>
      <c r="I412" s="109">
        <f>Comparison!AL11</f>
        <v>9.9999999999999995E-8</v>
      </c>
      <c r="J412" s="3">
        <f>Comparison!AM11</f>
        <v>7093.1355366147118</v>
      </c>
      <c r="K412" s="3">
        <f>Comparison!AN11</f>
        <v>6946.0273669032786</v>
      </c>
      <c r="L412" s="3">
        <f>Comparison!AO11</f>
        <v>6532.7504586905397</v>
      </c>
      <c r="M412" s="3">
        <f>Comparison!AP11</f>
        <v>6203.5301972004399</v>
      </c>
      <c r="N412" s="3">
        <f>Comparison!AQ11</f>
        <v>5660.667941479277</v>
      </c>
      <c r="O412" s="3">
        <f>Comparison!AR11</f>
        <v>4203.1654341512503</v>
      </c>
      <c r="P412" s="3">
        <f>Comparison!AS11</f>
        <v>2745.1346410108995</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1.8712220392134018E-23</v>
      </c>
      <c r="C413" s="3">
        <f t="shared" si="433"/>
        <v>5.4245288307272015E-19</v>
      </c>
      <c r="D413" s="3">
        <f t="shared" si="433"/>
        <v>7.7702183878814908E-17</v>
      </c>
      <c r="E413" s="3">
        <f t="shared" si="433"/>
        <v>4.5858680773869433E-15</v>
      </c>
      <c r="F413" s="3">
        <f t="shared" si="433"/>
        <v>4.6004437815300359E-12</v>
      </c>
      <c r="G413" s="3">
        <f t="shared" si="433"/>
        <v>9.9999999999999995E-7</v>
      </c>
      <c r="H413" s="3">
        <f t="shared" si="433"/>
        <v>0.31704321460228718</v>
      </c>
      <c r="I413" s="109">
        <f>Comparison!AL12</f>
        <v>9.9999999999999995E-7</v>
      </c>
      <c r="J413" s="3">
        <f>Comparison!AM12</f>
        <v>7093.1340991129555</v>
      </c>
      <c r="K413" s="3">
        <f>Comparison!AN12</f>
        <v>6777.7782322116691</v>
      </c>
      <c r="L413" s="3">
        <f>Comparison!AO12</f>
        <v>6406.2589516029093</v>
      </c>
      <c r="M413" s="3">
        <f>Comparison!AP12</f>
        <v>6050.6164561665273</v>
      </c>
      <c r="N413" s="3">
        <f>Comparison!AQ12</f>
        <v>5500.6338050295499</v>
      </c>
      <c r="O413" s="3">
        <f>Comparison!AR12</f>
        <v>4026.8171479490911</v>
      </c>
      <c r="P413" s="3">
        <f>Comparison!AS12</f>
        <v>2379.9691784471511</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1.8712220392134019E-22</v>
      </c>
      <c r="C414" s="3">
        <f t="shared" si="433"/>
        <v>5.4245288307272019E-18</v>
      </c>
      <c r="D414" s="3">
        <f t="shared" si="433"/>
        <v>7.7702183878814913E-16</v>
      </c>
      <c r="E414" s="3">
        <f t="shared" si="433"/>
        <v>4.5858680773869441E-14</v>
      </c>
      <c r="F414" s="3">
        <f t="shared" si="433"/>
        <v>4.6004437815300359E-11</v>
      </c>
      <c r="G414" s="3">
        <f t="shared" si="433"/>
        <v>1.0000000000000001E-5</v>
      </c>
      <c r="H414" s="3">
        <f t="shared" si="433"/>
        <v>3.1704321460228724</v>
      </c>
      <c r="I414" s="109">
        <f>Comparison!AL13</f>
        <v>1.0000000000000001E-5</v>
      </c>
      <c r="J414" s="3">
        <f>Comparison!AM13</f>
        <v>7093.1198391270691</v>
      </c>
      <c r="K414" s="3">
        <f>Comparison!AN13</f>
        <v>6659.4311503256295</v>
      </c>
      <c r="L414" s="3">
        <f>Comparison!AO13</f>
        <v>6273.617616065887</v>
      </c>
      <c r="M414" s="3">
        <f>Comparison!AP13</f>
        <v>5884.895018012654</v>
      </c>
      <c r="N414" s="3">
        <f>Comparison!AQ13</f>
        <v>5316.0543139142828</v>
      </c>
      <c r="O414" s="3">
        <f>Comparison!AR13</f>
        <v>3842.8247437350828</v>
      </c>
      <c r="P414" s="3">
        <f>Comparison!AS13</f>
        <v>1948.7143373862357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1.8712220392134019E-21</v>
      </c>
      <c r="C415" s="3">
        <f t="shared" si="433"/>
        <v>5.4245288307272017E-17</v>
      </c>
      <c r="D415" s="3">
        <f t="shared" si="433"/>
        <v>7.7702183878814917E-15</v>
      </c>
      <c r="E415" s="3">
        <f t="shared" si="433"/>
        <v>4.5858680773869442E-13</v>
      </c>
      <c r="F415" s="3">
        <f t="shared" si="433"/>
        <v>4.6004437815300357E-10</v>
      </c>
      <c r="G415" s="3">
        <f t="shared" si="433"/>
        <v>1E-4</v>
      </c>
      <c r="H415" s="3">
        <f t="shared" si="433"/>
        <v>31.704321460228723</v>
      </c>
      <c r="I415" s="109">
        <f>Comparison!AL14</f>
        <v>1E-4</v>
      </c>
      <c r="J415" s="3">
        <f>Comparison!AM14</f>
        <v>7092.9771274266232</v>
      </c>
      <c r="K415" s="3">
        <f>Comparison!AN14</f>
        <v>6544.645454565718</v>
      </c>
      <c r="L415" s="3">
        <f>Comparison!AO14</f>
        <v>6123.1895749079549</v>
      </c>
      <c r="M415" s="3">
        <f>Comparison!AP14</f>
        <v>5709.3519393565812</v>
      </c>
      <c r="N415" s="3">
        <f>Comparison!AQ14</f>
        <v>5094.9618199282804</v>
      </c>
      <c r="O415" s="3">
        <f>Comparison!AR14</f>
        <v>3637.9090125528774</v>
      </c>
      <c r="P415" s="3">
        <f>Comparison!AS14</f>
        <v>1482.8611668944652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1.8712220392134017E-20</v>
      </c>
      <c r="C416" s="3">
        <f t="shared" si="433"/>
        <v>5.4245288307272016E-16</v>
      </c>
      <c r="D416" s="3">
        <f t="shared" si="433"/>
        <v>7.7702183878814908E-14</v>
      </c>
      <c r="E416" s="3">
        <f t="shared" si="433"/>
        <v>4.5858680773869442E-12</v>
      </c>
      <c r="F416" s="3">
        <f t="shared" si="433"/>
        <v>4.6004437815300362E-9</v>
      </c>
      <c r="G416" s="3">
        <f t="shared" si="433"/>
        <v>1E-3</v>
      </c>
      <c r="H416" s="3">
        <f t="shared" si="433"/>
        <v>317.04321460228721</v>
      </c>
      <c r="I416" s="109">
        <f>Comparison!AL15</f>
        <v>1E-3</v>
      </c>
      <c r="J416" s="3">
        <f>Comparison!AM15</f>
        <v>7091.5625107943715</v>
      </c>
      <c r="K416" s="3">
        <f>Comparison!AN15</f>
        <v>6415.8365900058752</v>
      </c>
      <c r="L416" s="3">
        <f>Comparison!AO15</f>
        <v>5959.0875608576071</v>
      </c>
      <c r="M416" s="3">
        <f>Comparison!AP15</f>
        <v>5547.9132434192643</v>
      </c>
      <c r="N416" s="3">
        <f>Comparison!AQ15</f>
        <v>4859.6753740182503</v>
      </c>
      <c r="O416" s="3">
        <f>Comparison!AR15</f>
        <v>3407.0475124340101</v>
      </c>
      <c r="P416" s="3">
        <f>Comparison!AS15</f>
        <v>1064.7698916660522</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1.8712220392134018E-19</v>
      </c>
      <c r="C417" s="3">
        <f t="shared" si="433"/>
        <v>5.4245288307272012E-15</v>
      </c>
      <c r="D417" s="3">
        <f t="shared" si="433"/>
        <v>7.7702183878814913E-13</v>
      </c>
      <c r="E417" s="3">
        <f t="shared" si="433"/>
        <v>4.585868077386944E-11</v>
      </c>
      <c r="F417" s="3">
        <f t="shared" si="433"/>
        <v>4.6004437815300357E-8</v>
      </c>
      <c r="G417" s="3">
        <f t="shared" si="433"/>
        <v>0.01</v>
      </c>
      <c r="H417" s="3">
        <f t="shared" si="433"/>
        <v>3170.4321460228721</v>
      </c>
      <c r="I417" s="109">
        <f>Comparison!AL16</f>
        <v>0.01</v>
      </c>
      <c r="J417" s="3">
        <f>Comparison!AM16</f>
        <v>7078.0585854387473</v>
      </c>
      <c r="K417" s="3">
        <f>Comparison!AN16</f>
        <v>6279.1797519689544</v>
      </c>
      <c r="L417" s="3">
        <f>Comparison!AO16</f>
        <v>5781.2083401997561</v>
      </c>
      <c r="M417" s="3">
        <f>Comparison!AP16</f>
        <v>5364.2356794540465</v>
      </c>
      <c r="N417" s="3">
        <f>Comparison!AQ16</f>
        <v>4653.8175879978271</v>
      </c>
      <c r="O417" s="3">
        <f>Comparison!AR16</f>
        <v>3145.7192687287707</v>
      </c>
      <c r="P417" s="3">
        <f>Comparison!AS16</f>
        <v>756.04671038027936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1.8712220392134018E-18</v>
      </c>
      <c r="C418" s="3">
        <f t="shared" si="433"/>
        <v>5.4245288307272018E-14</v>
      </c>
      <c r="D418" s="3">
        <f t="shared" si="433"/>
        <v>7.7702183878814917E-12</v>
      </c>
      <c r="E418" s="3">
        <f t="shared" si="433"/>
        <v>4.585868077386944E-10</v>
      </c>
      <c r="F418" s="3">
        <f t="shared" si="433"/>
        <v>4.6004437815300362E-7</v>
      </c>
      <c r="G418" s="3">
        <f t="shared" si="433"/>
        <v>0.1</v>
      </c>
      <c r="H418" s="3">
        <f t="shared" si="433"/>
        <v>31704.321460228723</v>
      </c>
      <c r="I418" s="109">
        <f>Comparison!AL17</f>
        <v>0.1</v>
      </c>
      <c r="J418" s="3">
        <f>Comparison!AM17</f>
        <v>6980.1771345591078</v>
      </c>
      <c r="K418" s="3">
        <f>Comparison!AN17</f>
        <v>6124.6018825038309</v>
      </c>
      <c r="L418" s="3">
        <f>Comparison!AO17</f>
        <v>5618.3452185734377</v>
      </c>
      <c r="M418" s="3">
        <f>Comparison!AP17</f>
        <v>5142.9380897638539</v>
      </c>
      <c r="N418" s="3">
        <f>Comparison!AQ17</f>
        <v>4469.1753341299773</v>
      </c>
      <c r="O418" s="3">
        <f>Comparison!AR17</f>
        <v>2837.9758401657195</v>
      </c>
      <c r="P418" s="3">
        <f>Comparison!AS17</f>
        <v>574.27764486440731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1.8712220392134018E-17</v>
      </c>
      <c r="C419" s="3">
        <f t="shared" si="433"/>
        <v>5.4245288307272017E-13</v>
      </c>
      <c r="D419" s="3">
        <f t="shared" si="433"/>
        <v>7.7702183878814907E-11</v>
      </c>
      <c r="E419" s="3">
        <f t="shared" si="433"/>
        <v>4.585868077386944E-9</v>
      </c>
      <c r="F419" s="3">
        <f t="shared" si="433"/>
        <v>4.6004437815300354E-6</v>
      </c>
      <c r="G419" s="3">
        <f t="shared" si="433"/>
        <v>1</v>
      </c>
      <c r="H419" s="3">
        <f t="shared" si="433"/>
        <v>317043.21460228722</v>
      </c>
      <c r="I419" s="109">
        <f>Comparison!AL18</f>
        <v>1</v>
      </c>
      <c r="J419" s="3">
        <f>Comparison!AM18</f>
        <v>6817.7458366168885</v>
      </c>
      <c r="K419" s="3">
        <f>Comparison!AN18</f>
        <v>5956.8287989294422</v>
      </c>
      <c r="L419" s="3">
        <f>Comparison!AO18</f>
        <v>5440.9922001853329</v>
      </c>
      <c r="M419" s="3">
        <f>Comparison!AP18</f>
        <v>4901.2536857987861</v>
      </c>
      <c r="N419" s="3">
        <f>Comparison!AQ18</f>
        <v>4267.9652571239076</v>
      </c>
      <c r="O419" s="3">
        <f>Comparison!AR18</f>
        <v>2426.1662837806571</v>
      </c>
      <c r="P419" s="3">
        <f>Comparison!AS18</f>
        <v>472.36033693576201</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1.8712220392134019E-16</v>
      </c>
      <c r="C420" s="3">
        <f t="shared" si="434"/>
        <v>5.4245288307272017E-12</v>
      </c>
      <c r="D420" s="3">
        <f t="shared" si="434"/>
        <v>7.7702183878814907E-10</v>
      </c>
      <c r="E420" s="3">
        <f t="shared" si="434"/>
        <v>4.5858680773869435E-8</v>
      </c>
      <c r="F420" s="3">
        <f t="shared" si="434"/>
        <v>4.600443781530036E-5</v>
      </c>
      <c r="G420" s="3">
        <f t="shared" si="434"/>
        <v>10</v>
      </c>
      <c r="H420" s="3">
        <f t="shared" si="434"/>
        <v>3170432.1460228721</v>
      </c>
      <c r="I420" s="109">
        <f>Comparison!AL19</f>
        <v>10</v>
      </c>
      <c r="J420" s="3">
        <f>Comparison!AM19</f>
        <v>6700.2000319833087</v>
      </c>
      <c r="K420" s="3">
        <f>Comparison!AN19</f>
        <v>5777.56401011038</v>
      </c>
      <c r="L420" s="3">
        <f>Comparison!AO19</f>
        <v>5221.4874412485688</v>
      </c>
      <c r="M420" s="3">
        <f>Comparison!AP19</f>
        <v>4661.3568218837227</v>
      </c>
      <c r="N420" s="3">
        <f>Comparison!AQ19</f>
        <v>3976.7785402340392</v>
      </c>
      <c r="O420" s="3">
        <f>Comparison!AR19</f>
        <v>1854.808278855141</v>
      </c>
      <c r="P420" s="3">
        <f>Comparison!AS19</f>
        <v>404.76609252146119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1.8712220392134016E-15</v>
      </c>
      <c r="C421" s="3">
        <f t="shared" si="434"/>
        <v>5.4245288307272014E-11</v>
      </c>
      <c r="D421" s="3">
        <f t="shared" si="434"/>
        <v>7.7702183878814909E-9</v>
      </c>
      <c r="E421" s="3">
        <f t="shared" si="434"/>
        <v>4.5858680773869435E-7</v>
      </c>
      <c r="F421" s="3">
        <f t="shared" si="434"/>
        <v>4.600443781530036E-4</v>
      </c>
      <c r="G421" s="3">
        <f t="shared" si="434"/>
        <v>100</v>
      </c>
      <c r="H421" s="3">
        <f t="shared" si="434"/>
        <v>31704321.460228723</v>
      </c>
      <c r="I421" s="109">
        <f>Comparison!AL20</f>
        <v>100</v>
      </c>
      <c r="J421" s="3">
        <f>Comparison!AM20</f>
        <v>6581.4875752007347</v>
      </c>
      <c r="K421" s="3">
        <f>Comparison!AN20</f>
        <v>5602.1564627366897</v>
      </c>
      <c r="L421" s="3">
        <f>Comparison!AO20</f>
        <v>4926.1795387850607</v>
      </c>
      <c r="M421" s="3">
        <f>Comparison!AP20</f>
        <v>4298.6774546472579</v>
      </c>
      <c r="N421" s="3">
        <f>Comparison!AQ20</f>
        <v>3445.6591436468279</v>
      </c>
      <c r="O421" s="3">
        <f>Comparison!AR20</f>
        <v>1269.173844412863</v>
      </c>
      <c r="P421" s="3">
        <f>Comparison!AS20</f>
        <v>332.62382454066642</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1.8712220392134016E-14</v>
      </c>
      <c r="C422" s="3">
        <f t="shared" si="434"/>
        <v>5.424528830727201E-10</v>
      </c>
      <c r="D422" s="3">
        <f t="shared" si="434"/>
        <v>7.7702183878814913E-8</v>
      </c>
      <c r="E422" s="3">
        <f t="shared" si="434"/>
        <v>4.5858680773869438E-6</v>
      </c>
      <c r="F422" s="3">
        <f t="shared" si="434"/>
        <v>4.6004437815300361E-3</v>
      </c>
      <c r="G422" s="3">
        <f t="shared" si="434"/>
        <v>1000</v>
      </c>
      <c r="H422" s="3">
        <f t="shared" si="434"/>
        <v>317043214.60228723</v>
      </c>
      <c r="I422" s="109">
        <f>Comparison!AL21</f>
        <v>1000</v>
      </c>
      <c r="J422" s="3">
        <f>Comparison!AM21</f>
        <v>6449.3747740231202</v>
      </c>
      <c r="K422" s="3">
        <f>Comparison!AN21</f>
        <v>5348.811853446321</v>
      </c>
      <c r="L422" s="3">
        <f>Comparison!AO21</f>
        <v>4442.9821588725517</v>
      </c>
      <c r="M422" s="3">
        <f>Comparison!AP21</f>
        <v>3673.7236771243274</v>
      </c>
      <c r="N422" s="3">
        <f>Comparison!AQ21</f>
        <v>2839.3657389117534</v>
      </c>
      <c r="O422" s="3">
        <f>Comparison!AR21</f>
        <v>808.20803145416335</v>
      </c>
      <c r="P422" s="3">
        <f>Comparison!AS21</f>
        <v>270.11210763785351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1.8712220392134019E-13</v>
      </c>
      <c r="C423" s="3">
        <f t="shared" si="434"/>
        <v>5.4245288307272014E-9</v>
      </c>
      <c r="D423" s="3">
        <f t="shared" si="434"/>
        <v>7.7702183878814907E-7</v>
      </c>
      <c r="E423" s="3">
        <f t="shared" si="434"/>
        <v>4.585868077386944E-5</v>
      </c>
      <c r="F423" s="3">
        <f t="shared" si="434"/>
        <v>4.6004437815300357E-2</v>
      </c>
      <c r="G423" s="3">
        <f t="shared" si="434"/>
        <v>10000</v>
      </c>
      <c r="H423" s="3">
        <f t="shared" si="434"/>
        <v>3170432146.022872</v>
      </c>
      <c r="I423" s="109">
        <f>Comparison!AL22</f>
        <v>10000</v>
      </c>
      <c r="J423" s="3">
        <f>Comparison!AM22</f>
        <v>6289.3605252793404</v>
      </c>
      <c r="K423" s="3">
        <f>Comparison!AN22</f>
        <v>4793.3449045957559</v>
      </c>
      <c r="L423" s="3">
        <f>Comparison!AO22</f>
        <v>3752.7744100380223</v>
      </c>
      <c r="M423" s="3">
        <f>Comparison!AP22</f>
        <v>3055.9581241953465</v>
      </c>
      <c r="N423" s="3">
        <f>Comparison!AQ22</f>
        <v>2338.5721090290958</v>
      </c>
      <c r="O423" s="3">
        <f>Comparison!AR22</f>
        <v>509.02880387480866</v>
      </c>
      <c r="P423" s="3">
        <f>Comparison!AS22</f>
        <v>230.23496622900356</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1.8712220392134018E-12</v>
      </c>
      <c r="C424" s="3">
        <f t="shared" si="434"/>
        <v>5.4245288307272014E-8</v>
      </c>
      <c r="D424" s="3">
        <f t="shared" si="434"/>
        <v>7.7702183878814907E-6</v>
      </c>
      <c r="E424" s="3">
        <f t="shared" si="434"/>
        <v>4.5858680773869437E-4</v>
      </c>
      <c r="F424" s="3">
        <f t="shared" si="434"/>
        <v>0.46004437815300359</v>
      </c>
      <c r="G424" s="3">
        <f t="shared" si="434"/>
        <v>100000</v>
      </c>
      <c r="H424" s="3">
        <f t="shared" si="434"/>
        <v>31704321460.228722</v>
      </c>
      <c r="I424" s="109">
        <f>Comparison!AL23</f>
        <v>100000</v>
      </c>
      <c r="J424" s="3">
        <f>Comparison!AM23</f>
        <v>6015.8011652173718</v>
      </c>
      <c r="K424" s="3">
        <f>Comparison!AN23</f>
        <v>4005.8829435497059</v>
      </c>
      <c r="L424" s="3">
        <f>Comparison!AO23</f>
        <v>3130.6377978974938</v>
      </c>
      <c r="M424" s="3">
        <f>Comparison!AP23</f>
        <v>2586.4007874245467</v>
      </c>
      <c r="N424" s="3">
        <f>Comparison!AQ23</f>
        <v>1960.3272335044344</v>
      </c>
      <c r="O424" s="3">
        <f>Comparison!AR23</f>
        <v>344.05387649356049</v>
      </c>
      <c r="P424" s="3">
        <f>Comparison!AS23</f>
        <v>198.97748766430533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1.8712220392134018E-11</v>
      </c>
      <c r="C425" s="3">
        <f t="shared" si="434"/>
        <v>5.4245288307272018E-7</v>
      </c>
      <c r="D425" s="3">
        <f t="shared" si="434"/>
        <v>7.7702183878814907E-5</v>
      </c>
      <c r="E425" s="3">
        <f t="shared" si="434"/>
        <v>4.585868077386944E-3</v>
      </c>
      <c r="F425" s="3">
        <f t="shared" si="434"/>
        <v>4.6004437815300356</v>
      </c>
      <c r="G425" s="3">
        <f t="shared" si="434"/>
        <v>1000000</v>
      </c>
      <c r="H425" s="3">
        <f t="shared" si="434"/>
        <v>317043214602.28723</v>
      </c>
      <c r="I425" s="109">
        <f>Comparison!AL24</f>
        <v>1000000</v>
      </c>
      <c r="J425" s="3">
        <f>Comparison!AM24</f>
        <v>5393.4478275395559</v>
      </c>
      <c r="K425" s="3">
        <f>Comparison!AN24</f>
        <v>3346.4776601581179</v>
      </c>
      <c r="L425" s="3">
        <f>Comparison!AO24</f>
        <v>2685.7977977575347</v>
      </c>
      <c r="M425" s="3">
        <f>Comparison!AP24</f>
        <v>2247.3343211844494</v>
      </c>
      <c r="N425" s="3">
        <f>Comparison!AQ24</f>
        <v>1656.3185875611684</v>
      </c>
      <c r="O425" s="3">
        <f>Comparison!AR24</f>
        <v>262.73242624087396</v>
      </c>
      <c r="P425" s="3">
        <f>Comparison!AS24</f>
        <v>182.67861803771595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1.8712220392134017E-10</v>
      </c>
      <c r="C426" s="3">
        <f t="shared" si="434"/>
        <v>5.4245288307272016E-6</v>
      </c>
      <c r="D426" s="3">
        <f t="shared" si="434"/>
        <v>7.770218387881491E-4</v>
      </c>
      <c r="E426" s="3">
        <f t="shared" si="434"/>
        <v>4.585868077386944E-2</v>
      </c>
      <c r="F426" s="3">
        <f t="shared" si="434"/>
        <v>46.004437815300356</v>
      </c>
      <c r="G426" s="3">
        <f t="shared" si="434"/>
        <v>10000000</v>
      </c>
      <c r="H426" s="3">
        <f t="shared" si="434"/>
        <v>3170432146022.8721</v>
      </c>
      <c r="I426" s="109">
        <f>Comparison!AL25</f>
        <v>10000000</v>
      </c>
      <c r="J426" s="3">
        <f>Comparison!AM25</f>
        <v>4577.424969740212</v>
      </c>
      <c r="K426" s="3">
        <f>Comparison!AN25</f>
        <v>2892.1899665732253</v>
      </c>
      <c r="L426" s="3">
        <f>Comparison!AO25</f>
        <v>2368.346654493816</v>
      </c>
      <c r="M426" s="3">
        <f>Comparison!AP25</f>
        <v>1979.307169199863</v>
      </c>
      <c r="N426" s="3">
        <f>Comparison!AQ25</f>
        <v>1387.2108481854204</v>
      </c>
      <c r="O426" s="3">
        <f>Comparison!AR25</f>
        <v>222.939887660718</v>
      </c>
      <c r="P426" s="3">
        <f>Comparison!AS25</f>
        <v>174.62746722417066</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1.8712220392134018E-9</v>
      </c>
      <c r="C427" s="3">
        <f t="shared" si="434"/>
        <v>5.4245288307272011E-5</v>
      </c>
      <c r="D427" s="3">
        <f t="shared" si="434"/>
        <v>7.7702183878814906E-3</v>
      </c>
      <c r="E427" s="3">
        <f t="shared" si="434"/>
        <v>0.45858680773869437</v>
      </c>
      <c r="F427" s="3">
        <f t="shared" si="434"/>
        <v>460.04437815300355</v>
      </c>
      <c r="G427" s="3">
        <f t="shared" si="434"/>
        <v>100000000</v>
      </c>
      <c r="H427" s="3">
        <f t="shared" si="434"/>
        <v>31704321460228.723</v>
      </c>
      <c r="I427" s="109">
        <f>Comparison!AL26</f>
        <v>100000000</v>
      </c>
      <c r="J427" s="3">
        <f>Comparison!AM26</f>
        <v>3914.6236771373719</v>
      </c>
      <c r="K427" s="3">
        <f>Comparison!AN26</f>
        <v>2569.6224142495339</v>
      </c>
      <c r="L427" s="3">
        <f>Comparison!AO26</f>
        <v>2132.4244867059297</v>
      </c>
      <c r="M427" s="3">
        <f>Comparison!AP26</f>
        <v>1753.9456058771568</v>
      </c>
      <c r="N427" s="3">
        <f>Comparison!AQ26</f>
        <v>1120.1049206759617</v>
      </c>
      <c r="O427" s="3">
        <f>Comparison!AR26</f>
        <v>201.32214117210117</v>
      </c>
      <c r="P427" s="3">
        <f>Comparison!AS26</f>
        <v>169.86894542912563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1.8712220392134018E-8</v>
      </c>
      <c r="C428" s="3">
        <f t="shared" si="434"/>
        <v>5.4245288307272011E-4</v>
      </c>
      <c r="D428" s="3">
        <f t="shared" si="434"/>
        <v>7.7702183878814904E-2</v>
      </c>
      <c r="E428" s="3">
        <f t="shared" si="434"/>
        <v>4.5858680773869436</v>
      </c>
      <c r="F428" s="3">
        <f t="shared" si="434"/>
        <v>4600.4437815300362</v>
      </c>
      <c r="G428" s="3">
        <f t="shared" si="434"/>
        <v>1000000000</v>
      </c>
      <c r="H428" s="3">
        <f t="shared" si="434"/>
        <v>317043214602287.19</v>
      </c>
      <c r="I428" s="109">
        <f>Comparison!AL27</f>
        <v>1000000000</v>
      </c>
      <c r="J428" s="3">
        <f>Comparison!AM27</f>
        <v>3439.215903424868</v>
      </c>
      <c r="K428" s="3">
        <f>Comparison!AN27</f>
        <v>2337.0503651981739</v>
      </c>
      <c r="L428" s="3">
        <f>Comparison!AO27</f>
        <v>1927.1689592855932</v>
      </c>
      <c r="M428" s="3">
        <f>Comparison!AP27</f>
        <v>1541.283272452644</v>
      </c>
      <c r="N428" s="3">
        <f>Comparison!AQ27</f>
        <v>849.29779427462438</v>
      </c>
      <c r="O428" s="3">
        <f>Comparison!AR27</f>
        <v>188.02569432355588</v>
      </c>
      <c r="P428" s="3">
        <f>Comparison!AS27</f>
        <v>166.84170745231376</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1.8712220392134018E-7</v>
      </c>
      <c r="C429" s="3">
        <f t="shared" si="434"/>
        <v>5.4245288307272011E-3</v>
      </c>
      <c r="D429" s="3">
        <f t="shared" si="434"/>
        <v>0.77702183878814912</v>
      </c>
      <c r="E429" s="3">
        <f t="shared" si="434"/>
        <v>45.858680773869438</v>
      </c>
      <c r="F429" s="3">
        <f t="shared" si="434"/>
        <v>46004.437815300356</v>
      </c>
      <c r="G429" s="3">
        <f t="shared" si="434"/>
        <v>10000000000</v>
      </c>
      <c r="H429" s="3">
        <f t="shared" si="434"/>
        <v>3170432146022872</v>
      </c>
      <c r="I429" s="109">
        <f>Comparison!AL28</f>
        <v>10000000000</v>
      </c>
      <c r="J429" s="3">
        <f>Comparison!AM28</f>
        <v>3078.9760704970804</v>
      </c>
      <c r="K429" s="3">
        <f>Comparison!AN28</f>
        <v>2151.250620328482</v>
      </c>
      <c r="L429" s="3">
        <f>Comparison!AO28</f>
        <v>1740.579877269425</v>
      </c>
      <c r="M429" s="3">
        <f>Comparison!AP28</f>
        <v>1325.7320252858156</v>
      </c>
      <c r="N429" s="3">
        <f>Comparison!AQ28</f>
        <v>602.02056954985051</v>
      </c>
      <c r="O429" s="3">
        <f>Comparison!AR28</f>
        <v>181.14617749166206</v>
      </c>
      <c r="P429" s="3">
        <f>Comparison!AS28</f>
        <v>166.12540478353452</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1.8712220392134019E-6</v>
      </c>
      <c r="C430" s="3">
        <f t="shared" si="434"/>
        <v>5.4245288307272016E-2</v>
      </c>
      <c r="D430" s="3">
        <f t="shared" si="434"/>
        <v>7.7702183878814903</v>
      </c>
      <c r="E430" s="3">
        <f t="shared" si="434"/>
        <v>458.5868077386944</v>
      </c>
      <c r="F430" s="3">
        <f t="shared" si="434"/>
        <v>460044.37815300358</v>
      </c>
      <c r="G430" s="3">
        <f t="shared" si="434"/>
        <v>100000000000</v>
      </c>
      <c r="H430" s="3">
        <f t="shared" si="434"/>
        <v>3.170432146022872E+16</v>
      </c>
      <c r="I430" s="109">
        <f>Comparison!AL29</f>
        <v>100000000000</v>
      </c>
      <c r="J430" s="3">
        <f>Comparison!AM29</f>
        <v>2798.5736498484516</v>
      </c>
      <c r="K430" s="3">
        <f>Comparison!AN29</f>
        <v>1990.2744047049448</v>
      </c>
      <c r="L430" s="3">
        <f>Comparison!AO29</f>
        <v>1552.3921804639763</v>
      </c>
      <c r="M430" s="3">
        <f>Comparison!AP29</f>
        <v>1090.3481138846798</v>
      </c>
      <c r="N430" s="3">
        <f>Comparison!AQ29</f>
        <v>414.55153000594095</v>
      </c>
      <c r="O430" s="3">
        <f>Comparison!AR29</f>
        <v>171.73287142228415</v>
      </c>
      <c r="P430" s="3">
        <f>Comparison!AS29</f>
        <v>165.25800429032441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1.8712220392134016E-5</v>
      </c>
      <c r="C431" s="3">
        <f t="shared" si="434"/>
        <v>0.5424528830727201</v>
      </c>
      <c r="D431" s="3">
        <f t="shared" si="434"/>
        <v>77.702183878814907</v>
      </c>
      <c r="E431" s="3">
        <f t="shared" si="434"/>
        <v>4585.8680773869437</v>
      </c>
      <c r="F431" s="3">
        <f t="shared" si="434"/>
        <v>4600443.7815300357</v>
      </c>
      <c r="G431" s="3">
        <f t="shared" si="434"/>
        <v>1000000000000</v>
      </c>
      <c r="H431" s="3">
        <f t="shared" si="434"/>
        <v>3.1704321460228723E+17</v>
      </c>
      <c r="I431" s="109">
        <f>Comparison!AL30</f>
        <v>1000000000000</v>
      </c>
      <c r="J431" s="3">
        <f>Comparison!AM30</f>
        <v>2590.4913778751102</v>
      </c>
      <c r="K431" s="3">
        <f>Comparison!AN30</f>
        <v>1828.3308494849296</v>
      </c>
      <c r="L431" s="3">
        <f>Comparison!AO30</f>
        <v>1355.3669215252155</v>
      </c>
      <c r="M431" s="3">
        <f>Comparison!AP30</f>
        <v>838.64271647474698</v>
      </c>
      <c r="N431" s="3">
        <f>Comparison!AQ30</f>
        <v>296.76424848335745</v>
      </c>
      <c r="O431" s="3">
        <f>Comparison!AR30</f>
        <v>164.88164851800227</v>
      </c>
      <c r="P431" s="3">
        <f>Comparison!AS30</f>
        <v>162.97529182821398</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1.8712220392134017E-4</v>
      </c>
      <c r="C432" s="3">
        <f t="shared" si="434"/>
        <v>5.4245288307272013</v>
      </c>
      <c r="D432" s="3">
        <f t="shared" si="434"/>
        <v>777.02183878814913</v>
      </c>
      <c r="E432" s="3">
        <f t="shared" si="434"/>
        <v>45858.680773869441</v>
      </c>
      <c r="F432" s="3">
        <f t="shared" si="434"/>
        <v>46004437.81530036</v>
      </c>
      <c r="G432" s="3">
        <f t="shared" si="434"/>
        <v>10000000000000</v>
      </c>
      <c r="H432" s="3">
        <f t="shared" si="434"/>
        <v>3.1704321460228721E+18</v>
      </c>
      <c r="I432" s="109">
        <f>Comparison!AL31</f>
        <v>10000000000000</v>
      </c>
      <c r="J432" s="3">
        <f>Comparison!AM31</f>
        <v>2428.2171958860131</v>
      </c>
      <c r="K432" s="3">
        <f>Comparison!AN31</f>
        <v>1665.1765081389453</v>
      </c>
      <c r="L432" s="3">
        <f>Comparison!AO31</f>
        <v>1134.9160288600715</v>
      </c>
      <c r="M432" s="3">
        <f>Comparison!AP31</f>
        <v>600.54666630574377</v>
      </c>
      <c r="N432" s="3">
        <f>Comparison!AQ31</f>
        <v>236.5039430342818</v>
      </c>
      <c r="O432" s="3">
        <f>Comparison!AR31</f>
        <v>164.50146393142782</v>
      </c>
      <c r="P432" s="3">
        <f>Comparison!AS31</f>
        <v>162.91152498499585</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1.8712220392134017E-3</v>
      </c>
      <c r="C433" s="3">
        <f t="shared" si="434"/>
        <v>54.245288307272013</v>
      </c>
      <c r="D433" s="3">
        <f t="shared" si="434"/>
        <v>7770.2183878814903</v>
      </c>
      <c r="E433" s="3">
        <f t="shared" si="434"/>
        <v>458586.80773869436</v>
      </c>
      <c r="F433" s="3">
        <f t="shared" si="434"/>
        <v>460044378.15300357</v>
      </c>
      <c r="G433" s="3">
        <f t="shared" si="434"/>
        <v>100000000000000</v>
      </c>
      <c r="H433" s="3">
        <f t="shared" si="434"/>
        <v>3.1704321460228723E+19</v>
      </c>
      <c r="I433" s="109">
        <f>Comparison!AL32</f>
        <v>100000000000000</v>
      </c>
      <c r="J433" s="3">
        <f>Comparison!AM32</f>
        <v>2284.9023004500814</v>
      </c>
      <c r="K433" s="3">
        <f>Comparison!AN32</f>
        <v>1489.3314845424752</v>
      </c>
      <c r="L433" s="3">
        <f>Comparison!AO32</f>
        <v>892.49692017162795</v>
      </c>
      <c r="M433" s="3">
        <f>Comparison!AP32</f>
        <v>415.97655166325364</v>
      </c>
      <c r="N433" s="3">
        <f>Comparison!AQ32</f>
        <v>206.64782998877558</v>
      </c>
      <c r="O433" s="3">
        <f>Comparison!AR32</f>
        <v>163.00727748318997</v>
      </c>
      <c r="P433" s="3">
        <f>Comparison!AS32</f>
        <v>161.92883558935978</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1.8712220392134018E-2</v>
      </c>
      <c r="C434" s="3">
        <f t="shared" si="434"/>
        <v>542.45288307272017</v>
      </c>
      <c r="D434" s="3">
        <f t="shared" si="434"/>
        <v>77702.183878814903</v>
      </c>
      <c r="E434" s="3">
        <f t="shared" si="434"/>
        <v>4585868.0773869436</v>
      </c>
      <c r="F434" s="3">
        <f t="shared" si="434"/>
        <v>4600443781.530036</v>
      </c>
      <c r="G434" s="3">
        <f t="shared" si="434"/>
        <v>1000000000000000</v>
      </c>
      <c r="H434" s="3">
        <f t="shared" si="434"/>
        <v>3.1704321460228719E+20</v>
      </c>
      <c r="I434" s="109">
        <f>Comparison!AL33</f>
        <v>1000000000000000</v>
      </c>
      <c r="J434" s="3">
        <f>Comparison!AM33</f>
        <v>2162.351794570352</v>
      </c>
      <c r="K434" s="3">
        <f>Comparison!AN33</f>
        <v>1297.0734642842888</v>
      </c>
      <c r="L434" s="3">
        <f>Comparison!AO33</f>
        <v>651.2901745739025</v>
      </c>
      <c r="M434" s="3">
        <f>Comparison!AP33</f>
        <v>297.69240550814368</v>
      </c>
      <c r="N434" s="3">
        <f>Comparison!AQ33</f>
        <v>191.80670583863778</v>
      </c>
      <c r="O434" s="3">
        <f>Comparison!AR33</f>
        <v>162.92272722143832</v>
      </c>
      <c r="P434" s="3">
        <f>Comparison!AS33</f>
        <v>161.56401350859798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-38.51735486656284</v>
      </c>
      <c r="M1" s="54">
        <v>1</v>
      </c>
      <c r="N1" s="56">
        <f>INDEX($H$217:$P$217,1,Q1)</f>
        <v>0.31135346362997757</v>
      </c>
      <c r="O1" s="11"/>
      <c r="P1" s="55">
        <v>1</v>
      </c>
      <c r="Q1" s="11">
        <v>2</v>
      </c>
    </row>
    <row r="2" spans="1:17" x14ac:dyDescent="0.25">
      <c r="A2" s="11">
        <f>'Mastercurve bestimmen'!M119</f>
        <v>0</v>
      </c>
      <c r="B2" s="11">
        <f>'Mastercurve bestimmen'!N119</f>
        <v>-28.242675164746736</v>
      </c>
      <c r="M2" s="54">
        <v>2</v>
      </c>
      <c r="N2" s="56">
        <f t="shared" ref="N2:N9" si="0">INDEX($H$217:$P$217,1,Q2)</f>
        <v>1.7338135162172478E-3</v>
      </c>
      <c r="O2" s="11"/>
      <c r="P2" s="55">
        <v>2</v>
      </c>
      <c r="Q2" s="11">
        <f>Q1+1</f>
        <v>3</v>
      </c>
    </row>
    <row r="3" spans="1:17" x14ac:dyDescent="0.25">
      <c r="A3" s="11">
        <f>'Mastercurve bestimmen'!M120</f>
        <v>25</v>
      </c>
      <c r="B3" s="11">
        <f>'Mastercurve bestimmen'!N120</f>
        <v>-23.278137752401474</v>
      </c>
      <c r="M3" s="54">
        <v>3</v>
      </c>
      <c r="N3" s="56">
        <f t="shared" si="0"/>
        <v>2.7044307546136931E-5</v>
      </c>
      <c r="O3" s="11"/>
      <c r="P3" s="55">
        <v>3</v>
      </c>
      <c r="Q3" s="11">
        <f t="shared" ref="Q3:Q8" si="1">Q2+1</f>
        <v>4</v>
      </c>
    </row>
    <row r="4" spans="1:17" x14ac:dyDescent="0.25">
      <c r="A4" s="11">
        <f>'Mastercurve bestimmen'!M121</f>
        <v>50</v>
      </c>
      <c r="B4" s="11">
        <f>'Mastercurve bestimmen'!N121</f>
        <v>-19.200286419303232</v>
      </c>
      <c r="M4" s="54">
        <v>4</v>
      </c>
      <c r="N4" s="56">
        <f t="shared" si="0"/>
        <v>-2.890250215672805E-7</v>
      </c>
      <c r="O4" s="11"/>
      <c r="P4" s="55">
        <v>4</v>
      </c>
      <c r="Q4" s="11">
        <f t="shared" si="1"/>
        <v>5</v>
      </c>
    </row>
    <row r="5" spans="1:17" x14ac:dyDescent="0.25">
      <c r="A5" s="11">
        <f>'Mastercurve bestimmen'!M122</f>
        <v>80</v>
      </c>
      <c r="B5" s="11">
        <f>'Mastercurve bestimmen'!N122</f>
        <v>-12.289357784876906</v>
      </c>
      <c r="M5" s="54">
        <v>5</v>
      </c>
      <c r="N5" s="56">
        <f t="shared" si="0"/>
        <v>-1.6445637662764742E-8</v>
      </c>
      <c r="O5" s="11"/>
      <c r="P5" s="55">
        <v>5</v>
      </c>
      <c r="Q5" s="11">
        <f t="shared" si="1"/>
        <v>6</v>
      </c>
    </row>
    <row r="6" spans="1:17" x14ac:dyDescent="0.25">
      <c r="A6" s="11">
        <f>'Mastercurve bestimmen'!M123</f>
        <v>125</v>
      </c>
      <c r="B6" s="11">
        <f>'Mastercurve bestimmen'!N123</f>
        <v>0</v>
      </c>
      <c r="M6" s="54">
        <v>6</v>
      </c>
      <c r="N6" s="56">
        <f t="shared" si="0"/>
        <v>-1.9588559710123465E-10</v>
      </c>
      <c r="O6" s="11"/>
      <c r="P6" s="55">
        <v>6</v>
      </c>
      <c r="Q6" s="11">
        <f t="shared" si="1"/>
        <v>7</v>
      </c>
    </row>
    <row r="7" spans="1:17" x14ac:dyDescent="0.25">
      <c r="A7" s="11">
        <f>'Mastercurve bestimmen'!M124</f>
        <v>160</v>
      </c>
      <c r="B7" s="11">
        <f>'Mastercurve bestimmen'!N124</f>
        <v>12.666793367234712</v>
      </c>
      <c r="M7" s="54">
        <v>7</v>
      </c>
      <c r="N7" s="56">
        <f t="shared" si="0"/>
        <v>-9.3883052441656226E-13</v>
      </c>
      <c r="O7" s="11"/>
      <c r="P7" s="55">
        <v>7</v>
      </c>
      <c r="Q7" s="11">
        <f t="shared" si="1"/>
        <v>8</v>
      </c>
    </row>
    <row r="8" spans="1:17" x14ac:dyDescent="0.25">
      <c r="A8" s="11"/>
      <c r="B8" s="11"/>
      <c r="M8" s="54">
        <v>8</v>
      </c>
      <c r="N8" s="56">
        <f t="shared" si="0"/>
        <v>-1.6068800790496957E-15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-38.51735486656284</v>
      </c>
      <c r="E15" s="11">
        <f>A15-'Mastercurve bestimmen'!$B$2</f>
        <v>-165</v>
      </c>
      <c r="F15" s="11">
        <f>B15</f>
        <v>-38.51735486656284</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-38.316969833060867</v>
      </c>
      <c r="E16" s="11">
        <f>A16-'Mastercurve bestimmen'!$B$2</f>
        <v>-164</v>
      </c>
      <c r="F16" s="11">
        <f t="shared" ref="F16:F79" si="4">B16</f>
        <v>-38.316969833060867</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-38.116372859750108</v>
      </c>
      <c r="E17" s="11">
        <f>A17-'Mastercurve bestimmen'!$B$2</f>
        <v>-163</v>
      </c>
      <c r="F17" s="11">
        <f t="shared" si="4"/>
        <v>-38.116372859750108</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-37.915352006821749</v>
      </c>
      <c r="E18" s="11">
        <f>A18-'Mastercurve bestimmen'!$B$2</f>
        <v>-162</v>
      </c>
      <c r="F18" s="11">
        <f t="shared" si="4"/>
        <v>-37.915352006821749</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-37.713695334467019</v>
      </c>
      <c r="E19" s="11">
        <f>A19-'Mastercurve bestimmen'!$B$2</f>
        <v>-161</v>
      </c>
      <c r="F19" s="11">
        <f t="shared" si="4"/>
        <v>-37.713695334467019</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-37.511190902877118</v>
      </c>
      <c r="E20" s="11">
        <f>A20-'Mastercurve bestimmen'!$B$2</f>
        <v>-160</v>
      </c>
      <c r="F20" s="11">
        <f t="shared" si="4"/>
        <v>-37.511190902877118</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-37.307626772243246</v>
      </c>
      <c r="E21" s="11">
        <f>A21-'Mastercurve bestimmen'!$B$2</f>
        <v>-159</v>
      </c>
      <c r="F21" s="11">
        <f t="shared" si="4"/>
        <v>-37.307626772243246</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-37.102791002756618</v>
      </c>
      <c r="E22" s="11">
        <f>A22-'Mastercurve bestimmen'!$B$2</f>
        <v>-158</v>
      </c>
      <c r="F22" s="11">
        <f t="shared" si="4"/>
        <v>-37.102791002756618</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-36.896471654608433</v>
      </c>
      <c r="E23" s="11">
        <f>A23-'Mastercurve bestimmen'!$B$2</f>
        <v>-157</v>
      </c>
      <c r="F23" s="11">
        <f t="shared" si="4"/>
        <v>-36.896471654608433</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-36.6884567879899</v>
      </c>
      <c r="E24" s="11">
        <f>A24-'Mastercurve bestimmen'!$B$2</f>
        <v>-156</v>
      </c>
      <c r="F24" s="11">
        <f t="shared" si="4"/>
        <v>-36.6884567879899</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-36.478534463092231</v>
      </c>
      <c r="E25" s="11">
        <f>A25-'Mastercurve bestimmen'!$B$2</f>
        <v>-155</v>
      </c>
      <c r="F25" s="11">
        <f t="shared" si="4"/>
        <v>-36.478534463092231</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-36.266492740106621</v>
      </c>
      <c r="E26" s="11">
        <f>A26-'Mastercurve bestimmen'!$B$2</f>
        <v>-154</v>
      </c>
      <c r="F26" s="11">
        <f t="shared" si="4"/>
        <v>-36.266492740106621</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-36.05211967922429</v>
      </c>
      <c r="E27" s="11">
        <f>A27-'Mastercurve bestimmen'!$B$2</f>
        <v>-153</v>
      </c>
      <c r="F27" s="11">
        <f t="shared" si="4"/>
        <v>-36.05211967922429</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-35.835203340636433</v>
      </c>
      <c r="E28" s="11">
        <f>A28-'Mastercurve bestimmen'!$B$2</f>
        <v>-152</v>
      </c>
      <c r="F28" s="11">
        <f t="shared" si="4"/>
        <v>-35.835203340636433</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-35.615531784534269</v>
      </c>
      <c r="E29" s="11">
        <f>A29-'Mastercurve bestimmen'!$B$2</f>
        <v>-151</v>
      </c>
      <c r="F29" s="11">
        <f t="shared" si="4"/>
        <v>-35.615531784534269</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-35.392893071108993</v>
      </c>
      <c r="E30" s="11">
        <f>A30-'Mastercurve bestimmen'!$B$2</f>
        <v>-150</v>
      </c>
      <c r="F30" s="11">
        <f t="shared" si="4"/>
        <v>-35.392893071108993</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-35.167075260551812</v>
      </c>
      <c r="E31" s="11">
        <f>A31-'Mastercurve bestimmen'!$B$2</f>
        <v>-149</v>
      </c>
      <c r="F31" s="11">
        <f t="shared" si="4"/>
        <v>-35.167075260551812</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-34.937866413053946</v>
      </c>
      <c r="E32" s="11">
        <f>A32-'Mastercurve bestimmen'!$B$2</f>
        <v>-148</v>
      </c>
      <c r="F32" s="11">
        <f t="shared" si="4"/>
        <v>-34.937866413053946</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-34.70505458880659</v>
      </c>
      <c r="E33" s="11">
        <f>A33-'Mastercurve bestimmen'!$B$2</f>
        <v>-147</v>
      </c>
      <c r="F33" s="11">
        <f t="shared" si="4"/>
        <v>-34.70505458880659</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-34.468427848000957</v>
      </c>
      <c r="E34" s="11">
        <f>A34-'Mastercurve bestimmen'!$B$2</f>
        <v>-146</v>
      </c>
      <c r="F34" s="11">
        <f t="shared" si="4"/>
        <v>-34.468427848000957</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-34.227774250828247</v>
      </c>
      <c r="E35" s="11">
        <f>A35-'Mastercurve bestimmen'!$B$2</f>
        <v>-145</v>
      </c>
      <c r="F35" s="11">
        <f t="shared" si="4"/>
        <v>-34.227774250828247</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-33.982881857479668</v>
      </c>
      <c r="E36" s="11">
        <f>A36-'Mastercurve bestimmen'!$B$2</f>
        <v>-144</v>
      </c>
      <c r="F36" s="11">
        <f t="shared" si="4"/>
        <v>-33.982881857479668</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-33.733538728146428</v>
      </c>
      <c r="E37" s="11">
        <f>A37-'Mastercurve bestimmen'!$B$2</f>
        <v>-143</v>
      </c>
      <c r="F37" s="11">
        <f t="shared" si="4"/>
        <v>-33.733538728146428</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-33.47953292301974</v>
      </c>
      <c r="E38" s="11">
        <f>A38-'Mastercurve bestimmen'!$B$2</f>
        <v>-142</v>
      </c>
      <c r="F38" s="11">
        <f t="shared" si="4"/>
        <v>-33.47953292301974</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-33.220652502290804</v>
      </c>
      <c r="E39" s="11">
        <f>A39-'Mastercurve bestimmen'!$B$2</f>
        <v>-141</v>
      </c>
      <c r="F39" s="11">
        <f t="shared" si="4"/>
        <v>-33.220652502290804</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-32.956685526150821</v>
      </c>
      <c r="E40" s="11">
        <f>A40-'Mastercurve bestimmen'!$B$2</f>
        <v>-140</v>
      </c>
      <c r="F40" s="11">
        <f t="shared" si="4"/>
        <v>-32.956685526150821</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-32.687420054791005</v>
      </c>
      <c r="E41" s="11">
        <f>A41-'Mastercurve bestimmen'!$B$2</f>
        <v>-139</v>
      </c>
      <c r="F41" s="11">
        <f t="shared" si="4"/>
        <v>-32.687420054791005</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-32.412644148402563</v>
      </c>
      <c r="E42" s="11">
        <f>A42-'Mastercurve bestimmen'!$B$2</f>
        <v>-138</v>
      </c>
      <c r="F42" s="11">
        <f t="shared" si="4"/>
        <v>-32.412644148402563</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-32.132145867176703</v>
      </c>
      <c r="E43" s="11">
        <f>A43-'Mastercurve bestimmen'!$B$2</f>
        <v>-137</v>
      </c>
      <c r="F43" s="11">
        <f t="shared" si="4"/>
        <v>-32.132145867176703</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-31.845713271304625</v>
      </c>
      <c r="E44" s="11">
        <f>A44-'Mastercurve bestimmen'!$B$2</f>
        <v>-136</v>
      </c>
      <c r="F44" s="11">
        <f t="shared" si="4"/>
        <v>-31.845713271304625</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-31.553134420977536</v>
      </c>
      <c r="E45" s="11">
        <f>A45-'Mastercurve bestimmen'!$B$2</f>
        <v>-135</v>
      </c>
      <c r="F45" s="11">
        <f t="shared" si="4"/>
        <v>-31.553134420977536</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-31.254197376386653</v>
      </c>
      <c r="E46" s="11">
        <f>A46-'Mastercurve bestimmen'!$B$2</f>
        <v>-134</v>
      </c>
      <c r="F46" s="11">
        <f t="shared" si="4"/>
        <v>-31.254197376386653</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-30.948690197723174</v>
      </c>
      <c r="E47" s="11">
        <f>A47-'Mastercurve bestimmen'!$B$2</f>
        <v>-133</v>
      </c>
      <c r="F47" s="11">
        <f t="shared" si="4"/>
        <v>-30.948690197723174</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-30.636400945178305</v>
      </c>
      <c r="E48" s="11">
        <f>A48-'Mastercurve bestimmen'!$B$2</f>
        <v>-132</v>
      </c>
      <c r="F48" s="11">
        <f t="shared" si="4"/>
        <v>-30.636400945178305</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-30.317117678943259</v>
      </c>
      <c r="E49" s="11">
        <f>A49-'Mastercurve bestimmen'!$B$2</f>
        <v>-131</v>
      </c>
      <c r="F49" s="11">
        <f t="shared" si="4"/>
        <v>-30.317117678943259</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-29.990628459209233</v>
      </c>
      <c r="E50" s="11">
        <f>A50-'Mastercurve bestimmen'!$B$2</f>
        <v>-130</v>
      </c>
      <c r="F50" s="11">
        <f t="shared" si="4"/>
        <v>-29.990628459209233</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-29.656721346167444</v>
      </c>
      <c r="E51" s="11">
        <f>A51-'Mastercurve bestimmen'!$B$2</f>
        <v>-129</v>
      </c>
      <c r="F51" s="11">
        <f t="shared" si="4"/>
        <v>-29.656721346167444</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-29.315184400009091</v>
      </c>
      <c r="E52" s="11">
        <f>A52-'Mastercurve bestimmen'!$B$2</f>
        <v>-128</v>
      </c>
      <c r="F52" s="11">
        <f t="shared" si="4"/>
        <v>-29.315184400009091</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-28.965805680925385</v>
      </c>
      <c r="E53" s="11">
        <f>A53-'Mastercurve bestimmen'!$B$2</f>
        <v>-127</v>
      </c>
      <c r="F53" s="11">
        <f t="shared" si="4"/>
        <v>-28.965805680925385</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-28.60837324910753</v>
      </c>
      <c r="E54" s="11">
        <f>A54-'Mastercurve bestimmen'!$B$2</f>
        <v>-126</v>
      </c>
      <c r="F54" s="11">
        <f t="shared" si="4"/>
        <v>-28.60837324910753</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-28.242675164746732</v>
      </c>
      <c r="E55" s="11">
        <f>A55-'Mastercurve bestimmen'!$B$2</f>
        <v>-125</v>
      </c>
      <c r="F55" s="11">
        <f t="shared" si="4"/>
        <v>-28.242675164746732</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-28.087683983082609</v>
      </c>
      <c r="E56" s="11">
        <f>A56-'Mastercurve bestimmen'!$B$2</f>
        <v>-124</v>
      </c>
      <c r="F56" s="11">
        <f t="shared" si="4"/>
        <v>-28.087683983082609</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-27.92477425515704</v>
      </c>
      <c r="E57" s="11">
        <f>A57-'Mastercurve bestimmen'!$B$2</f>
        <v>-123</v>
      </c>
      <c r="F57" s="11">
        <f t="shared" si="4"/>
        <v>-27.92477425515704</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-27.754505027060347</v>
      </c>
      <c r="E58" s="11">
        <f>A58-'Mastercurve bestimmen'!$B$2</f>
        <v>-122</v>
      </c>
      <c r="F58" s="11">
        <f t="shared" si="4"/>
        <v>-27.754505027060347</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-27.577435344882804</v>
      </c>
      <c r="E59" s="11">
        <f>A59-'Mastercurve bestimmen'!$B$2</f>
        <v>-121</v>
      </c>
      <c r="F59" s="11">
        <f t="shared" si="4"/>
        <v>-27.577435344882804</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-27.394124254714733</v>
      </c>
      <c r="E60" s="11">
        <f>A60-'Mastercurve bestimmen'!$B$2</f>
        <v>-120</v>
      </c>
      <c r="F60" s="11">
        <f t="shared" si="4"/>
        <v>-27.394124254714733</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-27.205130802646423</v>
      </c>
      <c r="E61" s="11">
        <f>A61-'Mastercurve bestimmen'!$B$2</f>
        <v>-119</v>
      </c>
      <c r="F61" s="11">
        <f t="shared" si="4"/>
        <v>-27.205130802646423</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-27.011014034768174</v>
      </c>
      <c r="E62" s="11">
        <f>A62-'Mastercurve bestimmen'!$B$2</f>
        <v>-118</v>
      </c>
      <c r="F62" s="11">
        <f t="shared" si="4"/>
        <v>-27.011014034768174</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-26.812332997170287</v>
      </c>
      <c r="E63" s="11">
        <f>A63-'Mastercurve bestimmen'!$B$2</f>
        <v>-117</v>
      </c>
      <c r="F63" s="11">
        <f t="shared" si="4"/>
        <v>-26.812332997170287</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-26.609646735943056</v>
      </c>
      <c r="E64" s="11">
        <f>A64-'Mastercurve bestimmen'!$B$2</f>
        <v>-116</v>
      </c>
      <c r="F64" s="11">
        <f t="shared" si="4"/>
        <v>-26.609646735943056</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-26.403514297176784</v>
      </c>
      <c r="E65" s="11">
        <f>A65-'Mastercurve bestimmen'!$B$2</f>
        <v>-115</v>
      </c>
      <c r="F65" s="11">
        <f t="shared" si="4"/>
        <v>-26.403514297176784</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-26.194494726961775</v>
      </c>
      <c r="E66" s="11">
        <f>A66-'Mastercurve bestimmen'!$B$2</f>
        <v>-114</v>
      </c>
      <c r="F66" s="11">
        <f t="shared" si="4"/>
        <v>-26.194494726961775</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-25.983147071388323</v>
      </c>
      <c r="E67" s="11">
        <f>A67-'Mastercurve bestimmen'!$B$2</f>
        <v>-113</v>
      </c>
      <c r="F67" s="11">
        <f t="shared" si="4"/>
        <v>-25.983147071388323</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-25.770030376546732</v>
      </c>
      <c r="E68" s="11">
        <f>A68-'Mastercurve bestimmen'!$B$2</f>
        <v>-112</v>
      </c>
      <c r="F68" s="11">
        <f t="shared" si="4"/>
        <v>-25.770030376546732</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-25.555703688527295</v>
      </c>
      <c r="E69" s="11">
        <f>A69-'Mastercurve bestimmen'!$B$2</f>
        <v>-111</v>
      </c>
      <c r="F69" s="11">
        <f t="shared" si="4"/>
        <v>-25.555703688527295</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-25.340726053420312</v>
      </c>
      <c r="E70" s="11">
        <f>A70-'Mastercurve bestimmen'!$B$2</f>
        <v>-110</v>
      </c>
      <c r="F70" s="11">
        <f t="shared" si="4"/>
        <v>-25.340726053420312</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-25.125656517316088</v>
      </c>
      <c r="E71" s="11">
        <f>A71-'Mastercurve bestimmen'!$B$2</f>
        <v>-109</v>
      </c>
      <c r="F71" s="11">
        <f t="shared" si="4"/>
        <v>-25.125656517316088</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-24.911054126304919</v>
      </c>
      <c r="E72" s="11">
        <f>A72-'Mastercurve bestimmen'!$B$2</f>
        <v>-108</v>
      </c>
      <c r="F72" s="11">
        <f t="shared" si="4"/>
        <v>-24.911054126304919</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-24.697477926477106</v>
      </c>
      <c r="E73" s="11">
        <f>A73-'Mastercurve bestimmen'!$B$2</f>
        <v>-107</v>
      </c>
      <c r="F73" s="11">
        <f t="shared" si="4"/>
        <v>-24.697477926477106</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-24.485486963922945</v>
      </c>
      <c r="E74" s="11">
        <f>A74-'Mastercurve bestimmen'!$B$2</f>
        <v>-106</v>
      </c>
      <c r="F74" s="11">
        <f t="shared" si="4"/>
        <v>-24.485486963922945</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-24.275640284732734</v>
      </c>
      <c r="E75" s="11">
        <f>A75-'Mastercurve bestimmen'!$B$2</f>
        <v>-105</v>
      </c>
      <c r="F75" s="11">
        <f t="shared" si="4"/>
        <v>-24.275640284732734</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-24.06849693499678</v>
      </c>
      <c r="E76" s="11">
        <f>A76-'Mastercurve bestimmen'!$B$2</f>
        <v>-104</v>
      </c>
      <c r="F76" s="11">
        <f t="shared" si="4"/>
        <v>-24.06849693499678</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-23.864615960805377</v>
      </c>
      <c r="E77" s="11">
        <f>A77-'Mastercurve bestimmen'!$B$2</f>
        <v>-103</v>
      </c>
      <c r="F77" s="11">
        <f t="shared" si="4"/>
        <v>-23.864615960805377</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-23.664556408248828</v>
      </c>
      <c r="E78" s="11">
        <f>A78-'Mastercurve bestimmen'!$B$2</f>
        <v>-102</v>
      </c>
      <c r="F78" s="11">
        <f t="shared" si="4"/>
        <v>-23.664556408248828</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-23.468877323417427</v>
      </c>
      <c r="E79" s="11">
        <f>A79-'Mastercurve bestimmen'!$B$2</f>
        <v>-101</v>
      </c>
      <c r="F79" s="11">
        <f t="shared" si="4"/>
        <v>-23.468877323417427</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-23.278137752401474</v>
      </c>
      <c r="E80" s="11">
        <f>A80-'Mastercurve bestimmen'!$B$2</f>
        <v>-100</v>
      </c>
      <c r="F80" s="11">
        <f t="shared" ref="F80:F143" si="10">B80</f>
        <v>-23.278137752401474</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-23.092733546804116</v>
      </c>
      <c r="E81" s="11">
        <f>A81-'Mastercurve bestimmen'!$B$2</f>
        <v>-99</v>
      </c>
      <c r="F81" s="11">
        <f t="shared" si="10"/>
        <v>-23.092733546804116</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-22.912407780279853</v>
      </c>
      <c r="E82" s="11">
        <f>A82-'Mastercurve bestimmen'!$B$2</f>
        <v>-98</v>
      </c>
      <c r="F82" s="11">
        <f t="shared" si="10"/>
        <v>-22.912407780279853</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-22.736740331996042</v>
      </c>
      <c r="E83" s="11">
        <f>A83-'Mastercurve bestimmen'!$B$2</f>
        <v>-97</v>
      </c>
      <c r="F83" s="11">
        <f t="shared" si="10"/>
        <v>-22.736740331996042</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-22.565311081120036</v>
      </c>
      <c r="E84" s="11">
        <f>A84-'Mastercurve bestimmen'!$B$2</f>
        <v>-96</v>
      </c>
      <c r="F84" s="11">
        <f t="shared" si="10"/>
        <v>-22.565311081120036</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-22.397699906819174</v>
      </c>
      <c r="E85" s="11">
        <f>A85-'Mastercurve bestimmen'!$B$2</f>
        <v>-95</v>
      </c>
      <c r="F85" s="11">
        <f t="shared" si="10"/>
        <v>-22.397699906819174</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-22.233486688260818</v>
      </c>
      <c r="E86" s="11">
        <f>A86-'Mastercurve bestimmen'!$B$2</f>
        <v>-94</v>
      </c>
      <c r="F86" s="11">
        <f t="shared" si="10"/>
        <v>-22.233486688260818</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-22.072251304612312</v>
      </c>
      <c r="E87" s="11">
        <f>A87-'Mastercurve bestimmen'!$B$2</f>
        <v>-93</v>
      </c>
      <c r="F87" s="11">
        <f t="shared" si="10"/>
        <v>-22.072251304612312</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-21.913573635041008</v>
      </c>
      <c r="E88" s="11">
        <f>A88-'Mastercurve bestimmen'!$B$2</f>
        <v>-92</v>
      </c>
      <c r="F88" s="11">
        <f t="shared" si="10"/>
        <v>-21.913573635041008</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-21.757033558714255</v>
      </c>
      <c r="E89" s="11">
        <f>A89-'Mastercurve bestimmen'!$B$2</f>
        <v>-91</v>
      </c>
      <c r="F89" s="11">
        <f t="shared" si="10"/>
        <v>-21.757033558714255</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-21.602210954799403</v>
      </c>
      <c r="E90" s="11">
        <f>A90-'Mastercurve bestimmen'!$B$2</f>
        <v>-90</v>
      </c>
      <c r="F90" s="11">
        <f t="shared" si="10"/>
        <v>-21.602210954799403</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-21.448685702463813</v>
      </c>
      <c r="E91" s="11">
        <f>A91-'Mastercurve bestimmen'!$B$2</f>
        <v>-89</v>
      </c>
      <c r="F91" s="11">
        <f t="shared" si="10"/>
        <v>-21.448685702463813</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-21.296037680874818</v>
      </c>
      <c r="E92" s="11">
        <f>A92-'Mastercurve bestimmen'!$B$2</f>
        <v>-88</v>
      </c>
      <c r="F92" s="11">
        <f t="shared" si="10"/>
        <v>-21.296037680874818</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-21.143846769199779</v>
      </c>
      <c r="E93" s="11">
        <f>A93-'Mastercurve bestimmen'!$B$2</f>
        <v>-87</v>
      </c>
      <c r="F93" s="11">
        <f t="shared" si="10"/>
        <v>-21.143846769199779</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-20.991692846606043</v>
      </c>
      <c r="E94" s="11">
        <f>A94-'Mastercurve bestimmen'!$B$2</f>
        <v>-86</v>
      </c>
      <c r="F94" s="11">
        <f t="shared" si="10"/>
        <v>-20.991692846606043</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-20.839155792260961</v>
      </c>
      <c r="E95" s="11">
        <f>A95-'Mastercurve bestimmen'!$B$2</f>
        <v>-85</v>
      </c>
      <c r="F95" s="11">
        <f t="shared" si="10"/>
        <v>-20.839155792260961</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-20.685815485331887</v>
      </c>
      <c r="E96" s="11">
        <f>A96-'Mastercurve bestimmen'!$B$2</f>
        <v>-84</v>
      </c>
      <c r="F96" s="11">
        <f t="shared" si="10"/>
        <v>-20.685815485331887</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-20.531251804986166</v>
      </c>
      <c r="E97" s="11">
        <f>A97-'Mastercurve bestimmen'!$B$2</f>
        <v>-83</v>
      </c>
      <c r="F97" s="11">
        <f t="shared" si="10"/>
        <v>-20.531251804986166</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-20.375044630391152</v>
      </c>
      <c r="E98" s="11">
        <f>A98-'Mastercurve bestimmen'!$B$2</f>
        <v>-82</v>
      </c>
      <c r="F98" s="11">
        <f t="shared" si="10"/>
        <v>-20.375044630391152</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-20.216773840714193</v>
      </c>
      <c r="E99" s="11">
        <f>A99-'Mastercurve bestimmen'!$B$2</f>
        <v>-81</v>
      </c>
      <c r="F99" s="11">
        <f t="shared" si="10"/>
        <v>-20.216773840714193</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-20.05601931512264</v>
      </c>
      <c r="E100" s="11">
        <f>A100-'Mastercurve bestimmen'!$B$2</f>
        <v>-80</v>
      </c>
      <c r="F100" s="11">
        <f t="shared" si="10"/>
        <v>-20.05601931512264</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-19.892360932783845</v>
      </c>
      <c r="E101" s="11">
        <f>A101-'Mastercurve bestimmen'!$B$2</f>
        <v>-79</v>
      </c>
      <c r="F101" s="11">
        <f t="shared" si="10"/>
        <v>-19.892360932783845</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-19.725378572865154</v>
      </c>
      <c r="E102" s="11">
        <f>A102-'Mastercurve bestimmen'!$B$2</f>
        <v>-78</v>
      </c>
      <c r="F102" s="11">
        <f t="shared" si="10"/>
        <v>-19.725378572865154</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-19.554652114533923</v>
      </c>
      <c r="E103" s="11">
        <f>A103-'Mastercurve bestimmen'!$B$2</f>
        <v>-77</v>
      </c>
      <c r="F103" s="11">
        <f t="shared" si="10"/>
        <v>-19.554652114533923</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-19.379761436957502</v>
      </c>
      <c r="E104" s="11">
        <f>A104-'Mastercurve bestimmen'!$B$2</f>
        <v>-76</v>
      </c>
      <c r="F104" s="11">
        <f t="shared" si="10"/>
        <v>-19.379761436957502</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-19.200286419303232</v>
      </c>
      <c r="E105" s="11">
        <f>A105-'Mastercurve bestimmen'!$B$2</f>
        <v>-75</v>
      </c>
      <c r="F105" s="11">
        <f t="shared" si="10"/>
        <v>-19.200286419303232</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-19.015906527381485</v>
      </c>
      <c r="E106" s="11">
        <f>A106-'Mastercurve bestimmen'!$B$2</f>
        <v>-74</v>
      </c>
      <c r="F106" s="11">
        <f t="shared" si="10"/>
        <v>-19.015906527381485</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-18.826699573574675</v>
      </c>
      <c r="E107" s="11">
        <f>A107-'Mastercurve bestimmen'!$B$2</f>
        <v>-73</v>
      </c>
      <c r="F107" s="11">
        <f t="shared" si="10"/>
        <v>-18.826699573574675</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-18.632842956908227</v>
      </c>
      <c r="E108" s="11">
        <f>A108-'Mastercurve bestimmen'!$B$2</f>
        <v>-72</v>
      </c>
      <c r="F108" s="11">
        <f t="shared" si="10"/>
        <v>-18.632842956908227</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-18.434514076407563</v>
      </c>
      <c r="E109" s="11">
        <f>A109-'Mastercurve bestimmen'!$B$2</f>
        <v>-71</v>
      </c>
      <c r="F109" s="11">
        <f t="shared" si="10"/>
        <v>-18.434514076407563</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-18.231890331098111</v>
      </c>
      <c r="E110" s="11">
        <f>A110-'Mastercurve bestimmen'!$B$2</f>
        <v>-70</v>
      </c>
      <c r="F110" s="11">
        <f t="shared" si="10"/>
        <v>-18.231890331098111</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-18.025149120005299</v>
      </c>
      <c r="E111" s="11">
        <f>A111-'Mastercurve bestimmen'!$B$2</f>
        <v>-69</v>
      </c>
      <c r="F111" s="11">
        <f t="shared" si="10"/>
        <v>-18.025149120005299</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-17.814467842154549</v>
      </c>
      <c r="E112" s="11">
        <f>A112-'Mastercurve bestimmen'!$B$2</f>
        <v>-68</v>
      </c>
      <c r="F112" s="11">
        <f t="shared" si="10"/>
        <v>-17.814467842154549</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-17.600023896571294</v>
      </c>
      <c r="E113" s="11">
        <f>A113-'Mastercurve bestimmen'!$B$2</f>
        <v>-67</v>
      </c>
      <c r="F113" s="11">
        <f t="shared" si="10"/>
        <v>-17.600023896571294</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-17.381994682280951</v>
      </c>
      <c r="E114" s="11">
        <f>A114-'Mastercurve bestimmen'!$B$2</f>
        <v>-66</v>
      </c>
      <c r="F114" s="11">
        <f t="shared" si="10"/>
        <v>-17.381994682280951</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-17.160557598308952</v>
      </c>
      <c r="E115" s="11">
        <f>A115-'Mastercurve bestimmen'!$B$2</f>
        <v>-65</v>
      </c>
      <c r="F115" s="11">
        <f t="shared" si="10"/>
        <v>-17.160557598308952</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-16.935890043680722</v>
      </c>
      <c r="E116" s="11">
        <f>A116-'Mastercurve bestimmen'!$B$2</f>
        <v>-64</v>
      </c>
      <c r="F116" s="11">
        <f t="shared" si="10"/>
        <v>-16.935890043680722</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-16.708169417421686</v>
      </c>
      <c r="E117" s="11">
        <f>A117-'Mastercurve bestimmen'!$B$2</f>
        <v>-63</v>
      </c>
      <c r="F117" s="11">
        <f t="shared" si="10"/>
        <v>-16.708169417421686</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-16.47757311855727</v>
      </c>
      <c r="E118" s="11">
        <f>A118-'Mastercurve bestimmen'!$B$2</f>
        <v>-62</v>
      </c>
      <c r="F118" s="11">
        <f t="shared" si="10"/>
        <v>-16.47757311855727</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-16.244278546112902</v>
      </c>
      <c r="E119" s="11">
        <f>A119-'Mastercurve bestimmen'!$B$2</f>
        <v>-61</v>
      </c>
      <c r="F119" s="11">
        <f t="shared" si="10"/>
        <v>-16.244278546112902</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-16.008463099114003</v>
      </c>
      <c r="E120" s="11">
        <f>A120-'Mastercurve bestimmen'!$B$2</f>
        <v>-60</v>
      </c>
      <c r="F120" s="11">
        <f t="shared" si="10"/>
        <v>-16.008463099114003</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-15.770304176586006</v>
      </c>
      <c r="E121" s="11">
        <f>A121-'Mastercurve bestimmen'!$B$2</f>
        <v>-59</v>
      </c>
      <c r="F121" s="11">
        <f t="shared" si="10"/>
        <v>-15.770304176586006</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-15.529979177554331</v>
      </c>
      <c r="E122" s="11">
        <f>A122-'Mastercurve bestimmen'!$B$2</f>
        <v>-58</v>
      </c>
      <c r="F122" s="11">
        <f t="shared" si="10"/>
        <v>-15.529979177554331</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-15.287665501044408</v>
      </c>
      <c r="E123" s="11">
        <f>A123-'Mastercurve bestimmen'!$B$2</f>
        <v>-57</v>
      </c>
      <c r="F123" s="11">
        <f t="shared" si="10"/>
        <v>-15.287665501044408</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-15.043540546081658</v>
      </c>
      <c r="E124" s="11">
        <f>A124-'Mastercurve bestimmen'!$B$2</f>
        <v>-56</v>
      </c>
      <c r="F124" s="11">
        <f t="shared" si="10"/>
        <v>-15.043540546081658</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-14.797781711691513</v>
      </c>
      <c r="E125" s="11">
        <f>A125-'Mastercurve bestimmen'!$B$2</f>
        <v>-55</v>
      </c>
      <c r="F125" s="11">
        <f t="shared" si="10"/>
        <v>-14.797781711691513</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-14.550566396899399</v>
      </c>
      <c r="E126" s="11">
        <f>A126-'Mastercurve bestimmen'!$B$2</f>
        <v>-54</v>
      </c>
      <c r="F126" s="11">
        <f t="shared" si="10"/>
        <v>-14.550566396899399</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-14.302072000730735</v>
      </c>
      <c r="E127" s="11">
        <f>A127-'Mastercurve bestimmen'!$B$2</f>
        <v>-53</v>
      </c>
      <c r="F127" s="11">
        <f t="shared" si="10"/>
        <v>-14.302072000730735</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-14.052475922210952</v>
      </c>
      <c r="E128" s="11">
        <f>A128-'Mastercurve bestimmen'!$B$2</f>
        <v>-52</v>
      </c>
      <c r="F128" s="11">
        <f t="shared" si="10"/>
        <v>-14.052475922210952</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-13.801955560365476</v>
      </c>
      <c r="E129" s="11">
        <f>A129-'Mastercurve bestimmen'!$B$2</f>
        <v>-51</v>
      </c>
      <c r="F129" s="11">
        <f t="shared" si="10"/>
        <v>-13.801955560365476</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-13.550688314219732</v>
      </c>
      <c r="E130" s="11">
        <f>A130-'Mastercurve bestimmen'!$B$2</f>
        <v>-50</v>
      </c>
      <c r="F130" s="11">
        <f t="shared" si="10"/>
        <v>-13.550688314219732</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-13.298851582799147</v>
      </c>
      <c r="E131" s="11">
        <f>A131-'Mastercurve bestimmen'!$B$2</f>
        <v>-49</v>
      </c>
      <c r="F131" s="11">
        <f t="shared" si="10"/>
        <v>-13.298851582799147</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-13.046622765129145</v>
      </c>
      <c r="E132" s="11">
        <f>A132-'Mastercurve bestimmen'!$B$2</f>
        <v>-48</v>
      </c>
      <c r="F132" s="11">
        <f t="shared" si="10"/>
        <v>-13.046622765129145</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-12.794179260235154</v>
      </c>
      <c r="E133" s="11">
        <f>A133-'Mastercurve bestimmen'!$B$2</f>
        <v>-47</v>
      </c>
      <c r="F133" s="11">
        <f t="shared" si="10"/>
        <v>-12.794179260235154</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-12.541698467142599</v>
      </c>
      <c r="E134" s="11">
        <f>A134-'Mastercurve bestimmen'!$B$2</f>
        <v>-46</v>
      </c>
      <c r="F134" s="11">
        <f t="shared" si="10"/>
        <v>-12.541698467142599</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-12.289357784876906</v>
      </c>
      <c r="E135" s="11">
        <f>A135-'Mastercurve bestimmen'!$B$2</f>
        <v>-45</v>
      </c>
      <c r="F135" s="11">
        <f t="shared" si="10"/>
        <v>-12.289357784876906</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-12.037291204320994</v>
      </c>
      <c r="E136" s="11">
        <f>A136-'Mastercurve bestimmen'!$B$2</f>
        <v>-44</v>
      </c>
      <c r="F136" s="11">
        <f t="shared" si="10"/>
        <v>-12.037291204320994</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-11.785459083787751</v>
      </c>
      <c r="E137" s="11">
        <f>A137-'Mastercurve bestimmen'!$B$2</f>
        <v>-43</v>
      </c>
      <c r="F137" s="11">
        <f t="shared" si="10"/>
        <v>-11.785459083787751</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-11.533778373447555</v>
      </c>
      <c r="E138" s="11">
        <f>A138-'Mastercurve bestimmen'!$B$2</f>
        <v>-42</v>
      </c>
      <c r="F138" s="11">
        <f t="shared" si="10"/>
        <v>-11.533778373447555</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-11.28216602347079</v>
      </c>
      <c r="E139" s="11">
        <f>A139-'Mastercurve bestimmen'!$B$2</f>
        <v>-41</v>
      </c>
      <c r="F139" s="11">
        <f t="shared" si="10"/>
        <v>-11.28216602347079</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-11.030538984027835</v>
      </c>
      <c r="E140" s="11">
        <f>A140-'Mastercurve bestimmen'!$B$2</f>
        <v>-40</v>
      </c>
      <c r="F140" s="11">
        <f t="shared" si="10"/>
        <v>-11.030538984027835</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-10.77881420528907</v>
      </c>
      <c r="E141" s="11">
        <f>A141-'Mastercurve bestimmen'!$B$2</f>
        <v>-39</v>
      </c>
      <c r="F141" s="11">
        <f t="shared" si="10"/>
        <v>-10.77881420528907</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-10.526908637424876</v>
      </c>
      <c r="E142" s="11">
        <f>A142-'Mastercurve bestimmen'!$B$2</f>
        <v>-38</v>
      </c>
      <c r="F142" s="11">
        <f t="shared" si="10"/>
        <v>-10.526908637424876</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-10.274739230605631</v>
      </c>
      <c r="E143" s="11">
        <f>A143-'Mastercurve bestimmen'!$B$2</f>
        <v>-37</v>
      </c>
      <c r="F143" s="11">
        <f t="shared" si="10"/>
        <v>-10.274739230605631</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-10.022222935001716</v>
      </c>
      <c r="E144" s="11">
        <f>A144-'Mastercurve bestimmen'!$B$2</f>
        <v>-36</v>
      </c>
      <c r="F144" s="11">
        <f t="shared" ref="F144:F207" si="15">B144</f>
        <v>-10.022222935001716</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-9.7692767007835144</v>
      </c>
      <c r="E145" s="11">
        <f>A145-'Mastercurve bestimmen'!$B$2</f>
        <v>-35</v>
      </c>
      <c r="F145" s="11">
        <f t="shared" si="15"/>
        <v>-9.7692767007835144</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-9.5158174781214058</v>
      </c>
      <c r="E146" s="11">
        <f>A146-'Mastercurve bestimmen'!$B$2</f>
        <v>-34</v>
      </c>
      <c r="F146" s="11">
        <f t="shared" si="15"/>
        <v>-9.5158174781214058</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-9.2617622171857672</v>
      </c>
      <c r="E147" s="11">
        <f>A147-'Mastercurve bestimmen'!$B$2</f>
        <v>-33</v>
      </c>
      <c r="F147" s="11">
        <f t="shared" si="15"/>
        <v>-9.2617622171857672</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-9.0070278681469826</v>
      </c>
      <c r="E148" s="11">
        <f>A148-'Mastercurve bestimmen'!$B$2</f>
        <v>-32</v>
      </c>
      <c r="F148" s="11">
        <f t="shared" si="15"/>
        <v>-9.0070278681469826</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-8.7515313811754289</v>
      </c>
      <c r="E149" s="11">
        <f>A149-'Mastercurve bestimmen'!$B$2</f>
        <v>-31</v>
      </c>
      <c r="F149" s="11">
        <f t="shared" si="15"/>
        <v>-8.7515313811754289</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-8.4951897064414901</v>
      </c>
      <c r="E150" s="11">
        <f>A150-'Mastercurve bestimmen'!$B$2</f>
        <v>-30</v>
      </c>
      <c r="F150" s="11">
        <f t="shared" si="15"/>
        <v>-8.4951897064414901</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-8.2379197941155446</v>
      </c>
      <c r="E151" s="11">
        <f>A151-'Mastercurve bestimmen'!$B$2</f>
        <v>-29</v>
      </c>
      <c r="F151" s="11">
        <f t="shared" si="15"/>
        <v>-8.2379197941155446</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-7.9796385943679731</v>
      </c>
      <c r="E152" s="11">
        <f>A152-'Mastercurve bestimmen'!$B$2</f>
        <v>-28</v>
      </c>
      <c r="F152" s="11">
        <f t="shared" si="15"/>
        <v>-7.9796385943679731</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-7.7202630573691549</v>
      </c>
      <c r="E153" s="11">
        <f>A153-'Mastercurve bestimmen'!$B$2</f>
        <v>-27</v>
      </c>
      <c r="F153" s="11">
        <f t="shared" si="15"/>
        <v>-7.7202630573691549</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-7.4597101332894722</v>
      </c>
      <c r="E154" s="11">
        <f>A154-'Mastercurve bestimmen'!$B$2</f>
        <v>-26</v>
      </c>
      <c r="F154" s="11">
        <f t="shared" si="15"/>
        <v>-7.4597101332894722</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-7.1978967722993046</v>
      </c>
      <c r="E155" s="11">
        <f>A155-'Mastercurve bestimmen'!$B$2</f>
        <v>-25</v>
      </c>
      <c r="F155" s="11">
        <f t="shared" si="15"/>
        <v>-7.1978967722993046</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-6.9347399245690315</v>
      </c>
      <c r="E156" s="11">
        <f>A156-'Mastercurve bestimmen'!$B$2</f>
        <v>-24</v>
      </c>
      <c r="F156" s="11">
        <f t="shared" si="15"/>
        <v>-6.9347399245690315</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-6.6701565402690335</v>
      </c>
      <c r="E157" s="11">
        <f>A157-'Mastercurve bestimmen'!$B$2</f>
        <v>-23</v>
      </c>
      <c r="F157" s="11">
        <f t="shared" si="15"/>
        <v>-6.6701565402690335</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-6.4040635695696917</v>
      </c>
      <c r="E158" s="11">
        <f>A158-'Mastercurve bestimmen'!$B$2</f>
        <v>-22</v>
      </c>
      <c r="F158" s="11">
        <f t="shared" si="15"/>
        <v>-6.4040635695696917</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-6.1363779626413875</v>
      </c>
      <c r="E159" s="11">
        <f>A159-'Mastercurve bestimmen'!$B$2</f>
        <v>-21</v>
      </c>
      <c r="F159" s="11">
        <f t="shared" si="15"/>
        <v>-6.1363779626413875</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-5.8670166696545003</v>
      </c>
      <c r="E160" s="11">
        <f>A160-'Mastercurve bestimmen'!$B$2</f>
        <v>-20</v>
      </c>
      <c r="F160" s="11">
        <f t="shared" si="15"/>
        <v>-5.8670166696545003</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-5.5958966407794088</v>
      </c>
      <c r="E161" s="11">
        <f>A161-'Mastercurve bestimmen'!$B$2</f>
        <v>-19</v>
      </c>
      <c r="F161" s="11">
        <f t="shared" si="15"/>
        <v>-5.5958966407794088</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-5.3229348261864962</v>
      </c>
      <c r="E162" s="11">
        <f>A162-'Mastercurve bestimmen'!$B$2</f>
        <v>-18</v>
      </c>
      <c r="F162" s="11">
        <f t="shared" si="15"/>
        <v>-5.3229348261864962</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-5.0480481760461409</v>
      </c>
      <c r="E163" s="11">
        <f>A163-'Mastercurve bestimmen'!$B$2</f>
        <v>-17</v>
      </c>
      <c r="F163" s="11">
        <f t="shared" si="15"/>
        <v>-5.0480481760461409</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-4.7711536405287225</v>
      </c>
      <c r="E164" s="11">
        <f>A164-'Mastercurve bestimmen'!$B$2</f>
        <v>-16</v>
      </c>
      <c r="F164" s="11">
        <f t="shared" si="15"/>
        <v>-4.7711536405287225</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-4.4921681698046241</v>
      </c>
      <c r="E165" s="11">
        <f>A165-'Mastercurve bestimmen'!$B$2</f>
        <v>-15</v>
      </c>
      <c r="F165" s="11">
        <f t="shared" si="15"/>
        <v>-4.4921681698046241</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-4.2110087140442243</v>
      </c>
      <c r="E166" s="11">
        <f>A166-'Mastercurve bestimmen'!$B$2</f>
        <v>-14</v>
      </c>
      <c r="F166" s="11">
        <f t="shared" si="15"/>
        <v>-4.2110087140442243</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-3.9275922234179026</v>
      </c>
      <c r="E167" s="11">
        <f>A167-'Mastercurve bestimmen'!$B$2</f>
        <v>-13</v>
      </c>
      <c r="F167" s="11">
        <f t="shared" si="15"/>
        <v>-3.9275922234179026</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-3.6418356480960412</v>
      </c>
      <c r="E168" s="11">
        <f>A168-'Mastercurve bestimmen'!$B$2</f>
        <v>-12</v>
      </c>
      <c r="F168" s="11">
        <f t="shared" si="15"/>
        <v>-3.6418356480960412</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-3.3536559382490201</v>
      </c>
      <c r="E169" s="11">
        <f>A169-'Mastercurve bestimmen'!$B$2</f>
        <v>-11</v>
      </c>
      <c r="F169" s="11">
        <f t="shared" si="15"/>
        <v>-3.3536559382490201</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-3.0629700440472187</v>
      </c>
      <c r="E170" s="11">
        <f>A170-'Mastercurve bestimmen'!$B$2</f>
        <v>-10</v>
      </c>
      <c r="F170" s="11">
        <f t="shared" si="15"/>
        <v>-3.0629700440472187</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-2.769694915661018</v>
      </c>
      <c r="E171" s="11">
        <f>A171-'Mastercurve bestimmen'!$B$2</f>
        <v>-9</v>
      </c>
      <c r="F171" s="11">
        <f t="shared" si="15"/>
        <v>-2.769694915661018</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-2.4737475032607987</v>
      </c>
      <c r="E172" s="11">
        <f>A172-'Mastercurve bestimmen'!$B$2</f>
        <v>-8</v>
      </c>
      <c r="F172" s="11">
        <f t="shared" si="15"/>
        <v>-2.4737475032607987</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-2.1750447570169404</v>
      </c>
      <c r="E173" s="11">
        <f>A173-'Mastercurve bestimmen'!$B$2</f>
        <v>-7</v>
      </c>
      <c r="F173" s="11">
        <f t="shared" si="15"/>
        <v>-2.1750447570169404</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-1.873503627099824</v>
      </c>
      <c r="E174" s="11">
        <f>A174-'Mastercurve bestimmen'!$B$2</f>
        <v>-6</v>
      </c>
      <c r="F174" s="11">
        <f t="shared" si="15"/>
        <v>-1.873503627099824</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-1.5690410636798293</v>
      </c>
      <c r="E175" s="11">
        <f>A175-'Mastercurve bestimmen'!$B$2</f>
        <v>-5</v>
      </c>
      <c r="F175" s="11">
        <f t="shared" si="15"/>
        <v>-1.5690410636798293</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-1.2615740169273373</v>
      </c>
      <c r="E176" s="11">
        <f>A176-'Mastercurve bestimmen'!$B$2</f>
        <v>-4</v>
      </c>
      <c r="F176" s="11">
        <f t="shared" si="15"/>
        <v>-1.2615740169273373</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-0.95101943701272806</v>
      </c>
      <c r="E177" s="11">
        <f>A177-'Mastercurve bestimmen'!$B$2</f>
        <v>-3</v>
      </c>
      <c r="F177" s="11">
        <f t="shared" si="15"/>
        <v>-0.95101943701272806</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-0.63729427410638173</v>
      </c>
      <c r="E178" s="11">
        <f>A178-'Mastercurve bestimmen'!$B$2</f>
        <v>-2</v>
      </c>
      <c r="F178" s="11">
        <f t="shared" si="15"/>
        <v>-0.63729427410638173</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-0.32031547837867902</v>
      </c>
      <c r="E179" s="11">
        <f>A179-'Mastercurve bestimmen'!$B$2</f>
        <v>-1</v>
      </c>
      <c r="F179" s="11">
        <f t="shared" si="15"/>
        <v>-0.32031547837867902</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2.2204460492503131E-16</v>
      </c>
      <c r="E180" s="11">
        <f>A180-'Mastercurve bestimmen'!$B$2</f>
        <v>0</v>
      </c>
      <c r="F180" s="11">
        <f t="shared" si="15"/>
        <v>2.2204460492503131E-16</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0.32370508478062104</v>
      </c>
      <c r="E181" s="11">
        <f>A181-'Mastercurve bestimmen'!$B$2</f>
        <v>1</v>
      </c>
      <c r="F181" s="11">
        <f t="shared" si="15"/>
        <v>0.32370508478062104</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0.65073219539953531</v>
      </c>
      <c r="E182" s="11">
        <f>A182-'Mastercurve bestimmen'!$B$2</f>
        <v>2</v>
      </c>
      <c r="F182" s="11">
        <f t="shared" si="15"/>
        <v>0.65073219539953531</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0.98098362521443982</v>
      </c>
      <c r="E183" s="11">
        <f>A183-'Mastercurve bestimmen'!$B$2</f>
        <v>3</v>
      </c>
      <c r="F183" s="11">
        <f t="shared" si="15"/>
        <v>0.98098362521443982</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1.3143616675830321</v>
      </c>
      <c r="E184" s="11">
        <f>A184-'Mastercurve bestimmen'!$B$2</f>
        <v>4</v>
      </c>
      <c r="F184" s="11">
        <f t="shared" si="15"/>
        <v>1.3143616675830321</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1.6507686158630093</v>
      </c>
      <c r="E185" s="11">
        <f>A185-'Mastercurve bestimmen'!$B$2</f>
        <v>5</v>
      </c>
      <c r="F185" s="11">
        <f t="shared" si="15"/>
        <v>1.6507686158630093</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1.9901067634120684</v>
      </c>
      <c r="E186" s="11">
        <f>A186-'Mastercurve bestimmen'!$B$2</f>
        <v>6</v>
      </c>
      <c r="F186" s="11">
        <f t="shared" si="15"/>
        <v>1.9901067634120684</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2.3322784035879072</v>
      </c>
      <c r="E187" s="11">
        <f>A187-'Mastercurve bestimmen'!$B$2</f>
        <v>7</v>
      </c>
      <c r="F187" s="11">
        <f t="shared" si="15"/>
        <v>2.3322784035879072</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2.6771858297482223</v>
      </c>
      <c r="E188" s="11">
        <f>A188-'Mastercurve bestimmen'!$B$2</f>
        <v>8</v>
      </c>
      <c r="F188" s="11">
        <f t="shared" si="15"/>
        <v>2.6771858297482223</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3.0247313352507117</v>
      </c>
      <c r="E189" s="11">
        <f>A189-'Mastercurve bestimmen'!$B$2</f>
        <v>9</v>
      </c>
      <c r="F189" s="11">
        <f t="shared" si="15"/>
        <v>3.0247313352507117</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3.3748172134530723</v>
      </c>
      <c r="E190" s="11">
        <f>A190-'Mastercurve bestimmen'!$B$2</f>
        <v>10</v>
      </c>
      <c r="F190" s="11">
        <f t="shared" si="15"/>
        <v>3.3748172134530723</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3.7273457577130014</v>
      </c>
      <c r="E191" s="11">
        <f>A191-'Mastercurve bestimmen'!$B$2</f>
        <v>11</v>
      </c>
      <c r="F191" s="11">
        <f t="shared" si="15"/>
        <v>3.7273457577130014</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4.0822192613881958</v>
      </c>
      <c r="E192" s="11">
        <f>A192-'Mastercurve bestimmen'!$B$2</f>
        <v>12</v>
      </c>
      <c r="F192" s="11">
        <f t="shared" si="15"/>
        <v>4.0822192613881958</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4.4393400178363533</v>
      </c>
      <c r="E193" s="11">
        <f>A193-'Mastercurve bestimmen'!$B$2</f>
        <v>13</v>
      </c>
      <c r="F193" s="11">
        <f t="shared" si="15"/>
        <v>4.4393400178363533</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4.7986103204151709</v>
      </c>
      <c r="E194" s="11">
        <f>A194-'Mastercurve bestimmen'!$B$2</f>
        <v>14</v>
      </c>
      <c r="F194" s="11">
        <f t="shared" si="15"/>
        <v>4.7986103204151709</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5.159932462482347</v>
      </c>
      <c r="E195" s="11">
        <f>A195-'Mastercurve bestimmen'!$B$2</f>
        <v>15</v>
      </c>
      <c r="F195" s="11">
        <f t="shared" si="15"/>
        <v>5.159932462482347</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5.5232087373955769</v>
      </c>
      <c r="E196" s="11">
        <f>A196-'Mastercurve bestimmen'!$B$2</f>
        <v>16</v>
      </c>
      <c r="F196" s="11">
        <f t="shared" si="15"/>
        <v>5.5232087373955769</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5.8883414385125583</v>
      </c>
      <c r="E197" s="11">
        <f>A197-'Mastercurve bestimmen'!$B$2</f>
        <v>17</v>
      </c>
      <c r="F197" s="11">
        <f t="shared" si="15"/>
        <v>5.8883414385125583</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6.2552328591909907</v>
      </c>
      <c r="E198" s="11">
        <f>A198-'Mastercurve bestimmen'!$B$2</f>
        <v>18</v>
      </c>
      <c r="F198" s="11">
        <f t="shared" si="15"/>
        <v>6.2552328591909907</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6.6237852927885683</v>
      </c>
      <c r="E199" s="11">
        <f>A199-'Mastercurve bestimmen'!$B$2</f>
        <v>19</v>
      </c>
      <c r="F199" s="11">
        <f t="shared" si="15"/>
        <v>6.6237852927885683</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6.9939010326629898</v>
      </c>
      <c r="E200" s="11">
        <f>A200-'Mastercurve bestimmen'!$B$2</f>
        <v>20</v>
      </c>
      <c r="F200" s="11">
        <f t="shared" si="15"/>
        <v>6.9939010326629898</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7.3654823721719529</v>
      </c>
      <c r="E201" s="11">
        <f>A201-'Mastercurve bestimmen'!$B$2</f>
        <v>21</v>
      </c>
      <c r="F201" s="11">
        <f t="shared" si="15"/>
        <v>7.3654823721719529</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7.7384316046731545</v>
      </c>
      <c r="E202" s="11">
        <f>A202-'Mastercurve bestimmen'!$B$2</f>
        <v>22</v>
      </c>
      <c r="F202" s="11">
        <f t="shared" si="15"/>
        <v>7.7384316046731545</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8.1126510235242915</v>
      </c>
      <c r="E203" s="11">
        <f>A203-'Mastercurve bestimmen'!$B$2</f>
        <v>23</v>
      </c>
      <c r="F203" s="11">
        <f t="shared" si="15"/>
        <v>8.1126510235242915</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8.4880429220830607</v>
      </c>
      <c r="E204" s="11">
        <f>A204-'Mastercurve bestimmen'!$B$2</f>
        <v>24</v>
      </c>
      <c r="F204" s="11">
        <f t="shared" si="15"/>
        <v>8.4880429220830607</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8.8645095937071599</v>
      </c>
      <c r="E205" s="11">
        <f>A205-'Mastercurve bestimmen'!$B$2</f>
        <v>25</v>
      </c>
      <c r="F205" s="11">
        <f t="shared" si="15"/>
        <v>8.8645095937071599</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9.2419533317542886</v>
      </c>
      <c r="E206" s="11">
        <f>A206-'Mastercurve bestimmen'!$B$2</f>
        <v>26</v>
      </c>
      <c r="F206" s="11">
        <f t="shared" si="15"/>
        <v>9.2419533317542886</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9.6202764295821392</v>
      </c>
      <c r="E207" s="11">
        <f>A207-'Mastercurve bestimmen'!$B$2</f>
        <v>27</v>
      </c>
      <c r="F207" s="11">
        <f t="shared" si="15"/>
        <v>9.6202764295821392</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9.9993811805484132</v>
      </c>
      <c r="E208" s="11">
        <f>A208-'Mastercurve bestimmen'!$B$2</f>
        <v>28</v>
      </c>
      <c r="F208" s="11">
        <f t="shared" ref="F208:F215" si="21">B208</f>
        <v>9.9993811805484132</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10.379169878010806</v>
      </c>
      <c r="E209" s="11">
        <f>A209-'Mastercurve bestimmen'!$B$2</f>
        <v>29</v>
      </c>
      <c r="F209" s="11">
        <f t="shared" si="21"/>
        <v>10.379169878010806</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10.759544815327017</v>
      </c>
      <c r="E210" s="11">
        <f>A210-'Mastercurve bestimmen'!$B$2</f>
        <v>30</v>
      </c>
      <c r="F210" s="11">
        <f t="shared" si="21"/>
        <v>10.759544815327017</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11.140408285854738</v>
      </c>
      <c r="E211" s="11">
        <f>A211-'Mastercurve bestimmen'!$B$2</f>
        <v>31</v>
      </c>
      <c r="F211" s="11">
        <f t="shared" si="21"/>
        <v>11.140408285854738</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11.521662582951672</v>
      </c>
      <c r="E212" s="11">
        <f>A212-'Mastercurve bestimmen'!$B$2</f>
        <v>32</v>
      </c>
      <c r="F212" s="11">
        <f t="shared" si="21"/>
        <v>11.521662582951672</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11.903209999975514</v>
      </c>
      <c r="E213" s="11">
        <f>A213-'Mastercurve bestimmen'!$B$2</f>
        <v>33</v>
      </c>
      <c r="F213" s="11">
        <f t="shared" si="21"/>
        <v>11.903209999975514</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12.284952830283961</v>
      </c>
      <c r="E214" s="11">
        <f>A214-'Mastercurve bestimmen'!$B$2</f>
        <v>34</v>
      </c>
      <c r="F214" s="11">
        <f t="shared" si="21"/>
        <v>12.284952830283961</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12.666793367234712</v>
      </c>
      <c r="E215" s="11">
        <f>A215-'Mastercurve bestimmen'!$B$2</f>
        <v>35</v>
      </c>
      <c r="F215" s="11">
        <f t="shared" si="21"/>
        <v>12.666793367234712</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0.31135346362997757</v>
      </c>
      <c r="J217" s="98">
        <v>1.7338135162172478E-3</v>
      </c>
      <c r="K217" s="98">
        <v>2.7044307546136931E-5</v>
      </c>
      <c r="L217" s="98">
        <v>-2.890250215672805E-7</v>
      </c>
      <c r="M217" s="98">
        <v>-1.6445637662764742E-8</v>
      </c>
      <c r="N217" s="98">
        <v>-1.9588559710123465E-10</v>
      </c>
      <c r="O217" s="98">
        <v>-9.3883052441656226E-13</v>
      </c>
      <c r="P217" s="98">
        <v>-1.6068800790496957E-15</v>
      </c>
    </row>
    <row r="218" spans="1:16" x14ac:dyDescent="0.25">
      <c r="G218" s="11"/>
      <c r="H218" s="11">
        <v>0</v>
      </c>
      <c r="I218" s="11">
        <v>1.2445981096502509E-3</v>
      </c>
      <c r="J218" s="11">
        <v>5.055511312125165E-5</v>
      </c>
      <c r="K218" s="3">
        <v>1.5582017907622796E-6</v>
      </c>
      <c r="L218" s="3">
        <v>4.0041817131277329E-8</v>
      </c>
      <c r="M218" s="3">
        <v>1.1152187666973874E-9</v>
      </c>
      <c r="N218" s="3">
        <v>1.3227119795773292E-11</v>
      </c>
      <c r="O218" s="11">
        <v>6.9498918265145869E-14</v>
      </c>
      <c r="P218" s="11">
        <v>1.3567701251642508E-16</v>
      </c>
    </row>
    <row r="219" spans="1:16" x14ac:dyDescent="0.25">
      <c r="G219" s="11"/>
      <c r="H219" s="11">
        <v>0.99997479892648533</v>
      </c>
      <c r="I219" s="11">
        <v>0.10699842458547741</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-38.311084758715765</v>
      </c>
      <c r="G222">
        <f>F15</f>
        <v>-38.51735486656284</v>
      </c>
    </row>
    <row r="223" spans="1:16" x14ac:dyDescent="0.25">
      <c r="E223" s="11">
        <f t="shared" ref="E223:E286" si="25">E16</f>
        <v>-164</v>
      </c>
      <c r="F223" s="11">
        <f t="shared" ref="F223:F286" si="26">$H$217*0+E223*$I$217+E223^2*$J$217+E223^3*$K$217+E223^4*$L$217+E223^5*$M$217+E223^6*$N$217+E223^7*$O$217+E223^8*$P$217</f>
        <v>-38.185547191471187</v>
      </c>
      <c r="G223" s="11">
        <f t="shared" ref="G223:G286" si="27">F16</f>
        <v>-38.316969833060867</v>
      </c>
    </row>
    <row r="224" spans="1:16" x14ac:dyDescent="0.25">
      <c r="E224" s="11">
        <f t="shared" si="25"/>
        <v>-163</v>
      </c>
      <c r="F224" s="11">
        <f t="shared" si="26"/>
        <v>-38.049544979208804</v>
      </c>
      <c r="G224" s="11">
        <f t="shared" si="27"/>
        <v>-38.116372859750108</v>
      </c>
    </row>
    <row r="225" spans="5:7" x14ac:dyDescent="0.25">
      <c r="E225" s="11">
        <f t="shared" si="25"/>
        <v>-162</v>
      </c>
      <c r="F225" s="11">
        <f t="shared" si="26"/>
        <v>-37.903225686319502</v>
      </c>
      <c r="G225" s="11">
        <f t="shared" si="27"/>
        <v>-37.915352006821749</v>
      </c>
    </row>
    <row r="226" spans="5:7" x14ac:dyDescent="0.25">
      <c r="E226" s="11">
        <f t="shared" si="25"/>
        <v>-161</v>
      </c>
      <c r="F226" s="11">
        <f t="shared" si="26"/>
        <v>-37.74678613656863</v>
      </c>
      <c r="G226" s="11">
        <f t="shared" si="27"/>
        <v>-37.713695334467019</v>
      </c>
    </row>
    <row r="227" spans="5:7" x14ac:dyDescent="0.25">
      <c r="E227" s="11">
        <f t="shared" si="25"/>
        <v>-160</v>
      </c>
      <c r="F227" s="11">
        <f t="shared" si="26"/>
        <v>-37.580467604655382</v>
      </c>
      <c r="G227" s="11">
        <f t="shared" si="27"/>
        <v>-37.511190902877118</v>
      </c>
    </row>
    <row r="228" spans="5:7" x14ac:dyDescent="0.25">
      <c r="E228" s="11">
        <f t="shared" si="25"/>
        <v>-159</v>
      </c>
      <c r="F228" s="11">
        <f t="shared" si="26"/>
        <v>-37.404551232470112</v>
      </c>
      <c r="G228" s="11">
        <f t="shared" si="27"/>
        <v>-37.307626772243246</v>
      </c>
    </row>
    <row r="229" spans="5:7" x14ac:dyDescent="0.25">
      <c r="E229" s="11">
        <f t="shared" si="25"/>
        <v>-158</v>
      </c>
      <c r="F229" s="11">
        <f t="shared" si="26"/>
        <v>-37.219353664291589</v>
      </c>
      <c r="G229" s="11">
        <f t="shared" si="27"/>
        <v>-37.102791002756618</v>
      </c>
    </row>
    <row r="230" spans="5:7" x14ac:dyDescent="0.25">
      <c r="E230" s="11">
        <f t="shared" si="25"/>
        <v>-157</v>
      </c>
      <c r="F230" s="11">
        <f t="shared" si="26"/>
        <v>-37.025222895277011</v>
      </c>
      <c r="G230" s="11">
        <f t="shared" si="27"/>
        <v>-36.896471654608433</v>
      </c>
    </row>
    <row r="231" spans="5:7" x14ac:dyDescent="0.25">
      <c r="E231" s="11">
        <f t="shared" si="25"/>
        <v>-156</v>
      </c>
      <c r="F231" s="11">
        <f t="shared" si="26"/>
        <v>-36.822534327634116</v>
      </c>
      <c r="G231" s="11">
        <f t="shared" si="27"/>
        <v>-36.6884567879899</v>
      </c>
    </row>
    <row r="232" spans="5:7" x14ac:dyDescent="0.25">
      <c r="E232" s="11">
        <f t="shared" si="25"/>
        <v>-155</v>
      </c>
      <c r="F232" s="11">
        <f t="shared" si="26"/>
        <v>-36.611687028935762</v>
      </c>
      <c r="G232" s="11">
        <f t="shared" si="27"/>
        <v>-36.478534463092231</v>
      </c>
    </row>
    <row r="233" spans="5:7" x14ac:dyDescent="0.25">
      <c r="E233" s="11">
        <f t="shared" si="25"/>
        <v>-154</v>
      </c>
      <c r="F233" s="11">
        <f t="shared" si="26"/>
        <v>-36.393100187111202</v>
      </c>
      <c r="G233" s="11">
        <f t="shared" si="27"/>
        <v>-36.266492740106621</v>
      </c>
    </row>
    <row r="234" spans="5:7" x14ac:dyDescent="0.25">
      <c r="E234" s="11">
        <f t="shared" si="25"/>
        <v>-153</v>
      </c>
      <c r="F234" s="11">
        <f t="shared" si="26"/>
        <v>-36.167209756700402</v>
      </c>
      <c r="G234" s="11">
        <f t="shared" si="27"/>
        <v>-36.05211967922429</v>
      </c>
    </row>
    <row r="235" spans="5:7" x14ac:dyDescent="0.25">
      <c r="E235" s="11">
        <f t="shared" si="25"/>
        <v>-152</v>
      </c>
      <c r="F235" s="11">
        <f t="shared" si="26"/>
        <v>-35.934465291031302</v>
      </c>
      <c r="G235" s="11">
        <f t="shared" si="27"/>
        <v>-35.835203340636433</v>
      </c>
    </row>
    <row r="236" spans="5:7" x14ac:dyDescent="0.25">
      <c r="E236" s="11">
        <f t="shared" si="25"/>
        <v>-151</v>
      </c>
      <c r="F236" s="11">
        <f t="shared" si="26"/>
        <v>-35.695326955038752</v>
      </c>
      <c r="G236" s="11">
        <f t="shared" si="27"/>
        <v>-35.615531784534269</v>
      </c>
    </row>
    <row r="237" spans="5:7" x14ac:dyDescent="0.25">
      <c r="E237" s="11">
        <f t="shared" si="25"/>
        <v>-150</v>
      </c>
      <c r="F237" s="11">
        <f t="shared" si="26"/>
        <v>-35.450262713521624</v>
      </c>
      <c r="G237" s="11">
        <f t="shared" si="27"/>
        <v>-35.392893071108993</v>
      </c>
    </row>
    <row r="238" spans="5:7" x14ac:dyDescent="0.25">
      <c r="E238" s="11">
        <f t="shared" si="25"/>
        <v>-149</v>
      </c>
      <c r="F238" s="11">
        <f t="shared" si="26"/>
        <v>-35.199745689668362</v>
      </c>
      <c r="G238" s="11">
        <f t="shared" si="27"/>
        <v>-35.167075260551812</v>
      </c>
    </row>
    <row r="239" spans="5:7" x14ac:dyDescent="0.25">
      <c r="E239" s="11">
        <f t="shared" si="25"/>
        <v>-148</v>
      </c>
      <c r="F239" s="11">
        <f t="shared" si="26"/>
        <v>-34.944251688792576</v>
      </c>
      <c r="G239" s="11">
        <f t="shared" si="27"/>
        <v>-34.937866413053946</v>
      </c>
    </row>
    <row r="240" spans="5:7" x14ac:dyDescent="0.25">
      <c r="E240" s="11">
        <f t="shared" si="25"/>
        <v>-147</v>
      </c>
      <c r="F240" s="11">
        <f t="shared" si="26"/>
        <v>-34.684256882243119</v>
      </c>
      <c r="G240" s="11">
        <f t="shared" si="27"/>
        <v>-34.70505458880659</v>
      </c>
    </row>
    <row r="241" spans="5:7" x14ac:dyDescent="0.25">
      <c r="E241" s="11">
        <f t="shared" si="25"/>
        <v>-146</v>
      </c>
      <c r="F241" s="11">
        <f t="shared" si="26"/>
        <v>-34.420235646535673</v>
      </c>
      <c r="G241" s="11">
        <f t="shared" si="27"/>
        <v>-34.468427848000957</v>
      </c>
    </row>
    <row r="242" spans="5:7" x14ac:dyDescent="0.25">
      <c r="E242" s="11">
        <f t="shared" si="25"/>
        <v>-145</v>
      </c>
      <c r="F242" s="11">
        <f t="shared" si="26"/>
        <v>-34.152658552823141</v>
      </c>
      <c r="G242" s="11">
        <f t="shared" si="27"/>
        <v>-34.227774250828247</v>
      </c>
    </row>
    <row r="243" spans="5:7" x14ac:dyDescent="0.25">
      <c r="E243" s="11">
        <f t="shared" si="25"/>
        <v>-144</v>
      </c>
      <c r="F243" s="11">
        <f t="shared" si="26"/>
        <v>-33.881990501874839</v>
      </c>
      <c r="G243" s="11">
        <f t="shared" si="27"/>
        <v>-33.982881857479668</v>
      </c>
    </row>
    <row r="244" spans="5:7" x14ac:dyDescent="0.25">
      <c r="E244" s="11">
        <f t="shared" si="25"/>
        <v>-143</v>
      </c>
      <c r="F244" s="11">
        <f t="shared" si="26"/>
        <v>-33.608688999806532</v>
      </c>
      <c r="G244" s="11">
        <f t="shared" si="27"/>
        <v>-33.733538728146428</v>
      </c>
    </row>
    <row r="245" spans="5:7" x14ac:dyDescent="0.25">
      <c r="E245" s="11">
        <f t="shared" si="25"/>
        <v>-142</v>
      </c>
      <c r="F245" s="11">
        <f t="shared" si="26"/>
        <v>-33.333202569864284</v>
      </c>
      <c r="G245" s="11">
        <f t="shared" si="27"/>
        <v>-33.47953292301974</v>
      </c>
    </row>
    <row r="246" spans="5:7" x14ac:dyDescent="0.25">
      <c r="E246" s="11">
        <f t="shared" si="25"/>
        <v>-141</v>
      </c>
      <c r="F246" s="11">
        <f t="shared" si="26"/>
        <v>-33.055969295634071</v>
      </c>
      <c r="G246" s="11">
        <f t="shared" si="27"/>
        <v>-33.220652502290804</v>
      </c>
    </row>
    <row r="247" spans="5:7" x14ac:dyDescent="0.25">
      <c r="E247" s="11">
        <f t="shared" si="25"/>
        <v>-140</v>
      </c>
      <c r="F247" s="11">
        <f t="shared" si="26"/>
        <v>-32.777415491110304</v>
      </c>
      <c r="G247" s="11">
        <f t="shared" si="27"/>
        <v>-32.956685526150821</v>
      </c>
    </row>
    <row r="248" spans="5:7" x14ac:dyDescent="0.25">
      <c r="E248" s="11">
        <f t="shared" si="25"/>
        <v>-139</v>
      </c>
      <c r="F248" s="11">
        <f t="shared" si="26"/>
        <v>-32.497954493122705</v>
      </c>
      <c r="G248" s="11">
        <f t="shared" si="27"/>
        <v>-32.687420054791005</v>
      </c>
    </row>
    <row r="249" spans="5:7" x14ac:dyDescent="0.25">
      <c r="E249" s="11">
        <f t="shared" si="25"/>
        <v>-138</v>
      </c>
      <c r="F249" s="11">
        <f t="shared" si="26"/>
        <v>-32.217985571685716</v>
      </c>
      <c r="G249" s="11">
        <f t="shared" si="27"/>
        <v>-32.412644148402563</v>
      </c>
    </row>
    <row r="250" spans="5:7" x14ac:dyDescent="0.25">
      <c r="E250" s="11">
        <f t="shared" si="25"/>
        <v>-137</v>
      </c>
      <c r="F250" s="11">
        <f t="shared" si="26"/>
        <v>-31.937892953898938</v>
      </c>
      <c r="G250" s="11">
        <f t="shared" si="27"/>
        <v>-32.132145867176703</v>
      </c>
    </row>
    <row r="251" spans="5:7" x14ac:dyDescent="0.25">
      <c r="E251" s="11">
        <f t="shared" si="25"/>
        <v>-136</v>
      </c>
      <c r="F251" s="11">
        <f t="shared" si="26"/>
        <v>-31.658044957092358</v>
      </c>
      <c r="G251" s="11">
        <f t="shared" si="27"/>
        <v>-31.845713271304625</v>
      </c>
    </row>
    <row r="252" spans="5:7" x14ac:dyDescent="0.25">
      <c r="E252" s="11">
        <f t="shared" si="25"/>
        <v>-135</v>
      </c>
      <c r="F252" s="11">
        <f t="shared" si="26"/>
        <v>-31.378793226974125</v>
      </c>
      <c r="G252" s="11">
        <f t="shared" si="27"/>
        <v>-31.553134420977536</v>
      </c>
    </row>
    <row r="253" spans="5:7" x14ac:dyDescent="0.25">
      <c r="E253" s="11">
        <f t="shared" si="25"/>
        <v>-134</v>
      </c>
      <c r="F253" s="11">
        <f t="shared" si="26"/>
        <v>-31.10047207660682</v>
      </c>
      <c r="G253" s="11">
        <f t="shared" si="27"/>
        <v>-31.254197376386653</v>
      </c>
    </row>
    <row r="254" spans="5:7" x14ac:dyDescent="0.25">
      <c r="E254" s="11">
        <f t="shared" si="25"/>
        <v>-133</v>
      </c>
      <c r="F254" s="11">
        <f t="shared" si="26"/>
        <v>-30.823397922093164</v>
      </c>
      <c r="G254" s="11">
        <f t="shared" si="27"/>
        <v>-30.948690197723174</v>
      </c>
    </row>
    <row r="255" spans="5:7" x14ac:dyDescent="0.25">
      <c r="E255" s="11">
        <f t="shared" si="25"/>
        <v>-132</v>
      </c>
      <c r="F255" s="11">
        <f t="shared" si="26"/>
        <v>-30.547868810936762</v>
      </c>
      <c r="G255" s="11">
        <f t="shared" si="27"/>
        <v>-30.636400945178305</v>
      </c>
    </row>
    <row r="256" spans="5:7" x14ac:dyDescent="0.25">
      <c r="E256" s="11">
        <f t="shared" si="25"/>
        <v>-131</v>
      </c>
      <c r="F256" s="11">
        <f t="shared" si="26"/>
        <v>-30.274164039076908</v>
      </c>
      <c r="G256" s="11">
        <f t="shared" si="27"/>
        <v>-30.317117678943259</v>
      </c>
    </row>
    <row r="257" spans="5:7" x14ac:dyDescent="0.25">
      <c r="E257" s="11">
        <f t="shared" si="25"/>
        <v>-130</v>
      </c>
      <c r="F257" s="11">
        <f t="shared" si="26"/>
        <v>-30.002543852700626</v>
      </c>
      <c r="G257" s="11">
        <f t="shared" si="27"/>
        <v>-29.990628459209233</v>
      </c>
    </row>
    <row r="258" spans="5:7" x14ac:dyDescent="0.25">
      <c r="E258" s="11">
        <f t="shared" si="25"/>
        <v>-129</v>
      </c>
      <c r="F258" s="11">
        <f t="shared" si="26"/>
        <v>-29.733249230960908</v>
      </c>
      <c r="G258" s="11">
        <f t="shared" si="27"/>
        <v>-29.656721346167444</v>
      </c>
    </row>
    <row r="259" spans="5:7" x14ac:dyDescent="0.25">
      <c r="E259" s="11">
        <f t="shared" si="25"/>
        <v>-128</v>
      </c>
      <c r="F259" s="11">
        <f t="shared" si="26"/>
        <v>-29.466501745824843</v>
      </c>
      <c r="G259" s="11">
        <f t="shared" si="27"/>
        <v>-29.315184400009091</v>
      </c>
    </row>
    <row r="260" spans="5:7" x14ac:dyDescent="0.25">
      <c r="E260" s="11">
        <f t="shared" si="25"/>
        <v>-127</v>
      </c>
      <c r="F260" s="11">
        <f t="shared" si="26"/>
        <v>-29.202503495323299</v>
      </c>
      <c r="G260" s="11">
        <f t="shared" si="27"/>
        <v>-28.965805680925385</v>
      </c>
    </row>
    <row r="261" spans="5:7" x14ac:dyDescent="0.25">
      <c r="E261" s="11">
        <f t="shared" si="25"/>
        <v>-126</v>
      </c>
      <c r="F261" s="11">
        <f t="shared" si="26"/>
        <v>-28.941437106544171</v>
      </c>
      <c r="G261" s="11">
        <f t="shared" si="27"/>
        <v>-28.60837324910753</v>
      </c>
    </row>
    <row r="262" spans="5:7" x14ac:dyDescent="0.25">
      <c r="E262" s="11">
        <f t="shared" si="25"/>
        <v>-125</v>
      </c>
      <c r="F262" s="11">
        <f t="shared" si="26"/>
        <v>-28.683465804776162</v>
      </c>
      <c r="G262" s="11">
        <f t="shared" si="27"/>
        <v>-28.242675164746732</v>
      </c>
    </row>
    <row r="263" spans="5:7" x14ac:dyDescent="0.25">
      <c r="E263" s="11">
        <f t="shared" si="25"/>
        <v>-124</v>
      </c>
      <c r="F263" s="11">
        <f t="shared" si="26"/>
        <v>-28.428733545274582</v>
      </c>
      <c r="G263" s="11">
        <f t="shared" si="27"/>
        <v>-28.087683983082609</v>
      </c>
    </row>
    <row r="264" spans="5:7" x14ac:dyDescent="0.25">
      <c r="E264" s="11">
        <f t="shared" si="25"/>
        <v>-123</v>
      </c>
      <c r="F264" s="11">
        <f t="shared" si="26"/>
        <v>-28.177365204183019</v>
      </c>
      <c r="G264" s="11">
        <f t="shared" si="27"/>
        <v>-27.92477425515704</v>
      </c>
    </row>
    <row r="265" spans="5:7" x14ac:dyDescent="0.25">
      <c r="E265" s="11">
        <f t="shared" si="25"/>
        <v>-122</v>
      </c>
      <c r="F265" s="11">
        <f t="shared" si="26"/>
        <v>-27.929466825214405</v>
      </c>
      <c r="G265" s="11">
        <f t="shared" si="27"/>
        <v>-27.754505027060347</v>
      </c>
    </row>
    <row r="266" spans="5:7" x14ac:dyDescent="0.25">
      <c r="E266" s="11">
        <f t="shared" si="25"/>
        <v>-121</v>
      </c>
      <c r="F266" s="11">
        <f t="shared" si="26"/>
        <v>-27.685125918753414</v>
      </c>
      <c r="G266" s="11">
        <f t="shared" si="27"/>
        <v>-27.577435344882804</v>
      </c>
    </row>
    <row r="267" spans="5:7" x14ac:dyDescent="0.25">
      <c r="E267" s="11">
        <f t="shared" si="25"/>
        <v>-120</v>
      </c>
      <c r="F267" s="11">
        <f t="shared" si="26"/>
        <v>-27.444411810114701</v>
      </c>
      <c r="G267" s="11">
        <f t="shared" si="27"/>
        <v>-27.394124254714733</v>
      </c>
    </row>
    <row r="268" spans="5:7" x14ac:dyDescent="0.25">
      <c r="E268" s="11">
        <f t="shared" si="25"/>
        <v>-119</v>
      </c>
      <c r="F268" s="11">
        <f t="shared" si="26"/>
        <v>-27.207376033747138</v>
      </c>
      <c r="G268" s="11">
        <f t="shared" si="27"/>
        <v>-27.205130802646423</v>
      </c>
    </row>
    <row r="269" spans="5:7" x14ac:dyDescent="0.25">
      <c r="E269" s="11">
        <f t="shared" si="25"/>
        <v>-118</v>
      </c>
      <c r="F269" s="11">
        <f t="shared" si="26"/>
        <v>-26.974052770248221</v>
      </c>
      <c r="G269" s="11">
        <f t="shared" si="27"/>
        <v>-27.011014034768174</v>
      </c>
    </row>
    <row r="270" spans="5:7" x14ac:dyDescent="0.25">
      <c r="E270" s="11">
        <f t="shared" si="25"/>
        <v>-117</v>
      </c>
      <c r="F270" s="11">
        <f t="shared" si="26"/>
        <v>-26.744459323109965</v>
      </c>
      <c r="G270" s="11">
        <f t="shared" si="27"/>
        <v>-26.812332997170287</v>
      </c>
    </row>
    <row r="271" spans="5:7" x14ac:dyDescent="0.25">
      <c r="E271" s="11">
        <f t="shared" si="25"/>
        <v>-116</v>
      </c>
      <c r="F271" s="11">
        <f t="shared" si="26"/>
        <v>-26.518596632188377</v>
      </c>
      <c r="G271" s="11">
        <f t="shared" si="27"/>
        <v>-26.609646735943056</v>
      </c>
    </row>
    <row r="272" spans="5:7" x14ac:dyDescent="0.25">
      <c r="E272" s="11">
        <f t="shared" si="25"/>
        <v>-115</v>
      </c>
      <c r="F272" s="11">
        <f t="shared" si="26"/>
        <v>-26.296449820947736</v>
      </c>
      <c r="G272" s="11">
        <f t="shared" si="27"/>
        <v>-26.403514297176784</v>
      </c>
    </row>
    <row r="273" spans="5:7" x14ac:dyDescent="0.25">
      <c r="E273" s="11">
        <f t="shared" si="25"/>
        <v>-114</v>
      </c>
      <c r="F273" s="11">
        <f t="shared" si="26"/>
        <v>-26.07798877460182</v>
      </c>
      <c r="G273" s="11">
        <f t="shared" si="27"/>
        <v>-26.194494726961775</v>
      </c>
    </row>
    <row r="274" spans="5:7" x14ac:dyDescent="0.25">
      <c r="E274" s="11">
        <f t="shared" si="25"/>
        <v>-113</v>
      </c>
      <c r="F274" s="11">
        <f t="shared" si="26"/>
        <v>-25.863168746332484</v>
      </c>
      <c r="G274" s="11">
        <f t="shared" si="27"/>
        <v>-25.983147071388323</v>
      </c>
    </row>
    <row r="275" spans="5:7" x14ac:dyDescent="0.25">
      <c r="E275" s="11">
        <f t="shared" si="25"/>
        <v>-112</v>
      </c>
      <c r="F275" s="11">
        <f t="shared" si="26"/>
        <v>-25.651930988837577</v>
      </c>
      <c r="G275" s="11">
        <f t="shared" si="27"/>
        <v>-25.770030376546732</v>
      </c>
    </row>
    <row r="276" spans="5:7" x14ac:dyDescent="0.25">
      <c r="E276" s="11">
        <f t="shared" si="25"/>
        <v>-111</v>
      </c>
      <c r="F276" s="11">
        <f t="shared" si="26"/>
        <v>-25.444203408518355</v>
      </c>
      <c r="G276" s="11">
        <f t="shared" si="27"/>
        <v>-25.555703688527295</v>
      </c>
    </row>
    <row r="277" spans="5:7" x14ac:dyDescent="0.25">
      <c r="E277" s="11">
        <f t="shared" si="25"/>
        <v>-110</v>
      </c>
      <c r="F277" s="11">
        <f t="shared" si="26"/>
        <v>-25.239901239686766</v>
      </c>
      <c r="G277" s="11">
        <f t="shared" si="27"/>
        <v>-25.340726053420312</v>
      </c>
    </row>
    <row r="278" spans="5:7" x14ac:dyDescent="0.25">
      <c r="E278" s="11">
        <f t="shared" si="25"/>
        <v>-109</v>
      </c>
      <c r="F278" s="11">
        <f t="shared" si="26"/>
        <v>-25.038927736234157</v>
      </c>
      <c r="G278" s="11">
        <f t="shared" si="27"/>
        <v>-25.125656517316088</v>
      </c>
    </row>
    <row r="279" spans="5:7" x14ac:dyDescent="0.25">
      <c r="E279" s="11">
        <f t="shared" si="25"/>
        <v>-108</v>
      </c>
      <c r="F279" s="11">
        <f t="shared" si="26"/>
        <v>-24.841174878270131</v>
      </c>
      <c r="G279" s="11">
        <f t="shared" si="27"/>
        <v>-24.911054126304919</v>
      </c>
    </row>
    <row r="280" spans="5:7" x14ac:dyDescent="0.25">
      <c r="E280" s="11">
        <f t="shared" si="25"/>
        <v>-107</v>
      </c>
      <c r="F280" s="11">
        <f t="shared" si="26"/>
        <v>-24.646524091302958</v>
      </c>
      <c r="G280" s="11">
        <f t="shared" si="27"/>
        <v>-24.697477926477106</v>
      </c>
    </row>
    <row r="281" spans="5:7" x14ac:dyDescent="0.25">
      <c r="E281" s="11">
        <f t="shared" si="25"/>
        <v>-106</v>
      </c>
      <c r="F281" s="11">
        <f t="shared" si="26"/>
        <v>-24.454846975599416</v>
      </c>
      <c r="G281" s="11">
        <f t="shared" si="27"/>
        <v>-24.485486963922945</v>
      </c>
    </row>
    <row r="282" spans="5:7" x14ac:dyDescent="0.25">
      <c r="E282" s="11">
        <f t="shared" si="25"/>
        <v>-105</v>
      </c>
      <c r="F282" s="11">
        <f t="shared" si="26"/>
        <v>-24.266006043426376</v>
      </c>
      <c r="G282" s="11">
        <f t="shared" si="27"/>
        <v>-24.275640284732734</v>
      </c>
    </row>
    <row r="283" spans="5:7" x14ac:dyDescent="0.25">
      <c r="E283" s="11">
        <f t="shared" si="25"/>
        <v>-104</v>
      </c>
      <c r="F283" s="11">
        <f t="shared" si="26"/>
        <v>-24.079855461940415</v>
      </c>
      <c r="G283" s="11">
        <f t="shared" si="27"/>
        <v>-24.06849693499678</v>
      </c>
    </row>
    <row r="284" spans="5:7" x14ac:dyDescent="0.25">
      <c r="E284" s="11">
        <f t="shared" si="25"/>
        <v>-103</v>
      </c>
      <c r="F284" s="11">
        <f t="shared" si="26"/>
        <v>-23.896241799557146</v>
      </c>
      <c r="G284" s="11">
        <f t="shared" si="27"/>
        <v>-23.864615960805377</v>
      </c>
    </row>
    <row r="285" spans="5:7" x14ac:dyDescent="0.25">
      <c r="E285" s="11">
        <f t="shared" si="25"/>
        <v>-102</v>
      </c>
      <c r="F285" s="11">
        <f t="shared" si="26"/>
        <v>-23.71500477369721</v>
      </c>
      <c r="G285" s="11">
        <f t="shared" si="27"/>
        <v>-23.664556408248828</v>
      </c>
    </row>
    <row r="286" spans="5:7" x14ac:dyDescent="0.25">
      <c r="E286" s="11">
        <f t="shared" si="25"/>
        <v>-101</v>
      </c>
      <c r="F286" s="11">
        <f t="shared" si="26"/>
        <v>-23.535977997869534</v>
      </c>
      <c r="G286" s="11">
        <f t="shared" si="27"/>
        <v>-23.468877323417427</v>
      </c>
    </row>
    <row r="287" spans="5:7" x14ac:dyDescent="0.25">
      <c r="E287" s="11">
        <f t="shared" ref="E287:E350" si="28">E80</f>
        <v>-100</v>
      </c>
      <c r="F287" s="11">
        <f t="shared" ref="F287:F350" si="29">$H$217*0+E287*$I$217+E287^2*$J$217+E287^3*$K$217+E287^4*$L$217+E287^5*$M$217+E287^6*$N$217+E287^7*$O$217+E287^8*$P$217</f>
        <v>-23.358989726118217</v>
      </c>
      <c r="G287" s="11">
        <f t="shared" ref="G287:G350" si="30">F80</f>
        <v>-23.278137752401474</v>
      </c>
    </row>
    <row r="288" spans="5:7" x14ac:dyDescent="0.25">
      <c r="E288" s="11">
        <f t="shared" si="28"/>
        <v>-99</v>
      </c>
      <c r="F288" s="11">
        <f t="shared" si="29"/>
        <v>-23.183863592923601</v>
      </c>
      <c r="G288" s="11">
        <f t="shared" si="30"/>
        <v>-23.092733546804116</v>
      </c>
    </row>
    <row r="289" spans="5:7" x14ac:dyDescent="0.25">
      <c r="E289" s="11">
        <f t="shared" si="28"/>
        <v>-98</v>
      </c>
      <c r="F289" s="11">
        <f t="shared" si="29"/>
        <v>-23.010419346713562</v>
      </c>
      <c r="G289" s="11">
        <f t="shared" si="30"/>
        <v>-22.912407780279853</v>
      </c>
    </row>
    <row r="290" spans="5:7" x14ac:dyDescent="0.25">
      <c r="E290" s="11">
        <f t="shared" si="28"/>
        <v>-97</v>
      </c>
      <c r="F290" s="11">
        <f t="shared" si="29"/>
        <v>-22.838473575204475</v>
      </c>
      <c r="G290" s="11">
        <f t="shared" si="30"/>
        <v>-22.736740331996042</v>
      </c>
    </row>
    <row r="291" spans="5:7" x14ac:dyDescent="0.25">
      <c r="E291" s="11">
        <f t="shared" si="28"/>
        <v>-96</v>
      </c>
      <c r="F291" s="11">
        <f t="shared" si="29"/>
        <v>-22.667840420858361</v>
      </c>
      <c r="G291" s="11">
        <f t="shared" si="30"/>
        <v>-22.565311081120036</v>
      </c>
    </row>
    <row r="292" spans="5:7" x14ac:dyDescent="0.25">
      <c r="E292" s="11">
        <f t="shared" si="28"/>
        <v>-95</v>
      </c>
      <c r="F292" s="11">
        <f t="shared" si="29"/>
        <v>-22.498332284804896</v>
      </c>
      <c r="G292" s="11">
        <f t="shared" si="30"/>
        <v>-22.397699906819174</v>
      </c>
    </row>
    <row r="293" spans="5:7" x14ac:dyDescent="0.25">
      <c r="E293" s="11">
        <f t="shared" si="28"/>
        <v>-94</v>
      </c>
      <c r="F293" s="11">
        <f t="shared" si="29"/>
        <v>-22.329760517643486</v>
      </c>
      <c r="G293" s="11">
        <f t="shared" si="30"/>
        <v>-22.233486688260818</v>
      </c>
    </row>
    <row r="294" spans="5:7" x14ac:dyDescent="0.25">
      <c r="E294" s="11">
        <f t="shared" si="28"/>
        <v>-93</v>
      </c>
      <c r="F294" s="11">
        <f t="shared" si="29"/>
        <v>-22.161936095605405</v>
      </c>
      <c r="G294" s="11">
        <f t="shared" si="30"/>
        <v>-22.072251304612312</v>
      </c>
    </row>
    <row r="295" spans="5:7" x14ac:dyDescent="0.25">
      <c r="E295" s="11">
        <f t="shared" si="28"/>
        <v>-92</v>
      </c>
      <c r="F295" s="11">
        <f t="shared" si="29"/>
        <v>-21.994670280619516</v>
      </c>
      <c r="G295" s="11">
        <f t="shared" si="30"/>
        <v>-21.913573635041008</v>
      </c>
    </row>
    <row r="296" spans="5:7" x14ac:dyDescent="0.25">
      <c r="E296" s="11">
        <f t="shared" si="28"/>
        <v>-91</v>
      </c>
      <c r="F296" s="11">
        <f t="shared" si="29"/>
        <v>-21.827775262891265</v>
      </c>
      <c r="G296" s="11">
        <f t="shared" si="30"/>
        <v>-21.757033558714255</v>
      </c>
    </row>
    <row r="297" spans="5:7" x14ac:dyDescent="0.25">
      <c r="E297" s="11">
        <f t="shared" si="28"/>
        <v>-90</v>
      </c>
      <c r="F297" s="11">
        <f t="shared" si="29"/>
        <v>-21.661064784668497</v>
      </c>
      <c r="G297" s="11">
        <f t="shared" si="30"/>
        <v>-21.602210954799403</v>
      </c>
    </row>
    <row r="298" spans="5:7" x14ac:dyDescent="0.25">
      <c r="E298" s="11">
        <f t="shared" si="28"/>
        <v>-89</v>
      </c>
      <c r="F298" s="11">
        <f t="shared" si="29"/>
        <v>-21.494354743933108</v>
      </c>
      <c r="G298" s="11">
        <f t="shared" si="30"/>
        <v>-21.448685702463813</v>
      </c>
    </row>
    <row r="299" spans="5:7" x14ac:dyDescent="0.25">
      <c r="E299" s="11">
        <f t="shared" si="28"/>
        <v>-88</v>
      </c>
      <c r="F299" s="11">
        <f t="shared" si="29"/>
        <v>-21.327463776821585</v>
      </c>
      <c r="G299" s="11">
        <f t="shared" si="30"/>
        <v>-21.296037680874818</v>
      </c>
    </row>
    <row r="300" spans="5:7" x14ac:dyDescent="0.25">
      <c r="E300" s="11">
        <f t="shared" si="28"/>
        <v>-87</v>
      </c>
      <c r="F300" s="11">
        <f t="shared" si="29"/>
        <v>-21.160213817643179</v>
      </c>
      <c r="G300" s="11">
        <f t="shared" si="30"/>
        <v>-21.143846769199779</v>
      </c>
    </row>
    <row r="301" spans="5:7" x14ac:dyDescent="0.25">
      <c r="E301" s="11">
        <f t="shared" si="28"/>
        <v>-86</v>
      </c>
      <c r="F301" s="11">
        <f t="shared" si="29"/>
        <v>-20.992430635428317</v>
      </c>
      <c r="G301" s="11">
        <f t="shared" si="30"/>
        <v>-20.991692846606043</v>
      </c>
    </row>
    <row r="302" spans="5:7" x14ac:dyDescent="0.25">
      <c r="E302" s="11">
        <f t="shared" si="28"/>
        <v>-85</v>
      </c>
      <c r="F302" s="11">
        <f t="shared" si="29"/>
        <v>-20.823944346005469</v>
      </c>
      <c r="G302" s="11">
        <f t="shared" si="30"/>
        <v>-20.839155792260961</v>
      </c>
    </row>
    <row r="303" spans="5:7" x14ac:dyDescent="0.25">
      <c r="E303" s="11">
        <f t="shared" si="28"/>
        <v>-84</v>
      </c>
      <c r="F303" s="11">
        <f t="shared" si="29"/>
        <v>-20.654589898668778</v>
      </c>
      <c r="G303" s="11">
        <f t="shared" si="30"/>
        <v>-20.685815485331887</v>
      </c>
    </row>
    <row r="304" spans="5:7" x14ac:dyDescent="0.25">
      <c r="E304" s="11">
        <f t="shared" si="28"/>
        <v>-83</v>
      </c>
      <c r="F304" s="11">
        <f t="shared" si="29"/>
        <v>-20.484207536564249</v>
      </c>
      <c r="G304" s="11">
        <f t="shared" si="30"/>
        <v>-20.531251804986166</v>
      </c>
    </row>
    <row r="305" spans="5:7" x14ac:dyDescent="0.25">
      <c r="E305" s="11">
        <f t="shared" si="28"/>
        <v>-82</v>
      </c>
      <c r="F305" s="11">
        <f t="shared" si="29"/>
        <v>-20.3126432299862</v>
      </c>
      <c r="G305" s="11">
        <f t="shared" si="30"/>
        <v>-20.375044630391152</v>
      </c>
    </row>
    <row r="306" spans="5:7" x14ac:dyDescent="0.25">
      <c r="E306" s="11">
        <f t="shared" si="28"/>
        <v>-81</v>
      </c>
      <c r="F306" s="11">
        <f t="shared" si="29"/>
        <v>-20.13974908184154</v>
      </c>
      <c r="G306" s="11">
        <f t="shared" si="30"/>
        <v>-20.216773840714193</v>
      </c>
    </row>
    <row r="307" spans="5:7" x14ac:dyDescent="0.25">
      <c r="E307" s="11">
        <f t="shared" si="28"/>
        <v>-80</v>
      </c>
      <c r="F307" s="11">
        <f t="shared" si="29"/>
        <v>-19.965383704603237</v>
      </c>
      <c r="G307" s="11">
        <f t="shared" si="30"/>
        <v>-20.05601931512264</v>
      </c>
    </row>
    <row r="308" spans="5:7" x14ac:dyDescent="0.25">
      <c r="E308" s="11">
        <f t="shared" si="28"/>
        <v>-79</v>
      </c>
      <c r="F308" s="11">
        <f t="shared" si="29"/>
        <v>-19.789412568139824</v>
      </c>
      <c r="G308" s="11">
        <f t="shared" si="30"/>
        <v>-19.892360932783845</v>
      </c>
    </row>
    <row r="309" spans="5:7" x14ac:dyDescent="0.25">
      <c r="E309" s="11">
        <f t="shared" si="28"/>
        <v>-78</v>
      </c>
      <c r="F309" s="11">
        <f t="shared" si="29"/>
        <v>-19.611708317872029</v>
      </c>
      <c r="G309" s="11">
        <f t="shared" si="30"/>
        <v>-19.725378572865154</v>
      </c>
    </row>
    <row r="310" spans="5:7" x14ac:dyDescent="0.25">
      <c r="E310" s="11">
        <f t="shared" si="28"/>
        <v>-77</v>
      </c>
      <c r="F310" s="11">
        <f t="shared" si="29"/>
        <v>-19.432151062773084</v>
      </c>
      <c r="G310" s="11">
        <f t="shared" si="30"/>
        <v>-19.554652114533923</v>
      </c>
    </row>
    <row r="311" spans="5:7" x14ac:dyDescent="0.25">
      <c r="E311" s="11">
        <f t="shared" si="28"/>
        <v>-76</v>
      </c>
      <c r="F311" s="11">
        <f t="shared" si="29"/>
        <v>-19.250628632793251</v>
      </c>
      <c r="G311" s="11">
        <f t="shared" si="30"/>
        <v>-19.379761436957502</v>
      </c>
    </row>
    <row r="312" spans="5:7" x14ac:dyDescent="0.25">
      <c r="E312" s="11">
        <f t="shared" si="28"/>
        <v>-75</v>
      </c>
      <c r="F312" s="11">
        <f t="shared" si="29"/>
        <v>-19.067036805354562</v>
      </c>
      <c r="G312" s="11">
        <f t="shared" si="30"/>
        <v>-19.200286419303232</v>
      </c>
    </row>
    <row r="313" spans="5:7" x14ac:dyDescent="0.25">
      <c r="E313" s="11">
        <f t="shared" si="28"/>
        <v>-74</v>
      </c>
      <c r="F313" s="11">
        <f t="shared" si="29"/>
        <v>-18.881279500626285</v>
      </c>
      <c r="G313" s="11">
        <f t="shared" si="30"/>
        <v>-19.015906527381485</v>
      </c>
    </row>
    <row r="314" spans="5:7" x14ac:dyDescent="0.25">
      <c r="E314" s="11">
        <f t="shared" si="28"/>
        <v>-73</v>
      </c>
      <c r="F314" s="11">
        <f t="shared" si="29"/>
        <v>-18.693268945356248</v>
      </c>
      <c r="G314" s="11">
        <f t="shared" si="30"/>
        <v>-18.826699573574675</v>
      </c>
    </row>
    <row r="315" spans="5:7" x14ac:dyDescent="0.25">
      <c r="E315" s="11">
        <f t="shared" si="28"/>
        <v>-72</v>
      </c>
      <c r="F315" s="11">
        <f t="shared" si="29"/>
        <v>-18.502925805098357</v>
      </c>
      <c r="G315" s="11">
        <f t="shared" si="30"/>
        <v>-18.632842956908227</v>
      </c>
    </row>
    <row r="316" spans="5:7" x14ac:dyDescent="0.25">
      <c r="E316" s="11">
        <f t="shared" si="28"/>
        <v>-71</v>
      </c>
      <c r="F316" s="11">
        <f t="shared" si="29"/>
        <v>-18.31017928474105</v>
      </c>
      <c r="G316" s="11">
        <f t="shared" si="30"/>
        <v>-18.434514076407563</v>
      </c>
    </row>
    <row r="317" spans="5:7" x14ac:dyDescent="0.25">
      <c r="E317" s="11">
        <f t="shared" si="28"/>
        <v>-70</v>
      </c>
      <c r="F317" s="11">
        <f t="shared" si="29"/>
        <v>-18.114967197306431</v>
      </c>
      <c r="G317" s="11">
        <f t="shared" si="30"/>
        <v>-18.231890331098111</v>
      </c>
    </row>
    <row r="318" spans="5:7" x14ac:dyDescent="0.25">
      <c r="E318" s="11">
        <f t="shared" si="28"/>
        <v>-69</v>
      </c>
      <c r="F318" s="11">
        <f t="shared" si="29"/>
        <v>-17.91723600105454</v>
      </c>
      <c r="G318" s="11">
        <f t="shared" si="30"/>
        <v>-18.025149120005299</v>
      </c>
    </row>
    <row r="319" spans="5:7" x14ac:dyDescent="0.25">
      <c r="E319" s="11">
        <f t="shared" si="28"/>
        <v>-68</v>
      </c>
      <c r="F319" s="11">
        <f t="shared" si="29"/>
        <v>-17.716940804992078</v>
      </c>
      <c r="G319" s="11">
        <f t="shared" si="30"/>
        <v>-17.814467842154549</v>
      </c>
    </row>
    <row r="320" spans="5:7" x14ac:dyDescent="0.25">
      <c r="E320" s="11">
        <f t="shared" si="28"/>
        <v>-67</v>
      </c>
      <c r="F320" s="11">
        <f t="shared" si="29"/>
        <v>-17.514045342949505</v>
      </c>
      <c r="G320" s="11">
        <f t="shared" si="30"/>
        <v>-17.600023896571294</v>
      </c>
    </row>
    <row r="321" spans="5:7" x14ac:dyDescent="0.25">
      <c r="E321" s="11">
        <f t="shared" si="28"/>
        <v>-66</v>
      </c>
      <c r="F321" s="11">
        <f t="shared" si="29"/>
        <v>-17.308521916455522</v>
      </c>
      <c r="G321" s="11">
        <f t="shared" si="30"/>
        <v>-17.381994682280951</v>
      </c>
    </row>
    <row r="322" spans="5:7" x14ac:dyDescent="0.25">
      <c r="E322" s="11">
        <f t="shared" si="28"/>
        <v>-65</v>
      </c>
      <c r="F322" s="11">
        <f t="shared" si="29"/>
        <v>-17.10035130670245</v>
      </c>
      <c r="G322" s="11">
        <f t="shared" si="30"/>
        <v>-17.160557598308952</v>
      </c>
    </row>
    <row r="323" spans="5:7" x14ac:dyDescent="0.25">
      <c r="E323" s="11">
        <f t="shared" si="28"/>
        <v>-64</v>
      </c>
      <c r="F323" s="11">
        <f t="shared" si="29"/>
        <v>-16.889522655960945</v>
      </c>
      <c r="G323" s="11">
        <f t="shared" si="30"/>
        <v>-16.935890043680722</v>
      </c>
    </row>
    <row r="324" spans="5:7" x14ac:dyDescent="0.25">
      <c r="E324" s="11">
        <f t="shared" si="28"/>
        <v>-63</v>
      </c>
      <c r="F324" s="11">
        <f t="shared" si="29"/>
        <v>-16.676033318867326</v>
      </c>
      <c r="G324" s="11">
        <f t="shared" si="30"/>
        <v>-16.708169417421686</v>
      </c>
    </row>
    <row r="325" spans="5:7" x14ac:dyDescent="0.25">
      <c r="E325" s="11">
        <f t="shared" si="28"/>
        <v>-62</v>
      </c>
      <c r="F325" s="11">
        <f t="shared" si="29"/>
        <v>-16.459888684071419</v>
      </c>
      <c r="G325" s="11">
        <f t="shared" si="30"/>
        <v>-16.47757311855727</v>
      </c>
    </row>
    <row r="326" spans="5:7" x14ac:dyDescent="0.25">
      <c r="E326" s="11">
        <f t="shared" si="28"/>
        <v>-61</v>
      </c>
      <c r="F326" s="11">
        <f t="shared" si="29"/>
        <v>-16.241101966797821</v>
      </c>
      <c r="G326" s="11">
        <f t="shared" si="30"/>
        <v>-16.244278546112902</v>
      </c>
    </row>
    <row r="327" spans="5:7" x14ac:dyDescent="0.25">
      <c r="E327" s="11">
        <f t="shared" si="28"/>
        <v>-60</v>
      </c>
      <c r="F327" s="11">
        <f t="shared" si="29"/>
        <v>-16.019693972938001</v>
      </c>
      <c r="G327" s="11">
        <f t="shared" si="30"/>
        <v>-16.008463099114003</v>
      </c>
    </row>
    <row r="328" spans="5:7" x14ac:dyDescent="0.25">
      <c r="E328" s="11">
        <f t="shared" si="28"/>
        <v>-59</v>
      </c>
      <c r="F328" s="11">
        <f t="shared" si="29"/>
        <v>-15.795692835355791</v>
      </c>
      <c r="G328" s="11">
        <f t="shared" si="30"/>
        <v>-15.770304176586006</v>
      </c>
    </row>
    <row r="329" spans="5:7" x14ac:dyDescent="0.25">
      <c r="E329" s="11">
        <f t="shared" si="28"/>
        <v>-58</v>
      </c>
      <c r="F329" s="11">
        <f t="shared" si="29"/>
        <v>-15.569133723153287</v>
      </c>
      <c r="G329" s="11">
        <f t="shared" si="30"/>
        <v>-15.529979177554331</v>
      </c>
    </row>
    <row r="330" spans="5:7" x14ac:dyDescent="0.25">
      <c r="E330" s="11">
        <f t="shared" si="28"/>
        <v>-57</v>
      </c>
      <c r="F330" s="11">
        <f t="shared" si="29"/>
        <v>-15.340058524709194</v>
      </c>
      <c r="G330" s="11">
        <f t="shared" si="30"/>
        <v>-15.287665501044408</v>
      </c>
    </row>
    <row r="331" spans="5:7" x14ac:dyDescent="0.25">
      <c r="E331" s="11">
        <f t="shared" si="28"/>
        <v>-56</v>
      </c>
      <c r="F331" s="11">
        <f t="shared" si="29"/>
        <v>-15.108515505366229</v>
      </c>
      <c r="G331" s="11">
        <f t="shared" si="30"/>
        <v>-15.043540546081658</v>
      </c>
    </row>
    <row r="332" spans="5:7" x14ac:dyDescent="0.25">
      <c r="E332" s="11">
        <f t="shared" si="28"/>
        <v>-55</v>
      </c>
      <c r="F332" s="11">
        <f t="shared" si="29"/>
        <v>-14.874558940709319</v>
      </c>
      <c r="G332" s="11">
        <f t="shared" si="30"/>
        <v>-14.797781711691513</v>
      </c>
    </row>
    <row r="333" spans="5:7" x14ac:dyDescent="0.25">
      <c r="E333" s="11">
        <f t="shared" si="28"/>
        <v>-54</v>
      </c>
      <c r="F333" s="11">
        <f t="shared" si="29"/>
        <v>-14.638248726440672</v>
      </c>
      <c r="G333" s="11">
        <f t="shared" si="30"/>
        <v>-14.550566396899399</v>
      </c>
    </row>
    <row r="334" spans="5:7" x14ac:dyDescent="0.25">
      <c r="E334" s="11">
        <f t="shared" si="28"/>
        <v>-53</v>
      </c>
      <c r="F334" s="11">
        <f t="shared" si="29"/>
        <v>-14.399649965922967</v>
      </c>
      <c r="G334" s="11">
        <f t="shared" si="30"/>
        <v>-14.302072000730735</v>
      </c>
    </row>
    <row r="335" spans="5:7" x14ac:dyDescent="0.25">
      <c r="E335" s="11">
        <f t="shared" si="28"/>
        <v>-52</v>
      </c>
      <c r="F335" s="11">
        <f t="shared" si="29"/>
        <v>-14.158832536526569</v>
      </c>
      <c r="G335" s="11">
        <f t="shared" si="30"/>
        <v>-14.052475922210952</v>
      </c>
    </row>
    <row r="336" spans="5:7" x14ac:dyDescent="0.25">
      <c r="E336" s="11">
        <f t="shared" si="28"/>
        <v>-51</v>
      </c>
      <c r="F336" s="11">
        <f t="shared" si="29"/>
        <v>-13.91587063598134</v>
      </c>
      <c r="G336" s="11">
        <f t="shared" si="30"/>
        <v>-13.801955560365476</v>
      </c>
    </row>
    <row r="337" spans="5:7" x14ac:dyDescent="0.25">
      <c r="E337" s="11">
        <f t="shared" si="28"/>
        <v>-50</v>
      </c>
      <c r="F337" s="11">
        <f t="shared" si="29"/>
        <v>-13.670842309998632</v>
      </c>
      <c r="G337" s="11">
        <f t="shared" si="30"/>
        <v>-13.550688314219732</v>
      </c>
    </row>
    <row r="338" spans="5:7" x14ac:dyDescent="0.25">
      <c r="E338" s="11">
        <f t="shared" si="28"/>
        <v>-49</v>
      </c>
      <c r="F338" s="11">
        <f t="shared" si="29"/>
        <v>-13.423828962493642</v>
      </c>
      <c r="G338" s="11">
        <f t="shared" si="30"/>
        <v>-13.298851582799147</v>
      </c>
    </row>
    <row r="339" spans="5:7" x14ac:dyDescent="0.25">
      <c r="E339" s="11">
        <f t="shared" si="28"/>
        <v>-48</v>
      </c>
      <c r="F339" s="11">
        <f t="shared" si="29"/>
        <v>-13.174914849803283</v>
      </c>
      <c r="G339" s="11">
        <f t="shared" si="30"/>
        <v>-13.046622765129145</v>
      </c>
    </row>
    <row r="340" spans="5:7" x14ac:dyDescent="0.25">
      <c r="E340" s="11">
        <f t="shared" si="28"/>
        <v>-47</v>
      </c>
      <c r="F340" s="11">
        <f t="shared" si="29"/>
        <v>-12.924186560359264</v>
      </c>
      <c r="G340" s="11">
        <f t="shared" si="30"/>
        <v>-12.794179260235154</v>
      </c>
    </row>
    <row r="341" spans="5:7" x14ac:dyDescent="0.25">
      <c r="E341" s="11">
        <f t="shared" si="28"/>
        <v>-46</v>
      </c>
      <c r="F341" s="11">
        <f t="shared" si="29"/>
        <v>-12.671732481341142</v>
      </c>
      <c r="G341" s="11">
        <f t="shared" si="30"/>
        <v>-12.541698467142599</v>
      </c>
    </row>
    <row r="342" spans="5:7" x14ac:dyDescent="0.25">
      <c r="E342" s="11">
        <f t="shared" si="28"/>
        <v>-45</v>
      </c>
      <c r="F342" s="11">
        <f t="shared" si="29"/>
        <v>-12.417642253898716</v>
      </c>
      <c r="G342" s="11">
        <f t="shared" si="30"/>
        <v>-12.289357784876906</v>
      </c>
    </row>
    <row r="343" spans="5:7" x14ac:dyDescent="0.25">
      <c r="E343" s="11">
        <f t="shared" si="28"/>
        <v>-44</v>
      </c>
      <c r="F343" s="11">
        <f t="shared" si="29"/>
        <v>-12.162006218597933</v>
      </c>
      <c r="G343" s="11">
        <f t="shared" si="30"/>
        <v>-12.037291204320994</v>
      </c>
    </row>
    <row r="344" spans="5:7" x14ac:dyDescent="0.25">
      <c r="E344" s="11">
        <f t="shared" si="28"/>
        <v>-43</v>
      </c>
      <c r="F344" s="11">
        <f t="shared" si="29"/>
        <v>-11.904914852809387</v>
      </c>
      <c r="G344" s="11">
        <f t="shared" si="30"/>
        <v>-11.785459083787751</v>
      </c>
    </row>
    <row r="345" spans="5:7" x14ac:dyDescent="0.25">
      <c r="E345" s="11">
        <f t="shared" si="28"/>
        <v>-42</v>
      </c>
      <c r="F345" s="11">
        <f t="shared" si="29"/>
        <v>-11.646458201823139</v>
      </c>
      <c r="G345" s="11">
        <f t="shared" si="30"/>
        <v>-11.533778373447555</v>
      </c>
    </row>
    <row r="346" spans="5:7" x14ac:dyDescent="0.25">
      <c r="E346" s="11">
        <f t="shared" si="28"/>
        <v>-41</v>
      </c>
      <c r="F346" s="11">
        <f t="shared" si="29"/>
        <v>-11.386725305538432</v>
      </c>
      <c r="G346" s="11">
        <f t="shared" si="30"/>
        <v>-11.28216602347079</v>
      </c>
    </row>
    <row r="347" spans="5:7" x14ac:dyDescent="0.25">
      <c r="E347" s="11">
        <f t="shared" si="28"/>
        <v>-40</v>
      </c>
      <c r="F347" s="11">
        <f t="shared" si="29"/>
        <v>-11.125803622641705</v>
      </c>
      <c r="G347" s="11">
        <f t="shared" si="30"/>
        <v>-11.030538984027835</v>
      </c>
    </row>
    <row r="348" spans="5:7" x14ac:dyDescent="0.25">
      <c r="E348" s="11">
        <f t="shared" si="28"/>
        <v>-39</v>
      </c>
      <c r="F348" s="11">
        <f t="shared" si="29"/>
        <v>-10.863778454251065</v>
      </c>
      <c r="G348" s="11">
        <f t="shared" si="30"/>
        <v>-10.77881420528907</v>
      </c>
    </row>
    <row r="349" spans="5:7" x14ac:dyDescent="0.25">
      <c r="E349" s="11">
        <f t="shared" si="28"/>
        <v>-38</v>
      </c>
      <c r="F349" s="11">
        <f t="shared" si="29"/>
        <v>-10.600732369070085</v>
      </c>
      <c r="G349" s="11">
        <f t="shared" si="30"/>
        <v>-10.526908637424876</v>
      </c>
    </row>
    <row r="350" spans="5:7" x14ac:dyDescent="0.25">
      <c r="E350" s="11">
        <f t="shared" si="28"/>
        <v>-37</v>
      </c>
      <c r="F350" s="11">
        <f t="shared" si="29"/>
        <v>-10.336744632158776</v>
      </c>
      <c r="G350" s="11">
        <f t="shared" si="30"/>
        <v>-10.274739230605631</v>
      </c>
    </row>
    <row r="351" spans="5:7" x14ac:dyDescent="0.25">
      <c r="E351" s="11">
        <f t="shared" ref="E351:E414" si="31">E144</f>
        <v>-36</v>
      </c>
      <c r="F351" s="11">
        <f t="shared" ref="F351:F414" si="32">$H$217*0+E351*$I$217+E351^2*$J$217+E351^3*$K$217+E351^4*$L$217+E351^5*$M$217+E351^6*$N$217+E351^7*$O$217+E351^8*$P$217</f>
        <v>-10.071890639494159</v>
      </c>
      <c r="G351" s="11">
        <f t="shared" ref="G351:G414" si="33">F144</f>
        <v>-10.022222935001716</v>
      </c>
    </row>
    <row r="352" spans="5:7" x14ac:dyDescent="0.25">
      <c r="E352" s="11">
        <f t="shared" si="31"/>
        <v>-35</v>
      </c>
      <c r="F352" s="11">
        <f t="shared" si="32"/>
        <v>-9.8062413605578307</v>
      </c>
      <c r="G352" s="11">
        <f t="shared" si="33"/>
        <v>-9.7692767007835144</v>
      </c>
    </row>
    <row r="353" spans="5:7" x14ac:dyDescent="0.25">
      <c r="E353" s="11">
        <f t="shared" si="31"/>
        <v>-34</v>
      </c>
      <c r="F353" s="11">
        <f t="shared" si="32"/>
        <v>-9.5398627912525562</v>
      </c>
      <c r="G353" s="11">
        <f t="shared" si="33"/>
        <v>-9.5158174781214058</v>
      </c>
    </row>
    <row r="354" spans="5:7" x14ac:dyDescent="0.25">
      <c r="E354" s="11">
        <f t="shared" si="31"/>
        <v>-33</v>
      </c>
      <c r="F354" s="11">
        <f t="shared" si="32"/>
        <v>-9.2728154195148154</v>
      </c>
      <c r="G354" s="11">
        <f t="shared" si="33"/>
        <v>-9.2617622171857672</v>
      </c>
    </row>
    <row r="355" spans="5:7" x14ac:dyDescent="0.25">
      <c r="E355" s="11">
        <f t="shared" si="31"/>
        <v>-32</v>
      </c>
      <c r="F355" s="11">
        <f t="shared" si="32"/>
        <v>-9.00515370605501</v>
      </c>
      <c r="G355" s="11">
        <f t="shared" si="33"/>
        <v>-9.0070278681469826</v>
      </c>
    </row>
    <row r="356" spans="5:7" x14ac:dyDescent="0.25">
      <c r="E356" s="11">
        <f t="shared" si="31"/>
        <v>-31</v>
      </c>
      <c r="F356" s="11">
        <f t="shared" si="32"/>
        <v>-8.736925582721744</v>
      </c>
      <c r="G356" s="11">
        <f t="shared" si="33"/>
        <v>-8.7515313811754289</v>
      </c>
    </row>
    <row r="357" spans="5:7" x14ac:dyDescent="0.25">
      <c r="E357" s="11">
        <f t="shared" si="31"/>
        <v>-30</v>
      </c>
      <c r="F357" s="11">
        <f t="shared" si="32"/>
        <v>-8.4681719710514862</v>
      </c>
      <c r="G357" s="11">
        <f t="shared" si="33"/>
        <v>-8.4951897064414901</v>
      </c>
    </row>
    <row r="358" spans="5:7" x14ac:dyDescent="0.25">
      <c r="E358" s="11">
        <f t="shared" si="31"/>
        <v>-29</v>
      </c>
      <c r="F358" s="11">
        <f t="shared" si="32"/>
        <v>-8.1989263236296548</v>
      </c>
      <c r="G358" s="11">
        <f t="shared" si="33"/>
        <v>-8.2379197941155446</v>
      </c>
    </row>
    <row r="359" spans="5:7" x14ac:dyDescent="0.25">
      <c r="E359" s="11">
        <f t="shared" si="31"/>
        <v>-28</v>
      </c>
      <c r="F359" s="11">
        <f t="shared" si="32"/>
        <v>-7.929214190953914</v>
      </c>
      <c r="G359" s="11">
        <f t="shared" si="33"/>
        <v>-7.9796385943679731</v>
      </c>
    </row>
    <row r="360" spans="5:7" x14ac:dyDescent="0.25">
      <c r="E360" s="11">
        <f t="shared" si="31"/>
        <v>-27</v>
      </c>
      <c r="F360" s="11">
        <f t="shared" si="32"/>
        <v>-7.6590528165554321</v>
      </c>
      <c r="G360" s="11">
        <f t="shared" si="33"/>
        <v>-7.7202630573691549</v>
      </c>
    </row>
    <row r="361" spans="5:7" x14ac:dyDescent="0.25">
      <c r="E361" s="11">
        <f t="shared" si="31"/>
        <v>-26</v>
      </c>
      <c r="F361" s="11">
        <f t="shared" si="32"/>
        <v>-7.3884507631983567</v>
      </c>
      <c r="G361" s="11">
        <f t="shared" si="33"/>
        <v>-7.4597101332894722</v>
      </c>
    </row>
    <row r="362" spans="5:7" x14ac:dyDescent="0.25">
      <c r="E362" s="11">
        <f t="shared" si="31"/>
        <v>-25</v>
      </c>
      <c r="F362" s="11">
        <f t="shared" si="32"/>
        <v>-7.1174075730428701</v>
      </c>
      <c r="G362" s="11">
        <f t="shared" si="33"/>
        <v>-7.1978967722993046</v>
      </c>
    </row>
    <row r="363" spans="5:7" x14ac:dyDescent="0.25">
      <c r="E363" s="11">
        <f t="shared" si="31"/>
        <v>-24</v>
      </c>
      <c r="F363" s="11">
        <f t="shared" si="32"/>
        <v>-6.8459134647217086</v>
      </c>
      <c r="G363" s="11">
        <f t="shared" si="33"/>
        <v>-6.9347399245690315</v>
      </c>
    </row>
    <row r="364" spans="5:7" x14ac:dyDescent="0.25">
      <c r="E364" s="11">
        <f t="shared" si="31"/>
        <v>-23</v>
      </c>
      <c r="F364" s="11">
        <f t="shared" si="32"/>
        <v>-6.5739490703449874</v>
      </c>
      <c r="G364" s="11">
        <f t="shared" si="33"/>
        <v>-6.6701565402690335</v>
      </c>
    </row>
    <row r="365" spans="5:7" x14ac:dyDescent="0.25">
      <c r="E365" s="11">
        <f t="shared" si="31"/>
        <v>-22</v>
      </c>
      <c r="F365" s="11">
        <f t="shared" si="32"/>
        <v>-6.3014852155129129</v>
      </c>
      <c r="G365" s="11">
        <f t="shared" si="33"/>
        <v>-6.4040635695696917</v>
      </c>
    </row>
    <row r="366" spans="5:7" x14ac:dyDescent="0.25">
      <c r="E366" s="11">
        <f t="shared" si="31"/>
        <v>-21</v>
      </c>
      <c r="F366" s="11">
        <f t="shared" si="32"/>
        <v>-6.0284827454807015</v>
      </c>
      <c r="G366" s="11">
        <f t="shared" si="33"/>
        <v>-6.1363779626413875</v>
      </c>
    </row>
    <row r="367" spans="5:7" x14ac:dyDescent="0.25">
      <c r="E367" s="11">
        <f t="shared" si="31"/>
        <v>-20</v>
      </c>
      <c r="F367" s="11">
        <f t="shared" si="32"/>
        <v>-5.7548924006849154</v>
      </c>
      <c r="G367" s="11">
        <f t="shared" si="33"/>
        <v>-5.8670166696545003</v>
      </c>
    </row>
    <row r="368" spans="5:7" x14ac:dyDescent="0.25">
      <c r="E368" s="11">
        <f t="shared" si="31"/>
        <v>-19</v>
      </c>
      <c r="F368" s="11">
        <f t="shared" si="32"/>
        <v>-5.4806547449051095</v>
      </c>
      <c r="G368" s="11">
        <f t="shared" si="33"/>
        <v>-5.5958966407794088</v>
      </c>
    </row>
    <row r="369" spans="5:7" x14ac:dyDescent="0.25">
      <c r="E369" s="11">
        <f t="shared" si="31"/>
        <v>-18</v>
      </c>
      <c r="F369" s="11">
        <f t="shared" si="32"/>
        <v>-5.2057001493995712</v>
      </c>
      <c r="G369" s="11">
        <f t="shared" si="33"/>
        <v>-5.3229348261864962</v>
      </c>
    </row>
    <row r="370" spans="5:7" x14ac:dyDescent="0.25">
      <c r="E370" s="11">
        <f t="shared" si="31"/>
        <v>-17</v>
      </c>
      <c r="F370" s="11">
        <f t="shared" si="32"/>
        <v>-4.9299488364186299</v>
      </c>
      <c r="G370" s="11">
        <f t="shared" si="33"/>
        <v>-5.0480481760461409</v>
      </c>
    </row>
    <row r="371" spans="5:7" x14ac:dyDescent="0.25">
      <c r="E371" s="11">
        <f t="shared" si="31"/>
        <v>-16</v>
      </c>
      <c r="F371" s="11">
        <f t="shared" si="32"/>
        <v>-4.6533109855638806</v>
      </c>
      <c r="G371" s="11">
        <f t="shared" si="33"/>
        <v>-4.7711536405287225</v>
      </c>
    </row>
    <row r="372" spans="5:7" x14ac:dyDescent="0.25">
      <c r="E372" s="11">
        <f t="shared" si="31"/>
        <v>-15</v>
      </c>
      <c r="F372" s="11">
        <f t="shared" si="32"/>
        <v>-4.3756869065264166</v>
      </c>
      <c r="G372" s="11">
        <f t="shared" si="33"/>
        <v>-4.4921681698046241</v>
      </c>
    </row>
    <row r="373" spans="5:7" x14ac:dyDescent="0.25">
      <c r="E373" s="11">
        <f t="shared" si="31"/>
        <v>-14</v>
      </c>
      <c r="F373" s="11">
        <f t="shared" si="32"/>
        <v>-4.0969672818019447</v>
      </c>
      <c r="G373" s="11">
        <f t="shared" si="33"/>
        <v>-4.2110087140442243</v>
      </c>
    </row>
    <row r="374" spans="5:7" x14ac:dyDescent="0.25">
      <c r="E374" s="11">
        <f t="shared" si="31"/>
        <v>-13</v>
      </c>
      <c r="F374" s="11">
        <f t="shared" si="32"/>
        <v>-3.8170334830455013</v>
      </c>
      <c r="G374" s="11">
        <f t="shared" si="33"/>
        <v>-3.9275922234179026</v>
      </c>
    </row>
    <row r="375" spans="5:7" x14ac:dyDescent="0.25">
      <c r="E375" s="11">
        <f t="shared" si="31"/>
        <v>-12</v>
      </c>
      <c r="F375" s="11">
        <f t="shared" si="32"/>
        <v>-3.5357579647931905</v>
      </c>
      <c r="G375" s="11">
        <f t="shared" si="33"/>
        <v>-3.6418356480960412</v>
      </c>
    </row>
    <row r="376" spans="5:7" x14ac:dyDescent="0.25">
      <c r="E376" s="11">
        <f t="shared" si="31"/>
        <v>-11</v>
      </c>
      <c r="F376" s="11">
        <f t="shared" si="32"/>
        <v>-3.2530047393432473</v>
      </c>
      <c r="G376" s="11">
        <f t="shared" si="33"/>
        <v>-3.3536559382490201</v>
      </c>
    </row>
    <row r="377" spans="5:7" x14ac:dyDescent="0.25">
      <c r="E377" s="11">
        <f t="shared" si="31"/>
        <v>-10</v>
      </c>
      <c r="F377" s="11">
        <f t="shared" si="32"/>
        <v>-2.968629936653449</v>
      </c>
      <c r="G377" s="11">
        <f t="shared" si="33"/>
        <v>-3.0629700440472187</v>
      </c>
    </row>
    <row r="378" spans="5:7" x14ac:dyDescent="0.25">
      <c r="E378" s="11">
        <f t="shared" si="31"/>
        <v>-9</v>
      </c>
      <c r="F378" s="11">
        <f t="shared" si="32"/>
        <v>-2.6824824531767222</v>
      </c>
      <c r="G378" s="11">
        <f t="shared" si="33"/>
        <v>-2.769694915661018</v>
      </c>
    </row>
    <row r="379" spans="5:7" x14ac:dyDescent="0.25">
      <c r="E379" s="11">
        <f t="shared" si="31"/>
        <v>-8</v>
      </c>
      <c r="F379" s="11">
        <f t="shared" si="32"/>
        <v>-2.3944046936215728</v>
      </c>
      <c r="G379" s="11">
        <f t="shared" si="33"/>
        <v>-2.4737475032607987</v>
      </c>
    </row>
    <row r="380" spans="5:7" x14ac:dyDescent="0.25">
      <c r="E380" s="11">
        <f t="shared" si="31"/>
        <v>-7</v>
      </c>
      <c r="F380" s="11">
        <f t="shared" si="32"/>
        <v>-2.1042334096887587</v>
      </c>
      <c r="G380" s="11">
        <f t="shared" si="33"/>
        <v>-2.1750447570169404</v>
      </c>
    </row>
    <row r="381" spans="5:7" x14ac:dyDescent="0.25">
      <c r="E381" s="11">
        <f t="shared" si="31"/>
        <v>-6</v>
      </c>
      <c r="F381" s="11">
        <f t="shared" si="32"/>
        <v>-1.8118006399003936</v>
      </c>
      <c r="G381" s="11">
        <f t="shared" si="33"/>
        <v>-1.873503627099824</v>
      </c>
    </row>
    <row r="382" spans="5:7" x14ac:dyDescent="0.25">
      <c r="E382" s="11">
        <f t="shared" si="31"/>
        <v>-5</v>
      </c>
      <c r="F382" s="11">
        <f t="shared" si="32"/>
        <v>-1.5169347547025145</v>
      </c>
      <c r="G382" s="11">
        <f t="shared" si="33"/>
        <v>-1.5690410636798293</v>
      </c>
    </row>
    <row r="383" spans="5:7" x14ac:dyDescent="0.25">
      <c r="E383" s="11">
        <f t="shared" si="31"/>
        <v>-4</v>
      </c>
      <c r="F383" s="11">
        <f t="shared" si="32"/>
        <v>-1.2194616110868564</v>
      </c>
      <c r="G383" s="11">
        <f t="shared" si="33"/>
        <v>-1.2615740169273373</v>
      </c>
    </row>
    <row r="384" spans="5:7" x14ac:dyDescent="0.25">
      <c r="E384" s="11">
        <f t="shared" si="31"/>
        <v>-3</v>
      </c>
      <c r="F384" s="11">
        <f t="shared" si="32"/>
        <v>-0.91920582104243875</v>
      </c>
      <c r="G384" s="11">
        <f t="shared" si="33"/>
        <v>-0.95101943701272806</v>
      </c>
    </row>
    <row r="385" spans="5:7" x14ac:dyDescent="0.25">
      <c r="E385" s="11">
        <f t="shared" si="31"/>
        <v>-2</v>
      </c>
      <c r="F385" s="11">
        <f t="shared" si="32"/>
        <v>-0.61599213821231436</v>
      </c>
      <c r="G385" s="11">
        <f t="shared" si="33"/>
        <v>-0.63729427410638173</v>
      </c>
    </row>
    <row r="386" spans="5:7" x14ac:dyDescent="0.25">
      <c r="E386" s="11">
        <f t="shared" si="31"/>
        <v>-1</v>
      </c>
      <c r="F386" s="11">
        <f t="shared" si="32"/>
        <v>-0.30964696719563872</v>
      </c>
      <c r="G386" s="11">
        <f t="shared" si="33"/>
        <v>-0.32031547837867902</v>
      </c>
    </row>
    <row r="387" spans="5:7" x14ac:dyDescent="0.25">
      <c r="E387" s="11">
        <f t="shared" si="31"/>
        <v>0</v>
      </c>
      <c r="F387" s="11">
        <f t="shared" si="32"/>
        <v>0</v>
      </c>
      <c r="G387" s="11">
        <f t="shared" si="33"/>
        <v>2.2204460492503131E-16</v>
      </c>
    </row>
    <row r="388" spans="5:7" x14ac:dyDescent="0.25">
      <c r="E388" s="11">
        <f t="shared" si="31"/>
        <v>1</v>
      </c>
      <c r="F388" s="11">
        <f t="shared" si="32"/>
        <v>0.31311401578625569</v>
      </c>
      <c r="G388" s="11">
        <f t="shared" si="33"/>
        <v>0.32370508478062104</v>
      </c>
    </row>
    <row r="389" spans="5:7" x14ac:dyDescent="0.25">
      <c r="E389" s="11">
        <f t="shared" si="31"/>
        <v>2</v>
      </c>
      <c r="F389" s="11">
        <f t="shared" si="32"/>
        <v>0.62985337246718287</v>
      </c>
      <c r="G389" s="11">
        <f t="shared" si="33"/>
        <v>0.65073219539953531</v>
      </c>
    </row>
    <row r="390" spans="5:7" x14ac:dyDescent="0.25">
      <c r="E390" s="11">
        <f t="shared" si="31"/>
        <v>3</v>
      </c>
      <c r="F390" s="11">
        <f t="shared" si="32"/>
        <v>0.95036735665856931</v>
      </c>
      <c r="G390" s="11">
        <f t="shared" si="33"/>
        <v>0.98098362521443982</v>
      </c>
    </row>
    <row r="391" spans="5:7" x14ac:dyDescent="0.25">
      <c r="E391" s="11">
        <f t="shared" si="31"/>
        <v>4</v>
      </c>
      <c r="F391" s="11">
        <f t="shared" si="32"/>
        <v>1.274794057889338</v>
      </c>
      <c r="G391" s="11">
        <f t="shared" si="33"/>
        <v>1.3143616675830321</v>
      </c>
    </row>
    <row r="392" spans="5:7" x14ac:dyDescent="0.25">
      <c r="E392" s="11">
        <f t="shared" si="31"/>
        <v>5</v>
      </c>
      <c r="F392" s="11">
        <f t="shared" si="32"/>
        <v>1.6032580265561334</v>
      </c>
      <c r="G392" s="11">
        <f t="shared" si="33"/>
        <v>1.6507686158630093</v>
      </c>
    </row>
    <row r="393" spans="5:7" x14ac:dyDescent="0.25">
      <c r="E393" s="11">
        <f t="shared" si="31"/>
        <v>6</v>
      </c>
      <c r="F393" s="11">
        <f t="shared" si="32"/>
        <v>1.9358677763374132</v>
      </c>
      <c r="G393" s="11">
        <f t="shared" si="33"/>
        <v>1.9901067634120684</v>
      </c>
    </row>
    <row r="394" spans="5:7" x14ac:dyDescent="0.25">
      <c r="E394" s="11">
        <f t="shared" si="31"/>
        <v>7</v>
      </c>
      <c r="F394" s="11">
        <f t="shared" si="32"/>
        <v>2.272713126108568</v>
      </c>
      <c r="G394" s="11">
        <f t="shared" si="33"/>
        <v>2.3322784035879072</v>
      </c>
    </row>
    <row r="395" spans="5:7" x14ac:dyDescent="0.25">
      <c r="E395" s="11">
        <f t="shared" si="31"/>
        <v>8</v>
      </c>
      <c r="F395" s="11">
        <f t="shared" si="32"/>
        <v>2.6138623763348208</v>
      </c>
      <c r="G395" s="11">
        <f t="shared" si="33"/>
        <v>2.6771858297482223</v>
      </c>
    </row>
    <row r="396" spans="5:7" x14ac:dyDescent="0.25">
      <c r="E396" s="11">
        <f t="shared" si="31"/>
        <v>9</v>
      </c>
      <c r="F396" s="11">
        <f t="shared" si="32"/>
        <v>2.9593593148538559</v>
      </c>
      <c r="G396" s="11">
        <f t="shared" si="33"/>
        <v>3.0247313352507117</v>
      </c>
    </row>
    <row r="397" spans="5:7" x14ac:dyDescent="0.25">
      <c r="E397" s="11">
        <f t="shared" si="31"/>
        <v>10</v>
      </c>
      <c r="F397" s="11">
        <f t="shared" si="32"/>
        <v>3.3092200468953346</v>
      </c>
      <c r="G397" s="11">
        <f t="shared" si="33"/>
        <v>3.3748172134530723</v>
      </c>
    </row>
    <row r="398" spans="5:7" x14ac:dyDescent="0.25">
      <c r="E398" s="11">
        <f t="shared" si="31"/>
        <v>11</v>
      </c>
      <c r="F398" s="11">
        <f t="shared" si="32"/>
        <v>3.663429644119685</v>
      </c>
      <c r="G398" s="11">
        <f t="shared" si="33"/>
        <v>3.7273457577130014</v>
      </c>
    </row>
    <row r="399" spans="5:7" x14ac:dyDescent="0.25">
      <c r="E399" s="11">
        <f t="shared" si="31"/>
        <v>12</v>
      </c>
      <c r="F399" s="11">
        <f t="shared" si="32"/>
        <v>4.0219386073937269</v>
      </c>
      <c r="G399" s="11">
        <f t="shared" si="33"/>
        <v>4.0822192613881958</v>
      </c>
    </row>
    <row r="400" spans="5:7" x14ac:dyDescent="0.25">
      <c r="E400" s="11">
        <f t="shared" si="31"/>
        <v>13</v>
      </c>
      <c r="F400" s="11">
        <f t="shared" si="32"/>
        <v>4.384659137955957</v>
      </c>
      <c r="G400" s="11">
        <f t="shared" si="33"/>
        <v>4.4393400178363533</v>
      </c>
    </row>
    <row r="401" spans="5:7" x14ac:dyDescent="0.25">
      <c r="E401" s="11">
        <f t="shared" si="31"/>
        <v>14</v>
      </c>
      <c r="F401" s="11">
        <f t="shared" si="32"/>
        <v>4.7514612115594677</v>
      </c>
      <c r="G401" s="11">
        <f t="shared" si="33"/>
        <v>4.7986103204151709</v>
      </c>
    </row>
    <row r="402" spans="5:7" x14ac:dyDescent="0.25">
      <c r="E402" s="11">
        <f t="shared" si="31"/>
        <v>15</v>
      </c>
      <c r="F402" s="11">
        <f t="shared" si="32"/>
        <v>5.1221684501157458</v>
      </c>
      <c r="G402" s="11">
        <f t="shared" si="33"/>
        <v>5.159932462482347</v>
      </c>
    </row>
    <row r="403" spans="5:7" x14ac:dyDescent="0.25">
      <c r="E403" s="11">
        <f t="shared" si="31"/>
        <v>16</v>
      </c>
      <c r="F403" s="11">
        <f t="shared" si="32"/>
        <v>5.4965537852977562</v>
      </c>
      <c r="G403" s="11">
        <f t="shared" si="33"/>
        <v>5.5232087373955769</v>
      </c>
    </row>
    <row r="404" spans="5:7" x14ac:dyDescent="0.25">
      <c r="E404" s="11">
        <f t="shared" si="31"/>
        <v>17</v>
      </c>
      <c r="F404" s="11">
        <f t="shared" si="32"/>
        <v>5.8743349084959462</v>
      </c>
      <c r="G404" s="11">
        <f t="shared" si="33"/>
        <v>5.8883414385125583</v>
      </c>
    </row>
    <row r="405" spans="5:7" x14ac:dyDescent="0.25">
      <c r="E405" s="11">
        <f t="shared" si="31"/>
        <v>18</v>
      </c>
      <c r="F405" s="11">
        <f t="shared" si="32"/>
        <v>6.2551695014560496</v>
      </c>
      <c r="G405" s="11">
        <f t="shared" si="33"/>
        <v>6.2552328591909907</v>
      </c>
    </row>
    <row r="406" spans="5:7" x14ac:dyDescent="0.25">
      <c r="E406" s="11">
        <f t="shared" si="31"/>
        <v>19</v>
      </c>
      <c r="F406" s="11">
        <f t="shared" si="32"/>
        <v>6.6386502418627025</v>
      </c>
      <c r="G406" s="11">
        <f t="shared" si="33"/>
        <v>6.6237852927885683</v>
      </c>
    </row>
    <row r="407" spans="5:7" x14ac:dyDescent="0.25">
      <c r="E407" s="11">
        <f t="shared" si="31"/>
        <v>20</v>
      </c>
      <c r="F407" s="11">
        <f t="shared" si="32"/>
        <v>7.0242995780681783</v>
      </c>
      <c r="G407" s="11">
        <f t="shared" si="33"/>
        <v>6.9939010326629898</v>
      </c>
    </row>
    <row r="408" spans="5:7" x14ac:dyDescent="0.25">
      <c r="E408" s="11">
        <f t="shared" si="31"/>
        <v>21</v>
      </c>
      <c r="F408" s="11">
        <f t="shared" si="32"/>
        <v>7.4115642671006974</v>
      </c>
      <c r="G408" s="11">
        <f t="shared" si="33"/>
        <v>7.3654823721719529</v>
      </c>
    </row>
    <row r="409" spans="5:7" x14ac:dyDescent="0.25">
      <c r="E409" s="11">
        <f t="shared" si="31"/>
        <v>22</v>
      </c>
      <c r="F409" s="11">
        <f t="shared" si="32"/>
        <v>7.7998096700220261</v>
      </c>
      <c r="G409" s="11">
        <f t="shared" si="33"/>
        <v>7.7384316046731545</v>
      </c>
    </row>
    <row r="410" spans="5:7" x14ac:dyDescent="0.25">
      <c r="E410" s="11">
        <f t="shared" si="31"/>
        <v>23</v>
      </c>
      <c r="F410" s="11">
        <f t="shared" si="32"/>
        <v>8.1883137986392214</v>
      </c>
      <c r="G410" s="11">
        <f t="shared" si="33"/>
        <v>8.1126510235242915</v>
      </c>
    </row>
    <row r="411" spans="5:7" x14ac:dyDescent="0.25">
      <c r="E411" s="11">
        <f t="shared" si="31"/>
        <v>24</v>
      </c>
      <c r="F411" s="11">
        <f t="shared" si="32"/>
        <v>8.5762611075107102</v>
      </c>
      <c r="G411" s="11">
        <f t="shared" si="33"/>
        <v>8.4880429220830607</v>
      </c>
    </row>
    <row r="412" spans="5:7" x14ac:dyDescent="0.25">
      <c r="E412" s="11">
        <f t="shared" si="31"/>
        <v>25</v>
      </c>
      <c r="F412" s="11">
        <f t="shared" si="32"/>
        <v>8.9627360251219041</v>
      </c>
      <c r="G412" s="11">
        <f t="shared" si="33"/>
        <v>8.8645095937071599</v>
      </c>
    </row>
    <row r="413" spans="5:7" x14ac:dyDescent="0.25">
      <c r="E413" s="11">
        <f t="shared" si="31"/>
        <v>26</v>
      </c>
      <c r="F413" s="11">
        <f t="shared" si="32"/>
        <v>9.3467162180410472</v>
      </c>
      <c r="G413" s="11">
        <f t="shared" si="33"/>
        <v>9.2419533317542886</v>
      </c>
    </row>
    <row r="414" spans="5:7" x14ac:dyDescent="0.25">
      <c r="E414" s="11">
        <f t="shared" si="31"/>
        <v>27</v>
      </c>
      <c r="F414" s="11">
        <f t="shared" si="32"/>
        <v>9.7270655818008578</v>
      </c>
      <c r="G414" s="11">
        <f t="shared" si="33"/>
        <v>9.6202764295821392</v>
      </c>
    </row>
    <row r="415" spans="5:7" x14ac:dyDescent="0.25">
      <c r="E415" s="11">
        <f t="shared" ref="E415:E422" si="34">E208</f>
        <v>28</v>
      </c>
      <c r="F415" s="11">
        <f t="shared" ref="F415:F422" si="35">$H$217*0+E415*$I$217+E415^2*$J$217+E415^3*$K$217+E415^4*$L$217+E415^5*$M$217+E415^6*$N$217+E415^7*$O$217+E415^8*$P$217</f>
        <v>10.102526952187072</v>
      </c>
      <c r="G415" s="11">
        <f t="shared" ref="G415:G422" si="36">F208</f>
        <v>9.9993811805484132</v>
      </c>
    </row>
    <row r="416" spans="5:7" x14ac:dyDescent="0.25">
      <c r="E416" s="11">
        <f t="shared" si="34"/>
        <v>29</v>
      </c>
      <c r="F416" s="11">
        <f t="shared" si="35"/>
        <v>10.471714530549955</v>
      </c>
      <c r="G416" s="11">
        <f t="shared" si="36"/>
        <v>10.379169878010806</v>
      </c>
    </row>
    <row r="417" spans="5:7" x14ac:dyDescent="0.25">
      <c r="E417" s="11">
        <f t="shared" si="34"/>
        <v>30</v>
      </c>
      <c r="F417" s="11">
        <f t="shared" si="35"/>
        <v>10.833106016690213</v>
      </c>
      <c r="G417" s="11">
        <f t="shared" si="36"/>
        <v>10.759544815327017</v>
      </c>
    </row>
    <row r="418" spans="5:7" x14ac:dyDescent="0.25">
      <c r="E418" s="11">
        <f t="shared" si="34"/>
        <v>31</v>
      </c>
      <c r="F418" s="11">
        <f t="shared" si="35"/>
        <v>11.185034442805835</v>
      </c>
      <c r="G418" s="11">
        <f t="shared" si="36"/>
        <v>11.140408285854738</v>
      </c>
    </row>
    <row r="419" spans="5:7" x14ac:dyDescent="0.25">
      <c r="E419" s="11">
        <f t="shared" si="34"/>
        <v>32</v>
      </c>
      <c r="F419" s="11">
        <f t="shared" si="35"/>
        <v>11.525679701921737</v>
      </c>
      <c r="G419" s="11">
        <f t="shared" si="36"/>
        <v>11.521662582951672</v>
      </c>
    </row>
    <row r="420" spans="5:7" x14ac:dyDescent="0.25">
      <c r="E420" s="11">
        <f t="shared" si="34"/>
        <v>33</v>
      </c>
      <c r="F420" s="11">
        <f t="shared" si="35"/>
        <v>11.853059764159122</v>
      </c>
      <c r="G420" s="11">
        <f t="shared" si="36"/>
        <v>11.903209999975514</v>
      </c>
    </row>
    <row r="421" spans="5:7" x14ac:dyDescent="0.25">
      <c r="E421" s="11">
        <f t="shared" si="34"/>
        <v>34</v>
      </c>
      <c r="F421" s="11">
        <f t="shared" si="35"/>
        <v>12.165021574136869</v>
      </c>
      <c r="G421" s="11">
        <f t="shared" si="36"/>
        <v>12.284952830283961</v>
      </c>
    </row>
    <row r="422" spans="5:7" x14ac:dyDescent="0.25">
      <c r="E422" s="11">
        <f t="shared" si="34"/>
        <v>35</v>
      </c>
      <c r="F422" s="11">
        <f t="shared" si="35"/>
        <v>12.459231622732297</v>
      </c>
      <c r="G422" s="11">
        <f t="shared" si="36"/>
        <v>12.666793367234712</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-1.508E-5</v>
      </c>
      <c r="C3" s="2">
        <v>1.3990000000000001E-4</v>
      </c>
      <c r="D3" s="2">
        <v>-4.2339999999999999E-4</v>
      </c>
      <c r="E3" s="2">
        <v>0</v>
      </c>
      <c r="F3" s="2">
        <v>0</v>
      </c>
      <c r="G3" s="2">
        <v>0</v>
      </c>
      <c r="H3" s="2">
        <v>3.2312172000000002E-5</v>
      </c>
      <c r="I3" s="2">
        <v>1.2647863999999999E-5</v>
      </c>
      <c r="J3" s="2">
        <v>-9.1046880999999999E-5</v>
      </c>
      <c r="K3" s="3"/>
      <c r="L3" s="3">
        <f>-B3/D3</f>
        <v>-3.5616438356164383E-2</v>
      </c>
      <c r="M3" s="3"/>
      <c r="N3" s="2">
        <f>IF('Modell einstellen'!$B$1="Voll",H3/0.35,H3/0.35*2)</f>
        <v>1.8464098285714289E-4</v>
      </c>
      <c r="O3" s="2">
        <f>IF('Modell einstellen'!$B$1="Voll",J3/0.35,J3/0.35*2)</f>
        <v>-5.2026789142857141E-4</v>
      </c>
      <c r="P3" s="3">
        <f>-N3/O3</f>
        <v>0.35489597935815076</v>
      </c>
      <c r="Q3" s="3"/>
      <c r="R3" s="3"/>
      <c r="S3" s="3"/>
      <c r="T3" s="3"/>
      <c r="U3" s="3"/>
      <c r="V3" s="3"/>
      <c r="W3" s="3"/>
    </row>
    <row r="4" spans="1:23" x14ac:dyDescent="0.25">
      <c r="A4" s="2">
        <v>1E-14</v>
      </c>
      <c r="B4" s="2">
        <v>-1.509E-5</v>
      </c>
      <c r="C4" s="2">
        <v>1.3990000000000001E-4</v>
      </c>
      <c r="D4" s="2">
        <v>-4.2339999999999999E-4</v>
      </c>
      <c r="E4" s="2">
        <v>0</v>
      </c>
      <c r="F4" s="2">
        <v>0</v>
      </c>
      <c r="G4" s="2">
        <v>0</v>
      </c>
      <c r="H4" s="2">
        <v>3.2312252999999997E-5</v>
      </c>
      <c r="I4" s="2">
        <v>1.2648872E-5</v>
      </c>
      <c r="J4" s="2">
        <v>-9.1045558999999996E-5</v>
      </c>
      <c r="K4" s="3"/>
      <c r="L4" s="3">
        <f t="shared" ref="L4:L33" si="0">-B4/D4</f>
        <v>-3.5640056683986773E-2</v>
      </c>
      <c r="M4" s="3"/>
      <c r="N4" s="2">
        <f>IF('Modell einstellen'!$B$1="Voll",H4/0.35,H4/0.35*2)</f>
        <v>1.8464144571428572E-4</v>
      </c>
      <c r="O4" s="2">
        <f>IF('Modell einstellen'!$B$1="Voll",J4/0.35,J4/0.35*2)</f>
        <v>-5.2026033714285718E-4</v>
      </c>
      <c r="P4" s="3">
        <f t="shared" ref="P4:P33" si="1">-N4/O4</f>
        <v>0.35490202218430006</v>
      </c>
      <c r="Q4" s="3"/>
      <c r="R4" s="3"/>
      <c r="S4" s="3"/>
      <c r="T4" s="3"/>
      <c r="U4" s="3"/>
      <c r="V4" s="3"/>
      <c r="W4" s="3"/>
    </row>
    <row r="5" spans="1:23" x14ac:dyDescent="0.25">
      <c r="A5" s="2">
        <v>1E-13</v>
      </c>
      <c r="B5" s="2">
        <v>-1.508E-5</v>
      </c>
      <c r="C5" s="2">
        <v>1.3990000000000001E-4</v>
      </c>
      <c r="D5" s="2">
        <v>-4.2339999999999999E-4</v>
      </c>
      <c r="E5" s="2">
        <v>0</v>
      </c>
      <c r="F5" s="2">
        <v>0</v>
      </c>
      <c r="G5" s="2">
        <v>0</v>
      </c>
      <c r="H5" s="2">
        <v>3.2312425000000001E-5</v>
      </c>
      <c r="I5" s="2">
        <v>1.2649034999999999E-5</v>
      </c>
      <c r="J5" s="2">
        <v>-9.1046032999999999E-5</v>
      </c>
      <c r="K5" s="3"/>
      <c r="L5" s="3">
        <f t="shared" si="0"/>
        <v>-3.5616438356164383E-2</v>
      </c>
      <c r="M5" s="3"/>
      <c r="N5" s="2">
        <f>IF('Modell einstellen'!$B$1="Voll",H5/0.35,H5/0.35*2)</f>
        <v>1.8464242857142859E-4</v>
      </c>
      <c r="O5" s="2">
        <f>IF('Modell einstellen'!$B$1="Voll",J5/0.35,J5/0.35*2)</f>
        <v>-5.2026304571428574E-4</v>
      </c>
      <c r="P5" s="3">
        <f t="shared" si="1"/>
        <v>0.3549020636626749</v>
      </c>
      <c r="Q5" s="3"/>
      <c r="R5" s="3"/>
      <c r="S5" s="3"/>
      <c r="T5" s="3"/>
      <c r="U5" s="3"/>
      <c r="V5" s="3"/>
      <c r="W5" s="3"/>
    </row>
    <row r="6" spans="1:23" x14ac:dyDescent="0.25">
      <c r="A6" s="2">
        <v>9.9999999999999998E-13</v>
      </c>
      <c r="B6" s="2">
        <v>-1.508E-5</v>
      </c>
      <c r="C6" s="2">
        <v>1.3990000000000001E-4</v>
      </c>
      <c r="D6" s="2">
        <v>-4.2339999999999999E-4</v>
      </c>
      <c r="E6" s="2">
        <v>0</v>
      </c>
      <c r="F6" s="2">
        <v>0</v>
      </c>
      <c r="G6" s="2">
        <v>0</v>
      </c>
      <c r="H6" s="2">
        <v>3.2312469000000001E-5</v>
      </c>
      <c r="I6" s="2">
        <v>1.2649079999999999E-5</v>
      </c>
      <c r="J6" s="2">
        <v>-9.1046158999999997E-5</v>
      </c>
      <c r="K6" s="3"/>
      <c r="L6" s="3">
        <f t="shared" si="0"/>
        <v>-3.5616438356164383E-2</v>
      </c>
      <c r="M6" s="3"/>
      <c r="N6" s="2">
        <f>IF('Modell einstellen'!$B$1="Voll",H6/0.35,H6/0.35*2)</f>
        <v>1.8464268000000002E-4</v>
      </c>
      <c r="O6" s="2">
        <f>IF('Modell einstellen'!$B$1="Voll",J6/0.35,J6/0.35*2)</f>
        <v>-5.2026376571428568E-4</v>
      </c>
      <c r="P6" s="3">
        <f t="shared" si="1"/>
        <v>0.35490205578029937</v>
      </c>
      <c r="Q6" s="3"/>
      <c r="R6" s="3"/>
      <c r="S6" s="3"/>
      <c r="T6" s="3"/>
      <c r="U6" s="3"/>
      <c r="V6" s="3"/>
      <c r="W6" s="3"/>
    </row>
    <row r="7" spans="1:23" x14ac:dyDescent="0.25">
      <c r="A7" s="2">
        <v>9.9999999999999994E-12</v>
      </c>
      <c r="B7" s="2">
        <v>-1.508E-5</v>
      </c>
      <c r="C7" s="2">
        <v>1.3990000000000001E-4</v>
      </c>
      <c r="D7" s="2">
        <v>-4.2339999999999999E-4</v>
      </c>
      <c r="E7" s="2">
        <v>0</v>
      </c>
      <c r="F7" s="2">
        <v>0</v>
      </c>
      <c r="G7" s="2">
        <v>0</v>
      </c>
      <c r="H7" s="2">
        <v>3.2312481000000001E-5</v>
      </c>
      <c r="I7" s="2">
        <v>1.2649094000000001E-5</v>
      </c>
      <c r="J7" s="2">
        <v>-9.1046195999999998E-5</v>
      </c>
      <c r="K7" s="3"/>
      <c r="L7" s="3">
        <f t="shared" si="0"/>
        <v>-3.5616438356164383E-2</v>
      </c>
      <c r="M7" s="3"/>
      <c r="N7" s="2">
        <f>IF('Modell einstellen'!$B$1="Voll",H7/0.35,H7/0.35*2)</f>
        <v>1.8464274857142858E-4</v>
      </c>
      <c r="O7" s="2">
        <f>IF('Modell einstellen'!$B$1="Voll",J7/0.35,J7/0.35*2)</f>
        <v>-5.2026397714285716E-4</v>
      </c>
      <c r="P7" s="3">
        <f t="shared" si="1"/>
        <v>0.35490204335390357</v>
      </c>
      <c r="Q7" s="3"/>
      <c r="R7" s="3"/>
      <c r="S7" s="3"/>
      <c r="T7" s="3"/>
      <c r="U7" s="3"/>
      <c r="V7" s="3"/>
      <c r="W7" s="3"/>
    </row>
    <row r="8" spans="1:23" x14ac:dyDescent="0.25">
      <c r="A8" s="2">
        <v>1E-10</v>
      </c>
      <c r="B8" s="2">
        <v>-1.508E-5</v>
      </c>
      <c r="C8" s="2">
        <v>1.3990000000000001E-4</v>
      </c>
      <c r="D8" s="2">
        <v>-4.2339999999999999E-4</v>
      </c>
      <c r="E8" s="2">
        <v>0</v>
      </c>
      <c r="F8" s="2">
        <v>0</v>
      </c>
      <c r="G8" s="2">
        <v>0</v>
      </c>
      <c r="H8" s="2">
        <v>3.2312484999999998E-5</v>
      </c>
      <c r="I8" s="2">
        <v>1.2649098E-5</v>
      </c>
      <c r="J8" s="2">
        <v>-9.1046206999999995E-5</v>
      </c>
      <c r="K8" s="3"/>
      <c r="L8" s="3">
        <f t="shared" si="0"/>
        <v>-3.5616438356164383E-2</v>
      </c>
      <c r="M8" s="3"/>
      <c r="N8" s="2">
        <f>IF('Modell einstellen'!$B$1="Voll",H8/0.35,H8/0.35*2)</f>
        <v>1.8464277142857144E-4</v>
      </c>
      <c r="O8" s="2">
        <f>IF('Modell einstellen'!$B$1="Voll",J8/0.35,J8/0.35*2)</f>
        <v>-5.2026404000000005E-4</v>
      </c>
      <c r="P8" s="3">
        <f t="shared" si="1"/>
        <v>0.35490204440916467</v>
      </c>
      <c r="Q8" s="3"/>
      <c r="R8" s="3"/>
      <c r="S8" s="3"/>
      <c r="T8" s="3"/>
      <c r="U8" s="3"/>
      <c r="V8" s="3"/>
      <c r="W8" s="3"/>
    </row>
    <row r="9" spans="1:23" x14ac:dyDescent="0.25">
      <c r="A9" s="2">
        <v>1.0000000000000001E-9</v>
      </c>
      <c r="B9" s="2">
        <v>-1.508E-5</v>
      </c>
      <c r="C9" s="2">
        <v>1.3990000000000001E-4</v>
      </c>
      <c r="D9" s="2">
        <v>-4.2339999999999999E-4</v>
      </c>
      <c r="E9" s="2">
        <v>0</v>
      </c>
      <c r="F9" s="2">
        <v>0</v>
      </c>
      <c r="G9" s="2">
        <v>0</v>
      </c>
      <c r="H9" s="2">
        <v>3.2312486000000001E-5</v>
      </c>
      <c r="I9" s="2">
        <v>1.2649098999999999E-5</v>
      </c>
      <c r="J9" s="2">
        <v>-9.1046211000000006E-5</v>
      </c>
      <c r="K9" s="3"/>
      <c r="L9" s="3">
        <f t="shared" si="0"/>
        <v>-3.5616438356164383E-2</v>
      </c>
      <c r="M9" s="3"/>
      <c r="N9" s="2">
        <f>IF('Modell einstellen'!$B$1="Voll",H9/0.35,H9/0.35*2)</f>
        <v>1.8464277714285717E-4</v>
      </c>
      <c r="O9" s="2">
        <f>IF('Modell einstellen'!$B$1="Voll",J9/0.35,J9/0.35*2)</f>
        <v>-5.2026406285714288E-4</v>
      </c>
      <c r="P9" s="3">
        <f t="shared" si="1"/>
        <v>0.35490203980042623</v>
      </c>
      <c r="Q9" s="3"/>
      <c r="R9" s="3"/>
      <c r="S9" s="3"/>
      <c r="T9" s="3"/>
      <c r="U9" s="3"/>
      <c r="V9" s="3"/>
      <c r="W9" s="3"/>
    </row>
    <row r="10" spans="1:23" x14ac:dyDescent="0.25">
      <c r="A10" s="2">
        <v>1E-8</v>
      </c>
      <c r="B10" s="2">
        <v>-1.508E-5</v>
      </c>
      <c r="C10" s="2">
        <v>1.3990000000000001E-4</v>
      </c>
      <c r="D10" s="2">
        <v>-4.2339999999999999E-4</v>
      </c>
      <c r="E10" s="2">
        <v>0</v>
      </c>
      <c r="F10" s="2">
        <v>0</v>
      </c>
      <c r="G10" s="2">
        <v>0</v>
      </c>
      <c r="H10" s="2">
        <v>3.2312486999999997E-5</v>
      </c>
      <c r="I10" s="2">
        <v>1.2649100000000001E-5</v>
      </c>
      <c r="J10" s="2">
        <v>-9.1046212999999998E-5</v>
      </c>
      <c r="K10" s="3"/>
      <c r="L10" s="3">
        <f t="shared" si="0"/>
        <v>-3.5616438356164383E-2</v>
      </c>
      <c r="M10" s="3"/>
      <c r="N10" s="2">
        <f>IF('Modell einstellen'!$B$1="Voll",H10/0.35,H10/0.35*2)</f>
        <v>1.8464278285714285E-4</v>
      </c>
      <c r="O10" s="2">
        <f>IF('Modell einstellen'!$B$1="Voll",J10/0.35,J10/0.35*2)</f>
        <v>-5.2026407428571429E-4</v>
      </c>
      <c r="P10" s="3">
        <f t="shared" si="1"/>
        <v>0.35490204298777367</v>
      </c>
      <c r="Q10" s="3"/>
      <c r="R10" s="3"/>
      <c r="S10" s="3"/>
      <c r="T10" s="3"/>
      <c r="U10" s="3"/>
      <c r="V10" s="3"/>
      <c r="W10" s="3"/>
    </row>
    <row r="11" spans="1:23" x14ac:dyDescent="0.25">
      <c r="A11" s="2">
        <v>9.9999999999999995E-8</v>
      </c>
      <c r="B11" s="2">
        <v>-1.508E-5</v>
      </c>
      <c r="C11" s="2">
        <v>1.3990000000000001E-4</v>
      </c>
      <c r="D11" s="2">
        <v>-4.2339999999999999E-4</v>
      </c>
      <c r="E11" s="2">
        <v>0</v>
      </c>
      <c r="F11" s="2">
        <v>0</v>
      </c>
      <c r="G11" s="2">
        <v>0</v>
      </c>
      <c r="H11" s="2">
        <v>3.2312488E-5</v>
      </c>
      <c r="I11" s="2">
        <v>1.2649100000000001E-5</v>
      </c>
      <c r="J11" s="2">
        <v>-9.1046215000000004E-5</v>
      </c>
      <c r="K11" s="3"/>
      <c r="L11" s="3">
        <f t="shared" si="0"/>
        <v>-3.5616438356164383E-2</v>
      </c>
      <c r="M11" s="3"/>
      <c r="N11" s="2">
        <f>IF('Modell einstellen'!$B$1="Voll",H11/0.35,H11/0.35*2)</f>
        <v>1.8464278857142859E-4</v>
      </c>
      <c r="O11" s="2">
        <f>IF('Modell einstellen'!$B$1="Voll",J11/0.35,J11/0.35*2)</f>
        <v>-5.2026408571428581E-4</v>
      </c>
      <c r="P11" s="3">
        <f t="shared" si="1"/>
        <v>0.354902046175121</v>
      </c>
      <c r="Q11" s="3"/>
      <c r="R11" s="3"/>
      <c r="S11" s="3"/>
      <c r="T11" s="3"/>
      <c r="U11" s="3"/>
      <c r="V11" s="3"/>
      <c r="W11" s="3"/>
    </row>
    <row r="12" spans="1:23" x14ac:dyDescent="0.25">
      <c r="A12" s="2">
        <v>9.9999999999999995E-7</v>
      </c>
      <c r="B12" s="2">
        <v>-1.508E-5</v>
      </c>
      <c r="C12" s="2">
        <v>1.3990000000000001E-4</v>
      </c>
      <c r="D12" s="2">
        <v>-4.2339999999999999E-4</v>
      </c>
      <c r="E12" s="2">
        <v>0</v>
      </c>
      <c r="F12" s="2">
        <v>0</v>
      </c>
      <c r="G12" s="2">
        <v>0</v>
      </c>
      <c r="H12" s="2">
        <v>3.2312498000000001E-5</v>
      </c>
      <c r="I12" s="2">
        <v>1.2649101999999999E-5</v>
      </c>
      <c r="J12" s="2">
        <v>-9.1046229999999998E-5</v>
      </c>
      <c r="K12" s="3"/>
      <c r="L12" s="3">
        <f t="shared" si="0"/>
        <v>-3.5616438356164383E-2</v>
      </c>
      <c r="M12" s="3"/>
      <c r="N12" s="2">
        <f>IF('Modell einstellen'!$B$1="Voll",H12/0.35,H12/0.35*2)</f>
        <v>1.8464284571428574E-4</v>
      </c>
      <c r="O12" s="2">
        <f>IF('Modell einstellen'!$B$1="Voll",J12/0.35,J12/0.35*2)</f>
        <v>-5.2026417142857142E-4</v>
      </c>
      <c r="P12" s="3">
        <f t="shared" si="1"/>
        <v>0.35490209753879987</v>
      </c>
      <c r="Q12" s="3"/>
      <c r="R12" s="3"/>
      <c r="S12" s="3"/>
      <c r="T12" s="3"/>
      <c r="U12" s="3"/>
      <c r="V12" s="3"/>
      <c r="W12" s="3"/>
    </row>
    <row r="13" spans="1:23" x14ac:dyDescent="0.25">
      <c r="A13" s="2">
        <v>1.0000000000000001E-5</v>
      </c>
      <c r="B13" s="2">
        <v>-1.508E-5</v>
      </c>
      <c r="C13" s="2">
        <v>1.3990000000000001E-4</v>
      </c>
      <c r="D13" s="2">
        <v>-4.2339999999999999E-4</v>
      </c>
      <c r="E13" s="2">
        <v>0</v>
      </c>
      <c r="F13" s="2">
        <v>0</v>
      </c>
      <c r="G13" s="2">
        <v>0</v>
      </c>
      <c r="H13" s="2">
        <v>3.2312596000000002E-5</v>
      </c>
      <c r="I13" s="2">
        <v>1.2649117E-5</v>
      </c>
      <c r="J13" s="2">
        <v>-9.1046379999999995E-5</v>
      </c>
      <c r="K13" s="3"/>
      <c r="L13" s="3">
        <f t="shared" si="0"/>
        <v>-3.5616438356164383E-2</v>
      </c>
      <c r="M13" s="3"/>
      <c r="N13" s="2">
        <f>IF('Modell einstellen'!$B$1="Voll",H13/0.35,H13/0.35*2)</f>
        <v>1.8464340571428575E-4</v>
      </c>
      <c r="O13" s="2">
        <f>IF('Modell einstellen'!$B$1="Voll",J13/0.35,J13/0.35*2)</f>
        <v>-5.2026502857142854E-4</v>
      </c>
      <c r="P13" s="3">
        <f t="shared" si="1"/>
        <v>0.35490258920783019</v>
      </c>
      <c r="Q13" s="3"/>
      <c r="R13" s="3"/>
      <c r="S13" s="3"/>
      <c r="T13" s="3"/>
      <c r="U13" s="3"/>
      <c r="V13" s="3"/>
      <c r="W13" s="3"/>
    </row>
    <row r="14" spans="1:23" x14ac:dyDescent="0.25">
      <c r="A14" s="2">
        <v>1E-4</v>
      </c>
      <c r="B14" s="2">
        <v>-1.509E-5</v>
      </c>
      <c r="C14" s="2">
        <v>1.3990000000000001E-4</v>
      </c>
      <c r="D14" s="2">
        <v>-4.2339999999999999E-4</v>
      </c>
      <c r="E14" s="2">
        <v>0</v>
      </c>
      <c r="F14" s="2">
        <v>0</v>
      </c>
      <c r="G14" s="2">
        <v>0</v>
      </c>
      <c r="H14" s="2">
        <v>3.231358E-5</v>
      </c>
      <c r="I14" s="2">
        <v>1.2649271E-5</v>
      </c>
      <c r="J14" s="2">
        <v>-9.1047877999999999E-5</v>
      </c>
      <c r="K14" s="3"/>
      <c r="L14" s="3">
        <f t="shared" si="0"/>
        <v>-3.5640056683986773E-2</v>
      </c>
      <c r="M14" s="3"/>
      <c r="N14" s="2">
        <f>IF('Modell einstellen'!$B$1="Voll",H14/0.35,H14/0.35*2)</f>
        <v>1.8464902857142859E-4</v>
      </c>
      <c r="O14" s="2">
        <f>IF('Modell einstellen'!$B$1="Voll",J14/0.35,J14/0.35*2)</f>
        <v>-5.202735885714286E-4</v>
      </c>
      <c r="P14" s="3">
        <f t="shared" si="1"/>
        <v>0.35490755753802411</v>
      </c>
      <c r="Q14" s="3"/>
      <c r="R14" s="3"/>
      <c r="S14" s="3"/>
      <c r="T14" s="3"/>
      <c r="U14" s="3"/>
      <c r="V14" s="3"/>
      <c r="W14" s="3"/>
    </row>
    <row r="15" spans="1:23" x14ac:dyDescent="0.25">
      <c r="A15" s="2">
        <v>1E-3</v>
      </c>
      <c r="B15" s="2">
        <v>-1.5140000000000001E-5</v>
      </c>
      <c r="C15" s="2">
        <v>1.3990000000000001E-4</v>
      </c>
      <c r="D15" s="2">
        <v>-4.2329999999999999E-4</v>
      </c>
      <c r="E15" s="2">
        <v>0</v>
      </c>
      <c r="F15" s="2">
        <v>0</v>
      </c>
      <c r="G15" s="2">
        <v>0</v>
      </c>
      <c r="H15" s="2">
        <v>3.2323336999999997E-5</v>
      </c>
      <c r="I15" s="2">
        <v>1.2650798E-5</v>
      </c>
      <c r="J15" s="2">
        <v>-9.1062729000000004E-5</v>
      </c>
      <c r="K15" s="3"/>
      <c r="L15" s="3">
        <f t="shared" si="0"/>
        <v>-3.5766595794944483E-2</v>
      </c>
      <c r="M15" s="3"/>
      <c r="N15" s="2">
        <f>IF('Modell einstellen'!$B$1="Voll",H15/0.35,H15/0.35*2)</f>
        <v>1.8470478285714285E-4</v>
      </c>
      <c r="O15" s="2">
        <f>IF('Modell einstellen'!$B$1="Voll",J15/0.35,J15/0.35*2)</f>
        <v>-5.2035845142857145E-4</v>
      </c>
      <c r="P15" s="3">
        <f t="shared" si="1"/>
        <v>0.35495682322457078</v>
      </c>
      <c r="Q15" s="3"/>
      <c r="R15" s="3"/>
      <c r="S15" s="3"/>
      <c r="T15" s="3"/>
      <c r="U15" s="3"/>
      <c r="V15" s="3"/>
      <c r="W15" s="3"/>
    </row>
    <row r="16" spans="1:23" x14ac:dyDescent="0.25">
      <c r="A16" s="2">
        <v>0.01</v>
      </c>
      <c r="B16" s="2">
        <v>-1.5639999999999999E-5</v>
      </c>
      <c r="C16" s="2">
        <v>1.3999999999999999E-4</v>
      </c>
      <c r="D16" s="2">
        <v>-4.2319999999999999E-4</v>
      </c>
      <c r="E16" s="2">
        <v>0</v>
      </c>
      <c r="F16" s="2">
        <v>0</v>
      </c>
      <c r="G16" s="2">
        <v>0</v>
      </c>
      <c r="H16" s="2">
        <v>3.2416689999999997E-5</v>
      </c>
      <c r="I16" s="2">
        <v>1.2665400000000001E-5</v>
      </c>
      <c r="J16" s="2">
        <v>-9.1204778999999994E-5</v>
      </c>
      <c r="K16" s="3"/>
      <c r="L16" s="3">
        <f t="shared" si="0"/>
        <v>-3.6956521739130437E-2</v>
      </c>
      <c r="M16" s="3"/>
      <c r="N16" s="2">
        <f>IF('Modell einstellen'!$B$1="Voll",H16/0.35,H16/0.35*2)</f>
        <v>1.8523822857142855E-4</v>
      </c>
      <c r="O16" s="2">
        <f>IF('Modell einstellen'!$B$1="Voll",J16/0.35,J16/0.35*2)</f>
        <v>-5.2117016571428566E-4</v>
      </c>
      <c r="P16" s="3">
        <f t="shared" si="1"/>
        <v>0.35542753741007366</v>
      </c>
      <c r="Q16" s="3"/>
      <c r="R16" s="3"/>
      <c r="S16" s="3"/>
      <c r="T16" s="3"/>
      <c r="U16" s="3"/>
      <c r="V16" s="3"/>
      <c r="W16" s="3"/>
    </row>
    <row r="17" spans="1:23" x14ac:dyDescent="0.25">
      <c r="A17" s="2">
        <v>0.1</v>
      </c>
      <c r="B17" s="2">
        <v>-1.9320000000000001E-5</v>
      </c>
      <c r="C17" s="2">
        <v>1.4119999999999999E-4</v>
      </c>
      <c r="D17" s="2">
        <v>-4.2240000000000002E-4</v>
      </c>
      <c r="E17" s="2">
        <v>0</v>
      </c>
      <c r="F17" s="2">
        <v>0</v>
      </c>
      <c r="G17" s="2">
        <v>0</v>
      </c>
      <c r="H17" s="2">
        <v>3.3105370000000001E-5</v>
      </c>
      <c r="I17" s="2">
        <v>1.2772326000000001E-5</v>
      </c>
      <c r="J17" s="2">
        <v>-9.2249615E-5</v>
      </c>
      <c r="K17" s="3"/>
      <c r="L17" s="3">
        <f t="shared" si="0"/>
        <v>-4.5738636363636363E-2</v>
      </c>
      <c r="M17" s="3"/>
      <c r="N17" s="2">
        <f>IF('Modell einstellen'!$B$1="Voll",H17/0.35,H17/0.35*2)</f>
        <v>1.8917354285714286E-4</v>
      </c>
      <c r="O17" s="2">
        <f>IF('Modell einstellen'!$B$1="Voll",J17/0.35,J17/0.35*2)</f>
        <v>-5.2714065714285722E-4</v>
      </c>
      <c r="P17" s="3">
        <f t="shared" si="1"/>
        <v>0.35886729716974969</v>
      </c>
      <c r="Q17" s="3"/>
      <c r="R17" s="3"/>
      <c r="S17" s="3"/>
      <c r="T17" s="3"/>
      <c r="U17" s="3"/>
      <c r="V17" s="3"/>
      <c r="W17" s="3"/>
    </row>
    <row r="18" spans="1:23" x14ac:dyDescent="0.25">
      <c r="A18" s="2">
        <v>1</v>
      </c>
      <c r="B18" s="2">
        <v>-2.588E-5</v>
      </c>
      <c r="C18" s="2">
        <v>1.4310000000000001E-4</v>
      </c>
      <c r="D18" s="2">
        <v>-4.2059999999999998E-4</v>
      </c>
      <c r="E18" s="2">
        <v>0</v>
      </c>
      <c r="F18" s="2">
        <v>0</v>
      </c>
      <c r="G18" s="2">
        <v>0</v>
      </c>
      <c r="H18" s="2">
        <v>3.4298772000000001E-5</v>
      </c>
      <c r="I18" s="2">
        <v>1.2955475E-5</v>
      </c>
      <c r="J18" s="2">
        <v>-9.4042767999999999E-5</v>
      </c>
      <c r="K18" s="3"/>
      <c r="L18" s="3">
        <f t="shared" si="0"/>
        <v>-6.1531145981930581E-2</v>
      </c>
      <c r="M18" s="3"/>
      <c r="N18" s="2">
        <f>IF('Modell einstellen'!$B$1="Voll",H18/0.35,H18/0.35*2)</f>
        <v>1.9599298285714287E-4</v>
      </c>
      <c r="O18" s="2">
        <f>IF('Modell einstellen'!$B$1="Voll",J18/0.35,J18/0.35*2)</f>
        <v>-5.3738724571428579E-4</v>
      </c>
      <c r="P18" s="3">
        <f t="shared" si="1"/>
        <v>0.36471461580118525</v>
      </c>
      <c r="Q18" s="3"/>
      <c r="R18" s="3"/>
      <c r="S18" s="3"/>
      <c r="T18" s="3"/>
      <c r="U18" s="3"/>
      <c r="V18" s="3"/>
      <c r="W18" s="3"/>
    </row>
    <row r="19" spans="1:23" x14ac:dyDescent="0.25">
      <c r="A19" s="2">
        <v>10</v>
      </c>
      <c r="B19" s="2">
        <v>-3.0910000000000001E-5</v>
      </c>
      <c r="C19" s="2">
        <v>1.4469999999999999E-4</v>
      </c>
      <c r="D19" s="2">
        <v>-4.191E-4</v>
      </c>
      <c r="E19" s="2">
        <v>0</v>
      </c>
      <c r="F19" s="2">
        <v>0</v>
      </c>
      <c r="G19" s="2">
        <v>0</v>
      </c>
      <c r="H19" s="2">
        <v>3.5199886999999999E-5</v>
      </c>
      <c r="I19" s="2">
        <v>1.3097889E-5</v>
      </c>
      <c r="J19" s="2">
        <v>-9.5393229000000006E-5</v>
      </c>
      <c r="K19" s="3"/>
      <c r="L19" s="3">
        <f t="shared" si="0"/>
        <v>-7.3753280839895019E-2</v>
      </c>
      <c r="M19" s="3"/>
      <c r="N19" s="2">
        <f>IF('Modell einstellen'!$B$1="Voll",H19/0.35,H19/0.35*2)</f>
        <v>2.0114221142857145E-4</v>
      </c>
      <c r="O19" s="2">
        <f>IF('Modell einstellen'!$B$1="Voll",J19/0.35,J19/0.35*2)</f>
        <v>-5.4510416571428575E-4</v>
      </c>
      <c r="P19" s="3">
        <f t="shared" si="1"/>
        <v>0.368997751402251</v>
      </c>
      <c r="Q19" s="3"/>
      <c r="R19" s="3"/>
      <c r="S19" s="3"/>
      <c r="T19" s="3"/>
      <c r="U19" s="3"/>
      <c r="V19" s="3"/>
      <c r="W19" s="3"/>
    </row>
    <row r="20" spans="1:23" x14ac:dyDescent="0.25">
      <c r="A20" s="2">
        <v>100</v>
      </c>
      <c r="B20" s="2">
        <v>-3.6380000000000001E-5</v>
      </c>
      <c r="C20" s="2">
        <v>1.4630000000000001E-4</v>
      </c>
      <c r="D20" s="2">
        <v>-4.1730000000000001E-4</v>
      </c>
      <c r="E20" s="2">
        <v>0</v>
      </c>
      <c r="F20" s="2">
        <v>0</v>
      </c>
      <c r="G20" s="2">
        <v>0</v>
      </c>
      <c r="H20" s="2">
        <v>3.6148359999999998E-5</v>
      </c>
      <c r="I20" s="2">
        <v>1.3243187999999999E-5</v>
      </c>
      <c r="J20" s="2">
        <v>-9.6800307000000001E-5</v>
      </c>
      <c r="K20" s="3"/>
      <c r="L20" s="3">
        <f t="shared" si="0"/>
        <v>-8.7179487179487175E-2</v>
      </c>
      <c r="M20" s="3"/>
      <c r="N20" s="2">
        <f>IF('Modell einstellen'!$B$1="Voll",H20/0.35,H20/0.35*2)</f>
        <v>2.0656205714285716E-4</v>
      </c>
      <c r="O20" s="2">
        <f>IF('Modell einstellen'!$B$1="Voll",J20/0.35,J20/0.35*2)</f>
        <v>-5.531446114285715E-4</v>
      </c>
      <c r="P20" s="3">
        <f t="shared" si="1"/>
        <v>0.37343228673851209</v>
      </c>
      <c r="Q20" s="3"/>
      <c r="R20" s="3"/>
      <c r="S20" s="3"/>
      <c r="T20" s="3"/>
      <c r="U20" s="3"/>
      <c r="V20" s="3"/>
      <c r="W20" s="3"/>
    </row>
    <row r="21" spans="1:23" x14ac:dyDescent="0.25">
      <c r="A21" s="2">
        <v>1000</v>
      </c>
      <c r="B21" s="2">
        <v>-4.2840000000000003E-5</v>
      </c>
      <c r="C21" s="2">
        <v>1.482E-4</v>
      </c>
      <c r="D21" s="2">
        <v>-4.149E-4</v>
      </c>
      <c r="E21" s="2">
        <v>0</v>
      </c>
      <c r="F21" s="2">
        <v>0</v>
      </c>
      <c r="G21" s="2">
        <v>0</v>
      </c>
      <c r="H21" s="2">
        <v>3.7250158999999999E-5</v>
      </c>
      <c r="I21" s="2">
        <v>1.3410285E-5</v>
      </c>
      <c r="J21" s="2">
        <v>-9.8421907000000006E-5</v>
      </c>
      <c r="K21" s="3"/>
      <c r="L21" s="3">
        <f t="shared" si="0"/>
        <v>-0.10325379609544469</v>
      </c>
      <c r="M21" s="3"/>
      <c r="N21" s="2">
        <f>IF('Modell einstellen'!$B$1="Voll",H21/0.35,H21/0.35*2)</f>
        <v>2.1285805142857143E-4</v>
      </c>
      <c r="O21" s="2">
        <f>IF('Modell einstellen'!$B$1="Voll",J21/0.35,J21/0.35*2)</f>
        <v>-5.6241089714285724E-4</v>
      </c>
      <c r="P21" s="3">
        <f t="shared" si="1"/>
        <v>0.37847426589692063</v>
      </c>
      <c r="Q21" s="3"/>
      <c r="R21" s="3"/>
      <c r="S21" s="3"/>
      <c r="T21" s="3"/>
      <c r="U21" s="3"/>
      <c r="V21" s="3"/>
      <c r="W21" s="3"/>
    </row>
    <row r="22" spans="1:23" x14ac:dyDescent="0.25">
      <c r="A22" s="2">
        <v>10000</v>
      </c>
      <c r="B22" s="2">
        <v>-4.8989999999999997E-5</v>
      </c>
      <c r="C22" s="2">
        <v>1.5139999999999999E-4</v>
      </c>
      <c r="D22" s="2">
        <v>-4.1429999999999999E-4</v>
      </c>
      <c r="E22" s="2">
        <v>0</v>
      </c>
      <c r="F22" s="2">
        <v>0</v>
      </c>
      <c r="G22" s="2">
        <v>0</v>
      </c>
      <c r="H22" s="2">
        <v>3.8592371999999997E-5</v>
      </c>
      <c r="I22" s="2">
        <v>1.3708186E-5</v>
      </c>
      <c r="J22" s="2">
        <v>-1.0053147E-4</v>
      </c>
      <c r="K22" s="3"/>
      <c r="L22" s="3">
        <f t="shared" si="0"/>
        <v>-0.11824764663287472</v>
      </c>
      <c r="M22" s="3"/>
      <c r="N22" s="2">
        <f>IF('Modell einstellen'!$B$1="Voll",H22/0.35,H22/0.35*2)</f>
        <v>2.2052783999999999E-4</v>
      </c>
      <c r="O22" s="2">
        <f>IF('Modell einstellen'!$B$1="Voll",J22/0.35,J22/0.35*2)</f>
        <v>-5.7446554285714283E-4</v>
      </c>
      <c r="P22" s="3">
        <f t="shared" si="1"/>
        <v>0.38388349439235298</v>
      </c>
      <c r="Q22" s="3"/>
      <c r="R22" s="3"/>
      <c r="S22" s="3"/>
      <c r="T22" s="3"/>
      <c r="U22" s="3"/>
      <c r="V22" s="3"/>
      <c r="W22" s="3"/>
    </row>
    <row r="23" spans="1:23" x14ac:dyDescent="0.25">
      <c r="A23" s="2">
        <v>100000</v>
      </c>
      <c r="B23" s="2">
        <v>-4.6050000000000001E-5</v>
      </c>
      <c r="C23" s="2">
        <v>1.595E-4</v>
      </c>
      <c r="D23" s="2">
        <v>-4.2539999999999999E-4</v>
      </c>
      <c r="E23" s="2">
        <v>0</v>
      </c>
      <c r="F23" s="2">
        <v>0</v>
      </c>
      <c r="G23" s="2">
        <v>0</v>
      </c>
      <c r="H23" s="2">
        <v>4.0776355999999998E-5</v>
      </c>
      <c r="I23" s="2">
        <v>1.4682882E-5</v>
      </c>
      <c r="J23" s="2">
        <v>-1.0467393E-4</v>
      </c>
      <c r="K23" s="3"/>
      <c r="L23" s="3">
        <f t="shared" si="0"/>
        <v>-0.10825105782792667</v>
      </c>
      <c r="M23" s="3"/>
      <c r="N23" s="2">
        <f>IF('Modell einstellen'!$B$1="Voll",H23/0.35,H23/0.35*2)</f>
        <v>2.3300774857142859E-4</v>
      </c>
      <c r="O23" s="2">
        <f>IF('Modell einstellen'!$B$1="Voll",J23/0.35,J23/0.35*2)</f>
        <v>-5.9813674285714286E-4</v>
      </c>
      <c r="P23" s="3">
        <f t="shared" si="1"/>
        <v>0.38955598590785695</v>
      </c>
      <c r="Q23" s="3"/>
      <c r="R23" s="3"/>
      <c r="S23" s="3"/>
      <c r="T23" s="3"/>
      <c r="U23" s="3"/>
      <c r="V23" s="3"/>
      <c r="W23" s="3"/>
    </row>
    <row r="24" spans="1:23" x14ac:dyDescent="0.25">
      <c r="A24" s="2">
        <v>1000000</v>
      </c>
      <c r="B24" s="2">
        <v>-2.1939999999999999E-7</v>
      </c>
      <c r="C24" s="2">
        <v>1.8589999999999999E-4</v>
      </c>
      <c r="D24" s="2">
        <v>-4.8769999999999998E-4</v>
      </c>
      <c r="E24" s="2">
        <v>0</v>
      </c>
      <c r="F24" s="2">
        <v>0</v>
      </c>
      <c r="G24" s="2">
        <v>0</v>
      </c>
      <c r="H24" s="2">
        <v>4.5791726000000002E-5</v>
      </c>
      <c r="I24" s="2">
        <v>1.8423627000000001E-5</v>
      </c>
      <c r="J24" s="2">
        <v>-1.1644216000000001E-4</v>
      </c>
      <c r="K24" s="3"/>
      <c r="L24" s="3">
        <f t="shared" si="0"/>
        <v>-4.4986672134508918E-4</v>
      </c>
      <c r="M24" s="3"/>
      <c r="N24" s="2">
        <f>IF('Modell einstellen'!$B$1="Voll",H24/0.35,H24/0.35*2)</f>
        <v>2.6166700571428575E-4</v>
      </c>
      <c r="O24" s="2">
        <f>IF('Modell einstellen'!$B$1="Voll",J24/0.35,J24/0.35*2)</f>
        <v>-6.6538377142857149E-4</v>
      </c>
      <c r="P24" s="3">
        <f t="shared" si="1"/>
        <v>0.3932572703907245</v>
      </c>
      <c r="Q24" s="3"/>
      <c r="R24" s="3"/>
      <c r="S24" s="3"/>
      <c r="T24" s="3"/>
      <c r="U24" s="3"/>
      <c r="V24" s="3"/>
      <c r="W24" s="3"/>
    </row>
    <row r="25" spans="1:23" x14ac:dyDescent="0.25">
      <c r="A25" s="2">
        <v>10000000</v>
      </c>
      <c r="B25" s="2">
        <v>9.5439999999999994E-5</v>
      </c>
      <c r="C25" s="2">
        <v>2.351E-4</v>
      </c>
      <c r="D25" s="2">
        <v>-6.1079999999999999E-4</v>
      </c>
      <c r="E25" s="2">
        <v>0</v>
      </c>
      <c r="F25" s="2">
        <v>0</v>
      </c>
      <c r="G25" s="2">
        <v>0</v>
      </c>
      <c r="H25" s="2">
        <v>5.3864538999999999E-5</v>
      </c>
      <c r="I25" s="2">
        <v>2.5600403000000001E-5</v>
      </c>
      <c r="J25" s="2">
        <v>-1.3729097000000001E-4</v>
      </c>
      <c r="K25" s="3"/>
      <c r="L25" s="3">
        <f t="shared" si="0"/>
        <v>0.15625409299279633</v>
      </c>
      <c r="M25" s="3"/>
      <c r="N25" s="2">
        <f>IF('Modell einstellen'!$B$1="Voll",H25/0.35,H25/0.35*2)</f>
        <v>3.0779736571428574E-4</v>
      </c>
      <c r="O25" s="2">
        <f>IF('Modell einstellen'!$B$1="Voll",J25/0.35,J25/0.35*2)</f>
        <v>-7.8451982857142871E-4</v>
      </c>
      <c r="P25" s="3">
        <f t="shared" si="1"/>
        <v>0.39233854200316304</v>
      </c>
      <c r="Q25" s="3"/>
      <c r="R25" s="3"/>
      <c r="S25" s="3"/>
      <c r="T25" s="3"/>
      <c r="U25" s="3"/>
      <c r="V25" s="3"/>
      <c r="W25" s="3"/>
    </row>
    <row r="26" spans="1:23" x14ac:dyDescent="0.25">
      <c r="A26" s="2">
        <v>100000000</v>
      </c>
      <c r="B26" s="2">
        <v>2.041E-4</v>
      </c>
      <c r="C26" s="2">
        <v>2.943E-4</v>
      </c>
      <c r="D26" s="2">
        <v>-7.5489999999999997E-4</v>
      </c>
      <c r="E26" s="2">
        <v>0</v>
      </c>
      <c r="F26" s="2">
        <v>0</v>
      </c>
      <c r="G26" s="2">
        <v>0</v>
      </c>
      <c r="H26" s="2">
        <v>6.2573227E-5</v>
      </c>
      <c r="I26" s="2">
        <v>3.3945188000000002E-5</v>
      </c>
      <c r="J26" s="2">
        <v>-1.6094762000000001E-4</v>
      </c>
      <c r="K26" s="3"/>
      <c r="L26" s="3">
        <f t="shared" si="0"/>
        <v>0.27036693601801565</v>
      </c>
      <c r="M26" s="3"/>
      <c r="N26" s="2">
        <f>IF('Modell einstellen'!$B$1="Voll",H26/0.35,H26/0.35*2)</f>
        <v>3.5756129714285714E-4</v>
      </c>
      <c r="O26" s="2">
        <f>IF('Modell einstellen'!$B$1="Voll",J26/0.35,J26/0.35*2)</f>
        <v>-9.1970068571428578E-4</v>
      </c>
      <c r="P26" s="3">
        <f t="shared" si="1"/>
        <v>0.38878007018680982</v>
      </c>
      <c r="Q26" s="3"/>
      <c r="R26" s="3"/>
      <c r="S26" s="3"/>
      <c r="T26" s="3"/>
      <c r="U26" s="3"/>
      <c r="V26" s="3"/>
      <c r="W26" s="3"/>
    </row>
    <row r="27" spans="1:23" x14ac:dyDescent="0.25">
      <c r="A27" s="2">
        <v>1000000000</v>
      </c>
      <c r="B27" s="2">
        <v>3.0039999999999998E-4</v>
      </c>
      <c r="C27" s="2">
        <v>3.5359999999999998E-4</v>
      </c>
      <c r="D27" s="2">
        <v>-8.9110000000000003E-4</v>
      </c>
      <c r="E27" s="2">
        <v>0</v>
      </c>
      <c r="F27" s="2">
        <v>0</v>
      </c>
      <c r="G27" s="2">
        <v>0</v>
      </c>
      <c r="H27" s="2">
        <v>7.0746065999999997E-5</v>
      </c>
      <c r="I27" s="2">
        <v>4.1939605999999997E-5</v>
      </c>
      <c r="J27" s="2">
        <v>-1.8367239E-4</v>
      </c>
      <c r="K27" s="3"/>
      <c r="L27" s="3">
        <f t="shared" si="0"/>
        <v>0.33711143530467957</v>
      </c>
      <c r="M27" s="3"/>
      <c r="N27" s="2">
        <f>IF('Modell einstellen'!$B$1="Voll",H27/0.35,H27/0.35*2)</f>
        <v>4.0426323428571428E-4</v>
      </c>
      <c r="O27" s="2">
        <f>IF('Modell einstellen'!$B$1="Voll",J27/0.35,J27/0.35*2)</f>
        <v>-1.0495565142857144E-3</v>
      </c>
      <c r="P27" s="3">
        <f t="shared" si="1"/>
        <v>0.38517528954678487</v>
      </c>
      <c r="Q27" s="3"/>
      <c r="R27" s="3"/>
      <c r="S27" s="3"/>
      <c r="T27" s="3"/>
      <c r="U27" s="3"/>
      <c r="V27" s="3"/>
      <c r="W27" s="3"/>
    </row>
    <row r="28" spans="1:23" x14ac:dyDescent="0.25">
      <c r="A28" s="2">
        <v>10000000000</v>
      </c>
      <c r="B28" s="2">
        <v>3.8069999999999998E-4</v>
      </c>
      <c r="C28" s="2">
        <v>4.1140000000000003E-4</v>
      </c>
      <c r="D28" s="2">
        <v>-1.0150000000000001E-3</v>
      </c>
      <c r="E28" s="2">
        <v>0</v>
      </c>
      <c r="F28" s="2">
        <v>0</v>
      </c>
      <c r="G28" s="2">
        <v>0</v>
      </c>
      <c r="H28" s="2">
        <v>7.8550654999999997E-5</v>
      </c>
      <c r="I28" s="2">
        <v>4.9546007999999998E-5</v>
      </c>
      <c r="J28" s="2">
        <v>-2.0563472999999999E-4</v>
      </c>
      <c r="K28" s="3"/>
      <c r="L28" s="3">
        <f t="shared" si="0"/>
        <v>0.37507389162561572</v>
      </c>
      <c r="M28" s="3"/>
      <c r="N28" s="2">
        <f>IF('Modell einstellen'!$B$1="Voll",H28/0.35,H28/0.35*2)</f>
        <v>4.4886088571428575E-4</v>
      </c>
      <c r="O28" s="2">
        <f>IF('Modell einstellen'!$B$1="Voll",J28/0.35,J28/0.35*2)</f>
        <v>-1.1750555999999999E-3</v>
      </c>
      <c r="P28" s="3">
        <f t="shared" si="1"/>
        <v>0.38199118893972828</v>
      </c>
      <c r="Q28" s="3"/>
      <c r="R28" s="3"/>
      <c r="S28" s="3"/>
      <c r="T28" s="3"/>
      <c r="U28" s="3"/>
      <c r="V28" s="3"/>
      <c r="W28" s="3"/>
    </row>
    <row r="29" spans="1:23" x14ac:dyDescent="0.25">
      <c r="A29" s="2">
        <v>100000000000</v>
      </c>
      <c r="B29" s="2">
        <v>4.4729999999999998E-4</v>
      </c>
      <c r="C29" s="2">
        <v>4.6729999999999997E-4</v>
      </c>
      <c r="D29" s="2">
        <v>-1.1280000000000001E-3</v>
      </c>
      <c r="E29" s="2">
        <v>0</v>
      </c>
      <c r="F29" s="2">
        <v>0</v>
      </c>
      <c r="G29" s="2">
        <v>0</v>
      </c>
      <c r="H29" s="2">
        <v>8.5870352000000006E-5</v>
      </c>
      <c r="I29" s="2">
        <v>5.6855928000000002E-5</v>
      </c>
      <c r="J29" s="2">
        <v>-2.2678891999999999E-4</v>
      </c>
      <c r="K29" s="3"/>
      <c r="L29" s="3">
        <f t="shared" si="0"/>
        <v>0.39654255319148929</v>
      </c>
      <c r="M29" s="3"/>
      <c r="N29" s="2">
        <f>IF('Modell einstellen'!$B$1="Voll",H29/0.35,H29/0.35*2)</f>
        <v>4.9068772571428582E-4</v>
      </c>
      <c r="O29" s="2">
        <f>IF('Modell einstellen'!$B$1="Voll",J29/0.35,J29/0.35*2)</f>
        <v>-1.2959366857142858E-3</v>
      </c>
      <c r="P29" s="3">
        <f t="shared" si="1"/>
        <v>0.37863557002696607</v>
      </c>
      <c r="Q29" s="3"/>
      <c r="R29" s="3"/>
      <c r="S29" s="3"/>
      <c r="T29" s="3"/>
      <c r="U29" s="3"/>
      <c r="V29" s="3"/>
      <c r="W29" s="3"/>
    </row>
    <row r="30" spans="1:23" x14ac:dyDescent="0.25">
      <c r="A30" s="2">
        <v>1000000000000</v>
      </c>
      <c r="B30" s="2">
        <v>5.0120000000000004E-4</v>
      </c>
      <c r="C30" s="2">
        <v>5.1800000000000001E-4</v>
      </c>
      <c r="D30" s="2">
        <v>-1.225E-3</v>
      </c>
      <c r="E30" s="2">
        <v>0</v>
      </c>
      <c r="F30" s="2">
        <v>0</v>
      </c>
      <c r="G30" s="2">
        <v>0</v>
      </c>
      <c r="H30" s="2">
        <v>9.2135755000000003E-5</v>
      </c>
      <c r="I30" s="2">
        <v>6.3455172999999995E-5</v>
      </c>
      <c r="J30" s="2">
        <v>-2.4563800000000001E-4</v>
      </c>
      <c r="K30" s="3"/>
      <c r="L30" s="3">
        <f t="shared" si="0"/>
        <v>0.4091428571428572</v>
      </c>
      <c r="M30" s="3"/>
      <c r="N30" s="2">
        <f>IF('Modell einstellen'!$B$1="Voll",H30/0.35,H30/0.35*2)</f>
        <v>5.2649002857142865E-4</v>
      </c>
      <c r="O30" s="2">
        <f>IF('Modell einstellen'!$B$1="Voll",J30/0.35,J30/0.35*2)</f>
        <v>-1.4036457142857144E-3</v>
      </c>
      <c r="P30" s="3">
        <f t="shared" si="1"/>
        <v>0.37508754752929113</v>
      </c>
      <c r="Q30" s="3"/>
      <c r="R30" s="3"/>
      <c r="S30" s="3"/>
      <c r="T30" s="3"/>
      <c r="U30" s="3"/>
      <c r="V30" s="3"/>
      <c r="W30" s="3"/>
    </row>
    <row r="31" spans="1:23" x14ac:dyDescent="0.25">
      <c r="A31" s="2">
        <v>10000000000000</v>
      </c>
      <c r="B31" s="2">
        <v>5.4480000000000002E-4</v>
      </c>
      <c r="C31" s="2">
        <v>5.6340000000000003E-4</v>
      </c>
      <c r="D31" s="2">
        <v>-1.3079999999999999E-3</v>
      </c>
      <c r="E31" s="2">
        <v>0</v>
      </c>
      <c r="F31" s="2">
        <v>0</v>
      </c>
      <c r="G31" s="2">
        <v>0</v>
      </c>
      <c r="H31" s="2">
        <v>9.7724777999999996E-5</v>
      </c>
      <c r="I31" s="2">
        <v>6.9386441999999998E-5</v>
      </c>
      <c r="J31" s="2">
        <v>-2.6262189999999997E-4</v>
      </c>
      <c r="K31" s="3"/>
      <c r="L31" s="3">
        <f t="shared" si="0"/>
        <v>0.41651376146788993</v>
      </c>
      <c r="M31" s="3"/>
      <c r="N31" s="2">
        <f>IF('Modell einstellen'!$B$1="Voll",H31/0.35,H31/0.35*2)</f>
        <v>5.5842730285714291E-4</v>
      </c>
      <c r="O31" s="2">
        <f>IF('Modell einstellen'!$B$1="Voll",J31/0.35,J31/0.35*2)</f>
        <v>-1.5006965714285713E-3</v>
      </c>
      <c r="P31" s="3">
        <f t="shared" si="1"/>
        <v>0.37211206681544845</v>
      </c>
      <c r="Q31" s="3"/>
      <c r="R31" s="3"/>
      <c r="S31" s="3"/>
      <c r="T31" s="3"/>
      <c r="U31" s="3"/>
      <c r="V31" s="3"/>
      <c r="W31" s="3"/>
    </row>
    <row r="32" spans="1:23" x14ac:dyDescent="0.25">
      <c r="A32" s="2">
        <v>100000000000000</v>
      </c>
      <c r="B32" s="2">
        <v>5.8290000000000002E-4</v>
      </c>
      <c r="C32" s="2">
        <v>6.0650000000000005E-4</v>
      </c>
      <c r="D32" s="2">
        <v>-1.3860000000000001E-3</v>
      </c>
      <c r="E32" s="2">
        <v>0</v>
      </c>
      <c r="F32" s="2">
        <v>0</v>
      </c>
      <c r="G32" s="2">
        <v>0</v>
      </c>
      <c r="H32" s="2">
        <v>1.0342105E-4</v>
      </c>
      <c r="I32" s="2">
        <v>7.5170012000000007E-5</v>
      </c>
      <c r="J32" s="2">
        <v>-2.7952749E-4</v>
      </c>
      <c r="K32" s="3"/>
      <c r="L32" s="3">
        <f t="shared" si="0"/>
        <v>0.42056277056277053</v>
      </c>
      <c r="M32" s="3"/>
      <c r="N32" s="2">
        <f>IF('Modell einstellen'!$B$1="Voll",H32/0.35,H32/0.35*2)</f>
        <v>5.9097742857142858E-4</v>
      </c>
      <c r="O32" s="2">
        <f>IF('Modell einstellen'!$B$1="Voll",J32/0.35,J32/0.35*2)</f>
        <v>-1.597299942857143E-3</v>
      </c>
      <c r="P32" s="3">
        <f t="shared" si="1"/>
        <v>0.36998525619072381</v>
      </c>
      <c r="Q32" s="3"/>
      <c r="R32" s="3"/>
      <c r="S32" s="3"/>
      <c r="T32" s="3"/>
      <c r="U32" s="3"/>
      <c r="V32" s="3"/>
      <c r="W32" s="3"/>
    </row>
    <row r="33" spans="1:23" x14ac:dyDescent="0.25">
      <c r="A33" s="2">
        <v>1000000000000000</v>
      </c>
      <c r="B33" s="2">
        <v>6.133E-4</v>
      </c>
      <c r="C33" s="2">
        <v>6.4309999999999997E-4</v>
      </c>
      <c r="D33" s="2">
        <v>-1.4519999999999999E-3</v>
      </c>
      <c r="E33" s="2">
        <v>0</v>
      </c>
      <c r="F33" s="2">
        <v>0</v>
      </c>
      <c r="G33" s="2">
        <v>0</v>
      </c>
      <c r="H33" s="2">
        <v>1.0913917E-4</v>
      </c>
      <c r="I33" s="2">
        <v>8.0418006000000005E-5</v>
      </c>
      <c r="J33" s="2">
        <v>-2.9551284E-4</v>
      </c>
      <c r="K33" s="3"/>
      <c r="L33" s="3">
        <f t="shared" si="0"/>
        <v>0.42238292011019285</v>
      </c>
      <c r="M33" s="3"/>
      <c r="N33" s="2">
        <f>IF('Modell einstellen'!$B$1="Voll",H33/0.35,H33/0.35*2)</f>
        <v>6.2365240000000007E-4</v>
      </c>
      <c r="O33" s="2">
        <f>IF('Modell einstellen'!$B$1="Voll",J33/0.35,J33/0.35*2)</f>
        <v>-1.6886448000000001E-3</v>
      </c>
      <c r="P33" s="3">
        <f t="shared" si="1"/>
        <v>0.36932124505994396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-1.04E-5</v>
      </c>
      <c r="C3" s="3">
        <v>1.415E-4</v>
      </c>
      <c r="D3" s="3">
        <v>-4.2870000000000001E-4</v>
      </c>
      <c r="E3" s="3">
        <v>0</v>
      </c>
      <c r="F3" s="3">
        <v>0</v>
      </c>
      <c r="G3" s="3">
        <v>0</v>
      </c>
      <c r="H3" s="3">
        <v>3.2588293999999998E-5</v>
      </c>
      <c r="I3" s="3">
        <v>1.2895905E-5</v>
      </c>
      <c r="J3" s="3">
        <v>-9.1844273000000004E-5</v>
      </c>
      <c r="L3" s="3">
        <f>-B3/D3</f>
        <v>-2.4259388850011665E-2</v>
      </c>
      <c r="M3" s="3"/>
      <c r="N3" s="2">
        <f>IF('Modell einstellen'!$B$1="Voll",H3/0.35,H3/0.35*2)</f>
        <v>1.8621882285714287E-4</v>
      </c>
      <c r="O3" s="2">
        <f>IF('Modell einstellen'!$B$1="Voll",J3/0.35,J3/0.35*2)</f>
        <v>-5.2482441714285716E-4</v>
      </c>
      <c r="P3" s="3">
        <f>-N3/O3</f>
        <v>0.35482118738094864</v>
      </c>
    </row>
    <row r="4" spans="1:16" x14ac:dyDescent="0.25">
      <c r="A4" s="3">
        <v>1E-14</v>
      </c>
      <c r="B4" s="3">
        <v>-1.041E-5</v>
      </c>
      <c r="C4" s="3">
        <v>1.415E-4</v>
      </c>
      <c r="D4" s="3">
        <v>-4.2870000000000001E-4</v>
      </c>
      <c r="E4" s="3">
        <v>0</v>
      </c>
      <c r="F4" s="3">
        <v>0</v>
      </c>
      <c r="G4" s="3">
        <v>0</v>
      </c>
      <c r="H4" s="3">
        <v>3.2588422000000001E-5</v>
      </c>
      <c r="I4" s="3">
        <v>1.2896878E-5</v>
      </c>
      <c r="J4" s="3">
        <v>-9.1842913000000003E-5</v>
      </c>
      <c r="L4" s="3">
        <f t="shared" ref="L4:L33" si="0">-B4/D4</f>
        <v>-2.4282715185444368E-2</v>
      </c>
      <c r="M4" s="3"/>
      <c r="N4" s="2">
        <f>IF('Modell einstellen'!$B$1="Voll",H4/0.35,H4/0.35*2)</f>
        <v>1.8621955428571431E-4</v>
      </c>
      <c r="O4" s="2">
        <f>IF('Modell einstellen'!$B$1="Voll",J4/0.35,J4/0.35*2)</f>
        <v>-5.2481664571428575E-4</v>
      </c>
      <c r="P4" s="3">
        <f t="shared" ref="P4:P33" si="1">-N4/O4</f>
        <v>0.35482783521903322</v>
      </c>
    </row>
    <row r="5" spans="1:16" x14ac:dyDescent="0.25">
      <c r="A5" s="3">
        <v>1E-13</v>
      </c>
      <c r="B5" s="3">
        <v>-1.041E-5</v>
      </c>
      <c r="C5" s="3">
        <v>1.415E-4</v>
      </c>
      <c r="D5" s="3">
        <v>-4.2870000000000001E-4</v>
      </c>
      <c r="E5" s="3">
        <v>0</v>
      </c>
      <c r="F5" s="3">
        <v>0</v>
      </c>
      <c r="G5" s="3">
        <v>0</v>
      </c>
      <c r="H5" s="3">
        <v>3.2588597E-5</v>
      </c>
      <c r="I5" s="3">
        <v>1.289704E-5</v>
      </c>
      <c r="J5" s="3">
        <v>-9.1843389999999995E-5</v>
      </c>
      <c r="L5" s="3">
        <f t="shared" si="0"/>
        <v>-2.4282715185444368E-2</v>
      </c>
      <c r="M5" s="3"/>
      <c r="N5" s="2">
        <f>IF('Modell einstellen'!$B$1="Voll",H5/0.35,H5/0.35*2)</f>
        <v>1.8622055428571429E-4</v>
      </c>
      <c r="O5" s="2">
        <f>IF('Modell einstellen'!$B$1="Voll",J5/0.35,J5/0.35*2)</f>
        <v>-5.2481937142857143E-4</v>
      </c>
      <c r="P5" s="3">
        <f t="shared" si="1"/>
        <v>0.35482789779427787</v>
      </c>
    </row>
    <row r="6" spans="1:16" x14ac:dyDescent="0.25">
      <c r="A6" s="3">
        <v>9.9999999999999998E-13</v>
      </c>
      <c r="B6" s="3">
        <v>-1.041E-5</v>
      </c>
      <c r="C6" s="3">
        <v>1.415E-4</v>
      </c>
      <c r="D6" s="3">
        <v>-4.2870000000000001E-4</v>
      </c>
      <c r="E6" s="3">
        <v>0</v>
      </c>
      <c r="F6" s="3">
        <v>0</v>
      </c>
      <c r="G6" s="3">
        <v>0</v>
      </c>
      <c r="H6" s="3">
        <v>3.2588648E-5</v>
      </c>
      <c r="I6" s="3">
        <v>1.2897085E-5</v>
      </c>
      <c r="J6" s="3">
        <v>-9.1843525999999993E-5</v>
      </c>
      <c r="L6" s="3">
        <f t="shared" si="0"/>
        <v>-2.4282715185444368E-2</v>
      </c>
      <c r="M6" s="3"/>
      <c r="N6" s="2">
        <f>IF('Modell einstellen'!$B$1="Voll",H6/0.35,H6/0.35*2)</f>
        <v>1.8622084571428573E-4</v>
      </c>
      <c r="O6" s="2">
        <f>IF('Modell einstellen'!$B$1="Voll",J6/0.35,J6/0.35*2)</f>
        <v>-5.2482014857142855E-4</v>
      </c>
      <c r="P6" s="3">
        <f t="shared" si="1"/>
        <v>0.354827927664711</v>
      </c>
    </row>
    <row r="7" spans="1:16" x14ac:dyDescent="0.25">
      <c r="A7" s="3">
        <v>9.9999999999999994E-12</v>
      </c>
      <c r="B7" s="3">
        <v>-1.041E-5</v>
      </c>
      <c r="C7" s="3">
        <v>1.415E-4</v>
      </c>
      <c r="D7" s="3">
        <v>-4.2870000000000001E-4</v>
      </c>
      <c r="E7" s="3">
        <v>0</v>
      </c>
      <c r="F7" s="3">
        <v>0</v>
      </c>
      <c r="G7" s="3">
        <v>0</v>
      </c>
      <c r="H7" s="3">
        <v>3.2588729999999997E-5</v>
      </c>
      <c r="I7" s="3">
        <v>1.289711E-5</v>
      </c>
      <c r="J7" s="3">
        <v>-9.1843669000000005E-5</v>
      </c>
      <c r="L7" s="3">
        <f t="shared" si="0"/>
        <v>-2.4282715185444368E-2</v>
      </c>
      <c r="M7" s="3"/>
      <c r="N7" s="2">
        <f>IF('Modell einstellen'!$B$1="Voll",H7/0.35,H7/0.35*2)</f>
        <v>1.8622131428571429E-4</v>
      </c>
      <c r="O7" s="2">
        <f>IF('Modell einstellen'!$B$1="Voll",J7/0.35,J7/0.35*2)</f>
        <v>-5.2482096571428573E-4</v>
      </c>
      <c r="P7" s="3">
        <f t="shared" si="1"/>
        <v>0.35482826802139189</v>
      </c>
    </row>
    <row r="8" spans="1:16" x14ac:dyDescent="0.25">
      <c r="A8" s="3">
        <v>1E-10</v>
      </c>
      <c r="B8" s="3">
        <v>-1.041E-5</v>
      </c>
      <c r="C8" s="3">
        <v>1.415E-4</v>
      </c>
      <c r="D8" s="3">
        <v>-4.2870000000000001E-4</v>
      </c>
      <c r="E8" s="3">
        <v>0</v>
      </c>
      <c r="F8" s="3">
        <v>0</v>
      </c>
      <c r="G8" s="3">
        <v>0</v>
      </c>
      <c r="H8" s="3">
        <v>3.2589428E-5</v>
      </c>
      <c r="I8" s="3">
        <v>1.2897226E-5</v>
      </c>
      <c r="J8" s="3">
        <v>-9.1844742999999996E-5</v>
      </c>
      <c r="L8" s="3">
        <f t="shared" si="0"/>
        <v>-2.4282715185444368E-2</v>
      </c>
      <c r="M8" s="3"/>
      <c r="N8" s="2">
        <f>IF('Modell einstellen'!$B$1="Voll",H8/0.35,H8/0.35*2)</f>
        <v>1.8622530285714286E-4</v>
      </c>
      <c r="O8" s="2">
        <f>IF('Modell einstellen'!$B$1="Voll",J8/0.35,J8/0.35*2)</f>
        <v>-5.248271028571429E-4</v>
      </c>
      <c r="P8" s="3">
        <f t="shared" si="1"/>
        <v>0.35483171856662499</v>
      </c>
    </row>
    <row r="9" spans="1:16" x14ac:dyDescent="0.25">
      <c r="A9" s="3">
        <v>1.0000000000000001E-9</v>
      </c>
      <c r="B9" s="3">
        <v>-1.045E-5</v>
      </c>
      <c r="C9" s="3">
        <v>1.415E-4</v>
      </c>
      <c r="D9" s="3">
        <v>-4.2870000000000001E-4</v>
      </c>
      <c r="E9" s="3">
        <v>0</v>
      </c>
      <c r="F9" s="3">
        <v>0</v>
      </c>
      <c r="G9" s="3">
        <v>0</v>
      </c>
      <c r="H9" s="3">
        <v>3.2596331000000003E-5</v>
      </c>
      <c r="I9" s="3">
        <v>1.2898343000000001E-5</v>
      </c>
      <c r="J9" s="3">
        <v>-9.1855304999999995E-5</v>
      </c>
      <c r="L9" s="3">
        <f t="shared" si="0"/>
        <v>-2.437602052717518E-2</v>
      </c>
      <c r="M9" s="3"/>
      <c r="N9" s="2">
        <f>IF('Modell einstellen'!$B$1="Voll",H9/0.35,H9/0.35*2)</f>
        <v>1.8626474857142859E-4</v>
      </c>
      <c r="O9" s="2">
        <f>IF('Modell einstellen'!$B$1="Voll",J9/0.35,J9/0.35*2)</f>
        <v>-5.2488745714285713E-4</v>
      </c>
      <c r="P9" s="3">
        <f t="shared" si="1"/>
        <v>0.35486606897663669</v>
      </c>
    </row>
    <row r="10" spans="1:16" x14ac:dyDescent="0.25">
      <c r="A10" s="3">
        <v>1E-8</v>
      </c>
      <c r="B10" s="3">
        <v>-1.08E-5</v>
      </c>
      <c r="C10" s="3">
        <v>1.416E-4</v>
      </c>
      <c r="D10" s="3">
        <v>-4.2860000000000001E-4</v>
      </c>
      <c r="E10" s="3">
        <v>0</v>
      </c>
      <c r="F10" s="3">
        <v>0</v>
      </c>
      <c r="G10" s="3">
        <v>0</v>
      </c>
      <c r="H10" s="3">
        <v>3.2662965E-5</v>
      </c>
      <c r="I10" s="3">
        <v>1.2909107000000001E-5</v>
      </c>
      <c r="J10" s="3">
        <v>-9.1957214999999995E-5</v>
      </c>
      <c r="L10" s="3">
        <f t="shared" si="0"/>
        <v>-2.5198320111992533E-2</v>
      </c>
      <c r="M10" s="3"/>
      <c r="N10" s="2">
        <f>IF('Modell einstellen'!$B$1="Voll",H10/0.35,H10/0.35*2)</f>
        <v>1.8664551428571429E-4</v>
      </c>
      <c r="O10" s="2">
        <f>IF('Modell einstellen'!$B$1="Voll",J10/0.35,J10/0.35*2)</f>
        <v>-5.2546980000000004E-4</v>
      </c>
      <c r="P10" s="3">
        <f t="shared" si="1"/>
        <v>0.35519741436275554</v>
      </c>
    </row>
    <row r="11" spans="1:16" x14ac:dyDescent="0.25">
      <c r="A11" s="3">
        <v>9.9999999999999995E-8</v>
      </c>
      <c r="B11" s="3">
        <v>-1.359E-5</v>
      </c>
      <c r="C11" s="3">
        <v>1.4249999999999999E-4</v>
      </c>
      <c r="D11" s="3">
        <v>-4.28E-4</v>
      </c>
      <c r="E11" s="3">
        <v>0</v>
      </c>
      <c r="F11" s="3">
        <v>0</v>
      </c>
      <c r="G11" s="3">
        <v>0</v>
      </c>
      <c r="H11" s="3">
        <v>3.3197827999999999E-5</v>
      </c>
      <c r="I11" s="3">
        <v>1.2995042999999999E-5</v>
      </c>
      <c r="J11" s="3">
        <v>-9.2773458E-5</v>
      </c>
      <c r="L11" s="3">
        <f t="shared" si="0"/>
        <v>-3.175233644859813E-2</v>
      </c>
      <c r="M11" s="3"/>
      <c r="N11" s="2">
        <f>IF('Modell einstellen'!$B$1="Voll",H11/0.35,H11/0.35*2)</f>
        <v>1.8970187428571429E-4</v>
      </c>
      <c r="O11" s="2">
        <f>IF('Modell einstellen'!$B$1="Voll",J11/0.35,J11/0.35*2)</f>
        <v>-5.3013404571428579E-4</v>
      </c>
      <c r="P11" s="3">
        <f t="shared" si="1"/>
        <v>0.35783756168709369</v>
      </c>
    </row>
    <row r="12" spans="1:16" x14ac:dyDescent="0.25">
      <c r="A12" s="3">
        <v>9.9999999999999995E-7</v>
      </c>
      <c r="B12" s="3">
        <v>-2.0270000000000001E-5</v>
      </c>
      <c r="C12" s="3">
        <v>1.4459999999999999E-4</v>
      </c>
      <c r="D12" s="3">
        <v>-4.2630000000000001E-4</v>
      </c>
      <c r="E12" s="3">
        <v>0</v>
      </c>
      <c r="F12" s="3">
        <v>0</v>
      </c>
      <c r="G12" s="3">
        <v>0</v>
      </c>
      <c r="H12" s="3">
        <v>3.4442802E-5</v>
      </c>
      <c r="I12" s="3">
        <v>1.3191765000000001E-5</v>
      </c>
      <c r="J12" s="3">
        <v>-9.4655550000000006E-5</v>
      </c>
      <c r="L12" s="3">
        <f t="shared" si="0"/>
        <v>-4.7548674642270701E-2</v>
      </c>
      <c r="M12" s="3"/>
      <c r="N12" s="2">
        <f>IF('Modell einstellen'!$B$1="Voll",H12/0.35,H12/0.35*2)</f>
        <v>1.9681601142857143E-4</v>
      </c>
      <c r="O12" s="2">
        <f>IF('Modell einstellen'!$B$1="Voll",J12/0.35,J12/0.35*2)</f>
        <v>-5.4088885714285724E-4</v>
      </c>
      <c r="P12" s="3">
        <f t="shared" si="1"/>
        <v>0.36387514519750819</v>
      </c>
    </row>
    <row r="13" spans="1:16" x14ac:dyDescent="0.25">
      <c r="A13" s="3">
        <v>1.0000000000000001E-5</v>
      </c>
      <c r="B13" s="3">
        <v>-2.5259999999999999E-5</v>
      </c>
      <c r="C13" s="3">
        <v>1.462E-4</v>
      </c>
      <c r="D13" s="3">
        <v>-4.2499999999999998E-4</v>
      </c>
      <c r="E13" s="3">
        <v>0</v>
      </c>
      <c r="F13" s="3">
        <v>0</v>
      </c>
      <c r="G13" s="3">
        <v>0</v>
      </c>
      <c r="H13" s="3">
        <v>3.5357953999999997E-5</v>
      </c>
      <c r="I13" s="3">
        <v>1.334078E-5</v>
      </c>
      <c r="J13" s="3">
        <v>-9.603465E-5</v>
      </c>
      <c r="L13" s="3">
        <f t="shared" si="0"/>
        <v>-5.9435294117647058E-2</v>
      </c>
      <c r="M13" s="3"/>
      <c r="N13" s="2">
        <f>IF('Modell einstellen'!$B$1="Voll",H13/0.35,H13/0.35*2)</f>
        <v>2.0204545142857143E-4</v>
      </c>
      <c r="O13" s="2">
        <f>IF('Modell einstellen'!$B$1="Voll",J13/0.35,J13/0.35*2)</f>
        <v>-5.4876942857142862E-4</v>
      </c>
      <c r="P13" s="3">
        <f t="shared" si="1"/>
        <v>0.36817913117817369</v>
      </c>
    </row>
    <row r="14" spans="1:16" x14ac:dyDescent="0.25">
      <c r="A14" s="3">
        <v>1E-4</v>
      </c>
      <c r="B14" s="3">
        <v>-3.048E-5</v>
      </c>
      <c r="C14" s="3">
        <v>1.4779999999999999E-4</v>
      </c>
      <c r="D14" s="3">
        <v>-4.2339999999999999E-4</v>
      </c>
      <c r="E14" s="3">
        <v>0</v>
      </c>
      <c r="F14" s="3">
        <v>0</v>
      </c>
      <c r="G14" s="3">
        <v>0</v>
      </c>
      <c r="H14" s="3">
        <v>3.6282470000000002E-5</v>
      </c>
      <c r="I14" s="3">
        <v>1.3487111999999999E-5</v>
      </c>
      <c r="J14" s="3">
        <v>-9.7414611999999993E-5</v>
      </c>
      <c r="L14" s="3">
        <f t="shared" si="0"/>
        <v>-7.1988663202645256E-2</v>
      </c>
      <c r="M14" s="3"/>
      <c r="N14" s="2">
        <f>IF('Modell einstellen'!$B$1="Voll",H14/0.35,H14/0.35*2)</f>
        <v>2.0732840000000003E-4</v>
      </c>
      <c r="O14" s="2">
        <f>IF('Modell einstellen'!$B$1="Voll",J14/0.35,J14/0.35*2)</f>
        <v>-5.5665492571428568E-4</v>
      </c>
      <c r="P14" s="3">
        <f t="shared" si="1"/>
        <v>0.3724540831718347</v>
      </c>
    </row>
    <row r="15" spans="1:16" x14ac:dyDescent="0.25">
      <c r="A15" s="3">
        <v>1E-3</v>
      </c>
      <c r="B15" s="3">
        <v>-3.6850000000000001E-5</v>
      </c>
      <c r="C15" s="3">
        <v>1.496E-4</v>
      </c>
      <c r="D15" s="3">
        <v>-4.2099999999999999E-4</v>
      </c>
      <c r="E15" s="3">
        <v>0</v>
      </c>
      <c r="F15" s="3">
        <v>0</v>
      </c>
      <c r="G15" s="3">
        <v>0</v>
      </c>
      <c r="H15" s="3">
        <v>3.7368018999999997E-5</v>
      </c>
      <c r="I15" s="3">
        <v>1.3651009E-5</v>
      </c>
      <c r="J15" s="3">
        <v>-9.901326E-5</v>
      </c>
      <c r="L15" s="3">
        <f t="shared" si="0"/>
        <v>-8.7529691211401431E-2</v>
      </c>
      <c r="M15" s="3"/>
      <c r="N15" s="2">
        <f>IF('Modell einstellen'!$B$1="Voll",H15/0.35,H15/0.35*2)</f>
        <v>2.1353153714285714E-4</v>
      </c>
      <c r="O15" s="2">
        <f>IF('Modell einstellen'!$B$1="Voll",J15/0.35,J15/0.35*2)</f>
        <v>-5.6579005714285722E-4</v>
      </c>
      <c r="P15" s="3">
        <f t="shared" si="1"/>
        <v>0.37740418808551496</v>
      </c>
    </row>
    <row r="16" spans="1:16" x14ac:dyDescent="0.25">
      <c r="A16" s="3">
        <v>0.01</v>
      </c>
      <c r="B16" s="3">
        <v>-4.4209999999999999E-5</v>
      </c>
      <c r="C16" s="3">
        <v>1.515E-4</v>
      </c>
      <c r="D16" s="3">
        <v>-4.1800000000000002E-4</v>
      </c>
      <c r="E16" s="3">
        <v>0</v>
      </c>
      <c r="F16" s="3">
        <v>0</v>
      </c>
      <c r="G16" s="3">
        <v>0</v>
      </c>
      <c r="H16" s="3">
        <v>3.8577101000000003E-5</v>
      </c>
      <c r="I16" s="3">
        <v>1.3826991E-5</v>
      </c>
      <c r="J16" s="3">
        <v>-1.0077231E-4</v>
      </c>
      <c r="L16" s="3">
        <f t="shared" si="0"/>
        <v>-0.10576555023923444</v>
      </c>
      <c r="M16" s="3"/>
      <c r="N16" s="2">
        <f>IF('Modell einstellen'!$B$1="Voll",H16/0.35,H16/0.35*2)</f>
        <v>2.2044057714285718E-4</v>
      </c>
      <c r="O16" s="2">
        <f>IF('Modell einstellen'!$B$1="Voll",J16/0.35,J16/0.35*2)</f>
        <v>-5.7584177142857142E-4</v>
      </c>
      <c r="P16" s="3">
        <f t="shared" si="1"/>
        <v>0.38281449537080187</v>
      </c>
    </row>
    <row r="17" spans="1:16" x14ac:dyDescent="0.25">
      <c r="A17" s="3">
        <v>0.1</v>
      </c>
      <c r="B17" s="3">
        <v>-5.3359999999999997E-5</v>
      </c>
      <c r="C17" s="3">
        <v>1.537E-4</v>
      </c>
      <c r="D17" s="3">
        <v>-4.1379999999999998E-4</v>
      </c>
      <c r="E17" s="3">
        <v>0</v>
      </c>
      <c r="F17" s="3">
        <v>0</v>
      </c>
      <c r="G17" s="3">
        <v>0</v>
      </c>
      <c r="H17" s="3">
        <v>4.0022248999999998E-5</v>
      </c>
      <c r="I17" s="3">
        <v>1.4027217E-5</v>
      </c>
      <c r="J17" s="3">
        <v>-1.0284418000000001E-4</v>
      </c>
      <c r="L17" s="3">
        <f t="shared" si="0"/>
        <v>-0.12895118414693088</v>
      </c>
      <c r="M17" s="3"/>
      <c r="N17" s="2">
        <f>IF('Modell einstellen'!$B$1="Voll",H17/0.35,H17/0.35*2)</f>
        <v>2.2869856571428572E-4</v>
      </c>
      <c r="O17" s="2">
        <f>IF('Modell einstellen'!$B$1="Voll",J17/0.35,J17/0.35*2)</f>
        <v>-5.8768102857142859E-4</v>
      </c>
      <c r="P17" s="3">
        <f t="shared" si="1"/>
        <v>0.389154242855551</v>
      </c>
    </row>
    <row r="18" spans="1:16" x14ac:dyDescent="0.25">
      <c r="A18" s="3">
        <v>1</v>
      </c>
      <c r="B18" s="3">
        <v>-6.4350000000000006E-5</v>
      </c>
      <c r="C18" s="3">
        <v>1.561E-4</v>
      </c>
      <c r="D18" s="3">
        <v>-4.083E-4</v>
      </c>
      <c r="E18" s="3">
        <v>0</v>
      </c>
      <c r="F18" s="3">
        <v>0</v>
      </c>
      <c r="G18" s="3">
        <v>0</v>
      </c>
      <c r="H18" s="3">
        <v>4.1690188000000003E-5</v>
      </c>
      <c r="I18" s="3">
        <v>1.4247700000000001E-5</v>
      </c>
      <c r="J18" s="3">
        <v>-1.0520005E-4</v>
      </c>
      <c r="L18" s="3">
        <f t="shared" si="0"/>
        <v>-0.15760470242468774</v>
      </c>
      <c r="M18" s="3"/>
      <c r="N18" s="2">
        <f>IF('Modell einstellen'!$B$1="Voll",H18/0.35,H18/0.35*2)</f>
        <v>2.3822964571428574E-4</v>
      </c>
      <c r="O18" s="2">
        <f>IF('Modell einstellen'!$B$1="Voll",J18/0.35,J18/0.35*2)</f>
        <v>-6.0114314285714284E-4</v>
      </c>
      <c r="P18" s="3">
        <f t="shared" si="1"/>
        <v>0.39629437438480308</v>
      </c>
    </row>
    <row r="19" spans="1:16" x14ac:dyDescent="0.25">
      <c r="A19" s="3">
        <v>10</v>
      </c>
      <c r="B19" s="3">
        <v>-7.6779999999999993E-5</v>
      </c>
      <c r="C19" s="3">
        <v>1.595E-4</v>
      </c>
      <c r="D19" s="3">
        <v>-4.0250000000000003E-4</v>
      </c>
      <c r="E19" s="3">
        <v>0</v>
      </c>
      <c r="F19" s="3">
        <v>0</v>
      </c>
      <c r="G19" s="3">
        <v>0</v>
      </c>
      <c r="H19" s="3">
        <v>4.3560341000000003E-5</v>
      </c>
      <c r="I19" s="3">
        <v>1.4533074E-5</v>
      </c>
      <c r="J19" s="3">
        <v>-1.0788757E-4</v>
      </c>
      <c r="L19" s="3">
        <f t="shared" si="0"/>
        <v>-0.19075776397515526</v>
      </c>
      <c r="M19" s="3"/>
      <c r="N19" s="2">
        <f>IF('Modell einstellen'!$B$1="Voll",H19/0.35,H19/0.35*2)</f>
        <v>2.4891623428571432E-4</v>
      </c>
      <c r="O19" s="2">
        <f>IF('Modell einstellen'!$B$1="Voll",J19/0.35,J19/0.35*2)</f>
        <v>-6.1650040000000011E-4</v>
      </c>
      <c r="P19" s="3">
        <f t="shared" si="1"/>
        <v>0.40375680905594591</v>
      </c>
    </row>
    <row r="20" spans="1:16" x14ac:dyDescent="0.25">
      <c r="A20" s="3">
        <v>100</v>
      </c>
      <c r="B20" s="3">
        <v>-8.933E-5</v>
      </c>
      <c r="C20" s="3">
        <v>1.6259999999999999E-4</v>
      </c>
      <c r="D20" s="3">
        <v>-3.9589999999999997E-4</v>
      </c>
      <c r="E20" s="3">
        <v>0</v>
      </c>
      <c r="F20" s="3">
        <v>0</v>
      </c>
      <c r="G20" s="3">
        <v>0</v>
      </c>
      <c r="H20" s="3">
        <v>4.5518973999999998E-5</v>
      </c>
      <c r="I20" s="3">
        <v>1.4830310999999999E-5</v>
      </c>
      <c r="J20" s="3">
        <v>-1.1067088E-4</v>
      </c>
      <c r="L20" s="3">
        <f t="shared" si="0"/>
        <v>-0.22563778732003031</v>
      </c>
      <c r="M20" s="3"/>
      <c r="N20" s="2">
        <f>IF('Modell einstellen'!$B$1="Voll",H20/0.35,H20/0.35*2)</f>
        <v>2.6010842285714285E-4</v>
      </c>
      <c r="O20" s="2">
        <f>IF('Modell einstellen'!$B$1="Voll",J20/0.35,J20/0.35*2)</f>
        <v>-6.3240502857142859E-4</v>
      </c>
      <c r="P20" s="3">
        <f t="shared" si="1"/>
        <v>0.41130037097382799</v>
      </c>
    </row>
    <row r="21" spans="1:16" x14ac:dyDescent="0.25">
      <c r="A21" s="3">
        <v>1000</v>
      </c>
      <c r="B21" s="3">
        <v>-9.5390000000000007E-5</v>
      </c>
      <c r="C21" s="3">
        <v>1.6980000000000001E-4</v>
      </c>
      <c r="D21" s="3">
        <v>-3.9859999999999999E-4</v>
      </c>
      <c r="E21" s="3">
        <v>0</v>
      </c>
      <c r="F21" s="3">
        <v>0</v>
      </c>
      <c r="G21" s="3">
        <v>0</v>
      </c>
      <c r="H21" s="3">
        <v>4.8280681999999997E-5</v>
      </c>
      <c r="I21" s="3">
        <v>1.5713322000000001E-5</v>
      </c>
      <c r="J21" s="3">
        <v>-1.1530705E-4</v>
      </c>
      <c r="L21" s="3">
        <f t="shared" si="0"/>
        <v>-0.23931259407927749</v>
      </c>
      <c r="M21" s="3"/>
      <c r="N21" s="2">
        <f>IF('Modell einstellen'!$B$1="Voll",H21/0.35,H21/0.35*2)</f>
        <v>2.7588961142857143E-4</v>
      </c>
      <c r="O21" s="2">
        <f>IF('Modell einstellen'!$B$1="Voll",J21/0.35,J21/0.35*2)</f>
        <v>-6.5889742857142865E-4</v>
      </c>
      <c r="P21" s="3">
        <f t="shared" si="1"/>
        <v>0.41871405087546681</v>
      </c>
    </row>
    <row r="22" spans="1:16" x14ac:dyDescent="0.25">
      <c r="A22" s="3">
        <v>10000</v>
      </c>
      <c r="B22" s="3">
        <v>-6.1249999999999998E-5</v>
      </c>
      <c r="C22" s="3">
        <v>1.951E-4</v>
      </c>
      <c r="D22" s="3">
        <v>-4.5120000000000002E-4</v>
      </c>
      <c r="E22" s="3">
        <v>0</v>
      </c>
      <c r="F22" s="3">
        <v>0</v>
      </c>
      <c r="G22" s="3">
        <v>0</v>
      </c>
      <c r="H22" s="3">
        <v>5.4273661000000002E-5</v>
      </c>
      <c r="I22" s="3">
        <v>1.9456917999999999E-5</v>
      </c>
      <c r="J22" s="3">
        <v>-1.2827110000000001E-4</v>
      </c>
      <c r="L22" s="3">
        <f t="shared" si="0"/>
        <v>-0.13574911347517729</v>
      </c>
      <c r="M22" s="3"/>
      <c r="N22" s="2">
        <f>IF('Modell einstellen'!$B$1="Voll",H22/0.35,H22/0.35*2)</f>
        <v>3.1013520571428573E-4</v>
      </c>
      <c r="O22" s="2">
        <f>IF('Modell einstellen'!$B$1="Voll",J22/0.35,J22/0.35*2)</f>
        <v>-7.3297771428571445E-4</v>
      </c>
      <c r="P22" s="3">
        <f t="shared" si="1"/>
        <v>0.42311682834247144</v>
      </c>
    </row>
    <row r="23" spans="1:16" x14ac:dyDescent="0.25">
      <c r="A23" s="3">
        <v>100000</v>
      </c>
      <c r="B23" s="3">
        <v>3.8649999999999998E-5</v>
      </c>
      <c r="C23" s="3">
        <v>2.4899999999999998E-4</v>
      </c>
      <c r="D23" s="3">
        <v>-5.8489999999999996E-4</v>
      </c>
      <c r="E23" s="3">
        <v>0</v>
      </c>
      <c r="F23" s="3">
        <v>0</v>
      </c>
      <c r="G23" s="3">
        <v>0</v>
      </c>
      <c r="H23" s="3">
        <v>6.4522359000000005E-5</v>
      </c>
      <c r="I23" s="3">
        <v>2.7900635000000001E-5</v>
      </c>
      <c r="J23" s="3">
        <v>-1.5390639E-4</v>
      </c>
      <c r="L23" s="3">
        <f t="shared" si="0"/>
        <v>6.6079671738758769E-2</v>
      </c>
      <c r="M23" s="3"/>
      <c r="N23" s="2">
        <f>IF('Modell einstellen'!$B$1="Voll",H23/0.35,H23/0.35*2)</f>
        <v>3.6869919428571436E-4</v>
      </c>
      <c r="O23" s="2">
        <f>IF('Modell einstellen'!$B$1="Voll",J23/0.35,J23/0.35*2)</f>
        <v>-8.7946508571428578E-4</v>
      </c>
      <c r="P23" s="3">
        <f t="shared" si="1"/>
        <v>0.41923118981609542</v>
      </c>
    </row>
    <row r="24" spans="1:16" x14ac:dyDescent="0.25">
      <c r="A24" s="3">
        <v>1000000</v>
      </c>
      <c r="B24" s="3">
        <v>1.7129999999999999E-4</v>
      </c>
      <c r="C24" s="3">
        <v>3.21E-4</v>
      </c>
      <c r="D24" s="3">
        <v>-7.6460000000000005E-4</v>
      </c>
      <c r="E24" s="3">
        <v>0</v>
      </c>
      <c r="F24" s="3">
        <v>0</v>
      </c>
      <c r="G24" s="3">
        <v>0</v>
      </c>
      <c r="H24" s="3">
        <v>7.6028430000000001E-5</v>
      </c>
      <c r="I24" s="3">
        <v>3.8869419000000003E-5</v>
      </c>
      <c r="J24" s="3">
        <v>-1.8544052E-4</v>
      </c>
      <c r="L24" s="3">
        <f t="shared" si="0"/>
        <v>0.22403871305257647</v>
      </c>
      <c r="M24" s="3"/>
      <c r="N24" s="2">
        <f>IF('Modell einstellen'!$B$1="Voll",H24/0.35,H24/0.35*2)</f>
        <v>4.3444817142857146E-4</v>
      </c>
      <c r="O24" s="2">
        <f>IF('Modell einstellen'!$B$1="Voll",J24/0.35,J24/0.35*2)</f>
        <v>-1.0596601142857144E-3</v>
      </c>
      <c r="P24" s="3">
        <f t="shared" si="1"/>
        <v>0.40998822695277171</v>
      </c>
    </row>
    <row r="25" spans="1:16" x14ac:dyDescent="0.25">
      <c r="A25" s="3">
        <v>10000000</v>
      </c>
      <c r="B25" s="3">
        <v>2.9770000000000003E-4</v>
      </c>
      <c r="C25" s="3">
        <v>3.971E-4</v>
      </c>
      <c r="D25" s="3">
        <v>-9.4479999999999998E-4</v>
      </c>
      <c r="E25" s="3">
        <v>0</v>
      </c>
      <c r="F25" s="3">
        <v>0</v>
      </c>
      <c r="G25" s="3">
        <v>0</v>
      </c>
      <c r="H25" s="3">
        <v>8.6503969999999995E-5</v>
      </c>
      <c r="I25" s="3">
        <v>4.9802470999999997E-5</v>
      </c>
      <c r="J25" s="3">
        <v>-2.1603494E-4</v>
      </c>
      <c r="L25" s="3">
        <f t="shared" si="0"/>
        <v>0.31509314140558853</v>
      </c>
      <c r="M25" s="3"/>
      <c r="N25" s="2">
        <f>IF('Modell einstellen'!$B$1="Voll",H25/0.35,H25/0.35*2)</f>
        <v>4.9430839999999997E-4</v>
      </c>
      <c r="O25" s="2">
        <f>IF('Modell einstellen'!$B$1="Voll",J25/0.35,J25/0.35*2)</f>
        <v>-1.2344853714285715E-3</v>
      </c>
      <c r="P25" s="3">
        <f t="shared" si="1"/>
        <v>0.40041657150459081</v>
      </c>
    </row>
    <row r="26" spans="1:16" x14ac:dyDescent="0.25">
      <c r="A26" s="3">
        <v>100000000</v>
      </c>
      <c r="B26" s="3">
        <v>4.0279999999999998E-4</v>
      </c>
      <c r="C26" s="3">
        <v>4.7169999999999997E-4</v>
      </c>
      <c r="D26" s="3">
        <v>-1.1069999999999999E-3</v>
      </c>
      <c r="E26" s="3">
        <v>0</v>
      </c>
      <c r="F26" s="3">
        <v>0</v>
      </c>
      <c r="G26" s="3">
        <v>0</v>
      </c>
      <c r="H26" s="3">
        <v>9.5946405E-5</v>
      </c>
      <c r="I26" s="3">
        <v>6.0043061999999997E-5</v>
      </c>
      <c r="J26" s="3">
        <v>-2.4457055000000002E-4</v>
      </c>
      <c r="L26" s="3">
        <f t="shared" si="0"/>
        <v>0.36386630532971997</v>
      </c>
      <c r="M26" s="3"/>
      <c r="N26" s="2">
        <f>IF('Modell einstellen'!$B$1="Voll",H26/0.35,H26/0.35*2)</f>
        <v>5.4826517142857146E-4</v>
      </c>
      <c r="O26" s="2">
        <f>IF('Modell einstellen'!$B$1="Voll",J26/0.35,J26/0.35*2)</f>
        <v>-1.3975460000000002E-3</v>
      </c>
      <c r="P26" s="3">
        <f t="shared" si="1"/>
        <v>0.3923056353269026</v>
      </c>
    </row>
    <row r="27" spans="1:16" x14ac:dyDescent="0.25">
      <c r="A27" s="3">
        <v>1000000000</v>
      </c>
      <c r="B27" s="3">
        <v>4.8589999999999999E-4</v>
      </c>
      <c r="C27" s="3">
        <v>5.4129999999999998E-4</v>
      </c>
      <c r="D27" s="3">
        <v>-1.2470000000000001E-3</v>
      </c>
      <c r="E27" s="3">
        <v>0</v>
      </c>
      <c r="F27" s="3">
        <v>0</v>
      </c>
      <c r="G27" s="3">
        <v>0</v>
      </c>
      <c r="H27" s="3">
        <v>1.0412501E-4</v>
      </c>
      <c r="I27" s="3">
        <v>6.9347552000000002E-5</v>
      </c>
      <c r="J27" s="3">
        <v>-2.7027855999999997E-4</v>
      </c>
      <c r="L27" s="3">
        <f t="shared" si="0"/>
        <v>0.3896551724137931</v>
      </c>
      <c r="M27" s="3"/>
      <c r="N27" s="2">
        <f>IF('Modell einstellen'!$B$1="Voll",H27/0.35,H27/0.35*2)</f>
        <v>5.9500005714285711E-4</v>
      </c>
      <c r="O27" s="2">
        <f>IF('Modell einstellen'!$B$1="Voll",J27/0.35,J27/0.35*2)</f>
        <v>-1.5444489142857143E-3</v>
      </c>
      <c r="P27" s="3">
        <f t="shared" si="1"/>
        <v>0.38525072058989801</v>
      </c>
    </row>
    <row r="28" spans="1:16" x14ac:dyDescent="0.25">
      <c r="A28" s="3">
        <v>10000000000</v>
      </c>
      <c r="B28" s="3">
        <v>5.5219999999999998E-4</v>
      </c>
      <c r="C28" s="3">
        <v>6.0709999999999996E-4</v>
      </c>
      <c r="D28" s="3">
        <v>-1.3699999999999999E-3</v>
      </c>
      <c r="E28" s="3">
        <v>0</v>
      </c>
      <c r="F28" s="3">
        <v>0</v>
      </c>
      <c r="G28" s="3">
        <v>0</v>
      </c>
      <c r="H28" s="3">
        <v>1.1193224E-4</v>
      </c>
      <c r="I28" s="3">
        <v>7.8123596000000001E-5</v>
      </c>
      <c r="J28" s="3">
        <v>-2.9480791000000001E-4</v>
      </c>
      <c r="L28" s="3">
        <f t="shared" si="0"/>
        <v>0.40306569343065696</v>
      </c>
      <c r="M28" s="3"/>
      <c r="N28" s="2">
        <f>IF('Modell einstellen'!$B$1="Voll",H28/0.35,H28/0.35*2)</f>
        <v>6.3961280000000007E-4</v>
      </c>
      <c r="O28" s="2">
        <f>IF('Modell einstellen'!$B$1="Voll",J28/0.35,J28/0.35*2)</f>
        <v>-1.6846166285714287E-3</v>
      </c>
      <c r="P28" s="3">
        <f t="shared" si="1"/>
        <v>0.37967855068746292</v>
      </c>
    </row>
    <row r="29" spans="1:16" x14ac:dyDescent="0.25">
      <c r="A29" s="3">
        <v>100000000000</v>
      </c>
      <c r="B29" s="3">
        <v>6.0809999999999998E-4</v>
      </c>
      <c r="C29" s="3">
        <v>6.711E-4</v>
      </c>
      <c r="D29" s="3">
        <v>-1.4829999999999999E-3</v>
      </c>
      <c r="E29" s="3">
        <v>0</v>
      </c>
      <c r="F29" s="3">
        <v>0</v>
      </c>
      <c r="G29" s="3">
        <v>0</v>
      </c>
      <c r="H29" s="3">
        <v>1.2002808E-4</v>
      </c>
      <c r="I29" s="3">
        <v>8.6809512000000002E-5</v>
      </c>
      <c r="J29" s="3">
        <v>-3.1960978999999998E-4</v>
      </c>
      <c r="L29" s="3">
        <f t="shared" si="0"/>
        <v>0.41004720161834118</v>
      </c>
      <c r="M29" s="3"/>
      <c r="N29" s="2">
        <f>IF('Modell einstellen'!$B$1="Voll",H29/0.35,H29/0.35*2)</f>
        <v>6.8587474285714293E-4</v>
      </c>
      <c r="O29" s="2">
        <f>IF('Modell einstellen'!$B$1="Voll",J29/0.35,J29/0.35*2)</f>
        <v>-1.8263416571428573E-3</v>
      </c>
      <c r="P29" s="3">
        <f t="shared" si="1"/>
        <v>0.37554569276491812</v>
      </c>
    </row>
    <row r="30" spans="1:16" x14ac:dyDescent="0.25">
      <c r="A30" s="3">
        <v>1000000000000</v>
      </c>
      <c r="B30" s="3">
        <v>6.6149999999999998E-4</v>
      </c>
      <c r="C30" s="3">
        <v>7.404E-4</v>
      </c>
      <c r="D30" s="3">
        <v>-1.6019999999999999E-3</v>
      </c>
      <c r="E30" s="3">
        <v>0</v>
      </c>
      <c r="F30" s="3">
        <v>0</v>
      </c>
      <c r="G30" s="3">
        <v>0</v>
      </c>
      <c r="H30" s="3">
        <v>1.2996850999999999E-4</v>
      </c>
      <c r="I30" s="3">
        <v>9.6636105000000002E-5</v>
      </c>
      <c r="J30" s="3">
        <v>-3.4861008000000002E-4</v>
      </c>
      <c r="L30" s="3">
        <f t="shared" si="0"/>
        <v>0.41292134831460675</v>
      </c>
      <c r="M30" s="3"/>
      <c r="N30" s="2">
        <f>IF('Modell einstellen'!$B$1="Voll",H30/0.35,H30/0.35*2)</f>
        <v>7.4267720000000003E-4</v>
      </c>
      <c r="O30" s="2">
        <f>IF('Modell einstellen'!$B$1="Voll",J30/0.35,J30/0.35*2)</f>
        <v>-1.9920576000000004E-3</v>
      </c>
      <c r="P30" s="3">
        <f t="shared" si="1"/>
        <v>0.37281913936625122</v>
      </c>
    </row>
    <row r="31" spans="1:16" x14ac:dyDescent="0.25">
      <c r="A31" s="3">
        <v>10000000000000</v>
      </c>
      <c r="B31" s="3">
        <v>7.1650000000000001E-4</v>
      </c>
      <c r="C31" s="3">
        <v>8.1859999999999995E-4</v>
      </c>
      <c r="D31" s="3">
        <v>-1.732E-3</v>
      </c>
      <c r="E31" s="3">
        <v>0</v>
      </c>
      <c r="F31" s="3">
        <v>0</v>
      </c>
      <c r="G31" s="3">
        <v>0</v>
      </c>
      <c r="H31" s="3">
        <v>1.4220962000000001E-4</v>
      </c>
      <c r="I31" s="3">
        <v>1.0814982E-4</v>
      </c>
      <c r="J31" s="3">
        <v>-3.8326019999999997E-4</v>
      </c>
      <c r="L31" s="3">
        <f t="shared" si="0"/>
        <v>0.41368360277136257</v>
      </c>
      <c r="M31" s="3"/>
      <c r="N31" s="2">
        <f>IF('Modell einstellen'!$B$1="Voll",H31/0.35,H31/0.35*2)</f>
        <v>8.1262640000000013E-4</v>
      </c>
      <c r="O31" s="2">
        <f>IF('Modell einstellen'!$B$1="Voll",J31/0.35,J31/0.35*2)</f>
        <v>-2.1900582857142855E-3</v>
      </c>
      <c r="P31" s="3">
        <f t="shared" si="1"/>
        <v>0.37105240773761544</v>
      </c>
    </row>
    <row r="32" spans="1:16" x14ac:dyDescent="0.25">
      <c r="A32" s="3">
        <v>100000000000000</v>
      </c>
      <c r="B32" s="3">
        <v>7.7800000000000005E-4</v>
      </c>
      <c r="C32" s="3">
        <v>9.1569999999999998E-4</v>
      </c>
      <c r="D32" s="3">
        <v>-1.8879999999999999E-3</v>
      </c>
      <c r="E32" s="3">
        <v>0</v>
      </c>
      <c r="F32" s="3">
        <v>0</v>
      </c>
      <c r="G32" s="3">
        <v>0</v>
      </c>
      <c r="H32" s="3">
        <v>1.5868775999999999E-4</v>
      </c>
      <c r="I32" s="3">
        <v>1.2307596000000001E-4</v>
      </c>
      <c r="J32" s="3">
        <v>-4.2882416000000002E-4</v>
      </c>
      <c r="L32" s="3">
        <f t="shared" si="0"/>
        <v>0.41207627118644075</v>
      </c>
      <c r="M32" s="3"/>
      <c r="N32" s="2">
        <f>IF('Modell einstellen'!$B$1="Voll",H32/0.35,H32/0.35*2)</f>
        <v>9.067872E-4</v>
      </c>
      <c r="O32" s="2">
        <f>IF('Modell einstellen'!$B$1="Voll",J32/0.35,J32/0.35*2)</f>
        <v>-2.4504237714285718E-3</v>
      </c>
      <c r="P32" s="3">
        <f t="shared" si="1"/>
        <v>0.37005321715082468</v>
      </c>
    </row>
    <row r="33" spans="1:16" x14ac:dyDescent="0.25">
      <c r="A33" s="3">
        <v>1000000000000000</v>
      </c>
      <c r="B33" s="3">
        <v>8.5110000000000003E-4</v>
      </c>
      <c r="C33" s="3">
        <v>1.0460000000000001E-3</v>
      </c>
      <c r="D33" s="3">
        <v>-2.0890000000000001E-3</v>
      </c>
      <c r="E33" s="3">
        <v>0</v>
      </c>
      <c r="F33" s="3">
        <v>0</v>
      </c>
      <c r="G33" s="3">
        <v>0</v>
      </c>
      <c r="H33" s="3">
        <v>1.8204081E-4</v>
      </c>
      <c r="I33" s="3">
        <v>1.4381556E-4</v>
      </c>
      <c r="J33" s="3">
        <v>-4.9255475000000001E-4</v>
      </c>
      <c r="L33" s="3">
        <f t="shared" si="0"/>
        <v>0.40741981809478217</v>
      </c>
      <c r="M33" s="3"/>
      <c r="N33" s="2">
        <f>IF('Modell einstellen'!$B$1="Voll",H33/0.35,H33/0.35*2)</f>
        <v>1.0402332000000001E-3</v>
      </c>
      <c r="O33" s="2">
        <f>IF('Modell einstellen'!$B$1="Voll",J33/0.35,J33/0.35*2)</f>
        <v>-2.8145985714285717E-3</v>
      </c>
      <c r="P33" s="3">
        <f t="shared" si="1"/>
        <v>0.36958492431552026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-7.3390000000000004E-6</v>
      </c>
      <c r="C3" s="3">
        <v>1.4249999999999999E-4</v>
      </c>
      <c r="D3" s="3">
        <v>-4.3219999999999999E-4</v>
      </c>
      <c r="E3" s="3">
        <v>0</v>
      </c>
      <c r="F3" s="3">
        <v>0</v>
      </c>
      <c r="G3" s="3">
        <v>0</v>
      </c>
      <c r="H3" s="3">
        <v>3.2769050000000001E-5</v>
      </c>
      <c r="I3" s="3">
        <v>1.3058299000000001E-5</v>
      </c>
      <c r="J3" s="3">
        <v>-9.2366875000000003E-5</v>
      </c>
      <c r="K3" s="3"/>
      <c r="L3" s="3">
        <f>-B3/D3</f>
        <v>-1.6980564553447479E-2</v>
      </c>
      <c r="M3" s="3"/>
      <c r="N3" s="2">
        <f>IF('Modell einstellen'!$B$1="Voll",H3/0.35,H3/0.35*2)</f>
        <v>1.872517142857143E-4</v>
      </c>
      <c r="O3" s="2">
        <f>IF('Modell einstellen'!$B$1="Voll",J3/0.35,J3/0.35*2)</f>
        <v>-5.2781071428571432E-4</v>
      </c>
      <c r="P3" s="3">
        <f>-N3/O3</f>
        <v>0.35477058198623695</v>
      </c>
      <c r="Q3" s="3"/>
      <c r="R3" s="3"/>
      <c r="S3" s="3"/>
      <c r="T3" s="3"/>
      <c r="U3" s="3"/>
    </row>
    <row r="4" spans="1:21" x14ac:dyDescent="0.25">
      <c r="A4" s="3">
        <v>1E-14</v>
      </c>
      <c r="B4" s="3">
        <v>-7.3490000000000003E-6</v>
      </c>
      <c r="C4" s="3">
        <v>1.426E-4</v>
      </c>
      <c r="D4" s="3">
        <v>-4.3219999999999999E-4</v>
      </c>
      <c r="E4" s="3">
        <v>0</v>
      </c>
      <c r="F4" s="3">
        <v>0</v>
      </c>
      <c r="G4" s="3">
        <v>0</v>
      </c>
      <c r="H4" s="3">
        <v>3.2769250000000001E-5</v>
      </c>
      <c r="I4" s="3">
        <v>1.3059255000000001E-5</v>
      </c>
      <c r="J4" s="3">
        <v>-9.2365555000000006E-5</v>
      </c>
      <c r="K4" s="3"/>
      <c r="L4" s="3">
        <f t="shared" ref="L4:L33" si="0">-B4/D4</f>
        <v>-1.7003701989819528E-2</v>
      </c>
      <c r="M4" s="3"/>
      <c r="N4" s="2">
        <f>IF('Modell einstellen'!$B$1="Voll",H4/0.35,H4/0.35*2)</f>
        <v>1.8725285714285715E-4</v>
      </c>
      <c r="O4" s="2">
        <f>IF('Modell einstellen'!$B$1="Voll",J4/0.35,J4/0.35*2)</f>
        <v>-5.2780317142857151E-4</v>
      </c>
      <c r="P4" s="3">
        <f t="shared" ref="P4:P33" si="1">-N4/O4</f>
        <v>0.35477781733677666</v>
      </c>
      <c r="Q4" s="3"/>
      <c r="R4" s="3"/>
      <c r="S4" s="3"/>
      <c r="T4" s="3"/>
      <c r="U4" s="3"/>
    </row>
    <row r="5" spans="1:21" x14ac:dyDescent="0.25">
      <c r="A5" s="3">
        <v>1E-13</v>
      </c>
      <c r="B5" s="3">
        <v>-7.3490000000000003E-6</v>
      </c>
      <c r="C5" s="3">
        <v>1.426E-4</v>
      </c>
      <c r="D5" s="3">
        <v>-4.3219999999999999E-4</v>
      </c>
      <c r="E5" s="3">
        <v>0</v>
      </c>
      <c r="F5" s="3">
        <v>0</v>
      </c>
      <c r="G5" s="3">
        <v>0</v>
      </c>
      <c r="H5" s="3">
        <v>3.2769847000000001E-5</v>
      </c>
      <c r="I5" s="3">
        <v>1.3059485999999999E-5</v>
      </c>
      <c r="J5" s="3">
        <v>-9.2366679E-5</v>
      </c>
      <c r="K5" s="3"/>
      <c r="L5" s="3">
        <f t="shared" si="0"/>
        <v>-1.7003701989819528E-2</v>
      </c>
      <c r="M5" s="3"/>
      <c r="N5" s="2">
        <f>IF('Modell einstellen'!$B$1="Voll",H5/0.35,H5/0.35*2)</f>
        <v>1.8725626857142859E-4</v>
      </c>
      <c r="O5" s="2">
        <f>IF('Modell einstellen'!$B$1="Voll",J5/0.35,J5/0.35*2)</f>
        <v>-5.2780959428571435E-4</v>
      </c>
      <c r="P5" s="3">
        <f t="shared" si="1"/>
        <v>0.35477996345413693</v>
      </c>
      <c r="Q5" s="3"/>
      <c r="R5" s="3"/>
      <c r="S5" s="3"/>
      <c r="T5" s="3"/>
      <c r="U5" s="3"/>
    </row>
    <row r="6" spans="1:21" x14ac:dyDescent="0.25">
      <c r="A6" s="3">
        <v>9.9999999999999998E-13</v>
      </c>
      <c r="B6" s="3">
        <v>-7.3699999999999997E-6</v>
      </c>
      <c r="C6" s="3">
        <v>1.426E-4</v>
      </c>
      <c r="D6" s="3">
        <v>-4.3219999999999999E-4</v>
      </c>
      <c r="E6" s="3">
        <v>0</v>
      </c>
      <c r="F6" s="3">
        <v>0</v>
      </c>
      <c r="G6" s="3">
        <v>0</v>
      </c>
      <c r="H6" s="3">
        <v>3.2774088999999998E-5</v>
      </c>
      <c r="I6" s="3">
        <v>1.3060223E-5</v>
      </c>
      <c r="J6" s="3">
        <v>-9.2373245000000002E-5</v>
      </c>
      <c r="K6" s="3"/>
      <c r="L6" s="3">
        <f t="shared" si="0"/>
        <v>-1.7052290606200834E-2</v>
      </c>
      <c r="M6" s="3"/>
      <c r="N6" s="2">
        <f>IF('Modell einstellen'!$B$1="Voll",H6/0.35,H6/0.35*2)</f>
        <v>1.8728050857142858E-4</v>
      </c>
      <c r="O6" s="2">
        <f>IF('Modell einstellen'!$B$1="Voll",J6/0.35,J6/0.35*2)</f>
        <v>-5.2784711428571437E-4</v>
      </c>
      <c r="P6" s="3">
        <f t="shared" si="1"/>
        <v>0.35480066766085783</v>
      </c>
      <c r="Q6" s="3"/>
      <c r="R6" s="3"/>
      <c r="S6" s="3"/>
      <c r="T6" s="3"/>
      <c r="U6" s="3"/>
    </row>
    <row r="7" spans="1:21" x14ac:dyDescent="0.25">
      <c r="A7" s="3">
        <v>9.9999999999999994E-12</v>
      </c>
      <c r="B7" s="3">
        <v>-7.5789999999999998E-6</v>
      </c>
      <c r="C7" s="3">
        <v>1.426E-4</v>
      </c>
      <c r="D7" s="3">
        <v>-4.3209999999999999E-4</v>
      </c>
      <c r="E7" s="3">
        <v>0</v>
      </c>
      <c r="F7" s="3">
        <v>0</v>
      </c>
      <c r="G7" s="3">
        <v>0</v>
      </c>
      <c r="H7" s="3">
        <v>3.2815014999999998E-5</v>
      </c>
      <c r="I7" s="3">
        <v>1.3066984999999999E-5</v>
      </c>
      <c r="J7" s="3">
        <v>-9.2436068000000007E-5</v>
      </c>
      <c r="K7" s="3"/>
      <c r="L7" s="3">
        <f t="shared" si="0"/>
        <v>-1.7539921314510529E-2</v>
      </c>
      <c r="M7" s="3"/>
      <c r="N7" s="2">
        <f>IF('Modell einstellen'!$B$1="Voll",H7/0.35,H7/0.35*2)</f>
        <v>1.8751437142857142E-4</v>
      </c>
      <c r="O7" s="2">
        <f>IF('Modell einstellen'!$B$1="Voll",J7/0.35,J7/0.35*2)</f>
        <v>-5.2820610285714297E-4</v>
      </c>
      <c r="P7" s="3">
        <f t="shared" si="1"/>
        <v>0.35500228114419569</v>
      </c>
      <c r="Q7" s="3"/>
      <c r="R7" s="3"/>
      <c r="S7" s="3"/>
      <c r="T7" s="3"/>
      <c r="U7" s="3"/>
    </row>
    <row r="8" spans="1:21" x14ac:dyDescent="0.25">
      <c r="A8" s="3">
        <v>1E-10</v>
      </c>
      <c r="B8" s="3">
        <v>-9.4110000000000002E-6</v>
      </c>
      <c r="C8" s="3">
        <v>1.4320000000000001E-4</v>
      </c>
      <c r="D8" s="3">
        <v>-4.3179999999999998E-4</v>
      </c>
      <c r="E8" s="3">
        <v>0</v>
      </c>
      <c r="F8" s="3">
        <v>0</v>
      </c>
      <c r="G8" s="3">
        <v>0</v>
      </c>
      <c r="H8" s="3">
        <v>3.3171082000000002E-5</v>
      </c>
      <c r="I8" s="3">
        <v>1.3125528999999999E-5</v>
      </c>
      <c r="J8" s="3">
        <v>-9.2981745000000001E-5</v>
      </c>
      <c r="K8" s="3"/>
      <c r="L8" s="3">
        <f t="shared" si="0"/>
        <v>-2.179481241315424E-2</v>
      </c>
      <c r="M8" s="3"/>
      <c r="N8" s="2">
        <f>IF('Modell einstellen'!$B$1="Voll",H8/0.35,H8/0.35*2)</f>
        <v>1.8954904000000001E-4</v>
      </c>
      <c r="O8" s="2">
        <f>IF('Modell einstellen'!$B$1="Voll",J8/0.35,J8/0.35*2)</f>
        <v>-5.3132425714285715E-4</v>
      </c>
      <c r="P8" s="3">
        <f t="shared" si="1"/>
        <v>0.3567483273195185</v>
      </c>
      <c r="Q8" s="3"/>
      <c r="R8" s="3"/>
      <c r="S8" s="3"/>
      <c r="T8" s="3"/>
      <c r="U8" s="3"/>
    </row>
    <row r="9" spans="1:21" x14ac:dyDescent="0.25">
      <c r="A9" s="3">
        <v>1.0000000000000001E-9</v>
      </c>
      <c r="B9" s="3">
        <v>-1.5979999999999999E-5</v>
      </c>
      <c r="C9" s="3">
        <v>1.4530000000000001E-4</v>
      </c>
      <c r="D9" s="3">
        <v>-4.3019999999999999E-4</v>
      </c>
      <c r="E9" s="3">
        <v>0</v>
      </c>
      <c r="F9" s="3">
        <v>0</v>
      </c>
      <c r="G9" s="3">
        <v>0</v>
      </c>
      <c r="H9" s="3">
        <v>3.4418804000000001E-5</v>
      </c>
      <c r="I9" s="3">
        <v>1.3327081E-5</v>
      </c>
      <c r="J9" s="3">
        <v>-9.4878489000000006E-5</v>
      </c>
      <c r="K9" s="3"/>
      <c r="L9" s="3">
        <f t="shared" si="0"/>
        <v>-3.7145513714551368E-2</v>
      </c>
      <c r="M9" s="3"/>
      <c r="N9" s="2">
        <f>IF('Modell einstellen'!$B$1="Voll",H9/0.35,H9/0.35*2)</f>
        <v>1.9667888000000002E-4</v>
      </c>
      <c r="O9" s="2">
        <f>IF('Modell einstellen'!$B$1="Voll",J9/0.35,J9/0.35*2)</f>
        <v>-5.4216279428571435E-4</v>
      </c>
      <c r="P9" s="3">
        <f t="shared" si="1"/>
        <v>0.36276720216317948</v>
      </c>
      <c r="Q9" s="3"/>
      <c r="R9" s="3"/>
      <c r="S9" s="3"/>
      <c r="T9" s="3"/>
      <c r="U9" s="3"/>
    </row>
    <row r="10" spans="1:21" x14ac:dyDescent="0.25">
      <c r="A10" s="3">
        <v>1E-8</v>
      </c>
      <c r="B10" s="3">
        <v>-2.1080000000000001E-5</v>
      </c>
      <c r="C10" s="3">
        <v>1.47E-4</v>
      </c>
      <c r="D10" s="3">
        <v>-4.2890000000000002E-4</v>
      </c>
      <c r="E10" s="3">
        <v>0</v>
      </c>
      <c r="F10" s="3">
        <v>0</v>
      </c>
      <c r="G10" s="3">
        <v>0</v>
      </c>
      <c r="H10" s="3">
        <v>3.5370158999999997E-5</v>
      </c>
      <c r="I10" s="3">
        <v>1.348441E-5</v>
      </c>
      <c r="J10" s="3">
        <v>-9.6317089999999999E-5</v>
      </c>
      <c r="K10" s="3"/>
      <c r="L10" s="3">
        <f t="shared" si="0"/>
        <v>-4.9148985777570528E-2</v>
      </c>
      <c r="M10" s="3"/>
      <c r="N10" s="2">
        <f>IF('Modell einstellen'!$B$1="Voll",H10/0.35,H10/0.35*2)</f>
        <v>2.0211519428571428E-4</v>
      </c>
      <c r="O10" s="2">
        <f>IF('Modell einstellen'!$B$1="Voll",J10/0.35,J10/0.35*2)</f>
        <v>-5.5038337142857149E-4</v>
      </c>
      <c r="P10" s="3">
        <f t="shared" si="1"/>
        <v>0.3672262004593369</v>
      </c>
      <c r="Q10" s="3"/>
      <c r="R10" s="3"/>
      <c r="S10" s="3"/>
      <c r="T10" s="3"/>
      <c r="U10" s="3"/>
    </row>
    <row r="11" spans="1:21" x14ac:dyDescent="0.25">
      <c r="A11" s="3">
        <v>9.9999999999999995E-8</v>
      </c>
      <c r="B11" s="3">
        <v>-2.6060000000000001E-5</v>
      </c>
      <c r="C11" s="3">
        <v>1.4860000000000001E-4</v>
      </c>
      <c r="D11" s="3">
        <v>-4.2749999999999998E-4</v>
      </c>
      <c r="E11" s="3">
        <v>0</v>
      </c>
      <c r="F11" s="3">
        <v>0</v>
      </c>
      <c r="G11" s="3">
        <v>0</v>
      </c>
      <c r="H11" s="3">
        <v>3.627111E-5</v>
      </c>
      <c r="I11" s="3">
        <v>1.3631026E-5</v>
      </c>
      <c r="J11" s="3">
        <v>-9.7669411E-5</v>
      </c>
      <c r="K11" s="3"/>
      <c r="L11" s="3">
        <f t="shared" si="0"/>
        <v>-6.0959064327485386E-2</v>
      </c>
      <c r="M11" s="3"/>
      <c r="N11" s="2">
        <f>IF('Modell einstellen'!$B$1="Voll",H11/0.35,H11/0.35*2)</f>
        <v>2.0726348571428572E-4</v>
      </c>
      <c r="O11" s="2">
        <f>IF('Modell einstellen'!$B$1="Voll",J11/0.35,J11/0.35*2)</f>
        <v>-5.5811092000000002E-4</v>
      </c>
      <c r="P11" s="3">
        <f t="shared" si="1"/>
        <v>0.37136611789334945</v>
      </c>
      <c r="Q11" s="3"/>
      <c r="R11" s="3"/>
      <c r="S11" s="3"/>
      <c r="T11" s="3"/>
      <c r="U11" s="3"/>
    </row>
    <row r="12" spans="1:21" x14ac:dyDescent="0.25">
      <c r="A12" s="3">
        <v>9.9999999999999995E-7</v>
      </c>
      <c r="B12" s="3">
        <v>-3.2190000000000002E-5</v>
      </c>
      <c r="C12" s="3">
        <v>1.5029999999999999E-4</v>
      </c>
      <c r="D12" s="3">
        <v>-4.2539999999999999E-4</v>
      </c>
      <c r="E12" s="3">
        <v>0</v>
      </c>
      <c r="F12" s="3">
        <v>0</v>
      </c>
      <c r="G12" s="3">
        <v>0</v>
      </c>
      <c r="H12" s="3">
        <v>3.7337081E-5</v>
      </c>
      <c r="I12" s="3">
        <v>1.3796369000000001E-5</v>
      </c>
      <c r="J12" s="3">
        <v>-9.9248094E-5</v>
      </c>
      <c r="K12" s="3"/>
      <c r="L12" s="3">
        <f t="shared" si="0"/>
        <v>-7.5669957686882935E-2</v>
      </c>
      <c r="M12" s="3"/>
      <c r="N12" s="2">
        <f>IF('Modell einstellen'!$B$1="Voll",H12/0.35,H12/0.35*2)</f>
        <v>2.1335474857142858E-4</v>
      </c>
      <c r="O12" s="2">
        <f>IF('Modell einstellen'!$B$1="Voll",J12/0.35,J12/0.35*2)</f>
        <v>-5.6713196571428579E-4</v>
      </c>
      <c r="P12" s="3">
        <f t="shared" si="1"/>
        <v>0.37619947643528545</v>
      </c>
      <c r="Q12" s="3"/>
      <c r="R12" s="3"/>
      <c r="S12" s="3"/>
      <c r="T12" s="3"/>
      <c r="U12" s="3"/>
    </row>
    <row r="13" spans="1:21" x14ac:dyDescent="0.25">
      <c r="A13" s="3">
        <v>1.0000000000000001E-5</v>
      </c>
      <c r="B13" s="3">
        <v>-3.9190000000000003E-5</v>
      </c>
      <c r="C13" s="3">
        <v>1.5220000000000001E-4</v>
      </c>
      <c r="D13" s="3">
        <v>-4.2260000000000003E-4</v>
      </c>
      <c r="E13" s="3">
        <v>0</v>
      </c>
      <c r="F13" s="3">
        <v>0</v>
      </c>
      <c r="G13" s="3">
        <v>0</v>
      </c>
      <c r="H13" s="3">
        <v>3.8509366999999997E-5</v>
      </c>
      <c r="I13" s="3">
        <v>1.3971934000000001E-5</v>
      </c>
      <c r="J13" s="3">
        <v>-1.0096359E-4</v>
      </c>
      <c r="K13" s="3"/>
      <c r="L13" s="3">
        <f t="shared" si="0"/>
        <v>-9.2735447231424517E-2</v>
      </c>
      <c r="M13" s="3"/>
      <c r="N13" s="2">
        <f>IF('Modell einstellen'!$B$1="Voll",H13/0.35,H13/0.35*2)</f>
        <v>2.2005352571428572E-4</v>
      </c>
      <c r="O13" s="2">
        <f>IF('Modell einstellen'!$B$1="Voll",J13/0.35,J13/0.35*2)</f>
        <v>-5.7693480000000003E-4</v>
      </c>
      <c r="P13" s="3">
        <f t="shared" si="1"/>
        <v>0.38141836081700342</v>
      </c>
      <c r="Q13" s="3"/>
      <c r="R13" s="3"/>
      <c r="S13" s="3"/>
      <c r="T13" s="3"/>
      <c r="U13" s="3"/>
    </row>
    <row r="14" spans="1:21" x14ac:dyDescent="0.25">
      <c r="A14" s="3">
        <v>1E-4</v>
      </c>
      <c r="B14" s="3">
        <v>-4.791E-5</v>
      </c>
      <c r="C14" s="3">
        <v>1.5440000000000001E-4</v>
      </c>
      <c r="D14" s="3">
        <v>-4.1879999999999999E-4</v>
      </c>
      <c r="E14" s="3">
        <v>0</v>
      </c>
      <c r="F14" s="3">
        <v>0</v>
      </c>
      <c r="G14" s="3">
        <v>0</v>
      </c>
      <c r="H14" s="3">
        <v>3.9912240999999999E-5</v>
      </c>
      <c r="I14" s="3">
        <v>1.4172108E-5</v>
      </c>
      <c r="J14" s="3">
        <v>-1.0298714E-4</v>
      </c>
      <c r="K14" s="3"/>
      <c r="L14" s="3">
        <f t="shared" si="0"/>
        <v>-0.11439828080229227</v>
      </c>
      <c r="M14" s="3"/>
      <c r="N14" s="2">
        <f>IF('Modell einstellen'!$B$1="Voll",H14/0.35,H14/0.35*2)</f>
        <v>2.2806994857142859E-4</v>
      </c>
      <c r="O14" s="2">
        <f>IF('Modell einstellen'!$B$1="Voll",J14/0.35,J14/0.35*2)</f>
        <v>-5.8849794285714295E-4</v>
      </c>
      <c r="P14" s="3">
        <f t="shared" si="1"/>
        <v>0.38754587223220294</v>
      </c>
      <c r="Q14" s="3"/>
      <c r="R14" s="3"/>
      <c r="S14" s="3"/>
      <c r="T14" s="3"/>
      <c r="U14" s="3"/>
    </row>
    <row r="15" spans="1:21" x14ac:dyDescent="0.25">
      <c r="A15" s="3">
        <v>1E-3</v>
      </c>
      <c r="B15" s="3">
        <v>-5.8430000000000001E-5</v>
      </c>
      <c r="C15" s="3">
        <v>1.5669999999999999E-4</v>
      </c>
      <c r="D15" s="3">
        <v>-4.1360000000000002E-4</v>
      </c>
      <c r="E15" s="3">
        <v>0</v>
      </c>
      <c r="F15" s="3">
        <v>0</v>
      </c>
      <c r="G15" s="3">
        <v>0</v>
      </c>
      <c r="H15" s="3">
        <v>4.1537749999999997E-5</v>
      </c>
      <c r="I15" s="3">
        <v>1.4393183999999999E-5</v>
      </c>
      <c r="J15" s="3">
        <v>-1.0529681000000001E-4</v>
      </c>
      <c r="K15" s="3"/>
      <c r="L15" s="3">
        <f t="shared" si="0"/>
        <v>-0.14127176015473888</v>
      </c>
      <c r="M15" s="3"/>
      <c r="N15" s="2">
        <f>IF('Modell einstellen'!$B$1="Voll",H15/0.35,H15/0.35*2)</f>
        <v>2.3735857142857144E-4</v>
      </c>
      <c r="O15" s="2">
        <f>IF('Modell einstellen'!$B$1="Voll",J15/0.35,J15/0.35*2)</f>
        <v>-6.0169605714285716E-4</v>
      </c>
      <c r="P15" s="3">
        <f t="shared" si="1"/>
        <v>0.39448251091367348</v>
      </c>
      <c r="Q15" s="3"/>
      <c r="R15" s="3"/>
      <c r="S15" s="3"/>
      <c r="T15" s="3"/>
      <c r="U15" s="3"/>
    </row>
    <row r="16" spans="1:21" x14ac:dyDescent="0.25">
      <c r="A16" s="3">
        <v>0.01</v>
      </c>
      <c r="B16" s="3">
        <v>-7.0630000000000006E-5</v>
      </c>
      <c r="C16" s="3">
        <v>1.6019999999999999E-4</v>
      </c>
      <c r="D16" s="3">
        <v>-4.081E-4</v>
      </c>
      <c r="E16" s="3">
        <v>0</v>
      </c>
      <c r="F16" s="3">
        <v>0</v>
      </c>
      <c r="G16" s="3">
        <v>0</v>
      </c>
      <c r="H16" s="3">
        <v>4.3388632000000001E-5</v>
      </c>
      <c r="I16" s="3">
        <v>1.4677146E-5</v>
      </c>
      <c r="J16" s="3">
        <v>-1.0796381E-4</v>
      </c>
      <c r="K16" s="3"/>
      <c r="L16" s="3">
        <f t="shared" si="0"/>
        <v>-0.1730703259005146</v>
      </c>
      <c r="M16" s="3"/>
      <c r="N16" s="2">
        <f>IF('Modell einstellen'!$B$1="Voll",H16/0.35,H16/0.35*2)</f>
        <v>2.4793504000000002E-4</v>
      </c>
      <c r="O16" s="2">
        <f>IF('Modell einstellen'!$B$1="Voll",J16/0.35,J16/0.35*2)</f>
        <v>-6.1693605714285718E-4</v>
      </c>
      <c r="P16" s="3">
        <f t="shared" si="1"/>
        <v>0.40188126002592905</v>
      </c>
      <c r="Q16" s="3"/>
      <c r="R16" s="3"/>
      <c r="S16" s="3"/>
      <c r="T16" s="3"/>
      <c r="U16" s="3"/>
    </row>
    <row r="17" spans="1:25" x14ac:dyDescent="0.25">
      <c r="A17" s="3">
        <v>0.1</v>
      </c>
      <c r="B17" s="3">
        <v>-8.4010000000000004E-5</v>
      </c>
      <c r="C17" s="3">
        <v>1.6220000000000001E-4</v>
      </c>
      <c r="D17" s="3">
        <v>-3.9980000000000001E-4</v>
      </c>
      <c r="E17" s="3">
        <v>0</v>
      </c>
      <c r="F17" s="3">
        <v>0</v>
      </c>
      <c r="G17" s="3">
        <v>0</v>
      </c>
      <c r="H17" s="3">
        <v>4.5253846999999999E-5</v>
      </c>
      <c r="I17" s="3">
        <v>1.4880042E-5</v>
      </c>
      <c r="J17" s="3">
        <v>-1.1048596E-4</v>
      </c>
      <c r="K17" s="3"/>
      <c r="L17" s="3">
        <f t="shared" si="0"/>
        <v>-0.21013006503251627</v>
      </c>
      <c r="M17" s="3"/>
      <c r="N17" s="2">
        <f>IF('Modell einstellen'!$B$1="Voll",H17/0.35,H17/0.35*2)</f>
        <v>2.5859341142857144E-4</v>
      </c>
      <c r="O17" s="2">
        <f>IF('Modell einstellen'!$B$1="Voll",J17/0.35,J17/0.35*2)</f>
        <v>-6.3134834285714285E-4</v>
      </c>
      <c r="P17" s="3">
        <f t="shared" si="1"/>
        <v>0.40958911883464649</v>
      </c>
      <c r="Q17" s="3"/>
      <c r="R17" s="3"/>
      <c r="S17" s="3"/>
      <c r="T17" s="3"/>
      <c r="U17" s="3"/>
      <c r="V17" s="3"/>
      <c r="W17" s="3"/>
      <c r="X17" s="3"/>
      <c r="Y17" s="3"/>
    </row>
    <row r="18" spans="1:25" x14ac:dyDescent="0.25">
      <c r="A18" s="3">
        <v>1</v>
      </c>
      <c r="B18" s="3">
        <v>-9.9270000000000003E-5</v>
      </c>
      <c r="C18" s="3">
        <v>1.6550000000000001E-4</v>
      </c>
      <c r="D18" s="3">
        <v>-3.9110000000000002E-4</v>
      </c>
      <c r="E18" s="3">
        <v>0</v>
      </c>
      <c r="F18" s="3">
        <v>0</v>
      </c>
      <c r="G18" s="3">
        <v>0</v>
      </c>
      <c r="H18" s="3">
        <v>4.7381927000000002E-5</v>
      </c>
      <c r="I18" s="3">
        <v>1.5162995999999999E-5</v>
      </c>
      <c r="J18" s="3">
        <v>-1.1343432999999999E-4</v>
      </c>
      <c r="K18" s="3"/>
      <c r="L18" s="3">
        <f t="shared" si="0"/>
        <v>-0.25382255177703911</v>
      </c>
      <c r="M18" s="3"/>
      <c r="N18" s="2">
        <f>IF('Modell einstellen'!$B$1="Voll",H18/0.35,H18/0.35*2)</f>
        <v>2.7075386857142858E-4</v>
      </c>
      <c r="O18" s="2">
        <f>IF('Modell einstellen'!$B$1="Voll",J18/0.35,J18/0.35*2)</f>
        <v>-6.481961714285714E-4</v>
      </c>
      <c r="P18" s="3">
        <f t="shared" si="1"/>
        <v>0.41770359114388039</v>
      </c>
      <c r="Q18" s="3"/>
      <c r="R18" s="3"/>
      <c r="S18" s="3"/>
      <c r="T18" s="3"/>
      <c r="U18" s="3"/>
      <c r="V18" s="3"/>
      <c r="W18" s="3"/>
      <c r="X18" s="3"/>
      <c r="Y18" s="3"/>
    </row>
    <row r="19" spans="1:25" x14ac:dyDescent="0.25">
      <c r="A19" s="3">
        <v>10</v>
      </c>
      <c r="B19" s="3">
        <v>-1.199E-4</v>
      </c>
      <c r="C19" s="3">
        <v>1.693E-4</v>
      </c>
      <c r="D19" s="3">
        <v>-3.7809999999999997E-4</v>
      </c>
      <c r="E19" s="3">
        <v>0</v>
      </c>
      <c r="F19" s="3">
        <v>0</v>
      </c>
      <c r="G19" s="3">
        <v>0</v>
      </c>
      <c r="H19" s="3">
        <v>5.0243990000000001E-5</v>
      </c>
      <c r="I19" s="3">
        <v>1.5526826999999999E-5</v>
      </c>
      <c r="J19" s="3">
        <v>-1.1733277999999999E-4</v>
      </c>
      <c r="K19" s="3"/>
      <c r="L19" s="3">
        <f t="shared" si="0"/>
        <v>-0.31711187516530021</v>
      </c>
      <c r="M19" s="3"/>
      <c r="N19" s="2">
        <f>IF('Modell einstellen'!$B$1="Voll",H19/0.35,H19/0.35*2)</f>
        <v>2.8710851428571433E-4</v>
      </c>
      <c r="O19" s="2">
        <f>IF('Modell einstellen'!$B$1="Voll",J19/0.35,J19/0.35*2)</f>
        <v>-6.7047302857142863E-4</v>
      </c>
      <c r="P19" s="3">
        <f t="shared" si="1"/>
        <v>0.42821784330005652</v>
      </c>
      <c r="Q19" s="3"/>
      <c r="R19" s="3"/>
      <c r="S19" s="3"/>
      <c r="T19" s="3"/>
      <c r="U19" s="3"/>
      <c r="V19" s="3"/>
      <c r="W19" s="3"/>
      <c r="X19" s="3"/>
      <c r="Y19" s="3"/>
    </row>
    <row r="20" spans="1:25" x14ac:dyDescent="0.25">
      <c r="A20" s="3">
        <v>100</v>
      </c>
      <c r="B20" s="3">
        <v>-1.3870000000000001E-4</v>
      </c>
      <c r="C20" s="3">
        <v>1.7689999999999999E-4</v>
      </c>
      <c r="D20" s="3">
        <v>-3.6989999999999999E-4</v>
      </c>
      <c r="E20" s="3">
        <v>0</v>
      </c>
      <c r="F20" s="3">
        <v>0</v>
      </c>
      <c r="G20" s="3">
        <v>0</v>
      </c>
      <c r="H20" s="3">
        <v>5.4240144000000003E-5</v>
      </c>
      <c r="I20" s="3">
        <v>1.6437774999999999E-5</v>
      </c>
      <c r="J20" s="3">
        <v>-1.2338229000000001E-4</v>
      </c>
      <c r="K20" s="3"/>
      <c r="L20" s="3">
        <f t="shared" si="0"/>
        <v>-0.37496620708299544</v>
      </c>
      <c r="M20" s="3"/>
      <c r="N20" s="2">
        <f>IF('Modell einstellen'!$B$1="Voll",H20/0.35,H20/0.35*2)</f>
        <v>3.0994368000000002E-4</v>
      </c>
      <c r="O20" s="2">
        <f>IF('Modell einstellen'!$B$1="Voll",J20/0.35,J20/0.35*2)</f>
        <v>-7.0504165714285728E-4</v>
      </c>
      <c r="P20" s="3">
        <f t="shared" si="1"/>
        <v>0.43961044976552138</v>
      </c>
      <c r="Q20" s="3"/>
      <c r="R20" s="3"/>
      <c r="S20" s="3"/>
      <c r="T20" s="3"/>
      <c r="U20" s="3"/>
      <c r="V20" s="3"/>
      <c r="W20" s="3"/>
      <c r="X20" s="3"/>
      <c r="Y20" s="3"/>
    </row>
    <row r="21" spans="1:25" x14ac:dyDescent="0.25">
      <c r="A21" s="3">
        <v>1000</v>
      </c>
      <c r="B21" s="3">
        <v>-1.149E-4</v>
      </c>
      <c r="C21" s="3">
        <v>2.0049999999999999E-4</v>
      </c>
      <c r="D21" s="3">
        <v>-4.1229999999999999E-4</v>
      </c>
      <c r="E21" s="3">
        <v>0</v>
      </c>
      <c r="F21" s="3">
        <v>0</v>
      </c>
      <c r="G21" s="3">
        <v>0</v>
      </c>
      <c r="H21" s="3">
        <v>6.0545165999999998E-5</v>
      </c>
      <c r="I21" s="3">
        <v>2.0000756999999999E-5</v>
      </c>
      <c r="J21" s="3">
        <v>-1.3639463E-4</v>
      </c>
      <c r="K21" s="3"/>
      <c r="L21" s="3">
        <f t="shared" si="0"/>
        <v>-0.27868057239873878</v>
      </c>
      <c r="M21" s="3"/>
      <c r="N21" s="2">
        <f>IF('Modell einstellen'!$B$1="Voll",H21/0.35,H21/0.35*2)</f>
        <v>3.4597237714285715E-4</v>
      </c>
      <c r="O21" s="2">
        <f>IF('Modell einstellen'!$B$1="Voll",J21/0.35,J21/0.35*2)</f>
        <v>-7.793978857142858E-4</v>
      </c>
      <c r="P21" s="3">
        <f t="shared" si="1"/>
        <v>0.44389699213231482</v>
      </c>
      <c r="Q21" s="3"/>
      <c r="R21" s="3"/>
      <c r="S21" s="3"/>
      <c r="T21" s="3"/>
      <c r="U21" s="3"/>
      <c r="V21" s="3"/>
      <c r="W21" s="3"/>
      <c r="X21" s="3"/>
      <c r="Y21" s="3"/>
    </row>
    <row r="22" spans="1:25" x14ac:dyDescent="0.25">
      <c r="A22" s="3">
        <v>10000</v>
      </c>
      <c r="B22" s="3">
        <v>-6.2430000000000002E-6</v>
      </c>
      <c r="C22" s="3">
        <v>2.5339999999999998E-4</v>
      </c>
      <c r="D22" s="3">
        <v>-5.5349999999999996E-4</v>
      </c>
      <c r="E22" s="3">
        <v>0</v>
      </c>
      <c r="F22" s="3">
        <v>0</v>
      </c>
      <c r="G22" s="3">
        <v>0</v>
      </c>
      <c r="H22" s="3">
        <v>7.0662260999999996E-5</v>
      </c>
      <c r="I22" s="3">
        <v>2.8776218E-5</v>
      </c>
      <c r="J22" s="3">
        <v>-1.6249856999999999E-4</v>
      </c>
      <c r="K22" s="3"/>
      <c r="L22" s="3">
        <f t="shared" si="0"/>
        <v>-1.1279132791327915E-2</v>
      </c>
      <c r="M22" s="3"/>
      <c r="N22" s="2">
        <f>IF('Modell einstellen'!$B$1="Voll",H22/0.35,H22/0.35*2)</f>
        <v>4.0378434857142858E-4</v>
      </c>
      <c r="O22" s="2">
        <f>IF('Modell einstellen'!$B$1="Voll",J22/0.35,J22/0.35*2)</f>
        <v>-9.2856325714285712E-4</v>
      </c>
      <c r="P22" s="3">
        <f t="shared" si="1"/>
        <v>0.43484850974380884</v>
      </c>
      <c r="Q22" s="3"/>
      <c r="R22" s="3"/>
      <c r="S22" s="3"/>
      <c r="T22" s="3"/>
      <c r="U22" s="3"/>
      <c r="V22" s="3"/>
      <c r="W22" s="3"/>
      <c r="X22" s="3"/>
      <c r="Y22" s="3"/>
    </row>
    <row r="23" spans="1:25" x14ac:dyDescent="0.25">
      <c r="A23" s="3">
        <v>100000</v>
      </c>
      <c r="B23" s="3">
        <v>1.3960000000000001E-4</v>
      </c>
      <c r="C23" s="3">
        <v>3.2929999999999998E-4</v>
      </c>
      <c r="D23" s="3">
        <v>-7.4930000000000005E-4</v>
      </c>
      <c r="E23" s="3">
        <v>0</v>
      </c>
      <c r="F23" s="3">
        <v>0</v>
      </c>
      <c r="G23" s="3">
        <v>0</v>
      </c>
      <c r="H23" s="3">
        <v>8.2848773000000005E-5</v>
      </c>
      <c r="I23" s="3">
        <v>4.0775180999999997E-5</v>
      </c>
      <c r="J23" s="3">
        <v>-1.9664699E-4</v>
      </c>
      <c r="K23" s="3"/>
      <c r="L23" s="3">
        <f t="shared" si="0"/>
        <v>0.18630722007206726</v>
      </c>
      <c r="M23" s="3"/>
      <c r="N23" s="2">
        <f>IF('Modell einstellen'!$B$1="Voll",H23/0.35,H23/0.35*2)</f>
        <v>4.7342156000000006E-4</v>
      </c>
      <c r="O23" s="2">
        <f>IF('Modell einstellen'!$B$1="Voll",J23/0.35,J23/0.35*2)</f>
        <v>-1.1236970857142858E-3</v>
      </c>
      <c r="P23" s="3">
        <f t="shared" si="1"/>
        <v>0.42130709958998103</v>
      </c>
      <c r="Q23" s="3"/>
      <c r="R23" s="3"/>
      <c r="S23" s="3"/>
      <c r="T23" s="3"/>
      <c r="U23" s="3"/>
      <c r="V23" s="3"/>
      <c r="W23" s="3"/>
      <c r="X23" s="3"/>
      <c r="Y23" s="3"/>
    </row>
    <row r="24" spans="1:25" x14ac:dyDescent="0.25">
      <c r="A24" s="3">
        <v>1000000</v>
      </c>
      <c r="B24" s="3">
        <v>2.8219999999999997E-4</v>
      </c>
      <c r="C24" s="3">
        <v>4.1330000000000002E-4</v>
      </c>
      <c r="D24" s="3">
        <v>-9.5209999999999999E-4</v>
      </c>
      <c r="E24" s="3">
        <v>0</v>
      </c>
      <c r="F24" s="3">
        <v>0</v>
      </c>
      <c r="G24" s="3">
        <v>0</v>
      </c>
      <c r="H24" s="3">
        <v>9.4502392000000003E-5</v>
      </c>
      <c r="I24" s="3">
        <v>5.3221654E-5</v>
      </c>
      <c r="J24" s="3">
        <v>-2.3128535E-4</v>
      </c>
      <c r="K24" s="3"/>
      <c r="L24" s="3">
        <f t="shared" si="0"/>
        <v>0.29639743724398693</v>
      </c>
      <c r="M24" s="3"/>
      <c r="N24" s="2">
        <f>IF('Modell einstellen'!$B$1="Voll",H24/0.35,H24/0.35*2)</f>
        <v>5.4001366857142857E-4</v>
      </c>
      <c r="O24" s="2">
        <f>IF('Modell einstellen'!$B$1="Voll",J24/0.35,J24/0.35*2)</f>
        <v>-1.3216305714285716E-3</v>
      </c>
      <c r="P24" s="3">
        <f t="shared" si="1"/>
        <v>0.40859653237872606</v>
      </c>
      <c r="Q24" s="3"/>
      <c r="R24" s="3"/>
      <c r="S24" s="3"/>
      <c r="T24" s="3"/>
      <c r="U24" s="3"/>
      <c r="V24" s="3"/>
      <c r="W24" s="3"/>
      <c r="X24" s="3"/>
      <c r="Y24" s="3"/>
    </row>
    <row r="25" spans="1:25" x14ac:dyDescent="0.25">
      <c r="A25" s="3">
        <v>10000000</v>
      </c>
      <c r="B25" s="3">
        <v>4.0200000000000001E-4</v>
      </c>
      <c r="C25" s="3">
        <v>4.9790000000000001E-4</v>
      </c>
      <c r="D25" s="3">
        <v>-1.1379999999999999E-3</v>
      </c>
      <c r="E25" s="3">
        <v>0</v>
      </c>
      <c r="F25" s="3">
        <v>0</v>
      </c>
      <c r="G25" s="3">
        <v>0</v>
      </c>
      <c r="H25" s="3">
        <v>1.0521433E-4</v>
      </c>
      <c r="I25" s="3">
        <v>6.5123126000000004E-5</v>
      </c>
      <c r="J25" s="3">
        <v>-2.6424172000000002E-4</v>
      </c>
      <c r="K25" s="3"/>
      <c r="L25" s="3">
        <f t="shared" si="0"/>
        <v>0.35325131810193328</v>
      </c>
      <c r="M25" s="3"/>
      <c r="N25" s="2">
        <f>IF('Modell einstellen'!$B$1="Voll",H25/0.35,H25/0.35*2)</f>
        <v>6.0122474285714291E-4</v>
      </c>
      <c r="O25" s="2">
        <f>IF('Modell einstellen'!$B$1="Voll",J25/0.35,J25/0.35*2)</f>
        <v>-1.5099526857142859E-3</v>
      </c>
      <c r="P25" s="3">
        <f t="shared" si="1"/>
        <v>0.39817455774962407</v>
      </c>
      <c r="Q25" s="3"/>
      <c r="R25" s="3"/>
      <c r="S25" s="3"/>
      <c r="T25" s="3"/>
      <c r="U25" s="3"/>
      <c r="V25" s="3"/>
      <c r="W25" s="3"/>
      <c r="X25" s="3"/>
      <c r="Y25" s="3"/>
    </row>
    <row r="26" spans="1:25" x14ac:dyDescent="0.25">
      <c r="A26" s="3">
        <v>100000000</v>
      </c>
      <c r="B26" s="3">
        <v>4.9739999999999995E-4</v>
      </c>
      <c r="C26" s="3">
        <v>5.798E-4</v>
      </c>
      <c r="D26" s="3">
        <v>-1.3010000000000001E-3</v>
      </c>
      <c r="E26" s="3">
        <v>0</v>
      </c>
      <c r="F26" s="3">
        <v>0</v>
      </c>
      <c r="G26" s="3">
        <v>0</v>
      </c>
      <c r="H26" s="3">
        <v>1.1504285000000001E-4</v>
      </c>
      <c r="I26" s="3">
        <v>7.6350006000000002E-5</v>
      </c>
      <c r="J26" s="3">
        <v>-2.9528821000000002E-4</v>
      </c>
      <c r="K26" s="3"/>
      <c r="L26" s="3">
        <f t="shared" si="0"/>
        <v>0.38232129131437348</v>
      </c>
      <c r="M26" s="3"/>
      <c r="N26" s="2">
        <f>IF('Modell einstellen'!$B$1="Voll",H26/0.35,H26/0.35*2)</f>
        <v>6.573877142857144E-4</v>
      </c>
      <c r="O26" s="2">
        <f>IF('Modell einstellen'!$B$1="Voll",J26/0.35,J26/0.35*2)</f>
        <v>-1.6873612000000001E-3</v>
      </c>
      <c r="P26" s="3">
        <f t="shared" si="1"/>
        <v>0.38959513486840536</v>
      </c>
      <c r="Q26" s="3"/>
      <c r="R26" s="3"/>
      <c r="S26" s="3"/>
      <c r="T26" s="3"/>
      <c r="U26" s="3"/>
      <c r="V26" s="3"/>
      <c r="W26" s="3"/>
      <c r="X26" s="3"/>
      <c r="Y26" s="3"/>
    </row>
    <row r="27" spans="1:25" x14ac:dyDescent="0.25">
      <c r="A27" s="3">
        <v>1000000000</v>
      </c>
      <c r="B27" s="3">
        <v>5.754E-4</v>
      </c>
      <c r="C27" s="3">
        <v>6.6350000000000003E-4</v>
      </c>
      <c r="D27" s="3">
        <v>-1.4530000000000001E-3</v>
      </c>
      <c r="E27" s="3">
        <v>0</v>
      </c>
      <c r="F27" s="3">
        <v>0</v>
      </c>
      <c r="G27" s="3">
        <v>0</v>
      </c>
      <c r="H27" s="3">
        <v>1.2579250000000001E-4</v>
      </c>
      <c r="I27" s="3">
        <v>8.7948489000000003E-5</v>
      </c>
      <c r="J27" s="3">
        <v>-3.2824138E-4</v>
      </c>
      <c r="K27" s="3"/>
      <c r="L27" s="3">
        <f t="shared" si="0"/>
        <v>0.39600825877494839</v>
      </c>
      <c r="M27" s="3"/>
      <c r="N27" s="2">
        <f>IF('Modell einstellen'!$B$1="Voll",H27/0.35,H27/0.35*2)</f>
        <v>7.188142857142858E-4</v>
      </c>
      <c r="O27" s="2">
        <f>IF('Modell einstellen'!$B$1="Voll",J27/0.35,J27/0.35*2)</f>
        <v>-1.8756650285714287E-3</v>
      </c>
      <c r="P27" s="3">
        <f t="shared" si="1"/>
        <v>0.38323169370053223</v>
      </c>
      <c r="Q27" s="3"/>
      <c r="R27" s="3"/>
      <c r="S27" s="3"/>
      <c r="T27" s="3"/>
      <c r="U27" s="3"/>
      <c r="V27" s="3"/>
      <c r="W27" s="3"/>
      <c r="X27" s="3"/>
      <c r="Y27" s="3"/>
    </row>
    <row r="28" spans="1:25" x14ac:dyDescent="0.25">
      <c r="A28" s="3">
        <v>10000000000</v>
      </c>
      <c r="B28" s="3">
        <v>6.4479999999999995E-4</v>
      </c>
      <c r="C28" s="3">
        <v>7.5179999999999995E-4</v>
      </c>
      <c r="D28" s="3">
        <v>-1.603E-3</v>
      </c>
      <c r="E28" s="3">
        <v>0</v>
      </c>
      <c r="F28" s="3">
        <v>0</v>
      </c>
      <c r="G28" s="3">
        <v>0</v>
      </c>
      <c r="H28" s="3">
        <v>1.3802271E-4</v>
      </c>
      <c r="I28" s="3">
        <v>1.0049838E-4</v>
      </c>
      <c r="J28" s="3">
        <v>-3.6468332E-4</v>
      </c>
      <c r="K28" s="3"/>
      <c r="L28" s="3">
        <f t="shared" si="0"/>
        <v>0.40224578914535242</v>
      </c>
      <c r="M28" s="3"/>
      <c r="N28" s="2">
        <f>IF('Modell einstellen'!$B$1="Voll",H28/0.35,H28/0.35*2)</f>
        <v>7.8870120000000001E-4</v>
      </c>
      <c r="O28" s="2">
        <f>IF('Modell einstellen'!$B$1="Voll",J28/0.35,J28/0.35*2)</f>
        <v>-2.0839046857142858E-3</v>
      </c>
      <c r="P28" s="3">
        <f t="shared" si="1"/>
        <v>0.37847278016444513</v>
      </c>
      <c r="Q28" s="3"/>
      <c r="R28" s="3"/>
      <c r="S28" s="3"/>
      <c r="T28" s="3"/>
      <c r="U28" s="3"/>
      <c r="V28" s="3"/>
      <c r="W28" s="3"/>
      <c r="X28" s="3"/>
      <c r="Y28" s="3"/>
    </row>
    <row r="29" spans="1:25" x14ac:dyDescent="0.25">
      <c r="A29" s="3">
        <v>100000000000</v>
      </c>
      <c r="B29" s="3">
        <v>7.1409999999999996E-4</v>
      </c>
      <c r="C29" s="3">
        <v>8.5389999999999999E-4</v>
      </c>
      <c r="D29" s="3">
        <v>-1.7700000000000001E-3</v>
      </c>
      <c r="E29" s="3">
        <v>0</v>
      </c>
      <c r="F29" s="3">
        <v>0</v>
      </c>
      <c r="G29" s="3">
        <v>0</v>
      </c>
      <c r="H29" s="3">
        <v>1.5381117000000001E-4</v>
      </c>
      <c r="I29" s="3">
        <v>1.1563799000000001E-4</v>
      </c>
      <c r="J29" s="3">
        <v>-4.0983506000000003E-4</v>
      </c>
      <c r="K29" s="3"/>
      <c r="L29" s="3">
        <f t="shared" si="0"/>
        <v>0.40344632768361577</v>
      </c>
      <c r="M29" s="3"/>
      <c r="N29" s="2">
        <f>IF('Modell einstellen'!$B$1="Voll",H29/0.35,H29/0.35*2)</f>
        <v>8.7892097142857153E-4</v>
      </c>
      <c r="O29" s="2">
        <f>IF('Modell einstellen'!$B$1="Voll",J29/0.35,J29/0.35*2)</f>
        <v>-2.3419146285714289E-3</v>
      </c>
      <c r="P29" s="3">
        <f t="shared" si="1"/>
        <v>0.37530017563651091</v>
      </c>
      <c r="Q29" s="3"/>
      <c r="R29" s="3"/>
      <c r="S29" s="3"/>
      <c r="T29" s="3"/>
      <c r="U29" s="3"/>
      <c r="V29" s="3"/>
      <c r="W29" s="3"/>
      <c r="X29" s="3"/>
      <c r="Y29" s="3"/>
    </row>
    <row r="30" spans="1:25" x14ac:dyDescent="0.25">
      <c r="A30" s="3">
        <v>1000000000000</v>
      </c>
      <c r="B30" s="3">
        <v>7.9080000000000003E-4</v>
      </c>
      <c r="C30" s="3">
        <v>9.8170000000000006E-4</v>
      </c>
      <c r="D30" s="3">
        <v>-1.97E-3</v>
      </c>
      <c r="E30" s="3">
        <v>0</v>
      </c>
      <c r="F30" s="3">
        <v>0</v>
      </c>
      <c r="G30" s="3">
        <v>0</v>
      </c>
      <c r="H30" s="3">
        <v>1.7552192E-4</v>
      </c>
      <c r="I30" s="3">
        <v>1.3546154000000001E-4</v>
      </c>
      <c r="J30" s="3">
        <v>-4.7005971999999999E-4</v>
      </c>
      <c r="K30" s="3"/>
      <c r="L30" s="3">
        <f t="shared" si="0"/>
        <v>0.40142131979695433</v>
      </c>
      <c r="M30" s="3"/>
      <c r="N30" s="2">
        <f>IF('Modell einstellen'!$B$1="Voll",H30/0.35,H30/0.35*2)</f>
        <v>1.0029824000000001E-3</v>
      </c>
      <c r="O30" s="2">
        <f>IF('Modell einstellen'!$B$1="Voll",J30/0.35,J30/0.35*2)</f>
        <v>-2.686055542857143E-3</v>
      </c>
      <c r="P30" s="3">
        <f t="shared" si="1"/>
        <v>0.37340344754492044</v>
      </c>
      <c r="Q30" s="3"/>
      <c r="R30" s="3"/>
      <c r="S30" s="3"/>
      <c r="T30" s="3"/>
      <c r="U30" s="3"/>
      <c r="V30" s="3"/>
      <c r="W30" s="3"/>
      <c r="X30" s="3"/>
      <c r="Y30" s="3"/>
    </row>
    <row r="31" spans="1:25" x14ac:dyDescent="0.25">
      <c r="A31" s="3">
        <v>10000000000000</v>
      </c>
      <c r="B31" s="3">
        <v>8.8599999999999996E-4</v>
      </c>
      <c r="C31" s="3">
        <v>1.1670000000000001E-3</v>
      </c>
      <c r="D31" s="3">
        <v>-2.2460000000000002E-3</v>
      </c>
      <c r="E31" s="3">
        <v>0</v>
      </c>
      <c r="F31" s="3">
        <v>0</v>
      </c>
      <c r="G31" s="3">
        <v>0</v>
      </c>
      <c r="H31" s="3">
        <v>2.0924048E-4</v>
      </c>
      <c r="I31" s="3">
        <v>1.6531790000000001E-4</v>
      </c>
      <c r="J31" s="3">
        <v>-5.6174166999999997E-4</v>
      </c>
      <c r="K31" s="3"/>
      <c r="L31" s="3">
        <f t="shared" si="0"/>
        <v>0.39447907390917181</v>
      </c>
      <c r="M31" s="3"/>
      <c r="N31" s="2">
        <f>IF('Modell einstellen'!$B$1="Voll",H31/0.35,H31/0.35*2)</f>
        <v>1.1956598857142857E-3</v>
      </c>
      <c r="O31" s="2">
        <f>IF('Modell einstellen'!$B$1="Voll",J31/0.35,J31/0.35*2)</f>
        <v>-3.2099524E-3</v>
      </c>
      <c r="P31" s="3">
        <f t="shared" si="1"/>
        <v>0.37248523863291111</v>
      </c>
      <c r="Q31" s="3"/>
      <c r="R31" s="3"/>
      <c r="S31" s="3"/>
      <c r="T31" s="3"/>
      <c r="U31" s="3"/>
      <c r="V31" s="3"/>
      <c r="W31" s="3"/>
      <c r="X31" s="3"/>
      <c r="Y31" s="3"/>
    </row>
    <row r="32" spans="1:25" x14ac:dyDescent="0.25">
      <c r="A32" s="3">
        <v>100000000000000</v>
      </c>
      <c r="B32" s="3">
        <v>1.0150000000000001E-3</v>
      </c>
      <c r="C32" s="3">
        <v>1.4630000000000001E-3</v>
      </c>
      <c r="D32" s="3">
        <v>-2.666E-3</v>
      </c>
      <c r="E32" s="3">
        <v>0</v>
      </c>
      <c r="F32" s="3">
        <v>0</v>
      </c>
      <c r="G32" s="3">
        <v>0</v>
      </c>
      <c r="H32" s="3">
        <v>2.6606988999999998E-4</v>
      </c>
      <c r="I32" s="3">
        <v>2.1478352E-4</v>
      </c>
      <c r="J32" s="3">
        <v>-7.1432565000000003E-4</v>
      </c>
      <c r="K32" s="3"/>
      <c r="L32" s="3">
        <f t="shared" si="0"/>
        <v>0.38072018004501129</v>
      </c>
      <c r="M32" s="3"/>
      <c r="N32" s="2">
        <f>IF('Modell einstellen'!$B$1="Voll",H32/0.35,H32/0.35*2)</f>
        <v>1.5203993714285715E-3</v>
      </c>
      <c r="O32" s="2">
        <f>IF('Modell einstellen'!$B$1="Voll",J32/0.35,J32/0.35*2)</f>
        <v>-4.0818608571428572E-3</v>
      </c>
      <c r="P32" s="3">
        <f t="shared" si="1"/>
        <v>0.37247702080976652</v>
      </c>
      <c r="Q32" s="3"/>
      <c r="R32" s="3"/>
      <c r="S32" s="3"/>
      <c r="T32" s="3"/>
      <c r="U32" s="3"/>
      <c r="V32" s="3"/>
      <c r="W32" s="3"/>
      <c r="X32" s="3"/>
      <c r="Y32" s="3"/>
    </row>
    <row r="33" spans="1:25" x14ac:dyDescent="0.25">
      <c r="A33" s="2">
        <v>1000000000000000</v>
      </c>
      <c r="B33" s="3">
        <v>1.2030000000000001E-3</v>
      </c>
      <c r="C33" s="3">
        <v>1.9620000000000002E-3</v>
      </c>
      <c r="D33" s="3">
        <v>-3.3449999999999999E-3</v>
      </c>
      <c r="E33" s="3">
        <v>0</v>
      </c>
      <c r="F33" s="3">
        <v>0</v>
      </c>
      <c r="G33" s="3">
        <v>0</v>
      </c>
      <c r="H33" s="3">
        <v>3.6519463999999999E-4</v>
      </c>
      <c r="I33" s="3">
        <v>3.0033668E-4</v>
      </c>
      <c r="J33" s="3">
        <v>-9.7829253999999997E-4</v>
      </c>
      <c r="K33" s="3"/>
      <c r="L33" s="3">
        <f t="shared" si="0"/>
        <v>0.35964125560538118</v>
      </c>
      <c r="M33" s="3"/>
      <c r="N33" s="2">
        <f>IF('Modell einstellen'!$B$1="Voll",H33/0.35,H33/0.35*2)</f>
        <v>2.0868265142857142E-3</v>
      </c>
      <c r="O33" s="2">
        <f>IF('Modell einstellen'!$B$1="Voll",J33/0.35,J33/0.35*2)</f>
        <v>-5.5902430857142863E-3</v>
      </c>
      <c r="P33" s="3">
        <f t="shared" si="1"/>
        <v>0.37329799121232177</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-4.1620000000000001E-6</v>
      </c>
      <c r="C3" s="3">
        <v>1.4359999999999999E-4</v>
      </c>
      <c r="D3" s="3">
        <v>-4.3580000000000002E-4</v>
      </c>
      <c r="E3" s="3">
        <v>0</v>
      </c>
      <c r="F3" s="3">
        <v>0</v>
      </c>
      <c r="G3" s="3">
        <v>0</v>
      </c>
      <c r="H3" s="3">
        <v>3.2956966999999999E-5</v>
      </c>
      <c r="I3" s="3">
        <v>1.3226836E-5</v>
      </c>
      <c r="J3" s="3">
        <v>-9.2910133E-5</v>
      </c>
      <c r="K3" s="3"/>
      <c r="L3" s="3">
        <f>-B3/D3</f>
        <v>-9.5502524093620932E-3</v>
      </c>
      <c r="M3" s="3"/>
      <c r="N3" s="2">
        <f>IF('Modell einstellen'!$B$1="Voll",H3/0.35,H3/0.35*2)</f>
        <v>1.8832552571428573E-4</v>
      </c>
      <c r="O3" s="2">
        <f>IF('Modell einstellen'!$B$1="Voll",J3/0.35,J3/0.35*2)</f>
        <v>-5.3091504571428573E-4</v>
      </c>
      <c r="P3" s="3">
        <f>-N3/O3</f>
        <v>0.35471875817893839</v>
      </c>
      <c r="Q3" s="3"/>
      <c r="R3" s="3"/>
      <c r="S3" s="3"/>
      <c r="T3" s="3"/>
      <c r="U3" s="3"/>
    </row>
    <row r="4" spans="1:21" x14ac:dyDescent="0.25">
      <c r="A4" s="3">
        <v>1E-14</v>
      </c>
      <c r="B4" s="3">
        <v>-4.2100000000000003E-6</v>
      </c>
      <c r="C4" s="3">
        <v>1.437E-4</v>
      </c>
      <c r="D4" s="3">
        <v>-4.3580000000000002E-4</v>
      </c>
      <c r="E4" s="3">
        <v>0</v>
      </c>
      <c r="F4" s="3">
        <v>0</v>
      </c>
      <c r="G4" s="3">
        <v>0</v>
      </c>
      <c r="H4" s="3">
        <v>3.2964949999999997E-5</v>
      </c>
      <c r="I4" s="3">
        <v>1.3229067E-5</v>
      </c>
      <c r="J4" s="3">
        <v>-9.2920715999999997E-5</v>
      </c>
      <c r="K4" s="3"/>
      <c r="L4" s="3">
        <f t="shared" ref="L4:L33" si="0">-B4/D4</f>
        <v>-9.660394676457091E-3</v>
      </c>
      <c r="M4" s="3"/>
      <c r="N4" s="2">
        <f>IF('Modell einstellen'!$B$1="Voll",H4/0.35,H4/0.35*2)</f>
        <v>1.8837114285714284E-4</v>
      </c>
      <c r="O4" s="2">
        <f>IF('Modell einstellen'!$B$1="Voll",J4/0.35,J4/0.35*2)</f>
        <v>-5.3097552000000003E-4</v>
      </c>
      <c r="P4" s="3">
        <f t="shared" ref="P4:P33" si="1">-N4/O4</f>
        <v>0.35476427021935553</v>
      </c>
      <c r="Q4" s="3"/>
      <c r="R4" s="3"/>
      <c r="S4" s="3"/>
      <c r="T4" s="3"/>
      <c r="U4" s="3"/>
    </row>
    <row r="5" spans="1:21" x14ac:dyDescent="0.25">
      <c r="A5" s="3">
        <v>1E-13</v>
      </c>
      <c r="B5" s="3">
        <v>-4.5879999999999999E-6</v>
      </c>
      <c r="C5" s="3">
        <v>1.438E-4</v>
      </c>
      <c r="D5" s="3">
        <v>-4.3570000000000002E-4</v>
      </c>
      <c r="E5" s="3">
        <v>0</v>
      </c>
      <c r="F5" s="3">
        <v>0</v>
      </c>
      <c r="G5" s="3">
        <v>0</v>
      </c>
      <c r="H5" s="3">
        <v>3.3040244000000003E-5</v>
      </c>
      <c r="I5" s="3">
        <v>1.3241877E-5</v>
      </c>
      <c r="J5" s="3">
        <v>-9.3036840999999995E-5</v>
      </c>
      <c r="K5" s="3"/>
      <c r="L5" s="3">
        <f t="shared" si="0"/>
        <v>-1.0530181317420242E-2</v>
      </c>
      <c r="M5" s="3"/>
      <c r="N5" s="2">
        <f>IF('Modell einstellen'!$B$1="Voll",H5/0.35,H5/0.35*2)</f>
        <v>1.8880139428571432E-4</v>
      </c>
      <c r="O5" s="2">
        <f>IF('Modell einstellen'!$B$1="Voll",J5/0.35,J5/0.35*2)</f>
        <v>-5.316390914285714E-4</v>
      </c>
      <c r="P5" s="3">
        <f t="shared" si="1"/>
        <v>0.35513075943754374</v>
      </c>
      <c r="Q5" s="3"/>
      <c r="R5" s="3"/>
      <c r="S5" s="3"/>
      <c r="T5" s="3"/>
      <c r="U5" s="3"/>
    </row>
    <row r="6" spans="1:21" x14ac:dyDescent="0.25">
      <c r="A6" s="3">
        <v>9.9999999999999998E-13</v>
      </c>
      <c r="B6" s="3">
        <v>-7.576E-6</v>
      </c>
      <c r="C6" s="3">
        <v>1.448E-4</v>
      </c>
      <c r="D6" s="3">
        <v>-4.351E-4</v>
      </c>
      <c r="E6" s="3">
        <v>0</v>
      </c>
      <c r="F6" s="3">
        <v>0</v>
      </c>
      <c r="G6" s="3">
        <v>0</v>
      </c>
      <c r="H6" s="3">
        <v>3.3627834999999999E-5</v>
      </c>
      <c r="I6" s="3">
        <v>1.3340300999999999E-5</v>
      </c>
      <c r="J6" s="3">
        <v>-9.3939382999999997E-5</v>
      </c>
      <c r="K6" s="3"/>
      <c r="L6" s="3">
        <f t="shared" si="0"/>
        <v>-1.741208917490232E-2</v>
      </c>
      <c r="M6" s="3"/>
      <c r="N6" s="2">
        <f>IF('Modell einstellen'!$B$1="Voll",H6/0.35,H6/0.35*2)</f>
        <v>1.9215905714285714E-4</v>
      </c>
      <c r="O6" s="2">
        <f>IF('Modell einstellen'!$B$1="Voll",J6/0.35,J6/0.35*2)</f>
        <v>-5.367964742857143E-4</v>
      </c>
      <c r="P6" s="3">
        <f t="shared" si="1"/>
        <v>0.35797376910597761</v>
      </c>
      <c r="Q6" s="3"/>
      <c r="R6" s="3"/>
      <c r="S6" s="3"/>
      <c r="T6" s="3"/>
      <c r="U6" s="3"/>
    </row>
    <row r="7" spans="1:21" x14ac:dyDescent="0.25">
      <c r="A7" s="3">
        <v>9.9999999999999994E-12</v>
      </c>
      <c r="B7" s="3">
        <v>-1.403E-5</v>
      </c>
      <c r="C7" s="3">
        <v>1.4689999999999999E-4</v>
      </c>
      <c r="D7" s="3">
        <v>-4.3360000000000002E-4</v>
      </c>
      <c r="E7" s="3">
        <v>0</v>
      </c>
      <c r="F7" s="3">
        <v>0</v>
      </c>
      <c r="G7" s="3">
        <v>0</v>
      </c>
      <c r="H7" s="3">
        <v>3.4863171000000003E-5</v>
      </c>
      <c r="I7" s="3">
        <v>1.3543798E-5</v>
      </c>
      <c r="J7" s="3">
        <v>-9.5818463000000003E-5</v>
      </c>
      <c r="K7" s="3"/>
      <c r="L7" s="3">
        <f t="shared" si="0"/>
        <v>-3.23570110701107E-2</v>
      </c>
      <c r="M7" s="3"/>
      <c r="N7" s="2">
        <f>IF('Modell einstellen'!$B$1="Voll",H7/0.35,H7/0.35*2)</f>
        <v>1.9921812000000004E-4</v>
      </c>
      <c r="O7" s="2">
        <f>IF('Modell einstellen'!$B$1="Voll",J7/0.35,J7/0.35*2)</f>
        <v>-5.4753407428571432E-4</v>
      </c>
      <c r="P7" s="3">
        <f t="shared" si="1"/>
        <v>0.36384606795456531</v>
      </c>
      <c r="Q7" s="3"/>
      <c r="R7" s="3"/>
      <c r="S7" s="3"/>
      <c r="T7" s="3"/>
      <c r="U7" s="3"/>
    </row>
    <row r="8" spans="1:21" x14ac:dyDescent="0.25">
      <c r="A8" s="3">
        <v>1E-10</v>
      </c>
      <c r="B8" s="3">
        <v>-1.8879999999999999E-5</v>
      </c>
      <c r="C8" s="3">
        <v>1.485E-4</v>
      </c>
      <c r="D8" s="3">
        <v>-4.3239999999999999E-4</v>
      </c>
      <c r="E8" s="3">
        <v>0</v>
      </c>
      <c r="F8" s="3">
        <v>0</v>
      </c>
      <c r="G8" s="3">
        <v>0</v>
      </c>
      <c r="H8" s="3">
        <v>3.5776884000000003E-5</v>
      </c>
      <c r="I8" s="3">
        <v>1.3698364000000001E-5</v>
      </c>
      <c r="J8" s="3">
        <v>-9.7204037000000001E-5</v>
      </c>
      <c r="K8" s="3"/>
      <c r="L8" s="3">
        <f t="shared" si="0"/>
        <v>-4.3663274745605919E-2</v>
      </c>
      <c r="M8" s="3"/>
      <c r="N8" s="2">
        <f>IF('Modell einstellen'!$B$1="Voll",H8/0.35,H8/0.35*2)</f>
        <v>2.0443933714285717E-4</v>
      </c>
      <c r="O8" s="2">
        <f>IF('Modell einstellen'!$B$1="Voll",J8/0.35,J8/0.35*2)</f>
        <v>-5.5545164000000004E-4</v>
      </c>
      <c r="P8" s="3">
        <f t="shared" si="1"/>
        <v>0.36805965167887011</v>
      </c>
      <c r="Q8" s="3"/>
      <c r="R8" s="3"/>
      <c r="S8" s="3"/>
      <c r="T8" s="3"/>
      <c r="U8" s="3"/>
    </row>
    <row r="9" spans="1:21" x14ac:dyDescent="0.25">
      <c r="A9" s="3">
        <v>1.0000000000000001E-9</v>
      </c>
      <c r="B9" s="3">
        <v>-2.404E-5</v>
      </c>
      <c r="C9" s="3">
        <v>1.5009999999999999E-4</v>
      </c>
      <c r="D9" s="3">
        <v>-4.3090000000000001E-4</v>
      </c>
      <c r="E9" s="3">
        <v>0</v>
      </c>
      <c r="F9" s="3">
        <v>0</v>
      </c>
      <c r="G9" s="3">
        <v>0</v>
      </c>
      <c r="H9" s="3">
        <v>3.6712765999999999E-5</v>
      </c>
      <c r="I9" s="3">
        <v>1.3851983000000001E-5</v>
      </c>
      <c r="J9" s="3">
        <v>-9.860914E-5</v>
      </c>
      <c r="K9" s="3"/>
      <c r="L9" s="3">
        <f t="shared" si="0"/>
        <v>-5.5790206544441862E-2</v>
      </c>
      <c r="M9" s="3"/>
      <c r="N9" s="2">
        <f>IF('Modell einstellen'!$B$1="Voll",H9/0.35,H9/0.35*2)</f>
        <v>2.097872342857143E-4</v>
      </c>
      <c r="O9" s="2">
        <f>IF('Modell einstellen'!$B$1="Voll",J9/0.35,J9/0.35*2)</f>
        <v>-5.6348080000000005E-4</v>
      </c>
      <c r="P9" s="3">
        <f t="shared" si="1"/>
        <v>0.37230591403596053</v>
      </c>
      <c r="Q9" s="3"/>
      <c r="R9" s="3"/>
      <c r="S9" s="3"/>
      <c r="T9" s="3"/>
      <c r="U9" s="3"/>
    </row>
    <row r="10" spans="1:21" x14ac:dyDescent="0.25">
      <c r="A10" s="3">
        <v>1E-8</v>
      </c>
      <c r="B10" s="3">
        <v>-3.0309999999999999E-5</v>
      </c>
      <c r="C10" s="3">
        <v>1.5200000000000001E-4</v>
      </c>
      <c r="D10" s="3">
        <v>-4.2880000000000001E-4</v>
      </c>
      <c r="E10" s="3">
        <v>0</v>
      </c>
      <c r="F10" s="3">
        <v>0</v>
      </c>
      <c r="G10" s="3">
        <v>0</v>
      </c>
      <c r="H10" s="3">
        <v>3.7805992000000002E-5</v>
      </c>
      <c r="I10" s="3">
        <v>1.4023448E-5</v>
      </c>
      <c r="J10" s="3">
        <v>-1.0022864999999999E-4</v>
      </c>
      <c r="K10" s="3"/>
      <c r="L10" s="3">
        <f t="shared" si="0"/>
        <v>-7.0685634328358199E-2</v>
      </c>
      <c r="M10" s="3"/>
      <c r="N10" s="2">
        <f>IF('Modell einstellen'!$B$1="Voll",H10/0.35,H10/0.35*2)</f>
        <v>2.1603424000000003E-4</v>
      </c>
      <c r="O10" s="2">
        <f>IF('Modell einstellen'!$B$1="Voll",J10/0.35,J10/0.35*2)</f>
        <v>-5.7273514285714289E-4</v>
      </c>
      <c r="P10" s="3">
        <f t="shared" si="1"/>
        <v>0.37719745801225502</v>
      </c>
      <c r="Q10" s="3"/>
      <c r="R10" s="3"/>
      <c r="S10" s="3"/>
      <c r="T10" s="3"/>
      <c r="U10" s="3"/>
    </row>
    <row r="11" spans="1:21" x14ac:dyDescent="0.25">
      <c r="A11" s="3">
        <v>9.9999999999999995E-8</v>
      </c>
      <c r="B11" s="3">
        <v>-3.7589999999999998E-5</v>
      </c>
      <c r="C11" s="3">
        <v>1.539E-4</v>
      </c>
      <c r="D11" s="3">
        <v>-4.259E-4</v>
      </c>
      <c r="E11" s="3">
        <v>0</v>
      </c>
      <c r="F11" s="3">
        <v>0</v>
      </c>
      <c r="G11" s="3">
        <v>0</v>
      </c>
      <c r="H11" s="3">
        <v>3.9029590999999999E-5</v>
      </c>
      <c r="I11" s="3">
        <v>1.4208395000000001E-5</v>
      </c>
      <c r="J11" s="3">
        <v>-1.0201913E-4</v>
      </c>
      <c r="K11" s="3"/>
      <c r="L11" s="3">
        <f t="shared" si="0"/>
        <v>-8.8260154965954449E-2</v>
      </c>
      <c r="M11" s="3"/>
      <c r="N11" s="2">
        <f>IF('Modell einstellen'!$B$1="Voll",H11/0.35,H11/0.35*2)</f>
        <v>2.2302623428571428E-4</v>
      </c>
      <c r="O11" s="2">
        <f>IF('Modell einstellen'!$B$1="Voll",J11/0.35,J11/0.35*2)</f>
        <v>-5.8296645714285718E-4</v>
      </c>
      <c r="P11" s="3">
        <f t="shared" si="1"/>
        <v>0.38257129814771013</v>
      </c>
      <c r="Q11" s="3"/>
      <c r="R11" s="3"/>
      <c r="S11" s="3"/>
      <c r="T11" s="3"/>
      <c r="U11" s="3"/>
    </row>
    <row r="12" spans="1:21" x14ac:dyDescent="0.25">
      <c r="A12" s="3">
        <v>9.9999999999999995E-7</v>
      </c>
      <c r="B12" s="3">
        <v>-4.6650000000000002E-5</v>
      </c>
      <c r="C12" s="3">
        <v>1.561E-4</v>
      </c>
      <c r="D12" s="3">
        <v>-4.2180000000000001E-4</v>
      </c>
      <c r="E12" s="3">
        <v>0</v>
      </c>
      <c r="F12" s="3">
        <v>0</v>
      </c>
      <c r="G12" s="3">
        <v>0</v>
      </c>
      <c r="H12" s="3">
        <v>4.0489423999999998E-5</v>
      </c>
      <c r="I12" s="3">
        <v>1.4418542000000001E-5</v>
      </c>
      <c r="J12" s="3">
        <v>-1.0412394E-4</v>
      </c>
      <c r="K12" s="3"/>
      <c r="L12" s="3">
        <f t="shared" si="0"/>
        <v>-0.11059743954480797</v>
      </c>
      <c r="M12" s="3"/>
      <c r="N12" s="2">
        <f>IF('Modell einstellen'!$B$1="Voll",H12/0.35,H12/0.35*2)</f>
        <v>2.3136813714285715E-4</v>
      </c>
      <c r="O12" s="2">
        <f>IF('Modell einstellen'!$B$1="Voll",J12/0.35,J12/0.35*2)</f>
        <v>-5.9499394285714288E-4</v>
      </c>
      <c r="P12" s="3">
        <f t="shared" si="1"/>
        <v>0.38885797060695171</v>
      </c>
      <c r="Q12" s="3"/>
      <c r="R12" s="3"/>
      <c r="S12" s="3"/>
      <c r="T12" s="3"/>
      <c r="U12" s="3"/>
    </row>
    <row r="13" spans="1:21" x14ac:dyDescent="0.25">
      <c r="A13" s="3">
        <v>1.0000000000000001E-5</v>
      </c>
      <c r="B13" s="3">
        <v>-5.7550000000000003E-5</v>
      </c>
      <c r="C13" s="3">
        <v>1.5860000000000001E-4</v>
      </c>
      <c r="D13" s="3">
        <v>-4.1639999999999998E-4</v>
      </c>
      <c r="E13" s="3">
        <v>0</v>
      </c>
      <c r="F13" s="3">
        <v>0</v>
      </c>
      <c r="G13" s="3">
        <v>0</v>
      </c>
      <c r="H13" s="3">
        <v>4.2172275000000001E-5</v>
      </c>
      <c r="I13" s="3">
        <v>1.464929E-5</v>
      </c>
      <c r="J13" s="3">
        <v>-1.0651346999999999E-4</v>
      </c>
      <c r="K13" s="3"/>
      <c r="L13" s="3">
        <f t="shared" si="0"/>
        <v>-0.13820845341018254</v>
      </c>
      <c r="M13" s="3"/>
      <c r="N13" s="2">
        <f>IF('Modell einstellen'!$B$1="Voll",H13/0.35,H13/0.35*2)</f>
        <v>2.4098442857142859E-4</v>
      </c>
      <c r="O13" s="2">
        <f>IF('Modell einstellen'!$B$1="Voll",J13/0.35,J13/0.35*2)</f>
        <v>-6.0864839999999996E-4</v>
      </c>
      <c r="P13" s="3">
        <f t="shared" si="1"/>
        <v>0.39593372556541445</v>
      </c>
      <c r="Q13" s="3"/>
      <c r="R13" s="3"/>
      <c r="S13" s="3"/>
      <c r="T13" s="3"/>
      <c r="U13" s="3"/>
    </row>
    <row r="14" spans="1:21" x14ac:dyDescent="0.25">
      <c r="A14" s="3">
        <v>1E-4</v>
      </c>
      <c r="B14" s="3">
        <v>-6.9889999999999997E-5</v>
      </c>
      <c r="C14" s="3">
        <v>1.6200000000000001E-4</v>
      </c>
      <c r="D14" s="3">
        <v>-4.1070000000000001E-4</v>
      </c>
      <c r="E14" s="3">
        <v>0</v>
      </c>
      <c r="F14" s="3">
        <v>0</v>
      </c>
      <c r="G14" s="3">
        <v>0</v>
      </c>
      <c r="H14" s="3">
        <v>4.4045563999999999E-5</v>
      </c>
      <c r="I14" s="3">
        <v>1.4939048E-5</v>
      </c>
      <c r="J14" s="3">
        <v>-1.0921175999999999E-4</v>
      </c>
      <c r="K14" s="3"/>
      <c r="L14" s="3">
        <f t="shared" si="0"/>
        <v>-0.17017287557828098</v>
      </c>
      <c r="M14" s="3"/>
      <c r="N14" s="2">
        <f>IF('Modell einstellen'!$B$1="Voll",H14/0.35,H14/0.35*2)</f>
        <v>2.5168893714285715E-4</v>
      </c>
      <c r="O14" s="2">
        <f>IF('Modell einstellen'!$B$1="Voll",J14/0.35,J14/0.35*2)</f>
        <v>-6.2406720000000003E-4</v>
      </c>
      <c r="P14" s="3">
        <f t="shared" si="1"/>
        <v>0.40330422291518786</v>
      </c>
      <c r="Q14" s="3"/>
      <c r="R14" s="3"/>
      <c r="S14" s="3"/>
      <c r="T14" s="3"/>
      <c r="U14" s="3"/>
    </row>
    <row r="15" spans="1:21" x14ac:dyDescent="0.25">
      <c r="A15" s="3">
        <v>1E-3</v>
      </c>
      <c r="B15" s="3">
        <v>-8.352E-5</v>
      </c>
      <c r="C15" s="3">
        <v>1.641E-4</v>
      </c>
      <c r="D15" s="3">
        <v>-4.0220000000000002E-4</v>
      </c>
      <c r="E15" s="3">
        <v>0</v>
      </c>
      <c r="F15" s="3">
        <v>0</v>
      </c>
      <c r="G15" s="3">
        <v>0</v>
      </c>
      <c r="H15" s="3">
        <v>4.5942597999999997E-5</v>
      </c>
      <c r="I15" s="3">
        <v>1.5146828E-5</v>
      </c>
      <c r="J15" s="3">
        <v>-1.1177436E-4</v>
      </c>
      <c r="K15" s="3"/>
      <c r="L15" s="3">
        <f t="shared" si="0"/>
        <v>-0.20765788165091992</v>
      </c>
      <c r="M15" s="3"/>
      <c r="N15" s="2">
        <f>IF('Modell einstellen'!$B$1="Voll",H15/0.35,H15/0.35*2)</f>
        <v>2.6252913142857143E-4</v>
      </c>
      <c r="O15" s="2">
        <f>IF('Modell einstellen'!$B$1="Voll",J15/0.35,J15/0.35*2)</f>
        <v>-6.3871062857142865E-4</v>
      </c>
      <c r="P15" s="3">
        <f t="shared" si="1"/>
        <v>0.41102984620086391</v>
      </c>
      <c r="Q15" s="3"/>
      <c r="R15" s="3"/>
      <c r="S15" s="3"/>
      <c r="T15" s="3"/>
      <c r="U15" s="3"/>
    </row>
    <row r="16" spans="1:21" x14ac:dyDescent="0.25">
      <c r="A16" s="3">
        <v>0.01</v>
      </c>
      <c r="B16" s="3">
        <v>-9.9939999999999995E-5</v>
      </c>
      <c r="C16" s="3">
        <v>1.6750000000000001E-4</v>
      </c>
      <c r="D16" s="3">
        <v>-3.927E-4</v>
      </c>
      <c r="E16" s="3">
        <v>0</v>
      </c>
      <c r="F16" s="3">
        <v>0</v>
      </c>
      <c r="G16" s="3">
        <v>0</v>
      </c>
      <c r="H16" s="3">
        <v>4.8212226999999999E-5</v>
      </c>
      <c r="I16" s="3">
        <v>1.5443635000000001E-5</v>
      </c>
      <c r="J16" s="3">
        <v>-1.1490513999999999E-4</v>
      </c>
      <c r="K16" s="3"/>
      <c r="L16" s="3">
        <f t="shared" si="0"/>
        <v>-0.25449452508276038</v>
      </c>
      <c r="M16" s="3"/>
      <c r="N16" s="2">
        <f>IF('Modell einstellen'!$B$1="Voll",H16/0.35,H16/0.35*2)</f>
        <v>2.7549844000000003E-4</v>
      </c>
      <c r="O16" s="2">
        <f>IF('Modell einstellen'!$B$1="Voll",J16/0.35,J16/0.35*2)</f>
        <v>-6.5660079999999997E-4</v>
      </c>
      <c r="P16" s="3">
        <f t="shared" si="1"/>
        <v>0.41958285765110254</v>
      </c>
      <c r="Q16" s="3"/>
      <c r="R16" s="3"/>
      <c r="S16" s="3"/>
      <c r="T16" s="3"/>
      <c r="U16" s="3"/>
    </row>
    <row r="17" spans="1:21" x14ac:dyDescent="0.25">
      <c r="A17" s="3">
        <v>0.1</v>
      </c>
      <c r="B17" s="3">
        <v>-1.2300000000000001E-4</v>
      </c>
      <c r="C17" s="3">
        <v>1.7110000000000001E-4</v>
      </c>
      <c r="D17" s="3">
        <v>-3.7740000000000001E-4</v>
      </c>
      <c r="E17" s="3">
        <v>0</v>
      </c>
      <c r="F17" s="3">
        <v>0</v>
      </c>
      <c r="G17" s="3">
        <v>0</v>
      </c>
      <c r="H17" s="3">
        <v>5.1223230999999999E-5</v>
      </c>
      <c r="I17" s="3">
        <v>1.5774790999999999E-5</v>
      </c>
      <c r="J17" s="3">
        <v>-1.1891298E-4</v>
      </c>
      <c r="K17" s="3"/>
      <c r="L17" s="3">
        <f t="shared" si="0"/>
        <v>-0.32591414944356123</v>
      </c>
      <c r="M17" s="3"/>
      <c r="N17" s="2">
        <f>IF('Modell einstellen'!$B$1="Voll",H17/0.35,H17/0.35*2)</f>
        <v>2.9270417714285715E-4</v>
      </c>
      <c r="O17" s="2">
        <f>IF('Modell einstellen'!$B$1="Voll",J17/0.35,J17/0.35*2)</f>
        <v>-6.7950274285714289E-4</v>
      </c>
      <c r="P17" s="3">
        <f t="shared" si="1"/>
        <v>0.43076231879816651</v>
      </c>
      <c r="Q17" s="3"/>
      <c r="R17" s="3"/>
      <c r="S17" s="3"/>
      <c r="T17" s="3"/>
      <c r="U17" s="3"/>
    </row>
    <row r="18" spans="1:21" x14ac:dyDescent="0.25">
      <c r="A18" s="3">
        <v>1</v>
      </c>
      <c r="B18" s="3">
        <v>-1.516E-4</v>
      </c>
      <c r="C18" s="3">
        <v>1.751E-4</v>
      </c>
      <c r="D18" s="3">
        <v>-3.5740000000000001E-4</v>
      </c>
      <c r="E18" s="3">
        <v>0</v>
      </c>
      <c r="F18" s="3">
        <v>0</v>
      </c>
      <c r="G18" s="3">
        <v>0</v>
      </c>
      <c r="H18" s="3">
        <v>5.4851632000000003E-5</v>
      </c>
      <c r="I18" s="3">
        <v>1.6164018999999998E-5</v>
      </c>
      <c r="J18" s="3">
        <v>-1.2367412E-4</v>
      </c>
      <c r="K18" s="3"/>
      <c r="L18" s="3">
        <f t="shared" si="0"/>
        <v>-0.42417459429210969</v>
      </c>
      <c r="M18" s="3"/>
      <c r="N18" s="2">
        <f>IF('Modell einstellen'!$B$1="Voll",H18/0.35,H18/0.35*2)</f>
        <v>3.134378971428572E-4</v>
      </c>
      <c r="O18" s="2">
        <f>IF('Modell einstellen'!$B$1="Voll",J18/0.35,J18/0.35*2)</f>
        <v>-7.0670925714285716E-4</v>
      </c>
      <c r="P18" s="3">
        <f t="shared" si="1"/>
        <v>0.44351746347578624</v>
      </c>
      <c r="Q18" s="3"/>
      <c r="R18" s="3"/>
      <c r="S18" s="3"/>
      <c r="T18" s="3"/>
      <c r="U18" s="3"/>
    </row>
    <row r="19" spans="1:21" x14ac:dyDescent="0.25">
      <c r="A19" s="3">
        <v>10</v>
      </c>
      <c r="B19" s="3">
        <v>-1.7560000000000001E-4</v>
      </c>
      <c r="C19" s="3">
        <v>1.808E-4</v>
      </c>
      <c r="D19" s="3">
        <v>-3.4220000000000002E-4</v>
      </c>
      <c r="E19" s="3">
        <v>0</v>
      </c>
      <c r="F19" s="3">
        <v>0</v>
      </c>
      <c r="G19" s="3">
        <v>0</v>
      </c>
      <c r="H19" s="3">
        <v>5.8662034999999997E-5</v>
      </c>
      <c r="I19" s="3">
        <v>1.682846E-5</v>
      </c>
      <c r="J19" s="3">
        <v>-1.2905155000000001E-4</v>
      </c>
      <c r="K19" s="3"/>
      <c r="L19" s="3">
        <f t="shared" si="0"/>
        <v>-0.51315020455873761</v>
      </c>
      <c r="M19" s="3"/>
      <c r="N19" s="2">
        <f>IF('Modell einstellen'!$B$1="Voll",H19/0.35,H19/0.35*2)</f>
        <v>3.352116285714286E-4</v>
      </c>
      <c r="O19" s="2">
        <f>IF('Modell einstellen'!$B$1="Voll",J19/0.35,J19/0.35*2)</f>
        <v>-7.3743742857142864E-4</v>
      </c>
      <c r="P19" s="3">
        <f t="shared" si="1"/>
        <v>0.45456280842810487</v>
      </c>
      <c r="Q19" s="3"/>
      <c r="R19" s="3"/>
      <c r="S19" s="3"/>
      <c r="T19" s="3"/>
      <c r="U19" s="3"/>
    </row>
    <row r="20" spans="1:21" x14ac:dyDescent="0.25">
      <c r="A20" s="3">
        <v>100</v>
      </c>
      <c r="B20" s="3">
        <v>-1.6449999999999999E-4</v>
      </c>
      <c r="C20" s="3">
        <v>1.985E-4</v>
      </c>
      <c r="D20" s="3">
        <v>-3.68E-4</v>
      </c>
      <c r="E20" s="3">
        <v>0</v>
      </c>
      <c r="F20" s="3">
        <v>0</v>
      </c>
      <c r="G20" s="3">
        <v>0</v>
      </c>
      <c r="H20" s="3">
        <v>6.4023818000000004E-5</v>
      </c>
      <c r="I20" s="3">
        <v>1.9514535E-5</v>
      </c>
      <c r="J20" s="3">
        <v>-1.3952716000000001E-4</v>
      </c>
      <c r="K20" s="3"/>
      <c r="L20" s="3">
        <f t="shared" si="0"/>
        <v>-0.44701086956521735</v>
      </c>
      <c r="M20" s="3"/>
      <c r="N20" s="2">
        <f>IF('Modell einstellen'!$B$1="Voll",H20/0.35,H20/0.35*2)</f>
        <v>3.6585038857142864E-4</v>
      </c>
      <c r="O20" s="2">
        <f>IF('Modell einstellen'!$B$1="Voll",J20/0.35,J20/0.35*2)</f>
        <v>-7.9729805714285717E-4</v>
      </c>
      <c r="P20" s="3">
        <f t="shared" si="1"/>
        <v>0.45886276191674802</v>
      </c>
      <c r="Q20" s="3"/>
      <c r="R20" s="3"/>
      <c r="S20" s="3"/>
      <c r="T20" s="3"/>
      <c r="U20" s="3"/>
    </row>
    <row r="21" spans="1:21" x14ac:dyDescent="0.25">
      <c r="A21" s="3">
        <v>1000</v>
      </c>
      <c r="B21" s="3">
        <v>-7.0889999999999994E-5</v>
      </c>
      <c r="C21" s="3">
        <v>2.454E-4</v>
      </c>
      <c r="D21" s="3">
        <v>-4.9149999999999997E-4</v>
      </c>
      <c r="E21" s="3">
        <v>0</v>
      </c>
      <c r="F21" s="3">
        <v>0</v>
      </c>
      <c r="G21" s="3">
        <v>0</v>
      </c>
      <c r="H21" s="3">
        <v>7.3961116999999999E-5</v>
      </c>
      <c r="I21" s="3">
        <v>2.7561268999999998E-5</v>
      </c>
      <c r="J21" s="3">
        <v>-1.6421683999999999E-4</v>
      </c>
      <c r="K21" s="3"/>
      <c r="L21" s="3">
        <f t="shared" si="0"/>
        <v>-0.14423194303153611</v>
      </c>
      <c r="M21" s="3"/>
      <c r="N21" s="2">
        <f>IF('Modell einstellen'!$B$1="Voll",H21/0.35,H21/0.35*2)</f>
        <v>4.2263495428571433E-4</v>
      </c>
      <c r="O21" s="2">
        <f>IF('Modell einstellen'!$B$1="Voll",J21/0.35,J21/0.35*2)</f>
        <v>-9.3838194285714291E-4</v>
      </c>
      <c r="P21" s="3">
        <f t="shared" si="1"/>
        <v>0.45038692134131919</v>
      </c>
      <c r="Q21" s="3"/>
      <c r="R21" s="3"/>
      <c r="S21" s="3"/>
      <c r="T21" s="3"/>
      <c r="U21" s="3"/>
    </row>
    <row r="22" spans="1:21" x14ac:dyDescent="0.25">
      <c r="A22" s="3">
        <v>10000</v>
      </c>
      <c r="B22" s="3">
        <v>8.1080000000000003E-5</v>
      </c>
      <c r="C22" s="3">
        <v>3.2089999999999999E-4</v>
      </c>
      <c r="D22" s="3">
        <v>-6.9300000000000004E-4</v>
      </c>
      <c r="E22" s="3">
        <v>0</v>
      </c>
      <c r="F22" s="3">
        <v>0</v>
      </c>
      <c r="G22" s="3">
        <v>0</v>
      </c>
      <c r="H22" s="3">
        <v>8.6623203000000003E-5</v>
      </c>
      <c r="I22" s="3">
        <v>4.0012667E-5</v>
      </c>
      <c r="J22" s="3">
        <v>-1.9970270999999999E-4</v>
      </c>
      <c r="K22" s="3"/>
      <c r="L22" s="3">
        <f t="shared" si="0"/>
        <v>0.11699855699855699</v>
      </c>
      <c r="M22" s="3"/>
      <c r="N22" s="2">
        <f>IF('Modell einstellen'!$B$1="Voll",H22/0.35,H22/0.35*2)</f>
        <v>4.9498973142857151E-4</v>
      </c>
      <c r="O22" s="2">
        <f>IF('Modell einstellen'!$B$1="Voll",J22/0.35,J22/0.35*2)</f>
        <v>-1.1411583428571428E-3</v>
      </c>
      <c r="P22" s="3">
        <f t="shared" si="1"/>
        <v>0.43376077870951285</v>
      </c>
      <c r="Q22" s="3"/>
      <c r="R22" s="3"/>
      <c r="S22" s="3"/>
      <c r="T22" s="3"/>
      <c r="U22" s="3"/>
    </row>
    <row r="23" spans="1:21" x14ac:dyDescent="0.25">
      <c r="A23" s="3">
        <v>100000</v>
      </c>
      <c r="B23" s="3">
        <v>2.3910000000000001E-4</v>
      </c>
      <c r="C23" s="3">
        <v>4.1100000000000002E-4</v>
      </c>
      <c r="D23" s="3">
        <v>-9.1589999999999998E-4</v>
      </c>
      <c r="E23" s="3">
        <v>0</v>
      </c>
      <c r="F23" s="3">
        <v>0</v>
      </c>
      <c r="G23" s="3">
        <v>0</v>
      </c>
      <c r="H23" s="3">
        <v>9.9765410000000006E-5</v>
      </c>
      <c r="I23" s="3">
        <v>5.3899266999999997E-5</v>
      </c>
      <c r="J23" s="3">
        <v>-2.3854255999999999E-4</v>
      </c>
      <c r="K23" s="3"/>
      <c r="L23" s="3">
        <f t="shared" si="0"/>
        <v>0.26105470029479205</v>
      </c>
      <c r="M23" s="3"/>
      <c r="N23" s="2">
        <f>IF('Modell einstellen'!$B$1="Voll",H23/0.35,H23/0.35*2)</f>
        <v>5.7008805714285724E-4</v>
      </c>
      <c r="O23" s="2">
        <f>IF('Modell einstellen'!$B$1="Voll",J23/0.35,J23/0.35*2)</f>
        <v>-1.363100342857143E-3</v>
      </c>
      <c r="P23" s="3">
        <f t="shared" si="1"/>
        <v>0.41822897347961724</v>
      </c>
      <c r="Q23" s="3"/>
      <c r="R23" s="3"/>
      <c r="S23" s="3"/>
      <c r="T23" s="3"/>
      <c r="U23" s="3"/>
    </row>
    <row r="24" spans="1:21" x14ac:dyDescent="0.25">
      <c r="A24" s="3">
        <v>1000000</v>
      </c>
      <c r="B24" s="3">
        <v>3.7639999999999999E-4</v>
      </c>
      <c r="C24" s="3">
        <v>5.0600000000000005E-4</v>
      </c>
      <c r="D24" s="3">
        <v>-1.127E-3</v>
      </c>
      <c r="E24" s="3">
        <v>0</v>
      </c>
      <c r="F24" s="3">
        <v>0</v>
      </c>
      <c r="G24" s="3">
        <v>0</v>
      </c>
      <c r="H24" s="3">
        <v>1.1235329999999999E-4</v>
      </c>
      <c r="I24" s="3">
        <v>6.7715039000000005E-5</v>
      </c>
      <c r="J24" s="3">
        <v>-2.7699687E-4</v>
      </c>
      <c r="K24" s="3"/>
      <c r="L24" s="3">
        <f t="shared" si="0"/>
        <v>0.33398402839396629</v>
      </c>
      <c r="M24" s="3"/>
      <c r="N24" s="2">
        <f>IF('Modell einstellen'!$B$1="Voll",H24/0.35,H24/0.35*2)</f>
        <v>6.4201885714285718E-4</v>
      </c>
      <c r="O24" s="2">
        <f>IF('Modell einstellen'!$B$1="Voll",J24/0.35,J24/0.35*2)</f>
        <v>-1.5828392571428573E-3</v>
      </c>
      <c r="P24" s="3">
        <f t="shared" si="1"/>
        <v>0.40561216449846527</v>
      </c>
      <c r="Q24" s="3"/>
      <c r="R24" s="3"/>
      <c r="S24" s="3"/>
      <c r="T24" s="3"/>
      <c r="U24" s="3"/>
    </row>
    <row r="25" spans="1:21" x14ac:dyDescent="0.25">
      <c r="A25" s="3">
        <v>10000000</v>
      </c>
      <c r="B25" s="3">
        <v>4.8819999999999999E-4</v>
      </c>
      <c r="C25" s="3">
        <v>6.0479999999999996E-4</v>
      </c>
      <c r="D25" s="3">
        <v>-1.323E-3</v>
      </c>
      <c r="E25" s="3">
        <v>0</v>
      </c>
      <c r="F25" s="3">
        <v>0</v>
      </c>
      <c r="G25" s="3">
        <v>0</v>
      </c>
      <c r="H25" s="3">
        <v>1.2534328E-4</v>
      </c>
      <c r="I25" s="3">
        <v>8.1808748000000006E-5</v>
      </c>
      <c r="J25" s="3">
        <v>-3.1673060000000003E-4</v>
      </c>
      <c r="K25" s="3"/>
      <c r="L25" s="3">
        <f t="shared" si="0"/>
        <v>0.3690098261526833</v>
      </c>
      <c r="M25" s="3"/>
      <c r="N25" s="2">
        <f>IF('Modell einstellen'!$B$1="Voll",H25/0.35,H25/0.35*2)</f>
        <v>7.1624731428571436E-4</v>
      </c>
      <c r="O25" s="2">
        <f>IF('Modell einstellen'!$B$1="Voll",J25/0.35,J25/0.35*2)</f>
        <v>-1.8098891428571431E-3</v>
      </c>
      <c r="P25" s="3">
        <f t="shared" si="1"/>
        <v>0.3957409861882622</v>
      </c>
      <c r="Q25" s="3"/>
      <c r="R25" s="3"/>
      <c r="S25" s="3"/>
      <c r="T25" s="3"/>
      <c r="U25" s="3"/>
    </row>
    <row r="26" spans="1:21" x14ac:dyDescent="0.25">
      <c r="A26" s="3">
        <v>100000000</v>
      </c>
      <c r="B26" s="3">
        <v>5.8109999999999998E-4</v>
      </c>
      <c r="C26" s="3">
        <v>7.0910000000000005E-4</v>
      </c>
      <c r="D26" s="3">
        <v>-1.508E-3</v>
      </c>
      <c r="E26" s="3">
        <v>0</v>
      </c>
      <c r="F26" s="3">
        <v>0</v>
      </c>
      <c r="G26" s="3">
        <v>0</v>
      </c>
      <c r="H26" s="3">
        <v>1.3945011E-4</v>
      </c>
      <c r="I26" s="3">
        <v>9.6726439000000003E-5</v>
      </c>
      <c r="J26" s="3">
        <v>-3.5942511000000002E-4</v>
      </c>
      <c r="K26" s="3"/>
      <c r="L26" s="3">
        <f t="shared" si="0"/>
        <v>0.38534482758620686</v>
      </c>
      <c r="M26" s="3"/>
      <c r="N26" s="2">
        <f>IF('Modell einstellen'!$B$1="Voll",H26/0.35,H26/0.35*2)</f>
        <v>7.968577714285714E-4</v>
      </c>
      <c r="O26" s="2">
        <f>IF('Modell einstellen'!$B$1="Voll",J26/0.35,J26/0.35*2)</f>
        <v>-2.0538577714285717E-3</v>
      </c>
      <c r="P26" s="3">
        <f t="shared" si="1"/>
        <v>0.38798098997590896</v>
      </c>
      <c r="Q26" s="3"/>
      <c r="R26" s="3"/>
      <c r="S26" s="3"/>
      <c r="T26" s="3"/>
      <c r="U26" s="3"/>
    </row>
    <row r="27" spans="1:21" x14ac:dyDescent="0.25">
      <c r="A27" s="3">
        <v>1000000000</v>
      </c>
      <c r="B27" s="3">
        <v>6.6540000000000002E-4</v>
      </c>
      <c r="C27" s="3">
        <v>8.2720000000000005E-4</v>
      </c>
      <c r="D27" s="3">
        <v>-1.702E-3</v>
      </c>
      <c r="E27" s="3">
        <v>0</v>
      </c>
      <c r="F27" s="3">
        <v>0</v>
      </c>
      <c r="G27" s="3">
        <v>0</v>
      </c>
      <c r="H27" s="3">
        <v>1.5702814000000001E-4</v>
      </c>
      <c r="I27" s="3">
        <v>1.1417061E-4</v>
      </c>
      <c r="J27" s="3">
        <v>-4.1068061000000002E-4</v>
      </c>
      <c r="K27" s="3"/>
      <c r="L27" s="3">
        <f t="shared" si="0"/>
        <v>0.390951821386604</v>
      </c>
      <c r="M27" s="3"/>
      <c r="N27" s="2">
        <f>IF('Modell einstellen'!$B$1="Voll",H27/0.35,H27/0.35*2)</f>
        <v>8.9730365714285729E-4</v>
      </c>
      <c r="O27" s="2">
        <f>IF('Modell einstellen'!$B$1="Voll",J27/0.35,J27/0.35*2)</f>
        <v>-2.3467463428571431E-3</v>
      </c>
      <c r="P27" s="3">
        <f t="shared" si="1"/>
        <v>0.38236073526821734</v>
      </c>
      <c r="Q27" s="3"/>
      <c r="R27" s="3"/>
      <c r="S27" s="3"/>
      <c r="T27" s="3"/>
      <c r="U27" s="3"/>
    </row>
    <row r="28" spans="1:21" x14ac:dyDescent="0.25">
      <c r="A28" s="3">
        <v>10000000000</v>
      </c>
      <c r="B28" s="3">
        <v>7.5259999999999997E-4</v>
      </c>
      <c r="C28" s="3">
        <v>9.7380000000000003E-4</v>
      </c>
      <c r="D28" s="3">
        <v>-1.9300000000000001E-3</v>
      </c>
      <c r="E28" s="3">
        <v>0</v>
      </c>
      <c r="F28" s="3">
        <v>0</v>
      </c>
      <c r="G28" s="3">
        <v>0</v>
      </c>
      <c r="H28" s="3">
        <v>1.8125912E-4</v>
      </c>
      <c r="I28" s="3">
        <v>1.3680001000000001E-4</v>
      </c>
      <c r="J28" s="3">
        <v>-4.7875359999999999E-4</v>
      </c>
      <c r="K28" s="3"/>
      <c r="L28" s="3">
        <f t="shared" si="0"/>
        <v>0.38994818652849739</v>
      </c>
      <c r="M28" s="3"/>
      <c r="N28" s="2">
        <f>IF('Modell einstellen'!$B$1="Voll",H28/0.35,H28/0.35*2)</f>
        <v>1.0357664000000002E-3</v>
      </c>
      <c r="O28" s="2">
        <f>IF('Modell einstellen'!$B$1="Voll",J28/0.35,J28/0.35*2)</f>
        <v>-2.7357348571428572E-3</v>
      </c>
      <c r="P28" s="3">
        <f t="shared" si="1"/>
        <v>0.37860628097626842</v>
      </c>
      <c r="Q28" s="3"/>
      <c r="R28" s="3"/>
      <c r="S28" s="3"/>
      <c r="T28" s="3"/>
      <c r="U28" s="3"/>
    </row>
    <row r="29" spans="1:21" x14ac:dyDescent="0.25">
      <c r="A29" s="3">
        <v>100000000000</v>
      </c>
      <c r="B29" s="3">
        <v>8.5669999999999995E-4</v>
      </c>
      <c r="C29" s="3">
        <v>1.1839999999999999E-3</v>
      </c>
      <c r="D29" s="3">
        <v>-2.238E-3</v>
      </c>
      <c r="E29" s="3">
        <v>0</v>
      </c>
      <c r="F29" s="3">
        <v>0</v>
      </c>
      <c r="G29" s="3">
        <v>0</v>
      </c>
      <c r="H29" s="3">
        <v>2.1952656000000001E-4</v>
      </c>
      <c r="I29" s="3">
        <v>1.7082775999999999E-4</v>
      </c>
      <c r="J29" s="3">
        <v>-5.8296944E-4</v>
      </c>
      <c r="K29" s="3"/>
      <c r="L29" s="3">
        <f t="shared" si="0"/>
        <v>0.38279714030384271</v>
      </c>
      <c r="M29" s="3"/>
      <c r="N29" s="2">
        <f>IF('Modell einstellen'!$B$1="Voll",H29/0.35,H29/0.35*2)</f>
        <v>1.2544374857142858E-3</v>
      </c>
      <c r="O29" s="2">
        <f>IF('Modell einstellen'!$B$1="Voll",J29/0.35,J29/0.35*2)</f>
        <v>-3.3312539428571432E-3</v>
      </c>
      <c r="P29" s="3">
        <f t="shared" si="1"/>
        <v>0.37656615413665595</v>
      </c>
      <c r="Q29" s="3"/>
      <c r="R29" s="3"/>
      <c r="S29" s="3"/>
      <c r="T29" s="3"/>
      <c r="U29" s="3"/>
    </row>
    <row r="30" spans="1:21" x14ac:dyDescent="0.25">
      <c r="A30" s="3">
        <v>1000000000000</v>
      </c>
      <c r="B30" s="3">
        <v>9.9850000000000004E-4</v>
      </c>
      <c r="C30" s="3">
        <v>1.523E-3</v>
      </c>
      <c r="D30" s="3">
        <v>-2.712E-3</v>
      </c>
      <c r="E30" s="3">
        <v>0</v>
      </c>
      <c r="F30" s="3">
        <v>0</v>
      </c>
      <c r="G30" s="3">
        <v>0</v>
      </c>
      <c r="H30" s="3">
        <v>2.8503902999999999E-4</v>
      </c>
      <c r="I30" s="3">
        <v>2.2764726999999999E-4</v>
      </c>
      <c r="J30" s="3">
        <v>-7.583135E-4</v>
      </c>
      <c r="K30" s="3"/>
      <c r="L30" s="3">
        <f t="shared" si="0"/>
        <v>0.36817846607669619</v>
      </c>
      <c r="M30" s="3"/>
      <c r="N30" s="2">
        <f>IF('Modell einstellen'!$B$1="Voll",H30/0.35,H30/0.35*2)</f>
        <v>1.6287944571428572E-3</v>
      </c>
      <c r="O30" s="2">
        <f>IF('Modell einstellen'!$B$1="Voll",J30/0.35,J30/0.35*2)</f>
        <v>-4.3332200000000005E-3</v>
      </c>
      <c r="P30" s="3">
        <f t="shared" si="1"/>
        <v>0.37588547480692353</v>
      </c>
      <c r="Q30" s="3"/>
      <c r="R30" s="3"/>
      <c r="S30" s="3"/>
      <c r="T30" s="3"/>
      <c r="U30" s="3"/>
    </row>
    <row r="31" spans="1:21" x14ac:dyDescent="0.25">
      <c r="A31" s="3">
        <v>10000000000000</v>
      </c>
      <c r="B31" s="3">
        <v>1.1980000000000001E-3</v>
      </c>
      <c r="C31" s="3">
        <v>2.0839999999999999E-3</v>
      </c>
      <c r="D31" s="3">
        <v>-3.4629999999999999E-3</v>
      </c>
      <c r="E31" s="3">
        <v>0</v>
      </c>
      <c r="F31" s="3">
        <v>0</v>
      </c>
      <c r="G31" s="3">
        <v>0</v>
      </c>
      <c r="H31" s="3">
        <v>3.9836654E-4</v>
      </c>
      <c r="I31" s="3">
        <v>3.2485199999999999E-4</v>
      </c>
      <c r="J31" s="3">
        <v>-1.0586393E-3</v>
      </c>
      <c r="K31" s="3"/>
      <c r="L31" s="3">
        <f t="shared" si="0"/>
        <v>0.34594282414091831</v>
      </c>
      <c r="M31" s="3"/>
      <c r="N31" s="2">
        <f>IF('Modell einstellen'!$B$1="Voll",H31/0.35,H31/0.35*2)</f>
        <v>2.2763802285714289E-3</v>
      </c>
      <c r="O31" s="2">
        <f>IF('Modell einstellen'!$B$1="Voll",J31/0.35,J31/0.35*2)</f>
        <v>-6.0493674285714292E-3</v>
      </c>
      <c r="P31" s="3">
        <f t="shared" si="1"/>
        <v>0.37630053975891509</v>
      </c>
      <c r="Q31" s="3"/>
      <c r="R31" s="3"/>
      <c r="S31" s="3"/>
      <c r="T31" s="3"/>
      <c r="U31" s="3"/>
    </row>
    <row r="32" spans="1:21" x14ac:dyDescent="0.25">
      <c r="A32" s="3">
        <v>100000000000000</v>
      </c>
      <c r="B32" s="3">
        <v>1.482E-3</v>
      </c>
      <c r="C32" s="3">
        <v>2.9359999999999998E-3</v>
      </c>
      <c r="D32" s="3">
        <v>-4.5890000000000002E-3</v>
      </c>
      <c r="E32" s="3">
        <v>0</v>
      </c>
      <c r="F32" s="3">
        <v>0</v>
      </c>
      <c r="G32" s="3">
        <v>0</v>
      </c>
      <c r="H32" s="3">
        <v>5.7651095000000002E-4</v>
      </c>
      <c r="I32" s="3">
        <v>4.7669881000000002E-4</v>
      </c>
      <c r="J32" s="3">
        <v>-1.526973E-3</v>
      </c>
      <c r="K32" s="3"/>
      <c r="L32" s="3">
        <f t="shared" si="0"/>
        <v>0.32294617563739375</v>
      </c>
      <c r="M32" s="3"/>
      <c r="N32" s="2">
        <f>IF('Modell einstellen'!$B$1="Voll",H32/0.35,H32/0.35*2)</f>
        <v>3.2943482857142859E-3</v>
      </c>
      <c r="O32" s="2">
        <f>IF('Modell einstellen'!$B$1="Voll",J32/0.35,J32/0.35*2)</f>
        <v>-8.7255600000000003E-3</v>
      </c>
      <c r="P32" s="3">
        <f t="shared" si="1"/>
        <v>0.37755150222040601</v>
      </c>
      <c r="Q32" s="3"/>
      <c r="R32" s="3"/>
      <c r="S32" s="3"/>
      <c r="T32" s="3"/>
      <c r="U32" s="3"/>
    </row>
    <row r="33" spans="1:21" x14ac:dyDescent="0.25">
      <c r="A33" s="2">
        <v>1000000000000000</v>
      </c>
      <c r="B33" s="3">
        <v>1.8569999999999999E-3</v>
      </c>
      <c r="C33" s="3">
        <v>4.006E-3</v>
      </c>
      <c r="D33" s="3">
        <v>-6.0260000000000001E-3</v>
      </c>
      <c r="E33" s="3">
        <v>0</v>
      </c>
      <c r="F33" s="3">
        <v>0</v>
      </c>
      <c r="G33" s="3">
        <v>0</v>
      </c>
      <c r="H33" s="3">
        <v>8.0825131999999998E-4</v>
      </c>
      <c r="I33" s="3">
        <v>6.7314513000000002E-4</v>
      </c>
      <c r="J33" s="3">
        <v>-2.1310242000000001E-3</v>
      </c>
      <c r="K33" s="3"/>
      <c r="L33" s="3">
        <f t="shared" si="0"/>
        <v>0.30816461998008626</v>
      </c>
      <c r="M33" s="3"/>
      <c r="N33" s="2">
        <f>IF('Modell einstellen'!$B$1="Voll",H33/0.35,H33/0.35*2)</f>
        <v>4.6185789714285712E-3</v>
      </c>
      <c r="O33" s="2">
        <f>IF('Modell einstellen'!$B$1="Voll",J33/0.35,J33/0.35*2)</f>
        <v>-1.2177281142857144E-2</v>
      </c>
      <c r="P33" s="3">
        <f t="shared" si="1"/>
        <v>0.3792783394951591</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-2.339E-6</v>
      </c>
      <c r="C3" s="3">
        <v>1.459E-4</v>
      </c>
      <c r="D3" s="3">
        <v>-4.4010000000000002E-4</v>
      </c>
      <c r="E3" s="3">
        <v>0</v>
      </c>
      <c r="F3" s="3">
        <v>0</v>
      </c>
      <c r="G3" s="3">
        <v>0</v>
      </c>
      <c r="H3" s="3">
        <v>3.3630153E-5</v>
      </c>
      <c r="I3" s="3">
        <v>1.3522585000000001E-5</v>
      </c>
      <c r="J3" s="3">
        <v>-9.4282858999999999E-5</v>
      </c>
      <c r="K3" s="2"/>
      <c r="L3" s="3"/>
      <c r="M3" s="3"/>
      <c r="N3" s="2">
        <f>IF('Modell einstellen'!$B$1="Voll",H3/0.35,H3/0.35*2)</f>
        <v>1.9217230285714288E-4</v>
      </c>
      <c r="O3" s="2">
        <f>IF('Modell einstellen'!$B$1="Voll",J3/0.35,J3/0.35*2)</f>
        <v>-5.3875919428571434E-4</v>
      </c>
      <c r="P3" s="3">
        <f>-N3/O3</f>
        <v>0.35669424279974371</v>
      </c>
      <c r="Q3" s="3"/>
      <c r="R3" s="3"/>
      <c r="S3" s="3"/>
      <c r="T3" s="3"/>
      <c r="U3" s="3"/>
    </row>
    <row r="4" spans="1:21" x14ac:dyDescent="0.25">
      <c r="A4" s="3">
        <v>1E-14</v>
      </c>
      <c r="B4" s="3">
        <v>-1.0159999999999999E-5</v>
      </c>
      <c r="C4" s="3">
        <v>1.484E-4</v>
      </c>
      <c r="D4" s="3">
        <v>-4.3829999999999997E-4</v>
      </c>
      <c r="E4" s="3">
        <v>0</v>
      </c>
      <c r="F4" s="3">
        <v>0</v>
      </c>
      <c r="G4" s="3">
        <v>0</v>
      </c>
      <c r="H4" s="3">
        <v>3.5134037999999997E-5</v>
      </c>
      <c r="I4" s="3">
        <v>1.3771753000000001E-5</v>
      </c>
      <c r="J4" s="3">
        <v>-9.6571731999999997E-5</v>
      </c>
      <c r="K4" s="2"/>
      <c r="L4" s="3"/>
      <c r="M4" s="3"/>
      <c r="N4" s="2">
        <f>IF('Modell einstellen'!$B$1="Voll",H4/0.35,H4/0.35*2)</f>
        <v>2.0076593142857142E-4</v>
      </c>
      <c r="O4" s="2">
        <f>IF('Modell einstellen'!$B$1="Voll",J4/0.35,J4/0.35*2)</f>
        <v>-5.5183846857142854E-4</v>
      </c>
      <c r="P4" s="3">
        <f t="shared" ref="P4:P33" si="0">-N4/O4</f>
        <v>0.36381285985426876</v>
      </c>
      <c r="Q4" s="3"/>
      <c r="R4" s="3"/>
      <c r="S4" s="3"/>
      <c r="T4" s="3"/>
      <c r="U4" s="3"/>
    </row>
    <row r="5" spans="1:21" x14ac:dyDescent="0.25">
      <c r="A5" s="3">
        <v>1E-13</v>
      </c>
      <c r="B5" s="3">
        <v>-1.5E-5</v>
      </c>
      <c r="C5" s="3">
        <v>1.5009999999999999E-4</v>
      </c>
      <c r="D5" s="3">
        <v>-4.371E-4</v>
      </c>
      <c r="E5" s="3">
        <v>0</v>
      </c>
      <c r="F5" s="3">
        <v>0</v>
      </c>
      <c r="G5" s="3">
        <v>0</v>
      </c>
      <c r="H5" s="3">
        <v>3.6065746999999998E-5</v>
      </c>
      <c r="I5" s="3">
        <v>1.3932944E-5</v>
      </c>
      <c r="J5" s="3">
        <v>-9.7989539000000001E-5</v>
      </c>
      <c r="K5" s="2"/>
      <c r="L5" s="3"/>
      <c r="M5" s="3"/>
      <c r="N5" s="2">
        <f>IF('Modell einstellen'!$B$1="Voll",H5/0.35,H5/0.35*2)</f>
        <v>2.0608998285714285E-4</v>
      </c>
      <c r="O5" s="2">
        <f>IF('Modell einstellen'!$B$1="Voll",J5/0.35,J5/0.35*2)</f>
        <v>-5.5994022285714288E-4</v>
      </c>
      <c r="P5" s="3">
        <f t="shared" si="0"/>
        <v>0.36805711474976932</v>
      </c>
      <c r="Q5" s="3"/>
      <c r="R5" s="3"/>
      <c r="S5" s="3"/>
      <c r="T5" s="3"/>
      <c r="U5" s="3"/>
    </row>
    <row r="6" spans="1:21" x14ac:dyDescent="0.25">
      <c r="A6" s="3">
        <v>9.9999999999999998E-13</v>
      </c>
      <c r="B6" s="3">
        <v>-2.0149999999999999E-5</v>
      </c>
      <c r="C6" s="3">
        <v>1.517E-4</v>
      </c>
      <c r="D6" s="3">
        <v>-4.3570000000000002E-4</v>
      </c>
      <c r="E6" s="3">
        <v>0</v>
      </c>
      <c r="F6" s="3">
        <v>0</v>
      </c>
      <c r="G6" s="3">
        <v>0</v>
      </c>
      <c r="H6" s="3">
        <v>3.7017956000000003E-5</v>
      </c>
      <c r="I6" s="3">
        <v>1.4092569E-5</v>
      </c>
      <c r="J6" s="3">
        <v>-9.9423657000000004E-5</v>
      </c>
      <c r="K6" s="2"/>
      <c r="L6" s="3"/>
      <c r="M6" s="3"/>
      <c r="N6" s="2">
        <f>IF('Modell einstellen'!$B$1="Voll",H6/0.35,H6/0.35*2)</f>
        <v>2.1153117714285718E-4</v>
      </c>
      <c r="O6" s="2">
        <f>IF('Modell einstellen'!$B$1="Voll",J6/0.35,J6/0.35*2)</f>
        <v>-5.6813518285714294E-4</v>
      </c>
      <c r="P6" s="3">
        <f t="shared" si="0"/>
        <v>0.37232543156202752</v>
      </c>
      <c r="Q6" s="3"/>
      <c r="R6" s="3"/>
      <c r="S6" s="3"/>
      <c r="T6" s="3"/>
      <c r="U6" s="3"/>
    </row>
    <row r="7" spans="1:21" x14ac:dyDescent="0.25">
      <c r="A7" s="3">
        <v>9.9999999999999994E-12</v>
      </c>
      <c r="B7" s="3">
        <v>-2.637E-5</v>
      </c>
      <c r="C7" s="3">
        <v>1.5359999999999999E-4</v>
      </c>
      <c r="D7" s="3">
        <v>-4.3360000000000002E-4</v>
      </c>
      <c r="E7" s="3">
        <v>0</v>
      </c>
      <c r="F7" s="3">
        <v>0</v>
      </c>
      <c r="G7" s="3">
        <v>0</v>
      </c>
      <c r="H7" s="3">
        <v>3.8119620999999997E-5</v>
      </c>
      <c r="I7" s="3">
        <v>1.4269164E-5</v>
      </c>
      <c r="J7" s="3">
        <v>-1.0106082E-4</v>
      </c>
      <c r="K7" s="2"/>
      <c r="L7" s="3"/>
      <c r="M7" s="3"/>
      <c r="N7" s="2">
        <f>IF('Modell einstellen'!$B$1="Voll",H7/0.35,H7/0.35*2)</f>
        <v>2.1782640571428572E-4</v>
      </c>
      <c r="O7" s="2">
        <f>IF('Modell einstellen'!$B$1="Voll",J7/0.35,J7/0.35*2)</f>
        <v>-5.7749040000000008E-4</v>
      </c>
      <c r="P7" s="3">
        <f t="shared" si="0"/>
        <v>0.37719485157551658</v>
      </c>
      <c r="Q7" s="3"/>
      <c r="R7" s="3"/>
      <c r="S7" s="3"/>
      <c r="T7" s="3"/>
      <c r="U7" s="3"/>
    </row>
    <row r="8" spans="1:21" x14ac:dyDescent="0.25">
      <c r="A8" s="3">
        <v>1E-10</v>
      </c>
      <c r="B8" s="3">
        <v>-3.3670000000000001E-5</v>
      </c>
      <c r="C8" s="3">
        <v>1.5559999999999999E-4</v>
      </c>
      <c r="D8" s="3">
        <v>-4.3080000000000001E-4</v>
      </c>
      <c r="E8" s="3">
        <v>0</v>
      </c>
      <c r="F8" s="3">
        <v>0</v>
      </c>
      <c r="G8" s="3">
        <v>0</v>
      </c>
      <c r="H8" s="3">
        <v>3.9360999000000002E-5</v>
      </c>
      <c r="I8" s="3">
        <v>1.4460734999999999E-5</v>
      </c>
      <c r="J8" s="3">
        <v>-1.0288266E-4</v>
      </c>
      <c r="K8" s="2"/>
      <c r="L8" s="3"/>
      <c r="M8" s="3"/>
      <c r="N8" s="2">
        <f>IF('Modell einstellen'!$B$1="Voll",H8/0.35,H8/0.35*2)</f>
        <v>2.249199942857143E-4</v>
      </c>
      <c r="O8" s="2">
        <f>IF('Modell einstellen'!$B$1="Voll",J8/0.35,J8/0.35*2)</f>
        <v>-5.8790091428571434E-4</v>
      </c>
      <c r="P8" s="3">
        <f t="shared" si="0"/>
        <v>0.38258146708104163</v>
      </c>
      <c r="Q8" s="3"/>
      <c r="R8" s="3"/>
      <c r="S8" s="3"/>
      <c r="T8" s="3"/>
      <c r="U8" s="3"/>
    </row>
    <row r="9" spans="1:21" x14ac:dyDescent="0.25">
      <c r="A9" s="3">
        <v>1.0000000000000001E-9</v>
      </c>
      <c r="B9" s="3">
        <v>-4.2719999999999998E-5</v>
      </c>
      <c r="C9" s="3">
        <v>1.5779999999999999E-4</v>
      </c>
      <c r="D9" s="3">
        <v>-4.2680000000000002E-4</v>
      </c>
      <c r="E9" s="3">
        <v>0</v>
      </c>
      <c r="F9" s="3">
        <v>0</v>
      </c>
      <c r="G9" s="3">
        <v>0</v>
      </c>
      <c r="H9" s="3">
        <v>4.0837921000000002E-5</v>
      </c>
      <c r="I9" s="3">
        <v>1.4677939000000001E-5</v>
      </c>
      <c r="J9" s="3">
        <v>-1.0501833E-4</v>
      </c>
      <c r="K9" s="2"/>
      <c r="L9" s="3"/>
      <c r="M9" s="3"/>
      <c r="N9" s="2">
        <f>IF('Modell einstellen'!$B$1="Voll",H9/0.35,H9/0.35*2)</f>
        <v>2.3335954857142858E-4</v>
      </c>
      <c r="O9" s="2">
        <f>IF('Modell einstellen'!$B$1="Voll",J9/0.35,J9/0.35*2)</f>
        <v>-6.0010474285714284E-4</v>
      </c>
      <c r="P9" s="3">
        <f t="shared" si="0"/>
        <v>0.38886469628682918</v>
      </c>
      <c r="Q9" s="3"/>
      <c r="R9" s="3"/>
      <c r="S9" s="3"/>
      <c r="T9" s="3"/>
      <c r="U9" s="3"/>
    </row>
    <row r="10" spans="1:21" x14ac:dyDescent="0.25">
      <c r="A10" s="3">
        <v>1E-8</v>
      </c>
      <c r="B10" s="3">
        <v>-5.3609999999999997E-5</v>
      </c>
      <c r="C10" s="3">
        <v>1.6029999999999999E-4</v>
      </c>
      <c r="D10" s="3">
        <v>-4.214E-4</v>
      </c>
      <c r="E10" s="3">
        <v>0</v>
      </c>
      <c r="F10" s="3">
        <v>0</v>
      </c>
      <c r="G10" s="3">
        <v>0</v>
      </c>
      <c r="H10" s="3">
        <v>4.2538306999999998E-5</v>
      </c>
      <c r="I10" s="3">
        <v>1.4916149999999999E-5</v>
      </c>
      <c r="J10" s="3">
        <v>-1.0743962E-4</v>
      </c>
      <c r="K10" s="2"/>
      <c r="L10" s="3"/>
      <c r="M10" s="3"/>
      <c r="N10" s="2">
        <f>IF('Modell einstellen'!$B$1="Voll",H10/0.35,H10/0.35*2)</f>
        <v>2.4307604E-4</v>
      </c>
      <c r="O10" s="2">
        <f>IF('Modell einstellen'!$B$1="Voll",J10/0.35,J10/0.35*2)</f>
        <v>-6.139406857142858E-4</v>
      </c>
      <c r="P10" s="3">
        <f t="shared" si="0"/>
        <v>0.39592756377954424</v>
      </c>
      <c r="Q10" s="3"/>
      <c r="R10" s="3"/>
      <c r="S10" s="3"/>
      <c r="T10" s="3"/>
      <c r="U10" s="3"/>
    </row>
    <row r="11" spans="1:21" x14ac:dyDescent="0.25">
      <c r="A11" s="3">
        <v>9.9999999999999995E-8</v>
      </c>
      <c r="B11" s="3">
        <v>-6.5840000000000007E-5</v>
      </c>
      <c r="C11" s="3">
        <v>1.638E-4</v>
      </c>
      <c r="D11" s="3">
        <v>-4.1590000000000003E-4</v>
      </c>
      <c r="E11" s="3">
        <v>0</v>
      </c>
      <c r="F11" s="3">
        <v>0</v>
      </c>
      <c r="G11" s="3">
        <v>0</v>
      </c>
      <c r="H11" s="3">
        <v>4.4419258000000002E-5</v>
      </c>
      <c r="I11" s="3">
        <v>1.521228E-5</v>
      </c>
      <c r="J11" s="3">
        <v>-1.1015614E-4</v>
      </c>
      <c r="K11" s="2"/>
      <c r="L11" s="3"/>
      <c r="M11" s="3"/>
      <c r="N11" s="2">
        <f>IF('Modell einstellen'!$B$1="Voll",H11/0.35,H11/0.35*2)</f>
        <v>2.5382433142857148E-4</v>
      </c>
      <c r="O11" s="2">
        <f>IF('Modell einstellen'!$B$1="Voll",J11/0.35,J11/0.35*2)</f>
        <v>-6.2946365714285719E-4</v>
      </c>
      <c r="P11" s="3">
        <f t="shared" si="0"/>
        <v>0.40323905685148376</v>
      </c>
      <c r="Q11" s="3"/>
      <c r="R11" s="3"/>
      <c r="S11" s="3"/>
      <c r="T11" s="3"/>
      <c r="U11" s="3"/>
    </row>
    <row r="12" spans="1:21" x14ac:dyDescent="0.25">
      <c r="A12" s="3">
        <v>9.9999999999999995E-7</v>
      </c>
      <c r="B12" s="3">
        <v>-7.9450000000000007E-5</v>
      </c>
      <c r="C12" s="3">
        <v>1.6579999999999999E-4</v>
      </c>
      <c r="D12" s="3">
        <v>-4.0739999999999998E-4</v>
      </c>
      <c r="E12" s="3">
        <v>0</v>
      </c>
      <c r="F12" s="3">
        <v>0</v>
      </c>
      <c r="G12" s="3">
        <v>0</v>
      </c>
      <c r="H12" s="3">
        <v>4.6329068000000002E-5</v>
      </c>
      <c r="I12" s="3">
        <v>1.5426820000000001E-5</v>
      </c>
      <c r="J12" s="3">
        <v>-1.1274351E-4</v>
      </c>
      <c r="K12" s="2"/>
      <c r="L12" s="3"/>
      <c r="M12" s="3"/>
      <c r="N12" s="2">
        <f>IF('Modell einstellen'!$B$1="Voll",H12/0.35,H12/0.35*2)</f>
        <v>2.6473753142857147E-4</v>
      </c>
      <c r="O12" s="2">
        <f>IF('Modell einstellen'!$B$1="Voll",J12/0.35,J12/0.35*2)</f>
        <v>-6.4424862857142857E-4</v>
      </c>
      <c r="P12" s="3">
        <f t="shared" si="0"/>
        <v>0.41092447804756133</v>
      </c>
      <c r="Q12" s="3"/>
      <c r="R12" s="3"/>
      <c r="S12" s="3"/>
      <c r="T12" s="3"/>
      <c r="U12" s="3"/>
    </row>
    <row r="13" spans="1:21" x14ac:dyDescent="0.25">
      <c r="A13" s="3">
        <v>1.0000000000000001E-5</v>
      </c>
      <c r="B13" s="3">
        <v>-9.6069999999999993E-5</v>
      </c>
      <c r="C13" s="3">
        <v>1.693E-4</v>
      </c>
      <c r="D13" s="3">
        <v>-3.9780000000000002E-4</v>
      </c>
      <c r="E13" s="3">
        <v>0</v>
      </c>
      <c r="F13" s="3">
        <v>0</v>
      </c>
      <c r="G13" s="3">
        <v>0</v>
      </c>
      <c r="H13" s="3">
        <v>4.8647309999999998E-5</v>
      </c>
      <c r="I13" s="3">
        <v>1.5735118E-5</v>
      </c>
      <c r="J13" s="3">
        <v>-1.1594845E-4</v>
      </c>
      <c r="K13" s="2"/>
      <c r="L13" s="3"/>
      <c r="M13" s="3"/>
      <c r="N13" s="2">
        <f>IF('Modell einstellen'!$B$1="Voll",H13/0.35,H13/0.35*2)</f>
        <v>2.7798462857142858E-4</v>
      </c>
      <c r="O13" s="2">
        <f>IF('Modell einstellen'!$B$1="Voll",J13/0.35,J13/0.35*2)</f>
        <v>-6.6256257142857146E-4</v>
      </c>
      <c r="P13" s="3">
        <f t="shared" si="0"/>
        <v>0.41955981300310613</v>
      </c>
      <c r="Q13" s="3"/>
      <c r="R13" s="3"/>
      <c r="S13" s="3"/>
      <c r="T13" s="3"/>
      <c r="U13" s="3"/>
    </row>
    <row r="14" spans="1:21" x14ac:dyDescent="0.25">
      <c r="A14" s="3">
        <v>1E-4</v>
      </c>
      <c r="B14" s="3">
        <v>-1.194E-4</v>
      </c>
      <c r="C14" s="3">
        <v>1.729E-4</v>
      </c>
      <c r="D14" s="3">
        <v>-3.8230000000000002E-4</v>
      </c>
      <c r="E14" s="3">
        <v>0</v>
      </c>
      <c r="F14" s="3">
        <v>0</v>
      </c>
      <c r="G14" s="3">
        <v>0</v>
      </c>
      <c r="H14" s="3">
        <v>5.1709384E-5</v>
      </c>
      <c r="I14" s="3">
        <v>1.6076037000000001E-5</v>
      </c>
      <c r="J14" s="3">
        <v>-1.2002890000000001E-4</v>
      </c>
      <c r="K14" s="2"/>
      <c r="L14" s="3"/>
      <c r="M14" s="3"/>
      <c r="N14" s="2">
        <f>IF('Modell einstellen'!$B$1="Voll",H14/0.35,H14/0.35*2)</f>
        <v>2.9548219428571432E-4</v>
      </c>
      <c r="O14" s="2">
        <f>IF('Modell einstellen'!$B$1="Voll",J14/0.35,J14/0.35*2)</f>
        <v>-6.858794285714287E-4</v>
      </c>
      <c r="P14" s="3">
        <f t="shared" si="0"/>
        <v>0.43080778045953932</v>
      </c>
      <c r="Q14" s="3"/>
      <c r="R14" s="3"/>
      <c r="S14" s="3"/>
      <c r="T14" s="3"/>
      <c r="U14" s="3"/>
    </row>
    <row r="15" spans="1:21" x14ac:dyDescent="0.25">
      <c r="A15" s="3">
        <v>1E-3</v>
      </c>
      <c r="B15" s="3">
        <v>-1.485E-4</v>
      </c>
      <c r="C15" s="3">
        <v>1.7670000000000001E-4</v>
      </c>
      <c r="D15" s="3">
        <v>-3.6160000000000001E-4</v>
      </c>
      <c r="E15" s="3">
        <v>0</v>
      </c>
      <c r="F15" s="3">
        <v>0</v>
      </c>
      <c r="G15" s="3">
        <v>0</v>
      </c>
      <c r="H15" s="3">
        <v>5.5323639E-5</v>
      </c>
      <c r="I15" s="3">
        <v>1.6440010999999999E-5</v>
      </c>
      <c r="J15" s="3">
        <v>-1.2472954E-4</v>
      </c>
      <c r="K15" s="2"/>
      <c r="L15" s="3"/>
      <c r="M15" s="3"/>
      <c r="N15" s="2">
        <f>IF('Modell einstellen'!$B$1="Voll",H15/0.35,H15/0.35*2)</f>
        <v>3.1613508E-4</v>
      </c>
      <c r="O15" s="2">
        <f>IF('Modell einstellen'!$B$1="Voll",J15/0.35,J15/0.35*2)</f>
        <v>-7.1274022857142861E-4</v>
      </c>
      <c r="P15" s="3">
        <f t="shared" si="0"/>
        <v>0.44354880968854687</v>
      </c>
      <c r="Q15" s="3"/>
      <c r="R15" s="3"/>
      <c r="S15" s="3"/>
      <c r="T15" s="3"/>
      <c r="U15" s="3"/>
    </row>
    <row r="16" spans="1:21" x14ac:dyDescent="0.25">
      <c r="A16" s="3">
        <v>0.01</v>
      </c>
      <c r="B16" s="3">
        <v>-1.7809999999999999E-4</v>
      </c>
      <c r="C16" s="3">
        <v>1.8009999999999999E-4</v>
      </c>
      <c r="D16" s="3">
        <v>-3.3940000000000001E-4</v>
      </c>
      <c r="E16" s="3">
        <v>0</v>
      </c>
      <c r="F16" s="3">
        <v>0</v>
      </c>
      <c r="G16" s="3">
        <v>0</v>
      </c>
      <c r="H16" s="3">
        <v>5.8829692999999998E-5</v>
      </c>
      <c r="I16" s="3">
        <v>1.6760305999999999E-5</v>
      </c>
      <c r="J16" s="3">
        <v>-1.2918799000000001E-4</v>
      </c>
      <c r="K16" s="2"/>
      <c r="L16" s="3"/>
      <c r="M16" s="3"/>
      <c r="N16" s="2">
        <f>IF('Modell einstellen'!$B$1="Voll",H16/0.35,H16/0.35*2)</f>
        <v>3.3616967428571427E-4</v>
      </c>
      <c r="O16" s="2">
        <f>IF('Modell einstellen'!$B$1="Voll",J16/0.35,J16/0.35*2)</f>
        <v>-7.3821708571428582E-4</v>
      </c>
      <c r="P16" s="3">
        <f t="shared" si="0"/>
        <v>0.45538051176429006</v>
      </c>
      <c r="Q16" s="3"/>
      <c r="R16" s="3"/>
      <c r="S16" s="3"/>
      <c r="T16" s="3"/>
      <c r="U16" s="3"/>
    </row>
    <row r="17" spans="1:21" x14ac:dyDescent="0.25">
      <c r="A17" s="3">
        <v>0.1</v>
      </c>
      <c r="B17" s="3">
        <v>-2.0790000000000001E-4</v>
      </c>
      <c r="C17" s="3">
        <v>1.8330000000000001E-4</v>
      </c>
      <c r="D17" s="3">
        <v>-3.1629999999999999E-4</v>
      </c>
      <c r="E17" s="3">
        <v>0</v>
      </c>
      <c r="F17" s="3">
        <v>0</v>
      </c>
      <c r="G17" s="3">
        <v>0</v>
      </c>
      <c r="H17" s="3">
        <v>6.2270471E-5</v>
      </c>
      <c r="I17" s="3">
        <v>1.7066645E-5</v>
      </c>
      <c r="J17" s="3">
        <v>-1.3351509E-4</v>
      </c>
      <c r="K17" s="2"/>
      <c r="L17" s="3"/>
      <c r="M17" s="3"/>
      <c r="N17" s="2">
        <f>IF('Modell einstellen'!$B$1="Voll",H17/0.35,H17/0.35*2)</f>
        <v>3.5583126285714287E-4</v>
      </c>
      <c r="O17" s="2">
        <f>IF('Modell einstellen'!$B$1="Voll",J17/0.35,J17/0.35*2)</f>
        <v>-7.6294337142857147E-4</v>
      </c>
      <c r="P17" s="3">
        <f t="shared" si="0"/>
        <v>0.46639275755272308</v>
      </c>
      <c r="Q17" s="3"/>
      <c r="R17" s="3"/>
      <c r="S17" s="3"/>
      <c r="T17" s="3"/>
      <c r="U17" s="3"/>
    </row>
    <row r="18" spans="1:21" x14ac:dyDescent="0.25">
      <c r="A18" s="3">
        <v>1</v>
      </c>
      <c r="B18" s="3">
        <v>-2.385E-4</v>
      </c>
      <c r="C18" s="3">
        <v>1.8770000000000001E-4</v>
      </c>
      <c r="D18" s="3">
        <v>-2.9329999999999997E-4</v>
      </c>
      <c r="E18" s="3">
        <v>0</v>
      </c>
      <c r="F18" s="3">
        <v>0</v>
      </c>
      <c r="G18" s="3">
        <v>0</v>
      </c>
      <c r="H18" s="3">
        <v>6.6252336999999997E-5</v>
      </c>
      <c r="I18" s="3">
        <v>1.758357E-5</v>
      </c>
      <c r="J18" s="3">
        <v>-1.3876339000000001E-4</v>
      </c>
      <c r="K18" s="2"/>
      <c r="L18" s="3"/>
      <c r="M18" s="3"/>
      <c r="N18" s="2">
        <f>IF('Modell einstellen'!$B$1="Voll",H18/0.35,H18/0.35*2)</f>
        <v>3.7858478285714289E-4</v>
      </c>
      <c r="O18" s="2">
        <f>IF('Modell einstellen'!$B$1="Voll",J18/0.35,J18/0.35*2)</f>
        <v>-7.9293365714285728E-4</v>
      </c>
      <c r="P18" s="3">
        <f t="shared" si="0"/>
        <v>0.47744824481442832</v>
      </c>
      <c r="Q18" s="3"/>
      <c r="R18" s="3"/>
      <c r="S18" s="3"/>
      <c r="T18" s="3"/>
      <c r="U18" s="3"/>
    </row>
    <row r="19" spans="1:21" x14ac:dyDescent="0.25">
      <c r="A19" s="3">
        <v>10</v>
      </c>
      <c r="B19" s="3">
        <v>-2.4489999999999999E-4</v>
      </c>
      <c r="C19" s="3">
        <v>2.0120000000000001E-4</v>
      </c>
      <c r="D19" s="3">
        <v>-2.9950000000000002E-4</v>
      </c>
      <c r="E19" s="3">
        <v>0</v>
      </c>
      <c r="F19" s="3">
        <v>0</v>
      </c>
      <c r="G19" s="3">
        <v>0</v>
      </c>
      <c r="H19" s="3">
        <v>7.1722228999999995E-5</v>
      </c>
      <c r="I19" s="3">
        <v>1.9672084E-5</v>
      </c>
      <c r="J19" s="3">
        <v>-1.4830510999999999E-4</v>
      </c>
      <c r="K19" s="2"/>
      <c r="L19" s="3"/>
      <c r="M19" s="3"/>
      <c r="N19" s="2">
        <f>IF('Modell einstellen'!$B$1="Voll",H19/0.35,H19/0.35*2)</f>
        <v>4.0984130857142859E-4</v>
      </c>
      <c r="O19" s="2">
        <f>IF('Modell einstellen'!$B$1="Voll",J19/0.35,J19/0.35*2)</f>
        <v>-8.4745777142857144E-4</v>
      </c>
      <c r="P19" s="3">
        <f t="shared" si="0"/>
        <v>0.48361266176195816</v>
      </c>
      <c r="Q19" s="3"/>
      <c r="R19" s="3"/>
      <c r="S19" s="3"/>
      <c r="T19" s="3"/>
      <c r="U19" s="3"/>
    </row>
    <row r="20" spans="1:21" x14ac:dyDescent="0.25">
      <c r="A20" s="3">
        <v>100</v>
      </c>
      <c r="B20" s="3">
        <v>-1.6860000000000001E-4</v>
      </c>
      <c r="C20" s="3">
        <v>2.4220000000000001E-4</v>
      </c>
      <c r="D20" s="3">
        <v>-4.0319999999999999E-4</v>
      </c>
      <c r="E20" s="3">
        <v>0</v>
      </c>
      <c r="F20" s="3">
        <v>0</v>
      </c>
      <c r="G20" s="3">
        <v>0</v>
      </c>
      <c r="H20" s="3">
        <v>8.1818194000000006E-5</v>
      </c>
      <c r="I20" s="3">
        <v>2.7095451000000001E-5</v>
      </c>
      <c r="J20" s="3">
        <v>-1.7212451E-4</v>
      </c>
      <c r="K20" s="2"/>
      <c r="L20" s="3"/>
      <c r="M20" s="3"/>
      <c r="N20" s="2">
        <f>IF('Modell einstellen'!$B$1="Voll",H20/0.35,H20/0.35*2)</f>
        <v>4.6753253714285721E-4</v>
      </c>
      <c r="O20" s="2">
        <f>IF('Modell einstellen'!$B$1="Voll",J20/0.35,J20/0.35*2)</f>
        <v>-9.8356862857142862E-4</v>
      </c>
      <c r="P20" s="3">
        <f t="shared" si="0"/>
        <v>0.47534307577694779</v>
      </c>
      <c r="Q20" s="3"/>
      <c r="R20" s="3"/>
      <c r="S20" s="3"/>
      <c r="T20" s="3"/>
      <c r="U20" s="3"/>
    </row>
    <row r="21" spans="1:21" x14ac:dyDescent="0.25">
      <c r="A21" s="3">
        <v>1000</v>
      </c>
      <c r="B21" s="3">
        <v>-1.327E-5</v>
      </c>
      <c r="C21" s="3">
        <v>3.19E-4</v>
      </c>
      <c r="D21" s="3">
        <v>-6.1039999999999998E-4</v>
      </c>
      <c r="E21" s="3">
        <v>0</v>
      </c>
      <c r="F21" s="3">
        <v>0</v>
      </c>
      <c r="G21" s="3">
        <v>0</v>
      </c>
      <c r="H21" s="3">
        <v>9.6433594999999997E-5</v>
      </c>
      <c r="I21" s="3">
        <v>4.0630665999999997E-5</v>
      </c>
      <c r="J21" s="3">
        <v>-2.1173382E-4</v>
      </c>
      <c r="K21" s="2"/>
      <c r="L21" s="3"/>
      <c r="M21" s="3"/>
      <c r="N21" s="2">
        <f>IF('Modell einstellen'!$B$1="Voll",H21/0.35,H21/0.35*2)</f>
        <v>5.5104911428571432E-4</v>
      </c>
      <c r="O21" s="2">
        <f>IF('Modell einstellen'!$B$1="Voll",J21/0.35,J21/0.35*2)</f>
        <v>-1.209907542857143E-3</v>
      </c>
      <c r="P21" s="3">
        <f t="shared" si="0"/>
        <v>0.45544729226535463</v>
      </c>
      <c r="Q21" s="3"/>
      <c r="R21" s="3"/>
      <c r="S21" s="3"/>
      <c r="T21" s="3"/>
      <c r="U21" s="3"/>
    </row>
    <row r="22" spans="1:21" x14ac:dyDescent="0.25">
      <c r="A22" s="3">
        <v>10000</v>
      </c>
      <c r="B22" s="3">
        <v>1.6320000000000001E-4</v>
      </c>
      <c r="C22" s="3">
        <v>4.2180000000000001E-4</v>
      </c>
      <c r="D22" s="3">
        <v>-8.6350000000000001E-4</v>
      </c>
      <c r="E22" s="3">
        <v>0</v>
      </c>
      <c r="F22" s="3">
        <v>0</v>
      </c>
      <c r="G22" s="3">
        <v>0</v>
      </c>
      <c r="H22" s="3">
        <v>1.1363693000000001E-4</v>
      </c>
      <c r="I22" s="3">
        <v>5.7565536999999998E-5</v>
      </c>
      <c r="J22" s="3">
        <v>-2.6052300999999999E-4</v>
      </c>
      <c r="K22" s="2"/>
      <c r="L22" s="3"/>
      <c r="M22" s="3"/>
      <c r="N22" s="2">
        <f>IF('Modell einstellen'!$B$1="Voll",H22/0.35,H22/0.35*2)</f>
        <v>6.4935388571428574E-4</v>
      </c>
      <c r="O22" s="2">
        <f>IF('Modell einstellen'!$B$1="Voll",J22/0.35,J22/0.35*2)</f>
        <v>-1.4887029142857144E-3</v>
      </c>
      <c r="P22" s="3">
        <f t="shared" si="0"/>
        <v>0.43618769029269239</v>
      </c>
      <c r="Q22" s="3"/>
      <c r="R22" s="3"/>
      <c r="S22" s="3"/>
      <c r="T22" s="3"/>
      <c r="U22" s="3"/>
    </row>
    <row r="23" spans="1:21" x14ac:dyDescent="0.25">
      <c r="A23" s="3">
        <v>100000</v>
      </c>
      <c r="B23" s="3">
        <v>3.2739999999999999E-4</v>
      </c>
      <c r="C23" s="3">
        <v>5.4160000000000005E-4</v>
      </c>
      <c r="D23" s="3">
        <v>-1.1249999999999999E-3</v>
      </c>
      <c r="E23" s="3">
        <v>0</v>
      </c>
      <c r="F23" s="3">
        <v>0</v>
      </c>
      <c r="G23" s="3">
        <v>0</v>
      </c>
      <c r="H23" s="3">
        <v>1.3208501000000001E-4</v>
      </c>
      <c r="I23" s="3">
        <v>7.6267184999999999E-5</v>
      </c>
      <c r="J23" s="3">
        <v>-3.1426904E-4</v>
      </c>
      <c r="K23" s="2"/>
      <c r="L23" s="3"/>
      <c r="M23" s="3"/>
      <c r="N23" s="2">
        <f>IF('Modell einstellen'!$B$1="Voll",H23/0.35,H23/0.35*2)</f>
        <v>7.5477148571428585E-4</v>
      </c>
      <c r="O23" s="2">
        <f>IF('Modell einstellen'!$B$1="Voll",J23/0.35,J23/0.35*2)</f>
        <v>-1.7958230857142859E-3</v>
      </c>
      <c r="P23" s="3">
        <f t="shared" si="0"/>
        <v>0.42029278480629212</v>
      </c>
      <c r="Q23" s="3"/>
      <c r="R23" s="3"/>
      <c r="S23" s="3"/>
      <c r="T23" s="3"/>
      <c r="U23" s="3"/>
    </row>
    <row r="24" spans="1:21" x14ac:dyDescent="0.25">
      <c r="A24" s="3">
        <v>1000000</v>
      </c>
      <c r="B24" s="3">
        <v>4.6640000000000001E-4</v>
      </c>
      <c r="C24" s="3">
        <v>6.7909999999999997E-4</v>
      </c>
      <c r="D24" s="3">
        <v>-1.384E-3</v>
      </c>
      <c r="E24" s="3">
        <v>0</v>
      </c>
      <c r="F24" s="3">
        <v>0</v>
      </c>
      <c r="G24" s="3">
        <v>0</v>
      </c>
      <c r="H24" s="3">
        <v>1.5297606000000001E-4</v>
      </c>
      <c r="I24" s="3">
        <v>9.7299723999999998E-5</v>
      </c>
      <c r="J24" s="3">
        <v>-3.7530395000000001E-4</v>
      </c>
      <c r="K24" s="2"/>
      <c r="L24" s="3"/>
      <c r="M24" s="3"/>
      <c r="N24" s="2">
        <f>IF('Modell einstellen'!$B$1="Voll",H24/0.35,H24/0.35*2)</f>
        <v>8.7414891428571446E-4</v>
      </c>
      <c r="O24" s="2">
        <f>IF('Modell einstellen'!$B$1="Voll",J24/0.35,J24/0.35*2)</f>
        <v>-2.1445940000000001E-3</v>
      </c>
      <c r="P24" s="3">
        <f t="shared" si="0"/>
        <v>0.4076057819268889</v>
      </c>
      <c r="Q24" s="3"/>
      <c r="R24" s="3"/>
      <c r="S24" s="3"/>
      <c r="T24" s="3"/>
      <c r="U24" s="3"/>
    </row>
    <row r="25" spans="1:21" x14ac:dyDescent="0.25">
      <c r="A25" s="3">
        <v>10000000</v>
      </c>
      <c r="B25" s="3">
        <v>5.8500000000000002E-4</v>
      </c>
      <c r="C25" s="3">
        <v>8.4460000000000004E-4</v>
      </c>
      <c r="D25" s="3">
        <v>-1.6540000000000001E-3</v>
      </c>
      <c r="E25" s="3">
        <v>0</v>
      </c>
      <c r="F25" s="3">
        <v>0</v>
      </c>
      <c r="G25" s="3">
        <v>0</v>
      </c>
      <c r="H25" s="3">
        <v>1.7953859E-4</v>
      </c>
      <c r="I25" s="3">
        <v>1.2295540999999999E-4</v>
      </c>
      <c r="J25" s="3">
        <v>-4.5122348999999999E-4</v>
      </c>
      <c r="K25" s="2"/>
      <c r="L25" s="3"/>
      <c r="M25" s="3"/>
      <c r="N25" s="2">
        <f>IF('Modell einstellen'!$B$1="Voll",H25/0.35,H25/0.35*2)</f>
        <v>1.0259348000000001E-3</v>
      </c>
      <c r="O25" s="2">
        <f>IF('Modell einstellen'!$B$1="Voll",J25/0.35,J25/0.35*2)</f>
        <v>-2.5784199428571428E-3</v>
      </c>
      <c r="P25" s="3">
        <f t="shared" si="0"/>
        <v>0.397892826900479</v>
      </c>
      <c r="Q25" s="3"/>
      <c r="R25" s="3"/>
      <c r="S25" s="3"/>
      <c r="T25" s="3"/>
      <c r="U25" s="3"/>
    </row>
    <row r="26" spans="1:21" x14ac:dyDescent="0.25">
      <c r="A26" s="3">
        <v>100000000</v>
      </c>
      <c r="B26" s="3">
        <v>6.9819999999999995E-4</v>
      </c>
      <c r="C26" s="3">
        <v>1.0690000000000001E-3</v>
      </c>
      <c r="D26" s="3">
        <v>-1.9810000000000001E-3</v>
      </c>
      <c r="E26" s="3">
        <v>0</v>
      </c>
      <c r="F26" s="3">
        <v>0</v>
      </c>
      <c r="G26" s="3">
        <v>0</v>
      </c>
      <c r="H26" s="3">
        <v>2.1964441E-4</v>
      </c>
      <c r="I26" s="3">
        <v>1.5930299E-4</v>
      </c>
      <c r="J26" s="3">
        <v>-5.6153240999999999E-4</v>
      </c>
      <c r="K26" s="2"/>
      <c r="L26" s="3"/>
      <c r="M26" s="3"/>
      <c r="N26" s="2">
        <f>IF('Modell einstellen'!$B$1="Voll",H26/0.35,H26/0.35*2)</f>
        <v>1.2551109142857144E-3</v>
      </c>
      <c r="O26" s="2">
        <f>IF('Modell einstellen'!$B$1="Voll",J26/0.35,J26/0.35*2)</f>
        <v>-3.2087566285714285E-3</v>
      </c>
      <c r="P26" s="3">
        <f t="shared" si="0"/>
        <v>0.39115179478242412</v>
      </c>
      <c r="Q26" s="3"/>
      <c r="R26" s="3"/>
      <c r="S26" s="3"/>
      <c r="T26" s="3"/>
      <c r="U26" s="3"/>
    </row>
    <row r="27" spans="1:21" x14ac:dyDescent="0.25">
      <c r="A27" s="3">
        <v>1000000000</v>
      </c>
      <c r="B27" s="3">
        <v>8.3290000000000002E-4</v>
      </c>
      <c r="C27" s="3">
        <v>1.4220000000000001E-3</v>
      </c>
      <c r="D27" s="3">
        <v>-2.457E-3</v>
      </c>
      <c r="E27" s="3">
        <v>0</v>
      </c>
      <c r="F27" s="3">
        <v>0</v>
      </c>
      <c r="G27" s="3">
        <v>0</v>
      </c>
      <c r="H27" s="3">
        <v>2.8732140999999998E-4</v>
      </c>
      <c r="I27" s="3">
        <v>2.1822770999999999E-4</v>
      </c>
      <c r="J27" s="3">
        <v>-7.4294148000000003E-4</v>
      </c>
      <c r="K27" s="2"/>
      <c r="L27" s="3"/>
      <c r="M27" s="3"/>
      <c r="N27" s="2">
        <f>IF('Modell einstellen'!$B$1="Voll",H27/0.35,H27/0.35*2)</f>
        <v>1.6418366285714287E-3</v>
      </c>
      <c r="O27" s="2">
        <f>IF('Modell einstellen'!$B$1="Voll",J27/0.35,J27/0.35*2)</f>
        <v>-4.2453798857142863E-3</v>
      </c>
      <c r="P27" s="3">
        <f t="shared" si="0"/>
        <v>0.38673491484147576</v>
      </c>
      <c r="Q27" s="3"/>
      <c r="R27" s="3"/>
      <c r="S27" s="3"/>
      <c r="T27" s="3"/>
      <c r="U27" s="3"/>
    </row>
    <row r="28" spans="1:21" x14ac:dyDescent="0.25">
      <c r="A28" s="3">
        <v>10000000000</v>
      </c>
      <c r="B28" s="3">
        <v>1.0120000000000001E-3</v>
      </c>
      <c r="C28" s="3">
        <v>1.9889999999999999E-3</v>
      </c>
      <c r="D28" s="3">
        <v>-3.192E-3</v>
      </c>
      <c r="E28" s="3">
        <v>0</v>
      </c>
      <c r="F28" s="3">
        <v>0</v>
      </c>
      <c r="G28" s="3">
        <v>0</v>
      </c>
      <c r="H28" s="3">
        <v>4.0381200999999999E-4</v>
      </c>
      <c r="I28" s="3">
        <v>3.1715372999999999E-4</v>
      </c>
      <c r="J28" s="3">
        <v>-1.0496266999999999E-3</v>
      </c>
      <c r="K28" s="2"/>
      <c r="L28" s="3"/>
      <c r="M28" s="3"/>
      <c r="N28" s="2">
        <f>IF('Modell einstellen'!$B$1="Voll",H28/0.35,H28/0.35*2)</f>
        <v>2.3074972E-3</v>
      </c>
      <c r="O28" s="2">
        <f>IF('Modell einstellen'!$B$1="Voll",J28/0.35,J28/0.35*2)</f>
        <v>-5.9978668571428568E-3</v>
      </c>
      <c r="P28" s="3">
        <f t="shared" si="0"/>
        <v>0.38471964365997935</v>
      </c>
      <c r="Q28" s="3"/>
      <c r="R28" s="3"/>
      <c r="S28" s="3"/>
      <c r="T28" s="3"/>
      <c r="U28" s="3"/>
    </row>
    <row r="29" spans="1:21" x14ac:dyDescent="0.25">
      <c r="A29" s="3">
        <v>100000000000</v>
      </c>
      <c r="B29" s="3">
        <v>1.273E-3</v>
      </c>
      <c r="C29" s="3">
        <v>2.8440000000000002E-3</v>
      </c>
      <c r="D29" s="3">
        <v>-4.2960000000000003E-3</v>
      </c>
      <c r="E29" s="3">
        <v>0</v>
      </c>
      <c r="F29" s="3">
        <v>0</v>
      </c>
      <c r="G29" s="3">
        <v>0</v>
      </c>
      <c r="H29" s="3">
        <v>5.8575778000000004E-4</v>
      </c>
      <c r="I29" s="3">
        <v>4.7072450000000001E-4</v>
      </c>
      <c r="J29" s="3">
        <v>-1.5249568999999999E-3</v>
      </c>
      <c r="K29" s="2"/>
      <c r="L29" s="3"/>
      <c r="M29" s="3"/>
      <c r="N29" s="2">
        <f>IF('Modell einstellen'!$B$1="Voll",H29/0.35,H29/0.35*2)</f>
        <v>3.3471873142857148E-3</v>
      </c>
      <c r="O29" s="2">
        <f>IF('Modell einstellen'!$B$1="Voll",J29/0.35,J29/0.35*2)</f>
        <v>-8.7140394285714282E-3</v>
      </c>
      <c r="P29" s="3">
        <f t="shared" si="0"/>
        <v>0.38411431824728953</v>
      </c>
      <c r="Q29" s="3"/>
      <c r="R29" s="3"/>
      <c r="S29" s="3"/>
      <c r="T29" s="3"/>
      <c r="U29" s="3"/>
    </row>
    <row r="30" spans="1:21" x14ac:dyDescent="0.25">
      <c r="A30" s="3">
        <v>1000000000000</v>
      </c>
      <c r="B30" s="3">
        <v>1.64E-3</v>
      </c>
      <c r="C30" s="3">
        <v>3.9129999999999998E-3</v>
      </c>
      <c r="D30" s="3">
        <v>-5.7219999999999997E-3</v>
      </c>
      <c r="E30" s="3">
        <v>0</v>
      </c>
      <c r="F30" s="3">
        <v>0</v>
      </c>
      <c r="G30" s="3">
        <v>0</v>
      </c>
      <c r="H30" s="3">
        <v>8.1835497000000001E-4</v>
      </c>
      <c r="I30" s="3">
        <v>6.6734442E-4</v>
      </c>
      <c r="J30" s="3">
        <v>-2.1301134E-3</v>
      </c>
      <c r="K30" s="2"/>
      <c r="L30" s="3"/>
      <c r="M30" s="3"/>
      <c r="N30" s="2">
        <f>IF('Modell einstellen'!$B$1="Voll",H30/0.35,H30/0.35*2)</f>
        <v>4.6763141142857146E-3</v>
      </c>
      <c r="O30" s="2">
        <f>IF('Modell einstellen'!$B$1="Voll",J30/0.35,J30/0.35*2)</f>
        <v>-1.2172076571428572E-2</v>
      </c>
      <c r="P30" s="3">
        <f t="shared" si="0"/>
        <v>0.38418375754079576</v>
      </c>
      <c r="Q30" s="3"/>
      <c r="R30" s="3"/>
      <c r="S30" s="3"/>
      <c r="T30" s="3"/>
      <c r="U30" s="3"/>
    </row>
    <row r="31" spans="1:21" x14ac:dyDescent="0.25">
      <c r="A31" s="3">
        <v>10000000000000</v>
      </c>
      <c r="B31" s="3">
        <v>2.042E-3</v>
      </c>
      <c r="C31" s="3">
        <v>4.8690000000000001E-3</v>
      </c>
      <c r="D31" s="3">
        <v>-7.0740000000000004E-3</v>
      </c>
      <c r="E31" s="3">
        <v>0</v>
      </c>
      <c r="F31" s="3">
        <v>0</v>
      </c>
      <c r="G31" s="3">
        <v>0</v>
      </c>
      <c r="H31" s="3">
        <v>1.0265922000000001E-3</v>
      </c>
      <c r="I31" s="3">
        <v>8.4551804999999998E-4</v>
      </c>
      <c r="J31" s="3">
        <v>-2.6731347E-3</v>
      </c>
      <c r="K31" s="2"/>
      <c r="L31" s="3"/>
      <c r="M31" s="3"/>
      <c r="N31" s="2">
        <f>IF('Modell einstellen'!$B$1="Voll",H31/0.35,H31/0.35*2)</f>
        <v>5.866241142857144E-3</v>
      </c>
      <c r="O31" s="2">
        <f>IF('Modell einstellen'!$B$1="Voll",J31/0.35,J31/0.35*2)</f>
        <v>-1.5275055428571429E-2</v>
      </c>
      <c r="P31" s="3">
        <f t="shared" si="0"/>
        <v>0.38404057977325279</v>
      </c>
      <c r="Q31" s="3"/>
      <c r="R31" s="3"/>
      <c r="S31" s="3"/>
      <c r="T31" s="3"/>
      <c r="U31" s="3"/>
    </row>
    <row r="32" spans="1:21" x14ac:dyDescent="0.25">
      <c r="A32" s="3">
        <v>100000000000000</v>
      </c>
      <c r="B32" s="3">
        <v>2.385E-3</v>
      </c>
      <c r="C32" s="3">
        <v>5.555E-3</v>
      </c>
      <c r="D32" s="3">
        <v>-8.0990000000000003E-3</v>
      </c>
      <c r="E32" s="3">
        <v>0</v>
      </c>
      <c r="F32" s="3">
        <v>0</v>
      </c>
      <c r="G32" s="3">
        <v>0</v>
      </c>
      <c r="H32" s="3">
        <v>1.1741570999999999E-3</v>
      </c>
      <c r="I32" s="3">
        <v>9.7377570999999995E-4</v>
      </c>
      <c r="J32" s="3">
        <v>-3.0600998E-3</v>
      </c>
      <c r="K32" s="2"/>
      <c r="L32" s="3"/>
      <c r="M32" s="3"/>
      <c r="N32" s="2">
        <f>IF('Modell einstellen'!$B$1="Voll",H32/0.35,H32/0.35*2)</f>
        <v>6.7094691428571428E-3</v>
      </c>
      <c r="O32" s="2">
        <f>IF('Modell einstellen'!$B$1="Voll",J32/0.35,J32/0.35*2)</f>
        <v>-1.7486284571428572E-2</v>
      </c>
      <c r="P32" s="3">
        <f t="shared" si="0"/>
        <v>0.38369895648501395</v>
      </c>
      <c r="Q32" s="3"/>
      <c r="R32" s="3"/>
      <c r="S32" s="3"/>
      <c r="T32" s="3"/>
      <c r="U32" s="3"/>
    </row>
    <row r="33" spans="1:21" x14ac:dyDescent="0.25">
      <c r="A33" s="2">
        <v>1000000000000000</v>
      </c>
      <c r="B33" s="3">
        <v>2.6289999999999998E-3</v>
      </c>
      <c r="C33" s="3">
        <v>5.9829999999999996E-3</v>
      </c>
      <c r="D33" s="3">
        <v>-8.7679999999999998E-3</v>
      </c>
      <c r="E33" s="3">
        <v>0</v>
      </c>
      <c r="F33" s="3">
        <v>0</v>
      </c>
      <c r="G33" s="3">
        <v>0</v>
      </c>
      <c r="H33" s="3">
        <v>1.2640703000000001E-3</v>
      </c>
      <c r="I33" s="3">
        <v>1.0533038000000001E-3</v>
      </c>
      <c r="J33" s="3">
        <v>-3.297814E-3</v>
      </c>
      <c r="K33" s="2"/>
      <c r="L33" s="3"/>
      <c r="M33" s="3"/>
      <c r="N33" s="2">
        <f>IF('Modell einstellen'!$B$1="Voll",H33/0.35,H33/0.35*2)</f>
        <v>7.2232588571428582E-3</v>
      </c>
      <c r="O33" s="2">
        <f>IF('Modell einstellen'!$B$1="Voll",J33/0.35,J33/0.35*2)</f>
        <v>-1.8844651428571429E-2</v>
      </c>
      <c r="P33" s="3">
        <f t="shared" si="0"/>
        <v>0.38330551692727372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-4.5890000000000003E-5</v>
      </c>
      <c r="C3" s="3">
        <v>1.639E-4</v>
      </c>
      <c r="D3" s="3">
        <v>-4.3120000000000002E-4</v>
      </c>
      <c r="E3" s="3">
        <v>0</v>
      </c>
      <c r="F3" s="3">
        <v>0</v>
      </c>
      <c r="G3" s="3">
        <v>0</v>
      </c>
      <c r="H3" s="3">
        <v>4.2833917000000003E-5</v>
      </c>
      <c r="I3" s="3">
        <v>1.5370814E-5</v>
      </c>
      <c r="J3" s="3">
        <v>-1.0863953E-4</v>
      </c>
      <c r="L3" s="3">
        <f>-B3/D3</f>
        <v>-0.10642393320964749</v>
      </c>
      <c r="M3" s="3"/>
      <c r="N3" s="2">
        <f>IF('Modell einstellen'!$B$1="Voll",H3/0.35,H3/0.35*2)</f>
        <v>2.4476524000000005E-4</v>
      </c>
      <c r="O3" s="2">
        <f>IF('Modell einstellen'!$B$1="Voll",J3/0.35,J3/0.35*2)</f>
        <v>-6.2079731428571429E-4</v>
      </c>
      <c r="P3" s="3">
        <f>-N3/O3</f>
        <v>0.39427561036024372</v>
      </c>
    </row>
    <row r="4" spans="1:16" x14ac:dyDescent="0.25">
      <c r="A4" s="3">
        <v>1E-14</v>
      </c>
      <c r="B4" s="3">
        <v>-6.1500000000000004E-5</v>
      </c>
      <c r="C4" s="3">
        <v>1.6660000000000001E-4</v>
      </c>
      <c r="D4" s="3">
        <v>-4.2230000000000002E-4</v>
      </c>
      <c r="E4" s="3">
        <v>0</v>
      </c>
      <c r="F4" s="3">
        <v>0</v>
      </c>
      <c r="G4" s="3">
        <v>0</v>
      </c>
      <c r="H4" s="3">
        <v>4.5168784000000003E-5</v>
      </c>
      <c r="I4" s="3">
        <v>1.5662824000000001E-5</v>
      </c>
      <c r="J4" s="3">
        <v>-1.1187507E-4</v>
      </c>
      <c r="L4" s="3">
        <f t="shared" ref="L4:L33" si="0">-B4/D4</f>
        <v>-0.14563106796116504</v>
      </c>
      <c r="M4" s="3"/>
      <c r="N4" s="2">
        <f>IF('Modell einstellen'!$B$1="Voll",H4/0.35,H4/0.35*2)</f>
        <v>2.5810733714285718E-4</v>
      </c>
      <c r="O4" s="2">
        <f>IF('Modell einstellen'!$B$1="Voll",J4/0.35,J4/0.35*2)</f>
        <v>-6.3928611428571433E-4</v>
      </c>
      <c r="P4" s="3">
        <f t="shared" ref="P4:P33" si="1">-N4/O4</f>
        <v>0.4037430680490301</v>
      </c>
    </row>
    <row r="5" spans="1:16" x14ac:dyDescent="0.25">
      <c r="A5" s="3">
        <v>1E-13</v>
      </c>
      <c r="B5" s="3">
        <v>-7.5149999999999997E-5</v>
      </c>
      <c r="C5" s="3">
        <v>1.6980000000000001E-4</v>
      </c>
      <c r="D5" s="3">
        <v>-4.1520000000000001E-4</v>
      </c>
      <c r="E5" s="3">
        <v>0</v>
      </c>
      <c r="F5" s="3">
        <v>0</v>
      </c>
      <c r="G5" s="3">
        <v>0</v>
      </c>
      <c r="H5" s="3">
        <v>4.7234387000000001E-5</v>
      </c>
      <c r="I5" s="3">
        <v>1.5959162000000001E-5</v>
      </c>
      <c r="J5" s="3">
        <v>-1.1477971E-4</v>
      </c>
      <c r="L5" s="3">
        <f t="shared" si="0"/>
        <v>-0.18099710982658959</v>
      </c>
      <c r="M5" s="3"/>
      <c r="N5" s="2">
        <f>IF('Modell einstellen'!$B$1="Voll",H5/0.35,H5/0.35*2)</f>
        <v>2.6991078285714288E-4</v>
      </c>
      <c r="O5" s="2">
        <f>IF('Modell einstellen'!$B$1="Voll",J5/0.35,J5/0.35*2)</f>
        <v>-6.558840571428572E-4</v>
      </c>
      <c r="P5" s="3">
        <f t="shared" si="1"/>
        <v>0.41152209741599799</v>
      </c>
    </row>
    <row r="6" spans="1:16" x14ac:dyDescent="0.25">
      <c r="A6" s="3">
        <v>9.9999999999999998E-13</v>
      </c>
      <c r="B6" s="3">
        <v>-9.3309999999999999E-5</v>
      </c>
      <c r="C6" s="3">
        <v>1.7220000000000001E-4</v>
      </c>
      <c r="D6" s="3">
        <v>-4.0309999999999999E-4</v>
      </c>
      <c r="E6" s="3">
        <v>0</v>
      </c>
      <c r="F6" s="3">
        <v>0</v>
      </c>
      <c r="G6" s="3">
        <v>0</v>
      </c>
      <c r="H6" s="3">
        <v>4.9705391000000002E-5</v>
      </c>
      <c r="I6" s="3">
        <v>1.6226525E-5</v>
      </c>
      <c r="J6" s="3">
        <v>-1.1807765999999999E-4</v>
      </c>
      <c r="L6" s="3">
        <f t="shared" si="0"/>
        <v>-0.23148102207888863</v>
      </c>
      <c r="M6" s="3"/>
      <c r="N6" s="2">
        <f>IF('Modell einstellen'!$B$1="Voll",H6/0.35,H6/0.35*2)</f>
        <v>2.8403080571428577E-4</v>
      </c>
      <c r="O6" s="2">
        <f>IF('Modell einstellen'!$B$1="Voll",J6/0.35,J6/0.35*2)</f>
        <v>-6.7472948571428574E-4</v>
      </c>
      <c r="P6" s="3">
        <f t="shared" si="1"/>
        <v>0.42095508159629863</v>
      </c>
    </row>
    <row r="7" spans="1:16" x14ac:dyDescent="0.25">
      <c r="A7" s="3">
        <v>9.9999999999999994E-12</v>
      </c>
      <c r="B7" s="3">
        <v>-1.178E-4</v>
      </c>
      <c r="C7" s="3">
        <v>1.7660000000000001E-4</v>
      </c>
      <c r="D7" s="3">
        <v>-3.8749999999999999E-4</v>
      </c>
      <c r="E7" s="3">
        <v>0</v>
      </c>
      <c r="F7" s="3">
        <v>0</v>
      </c>
      <c r="G7" s="3">
        <v>0</v>
      </c>
      <c r="H7" s="3">
        <v>5.2997103000000003E-5</v>
      </c>
      <c r="I7" s="3">
        <v>1.6627928E-5</v>
      </c>
      <c r="J7" s="3">
        <v>-1.2251450999999999E-4</v>
      </c>
      <c r="L7" s="3">
        <f t="shared" si="0"/>
        <v>-0.30400000000000005</v>
      </c>
      <c r="M7" s="3"/>
      <c r="N7" s="2">
        <f>IF('Modell einstellen'!$B$1="Voll",H7/0.35,H7/0.35*2)</f>
        <v>3.0284058857142859E-4</v>
      </c>
      <c r="O7" s="2">
        <f>IF('Modell einstellen'!$B$1="Voll",J7/0.35,J7/0.35*2)</f>
        <v>-7.0008291428571429E-4</v>
      </c>
      <c r="P7" s="3">
        <f t="shared" si="1"/>
        <v>0.4325781738016175</v>
      </c>
    </row>
    <row r="8" spans="1:16" x14ac:dyDescent="0.25">
      <c r="A8" s="3">
        <v>1E-10</v>
      </c>
      <c r="B8" s="3">
        <v>-1.47E-4</v>
      </c>
      <c r="C8" s="3">
        <v>1.8029999999999999E-4</v>
      </c>
      <c r="D8" s="3">
        <v>-3.6650000000000002E-4</v>
      </c>
      <c r="E8" s="3">
        <v>0</v>
      </c>
      <c r="F8" s="3">
        <v>0</v>
      </c>
      <c r="G8" s="3">
        <v>0</v>
      </c>
      <c r="H8" s="3">
        <v>5.6640937999999999E-5</v>
      </c>
      <c r="I8" s="3">
        <v>1.6998509000000001E-5</v>
      </c>
      <c r="J8" s="3">
        <v>-1.2724690999999999E-4</v>
      </c>
      <c r="L8" s="3">
        <f t="shared" si="0"/>
        <v>-0.40109140518417458</v>
      </c>
      <c r="M8" s="3"/>
      <c r="N8" s="2">
        <f>IF('Modell einstellen'!$B$1="Voll",H8/0.35,H8/0.35*2)</f>
        <v>3.2366250285714287E-4</v>
      </c>
      <c r="O8" s="2">
        <f>IF('Modell einstellen'!$B$1="Voll",J8/0.35,J8/0.35*2)</f>
        <v>-7.2712519999999998E-4</v>
      </c>
      <c r="P8" s="3">
        <f t="shared" si="1"/>
        <v>0.44512623528539907</v>
      </c>
    </row>
    <row r="9" spans="1:16" x14ac:dyDescent="0.25">
      <c r="A9" s="3">
        <v>1.0000000000000001E-9</v>
      </c>
      <c r="B9" s="3">
        <v>-1.7579999999999999E-4</v>
      </c>
      <c r="C9" s="3">
        <v>1.8349999999999999E-4</v>
      </c>
      <c r="D9" s="3">
        <v>-3.4469999999999998E-4</v>
      </c>
      <c r="E9" s="3">
        <v>0</v>
      </c>
      <c r="F9" s="3">
        <v>0</v>
      </c>
      <c r="G9" s="3">
        <v>0</v>
      </c>
      <c r="H9" s="3">
        <v>6.0062192E-5</v>
      </c>
      <c r="I9" s="3">
        <v>1.7313502000000002E-5</v>
      </c>
      <c r="J9" s="3">
        <v>-1.3159213000000001E-4</v>
      </c>
      <c r="L9" s="3">
        <f t="shared" si="0"/>
        <v>-0.51000870322019143</v>
      </c>
      <c r="M9" s="3"/>
      <c r="N9" s="2">
        <f>IF('Modell einstellen'!$B$1="Voll",H9/0.35,H9/0.35*2)</f>
        <v>3.4321252571428576E-4</v>
      </c>
      <c r="O9" s="2">
        <f>IF('Modell einstellen'!$B$1="Voll",J9/0.35,J9/0.35*2)</f>
        <v>-7.5195502857142865E-4</v>
      </c>
      <c r="P9" s="3">
        <f t="shared" si="1"/>
        <v>0.45642693069866719</v>
      </c>
    </row>
    <row r="10" spans="1:16" x14ac:dyDescent="0.25">
      <c r="A10" s="3">
        <v>1E-8</v>
      </c>
      <c r="B10" s="3">
        <v>-2.0709999999999999E-4</v>
      </c>
      <c r="C10" s="3">
        <v>1.8579999999999999E-4</v>
      </c>
      <c r="D10" s="3">
        <v>-3.1930000000000001E-4</v>
      </c>
      <c r="E10" s="3">
        <v>0</v>
      </c>
      <c r="F10" s="3">
        <v>0</v>
      </c>
      <c r="G10" s="3">
        <v>0</v>
      </c>
      <c r="H10" s="3">
        <v>6.3606271999999998E-5</v>
      </c>
      <c r="I10" s="3">
        <v>1.7575066000000001E-5</v>
      </c>
      <c r="J10" s="3">
        <v>-1.3594333999999999E-4</v>
      </c>
      <c r="L10" s="3">
        <f t="shared" si="0"/>
        <v>-0.64860632633886628</v>
      </c>
      <c r="M10" s="3"/>
      <c r="N10" s="2">
        <f>IF('Modell einstellen'!$B$1="Voll",H10/0.35,H10/0.35*2)</f>
        <v>3.6346441142857142E-4</v>
      </c>
      <c r="O10" s="2">
        <f>IF('Modell einstellen'!$B$1="Voll",J10/0.35,J10/0.35*2)</f>
        <v>-7.768190857142857E-4</v>
      </c>
      <c r="P10" s="3">
        <f t="shared" si="1"/>
        <v>0.46788810691277705</v>
      </c>
    </row>
    <row r="11" spans="1:16" x14ac:dyDescent="0.25">
      <c r="A11" s="3">
        <v>9.9999999999999995E-8</v>
      </c>
      <c r="B11" s="3">
        <v>-2.4159999999999999E-4</v>
      </c>
      <c r="C11" s="3">
        <v>1.895E-4</v>
      </c>
      <c r="D11" s="3">
        <v>-2.921E-4</v>
      </c>
      <c r="E11" s="3">
        <v>0</v>
      </c>
      <c r="F11" s="3">
        <v>0</v>
      </c>
      <c r="G11" s="3">
        <v>0</v>
      </c>
      <c r="H11" s="3">
        <v>6.7450925999999999E-5</v>
      </c>
      <c r="I11" s="3">
        <v>1.7908910000000001E-5</v>
      </c>
      <c r="J11" s="3">
        <v>-1.4072550999999999E-4</v>
      </c>
      <c r="L11" s="3">
        <f t="shared" si="0"/>
        <v>-0.82711400205409102</v>
      </c>
      <c r="M11" s="3"/>
      <c r="N11" s="2">
        <f>IF('Modell einstellen'!$B$1="Voll",H11/0.35,H11/0.35*2)</f>
        <v>3.8543386285714285E-4</v>
      </c>
      <c r="O11" s="2">
        <f>IF('Modell einstellen'!$B$1="Voll",J11/0.35,J11/0.35*2)</f>
        <v>-8.0414577142857145E-4</v>
      </c>
      <c r="P11" s="3">
        <f t="shared" si="1"/>
        <v>0.47930844947728379</v>
      </c>
    </row>
    <row r="12" spans="1:16" x14ac:dyDescent="0.25">
      <c r="A12" s="3">
        <v>9.9999999999999995E-7</v>
      </c>
      <c r="B12" s="3">
        <v>-2.811E-4</v>
      </c>
      <c r="C12" s="3">
        <v>1.916E-4</v>
      </c>
      <c r="D12" s="3">
        <v>-2.5839999999999999E-4</v>
      </c>
      <c r="E12" s="3">
        <v>0</v>
      </c>
      <c r="F12" s="3">
        <v>0</v>
      </c>
      <c r="G12" s="3">
        <v>0</v>
      </c>
      <c r="H12" s="3">
        <v>7.1618204000000002E-5</v>
      </c>
      <c r="I12" s="3">
        <v>1.8163082E-5</v>
      </c>
      <c r="J12" s="3">
        <v>-1.45675E-4</v>
      </c>
      <c r="L12" s="3">
        <f t="shared" si="0"/>
        <v>-1.0878482972136223</v>
      </c>
      <c r="M12" s="3"/>
      <c r="N12" s="2">
        <f>IF('Modell einstellen'!$B$1="Voll",H12/0.35,H12/0.35*2)</f>
        <v>4.0924688000000005E-4</v>
      </c>
      <c r="O12" s="2">
        <f>IF('Modell einstellen'!$B$1="Voll",J12/0.35,J12/0.35*2)</f>
        <v>-8.3242857142857153E-4</v>
      </c>
      <c r="P12" s="3">
        <f t="shared" si="1"/>
        <v>0.49163002574223441</v>
      </c>
    </row>
    <row r="13" spans="1:16" x14ac:dyDescent="0.25">
      <c r="A13" s="3">
        <v>1.0000000000000001E-5</v>
      </c>
      <c r="B13" s="3">
        <v>-3.2650000000000002E-4</v>
      </c>
      <c r="C13" s="3">
        <v>1.9540000000000001E-4</v>
      </c>
      <c r="D13" s="3">
        <v>-2.2029999999999999E-4</v>
      </c>
      <c r="E13" s="3">
        <v>0</v>
      </c>
      <c r="F13" s="3">
        <v>0</v>
      </c>
      <c r="G13" s="3">
        <v>0</v>
      </c>
      <c r="H13" s="3">
        <v>7.6346906999999998E-5</v>
      </c>
      <c r="I13" s="3">
        <v>1.8500663999999999E-5</v>
      </c>
      <c r="J13" s="3">
        <v>-1.5135018000000001E-4</v>
      </c>
      <c r="L13" s="3">
        <f t="shared" si="0"/>
        <v>-1.4820699046754429</v>
      </c>
      <c r="M13" s="3"/>
      <c r="N13" s="2">
        <f>IF('Modell einstellen'!$B$1="Voll",H13/0.35,H13/0.35*2)</f>
        <v>4.3626804000000002E-4</v>
      </c>
      <c r="O13" s="2">
        <f>IF('Modell einstellen'!$B$1="Voll",J13/0.35,J13/0.35*2)</f>
        <v>-8.6485817142857157E-4</v>
      </c>
      <c r="P13" s="3">
        <f t="shared" si="1"/>
        <v>0.50443882524619388</v>
      </c>
    </row>
    <row r="14" spans="1:16" x14ac:dyDescent="0.25">
      <c r="A14" s="3">
        <v>1E-4</v>
      </c>
      <c r="B14" s="3">
        <v>-3.859E-4</v>
      </c>
      <c r="C14" s="3">
        <v>1.9870000000000001E-4</v>
      </c>
      <c r="D14" s="3">
        <v>-1.684E-4</v>
      </c>
      <c r="E14" s="3">
        <v>0</v>
      </c>
      <c r="F14" s="3">
        <v>0</v>
      </c>
      <c r="G14" s="3">
        <v>0</v>
      </c>
      <c r="H14" s="3">
        <v>8.2269932999999993E-5</v>
      </c>
      <c r="I14" s="3">
        <v>1.8837128999999999E-5</v>
      </c>
      <c r="J14" s="3">
        <v>-1.5825284999999999E-4</v>
      </c>
      <c r="L14" s="3">
        <f t="shared" si="0"/>
        <v>-2.2915676959619953</v>
      </c>
      <c r="M14" s="3"/>
      <c r="N14" s="2">
        <f>IF('Modell einstellen'!$B$1="Voll",H14/0.35,H14/0.35*2)</f>
        <v>4.7011390285714287E-4</v>
      </c>
      <c r="O14" s="2">
        <f>IF('Modell einstellen'!$B$1="Voll",J14/0.35,J14/0.35*2)</f>
        <v>-9.0430200000000006E-4</v>
      </c>
      <c r="P14" s="3">
        <f t="shared" si="1"/>
        <v>0.51986383183620388</v>
      </c>
    </row>
    <row r="15" spans="1:16" x14ac:dyDescent="0.25">
      <c r="A15" s="3">
        <v>1E-3</v>
      </c>
      <c r="B15" s="3">
        <v>-4.6470000000000002E-4</v>
      </c>
      <c r="C15" s="3">
        <v>2.0239999999999999E-4</v>
      </c>
      <c r="D15" s="3">
        <v>-9.7800000000000006E-5</v>
      </c>
      <c r="E15" s="3">
        <v>0</v>
      </c>
      <c r="F15" s="3">
        <v>0</v>
      </c>
      <c r="G15" s="3">
        <v>0</v>
      </c>
      <c r="H15" s="3">
        <v>8.9873304000000003E-5</v>
      </c>
      <c r="I15" s="3">
        <v>1.9213389000000001E-5</v>
      </c>
      <c r="J15" s="3">
        <v>-1.6694729999999999E-4</v>
      </c>
      <c r="L15" s="3">
        <f t="shared" si="0"/>
        <v>-4.7515337423312882</v>
      </c>
      <c r="M15" s="3"/>
      <c r="N15" s="2">
        <f>IF('Modell einstellen'!$B$1="Voll",H15/0.35,H15/0.35*2)</f>
        <v>5.1356173714285722E-4</v>
      </c>
      <c r="O15" s="2">
        <f>IF('Modell einstellen'!$B$1="Voll",J15/0.35,J15/0.35*2)</f>
        <v>-9.539845714285714E-4</v>
      </c>
      <c r="P15" s="3">
        <f t="shared" si="1"/>
        <v>0.53833337825768979</v>
      </c>
    </row>
    <row r="16" spans="1:16" x14ac:dyDescent="0.25">
      <c r="A16" s="3">
        <v>0.01</v>
      </c>
      <c r="B16" s="3">
        <v>-5.7189999999999997E-4</v>
      </c>
      <c r="C16" s="3">
        <v>2.0660000000000001E-4</v>
      </c>
      <c r="D16" s="3">
        <v>1.5909999999999999E-7</v>
      </c>
      <c r="E16" s="3">
        <v>0</v>
      </c>
      <c r="F16" s="3">
        <v>0</v>
      </c>
      <c r="G16" s="3">
        <v>0</v>
      </c>
      <c r="H16" s="3">
        <v>9.9910210999999994E-5</v>
      </c>
      <c r="I16" s="3">
        <v>1.9659774E-5</v>
      </c>
      <c r="J16" s="3">
        <v>-1.7824557E-4</v>
      </c>
      <c r="L16" s="3">
        <f t="shared" si="0"/>
        <v>3594.5945945945946</v>
      </c>
      <c r="M16" s="3"/>
      <c r="N16" s="2">
        <f>IF('Modell einstellen'!$B$1="Voll",H16/0.35,H16/0.35*2)</f>
        <v>5.7091549142857141E-4</v>
      </c>
      <c r="O16" s="2">
        <f>IF('Modell einstellen'!$B$1="Voll",J16/0.35,J16/0.35*2)</f>
        <v>-1.0185461142857143E-3</v>
      </c>
      <c r="P16" s="3">
        <f t="shared" si="1"/>
        <v>0.56052002302217097</v>
      </c>
    </row>
    <row r="17" spans="1:16" x14ac:dyDescent="0.25">
      <c r="A17" s="3">
        <v>0.1</v>
      </c>
      <c r="B17" s="3">
        <v>-7.205E-4</v>
      </c>
      <c r="C17" s="3">
        <v>2.128E-4</v>
      </c>
      <c r="D17" s="3">
        <v>1.3740000000000001E-4</v>
      </c>
      <c r="E17" s="3">
        <v>0</v>
      </c>
      <c r="F17" s="3">
        <v>0</v>
      </c>
      <c r="G17" s="3">
        <v>0</v>
      </c>
      <c r="H17" s="3">
        <v>1.1401495E-4</v>
      </c>
      <c r="I17" s="3">
        <v>2.0457041E-5</v>
      </c>
      <c r="J17" s="3">
        <v>-1.9430339000000001E-4</v>
      </c>
      <c r="L17" s="3">
        <f t="shared" si="0"/>
        <v>5.2438136826783115</v>
      </c>
      <c r="M17" s="3"/>
      <c r="N17" s="2">
        <f>IF('Modell einstellen'!$B$1="Voll",H17/0.35,H17/0.35*2)</f>
        <v>6.5151400000000006E-4</v>
      </c>
      <c r="O17" s="2">
        <f>IF('Modell einstellen'!$B$1="Voll",J17/0.35,J17/0.35*2)</f>
        <v>-1.1103050857142859E-3</v>
      </c>
      <c r="P17" s="3">
        <f t="shared" si="1"/>
        <v>0.58678826962308783</v>
      </c>
    </row>
    <row r="18" spans="1:16" x14ac:dyDescent="0.25">
      <c r="A18" s="3">
        <v>1</v>
      </c>
      <c r="B18" s="3">
        <v>-9.0959999999999999E-4</v>
      </c>
      <c r="C18" s="3">
        <v>2.296E-4</v>
      </c>
      <c r="D18" s="3">
        <v>3.0709999999999998E-4</v>
      </c>
      <c r="E18" s="3">
        <v>0</v>
      </c>
      <c r="F18" s="3">
        <v>0</v>
      </c>
      <c r="G18" s="3">
        <v>0</v>
      </c>
      <c r="H18" s="3">
        <v>1.3686218E-4</v>
      </c>
      <c r="I18" s="3">
        <v>2.3754163999999999E-5</v>
      </c>
      <c r="J18" s="3">
        <v>-2.2378911E-4</v>
      </c>
      <c r="L18" s="3">
        <f t="shared" si="0"/>
        <v>2.9619016606968414</v>
      </c>
      <c r="M18" s="3"/>
      <c r="N18" s="2">
        <f>IF('Modell einstellen'!$B$1="Voll",H18/0.35,H18/0.35*2)</f>
        <v>7.8206960000000002E-4</v>
      </c>
      <c r="O18" s="2">
        <f>IF('Modell einstellen'!$B$1="Voll",J18/0.35,J18/0.35*2)</f>
        <v>-1.2787949142857144E-3</v>
      </c>
      <c r="P18" s="3">
        <f t="shared" si="1"/>
        <v>0.61156764956078513</v>
      </c>
    </row>
    <row r="19" spans="1:16" x14ac:dyDescent="0.25">
      <c r="A19" s="3">
        <v>10</v>
      </c>
      <c r="B19" s="3">
        <v>-1.093E-3</v>
      </c>
      <c r="C19" s="3">
        <v>2.809E-4</v>
      </c>
      <c r="D19" s="3">
        <v>4.4700000000000002E-4</v>
      </c>
      <c r="E19" s="3">
        <v>0</v>
      </c>
      <c r="F19" s="3">
        <v>0</v>
      </c>
      <c r="G19" s="3">
        <v>0</v>
      </c>
      <c r="H19" s="3">
        <v>1.7965989999999999E-4</v>
      </c>
      <c r="I19" s="3">
        <v>3.7091405000000002E-5</v>
      </c>
      <c r="J19" s="3">
        <v>-2.9208697000000002E-4</v>
      </c>
      <c r="L19" s="3">
        <f t="shared" si="0"/>
        <v>2.4451901565995526</v>
      </c>
      <c r="M19" s="3"/>
      <c r="N19" s="2">
        <f>IF('Modell einstellen'!$B$1="Voll",H19/0.35,H19/0.35*2)</f>
        <v>1.0266279999999999E-3</v>
      </c>
      <c r="O19" s="2">
        <f>IF('Modell einstellen'!$B$1="Voll",J19/0.35,J19/0.35*2)</f>
        <v>-1.6690684000000003E-3</v>
      </c>
      <c r="P19" s="3">
        <f t="shared" si="1"/>
        <v>0.61509043008662778</v>
      </c>
    </row>
    <row r="20" spans="1:16" x14ac:dyDescent="0.25">
      <c r="A20" s="3">
        <v>100</v>
      </c>
      <c r="B20" s="3">
        <v>-1.292E-3</v>
      </c>
      <c r="C20" s="3">
        <v>4.0690000000000002E-4</v>
      </c>
      <c r="D20" s="3">
        <v>5.3859999999999997E-4</v>
      </c>
      <c r="E20" s="3">
        <v>0</v>
      </c>
      <c r="F20" s="3">
        <v>0</v>
      </c>
      <c r="G20" s="3">
        <v>0</v>
      </c>
      <c r="H20" s="3">
        <v>2.5707049000000002E-4</v>
      </c>
      <c r="I20" s="3">
        <v>7.0043755999999995E-5</v>
      </c>
      <c r="J20" s="3">
        <v>-4.3235437000000001E-4</v>
      </c>
      <c r="L20" s="3">
        <f t="shared" si="0"/>
        <v>2.3988117341255109</v>
      </c>
      <c r="M20" s="3"/>
      <c r="N20" s="2">
        <f>IF('Modell einstellen'!$B$1="Voll",H20/0.35,H20/0.35*2)</f>
        <v>1.4689742285714288E-3</v>
      </c>
      <c r="O20" s="2">
        <f>IF('Modell einstellen'!$B$1="Voll",J20/0.35,J20/0.35*2)</f>
        <v>-2.4705964000000004E-3</v>
      </c>
      <c r="P20" s="3">
        <f t="shared" si="1"/>
        <v>0.59458284184799615</v>
      </c>
    </row>
    <row r="21" spans="1:16" x14ac:dyDescent="0.25">
      <c r="A21" s="3">
        <v>1000</v>
      </c>
      <c r="B21" s="3">
        <v>-1.5269999999999999E-3</v>
      </c>
      <c r="C21" s="3">
        <v>6.8670000000000005E-4</v>
      </c>
      <c r="D21" s="3">
        <v>5.2159999999999999E-4</v>
      </c>
      <c r="E21" s="3">
        <v>0</v>
      </c>
      <c r="F21" s="3">
        <v>0</v>
      </c>
      <c r="G21" s="3">
        <v>0</v>
      </c>
      <c r="H21" s="3">
        <v>3.8844321000000001E-4</v>
      </c>
      <c r="I21" s="3">
        <v>1.3825803000000001E-4</v>
      </c>
      <c r="J21" s="3">
        <v>-6.9419884000000004E-4</v>
      </c>
      <c r="L21" s="3">
        <f t="shared" si="0"/>
        <v>2.9275306748466257</v>
      </c>
      <c r="M21" s="3"/>
      <c r="N21" s="2">
        <f>IF('Modell einstellen'!$B$1="Voll",H21/0.35,H21/0.35*2)</f>
        <v>2.219675485714286E-3</v>
      </c>
      <c r="O21" s="2">
        <f>IF('Modell einstellen'!$B$1="Voll",J21/0.35,J21/0.35*2)</f>
        <v>-3.9668505142857148E-3</v>
      </c>
      <c r="P21" s="3">
        <f t="shared" si="1"/>
        <v>0.55955612083707895</v>
      </c>
    </row>
    <row r="22" spans="1:16" x14ac:dyDescent="0.25">
      <c r="A22" s="3">
        <v>10000</v>
      </c>
      <c r="B22" s="3">
        <v>-1.7099999999999999E-3</v>
      </c>
      <c r="C22" s="3">
        <v>1.2509999999999999E-3</v>
      </c>
      <c r="D22" s="3">
        <v>1.75E-4</v>
      </c>
      <c r="E22" s="3">
        <v>0</v>
      </c>
      <c r="F22" s="3">
        <v>0</v>
      </c>
      <c r="G22" s="3">
        <v>0</v>
      </c>
      <c r="H22" s="3">
        <v>5.856921E-4</v>
      </c>
      <c r="I22" s="3">
        <v>2.6486323E-4</v>
      </c>
      <c r="J22" s="3">
        <v>-1.1332676000000001E-3</v>
      </c>
      <c r="L22" s="3">
        <f t="shared" si="0"/>
        <v>9.7714285714285705</v>
      </c>
      <c r="M22" s="3"/>
      <c r="N22" s="2">
        <f>IF('Modell einstellen'!$B$1="Voll",H22/0.35,H22/0.35*2)</f>
        <v>3.3468120000000002E-3</v>
      </c>
      <c r="O22" s="2">
        <f>IF('Modell einstellen'!$B$1="Voll",J22/0.35,J22/0.35*2)</f>
        <v>-6.4758148571428583E-3</v>
      </c>
      <c r="P22" s="3">
        <f t="shared" si="1"/>
        <v>0.51681712245192568</v>
      </c>
    </row>
    <row r="23" spans="1:16" x14ac:dyDescent="0.25">
      <c r="A23" s="3">
        <v>100000</v>
      </c>
      <c r="B23" s="3">
        <v>-1.547E-3</v>
      </c>
      <c r="C23" s="3">
        <v>2.1459999999999999E-3</v>
      </c>
      <c r="D23" s="3">
        <v>-8.497E-4</v>
      </c>
      <c r="E23" s="3">
        <v>0</v>
      </c>
      <c r="F23" s="3">
        <v>0</v>
      </c>
      <c r="G23" s="3">
        <v>0</v>
      </c>
      <c r="H23" s="3">
        <v>8.2062254000000003E-4</v>
      </c>
      <c r="I23" s="3">
        <v>4.5134781000000002E-4</v>
      </c>
      <c r="J23" s="3">
        <v>-1.7225838E-3</v>
      </c>
      <c r="L23" s="3">
        <f t="shared" si="0"/>
        <v>-1.8206425797340238</v>
      </c>
      <c r="M23" s="3"/>
      <c r="N23" s="2">
        <f>IF('Modell einstellen'!$B$1="Voll",H23/0.35,H23/0.35*2)</f>
        <v>4.6892716571428576E-3</v>
      </c>
      <c r="O23" s="2">
        <f>IF('Modell einstellen'!$B$1="Voll",J23/0.35,J23/0.35*2)</f>
        <v>-9.8433360000000011E-3</v>
      </c>
      <c r="P23" s="3">
        <f t="shared" si="1"/>
        <v>0.47639048968183723</v>
      </c>
    </row>
    <row r="24" spans="1:16" x14ac:dyDescent="0.25">
      <c r="A24" s="3">
        <v>1000000</v>
      </c>
      <c r="B24" s="3">
        <v>-8.8000000000000003E-4</v>
      </c>
      <c r="C24" s="3">
        <v>3.199E-3</v>
      </c>
      <c r="D24" s="3">
        <v>-2.5409999999999999E-3</v>
      </c>
      <c r="E24" s="3">
        <v>0</v>
      </c>
      <c r="F24" s="3">
        <v>0</v>
      </c>
      <c r="G24" s="3">
        <v>0</v>
      </c>
      <c r="H24" s="3">
        <v>1.0243811E-3</v>
      </c>
      <c r="I24" s="3">
        <v>6.5236745999999995E-4</v>
      </c>
      <c r="J24" s="3">
        <v>-2.3060034000000002E-3</v>
      </c>
      <c r="L24" s="3">
        <f t="shared" si="0"/>
        <v>-0.34632034632034636</v>
      </c>
      <c r="M24" s="3"/>
      <c r="N24" s="2">
        <f>IF('Modell einstellen'!$B$1="Voll",H24/0.35,H24/0.35*2)</f>
        <v>5.8536062857142863E-3</v>
      </c>
      <c r="O24" s="2">
        <f>IF('Modell einstellen'!$B$1="Voll",J24/0.35,J24/0.35*2)</f>
        <v>-1.3177162285714288E-2</v>
      </c>
      <c r="P24" s="3">
        <f t="shared" si="1"/>
        <v>0.44422358614041935</v>
      </c>
    </row>
    <row r="25" spans="1:16" x14ac:dyDescent="0.25">
      <c r="A25" s="3">
        <v>10000000</v>
      </c>
      <c r="B25" s="3">
        <v>2.9200000000000002E-5</v>
      </c>
      <c r="C25" s="3">
        <v>4.1660000000000004E-3</v>
      </c>
      <c r="D25" s="3">
        <v>-4.3949999999999996E-3</v>
      </c>
      <c r="E25" s="3">
        <v>0</v>
      </c>
      <c r="F25" s="3">
        <v>0</v>
      </c>
      <c r="G25" s="3">
        <v>0</v>
      </c>
      <c r="H25" s="3">
        <v>1.1634709999999999E-3</v>
      </c>
      <c r="I25" s="3">
        <v>8.2068449999999997E-4</v>
      </c>
      <c r="J25" s="3">
        <v>-2.7613538000000001E-3</v>
      </c>
      <c r="L25" s="3">
        <f t="shared" si="0"/>
        <v>6.6439135381114916E-3</v>
      </c>
      <c r="M25" s="3"/>
      <c r="N25" s="2">
        <f>IF('Modell einstellen'!$B$1="Voll",H25/0.35,H25/0.35*2)</f>
        <v>6.6484057142857144E-3</v>
      </c>
      <c r="O25" s="2">
        <f>IF('Modell einstellen'!$B$1="Voll",J25/0.35,J25/0.35*2)</f>
        <v>-1.5779164571428573E-2</v>
      </c>
      <c r="P25" s="3">
        <f t="shared" si="1"/>
        <v>0.42134079305592781</v>
      </c>
    </row>
    <row r="26" spans="1:16" x14ac:dyDescent="0.25">
      <c r="A26" s="3">
        <v>100000000</v>
      </c>
      <c r="B26" s="3">
        <v>8.5249999999999996E-4</v>
      </c>
      <c r="C26" s="3">
        <v>4.9430000000000003E-3</v>
      </c>
      <c r="D26" s="3">
        <v>-5.9789999999999999E-3</v>
      </c>
      <c r="E26" s="3">
        <v>0</v>
      </c>
      <c r="F26" s="3">
        <v>0</v>
      </c>
      <c r="G26" s="3">
        <v>0</v>
      </c>
      <c r="H26" s="3">
        <v>1.2568989999999999E-3</v>
      </c>
      <c r="I26" s="3">
        <v>9.4605508999999997E-4</v>
      </c>
      <c r="J26" s="3">
        <v>-3.0893690999999998E-3</v>
      </c>
      <c r="L26" s="3">
        <f t="shared" si="0"/>
        <v>0.14258237163405252</v>
      </c>
      <c r="M26" s="3"/>
      <c r="N26" s="2">
        <f>IF('Modell einstellen'!$B$1="Voll",H26/0.35,H26/0.35*2)</f>
        <v>7.1822800000000001E-3</v>
      </c>
      <c r="O26" s="2">
        <f>IF('Modell einstellen'!$B$1="Voll",J26/0.35,J26/0.35*2)</f>
        <v>-1.7653537714285714E-2</v>
      </c>
      <c r="P26" s="3">
        <f t="shared" si="1"/>
        <v>0.40684649820573399</v>
      </c>
    </row>
    <row r="27" spans="1:16" x14ac:dyDescent="0.25">
      <c r="A27" s="3">
        <v>1000000000</v>
      </c>
      <c r="B27" s="3">
        <v>1.5169999999999999E-3</v>
      </c>
      <c r="C27" s="3">
        <v>5.5449999999999996E-3</v>
      </c>
      <c r="D27" s="3">
        <v>-7.234E-3</v>
      </c>
      <c r="E27" s="3">
        <v>0</v>
      </c>
      <c r="F27" s="3">
        <v>0</v>
      </c>
      <c r="G27" s="3">
        <v>0</v>
      </c>
      <c r="H27" s="3">
        <v>1.324673E-3</v>
      </c>
      <c r="I27" s="3">
        <v>1.0381870000000001E-3</v>
      </c>
      <c r="J27" s="3">
        <v>-3.3289462999999998E-3</v>
      </c>
      <c r="L27" s="3">
        <f t="shared" si="0"/>
        <v>0.20970417473043959</v>
      </c>
      <c r="M27" s="3"/>
      <c r="N27" s="2">
        <f>IF('Modell einstellen'!$B$1="Voll",H27/0.35,H27/0.35*2)</f>
        <v>7.5695600000000004E-3</v>
      </c>
      <c r="O27" s="2">
        <f>IF('Modell einstellen'!$B$1="Voll",J27/0.35,J27/0.35*2)</f>
        <v>-1.9022550285714285E-2</v>
      </c>
      <c r="P27" s="3">
        <f t="shared" si="1"/>
        <v>0.39792561387968323</v>
      </c>
    </row>
    <row r="28" spans="1:16" x14ac:dyDescent="0.25">
      <c r="A28" s="3">
        <v>10000000000</v>
      </c>
      <c r="B28" s="3">
        <v>2.0330000000000001E-3</v>
      </c>
      <c r="C28" s="3">
        <v>5.9449999999999998E-3</v>
      </c>
      <c r="D28" s="3">
        <v>-8.1429999999999992E-3</v>
      </c>
      <c r="E28" s="3">
        <v>0</v>
      </c>
      <c r="F28" s="3">
        <v>0</v>
      </c>
      <c r="G28" s="3">
        <v>0</v>
      </c>
      <c r="H28" s="3">
        <v>1.3604512E-3</v>
      </c>
      <c r="I28" s="3">
        <v>1.0946673E-3</v>
      </c>
      <c r="J28" s="3">
        <v>-3.4699018999999999E-3</v>
      </c>
      <c r="L28" s="3">
        <f t="shared" si="0"/>
        <v>0.24966228662655043</v>
      </c>
      <c r="M28" s="3"/>
      <c r="N28" s="2">
        <f>IF('Modell einstellen'!$B$1="Voll",H28/0.35,H28/0.35*2)</f>
        <v>7.7740068571428575E-3</v>
      </c>
      <c r="O28" s="2">
        <f>IF('Modell einstellen'!$B$1="Voll",J28/0.35,J28/0.35*2)</f>
        <v>-1.9828010857142857E-2</v>
      </c>
      <c r="P28" s="3">
        <f t="shared" si="1"/>
        <v>0.39207194877757212</v>
      </c>
    </row>
    <row r="29" spans="1:16" x14ac:dyDescent="0.25">
      <c r="A29" s="3">
        <v>100000000000</v>
      </c>
      <c r="B29" s="3">
        <v>2.3969999999999998E-3</v>
      </c>
      <c r="C29" s="3">
        <v>6.3790000000000001E-3</v>
      </c>
      <c r="D29" s="3">
        <v>-8.9370000000000005E-3</v>
      </c>
      <c r="E29" s="3">
        <v>0</v>
      </c>
      <c r="F29" s="3">
        <v>0</v>
      </c>
      <c r="G29" s="3">
        <v>0</v>
      </c>
      <c r="H29" s="3">
        <v>1.4291937000000001E-3</v>
      </c>
      <c r="I29" s="3">
        <v>1.1634442000000001E-3</v>
      </c>
      <c r="J29" s="3">
        <v>-3.6659287E-3</v>
      </c>
      <c r="L29" s="3">
        <f t="shared" si="0"/>
        <v>0.26821080899630745</v>
      </c>
      <c r="M29" s="3"/>
      <c r="N29" s="2">
        <f>IF('Modell einstellen'!$B$1="Voll",H29/0.35,H29/0.35*2)</f>
        <v>8.166821142857144E-3</v>
      </c>
      <c r="O29" s="2">
        <f>IF('Modell einstellen'!$B$1="Voll",J29/0.35,J29/0.35*2)</f>
        <v>-2.0948164000000002E-2</v>
      </c>
      <c r="P29" s="3">
        <f t="shared" si="1"/>
        <v>0.38985856435232907</v>
      </c>
    </row>
    <row r="30" spans="1:16" x14ac:dyDescent="0.25">
      <c r="A30" s="3">
        <v>1000000000000</v>
      </c>
      <c r="B30" s="3">
        <v>2.728E-3</v>
      </c>
      <c r="C30" s="3">
        <v>6.7270000000000003E-3</v>
      </c>
      <c r="D30" s="3">
        <v>-9.613E-3</v>
      </c>
      <c r="E30" s="3">
        <v>0</v>
      </c>
      <c r="F30" s="3">
        <v>0</v>
      </c>
      <c r="G30" s="3">
        <v>0</v>
      </c>
      <c r="H30" s="3">
        <v>1.4834322999999999E-3</v>
      </c>
      <c r="I30" s="3">
        <v>1.2193433E-3</v>
      </c>
      <c r="J30" s="3">
        <v>-3.8234045E-3</v>
      </c>
      <c r="L30" s="3">
        <f t="shared" si="0"/>
        <v>0.28378237802975137</v>
      </c>
      <c r="M30" s="3"/>
      <c r="N30" s="2">
        <f>IF('Modell einstellen'!$B$1="Voll",H30/0.35,H30/0.35*2)</f>
        <v>8.4767560000000002E-3</v>
      </c>
      <c r="O30" s="2">
        <f>IF('Modell einstellen'!$B$1="Voll",J30/0.35,J30/0.35*2)</f>
        <v>-2.1848025714285717E-2</v>
      </c>
      <c r="P30" s="3">
        <f t="shared" si="1"/>
        <v>0.38798727678434231</v>
      </c>
    </row>
    <row r="31" spans="1:16" x14ac:dyDescent="0.25">
      <c r="A31" s="3">
        <v>10000000000000</v>
      </c>
      <c r="B31" s="3">
        <v>2.6770000000000001E-3</v>
      </c>
      <c r="C31" s="3">
        <v>6.7299999999999999E-3</v>
      </c>
      <c r="D31" s="3">
        <v>-9.5659999999999999E-3</v>
      </c>
      <c r="E31" s="3">
        <v>0</v>
      </c>
      <c r="F31" s="3">
        <v>0</v>
      </c>
      <c r="G31" s="3">
        <v>0</v>
      </c>
      <c r="H31" s="3">
        <v>1.4887771E-3</v>
      </c>
      <c r="I31" s="3">
        <v>1.2202576E-3</v>
      </c>
      <c r="J31" s="3">
        <v>-3.8303245000000001E-3</v>
      </c>
      <c r="L31" s="3">
        <f t="shared" si="0"/>
        <v>0.27984528538574116</v>
      </c>
      <c r="M31" s="3"/>
      <c r="N31" s="2">
        <f>IF('Modell einstellen'!$B$1="Voll",H31/0.35,H31/0.35*2)</f>
        <v>8.5072977142857144E-3</v>
      </c>
      <c r="O31" s="2">
        <f>IF('Modell einstellen'!$B$1="Voll",J31/0.35,J31/0.35*2)</f>
        <v>-2.1887568571428574E-2</v>
      </c>
      <c r="P31" s="3">
        <f t="shared" si="1"/>
        <v>0.38868171613136165</v>
      </c>
    </row>
    <row r="32" spans="1:16" x14ac:dyDescent="0.25">
      <c r="A32" s="3">
        <v>100000000000000</v>
      </c>
      <c r="B32" s="3">
        <v>2.9740000000000001E-3</v>
      </c>
      <c r="C32" s="3">
        <v>6.8719999999999996E-3</v>
      </c>
      <c r="D32" s="3">
        <v>-0.01</v>
      </c>
      <c r="E32" s="3">
        <v>0</v>
      </c>
      <c r="F32" s="3">
        <v>0</v>
      </c>
      <c r="G32" s="3">
        <v>0</v>
      </c>
      <c r="H32" s="3">
        <v>1.4946005E-3</v>
      </c>
      <c r="I32" s="3">
        <v>1.2402101999999999E-3</v>
      </c>
      <c r="J32" s="3">
        <v>-3.8732580000000001E-3</v>
      </c>
      <c r="L32" s="3">
        <f t="shared" si="0"/>
        <v>0.2974</v>
      </c>
      <c r="M32" s="3"/>
      <c r="N32" s="2">
        <f>IF('Modell einstellen'!$B$1="Voll",H32/0.35,H32/0.35*2)</f>
        <v>8.540574285714286E-3</v>
      </c>
      <c r="O32" s="2">
        <f>IF('Modell einstellen'!$B$1="Voll",J32/0.35,J32/0.35*2)</f>
        <v>-2.213290285714286E-2</v>
      </c>
      <c r="P32" s="3">
        <f t="shared" si="1"/>
        <v>0.38587682514307076</v>
      </c>
    </row>
    <row r="33" spans="1:16" x14ac:dyDescent="0.25">
      <c r="A33" s="3">
        <v>1000000000000000</v>
      </c>
      <c r="B33" s="3">
        <v>2.9780000000000002E-3</v>
      </c>
      <c r="C33" s="3">
        <v>6.8780000000000004E-3</v>
      </c>
      <c r="D33" s="3">
        <v>-1.001E-2</v>
      </c>
      <c r="E33" s="3">
        <v>0</v>
      </c>
      <c r="F33" s="3">
        <v>0</v>
      </c>
      <c r="G33" s="3">
        <v>0</v>
      </c>
      <c r="H33" s="3">
        <v>1.4953294E-3</v>
      </c>
      <c r="I33" s="3">
        <v>1.2409329E-3</v>
      </c>
      <c r="J33" s="3">
        <v>-3.8753148000000002E-3</v>
      </c>
      <c r="L33" s="3">
        <f t="shared" si="0"/>
        <v>0.29750249750249752</v>
      </c>
      <c r="M33" s="3"/>
      <c r="N33" s="2">
        <f>IF('Modell einstellen'!$B$1="Voll",H33/0.35,H33/0.35*2)</f>
        <v>8.5447394285714292E-3</v>
      </c>
      <c r="O33" s="2">
        <f>IF('Modell einstellen'!$B$1="Voll",J33/0.35,J33/0.35*2)</f>
        <v>-2.2144656000000002E-2</v>
      </c>
      <c r="P33" s="3">
        <f t="shared" si="1"/>
        <v>0.38586011128695918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-1.6780000000000001E-4</v>
      </c>
      <c r="C3" s="3">
        <v>1.861E-4</v>
      </c>
      <c r="D3" s="3">
        <v>-3.5409999999999999E-4</v>
      </c>
      <c r="E3" s="3">
        <v>0</v>
      </c>
      <c r="F3" s="3">
        <v>0</v>
      </c>
      <c r="G3" s="3">
        <v>0</v>
      </c>
      <c r="H3" s="3">
        <v>6.0274876999999998E-5</v>
      </c>
      <c r="I3" s="3">
        <v>1.7727301000000002E-5</v>
      </c>
      <c r="J3" s="3">
        <v>-1.3261655999999999E-4</v>
      </c>
      <c r="L3" s="3">
        <f>-B3/D3</f>
        <v>-0.47387743575261232</v>
      </c>
      <c r="M3" s="3"/>
      <c r="N3" s="2">
        <f>IF('Modell einstellen'!$B$1="Voll",H3/0.35,H3/0.35*2)</f>
        <v>3.4442786857142861E-4</v>
      </c>
      <c r="O3" s="2">
        <f>IF('Modell einstellen'!$B$1="Voll",J3/0.35,J3/0.35*2)</f>
        <v>-7.5780891428571431E-4</v>
      </c>
      <c r="P3" s="3">
        <f>-N3/O3</f>
        <v>0.45450490496812768</v>
      </c>
    </row>
    <row r="4" spans="1:16" x14ac:dyDescent="0.25">
      <c r="A4" s="3">
        <v>1E-14</v>
      </c>
      <c r="B4" s="3">
        <v>-2.076E-4</v>
      </c>
      <c r="C4" s="3">
        <v>1.8990000000000001E-4</v>
      </c>
      <c r="D4" s="3">
        <v>-3.2279999999999999E-4</v>
      </c>
      <c r="E4" s="3">
        <v>0</v>
      </c>
      <c r="F4" s="3">
        <v>0</v>
      </c>
      <c r="G4" s="3">
        <v>0</v>
      </c>
      <c r="H4" s="3">
        <v>6.4918317999999994E-5</v>
      </c>
      <c r="I4" s="3">
        <v>1.8128159000000002E-5</v>
      </c>
      <c r="J4" s="3">
        <v>-1.3842248999999999E-4</v>
      </c>
      <c r="L4" s="3">
        <f t="shared" ref="L4:L33" si="0">-B4/D4</f>
        <v>-0.64312267657992572</v>
      </c>
      <c r="M4" s="3"/>
      <c r="N4" s="2">
        <f>IF('Modell einstellen'!$B$1="Voll",H4/0.35,H4/0.35*2)</f>
        <v>3.7096181714285712E-4</v>
      </c>
      <c r="O4" s="2">
        <f>IF('Modell einstellen'!$B$1="Voll",J4/0.35,J4/0.35*2)</f>
        <v>-7.9098565714285718E-4</v>
      </c>
      <c r="P4" s="3">
        <f t="shared" ref="P4:P33" si="1">-N4/O4</f>
        <v>0.46898678097757085</v>
      </c>
    </row>
    <row r="5" spans="1:16" x14ac:dyDescent="0.25">
      <c r="A5" s="3">
        <v>1E-13</v>
      </c>
      <c r="B5" s="3">
        <v>-2.4360000000000001E-4</v>
      </c>
      <c r="C5" s="3">
        <v>1.9210000000000001E-4</v>
      </c>
      <c r="D5" s="3">
        <v>-2.9270000000000001E-4</v>
      </c>
      <c r="E5" s="3">
        <v>0</v>
      </c>
      <c r="F5" s="3">
        <v>0</v>
      </c>
      <c r="G5" s="3">
        <v>0</v>
      </c>
      <c r="H5" s="3">
        <v>6.8838053999999995E-5</v>
      </c>
      <c r="I5" s="3">
        <v>1.8394623000000001E-5</v>
      </c>
      <c r="J5" s="3">
        <v>-1.4314921E-4</v>
      </c>
      <c r="L5" s="3">
        <f t="shared" si="0"/>
        <v>-0.83225145199863337</v>
      </c>
      <c r="M5" s="3"/>
      <c r="N5" s="2">
        <f>IF('Modell einstellen'!$B$1="Voll",H5/0.35,H5/0.35*2)</f>
        <v>3.9336030857142854E-4</v>
      </c>
      <c r="O5" s="2">
        <f>IF('Modell einstellen'!$B$1="Voll",J5/0.35,J5/0.35*2)</f>
        <v>-8.179954857142857E-4</v>
      </c>
      <c r="P5" s="3">
        <f t="shared" si="1"/>
        <v>0.48088322666957084</v>
      </c>
    </row>
    <row r="6" spans="1:16" x14ac:dyDescent="0.25">
      <c r="A6" s="3">
        <v>9.9999999999999998E-13</v>
      </c>
      <c r="B6" s="3">
        <v>-2.8430000000000003E-4</v>
      </c>
      <c r="C6" s="3">
        <v>1.9570000000000001E-4</v>
      </c>
      <c r="D6" s="3">
        <v>-2.5920000000000001E-4</v>
      </c>
      <c r="E6" s="3">
        <v>0</v>
      </c>
      <c r="F6" s="3">
        <v>0</v>
      </c>
      <c r="G6" s="3">
        <v>0</v>
      </c>
      <c r="H6" s="3">
        <v>7.3248542999999999E-5</v>
      </c>
      <c r="I6" s="3">
        <v>1.8737453999999999E-5</v>
      </c>
      <c r="J6" s="3">
        <v>-1.4851723E-4</v>
      </c>
      <c r="L6" s="3">
        <f t="shared" si="0"/>
        <v>-1.0968364197530864</v>
      </c>
      <c r="M6" s="3"/>
      <c r="N6" s="2">
        <f>IF('Modell einstellen'!$B$1="Voll",H6/0.35,H6/0.35*2)</f>
        <v>4.1856310285714288E-4</v>
      </c>
      <c r="O6" s="2">
        <f>IF('Modell einstellen'!$B$1="Voll",J6/0.35,J6/0.35*2)</f>
        <v>-8.486698857142858E-4</v>
      </c>
      <c r="P6" s="3">
        <f t="shared" si="1"/>
        <v>0.4931989574542967</v>
      </c>
    </row>
    <row r="7" spans="1:16" x14ac:dyDescent="0.25">
      <c r="A7" s="3">
        <v>9.9999999999999994E-12</v>
      </c>
      <c r="B7" s="3">
        <v>-3.3189999999999999E-4</v>
      </c>
      <c r="C7" s="3">
        <v>1.9790000000000001E-4</v>
      </c>
      <c r="D7" s="3">
        <v>-2.174E-4</v>
      </c>
      <c r="E7" s="3">
        <v>0</v>
      </c>
      <c r="F7" s="3">
        <v>0</v>
      </c>
      <c r="G7" s="3">
        <v>0</v>
      </c>
      <c r="H7" s="3">
        <v>7.8109506000000005E-5</v>
      </c>
      <c r="I7" s="3">
        <v>1.9007636999999999E-5</v>
      </c>
      <c r="J7" s="3">
        <v>-1.5419401000000001E-4</v>
      </c>
      <c r="L7" s="3">
        <f t="shared" si="0"/>
        <v>-1.5266789328426862</v>
      </c>
      <c r="M7" s="3"/>
      <c r="N7" s="2">
        <f>IF('Modell einstellen'!$B$1="Voll",H7/0.35,H7/0.35*2)</f>
        <v>4.4634003428571434E-4</v>
      </c>
      <c r="O7" s="2">
        <f>IF('Modell einstellen'!$B$1="Voll",J7/0.35,J7/0.35*2)</f>
        <v>-8.8110862857142865E-4</v>
      </c>
      <c r="P7" s="3">
        <f t="shared" si="1"/>
        <v>0.50656640942148146</v>
      </c>
    </row>
    <row r="8" spans="1:16" x14ac:dyDescent="0.25">
      <c r="A8" s="3">
        <v>1E-10</v>
      </c>
      <c r="B8" s="3">
        <v>-3.9609999999999998E-4</v>
      </c>
      <c r="C8" s="3">
        <v>2.02E-4</v>
      </c>
      <c r="D8" s="3">
        <v>-1.618E-4</v>
      </c>
      <c r="E8" s="3">
        <v>0</v>
      </c>
      <c r="F8" s="3">
        <v>0</v>
      </c>
      <c r="G8" s="3">
        <v>0</v>
      </c>
      <c r="H8" s="3">
        <v>8.4568752999999994E-5</v>
      </c>
      <c r="I8" s="3">
        <v>1.9409931999999999E-5</v>
      </c>
      <c r="J8" s="3">
        <v>-1.6177535999999999E-4</v>
      </c>
      <c r="L8" s="3">
        <f t="shared" si="0"/>
        <v>-2.4480840543881333</v>
      </c>
      <c r="M8" s="3"/>
      <c r="N8" s="2">
        <f>IF('Modell einstellen'!$B$1="Voll",H8/0.35,H8/0.35*2)</f>
        <v>4.8325001714285713E-4</v>
      </c>
      <c r="O8" s="2">
        <f>IF('Modell einstellen'!$B$1="Voll",J8/0.35,J8/0.35*2)</f>
        <v>-9.2443062857142859E-4</v>
      </c>
      <c r="P8" s="3">
        <f t="shared" si="1"/>
        <v>0.5227542253653461</v>
      </c>
    </row>
    <row r="9" spans="1:16" x14ac:dyDescent="0.25">
      <c r="A9" s="3">
        <v>1.0000000000000001E-9</v>
      </c>
      <c r="B9" s="3">
        <v>-4.8040000000000002E-4</v>
      </c>
      <c r="C9" s="3">
        <v>2.0570000000000001E-4</v>
      </c>
      <c r="D9" s="3">
        <v>-8.5829999999999996E-5</v>
      </c>
      <c r="E9" s="3">
        <v>0</v>
      </c>
      <c r="F9" s="3">
        <v>0</v>
      </c>
      <c r="G9" s="3">
        <v>0</v>
      </c>
      <c r="H9" s="3">
        <v>9.2668203999999999E-5</v>
      </c>
      <c r="I9" s="3">
        <v>1.9805566999999999E-5</v>
      </c>
      <c r="J9" s="3">
        <v>-1.7100911000000001E-4</v>
      </c>
      <c r="L9" s="3">
        <f t="shared" si="0"/>
        <v>-5.5971105674006765</v>
      </c>
      <c r="M9" s="3"/>
      <c r="N9" s="2">
        <f>IF('Modell einstellen'!$B$1="Voll",H9/0.35,H9/0.35*2)</f>
        <v>5.2953259428571427E-4</v>
      </c>
      <c r="O9" s="2">
        <f>IF('Modell einstellen'!$B$1="Voll",J9/0.35,J9/0.35*2)</f>
        <v>-9.7719491428571443E-4</v>
      </c>
      <c r="P9" s="3">
        <f t="shared" si="1"/>
        <v>0.54189045250279344</v>
      </c>
    </row>
    <row r="10" spans="1:16" x14ac:dyDescent="0.25">
      <c r="A10" s="3">
        <v>1E-8</v>
      </c>
      <c r="B10" s="3">
        <v>-5.9849999999999997E-4</v>
      </c>
      <c r="C10" s="3">
        <v>2.0990000000000001E-4</v>
      </c>
      <c r="D10" s="3">
        <v>2.285E-5</v>
      </c>
      <c r="E10" s="3">
        <v>0</v>
      </c>
      <c r="F10" s="3">
        <v>0</v>
      </c>
      <c r="G10" s="3">
        <v>0</v>
      </c>
      <c r="H10" s="3">
        <v>1.0360039E-4</v>
      </c>
      <c r="I10" s="3">
        <v>2.0253624000000001E-5</v>
      </c>
      <c r="J10" s="3">
        <v>-1.8322133E-4</v>
      </c>
      <c r="L10" s="3">
        <f t="shared" si="0"/>
        <v>26.192560175054702</v>
      </c>
      <c r="M10" s="3"/>
      <c r="N10" s="2">
        <f>IF('Modell einstellen'!$B$1="Voll",H10/0.35,H10/0.35*2)</f>
        <v>5.920022285714286E-4</v>
      </c>
      <c r="O10" s="2">
        <f>IF('Modell einstellen'!$B$1="Voll",J10/0.35,J10/0.35*2)</f>
        <v>-1.0469790285714286E-3</v>
      </c>
      <c r="P10" s="3">
        <f t="shared" si="1"/>
        <v>0.56543847815098824</v>
      </c>
    </row>
    <row r="11" spans="1:16" x14ac:dyDescent="0.25">
      <c r="A11" s="3">
        <v>9.9999999999999995E-8</v>
      </c>
      <c r="B11" s="3">
        <v>-7.6999999999999996E-4</v>
      </c>
      <c r="C11" s="3">
        <v>2.1440000000000001E-4</v>
      </c>
      <c r="D11" s="3">
        <v>1.838E-4</v>
      </c>
      <c r="E11" s="3">
        <v>0</v>
      </c>
      <c r="F11" s="3">
        <v>0</v>
      </c>
      <c r="G11" s="3">
        <v>0</v>
      </c>
      <c r="H11" s="3">
        <v>1.1885212E-4</v>
      </c>
      <c r="I11" s="3">
        <v>2.0754103E-5</v>
      </c>
      <c r="J11" s="3">
        <v>-1.9989363000000001E-4</v>
      </c>
      <c r="L11" s="3">
        <f t="shared" si="0"/>
        <v>4.1893362350380849</v>
      </c>
      <c r="M11" s="3"/>
      <c r="N11" s="2">
        <f>IF('Modell einstellen'!$B$1="Voll",H11/0.35,H11/0.35*2)</f>
        <v>6.7915497142857144E-4</v>
      </c>
      <c r="O11" s="2">
        <f>IF('Modell einstellen'!$B$1="Voll",J11/0.35,J11/0.35*2)</f>
        <v>-1.1422493142857143E-3</v>
      </c>
      <c r="P11" s="3">
        <f t="shared" si="1"/>
        <v>0.59457682568474046</v>
      </c>
    </row>
    <row r="12" spans="1:16" x14ac:dyDescent="0.25">
      <c r="A12" s="3">
        <v>9.9999999999999995E-7</v>
      </c>
      <c r="B12" s="3">
        <v>-1.0460000000000001E-3</v>
      </c>
      <c r="C12" s="3">
        <v>2.196E-4</v>
      </c>
      <c r="D12" s="3">
        <v>4.482E-4</v>
      </c>
      <c r="E12" s="3">
        <v>0</v>
      </c>
      <c r="F12" s="3">
        <v>0</v>
      </c>
      <c r="G12" s="3">
        <v>0</v>
      </c>
      <c r="H12" s="3">
        <v>1.4248821E-4</v>
      </c>
      <c r="I12" s="3">
        <v>2.1336318E-5</v>
      </c>
      <c r="J12" s="3">
        <v>-2.2516360999999999E-4</v>
      </c>
      <c r="L12" s="3">
        <f t="shared" si="0"/>
        <v>2.3337795626952254</v>
      </c>
      <c r="M12" s="3"/>
      <c r="N12" s="2">
        <f>IF('Modell einstellen'!$B$1="Voll",H12/0.35,H12/0.35*2)</f>
        <v>8.1421834285714287E-4</v>
      </c>
      <c r="O12" s="2">
        <f>IF('Modell einstellen'!$B$1="Voll",J12/0.35,J12/0.35*2)</f>
        <v>-1.2866492E-3</v>
      </c>
      <c r="P12" s="3">
        <f t="shared" si="1"/>
        <v>0.6328207741917089</v>
      </c>
    </row>
    <row r="13" spans="1:16" x14ac:dyDescent="0.25">
      <c r="A13" s="3">
        <v>1.0000000000000001E-5</v>
      </c>
      <c r="B13" s="3">
        <v>-1.531E-3</v>
      </c>
      <c r="C13" s="3">
        <v>2.252E-4</v>
      </c>
      <c r="D13" s="3">
        <v>9.1929999999999996E-4</v>
      </c>
      <c r="E13" s="3">
        <v>0</v>
      </c>
      <c r="F13" s="3">
        <v>0</v>
      </c>
      <c r="G13" s="3">
        <v>0</v>
      </c>
      <c r="H13" s="3">
        <v>1.8227251E-4</v>
      </c>
      <c r="I13" s="3">
        <v>2.1992198E-5</v>
      </c>
      <c r="J13" s="3">
        <v>-2.6674148000000001E-4</v>
      </c>
      <c r="L13" s="3">
        <f t="shared" si="0"/>
        <v>1.6653975851191125</v>
      </c>
      <c r="M13" s="3"/>
      <c r="N13" s="2">
        <f>IF('Modell einstellen'!$B$1="Voll",H13/0.35,H13/0.35*2)</f>
        <v>1.0415572000000001E-3</v>
      </c>
      <c r="O13" s="2">
        <f>IF('Modell einstellen'!$B$1="Voll",J13/0.35,J13/0.35*2)</f>
        <v>-1.5242370285714288E-3</v>
      </c>
      <c r="P13" s="3">
        <f t="shared" si="1"/>
        <v>0.68333020421120849</v>
      </c>
    </row>
    <row r="14" spans="1:16" x14ac:dyDescent="0.25">
      <c r="A14" s="3">
        <v>1E-4</v>
      </c>
      <c r="B14" s="3">
        <v>-2.4109999999999999E-3</v>
      </c>
      <c r="C14" s="3">
        <v>2.3059999999999999E-4</v>
      </c>
      <c r="D14" s="3">
        <v>1.787E-3</v>
      </c>
      <c r="E14" s="3">
        <v>0</v>
      </c>
      <c r="F14" s="3">
        <v>0</v>
      </c>
      <c r="G14" s="3">
        <v>0</v>
      </c>
      <c r="H14" s="3">
        <v>2.5196988000000001E-4</v>
      </c>
      <c r="I14" s="3">
        <v>2.2649053000000001E-5</v>
      </c>
      <c r="J14" s="3">
        <v>-3.3810558999999998E-4</v>
      </c>
      <c r="L14" s="3">
        <f t="shared" si="0"/>
        <v>1.3491885842193621</v>
      </c>
      <c r="M14" s="3"/>
      <c r="N14" s="2">
        <f>IF('Modell einstellen'!$B$1="Voll",H14/0.35,H14/0.35*2)</f>
        <v>1.4398278857142858E-3</v>
      </c>
      <c r="O14" s="2">
        <f>IF('Modell einstellen'!$B$1="Voll",J14/0.35,J14/0.35*2)</f>
        <v>-1.9320319428571429E-3</v>
      </c>
      <c r="P14" s="3">
        <f t="shared" si="1"/>
        <v>0.74524020735652441</v>
      </c>
    </row>
    <row r="15" spans="1:16" x14ac:dyDescent="0.25">
      <c r="A15" s="3">
        <v>1E-3</v>
      </c>
      <c r="B15" s="3">
        <v>-3.9090000000000001E-3</v>
      </c>
      <c r="C15" s="3">
        <v>2.3450000000000001E-4</v>
      </c>
      <c r="D15" s="3">
        <v>3.2750000000000001E-3</v>
      </c>
      <c r="E15" s="3">
        <v>0</v>
      </c>
      <c r="F15" s="3">
        <v>0</v>
      </c>
      <c r="G15" s="3">
        <v>0</v>
      </c>
      <c r="H15" s="3">
        <v>3.6729499E-4</v>
      </c>
      <c r="I15" s="3">
        <v>2.3196563999999999E-5</v>
      </c>
      <c r="J15" s="3">
        <v>-4.5447880999999998E-4</v>
      </c>
      <c r="L15" s="3">
        <f t="shared" si="0"/>
        <v>1.1935877862595419</v>
      </c>
      <c r="M15" s="3"/>
      <c r="N15" s="2">
        <f>IF('Modell einstellen'!$B$1="Voll",H15/0.35,H15/0.35*2)</f>
        <v>2.0988285142857143E-3</v>
      </c>
      <c r="O15" s="2">
        <f>IF('Modell einstellen'!$B$1="Voll",J15/0.35,J15/0.35*2)</f>
        <v>-2.5970217714285713E-3</v>
      </c>
      <c r="P15" s="3">
        <f t="shared" si="1"/>
        <v>0.80816746989810162</v>
      </c>
    </row>
    <row r="16" spans="1:16" x14ac:dyDescent="0.25">
      <c r="A16" s="3">
        <v>0.01</v>
      </c>
      <c r="B16" s="3">
        <v>-6.117E-3</v>
      </c>
      <c r="C16" s="3">
        <v>2.374E-4</v>
      </c>
      <c r="D16" s="3">
        <v>5.4770000000000001E-3</v>
      </c>
      <c r="E16" s="3">
        <v>0</v>
      </c>
      <c r="F16" s="3">
        <v>0</v>
      </c>
      <c r="G16" s="3">
        <v>0</v>
      </c>
      <c r="H16" s="3">
        <v>5.3482764000000003E-4</v>
      </c>
      <c r="I16" s="3">
        <v>2.3813631E-5</v>
      </c>
      <c r="J16" s="3">
        <v>-6.2250825999999996E-4</v>
      </c>
      <c r="L16" s="3">
        <f t="shared" si="0"/>
        <v>1.1168522914004018</v>
      </c>
      <c r="M16" s="3"/>
      <c r="N16" s="2">
        <f>IF('Modell einstellen'!$B$1="Voll",H16/0.35,H16/0.35*2)</f>
        <v>3.0561579428571434E-3</v>
      </c>
      <c r="O16" s="2">
        <f>IF('Modell einstellen'!$B$1="Voll",J16/0.35,J16/0.35*2)</f>
        <v>-3.5571900571428573E-3</v>
      </c>
      <c r="P16" s="3">
        <f t="shared" si="1"/>
        <v>0.85914946735003972</v>
      </c>
    </row>
    <row r="17" spans="1:16" x14ac:dyDescent="0.25">
      <c r="A17" s="3">
        <v>0.1</v>
      </c>
      <c r="B17" s="3">
        <v>-8.4670000000000006E-3</v>
      </c>
      <c r="C17" s="3">
        <v>2.4379999999999999E-4</v>
      </c>
      <c r="D17" s="3">
        <v>7.8209999999999998E-3</v>
      </c>
      <c r="E17" s="3">
        <v>0</v>
      </c>
      <c r="F17" s="3">
        <v>0</v>
      </c>
      <c r="G17" s="3">
        <v>0</v>
      </c>
      <c r="H17" s="3">
        <v>7.1617109999999996E-4</v>
      </c>
      <c r="I17" s="3">
        <v>2.6397638E-5</v>
      </c>
      <c r="J17" s="3">
        <v>-8.0748215000000004E-4</v>
      </c>
      <c r="L17" s="3">
        <f t="shared" si="0"/>
        <v>1.0825981332310448</v>
      </c>
      <c r="M17" s="3"/>
      <c r="N17" s="2">
        <f>IF('Modell einstellen'!$B$1="Voll",H17/0.35,H17/0.35*2)</f>
        <v>4.0924062857142854E-3</v>
      </c>
      <c r="O17" s="2">
        <f>IF('Modell einstellen'!$B$1="Voll",J17/0.35,J17/0.35*2)</f>
        <v>-4.6141837142857148E-3</v>
      </c>
      <c r="P17" s="3">
        <f t="shared" si="1"/>
        <v>0.88691880061992689</v>
      </c>
    </row>
    <row r="18" spans="1:16" x14ac:dyDescent="0.25">
      <c r="A18" s="3">
        <v>1</v>
      </c>
      <c r="B18" s="3">
        <v>-1.0120000000000001E-2</v>
      </c>
      <c r="C18" s="3">
        <v>2.6600000000000001E-4</v>
      </c>
      <c r="D18" s="3">
        <v>9.4590000000000004E-3</v>
      </c>
      <c r="E18" s="3">
        <v>0</v>
      </c>
      <c r="F18" s="3">
        <v>0</v>
      </c>
      <c r="G18" s="3">
        <v>0</v>
      </c>
      <c r="H18" s="3">
        <v>8.6830193999999996E-4</v>
      </c>
      <c r="I18" s="3">
        <v>3.999986E-5</v>
      </c>
      <c r="J18" s="3">
        <v>-9.840974499999999E-4</v>
      </c>
      <c r="L18" s="3">
        <f t="shared" si="0"/>
        <v>1.0698805370546569</v>
      </c>
      <c r="M18" s="3"/>
      <c r="N18" s="2">
        <f>IF('Modell einstellen'!$B$1="Voll",H18/0.35,H18/0.35*2)</f>
        <v>4.9617253714285712E-3</v>
      </c>
      <c r="O18" s="2">
        <f>IF('Modell einstellen'!$B$1="Voll",J18/0.35,J18/0.35*2)</f>
        <v>-5.6234140000000002E-3</v>
      </c>
      <c r="P18" s="3">
        <f t="shared" si="1"/>
        <v>0.88233328924894572</v>
      </c>
    </row>
    <row r="19" spans="1:16" x14ac:dyDescent="0.25">
      <c r="A19" s="3">
        <v>10</v>
      </c>
      <c r="B19" s="3">
        <v>-1.0449999999999999E-2</v>
      </c>
      <c r="C19" s="3">
        <v>3.634E-4</v>
      </c>
      <c r="D19" s="3">
        <v>9.6959999999999998E-3</v>
      </c>
      <c r="E19" s="3">
        <v>0</v>
      </c>
      <c r="F19" s="3">
        <v>0</v>
      </c>
      <c r="G19" s="3">
        <v>0</v>
      </c>
      <c r="H19" s="3">
        <v>9.7939724000000003E-4</v>
      </c>
      <c r="I19" s="3">
        <v>8.6248950000000004E-5</v>
      </c>
      <c r="J19" s="3">
        <v>-1.1823451E-3</v>
      </c>
      <c r="L19" s="3">
        <f t="shared" si="0"/>
        <v>1.0777640264026402</v>
      </c>
      <c r="M19" s="3"/>
      <c r="N19" s="2">
        <f>IF('Modell einstellen'!$B$1="Voll",H19/0.35,H19/0.35*2)</f>
        <v>5.5965556571428579E-3</v>
      </c>
      <c r="O19" s="2">
        <f>IF('Modell einstellen'!$B$1="Voll",J19/0.35,J19/0.35*2)</f>
        <v>-6.7562577142857147E-3</v>
      </c>
      <c r="P19" s="3">
        <f t="shared" si="1"/>
        <v>0.82835141787283606</v>
      </c>
    </row>
    <row r="20" spans="1:16" x14ac:dyDescent="0.25">
      <c r="A20" s="3">
        <v>100</v>
      </c>
      <c r="B20" s="3">
        <v>-9.2110000000000004E-3</v>
      </c>
      <c r="C20" s="3">
        <v>7.1869999999999996E-4</v>
      </c>
      <c r="D20" s="3">
        <v>8.1370000000000001E-3</v>
      </c>
      <c r="E20" s="3">
        <v>0</v>
      </c>
      <c r="F20" s="3">
        <v>0</v>
      </c>
      <c r="G20" s="3">
        <v>0</v>
      </c>
      <c r="H20" s="3">
        <v>1.0963253000000001E-3</v>
      </c>
      <c r="I20" s="3">
        <v>2.0975084000000001E-4</v>
      </c>
      <c r="J20" s="3">
        <v>-1.534274E-3</v>
      </c>
      <c r="L20" s="3">
        <f t="shared" si="0"/>
        <v>1.1319896767850559</v>
      </c>
      <c r="M20" s="3"/>
      <c r="N20" s="2">
        <f>IF('Modell einstellen'!$B$1="Voll",H20/0.35,H20/0.35*2)</f>
        <v>6.2647160000000009E-3</v>
      </c>
      <c r="O20" s="2">
        <f>IF('Modell einstellen'!$B$1="Voll",J20/0.35,J20/0.35*2)</f>
        <v>-8.7672800000000006E-3</v>
      </c>
      <c r="P20" s="3">
        <f t="shared" si="1"/>
        <v>0.71455639605442056</v>
      </c>
    </row>
    <row r="21" spans="1:16" x14ac:dyDescent="0.25">
      <c r="A21" s="3">
        <v>1000</v>
      </c>
      <c r="B21" s="3">
        <v>-6.6889999999999996E-3</v>
      </c>
      <c r="C21" s="3">
        <v>1.4920000000000001E-3</v>
      </c>
      <c r="D21" s="3">
        <v>4.8869999999999999E-3</v>
      </c>
      <c r="E21" s="3">
        <v>0</v>
      </c>
      <c r="F21" s="3">
        <v>0</v>
      </c>
      <c r="G21" s="3">
        <v>0</v>
      </c>
      <c r="H21" s="3">
        <v>1.2083096000000001E-3</v>
      </c>
      <c r="I21" s="3">
        <v>4.1216990999999999E-4</v>
      </c>
      <c r="J21" s="3">
        <v>-2.0310861000000001E-3</v>
      </c>
      <c r="L21" s="3">
        <f t="shared" si="0"/>
        <v>1.3687333742582362</v>
      </c>
      <c r="M21" s="3"/>
      <c r="N21" s="2">
        <f>IF('Modell einstellen'!$B$1="Voll",H21/0.35,H21/0.35*2)</f>
        <v>6.9046262857142869E-3</v>
      </c>
      <c r="O21" s="2">
        <f>IF('Modell einstellen'!$B$1="Voll",J21/0.35,J21/0.35*2)</f>
        <v>-1.1606206285714286E-2</v>
      </c>
      <c r="P21" s="3">
        <f t="shared" si="1"/>
        <v>0.59490811344728323</v>
      </c>
    </row>
    <row r="22" spans="1:16" x14ac:dyDescent="0.25">
      <c r="A22" s="3">
        <v>10000</v>
      </c>
      <c r="B22" s="3">
        <v>-4.0289999999999996E-3</v>
      </c>
      <c r="C22" s="3">
        <v>2.5230000000000001E-3</v>
      </c>
      <c r="D22" s="3">
        <v>1.242E-3</v>
      </c>
      <c r="E22" s="3">
        <v>0</v>
      </c>
      <c r="F22" s="3">
        <v>0</v>
      </c>
      <c r="G22" s="3">
        <v>0</v>
      </c>
      <c r="H22" s="3">
        <v>1.287765E-3</v>
      </c>
      <c r="I22" s="3">
        <v>6.2456394E-4</v>
      </c>
      <c r="J22" s="3">
        <v>-2.5127003000000002E-3</v>
      </c>
      <c r="L22" s="3">
        <f t="shared" si="0"/>
        <v>3.2439613526570046</v>
      </c>
      <c r="M22" s="3"/>
      <c r="N22" s="2">
        <f>IF('Modell einstellen'!$B$1="Voll",H22/0.35,H22/0.35*2)</f>
        <v>7.358657142857143E-3</v>
      </c>
      <c r="O22" s="2">
        <f>IF('Modell einstellen'!$B$1="Voll",J22/0.35,J22/0.35*2)</f>
        <v>-1.4358287428571431E-2</v>
      </c>
      <c r="P22" s="3">
        <f t="shared" si="1"/>
        <v>0.51250242617474107</v>
      </c>
    </row>
    <row r="23" spans="1:16" x14ac:dyDescent="0.25">
      <c r="A23" s="3">
        <v>100000</v>
      </c>
      <c r="B23" s="3">
        <v>-2.225E-3</v>
      </c>
      <c r="C23" s="3">
        <v>3.6440000000000001E-3</v>
      </c>
      <c r="D23" s="3">
        <v>-1.6479999999999999E-3</v>
      </c>
      <c r="E23" s="3">
        <v>0</v>
      </c>
      <c r="F23" s="3">
        <v>0</v>
      </c>
      <c r="G23" s="3">
        <v>0</v>
      </c>
      <c r="H23" s="3">
        <v>1.3966364000000001E-3</v>
      </c>
      <c r="I23" s="3">
        <v>8.2631632000000003E-4</v>
      </c>
      <c r="J23" s="3">
        <v>-3.0008460000000002E-3</v>
      </c>
      <c r="L23" s="3">
        <f t="shared" si="0"/>
        <v>-1.350121359223301</v>
      </c>
      <c r="M23" s="3"/>
      <c r="N23" s="2">
        <f>IF('Modell einstellen'!$B$1="Voll",H23/0.35,H23/0.35*2)</f>
        <v>7.9807794285714287E-3</v>
      </c>
      <c r="O23" s="2">
        <f>IF('Modell einstellen'!$B$1="Voll",J23/0.35,J23/0.35*2)</f>
        <v>-1.7147691428571431E-2</v>
      </c>
      <c r="P23" s="3">
        <f t="shared" si="1"/>
        <v>0.46541421985666703</v>
      </c>
    </row>
    <row r="24" spans="1:16" x14ac:dyDescent="0.25">
      <c r="A24" s="3">
        <v>1000000</v>
      </c>
      <c r="B24" s="3">
        <v>-5.9429999999999997E-4</v>
      </c>
      <c r="C24" s="3">
        <v>4.6220000000000002E-3</v>
      </c>
      <c r="D24" s="3">
        <v>-4.2319999999999997E-3</v>
      </c>
      <c r="E24" s="3">
        <v>0</v>
      </c>
      <c r="F24" s="3">
        <v>0</v>
      </c>
      <c r="G24" s="3">
        <v>0</v>
      </c>
      <c r="H24" s="3">
        <v>1.4488960000000001E-3</v>
      </c>
      <c r="I24" s="3">
        <v>9.7982032999999994E-4</v>
      </c>
      <c r="J24" s="3">
        <v>-3.3409365999999999E-3</v>
      </c>
      <c r="L24" s="3">
        <f t="shared" si="0"/>
        <v>-0.14043005671077505</v>
      </c>
      <c r="M24" s="3"/>
      <c r="N24" s="2">
        <f>IF('Modell einstellen'!$B$1="Voll",H24/0.35,H24/0.35*2)</f>
        <v>8.2794057142857157E-3</v>
      </c>
      <c r="O24" s="2">
        <f>IF('Modell einstellen'!$B$1="Voll",J24/0.35,J24/0.35*2)</f>
        <v>-1.9091066285714286E-2</v>
      </c>
      <c r="P24" s="3">
        <f t="shared" si="1"/>
        <v>0.4336795855389774</v>
      </c>
    </row>
    <row r="25" spans="1:16" x14ac:dyDescent="0.25">
      <c r="A25" s="3">
        <v>10000000</v>
      </c>
      <c r="B25" s="3">
        <v>6.0590000000000004E-4</v>
      </c>
      <c r="C25" s="3">
        <v>5.3489999999999996E-3</v>
      </c>
      <c r="D25" s="3">
        <v>-6.1409999999999998E-3</v>
      </c>
      <c r="E25" s="3">
        <v>0</v>
      </c>
      <c r="F25" s="3">
        <v>0</v>
      </c>
      <c r="G25" s="3">
        <v>0</v>
      </c>
      <c r="H25" s="3">
        <v>1.4670028999999999E-3</v>
      </c>
      <c r="I25" s="3">
        <v>1.0784218E-3</v>
      </c>
      <c r="J25" s="3">
        <v>-3.5436636000000001E-3</v>
      </c>
      <c r="L25" s="3">
        <f t="shared" si="0"/>
        <v>9.8664712587526474E-2</v>
      </c>
      <c r="M25" s="3"/>
      <c r="N25" s="2">
        <f>IF('Modell einstellen'!$B$1="Voll",H25/0.35,H25/0.35*2)</f>
        <v>8.3828737142857147E-3</v>
      </c>
      <c r="O25" s="2">
        <f>IF('Modell einstellen'!$B$1="Voll",J25/0.35,J25/0.35*2)</f>
        <v>-2.0249506285714286E-2</v>
      </c>
      <c r="P25" s="3">
        <f t="shared" si="1"/>
        <v>0.41397916551672681</v>
      </c>
    </row>
    <row r="26" spans="1:16" x14ac:dyDescent="0.25">
      <c r="A26" s="3">
        <v>100000000</v>
      </c>
      <c r="B26" s="3">
        <v>1.418E-3</v>
      </c>
      <c r="C26" s="3">
        <v>5.8809999999999999E-3</v>
      </c>
      <c r="D26" s="3">
        <v>-7.4720000000000003E-3</v>
      </c>
      <c r="E26" s="3">
        <v>0</v>
      </c>
      <c r="F26" s="3">
        <v>0</v>
      </c>
      <c r="G26" s="3">
        <v>0</v>
      </c>
      <c r="H26" s="3">
        <v>1.4774314000000001E-3</v>
      </c>
      <c r="I26" s="3">
        <v>1.1423606E-3</v>
      </c>
      <c r="J26" s="3">
        <v>-3.6735983999999998E-3</v>
      </c>
      <c r="L26" s="3">
        <f t="shared" si="0"/>
        <v>0.18977516059957172</v>
      </c>
      <c r="M26" s="3"/>
      <c r="N26" s="2">
        <f>IF('Modell einstellen'!$B$1="Voll",H26/0.35,H26/0.35*2)</f>
        <v>8.4424651428571442E-3</v>
      </c>
      <c r="O26" s="2">
        <f>IF('Modell einstellen'!$B$1="Voll",J26/0.35,J26/0.35*2)</f>
        <v>-2.0991990857142859E-2</v>
      </c>
      <c r="P26" s="3">
        <f t="shared" si="1"/>
        <v>0.40217553448411786</v>
      </c>
    </row>
    <row r="27" spans="1:16" x14ac:dyDescent="0.25">
      <c r="A27" s="3">
        <v>1000000000</v>
      </c>
      <c r="B27" s="3">
        <v>1.9859999999999999E-3</v>
      </c>
      <c r="C27" s="3">
        <v>6.2639999999999996E-3</v>
      </c>
      <c r="D27" s="3">
        <v>-8.4159999999999999E-3</v>
      </c>
      <c r="E27" s="3">
        <v>0</v>
      </c>
      <c r="F27" s="3">
        <v>0</v>
      </c>
      <c r="G27" s="3">
        <v>0</v>
      </c>
      <c r="H27" s="3">
        <v>1.4850436999999999E-3</v>
      </c>
      <c r="I27" s="3">
        <v>1.184287E-3</v>
      </c>
      <c r="J27" s="3">
        <v>-3.7594483E-3</v>
      </c>
      <c r="L27" s="3">
        <f t="shared" si="0"/>
        <v>0.23597908745247148</v>
      </c>
      <c r="M27" s="3"/>
      <c r="N27" s="2">
        <f>IF('Modell einstellen'!$B$1="Voll",H27/0.35,H27/0.35*2)</f>
        <v>8.4859640000000004E-3</v>
      </c>
      <c r="O27" s="2">
        <f>IF('Modell einstellen'!$B$1="Voll",J27/0.35,J27/0.35*2)</f>
        <v>-2.1482561714285715E-2</v>
      </c>
      <c r="P27" s="3">
        <f t="shared" si="1"/>
        <v>0.39501639110185399</v>
      </c>
    </row>
    <row r="28" spans="1:16" x14ac:dyDescent="0.25">
      <c r="A28" s="3">
        <v>10000000000</v>
      </c>
      <c r="B28" s="3">
        <v>2.1159999999999998E-3</v>
      </c>
      <c r="C28" s="3">
        <v>6.3540000000000003E-3</v>
      </c>
      <c r="D28" s="3">
        <v>-8.633E-3</v>
      </c>
      <c r="E28" s="3">
        <v>0</v>
      </c>
      <c r="F28" s="3">
        <v>0</v>
      </c>
      <c r="G28" s="3">
        <v>0</v>
      </c>
      <c r="H28" s="3">
        <v>1.4872793999999999E-3</v>
      </c>
      <c r="I28" s="3">
        <v>1.1940289000000001E-3</v>
      </c>
      <c r="J28" s="3">
        <v>-3.7798259E-3</v>
      </c>
      <c r="L28" s="3">
        <f t="shared" si="0"/>
        <v>0.24510598864821034</v>
      </c>
      <c r="M28" s="3"/>
      <c r="N28" s="2">
        <f>IF('Modell einstellen'!$B$1="Voll",H28/0.35,H28/0.35*2)</f>
        <v>8.4987394285714283E-3</v>
      </c>
      <c r="O28" s="2">
        <f>IF('Modell einstellen'!$B$1="Voll",J28/0.35,J28/0.35*2)</f>
        <v>-2.1599005142857144E-2</v>
      </c>
      <c r="P28" s="3">
        <f t="shared" si="1"/>
        <v>0.39347828163196613</v>
      </c>
    </row>
    <row r="29" spans="1:16" x14ac:dyDescent="0.25">
      <c r="A29" s="3">
        <v>100000000000</v>
      </c>
      <c r="B29" s="3">
        <v>2.2790000000000002E-3</v>
      </c>
      <c r="C29" s="3">
        <v>6.4679999999999998E-3</v>
      </c>
      <c r="D29" s="3">
        <v>-8.9090000000000003E-3</v>
      </c>
      <c r="E29" s="3">
        <v>0</v>
      </c>
      <c r="F29" s="3">
        <v>0</v>
      </c>
      <c r="G29" s="3">
        <v>0</v>
      </c>
      <c r="H29" s="3">
        <v>1.4899183999999999E-3</v>
      </c>
      <c r="I29" s="3">
        <v>1.2060299E-3</v>
      </c>
      <c r="J29" s="3">
        <v>-3.8048327E-3</v>
      </c>
      <c r="L29" s="3">
        <f t="shared" si="0"/>
        <v>0.25580873274217086</v>
      </c>
      <c r="M29" s="3"/>
      <c r="N29" s="2">
        <f>IF('Modell einstellen'!$B$1="Voll",H29/0.35,H29/0.35*2)</f>
        <v>8.5138194285714289E-3</v>
      </c>
      <c r="O29" s="2">
        <f>IF('Modell einstellen'!$B$1="Voll",J29/0.35,J29/0.35*2)</f>
        <v>-2.1741901142857144E-2</v>
      </c>
      <c r="P29" s="3">
        <f t="shared" si="1"/>
        <v>0.39158578509903996</v>
      </c>
    </row>
    <row r="30" spans="1:16" x14ac:dyDescent="0.25">
      <c r="A30" s="3">
        <v>1000000000000</v>
      </c>
      <c r="B30" s="3">
        <v>2.826E-3</v>
      </c>
      <c r="C30" s="3">
        <v>6.8079999999999998E-3</v>
      </c>
      <c r="D30" s="3">
        <v>-9.7890000000000008E-3</v>
      </c>
      <c r="E30" s="3">
        <v>0</v>
      </c>
      <c r="F30" s="3">
        <v>0</v>
      </c>
      <c r="G30" s="3">
        <v>0</v>
      </c>
      <c r="H30" s="3">
        <v>1.4978439000000001E-3</v>
      </c>
      <c r="I30" s="3">
        <v>1.237358E-3</v>
      </c>
      <c r="J30" s="3">
        <v>-3.8710681000000001E-3</v>
      </c>
      <c r="L30" s="3">
        <f t="shared" si="0"/>
        <v>0.28869138829298191</v>
      </c>
      <c r="M30" s="3"/>
      <c r="N30" s="2">
        <f>IF('Modell einstellen'!$B$1="Voll",H30/0.35,H30/0.35*2)</f>
        <v>8.559108000000001E-3</v>
      </c>
      <c r="O30" s="2">
        <f>IF('Modell einstellen'!$B$1="Voll",J30/0.35,J30/0.35*2)</f>
        <v>-2.2120389142857143E-2</v>
      </c>
      <c r="P30" s="3">
        <f t="shared" si="1"/>
        <v>0.38693297594015463</v>
      </c>
    </row>
    <row r="31" spans="1:16" x14ac:dyDescent="0.25">
      <c r="A31" s="3">
        <v>10000000000000</v>
      </c>
      <c r="B31" s="3">
        <v>2.8300000000000001E-3</v>
      </c>
      <c r="C31" s="3">
        <v>6.8129999999999996E-3</v>
      </c>
      <c r="D31" s="3">
        <v>-9.7990000000000004E-3</v>
      </c>
      <c r="E31" s="3">
        <v>0</v>
      </c>
      <c r="F31" s="3">
        <v>0</v>
      </c>
      <c r="G31" s="3">
        <v>0</v>
      </c>
      <c r="H31" s="3">
        <v>1.4983258000000001E-3</v>
      </c>
      <c r="I31" s="3">
        <v>1.2379768000000001E-3</v>
      </c>
      <c r="J31" s="3">
        <v>-3.8726876999999999E-3</v>
      </c>
      <c r="L31" s="3">
        <f t="shared" si="0"/>
        <v>0.28880498010001021</v>
      </c>
      <c r="M31" s="3"/>
      <c r="N31" s="2">
        <f>IF('Modell einstellen'!$B$1="Voll",H31/0.35,H31/0.35*2)</f>
        <v>8.5618617142857144E-3</v>
      </c>
      <c r="O31" s="2">
        <f>IF('Modell einstellen'!$B$1="Voll",J31/0.35,J31/0.35*2)</f>
        <v>-2.2129644E-2</v>
      </c>
      <c r="P31" s="3">
        <f t="shared" si="1"/>
        <v>0.38689559191669393</v>
      </c>
    </row>
    <row r="32" spans="1:16" x14ac:dyDescent="0.25">
      <c r="A32" s="3">
        <v>100000000000000</v>
      </c>
      <c r="B32" s="3">
        <v>3.1059999999999998E-3</v>
      </c>
      <c r="C32" s="3">
        <v>6.973E-3</v>
      </c>
      <c r="D32" s="3">
        <v>-1.023E-2</v>
      </c>
      <c r="E32" s="3">
        <v>0</v>
      </c>
      <c r="F32" s="3">
        <v>0</v>
      </c>
      <c r="G32" s="3">
        <v>0</v>
      </c>
      <c r="H32" s="3">
        <v>1.5017183000000001E-3</v>
      </c>
      <c r="I32" s="3">
        <v>1.2518473E-3</v>
      </c>
      <c r="J32" s="3">
        <v>-3.9018899999999999E-3</v>
      </c>
      <c r="L32" s="3">
        <f t="shared" si="0"/>
        <v>0.30361681329423262</v>
      </c>
      <c r="M32" s="3"/>
      <c r="N32" s="2">
        <f>IF('Modell einstellen'!$B$1="Voll",H32/0.35,H32/0.35*2)</f>
        <v>8.5812474285714303E-3</v>
      </c>
      <c r="O32" s="2">
        <f>IF('Modell einstellen'!$B$1="Voll",J32/0.35,J32/0.35*2)</f>
        <v>-2.2296514285714285E-2</v>
      </c>
      <c r="P32" s="3">
        <f t="shared" si="1"/>
        <v>0.38486946069725192</v>
      </c>
    </row>
    <row r="33" spans="1:16" x14ac:dyDescent="0.25">
      <c r="A33" s="3">
        <v>1000000000000000</v>
      </c>
      <c r="B33" s="3">
        <v>3.2130000000000001E-3</v>
      </c>
      <c r="C33" s="3">
        <v>7.0590000000000002E-3</v>
      </c>
      <c r="D33" s="3">
        <v>-1.042E-2</v>
      </c>
      <c r="E33" s="3">
        <v>0</v>
      </c>
      <c r="F33" s="3">
        <v>0</v>
      </c>
      <c r="G33" s="3">
        <v>0</v>
      </c>
      <c r="H33" s="3">
        <v>1.5019628E-3</v>
      </c>
      <c r="I33" s="3">
        <v>1.258129E-3</v>
      </c>
      <c r="J33" s="3">
        <v>-3.9138471999999999E-3</v>
      </c>
      <c r="L33" s="3">
        <f t="shared" si="0"/>
        <v>0.30834932821497119</v>
      </c>
      <c r="M33" s="3"/>
      <c r="N33" s="2">
        <f>IF('Modell einstellen'!$B$1="Voll",H33/0.35,H33/0.35*2)</f>
        <v>8.5826445714285715E-3</v>
      </c>
      <c r="O33" s="2">
        <f>IF('Modell einstellen'!$B$1="Voll",J33/0.35,J33/0.35*2)</f>
        <v>-2.2364841142857143E-2</v>
      </c>
      <c r="P33" s="3">
        <f t="shared" si="1"/>
        <v>0.38375611597713882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2022-01-12T17:02:17Z</dcterms:modified>
</cp:coreProperties>
</file>