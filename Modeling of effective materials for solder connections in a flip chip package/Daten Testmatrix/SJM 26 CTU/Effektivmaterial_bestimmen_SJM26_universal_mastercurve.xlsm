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1" activeTab="6"/>
  </bookViews>
  <sheets>
    <sheet name="Modell einstellen" sheetId="42" r:id="rId1"/>
    <sheet name="Output" sheetId="39" r:id="rId2"/>
    <sheet name="CTE" sheetId="37" r:id="rId3"/>
    <sheet name="STUTT" sheetId="50" r:id="rId4"/>
    <sheet name="Comparison" sheetId="8" r:id="rId5"/>
    <sheet name="Mastercurve bestimmen" sheetId="43" r:id="rId6"/>
    <sheet name="Universal Mastercurve" sheetId="52" r:id="rId7"/>
    <sheet name="Shiftfunktion bestimmen" sheetId="44" r:id="rId8"/>
    <sheet name="creep_res-40" sheetId="2" r:id="rId9"/>
    <sheet name="creep_res0" sheetId="34" r:id="rId10"/>
    <sheet name="creep_res25" sheetId="4" r:id="rId11"/>
    <sheet name="creep_res50" sheetId="5" r:id="rId12"/>
    <sheet name="creep_res80" sheetId="11" r:id="rId13"/>
    <sheet name="creep_res125" sheetId="36" r:id="rId14"/>
    <sheet name="creep_res160" sheetId="35" r:id="rId15"/>
  </sheets>
  <definedNames>
    <definedName name="creep_res_25" localSheetId="8">'creep_res-40'!$A$1:$J$33</definedName>
    <definedName name="creep_res110" localSheetId="14">creep_res160!$A$1:$J$33</definedName>
    <definedName name="creep_res120" localSheetId="13">creep_res125!$A$1:$J$33</definedName>
    <definedName name="creep_res50" localSheetId="9">creep_res0!$A$1:$J$33</definedName>
    <definedName name="creep_res75_1" localSheetId="10">creep_res25!$A$1:$J$33</definedName>
    <definedName name="creep_res80" localSheetId="11">creep_res50!$A$1:$J$33</definedName>
    <definedName name="CTE_res100" localSheetId="2">CTE!$A$1:$J$14</definedName>
    <definedName name="res_z80" localSheetId="12">creep_res80!$A$1:$J$33</definedName>
    <definedName name="solver_adj" localSheetId="5" hidden="1">'Mastercurve bestimmen'!$B$126:$H$126</definedName>
    <definedName name="solver_adj" localSheetId="6" hidden="1">'Universal Mastercurve'!$B$110:$B$141</definedName>
    <definedName name="solver_cvg" localSheetId="5" hidden="1">0.000000000000001</definedName>
    <definedName name="solver_cvg" localSheetId="6" hidden="1">"""""""""""""""""""""""""""""""""""""""""""""""""""""""""""""""""""""""""""""""""""""""""""""""""""""""""""""""""""""""""""""""0,0001"""""""""""""""""""""""""""""""""""""""""""""""""""""""""""""""""""""""""""""""""""""""""""""""""""""""""""""""""""""""""""""""</definedName>
    <definedName name="solver_drv" localSheetId="5" hidden="1">1</definedName>
    <definedName name="solver_drv" localSheetId="6" hidden="1">2</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'Mastercurve bestimmen'!$C$18:$C$48</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0.000000000000001</definedName>
    <definedName name="solver_mrt" localSheetId="6" hidden="1">"""""""""""""""""""""""""""""""""""""""""""""""""""""""""""""""""""""""""""""""""""""""""""""""""""""""""""""""""""""""""""""""0,075"""""""""""""""""""""""""""""""""""""""""""""""""""""""""""""""""""""""""""""""""""""""""""""""""""""""""""""""""""""""""""""""</definedName>
    <definedName name="solver_msl" localSheetId="5" hidden="1">2</definedName>
    <definedName name="solver_msl" localSheetId="6" hidden="1">2</definedName>
    <definedName name="solver_neg" localSheetId="5" hidden="1">2</definedName>
    <definedName name="solver_neg" localSheetId="6" hidden="1">1</definedName>
    <definedName name="solver_nod" localSheetId="5" hidden="1">2147483647</definedName>
    <definedName name="solver_nod" localSheetId="6" hidden="1">2147483647</definedName>
    <definedName name="solver_num" localSheetId="5" hidden="1">0</definedName>
    <definedName name="solver_num" localSheetId="6" hidden="1">0</definedName>
    <definedName name="solver_nwt" localSheetId="5" hidden="1">1</definedName>
    <definedName name="solver_nwt" localSheetId="6" hidden="1">1</definedName>
    <definedName name="solver_opt" localSheetId="5" hidden="1">'Mastercurve bestimmen'!$A$121</definedName>
    <definedName name="solver_opt" localSheetId="6" hidden="1">'Universal Mastercurve'!$G$146</definedName>
    <definedName name="solver_pre" localSheetId="5" hidden="1">0.000000000000001</definedName>
    <definedName name="solver_pre" localSheetId="6" hidden="1">"""""""""""""""""""""""""""""""""""""""""""""""""""""""""""""""""""""""""""""""""""""""""""""""""""""""""""""""""""""""""""""""0,000001"""""""""""""""""""""""""""""""""""""""""""""""""""""""""""""""""""""""""""""""""""""""""""""""""""""""""""""""""""""""""""""""</definedName>
    <definedName name="solver_rbv" localSheetId="5" hidden="1">2</definedName>
    <definedName name="solver_rbv" localSheetId="6" hidden="1">2</definedName>
    <definedName name="solver_rel1" localSheetId="5" hidden="1">3</definedName>
    <definedName name="solver_rhs1" localSheetId="5" hidden="1">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2</definedName>
    <definedName name="solver_scl" localSheetId="6" hidden="1">2</definedName>
    <definedName name="solver_sho" localSheetId="5" hidden="1">2</definedName>
    <definedName name="solver_sho" localSheetId="6" hidden="1">2</definedName>
    <definedName name="solver_ssz" localSheetId="5" hidden="1">0</definedName>
    <definedName name="solver_ssz" localSheetId="6" hidden="1">100</definedName>
    <definedName name="solver_tim" localSheetId="5" hidden="1">2147483647</definedName>
    <definedName name="solver_tim" localSheetId="6" hidden="1">2147483647</definedName>
    <definedName name="solver_tol" localSheetId="5" hidden="1">1</definedName>
    <definedName name="solver_tol" localSheetId="6" hidden="1">1</definedName>
    <definedName name="solver_typ" localSheetId="5" hidden="1">2</definedName>
    <definedName name="solver_typ" localSheetId="6" hidden="1">2</definedName>
    <definedName name="solver_val" localSheetId="5" hidden="1">0</definedName>
    <definedName name="solver_val" localSheetId="6" hidden="1">0</definedName>
    <definedName name="solver_ver" localSheetId="5" hidden="1">3</definedName>
    <definedName name="solver_ver" localSheetId="6" hidden="1">3</definedName>
    <definedName name="STUTT" localSheetId="3">STUTT!$A$1:$D$10</definedName>
  </definedNames>
  <calcPr calcId="152511"/>
</workbook>
</file>

<file path=xl/calcChain.xml><?xml version="1.0" encoding="utf-8"?>
<calcChain xmlns="http://schemas.openxmlformats.org/spreadsheetml/2006/main">
  <c r="M11" i="8" l="1"/>
  <c r="M12" i="8" s="1"/>
  <c r="M13" i="8" s="1"/>
  <c r="M14" i="8" s="1"/>
  <c r="M15" i="8" s="1"/>
  <c r="M16" i="8" s="1"/>
  <c r="M17" i="8" s="1"/>
  <c r="M18" i="8" s="1"/>
  <c r="M19" i="8" s="1"/>
  <c r="M20" i="8" s="1"/>
  <c r="M21" i="8" s="1"/>
  <c r="M22" i="8" s="1"/>
  <c r="M23" i="8" s="1"/>
  <c r="M24" i="8" s="1"/>
  <c r="M25" i="8" s="1"/>
  <c r="M26" i="8" s="1"/>
  <c r="M27" i="8" s="1"/>
  <c r="M28" i="8" s="1"/>
  <c r="M29" i="8" s="1"/>
  <c r="M30" i="8" s="1"/>
  <c r="M31" i="8" s="1"/>
  <c r="M32" i="8" s="1"/>
  <c r="L1" i="37"/>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144" i="52" l="1"/>
  <c r="G108" i="52"/>
  <c r="H108" i="52"/>
  <c r="I108" i="52"/>
  <c r="J108" i="52"/>
  <c r="K108" i="52"/>
  <c r="L108" i="52"/>
  <c r="M108" i="52"/>
  <c r="N108" i="52"/>
  <c r="O108" i="52"/>
  <c r="P108" i="52"/>
  <c r="Q108" i="52"/>
  <c r="R108" i="52"/>
  <c r="S108" i="52"/>
  <c r="T108" i="52"/>
  <c r="U108" i="52"/>
  <c r="V108" i="52"/>
  <c r="W108" i="52"/>
  <c r="X108" i="52"/>
  <c r="Y108" i="52"/>
  <c r="Z108" i="52"/>
  <c r="AA108" i="52"/>
  <c r="AB108" i="52"/>
  <c r="AC108" i="52"/>
  <c r="AD108" i="52"/>
  <c r="AE108" i="52"/>
  <c r="AF108" i="52"/>
  <c r="AG108" i="52"/>
  <c r="AH108" i="52"/>
  <c r="AI108" i="52"/>
  <c r="AJ108" i="52"/>
  <c r="F108" i="52"/>
  <c r="A132" i="52"/>
  <c r="A133" i="52" s="1"/>
  <c r="A111"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72" i="52"/>
  <c r="B142" i="52" l="1"/>
  <c r="C140" i="52" s="1"/>
  <c r="N140" i="52" s="1"/>
  <c r="A134" i="52"/>
  <c r="A39" i="52"/>
  <c r="A40" i="52"/>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38" i="52"/>
  <c r="A37" i="52"/>
  <c r="B436" i="43"/>
  <c r="C1" i="52"/>
  <c r="I441" i="43"/>
  <c r="I7" i="52" s="1"/>
  <c r="I449" i="43"/>
  <c r="I15" i="52" s="1"/>
  <c r="I453" i="43"/>
  <c r="I19" i="52" s="1"/>
  <c r="I457" i="43"/>
  <c r="I23" i="52" s="1"/>
  <c r="B459" i="43"/>
  <c r="B25" i="52" s="1"/>
  <c r="C459" i="43"/>
  <c r="C25" i="52" s="1"/>
  <c r="D459" i="43"/>
  <c r="D25" i="52" s="1"/>
  <c r="E459" i="43"/>
  <c r="E25" i="52" s="1"/>
  <c r="H459" i="43"/>
  <c r="H25" i="52" s="1"/>
  <c r="I459" i="43"/>
  <c r="I25" i="52" s="1"/>
  <c r="J459" i="43"/>
  <c r="J25" i="52" s="1"/>
  <c r="K459" i="43"/>
  <c r="K25" i="52" s="1"/>
  <c r="N459" i="43"/>
  <c r="N25" i="52" s="1"/>
  <c r="O459" i="43"/>
  <c r="O25" i="52" s="1"/>
  <c r="P459" i="43"/>
  <c r="P25" i="52" s="1"/>
  <c r="B460" i="43"/>
  <c r="B26" i="52" s="1"/>
  <c r="E460" i="43"/>
  <c r="E26" i="52" s="1"/>
  <c r="F460" i="43"/>
  <c r="F26" i="52" s="1"/>
  <c r="G460" i="43"/>
  <c r="G26" i="52" s="1"/>
  <c r="H460" i="43"/>
  <c r="H26" i="52" s="1"/>
  <c r="K460" i="43"/>
  <c r="K26" i="52" s="1"/>
  <c r="L460" i="43"/>
  <c r="L26" i="52" s="1"/>
  <c r="M460" i="43"/>
  <c r="M26" i="52" s="1"/>
  <c r="N460" i="43"/>
  <c r="N26" i="52" s="1"/>
  <c r="B461" i="43"/>
  <c r="B27" i="52" s="1"/>
  <c r="C461" i="43"/>
  <c r="C27" i="52" s="1"/>
  <c r="D461" i="43"/>
  <c r="D27" i="52" s="1"/>
  <c r="E461" i="43"/>
  <c r="E27" i="52" s="1"/>
  <c r="H461" i="43"/>
  <c r="H27" i="52" s="1"/>
  <c r="I461" i="43"/>
  <c r="I27" i="52" s="1"/>
  <c r="J461" i="43"/>
  <c r="J27" i="52" s="1"/>
  <c r="K461" i="43"/>
  <c r="K27" i="52" s="1"/>
  <c r="N461" i="43"/>
  <c r="N27" i="52" s="1"/>
  <c r="O461" i="43"/>
  <c r="O27" i="52" s="1"/>
  <c r="P461" i="43"/>
  <c r="P27" i="52" s="1"/>
  <c r="B462" i="43"/>
  <c r="B28" i="52" s="1"/>
  <c r="E462" i="43"/>
  <c r="E28" i="52" s="1"/>
  <c r="F462" i="43"/>
  <c r="F28" i="52" s="1"/>
  <c r="G462" i="43"/>
  <c r="G28" i="52" s="1"/>
  <c r="H462" i="43"/>
  <c r="H28" i="52" s="1"/>
  <c r="K462" i="43"/>
  <c r="K28" i="52" s="1"/>
  <c r="L462" i="43"/>
  <c r="L28" i="52" s="1"/>
  <c r="M462" i="43"/>
  <c r="M28" i="52" s="1"/>
  <c r="N462" i="43"/>
  <c r="N28" i="52" s="1"/>
  <c r="B463" i="43"/>
  <c r="B29" i="52" s="1"/>
  <c r="C463" i="43"/>
  <c r="C29" i="52" s="1"/>
  <c r="D463" i="43"/>
  <c r="D29" i="52" s="1"/>
  <c r="E463" i="43"/>
  <c r="E29" i="52" s="1"/>
  <c r="H463" i="43"/>
  <c r="H29" i="52" s="1"/>
  <c r="I463" i="43"/>
  <c r="I29" i="52" s="1"/>
  <c r="J463" i="43"/>
  <c r="J29" i="52" s="1"/>
  <c r="K463" i="43"/>
  <c r="K29" i="52" s="1"/>
  <c r="N463" i="43"/>
  <c r="N29" i="52" s="1"/>
  <c r="O463" i="43"/>
  <c r="O29" i="52" s="1"/>
  <c r="P463" i="43"/>
  <c r="P29" i="52" s="1"/>
  <c r="B464" i="43"/>
  <c r="B30" i="52" s="1"/>
  <c r="E464" i="43"/>
  <c r="E30" i="52" s="1"/>
  <c r="F464" i="43"/>
  <c r="F30" i="52" s="1"/>
  <c r="G464" i="43"/>
  <c r="G30" i="52" s="1"/>
  <c r="H464" i="43"/>
  <c r="H30" i="52" s="1"/>
  <c r="K464" i="43"/>
  <c r="K30" i="52" s="1"/>
  <c r="L464" i="43"/>
  <c r="L30" i="52" s="1"/>
  <c r="M464" i="43"/>
  <c r="M30" i="52" s="1"/>
  <c r="N464" i="43"/>
  <c r="N30" i="52" s="1"/>
  <c r="B465" i="43"/>
  <c r="B31" i="52" s="1"/>
  <c r="C465" i="43"/>
  <c r="C31" i="52" s="1"/>
  <c r="D465" i="43"/>
  <c r="D31" i="52" s="1"/>
  <c r="E465" i="43"/>
  <c r="E31" i="52" s="1"/>
  <c r="H465" i="43"/>
  <c r="H31" i="52" s="1"/>
  <c r="I465" i="43"/>
  <c r="I31" i="52" s="1"/>
  <c r="J465" i="43"/>
  <c r="J31" i="52" s="1"/>
  <c r="K465" i="43"/>
  <c r="K31" i="52" s="1"/>
  <c r="N465" i="43"/>
  <c r="N31" i="52" s="1"/>
  <c r="O465" i="43"/>
  <c r="O31" i="52" s="1"/>
  <c r="P465" i="43"/>
  <c r="P31" i="52" s="1"/>
  <c r="B466" i="43"/>
  <c r="B32" i="52" s="1"/>
  <c r="E466" i="43"/>
  <c r="E32" i="52" s="1"/>
  <c r="F466" i="43"/>
  <c r="F32" i="52" s="1"/>
  <c r="G466" i="43"/>
  <c r="G32" i="52" s="1"/>
  <c r="H466" i="43"/>
  <c r="H32" i="52" s="1"/>
  <c r="K466" i="43"/>
  <c r="K32" i="52" s="1"/>
  <c r="L466" i="43"/>
  <c r="L32" i="52" s="1"/>
  <c r="M466" i="43"/>
  <c r="M32" i="52" s="1"/>
  <c r="N466" i="43"/>
  <c r="N32" i="52" s="1"/>
  <c r="B467" i="43"/>
  <c r="B33" i="52" s="1"/>
  <c r="C467" i="43"/>
  <c r="C33" i="52" s="1"/>
  <c r="D467" i="43"/>
  <c r="D33" i="52" s="1"/>
  <c r="E467" i="43"/>
  <c r="E33" i="52" s="1"/>
  <c r="H467" i="43"/>
  <c r="H33" i="52" s="1"/>
  <c r="I467" i="43"/>
  <c r="I33" i="52" s="1"/>
  <c r="J467" i="43"/>
  <c r="J33" i="52" s="1"/>
  <c r="K467" i="43"/>
  <c r="K33" i="52" s="1"/>
  <c r="N467" i="43"/>
  <c r="N33" i="52" s="1"/>
  <c r="O467" i="43"/>
  <c r="O33" i="52" s="1"/>
  <c r="P467" i="43"/>
  <c r="P33" i="52" s="1"/>
  <c r="B468" i="43"/>
  <c r="B34" i="52" s="1"/>
  <c r="E468" i="43"/>
  <c r="E34" i="52" s="1"/>
  <c r="F468" i="43"/>
  <c r="F34" i="52" s="1"/>
  <c r="G468" i="43"/>
  <c r="G34" i="52" s="1"/>
  <c r="H468" i="43"/>
  <c r="H34" i="52" s="1"/>
  <c r="K468" i="43"/>
  <c r="K34" i="52" s="1"/>
  <c r="L468" i="43"/>
  <c r="L34" i="52" s="1"/>
  <c r="M468" i="43"/>
  <c r="M34" i="52" s="1"/>
  <c r="N468" i="43"/>
  <c r="N34" i="52" s="1"/>
  <c r="A439" i="43"/>
  <c r="A5" i="52" s="1"/>
  <c r="A440" i="43"/>
  <c r="A6" i="52" s="1"/>
  <c r="A441" i="43"/>
  <c r="A7" i="52" s="1"/>
  <c r="A442" i="43"/>
  <c r="A8" i="52" s="1"/>
  <c r="A443" i="43"/>
  <c r="A9" i="52" s="1"/>
  <c r="A444" i="43"/>
  <c r="A10" i="52" s="1"/>
  <c r="A445" i="43"/>
  <c r="A11" i="52" s="1"/>
  <c r="A446" i="43"/>
  <c r="A12" i="52" s="1"/>
  <c r="A447" i="43"/>
  <c r="A13" i="52" s="1"/>
  <c r="A448" i="43"/>
  <c r="A14" i="52" s="1"/>
  <c r="A449" i="43"/>
  <c r="A15" i="52" s="1"/>
  <c r="A450" i="43"/>
  <c r="A16" i="52" s="1"/>
  <c r="A451" i="43"/>
  <c r="A17" i="52" s="1"/>
  <c r="A452" i="43"/>
  <c r="A18" i="52" s="1"/>
  <c r="A453" i="43"/>
  <c r="A19" i="52" s="1"/>
  <c r="A454" i="43"/>
  <c r="A20" i="52" s="1"/>
  <c r="A455" i="43"/>
  <c r="A21" i="52" s="1"/>
  <c r="A456" i="43"/>
  <c r="A22" i="52" s="1"/>
  <c r="A457" i="43"/>
  <c r="A23" i="52" s="1"/>
  <c r="A458" i="43"/>
  <c r="A24" i="52" s="1"/>
  <c r="A459" i="43"/>
  <c r="A25" i="52" s="1"/>
  <c r="A460" i="43"/>
  <c r="A26" i="52" s="1"/>
  <c r="A461" i="43"/>
  <c r="A27" i="52" s="1"/>
  <c r="A462" i="43"/>
  <c r="A28" i="52" s="1"/>
  <c r="A463" i="43"/>
  <c r="A29" i="52" s="1"/>
  <c r="A464" i="43"/>
  <c r="A30" i="52" s="1"/>
  <c r="A465" i="43"/>
  <c r="A31" i="52" s="1"/>
  <c r="A466" i="43"/>
  <c r="A32" i="52" s="1"/>
  <c r="A467" i="43"/>
  <c r="A33" i="52" s="1"/>
  <c r="A468" i="43"/>
  <c r="A34" i="52" s="1"/>
  <c r="A438" i="43"/>
  <c r="A4" i="52" s="1"/>
  <c r="D436" i="43"/>
  <c r="A1" i="52" s="1"/>
  <c r="G140" i="52" l="1"/>
  <c r="J140" i="52"/>
  <c r="P140" i="52"/>
  <c r="C112" i="52"/>
  <c r="L112" i="52" s="1"/>
  <c r="C127" i="52"/>
  <c r="L127" i="52" s="1"/>
  <c r="C134" i="52"/>
  <c r="W134" i="52" s="1"/>
  <c r="O140" i="52"/>
  <c r="C141" i="52"/>
  <c r="L141" i="52" s="1"/>
  <c r="K140" i="52"/>
  <c r="C137" i="52"/>
  <c r="N137" i="52" s="1"/>
  <c r="W140" i="52"/>
  <c r="C131" i="52"/>
  <c r="O131" i="52" s="1"/>
  <c r="I140" i="52"/>
  <c r="C120" i="52"/>
  <c r="H120" i="52" s="1"/>
  <c r="C125" i="52"/>
  <c r="G125" i="52" s="1"/>
  <c r="C119" i="52"/>
  <c r="B82" i="39" s="1"/>
  <c r="C113" i="52"/>
  <c r="G113" i="52" s="1"/>
  <c r="AE140" i="52"/>
  <c r="AA140" i="52"/>
  <c r="AC140" i="52"/>
  <c r="C121" i="52"/>
  <c r="H121" i="52" s="1"/>
  <c r="C128" i="52"/>
  <c r="G128" i="52" s="1"/>
  <c r="C135" i="52"/>
  <c r="B98" i="39" s="1"/>
  <c r="C129" i="52"/>
  <c r="M129" i="52" s="1"/>
  <c r="C123" i="52"/>
  <c r="L123" i="52" s="1"/>
  <c r="AI140" i="52"/>
  <c r="C116" i="52"/>
  <c r="K116" i="52" s="1"/>
  <c r="AB140" i="52"/>
  <c r="AD140" i="52"/>
  <c r="H140" i="52"/>
  <c r="C115" i="52"/>
  <c r="B78" i="39" s="1"/>
  <c r="C122" i="52"/>
  <c r="B85" i="39" s="1"/>
  <c r="Y140" i="52"/>
  <c r="T140" i="52"/>
  <c r="AH140" i="52"/>
  <c r="U140" i="52"/>
  <c r="M140" i="52"/>
  <c r="V140" i="52"/>
  <c r="C133" i="52"/>
  <c r="AJ133" i="52" s="1"/>
  <c r="AF140" i="52"/>
  <c r="C136" i="52"/>
  <c r="H136" i="52" s="1"/>
  <c r="X140" i="52"/>
  <c r="C111" i="52"/>
  <c r="AH111" i="52" s="1"/>
  <c r="Q140" i="52"/>
  <c r="C110" i="52"/>
  <c r="C138" i="52"/>
  <c r="B101" i="39" s="1"/>
  <c r="Z140" i="52"/>
  <c r="C139" i="52"/>
  <c r="O139" i="52" s="1"/>
  <c r="F140" i="52"/>
  <c r="L140" i="52"/>
  <c r="C126" i="52"/>
  <c r="Z126" i="52" s="1"/>
  <c r="R140" i="52"/>
  <c r="C130" i="52"/>
  <c r="U130" i="52" s="1"/>
  <c r="C132" i="52"/>
  <c r="S132" i="52" s="1"/>
  <c r="AJ140" i="52"/>
  <c r="AG140" i="52"/>
  <c r="C124" i="52"/>
  <c r="AJ124" i="52" s="1"/>
  <c r="C117" i="52"/>
  <c r="F117" i="52" s="1"/>
  <c r="C118" i="52"/>
  <c r="I118" i="52" s="1"/>
  <c r="C114" i="52"/>
  <c r="AB114" i="52" s="1"/>
  <c r="S140" i="52"/>
  <c r="B103" i="39"/>
  <c r="A135" i="52"/>
  <c r="I438" i="43"/>
  <c r="I4" i="52" s="1"/>
  <c r="I440" i="43"/>
  <c r="I6" i="52" s="1"/>
  <c r="I442" i="43"/>
  <c r="I8" i="52" s="1"/>
  <c r="I444" i="43"/>
  <c r="I10" i="52" s="1"/>
  <c r="I446" i="43"/>
  <c r="I12" i="52" s="1"/>
  <c r="I448" i="43"/>
  <c r="I14" i="52" s="1"/>
  <c r="I450" i="43"/>
  <c r="I16" i="52" s="1"/>
  <c r="I452" i="43"/>
  <c r="I18" i="52" s="1"/>
  <c r="I454" i="43"/>
  <c r="I20" i="52" s="1"/>
  <c r="I456" i="43"/>
  <c r="I22" i="52" s="1"/>
  <c r="I458" i="43"/>
  <c r="I24" i="52" s="1"/>
  <c r="F459" i="43"/>
  <c r="F25" i="52" s="1"/>
  <c r="L459" i="43"/>
  <c r="L25" i="52" s="1"/>
  <c r="C460" i="43"/>
  <c r="C26" i="52" s="1"/>
  <c r="I460" i="43"/>
  <c r="I26" i="52" s="1"/>
  <c r="O460" i="43"/>
  <c r="O26" i="52" s="1"/>
  <c r="F461" i="43"/>
  <c r="F27" i="52" s="1"/>
  <c r="L461" i="43"/>
  <c r="L27" i="52" s="1"/>
  <c r="C462" i="43"/>
  <c r="C28" i="52" s="1"/>
  <c r="I462" i="43"/>
  <c r="I28" i="52" s="1"/>
  <c r="O462" i="43"/>
  <c r="O28" i="52" s="1"/>
  <c r="F463" i="43"/>
  <c r="F29" i="52" s="1"/>
  <c r="L463" i="43"/>
  <c r="L29" i="52" s="1"/>
  <c r="C464" i="43"/>
  <c r="C30" i="52" s="1"/>
  <c r="I464" i="43"/>
  <c r="I30" i="52" s="1"/>
  <c r="O464" i="43"/>
  <c r="O30" i="52" s="1"/>
  <c r="F465" i="43"/>
  <c r="F31" i="52" s="1"/>
  <c r="L465" i="43"/>
  <c r="L31" i="52" s="1"/>
  <c r="C466" i="43"/>
  <c r="C32" i="52" s="1"/>
  <c r="I466" i="43"/>
  <c r="I32" i="52" s="1"/>
  <c r="O466" i="43"/>
  <c r="O32" i="52" s="1"/>
  <c r="F467" i="43"/>
  <c r="F33" i="52" s="1"/>
  <c r="L467" i="43"/>
  <c r="L33" i="52" s="1"/>
  <c r="C468" i="43"/>
  <c r="C34" i="52" s="1"/>
  <c r="I468" i="43"/>
  <c r="I34" i="52" s="1"/>
  <c r="O468" i="43"/>
  <c r="O34" i="52" s="1"/>
  <c r="G459" i="43"/>
  <c r="G25" i="52" s="1"/>
  <c r="M459" i="43"/>
  <c r="M25" i="52" s="1"/>
  <c r="D460" i="43"/>
  <c r="D26" i="52" s="1"/>
  <c r="J460" i="43"/>
  <c r="J26" i="52" s="1"/>
  <c r="P460" i="43"/>
  <c r="P26" i="52" s="1"/>
  <c r="G461" i="43"/>
  <c r="G27" i="52" s="1"/>
  <c r="M461" i="43"/>
  <c r="M27" i="52" s="1"/>
  <c r="D462" i="43"/>
  <c r="D28" i="52" s="1"/>
  <c r="J462" i="43"/>
  <c r="J28" i="52" s="1"/>
  <c r="P462" i="43"/>
  <c r="P28" i="52" s="1"/>
  <c r="G463" i="43"/>
  <c r="G29" i="52" s="1"/>
  <c r="M463" i="43"/>
  <c r="M29" i="52" s="1"/>
  <c r="D464" i="43"/>
  <c r="D30" i="52" s="1"/>
  <c r="J464" i="43"/>
  <c r="J30" i="52" s="1"/>
  <c r="P464" i="43"/>
  <c r="P30" i="52" s="1"/>
  <c r="G465" i="43"/>
  <c r="G31" i="52" s="1"/>
  <c r="M465" i="43"/>
  <c r="M31" i="52" s="1"/>
  <c r="D466" i="43"/>
  <c r="D32" i="52" s="1"/>
  <c r="J466" i="43"/>
  <c r="J32" i="52" s="1"/>
  <c r="P466" i="43"/>
  <c r="P32" i="52" s="1"/>
  <c r="G467" i="43"/>
  <c r="G33" i="52" s="1"/>
  <c r="M467" i="43"/>
  <c r="M33" i="52" s="1"/>
  <c r="D468" i="43"/>
  <c r="D34" i="52" s="1"/>
  <c r="J468" i="43"/>
  <c r="J34" i="52" s="1"/>
  <c r="P468" i="43"/>
  <c r="P34" i="52" s="1"/>
  <c r="I443" i="43"/>
  <c r="I9" i="52" s="1"/>
  <c r="I445" i="43"/>
  <c r="I11" i="52" s="1"/>
  <c r="I439" i="43"/>
  <c r="I5" i="52" s="1"/>
  <c r="I455" i="43"/>
  <c r="I21" i="52" s="1"/>
  <c r="I451" i="43"/>
  <c r="I17" i="52" s="1"/>
  <c r="I447" i="43"/>
  <c r="I13" i="52" s="1"/>
  <c r="I404" i="43"/>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M123" i="52" l="1"/>
  <c r="AG115" i="52"/>
  <c r="AD115" i="52"/>
  <c r="AG123" i="52"/>
  <c r="Q123" i="52"/>
  <c r="U115" i="52"/>
  <c r="AB123" i="52"/>
  <c r="AH120" i="52"/>
  <c r="P123" i="52"/>
  <c r="U123" i="52"/>
  <c r="O123" i="52"/>
  <c r="F115" i="52"/>
  <c r="AI123" i="52"/>
  <c r="K115" i="52"/>
  <c r="G115" i="52"/>
  <c r="AH115" i="52"/>
  <c r="T115" i="52"/>
  <c r="AB115" i="52"/>
  <c r="Y115" i="52"/>
  <c r="AE123" i="52"/>
  <c r="AF123" i="52"/>
  <c r="N111" i="52"/>
  <c r="AG122" i="52"/>
  <c r="AI115" i="52"/>
  <c r="N115" i="52"/>
  <c r="J115" i="52"/>
  <c r="V115" i="52"/>
  <c r="V123" i="52"/>
  <c r="AA123" i="52"/>
  <c r="X123" i="52"/>
  <c r="Z123" i="52"/>
  <c r="H115" i="52"/>
  <c r="G123" i="52"/>
  <c r="Z115" i="52"/>
  <c r="AA115" i="52"/>
  <c r="AF115" i="52"/>
  <c r="AE115" i="52"/>
  <c r="P115" i="52"/>
  <c r="AJ123" i="52"/>
  <c r="R123" i="52"/>
  <c r="N123" i="52"/>
  <c r="T123" i="52"/>
  <c r="L115" i="52"/>
  <c r="R115" i="52"/>
  <c r="AJ115" i="52"/>
  <c r="W115" i="52"/>
  <c r="X115" i="52"/>
  <c r="F123" i="52"/>
  <c r="H123" i="52"/>
  <c r="AH123" i="52"/>
  <c r="AD123" i="52"/>
  <c r="K123" i="52"/>
  <c r="I123" i="52"/>
  <c r="AC115" i="52"/>
  <c r="S115" i="52"/>
  <c r="M115" i="52"/>
  <c r="Q115" i="52"/>
  <c r="S123" i="52"/>
  <c r="AC123" i="52"/>
  <c r="Y123" i="52"/>
  <c r="W123" i="52"/>
  <c r="AD120" i="52"/>
  <c r="O115" i="52"/>
  <c r="B86" i="39"/>
  <c r="N122" i="52"/>
  <c r="AG141" i="52"/>
  <c r="Y141" i="52"/>
  <c r="S122" i="52"/>
  <c r="L120" i="52"/>
  <c r="AA141" i="52"/>
  <c r="V122" i="52"/>
  <c r="T120" i="52"/>
  <c r="O120" i="52"/>
  <c r="U114" i="52"/>
  <c r="AI111" i="52"/>
  <c r="J123" i="52"/>
  <c r="I115" i="52"/>
  <c r="AB122" i="52"/>
  <c r="G141" i="52"/>
  <c r="Q120" i="52"/>
  <c r="AI120" i="52"/>
  <c r="T141" i="52"/>
  <c r="AC122" i="52"/>
  <c r="R122" i="52"/>
  <c r="P120" i="52"/>
  <c r="AE120" i="52"/>
  <c r="B83" i="39"/>
  <c r="AA122" i="52"/>
  <c r="K120" i="52"/>
  <c r="Y120" i="52"/>
  <c r="I120" i="52"/>
  <c r="K122" i="52"/>
  <c r="M120" i="52"/>
  <c r="G122" i="52"/>
  <c r="R141" i="52"/>
  <c r="P141" i="52"/>
  <c r="J141" i="52"/>
  <c r="O141" i="52"/>
  <c r="U141" i="52"/>
  <c r="AJ122" i="52"/>
  <c r="W122" i="52"/>
  <c r="L122" i="52"/>
  <c r="M141" i="52"/>
  <c r="AB120" i="52"/>
  <c r="N120" i="52"/>
  <c r="AD141" i="52"/>
  <c r="S141" i="52"/>
  <c r="AE141" i="52"/>
  <c r="AI141" i="52"/>
  <c r="AE122" i="52"/>
  <c r="T122" i="52"/>
  <c r="Q112" i="52"/>
  <c r="W120" i="52"/>
  <c r="AJ120" i="52"/>
  <c r="F141" i="52"/>
  <c r="K141" i="52"/>
  <c r="Q141" i="52"/>
  <c r="O122" i="52"/>
  <c r="AF113" i="52"/>
  <c r="X112" i="52"/>
  <c r="U122" i="52"/>
  <c r="P122" i="52"/>
  <c r="Y122" i="52"/>
  <c r="AC113" i="52"/>
  <c r="W127" i="52"/>
  <c r="X120" i="52"/>
  <c r="Z120" i="52"/>
  <c r="S120" i="52"/>
  <c r="H141" i="52"/>
  <c r="AF141" i="52"/>
  <c r="G120" i="52"/>
  <c r="AC112" i="52"/>
  <c r="AB112" i="52"/>
  <c r="Q122" i="52"/>
  <c r="X122" i="52"/>
  <c r="AD122" i="52"/>
  <c r="Z122" i="52"/>
  <c r="T121" i="52"/>
  <c r="J120" i="52"/>
  <c r="Y112" i="52"/>
  <c r="I141" i="52"/>
  <c r="F120" i="52"/>
  <c r="AF120" i="52"/>
  <c r="R120" i="52"/>
  <c r="V120" i="52"/>
  <c r="Z141" i="52"/>
  <c r="N141" i="52"/>
  <c r="AB141" i="52"/>
  <c r="AH141" i="52"/>
  <c r="W141" i="52"/>
  <c r="H122" i="52"/>
  <c r="M122" i="52"/>
  <c r="X138" i="52"/>
  <c r="AG113" i="52"/>
  <c r="R112" i="52"/>
  <c r="N112" i="52"/>
  <c r="H125" i="52"/>
  <c r="AI122" i="52"/>
  <c r="AH122" i="52"/>
  <c r="F122" i="52"/>
  <c r="AF122" i="52"/>
  <c r="AG121" i="52"/>
  <c r="I112" i="52"/>
  <c r="F112" i="52"/>
  <c r="AF112" i="52"/>
  <c r="U120" i="52"/>
  <c r="AG120" i="52"/>
  <c r="AA120" i="52"/>
  <c r="AC120" i="52"/>
  <c r="V141" i="52"/>
  <c r="AJ141" i="52"/>
  <c r="X141" i="52"/>
  <c r="AC141" i="52"/>
  <c r="I122" i="52"/>
  <c r="R114" i="52"/>
  <c r="O113" i="52"/>
  <c r="P114" i="52"/>
  <c r="Y111" i="52"/>
  <c r="T111" i="52"/>
  <c r="AG111" i="52"/>
  <c r="AC121" i="52"/>
  <c r="AJ121" i="52"/>
  <c r="X121" i="52"/>
  <c r="Y121" i="52"/>
  <c r="AF125" i="52"/>
  <c r="AI121" i="52"/>
  <c r="AD116" i="52"/>
  <c r="Z121" i="52"/>
  <c r="V121" i="52"/>
  <c r="AA121" i="52"/>
  <c r="W113" i="52"/>
  <c r="Q113" i="52"/>
  <c r="AJ130" i="52"/>
  <c r="AI125" i="52"/>
  <c r="N121" i="52"/>
  <c r="U121" i="52"/>
  <c r="AE121" i="52"/>
  <c r="L113" i="52"/>
  <c r="AA113" i="52"/>
  <c r="AE127" i="52"/>
  <c r="AJ125" i="52"/>
  <c r="W121" i="52"/>
  <c r="P121" i="52"/>
  <c r="AB121" i="52"/>
  <c r="S121" i="52"/>
  <c r="AH113" i="52"/>
  <c r="F121" i="52"/>
  <c r="AD121" i="52"/>
  <c r="R121" i="52"/>
  <c r="F113" i="52"/>
  <c r="Y113" i="52"/>
  <c r="AI135" i="52"/>
  <c r="K137" i="52"/>
  <c r="AA116" i="52"/>
  <c r="Y135" i="52"/>
  <c r="S127" i="52"/>
  <c r="P125" i="52"/>
  <c r="AG125" i="52"/>
  <c r="AB135" i="52"/>
  <c r="V130" i="52"/>
  <c r="W125" i="52"/>
  <c r="L125" i="52"/>
  <c r="H127" i="52"/>
  <c r="AF121" i="52"/>
  <c r="Q121" i="52"/>
  <c r="M121" i="52"/>
  <c r="AH121" i="52"/>
  <c r="J121" i="52"/>
  <c r="S113" i="52"/>
  <c r="U113" i="52"/>
  <c r="V136" i="52"/>
  <c r="J127" i="52"/>
  <c r="X125" i="52"/>
  <c r="K127" i="52"/>
  <c r="U116" i="52"/>
  <c r="AI116" i="52"/>
  <c r="F125" i="52"/>
  <c r="AD125" i="52"/>
  <c r="AB125" i="52"/>
  <c r="Z125" i="52"/>
  <c r="K125" i="52"/>
  <c r="X116" i="52"/>
  <c r="Q116" i="52"/>
  <c r="AA125" i="52"/>
  <c r="V125" i="52"/>
  <c r="S125" i="52"/>
  <c r="T125" i="52"/>
  <c r="Z116" i="52"/>
  <c r="AE125" i="52"/>
  <c r="Q125" i="52"/>
  <c r="AC125" i="52"/>
  <c r="Y125" i="52"/>
  <c r="O125" i="52"/>
  <c r="AG116" i="52"/>
  <c r="N125" i="52"/>
  <c r="AH125" i="52"/>
  <c r="U125" i="52"/>
  <c r="R125" i="52"/>
  <c r="P113" i="52"/>
  <c r="AJ113" i="52"/>
  <c r="AI113" i="52"/>
  <c r="N113" i="52"/>
  <c r="AA112" i="52"/>
  <c r="AE112" i="52"/>
  <c r="Z112" i="52"/>
  <c r="AI137" i="52"/>
  <c r="AD127" i="52"/>
  <c r="AF127" i="52"/>
  <c r="O136" i="52"/>
  <c r="V135" i="52"/>
  <c r="I127" i="52"/>
  <c r="V113" i="52"/>
  <c r="AD113" i="52"/>
  <c r="Z113" i="52"/>
  <c r="AB113" i="52"/>
  <c r="U112" i="52"/>
  <c r="W112" i="52"/>
  <c r="M112" i="52"/>
  <c r="V137" i="52"/>
  <c r="AH127" i="52"/>
  <c r="S135" i="52"/>
  <c r="H135" i="52"/>
  <c r="M113" i="52"/>
  <c r="X113" i="52"/>
  <c r="AE113" i="52"/>
  <c r="R113" i="52"/>
  <c r="T113" i="52"/>
  <c r="AA134" i="52"/>
  <c r="Y131" i="52"/>
  <c r="AH112" i="52"/>
  <c r="J112" i="52"/>
  <c r="Y129" i="52"/>
  <c r="Y127" i="52"/>
  <c r="M135" i="52"/>
  <c r="F135" i="52"/>
  <c r="T135" i="52"/>
  <c r="AB116" i="52"/>
  <c r="AE116" i="52"/>
  <c r="R116" i="52"/>
  <c r="V116" i="52"/>
  <c r="T116" i="52"/>
  <c r="AJ116" i="52"/>
  <c r="F116" i="52"/>
  <c r="N116" i="52"/>
  <c r="AF116" i="52"/>
  <c r="S116" i="52"/>
  <c r="Y116" i="52"/>
  <c r="AC116" i="52"/>
  <c r="L121" i="52"/>
  <c r="L116" i="52"/>
  <c r="AH116" i="52"/>
  <c r="P116" i="52"/>
  <c r="W116" i="52"/>
  <c r="AC134" i="52"/>
  <c r="X129" i="52"/>
  <c r="O132" i="52"/>
  <c r="AE134" i="52"/>
  <c r="AB129" i="52"/>
  <c r="P134" i="52"/>
  <c r="AJ131" i="52"/>
  <c r="W129" i="52"/>
  <c r="K134" i="52"/>
  <c r="AI131" i="52"/>
  <c r="AG139" i="52"/>
  <c r="W131" i="52"/>
  <c r="B97" i="39"/>
  <c r="L136" i="52"/>
  <c r="AG130" i="52"/>
  <c r="AI136" i="52"/>
  <c r="R127" i="52"/>
  <c r="AC127" i="52"/>
  <c r="P127" i="52"/>
  <c r="U127" i="52"/>
  <c r="AJ135" i="52"/>
  <c r="AE135" i="52"/>
  <c r="AH135" i="52"/>
  <c r="U135" i="52"/>
  <c r="O127" i="52"/>
  <c r="K113" i="52"/>
  <c r="G127" i="52"/>
  <c r="O112" i="52"/>
  <c r="B90" i="39"/>
  <c r="G135" i="52"/>
  <c r="AI112" i="52"/>
  <c r="AG112" i="52"/>
  <c r="AJ112" i="52"/>
  <c r="T112" i="52"/>
  <c r="J130" i="52"/>
  <c r="R137" i="52"/>
  <c r="AA127" i="52"/>
  <c r="Q127" i="52"/>
  <c r="N127" i="52"/>
  <c r="Z127" i="52"/>
  <c r="J135" i="52"/>
  <c r="AF135" i="52"/>
  <c r="R135" i="52"/>
  <c r="AC135" i="52"/>
  <c r="N135" i="52"/>
  <c r="K135" i="52"/>
  <c r="K112" i="52"/>
  <c r="J113" i="52"/>
  <c r="B76" i="39"/>
  <c r="F136" i="52"/>
  <c r="V119" i="52"/>
  <c r="V127" i="52"/>
  <c r="AG127" i="52"/>
  <c r="AI127" i="52"/>
  <c r="T127" i="52"/>
  <c r="I135" i="52"/>
  <c r="AD135" i="52"/>
  <c r="Z135" i="52"/>
  <c r="W135" i="52"/>
  <c r="AG135" i="52"/>
  <c r="H112" i="52"/>
  <c r="I113" i="52"/>
  <c r="B75" i="39"/>
  <c r="L135" i="52"/>
  <c r="AD112" i="52"/>
  <c r="S112" i="52"/>
  <c r="P112" i="52"/>
  <c r="V112" i="52"/>
  <c r="Z136" i="52"/>
  <c r="AF137" i="52"/>
  <c r="AJ127" i="52"/>
  <c r="F127" i="52"/>
  <c r="X127" i="52"/>
  <c r="AB127" i="52"/>
  <c r="M127" i="52"/>
  <c r="O135" i="52"/>
  <c r="Q135" i="52"/>
  <c r="X135" i="52"/>
  <c r="P135" i="52"/>
  <c r="AA135" i="52"/>
  <c r="G112" i="52"/>
  <c r="AJ114" i="52"/>
  <c r="U111" i="52"/>
  <c r="AJ117" i="52"/>
  <c r="H111" i="52"/>
  <c r="B104" i="39"/>
  <c r="L133" i="52"/>
  <c r="R111" i="52"/>
  <c r="U138" i="52"/>
  <c r="Y137" i="52"/>
  <c r="AJ137" i="52"/>
  <c r="P137" i="52"/>
  <c r="Z137" i="52"/>
  <c r="L119" i="52"/>
  <c r="I128" i="52"/>
  <c r="J138" i="52"/>
  <c r="J128" i="52"/>
  <c r="B100" i="39"/>
  <c r="S137" i="52"/>
  <c r="L137" i="52"/>
  <c r="X137" i="52"/>
  <c r="AG137" i="52"/>
  <c r="T137" i="52"/>
  <c r="H128" i="52"/>
  <c r="AH119" i="52"/>
  <c r="I137" i="52"/>
  <c r="AD137" i="52"/>
  <c r="F137" i="52"/>
  <c r="H137" i="52"/>
  <c r="AA137" i="52"/>
  <c r="M137" i="52"/>
  <c r="V128" i="52"/>
  <c r="AF119" i="52"/>
  <c r="AE138" i="52"/>
  <c r="J137" i="52"/>
  <c r="AC137" i="52"/>
  <c r="W137" i="52"/>
  <c r="AH137" i="52"/>
  <c r="U137" i="52"/>
  <c r="Q128" i="52"/>
  <c r="G137" i="52"/>
  <c r="B91" i="39"/>
  <c r="Y138" i="52"/>
  <c r="O137" i="52"/>
  <c r="Q137" i="52"/>
  <c r="AE137" i="52"/>
  <c r="AB137" i="52"/>
  <c r="Y128" i="52"/>
  <c r="I138" i="52"/>
  <c r="AB126" i="52"/>
  <c r="F124" i="52"/>
  <c r="AE133" i="52"/>
  <c r="J111" i="52"/>
  <c r="I124" i="52"/>
  <c r="H113" i="52"/>
  <c r="F114" i="52"/>
  <c r="B99" i="39"/>
  <c r="V124" i="52"/>
  <c r="H134" i="52"/>
  <c r="AI134" i="52"/>
  <c r="X134" i="52"/>
  <c r="AF134" i="52"/>
  <c r="U131" i="52"/>
  <c r="S131" i="52"/>
  <c r="N131" i="52"/>
  <c r="R131" i="52"/>
  <c r="AH129" i="52"/>
  <c r="AG129" i="52"/>
  <c r="S129" i="52"/>
  <c r="P129" i="52"/>
  <c r="U139" i="52"/>
  <c r="AG132" i="52"/>
  <c r="J134" i="52"/>
  <c r="G134" i="52"/>
  <c r="I134" i="52"/>
  <c r="AJ134" i="52"/>
  <c r="U134" i="52"/>
  <c r="Q134" i="52"/>
  <c r="Z134" i="52"/>
  <c r="O129" i="52"/>
  <c r="AH131" i="52"/>
  <c r="AG131" i="52"/>
  <c r="AD131" i="52"/>
  <c r="Z131" i="52"/>
  <c r="Q129" i="52"/>
  <c r="N129" i="52"/>
  <c r="AI129" i="52"/>
  <c r="AF129" i="52"/>
  <c r="I129" i="52"/>
  <c r="AB132" i="52"/>
  <c r="AF132" i="52"/>
  <c r="M134" i="52"/>
  <c r="B92" i="39"/>
  <c r="V134" i="52"/>
  <c r="AG134" i="52"/>
  <c r="F134" i="52"/>
  <c r="T134" i="52"/>
  <c r="Q131" i="52"/>
  <c r="X131" i="52"/>
  <c r="V131" i="52"/>
  <c r="T131" i="52"/>
  <c r="AE129" i="52"/>
  <c r="AC129" i="52"/>
  <c r="AA129" i="52"/>
  <c r="Z129" i="52"/>
  <c r="L129" i="52"/>
  <c r="AA132" i="52"/>
  <c r="N134" i="52"/>
  <c r="AH134" i="52"/>
  <c r="Y134" i="52"/>
  <c r="AD134" i="52"/>
  <c r="L134" i="52"/>
  <c r="AA131" i="52"/>
  <c r="AB131" i="52"/>
  <c r="P131" i="52"/>
  <c r="H131" i="52"/>
  <c r="L131" i="52"/>
  <c r="H129" i="52"/>
  <c r="U129" i="52"/>
  <c r="R129" i="52"/>
  <c r="T129" i="52"/>
  <c r="Z132" i="52"/>
  <c r="O134" i="52"/>
  <c r="AB134" i="52"/>
  <c r="S134" i="52"/>
  <c r="R134" i="52"/>
  <c r="G129" i="52"/>
  <c r="AC131" i="52"/>
  <c r="F131" i="52"/>
  <c r="AE131" i="52"/>
  <c r="AF131" i="52"/>
  <c r="V129" i="52"/>
  <c r="F129" i="52"/>
  <c r="AJ129" i="52"/>
  <c r="AD129" i="52"/>
  <c r="K129" i="52"/>
  <c r="P118" i="52"/>
  <c r="M132" i="52"/>
  <c r="W132" i="52"/>
  <c r="J132" i="52"/>
  <c r="AH126" i="52"/>
  <c r="T132" i="52"/>
  <c r="AE132" i="52"/>
  <c r="V132" i="52"/>
  <c r="F132" i="52"/>
  <c r="G131" i="52"/>
  <c r="K132" i="52"/>
  <c r="AI132" i="52"/>
  <c r="R132" i="52"/>
  <c r="X132" i="52"/>
  <c r="AF133" i="52"/>
  <c r="M131" i="52"/>
  <c r="Z139" i="52"/>
  <c r="P132" i="52"/>
  <c r="G132" i="52"/>
  <c r="L132" i="52"/>
  <c r="N132" i="52"/>
  <c r="K126" i="52"/>
  <c r="K131" i="52"/>
  <c r="R118" i="52"/>
  <c r="J129" i="52"/>
  <c r="AJ132" i="52"/>
  <c r="Q139" i="52"/>
  <c r="AH132" i="52"/>
  <c r="O126" i="52"/>
  <c r="AD132" i="52"/>
  <c r="Q132" i="52"/>
  <c r="AE118" i="52"/>
  <c r="I131" i="52"/>
  <c r="AG118" i="52"/>
  <c r="H132" i="52"/>
  <c r="I132" i="52"/>
  <c r="AC132" i="52"/>
  <c r="B94" i="39"/>
  <c r="V117" i="52"/>
  <c r="U132" i="52"/>
  <c r="B102" i="39"/>
  <c r="J131" i="52"/>
  <c r="B74" i="39"/>
  <c r="Y114" i="52"/>
  <c r="P111" i="52"/>
  <c r="AC111" i="52"/>
  <c r="V139" i="52"/>
  <c r="AG126" i="52"/>
  <c r="AI126" i="52"/>
  <c r="I125" i="52"/>
  <c r="AA126" i="52"/>
  <c r="M125" i="52"/>
  <c r="AE126" i="52"/>
  <c r="G126" i="52"/>
  <c r="V133" i="52"/>
  <c r="AA133" i="52"/>
  <c r="B84" i="39"/>
  <c r="J126" i="52"/>
  <c r="AF126" i="52"/>
  <c r="I126" i="52"/>
  <c r="N126" i="52"/>
  <c r="Q126" i="52"/>
  <c r="AD126" i="52"/>
  <c r="U126" i="52"/>
  <c r="AH133" i="52"/>
  <c r="R133" i="52"/>
  <c r="S133" i="52"/>
  <c r="I116" i="52"/>
  <c r="H126" i="52"/>
  <c r="R126" i="52"/>
  <c r="S126" i="52"/>
  <c r="Y126" i="52"/>
  <c r="G116" i="52"/>
  <c r="X126" i="52"/>
  <c r="J125" i="52"/>
  <c r="W133" i="52"/>
  <c r="K121" i="52"/>
  <c r="AB133" i="52"/>
  <c r="I133" i="52"/>
  <c r="AD133" i="52"/>
  <c r="B88" i="39"/>
  <c r="M126" i="52"/>
  <c r="P126" i="52"/>
  <c r="L126" i="52"/>
  <c r="F126" i="52"/>
  <c r="G121" i="52"/>
  <c r="I121" i="52"/>
  <c r="AC126" i="52"/>
  <c r="AJ126" i="52"/>
  <c r="V126" i="52"/>
  <c r="H116" i="52"/>
  <c r="W126" i="52"/>
  <c r="T126" i="52"/>
  <c r="AC133" i="52"/>
  <c r="Z133" i="52"/>
  <c r="G133" i="52"/>
  <c r="O121" i="52"/>
  <c r="AI133" i="52"/>
  <c r="B89" i="39"/>
  <c r="B79" i="39"/>
  <c r="AC138" i="52"/>
  <c r="AC128" i="52"/>
  <c r="AJ128" i="52"/>
  <c r="F128" i="52"/>
  <c r="R128" i="52"/>
  <c r="U119" i="52"/>
  <c r="AB119" i="52"/>
  <c r="Z119" i="52"/>
  <c r="X119" i="52"/>
  <c r="M128" i="52"/>
  <c r="K119" i="52"/>
  <c r="M119" i="52"/>
  <c r="L138" i="52"/>
  <c r="N124" i="52"/>
  <c r="H119" i="52"/>
  <c r="O119" i="52"/>
  <c r="N138" i="52"/>
  <c r="W138" i="52"/>
  <c r="AF138" i="52"/>
  <c r="N128" i="52"/>
  <c r="AB128" i="52"/>
  <c r="AH128" i="52"/>
  <c r="AF128" i="52"/>
  <c r="F119" i="52"/>
  <c r="AC119" i="52"/>
  <c r="P119" i="52"/>
  <c r="Q119" i="52"/>
  <c r="C142" i="52"/>
  <c r="Z124" i="52"/>
  <c r="G138" i="52"/>
  <c r="AF124" i="52"/>
  <c r="J119" i="52"/>
  <c r="P124" i="52"/>
  <c r="O138" i="52"/>
  <c r="AB138" i="52"/>
  <c r="S138" i="52"/>
  <c r="AD138" i="52"/>
  <c r="P138" i="52"/>
  <c r="Z138" i="52"/>
  <c r="W128" i="52"/>
  <c r="S128" i="52"/>
  <c r="X128" i="52"/>
  <c r="Z128" i="52"/>
  <c r="AJ119" i="52"/>
  <c r="AI119" i="52"/>
  <c r="AG119" i="52"/>
  <c r="AE119" i="52"/>
  <c r="Q124" i="52"/>
  <c r="I119" i="52"/>
  <c r="AH124" i="52"/>
  <c r="Y124" i="52"/>
  <c r="AG124" i="52"/>
  <c r="H138" i="52"/>
  <c r="V138" i="52"/>
  <c r="R138" i="52"/>
  <c r="F138" i="52"/>
  <c r="AG138" i="52"/>
  <c r="T138" i="52"/>
  <c r="U128" i="52"/>
  <c r="AI128" i="52"/>
  <c r="P128" i="52"/>
  <c r="T128" i="52"/>
  <c r="T119" i="52"/>
  <c r="AA119" i="52"/>
  <c r="W119" i="52"/>
  <c r="Y119" i="52"/>
  <c r="S124" i="52"/>
  <c r="AE124" i="52"/>
  <c r="M124" i="52"/>
  <c r="Q138" i="52"/>
  <c r="AH138" i="52"/>
  <c r="AJ138" i="52"/>
  <c r="AI138" i="52"/>
  <c r="AA138" i="52"/>
  <c r="K138" i="52"/>
  <c r="AD128" i="52"/>
  <c r="AE128" i="52"/>
  <c r="AA128" i="52"/>
  <c r="AG128" i="52"/>
  <c r="L128" i="52"/>
  <c r="AD119" i="52"/>
  <c r="R119" i="52"/>
  <c r="N119" i="52"/>
  <c r="S119" i="52"/>
  <c r="K128" i="52"/>
  <c r="O128" i="52"/>
  <c r="X124" i="52"/>
  <c r="AI124" i="52"/>
  <c r="J124" i="52"/>
  <c r="R124" i="52"/>
  <c r="AA124" i="52"/>
  <c r="J122" i="52"/>
  <c r="M138" i="52"/>
  <c r="Y133" i="52"/>
  <c r="J116" i="52"/>
  <c r="G119" i="52"/>
  <c r="AI139" i="52"/>
  <c r="Y132" i="52"/>
  <c r="B95" i="39"/>
  <c r="J139" i="52"/>
  <c r="T118" i="52"/>
  <c r="L139" i="52"/>
  <c r="AB124" i="52"/>
  <c r="AC124" i="52"/>
  <c r="T139" i="52"/>
  <c r="T114" i="52"/>
  <c r="O111" i="52"/>
  <c r="AF139" i="52"/>
  <c r="T133" i="52"/>
  <c r="AD139" i="52"/>
  <c r="H139" i="52"/>
  <c r="AH114" i="52"/>
  <c r="B81" i="39"/>
  <c r="B96" i="39"/>
  <c r="AJ139" i="52"/>
  <c r="AB111" i="52"/>
  <c r="Q133" i="52"/>
  <c r="M116" i="52"/>
  <c r="AA111" i="52"/>
  <c r="P130" i="52"/>
  <c r="Y130" i="52"/>
  <c r="AC130" i="52"/>
  <c r="AF130" i="52"/>
  <c r="S136" i="52"/>
  <c r="M136" i="52"/>
  <c r="AC136" i="52"/>
  <c r="P136" i="52"/>
  <c r="W117" i="52"/>
  <c r="O117" i="52"/>
  <c r="AA117" i="52"/>
  <c r="X117" i="52"/>
  <c r="Q117" i="52"/>
  <c r="L117" i="52"/>
  <c r="I117" i="52"/>
  <c r="K136" i="52"/>
  <c r="H130" i="52"/>
  <c r="F130" i="52"/>
  <c r="AE130" i="52"/>
  <c r="S130" i="52"/>
  <c r="Z130" i="52"/>
  <c r="AD136" i="52"/>
  <c r="X136" i="52"/>
  <c r="W136" i="52"/>
  <c r="AG136" i="52"/>
  <c r="N117" i="52"/>
  <c r="L130" i="52"/>
  <c r="AC117" i="52"/>
  <c r="G117" i="52"/>
  <c r="AB117" i="52"/>
  <c r="I136" i="52"/>
  <c r="K130" i="52"/>
  <c r="X130" i="52"/>
  <c r="W130" i="52"/>
  <c r="AI130" i="52"/>
  <c r="T130" i="52"/>
  <c r="R136" i="52"/>
  <c r="T136" i="52"/>
  <c r="Q136" i="52"/>
  <c r="AA136" i="52"/>
  <c r="G130" i="52"/>
  <c r="J117" i="52"/>
  <c r="B93" i="39"/>
  <c r="I130" i="52"/>
  <c r="R130" i="52"/>
  <c r="Q130" i="52"/>
  <c r="N130" i="52"/>
  <c r="AB130" i="52"/>
  <c r="M130" i="52"/>
  <c r="AF136" i="52"/>
  <c r="Y136" i="52"/>
  <c r="AH136" i="52"/>
  <c r="U136" i="52"/>
  <c r="S117" i="52"/>
  <c r="K117" i="52"/>
  <c r="AF117" i="52"/>
  <c r="G136" i="52"/>
  <c r="O130" i="52"/>
  <c r="AH130" i="52"/>
  <c r="AA130" i="52"/>
  <c r="AD130" i="52"/>
  <c r="AJ136" i="52"/>
  <c r="AE136" i="52"/>
  <c r="J136" i="52"/>
  <c r="AB136" i="52"/>
  <c r="N136" i="52"/>
  <c r="H117" i="52"/>
  <c r="M111" i="52"/>
  <c r="U124" i="52"/>
  <c r="H133" i="52"/>
  <c r="N133" i="52"/>
  <c r="O116" i="52"/>
  <c r="AD111" i="52"/>
  <c r="Y139" i="52"/>
  <c r="AB139" i="52"/>
  <c r="P139" i="52"/>
  <c r="AI117" i="52"/>
  <c r="K133" i="52"/>
  <c r="B77" i="39"/>
  <c r="L111" i="52"/>
  <c r="M133" i="52"/>
  <c r="K111" i="52"/>
  <c r="O133" i="52"/>
  <c r="F133" i="52"/>
  <c r="B87" i="39"/>
  <c r="S111" i="52"/>
  <c r="W124" i="52"/>
  <c r="T124" i="52"/>
  <c r="X133" i="52"/>
  <c r="B80" i="39"/>
  <c r="J133" i="52"/>
  <c r="AJ111" i="52"/>
  <c r="R139" i="52"/>
  <c r="AE139" i="52"/>
  <c r="V111" i="52"/>
  <c r="Z111" i="52"/>
  <c r="Q111" i="52"/>
  <c r="U133" i="52"/>
  <c r="AG133" i="52"/>
  <c r="AD124" i="52"/>
  <c r="P133" i="52"/>
  <c r="X111" i="52"/>
  <c r="I111" i="52"/>
  <c r="Z117" i="52"/>
  <c r="F111" i="52"/>
  <c r="G111" i="52"/>
  <c r="AE111" i="52"/>
  <c r="M118" i="52"/>
  <c r="W111" i="52"/>
  <c r="AF111" i="52"/>
  <c r="P117" i="52"/>
  <c r="U117" i="52"/>
  <c r="AH139" i="52"/>
  <c r="N139" i="52"/>
  <c r="N114" i="52"/>
  <c r="AE117" i="52"/>
  <c r="F139" i="52"/>
  <c r="S139" i="52"/>
  <c r="G139" i="52"/>
  <c r="AA139" i="52"/>
  <c r="R117" i="52"/>
  <c r="Y117" i="52"/>
  <c r="I139" i="52"/>
  <c r="AD117" i="52"/>
  <c r="X139" i="52"/>
  <c r="AC139" i="52"/>
  <c r="AG117" i="52"/>
  <c r="W139" i="52"/>
  <c r="AH117" i="52"/>
  <c r="M139" i="52"/>
  <c r="K139" i="52"/>
  <c r="AI118" i="52"/>
  <c r="AD118" i="52"/>
  <c r="AJ118" i="52"/>
  <c r="H118" i="52"/>
  <c r="F118" i="52"/>
  <c r="Z118" i="52"/>
  <c r="J118" i="52"/>
  <c r="H124" i="52"/>
  <c r="G124" i="52"/>
  <c r="AA118" i="52"/>
  <c r="N118" i="52"/>
  <c r="W118" i="52"/>
  <c r="K124" i="52"/>
  <c r="O124" i="52"/>
  <c r="L124" i="52"/>
  <c r="Q118" i="52"/>
  <c r="H114" i="52"/>
  <c r="X114" i="52"/>
  <c r="AC118" i="52"/>
  <c r="AB118" i="52"/>
  <c r="G118" i="52"/>
  <c r="T117" i="52"/>
  <c r="M117" i="52"/>
  <c r="AF114" i="52"/>
  <c r="AG114" i="52"/>
  <c r="AA114" i="52"/>
  <c r="AC114" i="52"/>
  <c r="Q114" i="52"/>
  <c r="W114" i="52"/>
  <c r="M114" i="52"/>
  <c r="AD114" i="52"/>
  <c r="Y118" i="52"/>
  <c r="X118" i="52"/>
  <c r="S118" i="52"/>
  <c r="K118" i="52"/>
  <c r="U118" i="52"/>
  <c r="V118" i="52"/>
  <c r="L118" i="52"/>
  <c r="AH118" i="52"/>
  <c r="AF118" i="52"/>
  <c r="O118" i="52"/>
  <c r="AE114" i="52"/>
  <c r="AI114" i="52"/>
  <c r="S114" i="52"/>
  <c r="L114" i="52"/>
  <c r="J114" i="52"/>
  <c r="I114" i="52"/>
  <c r="G114" i="52"/>
  <c r="V114" i="52"/>
  <c r="K114" i="52"/>
  <c r="Z114" i="52"/>
  <c r="O114" i="52"/>
  <c r="A136" i="52"/>
  <c r="N122" i="43"/>
  <c r="O33" i="11"/>
  <c r="N33" i="11"/>
  <c r="O32" i="11"/>
  <c r="N32" i="11"/>
  <c r="O31" i="11"/>
  <c r="N31" i="11"/>
  <c r="O30" i="11"/>
  <c r="N30" i="11"/>
  <c r="O29" i="11"/>
  <c r="N29" i="11"/>
  <c r="O28" i="11"/>
  <c r="N28" i="11"/>
  <c r="O27" i="11"/>
  <c r="N27" i="11"/>
  <c r="O26" i="11"/>
  <c r="N26" i="11"/>
  <c r="O25" i="11"/>
  <c r="N25" i="11"/>
  <c r="O24" i="11"/>
  <c r="N24" i="11"/>
  <c r="O23" i="11"/>
  <c r="N23" i="11"/>
  <c r="O22" i="11"/>
  <c r="N22" i="11"/>
  <c r="O21" i="11"/>
  <c r="N21" i="11"/>
  <c r="O20" i="11"/>
  <c r="N20" i="11"/>
  <c r="O19" i="11"/>
  <c r="N19" i="11"/>
  <c r="O18" i="11"/>
  <c r="N18" i="11"/>
  <c r="O17" i="11"/>
  <c r="N17" i="11"/>
  <c r="O16" i="11"/>
  <c r="N16" i="11"/>
  <c r="O15" i="11"/>
  <c r="N15" i="11"/>
  <c r="O14" i="11"/>
  <c r="N14" i="11"/>
  <c r="O13" i="11"/>
  <c r="N13" i="11"/>
  <c r="O12" i="11"/>
  <c r="N12" i="11"/>
  <c r="O11" i="11"/>
  <c r="N11" i="11"/>
  <c r="O10" i="11"/>
  <c r="N10" i="11"/>
  <c r="O9" i="11"/>
  <c r="N9" i="11"/>
  <c r="O8" i="11"/>
  <c r="N8" i="11"/>
  <c r="O7" i="11"/>
  <c r="N7" i="11"/>
  <c r="O6" i="11"/>
  <c r="N6" i="11"/>
  <c r="O5" i="11"/>
  <c r="N5" i="11"/>
  <c r="O4" i="11"/>
  <c r="N4" i="11"/>
  <c r="O3" i="11"/>
  <c r="N3" i="11"/>
  <c r="P21" i="11" l="1"/>
  <c r="P24" i="11"/>
  <c r="P33" i="11"/>
  <c r="P4" i="11"/>
  <c r="P7" i="11"/>
  <c r="P13" i="11"/>
  <c r="P19" i="11"/>
  <c r="P25" i="11"/>
  <c r="P28" i="11"/>
  <c r="V110" i="52"/>
  <c r="AI110" i="52"/>
  <c r="AB110" i="52"/>
  <c r="I110" i="52"/>
  <c r="AG110" i="52"/>
  <c r="N110" i="52"/>
  <c r="AA110" i="52"/>
  <c r="T110" i="52"/>
  <c r="X110" i="52"/>
  <c r="AJ110" i="52"/>
  <c r="Q110" i="52"/>
  <c r="Y110" i="52"/>
  <c r="H110" i="52"/>
  <c r="AH110" i="52"/>
  <c r="AC110" i="52"/>
  <c r="P110" i="52"/>
  <c r="R110" i="52"/>
  <c r="Z110" i="52"/>
  <c r="F110" i="52"/>
  <c r="W110" i="52"/>
  <c r="K110" i="52"/>
  <c r="AE110" i="52"/>
  <c r="M110" i="52"/>
  <c r="AD110" i="52"/>
  <c r="G110" i="52"/>
  <c r="U110" i="52"/>
  <c r="S110" i="52"/>
  <c r="O110" i="52"/>
  <c r="J110" i="52"/>
  <c r="AF110" i="52"/>
  <c r="L110" i="52"/>
  <c r="P5" i="11"/>
  <c r="P8" i="11"/>
  <c r="P17" i="11"/>
  <c r="P26" i="11"/>
  <c r="P29" i="11"/>
  <c r="P27" i="11"/>
  <c r="P14" i="11"/>
  <c r="P23" i="11"/>
  <c r="P11" i="11"/>
  <c r="P3" i="11"/>
  <c r="P9" i="11"/>
  <c r="P12" i="11"/>
  <c r="P20" i="11"/>
  <c r="P31" i="11"/>
  <c r="P15" i="11"/>
  <c r="P32" i="11"/>
  <c r="P16" i="11"/>
  <c r="A137" i="52"/>
  <c r="P6" i="11"/>
  <c r="P18" i="11"/>
  <c r="P30" i="11"/>
  <c r="P10" i="11"/>
  <c r="P22" i="11"/>
  <c r="A18" i="43"/>
  <c r="A138" i="52" l="1"/>
  <c r="O33" i="35"/>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A139" i="52" l="1"/>
  <c r="C114" i="39"/>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A140" i="52" l="1"/>
  <c r="Q5" i="44"/>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A141" i="52" l="1"/>
  <c r="Q6" i="44"/>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P5" i="37" s="1"/>
  <c r="B30" i="39" s="1"/>
  <c r="R7" i="37"/>
  <c r="R8" i="37"/>
  <c r="R9" i="37"/>
  <c r="R10" i="37"/>
  <c r="R11" i="37"/>
  <c r="P8" i="37" s="1"/>
  <c r="B32" i="39" s="1"/>
  <c r="R12" i="37"/>
  <c r="R13" i="37"/>
  <c r="R14" i="37"/>
  <c r="R3" i="37"/>
  <c r="L4" i="37"/>
  <c r="L5" i="37"/>
  <c r="L6" i="37"/>
  <c r="L7" i="37"/>
  <c r="L8" i="37"/>
  <c r="L9" i="37"/>
  <c r="L10" i="37"/>
  <c r="L11" i="37"/>
  <c r="L12" i="37"/>
  <c r="L13" i="37"/>
  <c r="L14" i="37"/>
  <c r="L3" i="37"/>
  <c r="P7" i="37" l="1"/>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41" i="43" s="1"/>
  <c r="C7" i="52" s="1"/>
  <c r="C419" i="43"/>
  <c r="C443" i="43" s="1"/>
  <c r="C9" i="52" s="1"/>
  <c r="C423" i="43"/>
  <c r="C447" i="43" s="1"/>
  <c r="C13" i="52" s="1"/>
  <c r="C428" i="43"/>
  <c r="C452" i="43" s="1"/>
  <c r="C18" i="52" s="1"/>
  <c r="C404" i="43"/>
  <c r="C420" i="43"/>
  <c r="C444" i="43" s="1"/>
  <c r="C10" i="52" s="1"/>
  <c r="C431" i="43"/>
  <c r="C455" i="43" s="1"/>
  <c r="C21" i="52" s="1"/>
  <c r="C426" i="43"/>
  <c r="C450" i="43" s="1"/>
  <c r="C16" i="52" s="1"/>
  <c r="C409" i="43"/>
  <c r="C421" i="43"/>
  <c r="C445" i="43" s="1"/>
  <c r="C11" i="52" s="1"/>
  <c r="C434" i="43"/>
  <c r="C458" i="43" s="1"/>
  <c r="C24" i="52" s="1"/>
  <c r="C407" i="43"/>
  <c r="C414" i="43"/>
  <c r="C438" i="43" s="1"/>
  <c r="C4" i="52" s="1"/>
  <c r="C418" i="43"/>
  <c r="C442" i="43" s="1"/>
  <c r="C8" i="52" s="1"/>
  <c r="C425" i="43"/>
  <c r="C449" i="43" s="1"/>
  <c r="C15" i="52" s="1"/>
  <c r="C427" i="43"/>
  <c r="C451" i="43" s="1"/>
  <c r="C17" i="52" s="1"/>
  <c r="C429" i="43"/>
  <c r="C453" i="43" s="1"/>
  <c r="C19" i="52" s="1"/>
  <c r="C432" i="43"/>
  <c r="C456" i="43" s="1"/>
  <c r="C22" i="52" s="1"/>
  <c r="C410" i="43"/>
  <c r="C412" i="43"/>
  <c r="C422" i="43"/>
  <c r="C446" i="43" s="1"/>
  <c r="C12" i="52" s="1"/>
  <c r="C433" i="43"/>
  <c r="C457" i="43" s="1"/>
  <c r="C23" i="52" s="1"/>
  <c r="C405" i="43"/>
  <c r="C408" i="43"/>
  <c r="C415" i="43"/>
  <c r="C439" i="43" s="1"/>
  <c r="C5" i="52" s="1"/>
  <c r="C424" i="43"/>
  <c r="C448" i="43" s="1"/>
  <c r="C14" i="52" s="1"/>
  <c r="C430" i="43"/>
  <c r="C454" i="43" s="1"/>
  <c r="C20" i="52" s="1"/>
  <c r="C413" i="43"/>
  <c r="C411" i="43"/>
  <c r="C416" i="43"/>
  <c r="C440" i="43" s="1"/>
  <c r="C6" i="52" s="1"/>
  <c r="H434" i="43"/>
  <c r="H458" i="43" s="1"/>
  <c r="H24" i="52" s="1"/>
  <c r="H418" i="43"/>
  <c r="H442" i="43" s="1"/>
  <c r="H8" i="52" s="1"/>
  <c r="H415" i="43"/>
  <c r="H439" i="43" s="1"/>
  <c r="H5" i="52" s="1"/>
  <c r="H410" i="43"/>
  <c r="H424" i="43"/>
  <c r="H448" i="43" s="1"/>
  <c r="H14" i="52" s="1"/>
  <c r="H405" i="43"/>
  <c r="H428" i="43"/>
  <c r="H452" i="43" s="1"/>
  <c r="H18" i="52" s="1"/>
  <c r="H406" i="43"/>
  <c r="H417" i="43"/>
  <c r="H441" i="43" s="1"/>
  <c r="H7" i="52" s="1"/>
  <c r="H414" i="43"/>
  <c r="H438" i="43" s="1"/>
  <c r="H4" i="52" s="1"/>
  <c r="H430" i="43"/>
  <c r="H454" i="43" s="1"/>
  <c r="H20" i="52" s="1"/>
  <c r="H423" i="43"/>
  <c r="H447" i="43" s="1"/>
  <c r="H13" i="52" s="1"/>
  <c r="H419" i="43"/>
  <c r="H443" i="43" s="1"/>
  <c r="H9" i="52" s="1"/>
  <c r="H429" i="43"/>
  <c r="H453" i="43" s="1"/>
  <c r="H19" i="52" s="1"/>
  <c r="H416" i="43"/>
  <c r="H440" i="43" s="1"/>
  <c r="H6" i="52" s="1"/>
  <c r="H404" i="43"/>
  <c r="H413" i="43"/>
  <c r="H427" i="43"/>
  <c r="H451" i="43" s="1"/>
  <c r="H17" i="52" s="1"/>
  <c r="H409" i="43"/>
  <c r="H422" i="43"/>
  <c r="H446" i="43" s="1"/>
  <c r="H12" i="52" s="1"/>
  <c r="H421" i="43"/>
  <c r="H445" i="43" s="1"/>
  <c r="H11" i="52" s="1"/>
  <c r="H426" i="43"/>
  <c r="H450" i="43" s="1"/>
  <c r="H16" i="52" s="1"/>
  <c r="H420" i="43"/>
  <c r="H444" i="43" s="1"/>
  <c r="H10" i="52" s="1"/>
  <c r="H431" i="43"/>
  <c r="H455" i="43" s="1"/>
  <c r="H21" i="52" s="1"/>
  <c r="H433" i="43"/>
  <c r="H457" i="43" s="1"/>
  <c r="H23" i="52" s="1"/>
  <c r="H408" i="43"/>
  <c r="H432" i="43"/>
  <c r="H456" i="43" s="1"/>
  <c r="H22" i="52" s="1"/>
  <c r="H412" i="43"/>
  <c r="H425" i="43"/>
  <c r="H449" i="43" s="1"/>
  <c r="H15" i="52" s="1"/>
  <c r="H407" i="43"/>
  <c r="H411" i="43"/>
  <c r="G410" i="43"/>
  <c r="G413" i="43"/>
  <c r="G431" i="43"/>
  <c r="G455" i="43" s="1"/>
  <c r="G21" i="52" s="1"/>
  <c r="G416" i="43"/>
  <c r="G440" i="43" s="1"/>
  <c r="G6" i="52" s="1"/>
  <c r="G434" i="43"/>
  <c r="G458" i="43" s="1"/>
  <c r="G24" i="52" s="1"/>
  <c r="G428" i="43"/>
  <c r="G452" i="43" s="1"/>
  <c r="G18" i="52" s="1"/>
  <c r="G429" i="43"/>
  <c r="G453" i="43" s="1"/>
  <c r="G19" i="52" s="1"/>
  <c r="G411" i="43"/>
  <c r="G427" i="43"/>
  <c r="G451" i="43" s="1"/>
  <c r="G17" i="52" s="1"/>
  <c r="G409" i="43"/>
  <c r="G405" i="43"/>
  <c r="G404" i="43"/>
  <c r="G422" i="43"/>
  <c r="G446" i="43" s="1"/>
  <c r="G12" i="52" s="1"/>
  <c r="G426" i="43"/>
  <c r="G450" i="43" s="1"/>
  <c r="G16" i="52" s="1"/>
  <c r="G408" i="43"/>
  <c r="G424" i="43"/>
  <c r="G448" i="43" s="1"/>
  <c r="G14" i="52" s="1"/>
  <c r="G433" i="43"/>
  <c r="G457" i="43" s="1"/>
  <c r="G23" i="52" s="1"/>
  <c r="G430" i="43"/>
  <c r="G454" i="43" s="1"/>
  <c r="G20" i="52" s="1"/>
  <c r="G406" i="43"/>
  <c r="G419" i="43"/>
  <c r="G443" i="43" s="1"/>
  <c r="G9" i="52" s="1"/>
  <c r="G423" i="43"/>
  <c r="G447" i="43" s="1"/>
  <c r="G13" i="52" s="1"/>
  <c r="G421" i="43"/>
  <c r="G445" i="43" s="1"/>
  <c r="G11" i="52" s="1"/>
  <c r="G418" i="43"/>
  <c r="G442" i="43" s="1"/>
  <c r="G8" i="52" s="1"/>
  <c r="G415" i="43"/>
  <c r="G439" i="43" s="1"/>
  <c r="G5" i="52" s="1"/>
  <c r="G432" i="43"/>
  <c r="G456" i="43" s="1"/>
  <c r="G22" i="52" s="1"/>
  <c r="G407" i="43"/>
  <c r="G420" i="43"/>
  <c r="G444" i="43" s="1"/>
  <c r="G10" i="52" s="1"/>
  <c r="G425" i="43"/>
  <c r="G449" i="43" s="1"/>
  <c r="G15" i="52" s="1"/>
  <c r="G417" i="43"/>
  <c r="G441" i="43" s="1"/>
  <c r="G7" i="52" s="1"/>
  <c r="G414" i="43"/>
  <c r="G438" i="43" s="1"/>
  <c r="G4" i="52" s="1"/>
  <c r="G412" i="43"/>
  <c r="B405" i="43"/>
  <c r="B424" i="43"/>
  <c r="B448" i="43" s="1"/>
  <c r="B14" i="52" s="1"/>
  <c r="B425" i="43"/>
  <c r="B449" i="43" s="1"/>
  <c r="B15" i="52" s="1"/>
  <c r="B413" i="43"/>
  <c r="B414" i="43"/>
  <c r="B438" i="43" s="1"/>
  <c r="B4" i="52" s="1"/>
  <c r="B408" i="43"/>
  <c r="B431" i="43"/>
  <c r="B455" i="43" s="1"/>
  <c r="B21" i="52" s="1"/>
  <c r="B422" i="43"/>
  <c r="B446" i="43" s="1"/>
  <c r="B12" i="52" s="1"/>
  <c r="B415" i="43"/>
  <c r="B439" i="43" s="1"/>
  <c r="B5" i="52" s="1"/>
  <c r="B417" i="43"/>
  <c r="B441" i="43" s="1"/>
  <c r="B7" i="52" s="1"/>
  <c r="B409" i="43"/>
  <c r="B406" i="43"/>
  <c r="B429" i="43"/>
  <c r="B453" i="43" s="1"/>
  <c r="B19" i="52" s="1"/>
  <c r="B433" i="43"/>
  <c r="B457" i="43" s="1"/>
  <c r="B23" i="52" s="1"/>
  <c r="B411" i="43"/>
  <c r="B416" i="43"/>
  <c r="B440" i="43" s="1"/>
  <c r="B6" i="52" s="1"/>
  <c r="B432" i="43"/>
  <c r="B456" i="43" s="1"/>
  <c r="B22" i="52" s="1"/>
  <c r="B404" i="43"/>
  <c r="B428" i="43"/>
  <c r="B452" i="43" s="1"/>
  <c r="B18" i="52" s="1"/>
  <c r="B420" i="43"/>
  <c r="B444" i="43" s="1"/>
  <c r="B10" i="52" s="1"/>
  <c r="B421" i="43"/>
  <c r="B445" i="43" s="1"/>
  <c r="B11" i="52" s="1"/>
  <c r="B410" i="43"/>
  <c r="B407" i="43"/>
  <c r="B427" i="43"/>
  <c r="B451" i="43" s="1"/>
  <c r="B17" i="52" s="1"/>
  <c r="B426" i="43"/>
  <c r="B450" i="43" s="1"/>
  <c r="B16" i="52" s="1"/>
  <c r="B434" i="43"/>
  <c r="B458" i="43" s="1"/>
  <c r="B24" i="52" s="1"/>
  <c r="B430" i="43"/>
  <c r="B454" i="43" s="1"/>
  <c r="B20" i="52" s="1"/>
  <c r="B423" i="43"/>
  <c r="B447" i="43" s="1"/>
  <c r="B13" i="52" s="1"/>
  <c r="B418" i="43"/>
  <c r="B442" i="43" s="1"/>
  <c r="B8" i="52" s="1"/>
  <c r="B419" i="43"/>
  <c r="B443" i="43" s="1"/>
  <c r="B9" i="52" s="1"/>
  <c r="B412" i="43"/>
  <c r="F415" i="43"/>
  <c r="F439" i="43" s="1"/>
  <c r="F5" i="52" s="1"/>
  <c r="F410" i="43"/>
  <c r="F420" i="43"/>
  <c r="F444" i="43" s="1"/>
  <c r="F10" i="52" s="1"/>
  <c r="F431" i="43"/>
  <c r="F455" i="43" s="1"/>
  <c r="F21" i="52" s="1"/>
  <c r="F423" i="43"/>
  <c r="F447" i="43" s="1"/>
  <c r="F13" i="52" s="1"/>
  <c r="F424" i="43"/>
  <c r="F448" i="43" s="1"/>
  <c r="F14" i="52" s="1"/>
  <c r="F419" i="43"/>
  <c r="F443" i="43" s="1"/>
  <c r="F9" i="52" s="1"/>
  <c r="F430" i="43"/>
  <c r="F454" i="43" s="1"/>
  <c r="F20" i="52" s="1"/>
  <c r="F416" i="43"/>
  <c r="F440" i="43" s="1"/>
  <c r="F6" i="52" s="1"/>
  <c r="F404" i="43"/>
  <c r="F427" i="43"/>
  <c r="F451" i="43" s="1"/>
  <c r="F17" i="52" s="1"/>
  <c r="F434" i="43"/>
  <c r="F458" i="43" s="1"/>
  <c r="F24" i="52" s="1"/>
  <c r="F421" i="43"/>
  <c r="F445" i="43" s="1"/>
  <c r="F11" i="52" s="1"/>
  <c r="F425" i="43"/>
  <c r="F449" i="43" s="1"/>
  <c r="F15" i="52" s="1"/>
  <c r="F426" i="43"/>
  <c r="F450" i="43" s="1"/>
  <c r="F16" i="52" s="1"/>
  <c r="F412" i="43"/>
  <c r="F409" i="43"/>
  <c r="F407" i="43"/>
  <c r="F417" i="43"/>
  <c r="F441" i="43" s="1"/>
  <c r="F7" i="52" s="1"/>
  <c r="F414" i="43"/>
  <c r="F438" i="43" s="1"/>
  <c r="F4" i="52" s="1"/>
  <c r="F422" i="43"/>
  <c r="F446" i="43" s="1"/>
  <c r="F12" i="52" s="1"/>
  <c r="F411" i="43"/>
  <c r="F405" i="43"/>
  <c r="F408" i="43"/>
  <c r="F432" i="43"/>
  <c r="F456" i="43" s="1"/>
  <c r="F22" i="52" s="1"/>
  <c r="F418" i="43"/>
  <c r="F442" i="43" s="1"/>
  <c r="F8" i="52" s="1"/>
  <c r="F413" i="43"/>
  <c r="F428" i="43"/>
  <c r="F452" i="43" s="1"/>
  <c r="F18" i="52" s="1"/>
  <c r="F429" i="43"/>
  <c r="F453" i="43" s="1"/>
  <c r="F19" i="52" s="1"/>
  <c r="F406" i="43"/>
  <c r="F433" i="43"/>
  <c r="F457" i="43" s="1"/>
  <c r="F23" i="52" s="1"/>
  <c r="D405" i="43"/>
  <c r="D408" i="43"/>
  <c r="D413" i="43"/>
  <c r="D415" i="43"/>
  <c r="D439" i="43" s="1"/>
  <c r="D5" i="52" s="1"/>
  <c r="D424" i="43"/>
  <c r="D448" i="43" s="1"/>
  <c r="D14" i="52" s="1"/>
  <c r="D433" i="43"/>
  <c r="D457" i="43" s="1"/>
  <c r="D23" i="52" s="1"/>
  <c r="D406" i="43"/>
  <c r="D417" i="43"/>
  <c r="D441" i="43" s="1"/>
  <c r="D7" i="52" s="1"/>
  <c r="D419" i="43"/>
  <c r="D443" i="43" s="1"/>
  <c r="D9" i="52" s="1"/>
  <c r="D426" i="43"/>
  <c r="D450" i="43" s="1"/>
  <c r="D16" i="52" s="1"/>
  <c r="D430" i="43"/>
  <c r="D454" i="43" s="1"/>
  <c r="D20" i="52" s="1"/>
  <c r="D414" i="43"/>
  <c r="D438" i="43" s="1"/>
  <c r="D4" i="52" s="1"/>
  <c r="D427" i="43"/>
  <c r="D451" i="43" s="1"/>
  <c r="D17" i="52" s="1"/>
  <c r="D431" i="43"/>
  <c r="D455" i="43" s="1"/>
  <c r="D21" i="52" s="1"/>
  <c r="D411" i="43"/>
  <c r="D416" i="43"/>
  <c r="D440" i="43" s="1"/>
  <c r="D6" i="52" s="1"/>
  <c r="D423" i="43"/>
  <c r="D447" i="43" s="1"/>
  <c r="D13" i="52" s="1"/>
  <c r="D428" i="43"/>
  <c r="D452" i="43" s="1"/>
  <c r="D18" i="52" s="1"/>
  <c r="D404" i="43"/>
  <c r="D409" i="43"/>
  <c r="D421" i="43"/>
  <c r="D445" i="43" s="1"/>
  <c r="D11" i="52" s="1"/>
  <c r="D434" i="43"/>
  <c r="D458" i="43" s="1"/>
  <c r="D24" i="52" s="1"/>
  <c r="D407" i="43"/>
  <c r="D418" i="43"/>
  <c r="D442" i="43" s="1"/>
  <c r="D8" i="52" s="1"/>
  <c r="D425" i="43"/>
  <c r="D449" i="43" s="1"/>
  <c r="D15" i="52" s="1"/>
  <c r="D429" i="43"/>
  <c r="D453" i="43" s="1"/>
  <c r="D19" i="52" s="1"/>
  <c r="D432" i="43"/>
  <c r="D456" i="43" s="1"/>
  <c r="D22" i="52" s="1"/>
  <c r="D410" i="43"/>
  <c r="D412" i="43"/>
  <c r="D420" i="43"/>
  <c r="D444" i="43" s="1"/>
  <c r="D10" i="52" s="1"/>
  <c r="D422" i="43"/>
  <c r="D446" i="43" s="1"/>
  <c r="D12" i="52" s="1"/>
  <c r="E405" i="43"/>
  <c r="E410" i="43"/>
  <c r="E420" i="43"/>
  <c r="E444" i="43" s="1"/>
  <c r="E10" i="52" s="1"/>
  <c r="E422" i="43"/>
  <c r="E446" i="43" s="1"/>
  <c r="E12" i="52" s="1"/>
  <c r="E408" i="43"/>
  <c r="E413" i="43"/>
  <c r="E415" i="43"/>
  <c r="E439" i="43" s="1"/>
  <c r="E5" i="52" s="1"/>
  <c r="E424" i="43"/>
  <c r="E448" i="43" s="1"/>
  <c r="E14" i="52" s="1"/>
  <c r="E433" i="43"/>
  <c r="E457" i="43" s="1"/>
  <c r="E23" i="52" s="1"/>
  <c r="E406" i="43"/>
  <c r="E417" i="43"/>
  <c r="E441" i="43" s="1"/>
  <c r="E7" i="52" s="1"/>
  <c r="E419" i="43"/>
  <c r="E443" i="43" s="1"/>
  <c r="E9" i="52" s="1"/>
  <c r="E426" i="43"/>
  <c r="E450" i="43" s="1"/>
  <c r="E16" i="52" s="1"/>
  <c r="E430" i="43"/>
  <c r="E454" i="43" s="1"/>
  <c r="E20" i="52" s="1"/>
  <c r="E411" i="43"/>
  <c r="E416" i="43"/>
  <c r="E440" i="43" s="1"/>
  <c r="E6" i="52" s="1"/>
  <c r="E423" i="43"/>
  <c r="E447" i="43" s="1"/>
  <c r="E13" i="52" s="1"/>
  <c r="E404" i="43"/>
  <c r="E434" i="43"/>
  <c r="E458" i="43" s="1"/>
  <c r="E24" i="52" s="1"/>
  <c r="E431" i="43"/>
  <c r="E455" i="43" s="1"/>
  <c r="E21" i="52" s="1"/>
  <c r="E418" i="43"/>
  <c r="E442" i="43" s="1"/>
  <c r="E8" i="52" s="1"/>
  <c r="E425" i="43"/>
  <c r="E449" i="43" s="1"/>
  <c r="E15" i="52" s="1"/>
  <c r="E427" i="43"/>
  <c r="E451" i="43" s="1"/>
  <c r="E17" i="52" s="1"/>
  <c r="E429" i="43"/>
  <c r="E453" i="43" s="1"/>
  <c r="E19" i="52" s="1"/>
  <c r="E414" i="43"/>
  <c r="E438" i="43" s="1"/>
  <c r="E4" i="52" s="1"/>
  <c r="E421" i="43"/>
  <c r="E445" i="43" s="1"/>
  <c r="E11" i="52" s="1"/>
  <c r="E409" i="43"/>
  <c r="E428" i="43"/>
  <c r="E452" i="43" s="1"/>
  <c r="E18" i="52" s="1"/>
  <c r="E432" i="43"/>
  <c r="E456" i="43" s="1"/>
  <c r="E22" i="52" s="1"/>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F87" i="52" l="1"/>
  <c r="F90" i="52"/>
  <c r="F89" i="52"/>
  <c r="F86" i="52"/>
  <c r="F82" i="52"/>
  <c r="F93" i="52"/>
  <c r="F97" i="52"/>
  <c r="F96" i="52"/>
  <c r="F91" i="52"/>
  <c r="F88" i="52"/>
  <c r="F83" i="52"/>
  <c r="F80" i="52"/>
  <c r="F98" i="52"/>
  <c r="F100" i="52"/>
  <c r="F99" i="52"/>
  <c r="F94" i="52"/>
  <c r="F92" i="52"/>
  <c r="F84" i="52"/>
  <c r="F74" i="52"/>
  <c r="F73" i="52"/>
  <c r="F101" i="52"/>
  <c r="F72" i="52"/>
  <c r="F95" i="52"/>
  <c r="F85" i="52"/>
  <c r="F76" i="52"/>
  <c r="F79" i="52"/>
  <c r="F78" i="52"/>
  <c r="F77" i="52"/>
  <c r="F75" i="52"/>
  <c r="F102" i="52"/>
  <c r="F81" i="52"/>
  <c r="D76" i="52"/>
  <c r="D82" i="52"/>
  <c r="D88" i="52"/>
  <c r="D94" i="52"/>
  <c r="D100" i="52"/>
  <c r="D77" i="52"/>
  <c r="D83" i="52"/>
  <c r="D89" i="52"/>
  <c r="D95" i="52"/>
  <c r="D101" i="52"/>
  <c r="D81" i="52"/>
  <c r="D99" i="52"/>
  <c r="D72" i="52"/>
  <c r="D78" i="52"/>
  <c r="D84" i="52"/>
  <c r="D90" i="52"/>
  <c r="D96" i="52"/>
  <c r="D102" i="52"/>
  <c r="D93" i="52"/>
  <c r="D73" i="52"/>
  <c r="D79" i="52"/>
  <c r="D85" i="52"/>
  <c r="D91" i="52"/>
  <c r="D97" i="52"/>
  <c r="D87" i="52"/>
  <c r="D74" i="52"/>
  <c r="D80" i="52"/>
  <c r="D86" i="52"/>
  <c r="D92" i="52"/>
  <c r="D98" i="52"/>
  <c r="D75" i="52"/>
  <c r="H73" i="52"/>
  <c r="H79" i="52"/>
  <c r="H85" i="52"/>
  <c r="H91" i="52"/>
  <c r="H97" i="52"/>
  <c r="H74" i="52"/>
  <c r="H80" i="52"/>
  <c r="H86" i="52"/>
  <c r="H92" i="52"/>
  <c r="H98" i="52"/>
  <c r="H96" i="52"/>
  <c r="H75" i="52"/>
  <c r="H81" i="52"/>
  <c r="H87" i="52"/>
  <c r="H93" i="52"/>
  <c r="H99" i="52"/>
  <c r="H78" i="52"/>
  <c r="H102" i="52"/>
  <c r="H76" i="52"/>
  <c r="H82" i="52"/>
  <c r="H88" i="52"/>
  <c r="H94" i="52"/>
  <c r="H100" i="52"/>
  <c r="H72" i="52"/>
  <c r="H90" i="52"/>
  <c r="H77" i="52"/>
  <c r="H83" i="52"/>
  <c r="H89" i="52"/>
  <c r="H95" i="52"/>
  <c r="H101" i="52"/>
  <c r="H84" i="52"/>
  <c r="B96" i="52"/>
  <c r="B90" i="52"/>
  <c r="B74" i="52"/>
  <c r="B100" i="52"/>
  <c r="B101" i="52"/>
  <c r="B85" i="52"/>
  <c r="B86" i="52"/>
  <c r="B77" i="52"/>
  <c r="B80" i="52"/>
  <c r="B75" i="52"/>
  <c r="B76" i="52"/>
  <c r="B91" i="52"/>
  <c r="B81" i="52"/>
  <c r="B84" i="52"/>
  <c r="B78" i="52"/>
  <c r="B95" i="52"/>
  <c r="B92" i="52"/>
  <c r="B102" i="52"/>
  <c r="B94" i="52"/>
  <c r="B97" i="52"/>
  <c r="B98" i="52"/>
  <c r="B87" i="52"/>
  <c r="B82" i="52"/>
  <c r="B83" i="52"/>
  <c r="B79" i="52"/>
  <c r="B72" i="52"/>
  <c r="B73" i="52"/>
  <c r="B93" i="52"/>
  <c r="B88" i="52"/>
  <c r="B89" i="52"/>
  <c r="B99" i="52"/>
  <c r="G72" i="52"/>
  <c r="G78" i="52"/>
  <c r="G84" i="52"/>
  <c r="G90" i="52"/>
  <c r="G96" i="52"/>
  <c r="G102" i="52"/>
  <c r="G73" i="52"/>
  <c r="G79" i="52"/>
  <c r="G85" i="52"/>
  <c r="G91" i="52"/>
  <c r="G97" i="52"/>
  <c r="G89" i="52"/>
  <c r="G74" i="52"/>
  <c r="G80" i="52"/>
  <c r="G86" i="52"/>
  <c r="G92" i="52"/>
  <c r="G98" i="52"/>
  <c r="G101" i="52"/>
  <c r="G75" i="52"/>
  <c r="G81" i="52"/>
  <c r="G87" i="52"/>
  <c r="G93" i="52"/>
  <c r="G99" i="52"/>
  <c r="G83" i="52"/>
  <c r="G76" i="52"/>
  <c r="G82" i="52"/>
  <c r="G88" i="52"/>
  <c r="G94" i="52"/>
  <c r="G100" i="52"/>
  <c r="G77" i="52"/>
  <c r="G95" i="52"/>
  <c r="C75" i="52"/>
  <c r="C81" i="52"/>
  <c r="C87" i="52"/>
  <c r="C93" i="52"/>
  <c r="C99" i="52"/>
  <c r="C76" i="52"/>
  <c r="C82" i="52"/>
  <c r="C88" i="52"/>
  <c r="C94" i="52"/>
  <c r="C100" i="52"/>
  <c r="C86" i="52"/>
  <c r="C77" i="52"/>
  <c r="C83" i="52"/>
  <c r="C89" i="52"/>
  <c r="C95" i="52"/>
  <c r="C101" i="52"/>
  <c r="C92" i="52"/>
  <c r="C72" i="52"/>
  <c r="C78" i="52"/>
  <c r="C84" i="52"/>
  <c r="C90" i="52"/>
  <c r="C96" i="52"/>
  <c r="C102" i="52"/>
  <c r="C80" i="52"/>
  <c r="C73" i="52"/>
  <c r="C79" i="52"/>
  <c r="C85" i="52"/>
  <c r="C91" i="52"/>
  <c r="C97" i="52"/>
  <c r="C74" i="52"/>
  <c r="C98" i="52"/>
  <c r="E77" i="52"/>
  <c r="E83" i="52"/>
  <c r="E89" i="52"/>
  <c r="E95" i="52"/>
  <c r="E101" i="52"/>
  <c r="E72" i="52"/>
  <c r="E78" i="52"/>
  <c r="E84" i="52"/>
  <c r="E90" i="52"/>
  <c r="E96" i="52"/>
  <c r="E102" i="52"/>
  <c r="E76" i="52"/>
  <c r="E100" i="52"/>
  <c r="E73" i="52"/>
  <c r="E79" i="52"/>
  <c r="E85" i="52"/>
  <c r="E91" i="52"/>
  <c r="E97" i="52"/>
  <c r="E94" i="52"/>
  <c r="E74" i="52"/>
  <c r="E80" i="52"/>
  <c r="E86" i="52"/>
  <c r="E92" i="52"/>
  <c r="E98" i="52"/>
  <c r="E88" i="52"/>
  <c r="E75" i="52"/>
  <c r="E81" i="52"/>
  <c r="E87" i="52"/>
  <c r="E93" i="52"/>
  <c r="E99" i="52"/>
  <c r="E82" i="52"/>
  <c r="H217" i="44" a="1"/>
  <c r="A8" i="43"/>
  <c r="M14" i="43"/>
  <c r="J98" i="52" l="1"/>
  <c r="AF109" i="52" s="1"/>
  <c r="J78" i="52"/>
  <c r="L109" i="52" s="1"/>
  <c r="J80" i="52"/>
  <c r="N109" i="52" s="1"/>
  <c r="J74" i="52"/>
  <c r="J97" i="52"/>
  <c r="AE109" i="52" s="1"/>
  <c r="J84" i="52"/>
  <c r="R109" i="52" s="1"/>
  <c r="J77" i="52"/>
  <c r="K109" i="52" s="1"/>
  <c r="J90" i="52"/>
  <c r="X109" i="52" s="1"/>
  <c r="J99" i="52"/>
  <c r="AG109" i="52" s="1"/>
  <c r="J79" i="52"/>
  <c r="M109" i="52" s="1"/>
  <c r="J94" i="52"/>
  <c r="AB109" i="52" s="1"/>
  <c r="J81" i="52"/>
  <c r="O109" i="52" s="1"/>
  <c r="J86" i="52"/>
  <c r="T109" i="52" s="1"/>
  <c r="J96" i="52"/>
  <c r="AD109" i="52" s="1"/>
  <c r="J89" i="52"/>
  <c r="W109" i="52" s="1"/>
  <c r="J83" i="52"/>
  <c r="Q109" i="52" s="1"/>
  <c r="J91" i="52"/>
  <c r="Y109" i="52" s="1"/>
  <c r="J85" i="52"/>
  <c r="S109" i="52" s="1"/>
  <c r="J88" i="52"/>
  <c r="V109" i="52" s="1"/>
  <c r="J82" i="52"/>
  <c r="P109" i="52" s="1"/>
  <c r="J92" i="52"/>
  <c r="Z109" i="52" s="1"/>
  <c r="J76" i="52"/>
  <c r="J109" i="52" s="1"/>
  <c r="J101" i="52"/>
  <c r="AI109" i="52" s="1"/>
  <c r="J93" i="52"/>
  <c r="AA109" i="52" s="1"/>
  <c r="J87" i="52"/>
  <c r="U109" i="52" s="1"/>
  <c r="J95" i="52"/>
  <c r="AC109" i="52" s="1"/>
  <c r="J75" i="52"/>
  <c r="I109" i="52" s="1"/>
  <c r="J100" i="52"/>
  <c r="AH109" i="52" s="1"/>
  <c r="H217" i="44"/>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J102" i="52" l="1"/>
  <c r="AJ109" i="52" s="1"/>
  <c r="AJ144" i="52" s="1"/>
  <c r="J148" i="52"/>
  <c r="J144" i="52"/>
  <c r="J142" i="52"/>
  <c r="J143" i="52" s="1"/>
  <c r="Z142" i="52"/>
  <c r="Z143" i="52" s="1"/>
  <c r="Z148" i="52"/>
  <c r="Z144" i="52"/>
  <c r="AC148" i="52"/>
  <c r="AC142" i="52"/>
  <c r="AC143" i="52" s="1"/>
  <c r="AC144" i="52"/>
  <c r="P142" i="52"/>
  <c r="P143" i="52" s="1"/>
  <c r="P148" i="52"/>
  <c r="P144" i="52"/>
  <c r="W144" i="52"/>
  <c r="W148" i="52"/>
  <c r="W142" i="52"/>
  <c r="W143" i="52" s="1"/>
  <c r="AG148" i="52"/>
  <c r="AG142" i="52"/>
  <c r="AG143" i="52" s="1"/>
  <c r="AG144" i="52"/>
  <c r="AH148" i="52"/>
  <c r="AH142" i="52"/>
  <c r="AH143" i="52" s="1"/>
  <c r="AH144" i="52"/>
  <c r="U148" i="52"/>
  <c r="U142" i="52"/>
  <c r="U143" i="52" s="1"/>
  <c r="U144" i="52"/>
  <c r="V148" i="52"/>
  <c r="V142" i="52"/>
  <c r="V143" i="52" s="1"/>
  <c r="V144" i="52"/>
  <c r="AD148" i="52"/>
  <c r="AD144" i="52"/>
  <c r="AD142" i="52"/>
  <c r="AD143" i="52" s="1"/>
  <c r="X148" i="52"/>
  <c r="X142" i="52"/>
  <c r="X143" i="52" s="1"/>
  <c r="X144" i="52"/>
  <c r="N144" i="52"/>
  <c r="N148" i="52"/>
  <c r="N142" i="52"/>
  <c r="N143" i="52" s="1"/>
  <c r="I148" i="52"/>
  <c r="I142" i="52"/>
  <c r="I143" i="52" s="1"/>
  <c r="I144" i="52"/>
  <c r="Q148" i="52"/>
  <c r="Q142" i="52"/>
  <c r="Q143" i="52" s="1"/>
  <c r="Q144" i="52"/>
  <c r="S144" i="52"/>
  <c r="S148" i="52"/>
  <c r="S142" i="52"/>
  <c r="S143" i="52" s="1"/>
  <c r="T148" i="52"/>
  <c r="T142" i="52"/>
  <c r="T143" i="52" s="1"/>
  <c r="T144" i="52"/>
  <c r="K148" i="52"/>
  <c r="K142" i="52"/>
  <c r="K143" i="52" s="1"/>
  <c r="K144" i="52"/>
  <c r="L148" i="52"/>
  <c r="L144" i="52"/>
  <c r="L142" i="52"/>
  <c r="L143" i="52" s="1"/>
  <c r="M148" i="52"/>
  <c r="M144" i="52"/>
  <c r="M142" i="52"/>
  <c r="M143" i="52" s="1"/>
  <c r="AA144" i="52"/>
  <c r="AA148" i="52"/>
  <c r="AA142" i="52"/>
  <c r="AA143" i="52" s="1"/>
  <c r="AI148" i="52"/>
  <c r="AI144" i="52"/>
  <c r="AI142" i="52"/>
  <c r="AI143" i="52" s="1"/>
  <c r="Y144" i="52"/>
  <c r="Y148" i="52"/>
  <c r="Y142" i="52"/>
  <c r="Y143" i="52" s="1"/>
  <c r="O148" i="52"/>
  <c r="O144" i="52"/>
  <c r="O142" i="52"/>
  <c r="O143" i="52" s="1"/>
  <c r="R148" i="52"/>
  <c r="R144" i="52"/>
  <c r="R142" i="52"/>
  <c r="R143" i="52" s="1"/>
  <c r="AF148" i="52"/>
  <c r="AF142" i="52"/>
  <c r="AF143" i="52" s="1"/>
  <c r="AF144" i="52"/>
  <c r="AB148" i="52"/>
  <c r="AB144" i="52"/>
  <c r="AB142" i="52"/>
  <c r="AB143" i="52" s="1"/>
  <c r="AE148" i="52"/>
  <c r="AE142" i="52"/>
  <c r="AE143" i="52" s="1"/>
  <c r="AE144" i="52"/>
  <c r="F224" i="44"/>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J148" i="52" l="1"/>
  <c r="AJ142" i="52"/>
  <c r="AJ143" i="52" s="1"/>
  <c r="H109" i="52"/>
  <c r="F150" i="52"/>
  <c r="K146" i="52"/>
  <c r="A12" i="43"/>
  <c r="P14" i="43"/>
  <c r="H142" i="52" l="1"/>
  <c r="H143" i="52" s="1"/>
  <c r="H148" i="52"/>
  <c r="H144" i="52"/>
  <c r="A13" i="43"/>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P457" i="43" s="1"/>
  <c r="P23" i="52" s="1"/>
  <c r="BE31" i="8"/>
  <c r="BE30" i="8"/>
  <c r="AS29" i="8"/>
  <c r="P430" i="43" s="1"/>
  <c r="P454" i="43" s="1"/>
  <c r="P20" i="52" s="1"/>
  <c r="BE28" i="8"/>
  <c r="BE27" i="8"/>
  <c r="AS26" i="8"/>
  <c r="P427" i="43" s="1"/>
  <c r="P451" i="43" s="1"/>
  <c r="P17" i="52" s="1"/>
  <c r="BE25" i="8"/>
  <c r="BE24" i="8"/>
  <c r="BE23" i="8"/>
  <c r="BE22" i="8"/>
  <c r="BE21" i="8"/>
  <c r="AS20" i="8"/>
  <c r="P421" i="43" s="1"/>
  <c r="P445" i="43" s="1"/>
  <c r="P11" i="52" s="1"/>
  <c r="BE19" i="8"/>
  <c r="BE18" i="8"/>
  <c r="AS17" i="8"/>
  <c r="P418" i="43" s="1"/>
  <c r="P442" i="43" s="1"/>
  <c r="P8" i="52" s="1"/>
  <c r="BE16" i="8"/>
  <c r="BE15" i="8"/>
  <c r="AS14" i="8"/>
  <c r="P415" i="43" s="1"/>
  <c r="P439" i="43" s="1"/>
  <c r="P5" i="52"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N458" i="43" s="1"/>
  <c r="N24" i="52" s="1"/>
  <c r="S32" i="8"/>
  <c r="AQ32" i="8" s="1"/>
  <c r="N433" i="43" s="1"/>
  <c r="N457" i="43" s="1"/>
  <c r="N23" i="52" s="1"/>
  <c r="S31" i="8"/>
  <c r="AQ31" i="8" s="1"/>
  <c r="N432" i="43" s="1"/>
  <c r="N456" i="43" s="1"/>
  <c r="N22" i="52" s="1"/>
  <c r="S30" i="8"/>
  <c r="AQ30" i="8" s="1"/>
  <c r="N431" i="43" s="1"/>
  <c r="N455" i="43" s="1"/>
  <c r="N21" i="52" s="1"/>
  <c r="S29" i="8"/>
  <c r="AQ29" i="8" s="1"/>
  <c r="N430" i="43" s="1"/>
  <c r="N454" i="43" s="1"/>
  <c r="N20" i="52" s="1"/>
  <c r="S28" i="8"/>
  <c r="AQ28" i="8" s="1"/>
  <c r="N429" i="43" s="1"/>
  <c r="N453" i="43" s="1"/>
  <c r="N19" i="52" s="1"/>
  <c r="S27" i="8"/>
  <c r="AQ27" i="8" s="1"/>
  <c r="N428" i="43" s="1"/>
  <c r="N452" i="43" s="1"/>
  <c r="N18" i="52" s="1"/>
  <c r="S26" i="8"/>
  <c r="AQ26" i="8" s="1"/>
  <c r="N427" i="43" s="1"/>
  <c r="N451" i="43" s="1"/>
  <c r="N17" i="52" s="1"/>
  <c r="S25" i="8"/>
  <c r="AQ25" i="8" s="1"/>
  <c r="N426" i="43" s="1"/>
  <c r="N450" i="43" s="1"/>
  <c r="N16" i="52" s="1"/>
  <c r="S24" i="8"/>
  <c r="AQ24" i="8" s="1"/>
  <c r="N425" i="43" s="1"/>
  <c r="N449" i="43" s="1"/>
  <c r="N15" i="52" s="1"/>
  <c r="S23" i="8"/>
  <c r="AQ23" i="8" s="1"/>
  <c r="N424" i="43" s="1"/>
  <c r="N448" i="43" s="1"/>
  <c r="N14" i="52" s="1"/>
  <c r="S22" i="8"/>
  <c r="AQ22" i="8" s="1"/>
  <c r="N423" i="43" s="1"/>
  <c r="N447" i="43" s="1"/>
  <c r="N13" i="52" s="1"/>
  <c r="S21" i="8"/>
  <c r="AQ21" i="8" s="1"/>
  <c r="N422" i="43" s="1"/>
  <c r="N446" i="43" s="1"/>
  <c r="N12" i="52" s="1"/>
  <c r="S20" i="8"/>
  <c r="AQ20" i="8" s="1"/>
  <c r="N421" i="43" s="1"/>
  <c r="N445" i="43" s="1"/>
  <c r="N11" i="52" s="1"/>
  <c r="S19" i="8"/>
  <c r="AQ19" i="8" s="1"/>
  <c r="N420" i="43" s="1"/>
  <c r="N444" i="43" s="1"/>
  <c r="N10" i="52" s="1"/>
  <c r="S18" i="8"/>
  <c r="AQ18" i="8" s="1"/>
  <c r="N419" i="43" s="1"/>
  <c r="N443" i="43" s="1"/>
  <c r="N9" i="52" s="1"/>
  <c r="S17" i="8"/>
  <c r="AQ17" i="8" s="1"/>
  <c r="N418" i="43" s="1"/>
  <c r="N442" i="43" s="1"/>
  <c r="N8" i="52" s="1"/>
  <c r="S16" i="8"/>
  <c r="AQ16" i="8" s="1"/>
  <c r="N417" i="43" s="1"/>
  <c r="N441" i="43" s="1"/>
  <c r="N7" i="52" s="1"/>
  <c r="S15" i="8"/>
  <c r="AQ15" i="8" s="1"/>
  <c r="N416" i="43" s="1"/>
  <c r="N440" i="43" s="1"/>
  <c r="N6" i="52" s="1"/>
  <c r="S14" i="8"/>
  <c r="AQ14" i="8" s="1"/>
  <c r="N415" i="43" s="1"/>
  <c r="N439" i="43" s="1"/>
  <c r="N5" i="52" s="1"/>
  <c r="S13" i="8"/>
  <c r="AQ13" i="8" s="1"/>
  <c r="N414" i="43" s="1"/>
  <c r="N438" i="43" s="1"/>
  <c r="N4" i="52"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P447" i="43" s="1"/>
  <c r="P13" i="52" s="1"/>
  <c r="AS23" i="8"/>
  <c r="P424" i="43" s="1"/>
  <c r="P448" i="43" s="1"/>
  <c r="P14" i="52" s="1"/>
  <c r="AO4" i="8"/>
  <c r="L405" i="43" s="1"/>
  <c r="AO6" i="8"/>
  <c r="L407" i="43" s="1"/>
  <c r="AO10" i="8"/>
  <c r="L411" i="43" s="1"/>
  <c r="AO30" i="8"/>
  <c r="L431" i="43" s="1"/>
  <c r="L455" i="43" s="1"/>
  <c r="L21" i="52" s="1"/>
  <c r="BA13" i="8"/>
  <c r="BA15" i="8"/>
  <c r="BA19" i="8"/>
  <c r="AS28" i="8"/>
  <c r="P429" i="43" s="1"/>
  <c r="P453" i="43" s="1"/>
  <c r="P19" i="52" s="1"/>
  <c r="AS9" i="8"/>
  <c r="P410" i="43" s="1"/>
  <c r="AS5" i="8"/>
  <c r="P406" i="43" s="1"/>
  <c r="BE32" i="8"/>
  <c r="AS18" i="8"/>
  <c r="P419" i="43" s="1"/>
  <c r="P443" i="43" s="1"/>
  <c r="P9" i="52" s="1"/>
  <c r="AS7" i="8"/>
  <c r="P408" i="43" s="1"/>
  <c r="BA12" i="8"/>
  <c r="BA16" i="8"/>
  <c r="BA18" i="8"/>
  <c r="BA22" i="8"/>
  <c r="BA24" i="8"/>
  <c r="BA28" i="8"/>
  <c r="AO7" i="8"/>
  <c r="L408" i="43" s="1"/>
  <c r="AO9" i="8"/>
  <c r="L410" i="43" s="1"/>
  <c r="AO21" i="8"/>
  <c r="L422" i="43" s="1"/>
  <c r="L446" i="43" s="1"/>
  <c r="L12" i="52" s="1"/>
  <c r="AO25" i="8"/>
  <c r="L426" i="43" s="1"/>
  <c r="L450" i="43" s="1"/>
  <c r="L16" i="52" s="1"/>
  <c r="AO27" i="8"/>
  <c r="L428" i="43" s="1"/>
  <c r="L452" i="43" s="1"/>
  <c r="L18" i="52" s="1"/>
  <c r="AO31" i="8"/>
  <c r="L432" i="43" s="1"/>
  <c r="L456" i="43" s="1"/>
  <c r="L22" i="52" s="1"/>
  <c r="AO33" i="8"/>
  <c r="L434" i="43" s="1"/>
  <c r="L458" i="43" s="1"/>
  <c r="L24" i="52" s="1"/>
  <c r="AS15" i="8"/>
  <c r="P416" i="43" s="1"/>
  <c r="P440" i="43" s="1"/>
  <c r="P6" i="52" s="1"/>
  <c r="BE11" i="8"/>
  <c r="BE29" i="8"/>
  <c r="AS24" i="8"/>
  <c r="P425" i="43" s="1"/>
  <c r="P449" i="43" s="1"/>
  <c r="P15" i="52" s="1"/>
  <c r="AS13" i="8"/>
  <c r="P414" i="43" s="1"/>
  <c r="P438" i="43" s="1"/>
  <c r="P4" i="52" s="1"/>
  <c r="AS21" i="8"/>
  <c r="P422" i="43" s="1"/>
  <c r="P446" i="43" s="1"/>
  <c r="P12" i="52" s="1"/>
  <c r="AS30" i="8"/>
  <c r="P431" i="43" s="1"/>
  <c r="P455" i="43" s="1"/>
  <c r="P21" i="52" s="1"/>
  <c r="BE8" i="8"/>
  <c r="AS19" i="8"/>
  <c r="P420" i="43" s="1"/>
  <c r="P444" i="43" s="1"/>
  <c r="P10" i="52" s="1"/>
  <c r="AS27" i="8"/>
  <c r="P428" i="43" s="1"/>
  <c r="P452" i="43" s="1"/>
  <c r="P18" i="52" s="1"/>
  <c r="AS4" i="8"/>
  <c r="P405" i="43" s="1"/>
  <c r="BE20" i="8"/>
  <c r="BE17" i="8"/>
  <c r="AS31" i="8"/>
  <c r="P432" i="43" s="1"/>
  <c r="P456" i="43" s="1"/>
  <c r="P22" i="52" s="1"/>
  <c r="AS25" i="8"/>
  <c r="P426" i="43" s="1"/>
  <c r="P450" i="43" s="1"/>
  <c r="P16" i="52" s="1"/>
  <c r="AS33" i="8"/>
  <c r="P434" i="43" s="1"/>
  <c r="P458" i="43" s="1"/>
  <c r="P24" i="52" s="1"/>
  <c r="AS10" i="8"/>
  <c r="P411" i="43" s="1"/>
  <c r="AS6" i="8"/>
  <c r="P407" i="43" s="1"/>
  <c r="BE26" i="8"/>
  <c r="BE14" i="8"/>
  <c r="AS16" i="8"/>
  <c r="P417" i="43" s="1"/>
  <c r="P441" i="43" s="1"/>
  <c r="P7" i="52" s="1"/>
  <c r="AS12" i="8"/>
  <c r="P413" i="43" s="1"/>
  <c r="AR3" i="8"/>
  <c r="O404" i="43" s="1"/>
  <c r="BD3" i="8"/>
  <c r="T5" i="8"/>
  <c r="AR7" i="8"/>
  <c r="O408" i="43" s="1"/>
  <c r="BD7" i="8"/>
  <c r="AR9" i="8"/>
  <c r="O410" i="43" s="1"/>
  <c r="BD9" i="8"/>
  <c r="T11" i="8"/>
  <c r="AR13" i="8"/>
  <c r="O414" i="43" s="1"/>
  <c r="O438" i="43" s="1"/>
  <c r="O4" i="52" s="1"/>
  <c r="BD13" i="8"/>
  <c r="AR15" i="8"/>
  <c r="O416" i="43" s="1"/>
  <c r="O440" i="43" s="1"/>
  <c r="O6" i="52" s="1"/>
  <c r="BD15" i="8"/>
  <c r="T17" i="8"/>
  <c r="AR19" i="8"/>
  <c r="O420" i="43" s="1"/>
  <c r="O444" i="43" s="1"/>
  <c r="O10" i="52" s="1"/>
  <c r="BD19" i="8"/>
  <c r="AR21" i="8"/>
  <c r="O422" i="43" s="1"/>
  <c r="O446" i="43" s="1"/>
  <c r="O12" i="52" s="1"/>
  <c r="BD21" i="8"/>
  <c r="T23" i="8"/>
  <c r="AR25" i="8"/>
  <c r="O426" i="43" s="1"/>
  <c r="O450" i="43" s="1"/>
  <c r="O16" i="52" s="1"/>
  <c r="BD25" i="8"/>
  <c r="AR27" i="8"/>
  <c r="O428" i="43" s="1"/>
  <c r="O452" i="43" s="1"/>
  <c r="O18" i="52" s="1"/>
  <c r="BD27" i="8"/>
  <c r="T29" i="8"/>
  <c r="AR31" i="8"/>
  <c r="O432" i="43" s="1"/>
  <c r="O456" i="43" s="1"/>
  <c r="O22" i="52" s="1"/>
  <c r="BD31" i="8"/>
  <c r="AR33" i="8"/>
  <c r="O434" i="43" s="1"/>
  <c r="O458" i="43" s="1"/>
  <c r="O24" i="52" s="1"/>
  <c r="BD33" i="8"/>
  <c r="AR4" i="8"/>
  <c r="O405" i="43" s="1"/>
  <c r="BD4" i="8"/>
  <c r="AR6" i="8"/>
  <c r="O407" i="43" s="1"/>
  <c r="BD6" i="8"/>
  <c r="T8" i="8"/>
  <c r="AR10" i="8"/>
  <c r="O411" i="43" s="1"/>
  <c r="BD10" i="8"/>
  <c r="AR12" i="8"/>
  <c r="O413" i="43" s="1"/>
  <c r="BD12" i="8"/>
  <c r="T14" i="8"/>
  <c r="AR16" i="8"/>
  <c r="O417" i="43" s="1"/>
  <c r="O441" i="43" s="1"/>
  <c r="O7" i="52" s="1"/>
  <c r="BD16" i="8"/>
  <c r="AR18" i="8"/>
  <c r="O419" i="43" s="1"/>
  <c r="O443" i="43" s="1"/>
  <c r="O9" i="52" s="1"/>
  <c r="BD18" i="8"/>
  <c r="T20" i="8"/>
  <c r="AR22" i="8"/>
  <c r="O423" i="43" s="1"/>
  <c r="O447" i="43" s="1"/>
  <c r="O13" i="52" s="1"/>
  <c r="BD22" i="8"/>
  <c r="AR24" i="8"/>
  <c r="O425" i="43" s="1"/>
  <c r="O449" i="43" s="1"/>
  <c r="O15" i="52" s="1"/>
  <c r="BD24" i="8"/>
  <c r="T26" i="8"/>
  <c r="AR28" i="8"/>
  <c r="O429" i="43" s="1"/>
  <c r="O453" i="43" s="1"/>
  <c r="O19" i="52" s="1"/>
  <c r="BD28" i="8"/>
  <c r="AR30" i="8"/>
  <c r="O431" i="43" s="1"/>
  <c r="O455" i="43" s="1"/>
  <c r="O21" i="52"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M446" i="43" s="1"/>
  <c r="M12" i="52" s="1"/>
  <c r="BB21" i="8"/>
  <c r="AP4" i="8"/>
  <c r="M405" i="43" s="1"/>
  <c r="BB4" i="8"/>
  <c r="AP6" i="8"/>
  <c r="M407" i="43" s="1"/>
  <c r="BB6" i="8"/>
  <c r="AP8" i="8"/>
  <c r="M409" i="43" s="1"/>
  <c r="BB8" i="8"/>
  <c r="AP29" i="8"/>
  <c r="M430" i="43" s="1"/>
  <c r="M454" i="43" s="1"/>
  <c r="M20" i="52" s="1"/>
  <c r="BB29" i="8"/>
  <c r="AP31" i="8"/>
  <c r="M432" i="43" s="1"/>
  <c r="M456" i="43" s="1"/>
  <c r="M22" i="52" s="1"/>
  <c r="BB31" i="8"/>
  <c r="AP33" i="8"/>
  <c r="BB33" i="8"/>
  <c r="AP23" i="8"/>
  <c r="M424" i="43" s="1"/>
  <c r="M448" i="43" s="1"/>
  <c r="M14" i="52" s="1"/>
  <c r="BB23" i="8"/>
  <c r="AP10" i="8"/>
  <c r="M411" i="43" s="1"/>
  <c r="BB10" i="8"/>
  <c r="AP12" i="8"/>
  <c r="M413" i="43" s="1"/>
  <c r="BB12" i="8"/>
  <c r="AP14" i="8"/>
  <c r="M415" i="43" s="1"/>
  <c r="M439" i="43" s="1"/>
  <c r="M5" i="52" s="1"/>
  <c r="BB14" i="8"/>
  <c r="AP16" i="8"/>
  <c r="M417" i="43" s="1"/>
  <c r="M441" i="43" s="1"/>
  <c r="M7" i="52" s="1"/>
  <c r="BB16" i="8"/>
  <c r="AP18" i="8"/>
  <c r="M419" i="43" s="1"/>
  <c r="M443" i="43" s="1"/>
  <c r="M9" i="52" s="1"/>
  <c r="BB18" i="8"/>
  <c r="AP25" i="8"/>
  <c r="M426" i="43" s="1"/>
  <c r="M450" i="43" s="1"/>
  <c r="M16" i="52" s="1"/>
  <c r="BB25" i="8"/>
  <c r="AP20" i="8"/>
  <c r="M421" i="43" s="1"/>
  <c r="M445" i="43" s="1"/>
  <c r="M11" i="52" s="1"/>
  <c r="BB20" i="8"/>
  <c r="AP22" i="8"/>
  <c r="M423" i="43" s="1"/>
  <c r="M447" i="43" s="1"/>
  <c r="M13" i="52" s="1"/>
  <c r="BB22" i="8"/>
  <c r="AP24" i="8"/>
  <c r="M425" i="43" s="1"/>
  <c r="M449" i="43" s="1"/>
  <c r="M15" i="52" s="1"/>
  <c r="BB24" i="8"/>
  <c r="AP26" i="8"/>
  <c r="BB26" i="8"/>
  <c r="AP27" i="8"/>
  <c r="M428" i="43" s="1"/>
  <c r="M452" i="43" s="1"/>
  <c r="M18" i="52" s="1"/>
  <c r="BB27" i="8"/>
  <c r="AP3" i="8"/>
  <c r="M404" i="43" s="1"/>
  <c r="BB3" i="8"/>
  <c r="AP5" i="8"/>
  <c r="M406" i="43" s="1"/>
  <c r="BB5" i="8"/>
  <c r="AP7" i="8"/>
  <c r="M408" i="43" s="1"/>
  <c r="BB7" i="8"/>
  <c r="AP9" i="8"/>
  <c r="M410" i="43" s="1"/>
  <c r="BB9" i="8"/>
  <c r="AP28" i="8"/>
  <c r="M429" i="43" s="1"/>
  <c r="M453" i="43" s="1"/>
  <c r="M19" i="52" s="1"/>
  <c r="BB28" i="8"/>
  <c r="AP30" i="8"/>
  <c r="M431" i="43" s="1"/>
  <c r="M455" i="43" s="1"/>
  <c r="M21" i="52" s="1"/>
  <c r="BB30" i="8"/>
  <c r="AP32" i="8"/>
  <c r="M433" i="43" s="1"/>
  <c r="M457" i="43" s="1"/>
  <c r="M23" i="52" s="1"/>
  <c r="BB32" i="8"/>
  <c r="AP19" i="8"/>
  <c r="BB19" i="8"/>
  <c r="AP11" i="8"/>
  <c r="M412" i="43" s="1"/>
  <c r="BB11" i="8"/>
  <c r="AP13" i="8"/>
  <c r="M414" i="43" s="1"/>
  <c r="M438" i="43" s="1"/>
  <c r="M4" i="52" s="1"/>
  <c r="BB13" i="8"/>
  <c r="AP15" i="8"/>
  <c r="M416" i="43" s="1"/>
  <c r="M440" i="43" s="1"/>
  <c r="M6" i="52" s="1"/>
  <c r="BB15" i="8"/>
  <c r="AP17" i="8"/>
  <c r="M418" i="43" s="1"/>
  <c r="M442" i="43" s="1"/>
  <c r="M8" i="52" s="1"/>
  <c r="BB17" i="8"/>
  <c r="AO8" i="8"/>
  <c r="L409" i="43" s="1"/>
  <c r="BA8" i="8"/>
  <c r="BA7" i="8"/>
  <c r="BA9" i="8"/>
  <c r="AO12" i="8"/>
  <c r="L413" i="43" s="1"/>
  <c r="Q14" i="8"/>
  <c r="AO16" i="8"/>
  <c r="L417" i="43" s="1"/>
  <c r="L441" i="43" s="1"/>
  <c r="L7" i="52" s="1"/>
  <c r="AO18" i="8"/>
  <c r="L419" i="43" s="1"/>
  <c r="L443" i="43" s="1"/>
  <c r="L9" i="52" s="1"/>
  <c r="AO20" i="8"/>
  <c r="L421" i="43" s="1"/>
  <c r="L445" i="43" s="1"/>
  <c r="L11" i="52" s="1"/>
  <c r="BA20" i="8"/>
  <c r="BA30" i="8"/>
  <c r="Q23" i="8"/>
  <c r="AO22" i="8"/>
  <c r="L423" i="43" s="1"/>
  <c r="L447" i="43" s="1"/>
  <c r="L13" i="52" s="1"/>
  <c r="AO24" i="8"/>
  <c r="L425" i="43" s="1"/>
  <c r="L449" i="43" s="1"/>
  <c r="L15" i="52" s="1"/>
  <c r="AO26" i="8"/>
  <c r="BA26" i="8"/>
  <c r="AO28" i="8"/>
  <c r="L429" i="43" s="1"/>
  <c r="L453" i="43" s="1"/>
  <c r="L19" i="52" s="1"/>
  <c r="AO3" i="8"/>
  <c r="L404" i="43" s="1"/>
  <c r="BA3" i="8"/>
  <c r="AO11" i="8"/>
  <c r="L412" i="43" s="1"/>
  <c r="BA11" i="8"/>
  <c r="BA21" i="8"/>
  <c r="BA25" i="8"/>
  <c r="BA27" i="8"/>
  <c r="Q32" i="8"/>
  <c r="AO29" i="8"/>
  <c r="L430" i="43" s="1"/>
  <c r="L454" i="43" s="1"/>
  <c r="L20" i="52" s="1"/>
  <c r="BA29" i="8"/>
  <c r="Q5" i="8"/>
  <c r="BA4" i="8"/>
  <c r="BA6" i="8"/>
  <c r="BA10" i="8"/>
  <c r="AO13" i="8"/>
  <c r="L414" i="43" s="1"/>
  <c r="L438" i="43" s="1"/>
  <c r="L4" i="52" s="1"/>
  <c r="AO15" i="8"/>
  <c r="AO17" i="8"/>
  <c r="L418" i="43" s="1"/>
  <c r="L442" i="43" s="1"/>
  <c r="L8" i="52" s="1"/>
  <c r="BA17" i="8"/>
  <c r="AO19" i="8"/>
  <c r="L420" i="43" s="1"/>
  <c r="L444" i="43" s="1"/>
  <c r="L10" i="52" s="1"/>
  <c r="BA31" i="8"/>
  <c r="BA33" i="8"/>
  <c r="AN3" i="8"/>
  <c r="K404" i="43" s="1"/>
  <c r="AZ3" i="8"/>
  <c r="AN7" i="8"/>
  <c r="AZ7" i="8"/>
  <c r="AN9" i="8"/>
  <c r="AZ9" i="8"/>
  <c r="AN11" i="8"/>
  <c r="K412" i="43" s="1"/>
  <c r="AZ11" i="8"/>
  <c r="AN13" i="8"/>
  <c r="AZ13" i="8"/>
  <c r="AN15" i="8"/>
  <c r="AZ15" i="8"/>
  <c r="AN17" i="8"/>
  <c r="K418" i="43" s="1"/>
  <c r="K442" i="43" s="1"/>
  <c r="K8" i="52" s="1"/>
  <c r="AZ17" i="8"/>
  <c r="AN19" i="8"/>
  <c r="AZ19" i="8"/>
  <c r="AN21" i="8"/>
  <c r="K422" i="43" s="1"/>
  <c r="K446" i="43" s="1"/>
  <c r="K12" i="52" s="1"/>
  <c r="AZ21" i="8"/>
  <c r="AN23" i="8"/>
  <c r="K424" i="43" s="1"/>
  <c r="K448" i="43" s="1"/>
  <c r="K14" i="52" s="1"/>
  <c r="AZ23" i="8"/>
  <c r="AN25" i="8"/>
  <c r="K426" i="43" s="1"/>
  <c r="K450" i="43" s="1"/>
  <c r="K16" i="52" s="1"/>
  <c r="AZ25" i="8"/>
  <c r="AN27" i="8"/>
  <c r="AZ27" i="8"/>
  <c r="AN29" i="8"/>
  <c r="K430" i="43" s="1"/>
  <c r="K454" i="43" s="1"/>
  <c r="K20" i="52" s="1"/>
  <c r="AZ29" i="8"/>
  <c r="AN31" i="8"/>
  <c r="AZ31" i="8"/>
  <c r="AN33" i="8"/>
  <c r="K434" i="43" s="1"/>
  <c r="K458" i="43" s="1"/>
  <c r="K24" i="52" s="1"/>
  <c r="AZ33" i="8"/>
  <c r="AN5" i="8"/>
  <c r="AZ5" i="8"/>
  <c r="AN4" i="8"/>
  <c r="K405" i="43" s="1"/>
  <c r="AZ4" i="8"/>
  <c r="AN8" i="8"/>
  <c r="AZ8" i="8"/>
  <c r="AN10" i="8"/>
  <c r="K411" i="43" s="1"/>
  <c r="AZ10" i="8"/>
  <c r="AN12" i="8"/>
  <c r="AZ12" i="8"/>
  <c r="AN14" i="8"/>
  <c r="K415" i="43" s="1"/>
  <c r="K439" i="43" s="1"/>
  <c r="K5" i="52" s="1"/>
  <c r="AZ14" i="8"/>
  <c r="AN16" i="8"/>
  <c r="K417" i="43" s="1"/>
  <c r="K441" i="43" s="1"/>
  <c r="K7" i="52" s="1"/>
  <c r="AZ16" i="8"/>
  <c r="AN18" i="8"/>
  <c r="K419" i="43" s="1"/>
  <c r="K443" i="43" s="1"/>
  <c r="K9" i="52" s="1"/>
  <c r="AZ18" i="8"/>
  <c r="AN20" i="8"/>
  <c r="K421" i="43" s="1"/>
  <c r="K445" i="43" s="1"/>
  <c r="K11" i="52" s="1"/>
  <c r="AZ20" i="8"/>
  <c r="AN22" i="8"/>
  <c r="K423" i="43" s="1"/>
  <c r="K447" i="43" s="1"/>
  <c r="K13" i="52" s="1"/>
  <c r="AZ22" i="8"/>
  <c r="AN24" i="8"/>
  <c r="K425" i="43" s="1"/>
  <c r="K449" i="43" s="1"/>
  <c r="K15" i="52" s="1"/>
  <c r="AZ24" i="8"/>
  <c r="AN26" i="8"/>
  <c r="AZ26" i="8"/>
  <c r="AN28" i="8"/>
  <c r="K429" i="43" s="1"/>
  <c r="K453" i="43" s="1"/>
  <c r="K19" i="52" s="1"/>
  <c r="AZ28" i="8"/>
  <c r="AN30" i="8"/>
  <c r="K431" i="43" s="1"/>
  <c r="K455" i="43" s="1"/>
  <c r="K21" i="52" s="1"/>
  <c r="AZ30" i="8"/>
  <c r="AN32" i="8"/>
  <c r="K433" i="43" s="1"/>
  <c r="K457" i="43" s="1"/>
  <c r="K23" i="52" s="1"/>
  <c r="AZ32" i="8"/>
  <c r="AN6" i="8"/>
  <c r="K407" i="43" s="1"/>
  <c r="AZ6" i="8"/>
  <c r="C169" i="43"/>
  <c r="Y286" i="43" l="1"/>
  <c r="M427" i="43"/>
  <c r="M451" i="43" s="1"/>
  <c r="M17" i="52" s="1"/>
  <c r="R286" i="43"/>
  <c r="M420" i="43"/>
  <c r="M444" i="43" s="1"/>
  <c r="M10" i="52" s="1"/>
  <c r="AF286" i="43"/>
  <c r="M434" i="43"/>
  <c r="M458" i="43" s="1"/>
  <c r="M24" i="52" s="1"/>
  <c r="N247" i="43"/>
  <c r="L416" i="43"/>
  <c r="L440" i="43" s="1"/>
  <c r="L6" i="52" s="1"/>
  <c r="Y247" i="43"/>
  <c r="L427" i="43"/>
  <c r="L451" i="43" s="1"/>
  <c r="L17" i="52" s="1"/>
  <c r="Y169" i="43"/>
  <c r="K427" i="43"/>
  <c r="K451" i="43" s="1"/>
  <c r="K17" i="52" s="1"/>
  <c r="G208" i="43"/>
  <c r="K409" i="43"/>
  <c r="Z169" i="43"/>
  <c r="K428" i="43"/>
  <c r="K452" i="43" s="1"/>
  <c r="K18" i="52" s="1"/>
  <c r="N169" i="43"/>
  <c r="K416" i="43"/>
  <c r="K440" i="43" s="1"/>
  <c r="K6" i="52" s="1"/>
  <c r="H169" i="43"/>
  <c r="K410" i="43"/>
  <c r="D169" i="43"/>
  <c r="K406" i="43"/>
  <c r="R169" i="43"/>
  <c r="K420" i="43"/>
  <c r="K444" i="43" s="1"/>
  <c r="K10" i="52" s="1"/>
  <c r="F169" i="43"/>
  <c r="K408" i="43"/>
  <c r="K208" i="43"/>
  <c r="K413" i="43"/>
  <c r="AD169" i="43"/>
  <c r="K432" i="43"/>
  <c r="K456" i="43" s="1"/>
  <c r="K22" i="52" s="1"/>
  <c r="L169" i="43"/>
  <c r="K414" i="43"/>
  <c r="K438" i="43" s="1"/>
  <c r="K4" i="52" s="1"/>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O454" i="43" s="1"/>
  <c r="O20" i="52" s="1"/>
  <c r="BD29" i="8"/>
  <c r="AR23" i="8"/>
  <c r="O424" i="43" s="1"/>
  <c r="O448" i="43" s="1"/>
  <c r="O14" i="52" s="1"/>
  <c r="BD23" i="8"/>
  <c r="AR17" i="8"/>
  <c r="O418" i="43" s="1"/>
  <c r="O442" i="43" s="1"/>
  <c r="O8" i="52" s="1"/>
  <c r="BD17" i="8"/>
  <c r="AR11" i="8"/>
  <c r="O412" i="43" s="1"/>
  <c r="BD11" i="8"/>
  <c r="AR5" i="8"/>
  <c r="O406" i="43" s="1"/>
  <c r="BD5" i="8"/>
  <c r="AR32" i="8"/>
  <c r="O433" i="43" s="1"/>
  <c r="O457" i="43" s="1"/>
  <c r="O23" i="52" s="1"/>
  <c r="BD32" i="8"/>
  <c r="AR26" i="8"/>
  <c r="O427" i="43" s="1"/>
  <c r="O451" i="43" s="1"/>
  <c r="O17" i="52" s="1"/>
  <c r="BD26" i="8"/>
  <c r="AR20" i="8"/>
  <c r="BD20" i="8"/>
  <c r="AR14" i="8"/>
  <c r="O415" i="43" s="1"/>
  <c r="O439" i="43" s="1"/>
  <c r="O5" i="52" s="1"/>
  <c r="BD14" i="8"/>
  <c r="AR8" i="8"/>
  <c r="O409" i="43" s="1"/>
  <c r="BD8" i="8"/>
  <c r="AO5" i="8"/>
  <c r="BA5" i="8"/>
  <c r="AO23" i="8"/>
  <c r="BA23" i="8"/>
  <c r="AO32" i="8"/>
  <c r="BA32" i="8"/>
  <c r="AO14" i="8"/>
  <c r="BA14" i="8"/>
  <c r="W16" i="43" l="1"/>
  <c r="O421" i="43"/>
  <c r="O445" i="43" s="1"/>
  <c r="O11" i="52" s="1"/>
  <c r="V247" i="43"/>
  <c r="L424" i="43"/>
  <c r="L448" i="43" s="1"/>
  <c r="L14" i="52" s="1"/>
  <c r="AE247" i="43"/>
  <c r="L433" i="43"/>
  <c r="L457" i="43" s="1"/>
  <c r="L23" i="52" s="1"/>
  <c r="M247" i="43"/>
  <c r="L415" i="43"/>
  <c r="L439" i="43" s="1"/>
  <c r="L5" i="52" s="1"/>
  <c r="D247" i="43"/>
  <c r="L406" i="43"/>
  <c r="G130" i="43"/>
  <c r="J409" i="43"/>
  <c r="T130" i="43"/>
  <c r="J422" i="43"/>
  <c r="J446" i="43" s="1"/>
  <c r="J12" i="52" s="1"/>
  <c r="I130" i="43"/>
  <c r="J411" i="43"/>
  <c r="X130" i="43"/>
  <c r="J426" i="43"/>
  <c r="J450" i="43" s="1"/>
  <c r="J16" i="52" s="1"/>
  <c r="AE130" i="43"/>
  <c r="J433" i="43"/>
  <c r="J457" i="43" s="1"/>
  <c r="J23" i="52" s="1"/>
  <c r="R130" i="43"/>
  <c r="J420" i="43"/>
  <c r="J444" i="43" s="1"/>
  <c r="J10" i="52" s="1"/>
  <c r="N130" i="43"/>
  <c r="J416" i="43"/>
  <c r="J440" i="43" s="1"/>
  <c r="J6" i="52" s="1"/>
  <c r="E130" i="43"/>
  <c r="J407" i="43"/>
  <c r="AB130" i="43"/>
  <c r="J430" i="43"/>
  <c r="J454" i="43" s="1"/>
  <c r="J20" i="52" s="1"/>
  <c r="P130" i="43"/>
  <c r="J418" i="43"/>
  <c r="J442" i="43" s="1"/>
  <c r="J8" i="52" s="1"/>
  <c r="O130" i="43"/>
  <c r="J417" i="43"/>
  <c r="J441" i="43" s="1"/>
  <c r="J7" i="52" s="1"/>
  <c r="F130" i="43"/>
  <c r="J408" i="43"/>
  <c r="Z130" i="43"/>
  <c r="J428" i="43"/>
  <c r="J452" i="43" s="1"/>
  <c r="J18" i="52" s="1"/>
  <c r="S130" i="43"/>
  <c r="J421" i="43"/>
  <c r="J445" i="43" s="1"/>
  <c r="J11" i="52" s="1"/>
  <c r="W130" i="43"/>
  <c r="J425" i="43"/>
  <c r="J449" i="43" s="1"/>
  <c r="J15" i="52" s="1"/>
  <c r="D130" i="43"/>
  <c r="J406" i="43"/>
  <c r="AF130" i="43"/>
  <c r="J434" i="43"/>
  <c r="J458" i="43" s="1"/>
  <c r="J24" i="52" s="1"/>
  <c r="M130" i="43"/>
  <c r="J415" i="43"/>
  <c r="J439" i="43" s="1"/>
  <c r="J5" i="52" s="1"/>
  <c r="V130" i="43"/>
  <c r="J424" i="43"/>
  <c r="J448" i="43" s="1"/>
  <c r="J14" i="52" s="1"/>
  <c r="K130" i="43"/>
  <c r="J413" i="43"/>
  <c r="Q130" i="43"/>
  <c r="J419" i="43"/>
  <c r="J443" i="43" s="1"/>
  <c r="J9" i="52" s="1"/>
  <c r="L130" i="43"/>
  <c r="J414" i="43"/>
  <c r="J438" i="43" s="1"/>
  <c r="J4" i="52" s="1"/>
  <c r="Y130" i="43"/>
  <c r="J427" i="43"/>
  <c r="J451" i="43" s="1"/>
  <c r="J17" i="52" s="1"/>
  <c r="J130" i="43"/>
  <c r="J412" i="43"/>
  <c r="AD130" i="43"/>
  <c r="J432" i="43"/>
  <c r="J456" i="43" s="1"/>
  <c r="J22" i="52" s="1"/>
  <c r="AC130" i="43"/>
  <c r="J431" i="43"/>
  <c r="J455" i="43" s="1"/>
  <c r="J21" i="52" s="1"/>
  <c r="C130" i="43"/>
  <c r="J405" i="43"/>
  <c r="AA130" i="43"/>
  <c r="J429" i="43"/>
  <c r="J453" i="43" s="1"/>
  <c r="J19" i="52" s="1"/>
  <c r="H130" i="43"/>
  <c r="J410" i="43"/>
  <c r="U130" i="43"/>
  <c r="J423" i="43"/>
  <c r="J447" i="43" s="1"/>
  <c r="J13" i="52" s="1"/>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T216" i="43"/>
  <c r="AE216" i="43"/>
  <c r="Z333" i="43"/>
  <c r="Y333" i="43"/>
  <c r="F177" i="43"/>
  <c r="U294" i="43"/>
  <c r="O24" i="43"/>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 r="J73" i="52"/>
  <c r="G109" i="52" s="1"/>
  <c r="J72" i="52" l="1"/>
  <c r="F109" i="52" s="1"/>
  <c r="F148" i="52" s="1"/>
  <c r="G144" i="52"/>
  <c r="G148" i="52"/>
  <c r="G142" i="52"/>
  <c r="G143" i="52" s="1"/>
  <c r="F142" i="52" l="1"/>
  <c r="F143" i="52" s="1"/>
  <c r="F149" i="52"/>
  <c r="F144" i="52"/>
  <c r="G146" i="52" s="1"/>
  <c r="I146" i="52" s="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<sst xmlns="http://schemas.openxmlformats.org/spreadsheetml/2006/main" count="326" uniqueCount="166">
  <si>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</si>
  <si>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</si>
  <si>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</si>
  <si>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</si>
  <si>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</si>
  <si>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</si>
  <si>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</si>
  <si>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</si>
  <si>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</si>
  <si>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</si>
  <si>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</si>
  <si>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</si>
  <si>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</si>
  <si>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</si>
  <si>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</si>
  <si>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</si>
  <si>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</si>
  <si>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</si>
  <si>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</si>
  <si>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</si>
  <si>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</si>
  <si>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</si>
  <si>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</si>
  <si>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</si>
  <si>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</si>
  <si>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</si>
  <si>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</si>
  <si>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</si>
  <si>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</si>
  <si>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</si>
  <si>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</si>
  <si>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</si>
  <si>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</si>
  <si>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</si>
  <si>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</si>
  <si>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</si>
  <si>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</si>
  <si>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</si>
  <si>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</si>
  <si>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</si>
  <si>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</si>
  <si>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</si>
  <si>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</si>
  <si>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</si>
  <si>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</si>
  <si>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</si>
  <si>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</si>
  <si>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</si>
  <si>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</si>
  <si>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</si>
  <si>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</si>
  <si>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</si>
  <si>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</si>
  <si>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</si>
  <si>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</si>
  <si>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</si>
  <si>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</si>
  <si>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</si>
  <si>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</si>
  <si>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</si>
  <si>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</si>
  <si>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</si>
  <si>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</si>
  <si>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</si>
  <si>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</si>
  <si>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</si>
  <si>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</si>
  <si>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</si>
  <si>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</si>
  <si>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</si>
  <si>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</si>
  <si>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</si>
  <si>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</si>
  <si>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</si>
  <si>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</si>
  <si>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</si>
  <si>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</si>
  <si>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</si>
  <si>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</si>
  <si>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</si>
  <si>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</si>
  <si>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</si>
  <si>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</si>
  <si>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</si>
  <si>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</si>
  <si>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</si>
  <si>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</si>
  <si>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</si>
  <si>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</si>
  <si>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</si>
  <si>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</si>
  <si>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</si>
  <si>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</si>
  <si>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</si>
  <si>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</si>
  <si>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</si>
  <si>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</si>
  <si>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</si>
  <si>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</si>
  <si>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</si>
  <si>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</si>
  <si>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</si>
  <si>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</si>
  <si>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</si>
  <si>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</si>
  <si>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</si>
  <si>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</si>
  <si>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</si>
  <si>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</si>
  <si>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</si>
  <si>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</si>
  <si>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</si>
  <si>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</si>
  <si>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</si>
  <si>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</si>
  <si>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</si>
  <si>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</si>
  <si>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</si>
  <si>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</si>
  <si>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</si>
  <si>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</si>
  <si>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</si>
  <si>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</si>
  <si>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</si>
  <si>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</si>
  <si>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</si>
  <si>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</si>
  <si>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</si>
  <si>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</si>
  <si>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</si>
  <si>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</si>
  <si>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</si>
  <si>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</si>
  <si>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</si>
  <si>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</si>
  <si>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</si>
  <si>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</si>
  <si>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</si>
  <si>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</si>
  <si>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</si>
  <si>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</si>
  <si>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</si>
  <si>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</si>
  <si>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</si>
  <si>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</si>
  <si>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</si>
  <si>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</si>
  <si>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</si>
  <si>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</si>
  <si>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</si>
  <si>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</si>
  <si>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</si>
  <si>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</si>
  <si>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</si>
  <si>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</si>
  <si>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</si>
  <si>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</si>
  <si>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</si>
  <si>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</si>
  <si>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</si>
  <si>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</si>
  <si>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</si>
  <si>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</si>
  <si>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Intervall: +-</t>
  </si>
  <si>
    <t>log10(t)</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</si>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</sst>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 numFmtId="182" formatCode="_-* #,##0\ _€_-;\-* #,##0\ _€_-;_-* &quot;-&quot;??\ _€_-;_-@_-"/>
    <numFmt numFmtId="183" formatCode="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35">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3" fillId="0" borderId="0" xfId="0" applyFont="1" applyAlignment="1">
      <alignment horizontal="center"/>
    </xf>
    <xf numFmtId="182" fontId="0" fillId="0" borderId="0" xfId="2" applyNumberFormat="1" applyFont="1" applyFill="1"/>
    <xf numFmtId="182" fontId="0" fillId="0" borderId="0" xfId="2" applyNumberFormat="1" applyFont="1" applyFill="1" applyAlignment="1">
      <alignment horizontal="left"/>
    </xf>
    <xf numFmtId="0" fontId="0" fillId="6" borderId="0" xfId="0" applyFill="1"/>
    <xf numFmtId="11" fontId="0" fillId="6" borderId="0" xfId="1" applyNumberFormat="1" applyFont="1" applyFill="1"/>
    <xf numFmtId="11" fontId="0" fillId="6" borderId="0" xfId="2" applyNumberFormat="1" applyFont="1" applyFill="1"/>
    <xf numFmtId="0" fontId="1" fillId="5" borderId="0" xfId="0" applyFont="1" applyFill="1"/>
    <xf numFmtId="0" fontId="0" fillId="7" borderId="0" xfId="0" applyFill="1"/>
    <xf numFmtId="0" fontId="0" fillId="14" borderId="0" xfId="0" applyNumberFormat="1" applyFill="1"/>
    <xf numFmtId="1" fontId="0" fillId="14" borderId="0" xfId="0" applyNumberFormat="1" applyFill="1"/>
    <xf numFmtId="11" fontId="0" fillId="15" borderId="0" xfId="0" applyNumberFormat="1" applyFill="1"/>
    <xf numFmtId="0" fontId="0" fillId="0" borderId="0" xfId="0" applyNumberFormat="1"/>
    <xf numFmtId="183" fontId="0" fillId="0" borderId="0" xfId="0" applyNumberFormat="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-5.2026789142857141E-4</c:v>
                </c:pt>
                <c:pt idx="1">
                  <c:v>-5.2026033714285718E-4</c:v>
                </c:pt>
                <c:pt idx="2">
                  <c:v>-5.2026304571428574E-4</c:v>
                </c:pt>
                <c:pt idx="3">
                  <c:v>-5.2026376571428568E-4</c:v>
                </c:pt>
                <c:pt idx="4">
                  <c:v>-5.2026397714285716E-4</c:v>
                </c:pt>
                <c:pt idx="5">
                  <c:v>-5.2026404000000005E-4</c:v>
                </c:pt>
                <c:pt idx="6">
                  <c:v>-5.2026406285714288E-4</c:v>
                </c:pt>
                <c:pt idx="7">
                  <c:v>-5.2026407428571429E-4</c:v>
                </c:pt>
                <c:pt idx="8">
                  <c:v>-5.2026408571428581E-4</c:v>
                </c:pt>
                <c:pt idx="9">
                  <c:v>-5.2026417142857142E-4</c:v>
                </c:pt>
                <c:pt idx="10">
                  <c:v>-5.2026502857142854E-4</c:v>
                </c:pt>
                <c:pt idx="11">
                  <c:v>-5.202735885714286E-4</c:v>
                </c:pt>
                <c:pt idx="12">
                  <c:v>-5.2035845142857145E-4</c:v>
                </c:pt>
                <c:pt idx="13">
                  <c:v>-5.2117016571428566E-4</c:v>
                </c:pt>
                <c:pt idx="14">
                  <c:v>-5.2714065714285722E-4</c:v>
                </c:pt>
                <c:pt idx="15">
                  <c:v>-5.3738724571428579E-4</c:v>
                </c:pt>
                <c:pt idx="16">
                  <c:v>-5.4510416571428575E-4</c:v>
                </c:pt>
                <c:pt idx="17">
                  <c:v>-5.531446114285715E-4</c:v>
                </c:pt>
                <c:pt idx="18">
                  <c:v>-5.6241089714285724E-4</c:v>
                </c:pt>
                <c:pt idx="19">
                  <c:v>-5.7446554285714283E-4</c:v>
                </c:pt>
                <c:pt idx="20">
                  <c:v>-5.9813674285714286E-4</c:v>
                </c:pt>
                <c:pt idx="21">
                  <c:v>-6.6538377142857149E-4</c:v>
                </c:pt>
                <c:pt idx="22">
                  <c:v>-7.8451982857142871E-4</c:v>
                </c:pt>
                <c:pt idx="23">
                  <c:v>-9.1970068571428578E-4</c:v>
                </c:pt>
                <c:pt idx="24">
                  <c:v>-1.0495565142857144E-3</c:v>
                </c:pt>
                <c:pt idx="25">
                  <c:v>-1.1750555999999999E-3</c:v>
                </c:pt>
                <c:pt idx="26">
                  <c:v>-1.2959366857142858E-3</c:v>
                </c:pt>
                <c:pt idx="27">
                  <c:v>-1.4036457142857144E-3</c:v>
                </c:pt>
                <c:pt idx="28">
                  <c:v>-1.5006965714285713E-3</c:v>
                </c:pt>
                <c:pt idx="29">
                  <c:v>-1.597299942857143E-3</c:v>
                </c:pt>
                <c:pt idx="30">
                  <c:v>-1.6886448000000001E-3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-5.2482441714285716E-4</c:v>
                </c:pt>
                <c:pt idx="1">
                  <c:v>-5.2481664571428575E-4</c:v>
                </c:pt>
                <c:pt idx="2">
                  <c:v>-5.2481937142857143E-4</c:v>
                </c:pt>
                <c:pt idx="3">
                  <c:v>-5.2482014857142855E-4</c:v>
                </c:pt>
                <c:pt idx="4">
                  <c:v>-5.2482096571428573E-4</c:v>
                </c:pt>
                <c:pt idx="5">
                  <c:v>-5.248271028571429E-4</c:v>
                </c:pt>
                <c:pt idx="6">
                  <c:v>-5.2488745714285713E-4</c:v>
                </c:pt>
                <c:pt idx="7">
                  <c:v>-5.2546980000000004E-4</c:v>
                </c:pt>
                <c:pt idx="8">
                  <c:v>-5.3013404571428579E-4</c:v>
                </c:pt>
                <c:pt idx="9">
                  <c:v>-5.4088885714285724E-4</c:v>
                </c:pt>
                <c:pt idx="10">
                  <c:v>-5.4876942857142862E-4</c:v>
                </c:pt>
                <c:pt idx="11">
                  <c:v>-5.5665492571428568E-4</c:v>
                </c:pt>
                <c:pt idx="12">
                  <c:v>-5.6579005714285722E-4</c:v>
                </c:pt>
                <c:pt idx="13">
                  <c:v>-5.7584177142857142E-4</c:v>
                </c:pt>
                <c:pt idx="14">
                  <c:v>-5.8768102857142859E-4</c:v>
                </c:pt>
                <c:pt idx="15">
                  <c:v>-6.0114314285714284E-4</c:v>
                </c:pt>
                <c:pt idx="16">
                  <c:v>-6.1650040000000011E-4</c:v>
                </c:pt>
                <c:pt idx="17">
                  <c:v>-6.3240502857142859E-4</c:v>
                </c:pt>
                <c:pt idx="18">
                  <c:v>-6.5889742857142865E-4</c:v>
                </c:pt>
                <c:pt idx="19">
                  <c:v>-7.3297771428571445E-4</c:v>
                </c:pt>
                <c:pt idx="20">
                  <c:v>-8.7946508571428578E-4</c:v>
                </c:pt>
                <c:pt idx="21">
                  <c:v>-1.0596601142857144E-3</c:v>
                </c:pt>
                <c:pt idx="22">
                  <c:v>-1.2344853714285715E-3</c:v>
                </c:pt>
                <c:pt idx="23">
                  <c:v>-1.3975460000000002E-3</c:v>
                </c:pt>
                <c:pt idx="24">
                  <c:v>-1.5444489142857143E-3</c:v>
                </c:pt>
                <c:pt idx="25">
                  <c:v>-1.6846166285714287E-3</c:v>
                </c:pt>
                <c:pt idx="26">
                  <c:v>-1.8263416571428573E-3</c:v>
                </c:pt>
                <c:pt idx="27">
                  <c:v>-1.9920576000000004E-3</c:v>
                </c:pt>
                <c:pt idx="28">
                  <c:v>-2.1900582857142855E-3</c:v>
                </c:pt>
                <c:pt idx="29">
                  <c:v>-2.4504237714285718E-3</c:v>
                </c:pt>
                <c:pt idx="30">
                  <c:v>-2.8145985714285717E-3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-5.2781071428571432E-4</c:v>
                </c:pt>
                <c:pt idx="1">
                  <c:v>-5.2780317142857151E-4</c:v>
                </c:pt>
                <c:pt idx="2">
                  <c:v>-5.2780959428571435E-4</c:v>
                </c:pt>
                <c:pt idx="3">
                  <c:v>-5.2784711428571437E-4</c:v>
                </c:pt>
                <c:pt idx="4">
                  <c:v>-5.2820610285714297E-4</c:v>
                </c:pt>
                <c:pt idx="5">
                  <c:v>-5.3132425714285715E-4</c:v>
                </c:pt>
                <c:pt idx="6">
                  <c:v>-5.4216279428571435E-4</c:v>
                </c:pt>
                <c:pt idx="7">
                  <c:v>-5.5038337142857149E-4</c:v>
                </c:pt>
                <c:pt idx="8">
                  <c:v>-5.5811092000000002E-4</c:v>
                </c:pt>
                <c:pt idx="9">
                  <c:v>-5.6713196571428579E-4</c:v>
                </c:pt>
                <c:pt idx="10">
                  <c:v>-5.7693480000000003E-4</c:v>
                </c:pt>
                <c:pt idx="11">
                  <c:v>-5.8849794285714295E-4</c:v>
                </c:pt>
                <c:pt idx="12">
                  <c:v>-6.0169605714285716E-4</c:v>
                </c:pt>
                <c:pt idx="13">
                  <c:v>-6.1693605714285718E-4</c:v>
                </c:pt>
                <c:pt idx="14">
                  <c:v>-6.3134834285714285E-4</c:v>
                </c:pt>
                <c:pt idx="15">
                  <c:v>-6.481961714285714E-4</c:v>
                </c:pt>
                <c:pt idx="16">
                  <c:v>-6.7047302857142863E-4</c:v>
                </c:pt>
                <c:pt idx="17">
                  <c:v>-7.0504165714285728E-4</c:v>
                </c:pt>
                <c:pt idx="18">
                  <c:v>-7.793978857142858E-4</c:v>
                </c:pt>
                <c:pt idx="19">
                  <c:v>-9.2856325714285712E-4</c:v>
                </c:pt>
                <c:pt idx="20">
                  <c:v>-1.1236970857142858E-3</c:v>
                </c:pt>
                <c:pt idx="21">
                  <c:v>-1.3216305714285716E-3</c:v>
                </c:pt>
                <c:pt idx="22">
                  <c:v>-1.5099526857142859E-3</c:v>
                </c:pt>
                <c:pt idx="23">
                  <c:v>-1.6873612000000001E-3</c:v>
                </c:pt>
                <c:pt idx="24">
                  <c:v>-1.8756650285714287E-3</c:v>
                </c:pt>
                <c:pt idx="25">
                  <c:v>-2.0839046857142858E-3</c:v>
                </c:pt>
                <c:pt idx="26">
                  <c:v>-2.3419146285714289E-3</c:v>
                </c:pt>
                <c:pt idx="27">
                  <c:v>-2.686055542857143E-3</c:v>
                </c:pt>
                <c:pt idx="28">
                  <c:v>-3.2099524E-3</c:v>
                </c:pt>
                <c:pt idx="29">
                  <c:v>-4.0818608571428572E-3</c:v>
                </c:pt>
                <c:pt idx="30">
                  <c:v>-5.5902430857142863E-3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-5.3091504571428573E-4</c:v>
                </c:pt>
                <c:pt idx="1">
                  <c:v>-5.3097552000000003E-4</c:v>
                </c:pt>
                <c:pt idx="2">
                  <c:v>-5.316390914285714E-4</c:v>
                </c:pt>
                <c:pt idx="3">
                  <c:v>-5.367964742857143E-4</c:v>
                </c:pt>
                <c:pt idx="4">
                  <c:v>-5.4753407428571432E-4</c:v>
                </c:pt>
                <c:pt idx="5">
                  <c:v>-5.5545164000000004E-4</c:v>
                </c:pt>
                <c:pt idx="6">
                  <c:v>-5.6348080000000005E-4</c:v>
                </c:pt>
                <c:pt idx="7">
                  <c:v>-5.7273514285714289E-4</c:v>
                </c:pt>
                <c:pt idx="8">
                  <c:v>-5.8296645714285718E-4</c:v>
                </c:pt>
                <c:pt idx="9">
                  <c:v>-5.9499394285714288E-4</c:v>
                </c:pt>
                <c:pt idx="10">
                  <c:v>-6.0864839999999996E-4</c:v>
                </c:pt>
                <c:pt idx="11">
                  <c:v>-6.2406720000000003E-4</c:v>
                </c:pt>
                <c:pt idx="12">
                  <c:v>-6.3871062857142865E-4</c:v>
                </c:pt>
                <c:pt idx="13">
                  <c:v>-6.5660079999999997E-4</c:v>
                </c:pt>
                <c:pt idx="14">
                  <c:v>-6.7950274285714289E-4</c:v>
                </c:pt>
                <c:pt idx="15">
                  <c:v>-7.0670925714285716E-4</c:v>
                </c:pt>
                <c:pt idx="16">
                  <c:v>-7.3743742857142864E-4</c:v>
                </c:pt>
                <c:pt idx="17">
                  <c:v>-7.9729805714285717E-4</c:v>
                </c:pt>
                <c:pt idx="18">
                  <c:v>-9.3838194285714291E-4</c:v>
                </c:pt>
                <c:pt idx="19">
                  <c:v>-1.1411583428571428E-3</c:v>
                </c:pt>
                <c:pt idx="20">
                  <c:v>-1.363100342857143E-3</c:v>
                </c:pt>
                <c:pt idx="21">
                  <c:v>-1.5828392571428573E-3</c:v>
                </c:pt>
                <c:pt idx="22">
                  <c:v>-1.8098891428571431E-3</c:v>
                </c:pt>
                <c:pt idx="23">
                  <c:v>-2.0538577714285717E-3</c:v>
                </c:pt>
                <c:pt idx="24">
                  <c:v>-2.3467463428571431E-3</c:v>
                </c:pt>
                <c:pt idx="25">
                  <c:v>-2.7357348571428572E-3</c:v>
                </c:pt>
                <c:pt idx="26">
                  <c:v>-3.3312539428571432E-3</c:v>
                </c:pt>
                <c:pt idx="27">
                  <c:v>-4.3332200000000005E-3</c:v>
                </c:pt>
                <c:pt idx="28">
                  <c:v>-6.0493674285714292E-3</c:v>
                </c:pt>
                <c:pt idx="29">
                  <c:v>-8.7255600000000003E-3</c:v>
                </c:pt>
                <c:pt idx="30">
                  <c:v>-1.2177281142857144E-2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-5.3875919428571434E-4</c:v>
                </c:pt>
                <c:pt idx="1">
                  <c:v>-5.5183846857142854E-4</c:v>
                </c:pt>
                <c:pt idx="2">
                  <c:v>-5.5994022285714288E-4</c:v>
                </c:pt>
                <c:pt idx="3">
                  <c:v>-5.6813518285714294E-4</c:v>
                </c:pt>
                <c:pt idx="4">
                  <c:v>-5.7749040000000008E-4</c:v>
                </c:pt>
                <c:pt idx="5">
                  <c:v>-5.8790091428571434E-4</c:v>
                </c:pt>
                <c:pt idx="6">
                  <c:v>-6.0010474285714284E-4</c:v>
                </c:pt>
                <c:pt idx="7">
                  <c:v>-6.139406857142858E-4</c:v>
                </c:pt>
                <c:pt idx="8">
                  <c:v>-6.2946365714285719E-4</c:v>
                </c:pt>
                <c:pt idx="9">
                  <c:v>-6.4424862857142857E-4</c:v>
                </c:pt>
                <c:pt idx="10">
                  <c:v>-6.6256257142857146E-4</c:v>
                </c:pt>
                <c:pt idx="11">
                  <c:v>-6.858794285714287E-4</c:v>
                </c:pt>
                <c:pt idx="12">
                  <c:v>-7.1274022857142861E-4</c:v>
                </c:pt>
                <c:pt idx="13">
                  <c:v>-7.3821708571428582E-4</c:v>
                </c:pt>
                <c:pt idx="14">
                  <c:v>-7.6294337142857147E-4</c:v>
                </c:pt>
                <c:pt idx="15">
                  <c:v>-7.9293365714285728E-4</c:v>
                </c:pt>
                <c:pt idx="16">
                  <c:v>-8.4745777142857144E-4</c:v>
                </c:pt>
                <c:pt idx="17">
                  <c:v>-9.8356862857142862E-4</c:v>
                </c:pt>
                <c:pt idx="18">
                  <c:v>-1.209907542857143E-3</c:v>
                </c:pt>
                <c:pt idx="19">
                  <c:v>-1.4887029142857144E-3</c:v>
                </c:pt>
                <c:pt idx="20">
                  <c:v>-1.7958230857142859E-3</c:v>
                </c:pt>
                <c:pt idx="21">
                  <c:v>-2.1445940000000001E-3</c:v>
                </c:pt>
                <c:pt idx="22">
                  <c:v>-2.5784199428571428E-3</c:v>
                </c:pt>
                <c:pt idx="23">
                  <c:v>-3.2087566285714285E-3</c:v>
                </c:pt>
                <c:pt idx="24">
                  <c:v>-4.2453798857142863E-3</c:v>
                </c:pt>
                <c:pt idx="25">
                  <c:v>-5.9978668571428568E-3</c:v>
                </c:pt>
                <c:pt idx="26">
                  <c:v>-8.7140394285714282E-3</c:v>
                </c:pt>
                <c:pt idx="27">
                  <c:v>-1.2172076571428572E-2</c:v>
                </c:pt>
                <c:pt idx="28">
                  <c:v>-1.5275055428571429E-2</c:v>
                </c:pt>
                <c:pt idx="29">
                  <c:v>-1.7486284571428572E-2</c:v>
                </c:pt>
                <c:pt idx="30">
                  <c:v>-1.8844651428571429E-2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-6.2079731428571429E-4</c:v>
                </c:pt>
                <c:pt idx="1">
                  <c:v>-6.3928611428571433E-4</c:v>
                </c:pt>
                <c:pt idx="2">
                  <c:v>-6.558840571428572E-4</c:v>
                </c:pt>
                <c:pt idx="3">
                  <c:v>-6.7472948571428574E-4</c:v>
                </c:pt>
                <c:pt idx="4">
                  <c:v>-7.0008291428571429E-4</c:v>
                </c:pt>
                <c:pt idx="5">
                  <c:v>-7.2712519999999998E-4</c:v>
                </c:pt>
                <c:pt idx="6">
                  <c:v>-7.5195502857142865E-4</c:v>
                </c:pt>
                <c:pt idx="7">
                  <c:v>-7.768190857142857E-4</c:v>
                </c:pt>
                <c:pt idx="8">
                  <c:v>-8.0414577142857145E-4</c:v>
                </c:pt>
                <c:pt idx="9">
                  <c:v>-8.3242857142857153E-4</c:v>
                </c:pt>
                <c:pt idx="10">
                  <c:v>-8.6485817142857157E-4</c:v>
                </c:pt>
                <c:pt idx="11">
                  <c:v>-9.0430200000000006E-4</c:v>
                </c:pt>
                <c:pt idx="12">
                  <c:v>-9.539845714285714E-4</c:v>
                </c:pt>
                <c:pt idx="13">
                  <c:v>-1.0185461142857143E-3</c:v>
                </c:pt>
                <c:pt idx="14">
                  <c:v>-1.1103050857142859E-3</c:v>
                </c:pt>
                <c:pt idx="15">
                  <c:v>-1.2787949142857144E-3</c:v>
                </c:pt>
                <c:pt idx="16">
                  <c:v>-1.6690684000000003E-3</c:v>
                </c:pt>
                <c:pt idx="17">
                  <c:v>-2.4705964000000004E-3</c:v>
                </c:pt>
                <c:pt idx="18">
                  <c:v>-3.9668505142857148E-3</c:v>
                </c:pt>
                <c:pt idx="19">
                  <c:v>-6.4758148571428583E-3</c:v>
                </c:pt>
                <c:pt idx="20">
                  <c:v>-9.8433360000000011E-3</c:v>
                </c:pt>
                <c:pt idx="21">
                  <c:v>-1.3177162285714288E-2</c:v>
                </c:pt>
                <c:pt idx="22">
                  <c:v>-1.5779164571428573E-2</c:v>
                </c:pt>
                <c:pt idx="23">
                  <c:v>-1.7653537714285714E-2</c:v>
                </c:pt>
                <c:pt idx="24">
                  <c:v>-1.9022550285714285E-2</c:v>
                </c:pt>
                <c:pt idx="25">
                  <c:v>-1.9828010857142857E-2</c:v>
                </c:pt>
                <c:pt idx="26">
                  <c:v>-2.0948164000000002E-2</c:v>
                </c:pt>
                <c:pt idx="27">
                  <c:v>-2.1848025714285717E-2</c:v>
                </c:pt>
                <c:pt idx="28">
                  <c:v>-2.1887568571428574E-2</c:v>
                </c:pt>
                <c:pt idx="29">
                  <c:v>-2.213290285714286E-2</c:v>
                </c:pt>
                <c:pt idx="30">
                  <c:v>-2.2144656000000002E-2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-7.5780891428571431E-4</c:v>
                </c:pt>
                <c:pt idx="1">
                  <c:v>-7.9098565714285718E-4</c:v>
                </c:pt>
                <c:pt idx="2">
                  <c:v>-8.179954857142857E-4</c:v>
                </c:pt>
                <c:pt idx="3">
                  <c:v>-8.486698857142858E-4</c:v>
                </c:pt>
                <c:pt idx="4">
                  <c:v>-8.8110862857142865E-4</c:v>
                </c:pt>
                <c:pt idx="5">
                  <c:v>-9.2443062857142859E-4</c:v>
                </c:pt>
                <c:pt idx="6">
                  <c:v>-9.7719491428571443E-4</c:v>
                </c:pt>
                <c:pt idx="7">
                  <c:v>-1.0469790285714286E-3</c:v>
                </c:pt>
                <c:pt idx="8">
                  <c:v>-1.1422493142857143E-3</c:v>
                </c:pt>
                <c:pt idx="9">
                  <c:v>-1.2866492E-3</c:v>
                </c:pt>
                <c:pt idx="10">
                  <c:v>-1.5242370285714288E-3</c:v>
                </c:pt>
                <c:pt idx="11">
                  <c:v>-1.9320319428571429E-3</c:v>
                </c:pt>
                <c:pt idx="12">
                  <c:v>-2.5970217714285713E-3</c:v>
                </c:pt>
                <c:pt idx="13">
                  <c:v>-3.5571900571428573E-3</c:v>
                </c:pt>
                <c:pt idx="14">
                  <c:v>-4.6141837142857148E-3</c:v>
                </c:pt>
                <c:pt idx="15">
                  <c:v>-5.6234140000000002E-3</c:v>
                </c:pt>
                <c:pt idx="16">
                  <c:v>-6.7562577142857147E-3</c:v>
                </c:pt>
                <c:pt idx="17">
                  <c:v>-8.7672800000000006E-3</c:v>
                </c:pt>
                <c:pt idx="18">
                  <c:v>-1.1606206285714286E-2</c:v>
                </c:pt>
                <c:pt idx="19">
                  <c:v>-1.4358287428571431E-2</c:v>
                </c:pt>
                <c:pt idx="20">
                  <c:v>-1.7147691428571431E-2</c:v>
                </c:pt>
                <c:pt idx="21">
                  <c:v>-1.9091066285714286E-2</c:v>
                </c:pt>
                <c:pt idx="22">
                  <c:v>-2.0249506285714286E-2</c:v>
                </c:pt>
                <c:pt idx="23">
                  <c:v>-2.0991990857142859E-2</c:v>
                </c:pt>
                <c:pt idx="24">
                  <c:v>-2.1482561714285715E-2</c:v>
                </c:pt>
                <c:pt idx="25">
                  <c:v>-2.1599005142857144E-2</c:v>
                </c:pt>
                <c:pt idx="26">
                  <c:v>-2.1741901142857144E-2</c:v>
                </c:pt>
                <c:pt idx="27">
                  <c:v>-2.2120389142857143E-2</c:v>
                </c:pt>
                <c:pt idx="28">
                  <c:v>-2.2129644E-2</c:v>
                </c:pt>
                <c:pt idx="29">
                  <c:v>-2.2296514285714285E-2</c:v>
                </c:pt>
                <c:pt idx="30">
                  <c:v>-2.2364841142857143E-2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55145792"/>
        <c:axId val="4551410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51457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141088"/>
        <c:crossesAt val="-8.0000000000000019E-3"/>
        <c:crossBetween val="midCat"/>
      </c:valAx>
      <c:valAx>
        <c:axId val="455141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14579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19220.867104717185</c:v>
                </c:pt>
                <c:pt idx="1">
                  <c:v>19221.146195609606</c:v>
                </c:pt>
                <c:pt idx="2">
                  <c:v>19221.046127292553</c:v>
                </c:pt>
                <c:pt idx="3">
                  <c:v>19221.019527029144</c:v>
                </c:pt>
                <c:pt idx="4">
                  <c:v>19221.011715854664</c:v>
                </c:pt>
                <c:pt idx="5">
                  <c:v>19221.009393614826</c:v>
                </c:pt>
                <c:pt idx="6">
                  <c:v>19221.008549164115</c:v>
                </c:pt>
                <c:pt idx="7">
                  <c:v>19221.008126938788</c:v>
                </c:pt>
                <c:pt idx="8">
                  <c:v>19221.007704713476</c:v>
                </c:pt>
                <c:pt idx="9">
                  <c:v>19221.004538024255</c:v>
                </c:pt>
                <c:pt idx="10">
                  <c:v>19220.972871189388</c:v>
                </c:pt>
                <c:pt idx="11">
                  <c:v>19220.656630789352</c:v>
                </c:pt>
                <c:pt idx="12">
                  <c:v>19217.522022648805</c:v>
                </c:pt>
                <c:pt idx="13">
                  <c:v>19187.591036210943</c:v>
                </c:pt>
                <c:pt idx="14">
                  <c:v>18970.268873208846</c:v>
                </c:pt>
                <c:pt idx="15">
                  <c:v>18608.554780097496</c:v>
                </c:pt>
                <c:pt idx="16">
                  <c:v>18345.117555460878</c:v>
                </c:pt>
                <c:pt idx="17">
                  <c:v>18078.455061098099</c:v>
                </c:pt>
                <c:pt idx="18">
                  <c:v>17780.594314231279</c:v>
                </c:pt>
                <c:pt idx="19">
                  <c:v>17407.484442433797</c:v>
                </c:pt>
                <c:pt idx="20">
                  <c:v>16718.585038318521</c:v>
                </c:pt>
                <c:pt idx="21">
                  <c:v>15028.920796385088</c:v>
                </c:pt>
                <c:pt idx="22">
                  <c:v>12746.65041699392</c:v>
                </c:pt>
                <c:pt idx="23">
                  <c:v>10873.102690179574</c:v>
                </c:pt>
                <c:pt idx="24">
                  <c:v>9527.8337696808976</c:v>
                </c:pt>
                <c:pt idx="25">
                  <c:v>8510.2356007664657</c:v>
                </c:pt>
                <c:pt idx="26">
                  <c:v>7716.426358042535</c:v>
                </c:pt>
                <c:pt idx="27">
                  <c:v>7124.3048713961189</c:v>
                </c:pt>
                <c:pt idx="28">
                  <c:v>6663.5722306479402</c:v>
                </c:pt>
                <c:pt idx="29">
                  <c:v>6260.5649269057576</c:v>
                </c:pt>
                <c:pt idx="30">
                  <c:v>5921.9085031973564</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19053.991531948868</c:v>
                </c:pt>
                <c:pt idx="1">
                  <c:v>19054.273681410777</c:v>
                </c:pt>
                <c:pt idx="2">
                  <c:v>19054.174720684852</c:v>
                </c:pt>
                <c:pt idx="3">
                  <c:v>19054.146505655717</c:v>
                </c:pt>
                <c:pt idx="4">
                  <c:v>19054.116838472557</c:v>
                </c:pt>
                <c:pt idx="5">
                  <c:v>19053.894026357066</c:v>
                </c:pt>
                <c:pt idx="6">
                  <c:v>19051.703110669547</c:v>
                </c:pt>
                <c:pt idx="7">
                  <c:v>19030.589388771721</c:v>
                </c:pt>
                <c:pt idx="8">
                  <c:v>18863.153726575543</c:v>
                </c:pt>
                <c:pt idx="9">
                  <c:v>18488.086541148401</c:v>
                </c:pt>
                <c:pt idx="10">
                  <c:v>18222.589450786771</c:v>
                </c:pt>
                <c:pt idx="11">
                  <c:v>17964.450754061414</c:v>
                </c:pt>
                <c:pt idx="12">
                  <c:v>17674.400378292765</c:v>
                </c:pt>
                <c:pt idx="13">
                  <c:v>17365.881560123013</c:v>
                </c:pt>
                <c:pt idx="14">
                  <c:v>17016.033381762583</c:v>
                </c:pt>
                <c:pt idx="15">
                  <c:v>16634.973082237128</c:v>
                </c:pt>
                <c:pt idx="16">
                  <c:v>16220.589637898043</c:v>
                </c:pt>
                <c:pt idx="17">
                  <c:v>15812.650988227435</c:v>
                </c:pt>
                <c:pt idx="18">
                  <c:v>15176.869063947086</c:v>
                </c:pt>
                <c:pt idx="19">
                  <c:v>13642.979595559715</c:v>
                </c:pt>
                <c:pt idx="20">
                  <c:v>11370.548032476103</c:v>
                </c:pt>
                <c:pt idx="21">
                  <c:v>9436.9882051668101</c:v>
                </c:pt>
                <c:pt idx="22">
                  <c:v>8100.5415142569063</c:v>
                </c:pt>
                <c:pt idx="23">
                  <c:v>7155.399536043893</c:v>
                </c:pt>
                <c:pt idx="24">
                  <c:v>6474.8014048913092</c:v>
                </c:pt>
                <c:pt idx="25">
                  <c:v>5936.0686760406115</c:v>
                </c:pt>
                <c:pt idx="26">
                  <c:v>5475.4267696242969</c:v>
                </c:pt>
                <c:pt idx="27">
                  <c:v>5019.9351665333361</c:v>
                </c:pt>
                <c:pt idx="28">
                  <c:v>4566.0885215840317</c:v>
                </c:pt>
                <c:pt idx="29">
                  <c:v>4080.9267836028635</c:v>
                </c:pt>
                <c:pt idx="30">
                  <c:v>3552.9045248269349</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18946.186065080146</c:v>
                </c:pt>
                <c:pt idx="1">
                  <c:v>18946.45682581564</c:v>
                </c:pt>
                <c:pt idx="2">
                  <c:v>18946.226268457696</c:v>
                </c:pt>
                <c:pt idx="3">
                  <c:v>18944.879548185188</c:v>
                </c:pt>
                <c:pt idx="4">
                  <c:v>18932.003901334268</c:v>
                </c:pt>
                <c:pt idx="5">
                  <c:v>18820.898661344763</c:v>
                </c:pt>
                <c:pt idx="6">
                  <c:v>18444.644496815286</c:v>
                </c:pt>
                <c:pt idx="7">
                  <c:v>18169.153573888081</c:v>
                </c:pt>
                <c:pt idx="8">
                  <c:v>17917.585271400887</c:v>
                </c:pt>
                <c:pt idx="9">
                  <c:v>17632.580430209568</c:v>
                </c:pt>
                <c:pt idx="10">
                  <c:v>17332.981127156829</c:v>
                </c:pt>
                <c:pt idx="11">
                  <c:v>16992.41283911758</c:v>
                </c:pt>
                <c:pt idx="12">
                  <c:v>16619.686769238309</c:v>
                </c:pt>
                <c:pt idx="13">
                  <c:v>16209.135264863289</c:v>
                </c:pt>
                <c:pt idx="14">
                  <c:v>15839.116571915563</c:v>
                </c:pt>
                <c:pt idx="15">
                  <c:v>15427.42836317718</c:v>
                </c:pt>
                <c:pt idx="16">
                  <c:v>14914.843064316723</c:v>
                </c:pt>
                <c:pt idx="17">
                  <c:v>14183.559082912139</c:v>
                </c:pt>
                <c:pt idx="18">
                  <c:v>12830.417150587233</c:v>
                </c:pt>
                <c:pt idx="19">
                  <c:v>10769.325539295516</c:v>
                </c:pt>
                <c:pt idx="20">
                  <c:v>8899.1954567929042</c:v>
                </c:pt>
                <c:pt idx="21">
                  <c:v>7566.4109291833647</c:v>
                </c:pt>
                <c:pt idx="22">
                  <c:v>6622.7240724893854</c:v>
                </c:pt>
                <c:pt idx="23">
                  <c:v>5926.4133844016324</c:v>
                </c:pt>
                <c:pt idx="24">
                  <c:v>5331.4423671994064</c:v>
                </c:pt>
                <c:pt idx="25">
                  <c:v>4798.683965035746</c:v>
                </c:pt>
                <c:pt idx="26">
                  <c:v>4270.0104768977053</c:v>
                </c:pt>
                <c:pt idx="27">
                  <c:v>3722.9312054221532</c:v>
                </c:pt>
                <c:pt idx="28">
                  <c:v>3115.3109933966621</c:v>
                </c:pt>
                <c:pt idx="29">
                  <c:v>2449.8630281580959</c:v>
                </c:pt>
                <c:pt idx="30">
                  <c:v>1788.8309768773254</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18835.405175881086</c:v>
                </c:pt>
                <c:pt idx="1">
                  <c:v>18833.259958952531</c:v>
                </c:pt>
                <c:pt idx="2">
                  <c:v>18809.75300956317</c:v>
                </c:pt>
                <c:pt idx="3">
                  <c:v>18629.034427445622</c:v>
                </c:pt>
                <c:pt idx="4">
                  <c:v>18263.70352027041</c:v>
                </c:pt>
                <c:pt idx="5">
                  <c:v>18003.367493882994</c:v>
                </c:pt>
                <c:pt idx="6">
                  <c:v>17746.833609947313</c:v>
                </c:pt>
                <c:pt idx="7">
                  <c:v>17460.077532721432</c:v>
                </c:pt>
                <c:pt idx="8">
                  <c:v>17153.645595683865</c:v>
                </c:pt>
                <c:pt idx="9">
                  <c:v>16806.893784464937</c:v>
                </c:pt>
                <c:pt idx="10">
                  <c:v>16429.846854111503</c:v>
                </c:pt>
                <c:pt idx="11">
                  <c:v>16023.915373216218</c:v>
                </c:pt>
                <c:pt idx="12">
                  <c:v>15656.542341195242</c:v>
                </c:pt>
                <c:pt idx="13">
                  <c:v>15229.954029906758</c:v>
                </c:pt>
                <c:pt idx="14">
                  <c:v>14716.644053491889</c:v>
                </c:pt>
                <c:pt idx="15">
                  <c:v>14150.090576751223</c:v>
                </c:pt>
                <c:pt idx="16">
                  <c:v>13560.472539849385</c:v>
                </c:pt>
                <c:pt idx="17">
                  <c:v>12542.360928151909</c:v>
                </c:pt>
                <c:pt idx="18">
                  <c:v>10656.641547846128</c:v>
                </c:pt>
                <c:pt idx="19">
                  <c:v>8763.0257996999644</c:v>
                </c:pt>
                <c:pt idx="20">
                  <c:v>7336.2170675119769</c:v>
                </c:pt>
                <c:pt idx="21">
                  <c:v>6317.7609191035253</c:v>
                </c:pt>
                <c:pt idx="22">
                  <c:v>5525.2002806170285</c:v>
                </c:pt>
                <c:pt idx="23">
                  <c:v>4868.8863168185435</c:v>
                </c:pt>
                <c:pt idx="24">
                  <c:v>4261.2189555284822</c:v>
                </c:pt>
                <c:pt idx="25">
                  <c:v>3655.3249939008292</c:v>
                </c:pt>
                <c:pt idx="26">
                  <c:v>3001.8726196007801</c:v>
                </c:pt>
                <c:pt idx="27">
                  <c:v>2307.7526643004508</c:v>
                </c:pt>
                <c:pt idx="28">
                  <c:v>1653.0654019740243</c:v>
                </c:pt>
                <c:pt idx="29">
                  <c:v>1146.0582472643589</c:v>
                </c:pt>
                <c:pt idx="30">
                  <c:v>821.201373499184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18561.168154648341</c:v>
                </c:pt>
                <c:pt idx="1">
                  <c:v>18121.244837982198</c:v>
                </c:pt>
                <c:pt idx="2">
                  <c:v>17859.049219529443</c:v>
                </c:pt>
                <c:pt idx="3">
                  <c:v>17601.444694395013</c:v>
                </c:pt>
                <c:pt idx="4">
                  <c:v>17316.305171479904</c:v>
                </c:pt>
                <c:pt idx="5">
                  <c:v>17009.669073486239</c:v>
                </c:pt>
                <c:pt idx="6">
                  <c:v>16663.757650688218</c:v>
                </c:pt>
                <c:pt idx="7">
                  <c:v>16288.218443065973</c:v>
                </c:pt>
                <c:pt idx="8">
                  <c:v>15886.540686701621</c:v>
                </c:pt>
                <c:pt idx="9">
                  <c:v>15521.957760584179</c:v>
                </c:pt>
                <c:pt idx="10">
                  <c:v>15092.91413554903</c:v>
                </c:pt>
                <c:pt idx="11">
                  <c:v>14579.822026195356</c:v>
                </c:pt>
                <c:pt idx="12">
                  <c:v>14030.357203273577</c:v>
                </c:pt>
                <c:pt idx="13">
                  <c:v>13546.150845755861</c:v>
                </c:pt>
                <c:pt idx="14">
                  <c:v>13107.132684402939</c:v>
                </c:pt>
                <c:pt idx="15">
                  <c:v>12611.395556133355</c:v>
                </c:pt>
                <c:pt idx="16">
                  <c:v>11799.997990628914</c:v>
                </c:pt>
                <c:pt idx="17">
                  <c:v>10167.058718133751</c:v>
                </c:pt>
                <c:pt idx="18">
                  <c:v>8265.0943529002579</c:v>
                </c:pt>
                <c:pt idx="19">
                  <c:v>6717.2569516988151</c:v>
                </c:pt>
                <c:pt idx="20">
                  <c:v>5568.477251211255</c:v>
                </c:pt>
                <c:pt idx="21">
                  <c:v>4662.8872411281573</c:v>
                </c:pt>
                <c:pt idx="22">
                  <c:v>3878.344188153857</c:v>
                </c:pt>
                <c:pt idx="23">
                  <c:v>3116.4719414859778</c:v>
                </c:pt>
                <c:pt idx="24">
                  <c:v>2355.5018088369488</c:v>
                </c:pt>
                <c:pt idx="25">
                  <c:v>1667.2594170860937</c:v>
                </c:pt>
                <c:pt idx="26">
                  <c:v>1147.5734166650875</c:v>
                </c:pt>
                <c:pt idx="27">
                  <c:v>821.55250513892827</c:v>
                </c:pt>
                <c:pt idx="28">
                  <c:v>654.66210887165539</c:v>
                </c:pt>
                <c:pt idx="29">
                  <c:v>571.87677343072266</c:v>
                </c:pt>
                <c:pt idx="30">
                  <c:v>530.65454874046873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16108.317110723878</c:v>
                </c:pt>
                <c:pt idx="1">
                  <c:v>15642.448313104966</c:v>
                </c:pt>
                <c:pt idx="2">
                  <c:v>15246.597155542559</c:v>
                </c:pt>
                <c:pt idx="3">
                  <c:v>14820.754408581606</c:v>
                </c:pt>
                <c:pt idx="4">
                  <c:v>14284.022357841532</c:v>
                </c:pt>
                <c:pt idx="5">
                  <c:v>13752.789753401477</c:v>
                </c:pt>
                <c:pt idx="6">
                  <c:v>13298.667633087174</c:v>
                </c:pt>
                <c:pt idx="7">
                  <c:v>12873.010182036134</c:v>
                </c:pt>
                <c:pt idx="8">
                  <c:v>12435.556282581601</c:v>
                </c:pt>
                <c:pt idx="9">
                  <c:v>12013.042732109147</c:v>
                </c:pt>
                <c:pt idx="10">
                  <c:v>11562.58948618363</c:v>
                </c:pt>
                <c:pt idx="11">
                  <c:v>11058.252663380154</c:v>
                </c:pt>
                <c:pt idx="12">
                  <c:v>10482.349819374138</c:v>
                </c:pt>
                <c:pt idx="13">
                  <c:v>9817.9158113158155</c:v>
                </c:pt>
                <c:pt idx="14">
                  <c:v>9006.5335452973814</c:v>
                </c:pt>
                <c:pt idx="15">
                  <c:v>7819.862190792036</c:v>
                </c:pt>
                <c:pt idx="16">
                  <c:v>5991.3662016487751</c:v>
                </c:pt>
                <c:pt idx="17">
                  <c:v>4047.605671246019</c:v>
                </c:pt>
                <c:pt idx="18">
                  <c:v>2520.8915647280537</c:v>
                </c:pt>
                <c:pt idx="19">
                  <c:v>1544.2072110770657</c:v>
                </c:pt>
                <c:pt idx="20">
                  <c:v>1015.9157423865241</c:v>
                </c:pt>
                <c:pt idx="21">
                  <c:v>758.88873364193637</c:v>
                </c:pt>
                <c:pt idx="22">
                  <c:v>633.74711346296874</c:v>
                </c:pt>
                <c:pt idx="23">
                  <c:v>566.45869863850191</c:v>
                </c:pt>
                <c:pt idx="24">
                  <c:v>525.69186832482103</c:v>
                </c:pt>
                <c:pt idx="25">
                  <c:v>504.33702462885191</c:v>
                </c:pt>
                <c:pt idx="26">
                  <c:v>477.36880425415796</c:v>
                </c:pt>
                <c:pt idx="27">
                  <c:v>457.70726063643014</c:v>
                </c:pt>
                <c:pt idx="28">
                  <c:v>456.88035047683292</c:v>
                </c:pt>
                <c:pt idx="29">
                  <c:v>451.81601638723777</c:v>
                </c:pt>
                <c:pt idx="30">
                  <c:v>451.57621775655485</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13195.938727410814</c:v>
                </c:pt>
                <c:pt idx="1">
                  <c:v>12642.454271701079</c:v>
                </c:pt>
                <c:pt idx="2">
                  <c:v>12225.006341285432</c:v>
                </c:pt>
                <c:pt idx="3">
                  <c:v>11783.144622344491</c:v>
                </c:pt>
                <c:pt idx="4">
                  <c:v>11349.338408152171</c:v>
                </c:pt>
                <c:pt idx="5">
                  <c:v>10817.469359981644</c:v>
                </c:pt>
                <c:pt idx="6">
                  <c:v>10233.372947207314</c:v>
                </c:pt>
                <c:pt idx="7">
                  <c:v>9551.2896888151608</c:v>
                </c:pt>
                <c:pt idx="8">
                  <c:v>8754.6561638807598</c:v>
                </c:pt>
                <c:pt idx="9">
                  <c:v>7772.1262330089658</c:v>
                </c:pt>
                <c:pt idx="10">
                  <c:v>6560.6594070033643</c:v>
                </c:pt>
                <c:pt idx="11">
                  <c:v>5175.897860783668</c:v>
                </c:pt>
                <c:pt idx="12">
                  <c:v>3850.5645620749624</c:v>
                </c:pt>
                <c:pt idx="13">
                  <c:v>2811.2076777904922</c:v>
                </c:pt>
                <c:pt idx="14">
                  <c:v>2167.2305697407674</c:v>
                </c:pt>
                <c:pt idx="15">
                  <c:v>1778.2791734700663</c:v>
                </c:pt>
                <c:pt idx="16">
                  <c:v>1480.1093183369221</c:v>
                </c:pt>
                <c:pt idx="17">
                  <c:v>1140.6046116925659</c:v>
                </c:pt>
                <c:pt idx="18">
                  <c:v>861.60798402391697</c:v>
                </c:pt>
                <c:pt idx="19">
                  <c:v>696.46189002325491</c:v>
                </c:pt>
                <c:pt idx="20">
                  <c:v>583.16887970925518</c:v>
                </c:pt>
                <c:pt idx="21">
                  <c:v>523.80521079029154</c:v>
                </c:pt>
                <c:pt idx="22">
                  <c:v>493.83920076386482</c:v>
                </c:pt>
                <c:pt idx="23">
                  <c:v>476.37215869867538</c:v>
                </c:pt>
                <c:pt idx="24">
                  <c:v>465.4938332307961</c:v>
                </c:pt>
                <c:pt idx="25">
                  <c:v>462.98428718634898</c:v>
                </c:pt>
                <c:pt idx="26">
                  <c:v>459.94137928850324</c:v>
                </c:pt>
                <c:pt idx="27">
                  <c:v>452.07161300003997</c:v>
                </c:pt>
                <c:pt idx="28">
                  <c:v>451.88255174823416</c:v>
                </c:pt>
                <c:pt idx="29">
                  <c:v>448.50059842794133</c:v>
                </c:pt>
                <c:pt idx="30">
                  <c:v>447.13038362867104</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55145008"/>
        <c:axId val="4551426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514500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142656"/>
        <c:crosses val="autoZero"/>
        <c:crossBetween val="midCat"/>
      </c:valAx>
      <c:valAx>
        <c:axId val="45514265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14500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22077.11293330136</c:v>
                </c:pt>
                <c:pt idx="1">
                  <c:v>22078.352945786577</c:v>
                </c:pt>
                <c:pt idx="2">
                  <c:v>22078.244313789179</c:v>
                </c:pt>
                <c:pt idx="3">
                  <c:v>22078.212560022632</c:v>
                </c:pt>
                <c:pt idx="4">
                  <c:v>22078.201696912922</c:v>
                </c:pt>
                <c:pt idx="5">
                  <c:v>22078.199190042968</c:v>
                </c:pt>
                <c:pt idx="6">
                  <c:v>22078.197518796656</c:v>
                </c:pt>
                <c:pt idx="7">
                  <c:v>22078.197518796649</c:v>
                </c:pt>
                <c:pt idx="8">
                  <c:v>22078.197518796638</c:v>
                </c:pt>
                <c:pt idx="9">
                  <c:v>22078.201696912933</c:v>
                </c:pt>
                <c:pt idx="10">
                  <c:v>22078.240135656793</c:v>
                </c:pt>
                <c:pt idx="11">
                  <c:v>22078.632887014399</c:v>
                </c:pt>
                <c:pt idx="12">
                  <c:v>22082.530239028241</c:v>
                </c:pt>
                <c:pt idx="13">
                  <c:v>22119.923684493697</c:v>
                </c:pt>
                <c:pt idx="14">
                  <c:v>22402.40153744481</c:v>
                </c:pt>
                <c:pt idx="15">
                  <c:v>22925.061824306722</c:v>
                </c:pt>
                <c:pt idx="16">
                  <c:v>23339.443599667724</c:v>
                </c:pt>
                <c:pt idx="17">
                  <c:v>23806.038411165402</c:v>
                </c:pt>
                <c:pt idx="18">
                  <c:v>24385.225134222183</c:v>
                </c:pt>
                <c:pt idx="19">
                  <c:v>24985.658945641175</c:v>
                </c:pt>
                <c:pt idx="20">
                  <c:v>25229.351383362831</c:v>
                </c:pt>
                <c:pt idx="21">
                  <c:v>23465.955404171989</c:v>
                </c:pt>
                <c:pt idx="22">
                  <c:v>19732.611611372275</c:v>
                </c:pt>
                <c:pt idx="23">
                  <c:v>16293.696505117547</c:v>
                </c:pt>
                <c:pt idx="24">
                  <c:v>13829.534502452147</c:v>
                </c:pt>
                <c:pt idx="25">
                  <c:v>12019.209306357014</c:v>
                </c:pt>
                <c:pt idx="26">
                  <c:v>10596.770898685134</c:v>
                </c:pt>
                <c:pt idx="27">
                  <c:v>9505.7307878181327</c:v>
                </c:pt>
                <c:pt idx="28">
                  <c:v>8684.1294883700029</c:v>
                </c:pt>
                <c:pt idx="29">
                  <c:v>8025.4550926029715</c:v>
                </c:pt>
                <c:pt idx="30">
                  <c:v>7552.7560006646436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21874.164680336275</c:v>
                </c:pt>
                <c:pt idx="1">
                  <c:v>21875.490284426003</c:v>
                </c:pt>
                <c:pt idx="2">
                  <c:v>21875.38610056468</c:v>
                </c:pt>
                <c:pt idx="3">
                  <c:v>21875.358208990678</c:v>
                </c:pt>
                <c:pt idx="4">
                  <c:v>21875.375436130926</c:v>
                </c:pt>
                <c:pt idx="5">
                  <c:v>21875.639589012484</c:v>
                </c:pt>
                <c:pt idx="6">
                  <c:v>21878.301162166608</c:v>
                </c:pt>
                <c:pt idx="7">
                  <c:v>21904.062584037278</c:v>
                </c:pt>
                <c:pt idx="8">
                  <c:v>22114.554250325065</c:v>
                </c:pt>
                <c:pt idx="9">
                  <c:v>22636.187647942024</c:v>
                </c:pt>
                <c:pt idx="10">
                  <c:v>23039.585984695968</c:v>
                </c:pt>
                <c:pt idx="11">
                  <c:v>23474.488248107809</c:v>
                </c:pt>
                <c:pt idx="12">
                  <c:v>24028.010014215506</c:v>
                </c:pt>
                <c:pt idx="13">
                  <c:v>24698.563209776745</c:v>
                </c:pt>
                <c:pt idx="14">
                  <c:v>25585.152167180811</c:v>
                </c:pt>
                <c:pt idx="15">
                  <c:v>26734.282708959516</c:v>
                </c:pt>
                <c:pt idx="16">
                  <c:v>28089.588258641987</c:v>
                </c:pt>
                <c:pt idx="17">
                  <c:v>29711.982567521412</c:v>
                </c:pt>
                <c:pt idx="18">
                  <c:v>31118.270802857416</c:v>
                </c:pt>
                <c:pt idx="19">
                  <c:v>29575.131769042044</c:v>
                </c:pt>
                <c:pt idx="20">
                  <c:v>23463.157801025358</c:v>
                </c:pt>
                <c:pt idx="21">
                  <c:v>17473.618331043792</c:v>
                </c:pt>
                <c:pt idx="22">
                  <c:v>13557.378700195992</c:v>
                </c:pt>
                <c:pt idx="23">
                  <c:v>11073.621103208552</c:v>
                </c:pt>
                <c:pt idx="24">
                  <c:v>9404.2731512515529</c:v>
                </c:pt>
                <c:pt idx="25">
                  <c:v>8222.5138160550359</c:v>
                </c:pt>
                <c:pt idx="26">
                  <c:v>7332.5797117407874</c:v>
                </c:pt>
                <c:pt idx="27">
                  <c:v>6578.47302589234</c:v>
                </c:pt>
                <c:pt idx="28">
                  <c:v>5901.7368238160971</c:v>
                </c:pt>
                <c:pt idx="29">
                  <c:v>5234.1000602011209</c:v>
                </c:pt>
                <c:pt idx="30">
                  <c:v>4540.5084575532119</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21742.824013893041</c:v>
                </c:pt>
                <c:pt idx="1">
                  <c:v>21744.218041575314</c:v>
                </c:pt>
                <c:pt idx="2">
                  <c:v>21744.274779045543</c:v>
                </c:pt>
                <c:pt idx="3">
                  <c:v>21745.829500941531</c:v>
                </c:pt>
                <c:pt idx="4">
                  <c:v>21761.266373394414</c:v>
                </c:pt>
                <c:pt idx="5">
                  <c:v>21897.241301705664</c:v>
                </c:pt>
                <c:pt idx="6">
                  <c:v>22400.675819429198</c:v>
                </c:pt>
                <c:pt idx="7">
                  <c:v>22807.152260392086</c:v>
                </c:pt>
                <c:pt idx="8">
                  <c:v>23215.22263803118</c:v>
                </c:pt>
                <c:pt idx="9">
                  <c:v>23737.89157279889</c:v>
                </c:pt>
                <c:pt idx="10">
                  <c:v>24361.530231517503</c:v>
                </c:pt>
                <c:pt idx="11">
                  <c:v>25184.213890017851</c:v>
                </c:pt>
                <c:pt idx="12">
                  <c:v>26251.077606735766</c:v>
                </c:pt>
                <c:pt idx="13">
                  <c:v>27533.196460307085</c:v>
                </c:pt>
                <c:pt idx="14">
                  <c:v>29198.396564212995</c:v>
                </c:pt>
                <c:pt idx="15">
                  <c:v>31243.624069002512</c:v>
                </c:pt>
                <c:pt idx="16">
                  <c:v>34629.875886524846</c:v>
                </c:pt>
                <c:pt idx="17">
                  <c:v>39144.628576303541</c:v>
                </c:pt>
                <c:pt idx="18">
                  <c:v>38115.654395473255</c:v>
                </c:pt>
                <c:pt idx="19">
                  <c:v>27549.447953142146</c:v>
                </c:pt>
                <c:pt idx="20">
                  <c:v>18847.942254902329</c:v>
                </c:pt>
                <c:pt idx="21">
                  <c:v>13796.724796288985</c:v>
                </c:pt>
                <c:pt idx="22">
                  <c:v>10839.995594625787</c:v>
                </c:pt>
                <c:pt idx="23">
                  <c:v>8946.4858535865169</c:v>
                </c:pt>
                <c:pt idx="24">
                  <c:v>7609.7166776377044</c:v>
                </c:pt>
                <c:pt idx="25">
                  <c:v>6581.082509099756</c:v>
                </c:pt>
                <c:pt idx="26">
                  <c:v>5707.0522468566833</c:v>
                </c:pt>
                <c:pt idx="27">
                  <c:v>4901.3067275840267</c:v>
                </c:pt>
                <c:pt idx="28">
                  <c:v>4071.8305342290523</c:v>
                </c:pt>
                <c:pt idx="29">
                  <c:v>3201.8582633951432</c:v>
                </c:pt>
                <c:pt idx="30">
                  <c:v>2353.0684240833825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21607.980195039068</c:v>
                </c:pt>
                <c:pt idx="1">
                  <c:v>21612.28965190726</c:v>
                </c:pt>
                <c:pt idx="2">
                  <c:v>21639.920405157689</c:v>
                </c:pt>
                <c:pt idx="3">
                  <c:v>21861.025612639936</c:v>
                </c:pt>
                <c:pt idx="4">
                  <c:v>22356.685120896589</c:v>
                </c:pt>
                <c:pt idx="5">
                  <c:v>22741.801785132677</c:v>
                </c:pt>
                <c:pt idx="6">
                  <c:v>23163.215268174965</c:v>
                </c:pt>
                <c:pt idx="7">
                  <c:v>23696.683106206725</c:v>
                </c:pt>
                <c:pt idx="8">
                  <c:v>24346.185281092145</c:v>
                </c:pt>
                <c:pt idx="9">
                  <c:v>25203.327484433135</c:v>
                </c:pt>
                <c:pt idx="10">
                  <c:v>26313.114636767765</c:v>
                </c:pt>
                <c:pt idx="11">
                  <c:v>27619.123013616882</c:v>
                </c:pt>
                <c:pt idx="12">
                  <c:v>29329.20324521096</c:v>
                </c:pt>
                <c:pt idx="13">
                  <c:v>31564.484853718845</c:v>
                </c:pt>
                <c:pt idx="14">
                  <c:v>35425.421047323616</c:v>
                </c:pt>
                <c:pt idx="15">
                  <c:v>41753.585702503391</c:v>
                </c:pt>
                <c:pt idx="16">
                  <c:v>49740.722928824689</c:v>
                </c:pt>
                <c:pt idx="17">
                  <c:v>50815.115098268368</c:v>
                </c:pt>
                <c:pt idx="18">
                  <c:v>35799.167732765876</c:v>
                </c:pt>
                <c:pt idx="19">
                  <c:v>22048.935230459032</c:v>
                </c:pt>
                <c:pt idx="20">
                  <c:v>14952.76379195938</c:v>
                </c:pt>
                <c:pt idx="21">
                  <c:v>11155.676444840181</c:v>
                </c:pt>
                <c:pt idx="22">
                  <c:v>8832.4901585871066</c:v>
                </c:pt>
                <c:pt idx="23">
                  <c:v>7244.1369784340341</c:v>
                </c:pt>
                <c:pt idx="24">
                  <c:v>6037.1268119875549</c:v>
                </c:pt>
                <c:pt idx="25">
                  <c:v>5018.5531608740539</c:v>
                </c:pt>
                <c:pt idx="26">
                  <c:v>4053.281332744843</c:v>
                </c:pt>
                <c:pt idx="27">
                  <c:v>3098.9559316424861</c:v>
                </c:pt>
                <c:pt idx="28">
                  <c:v>2227.2603275070496</c:v>
                </c:pt>
                <c:pt idx="29">
                  <c:v>1559.9187523003231</c:v>
                </c:pt>
                <c:pt idx="30">
                  <c:v>1133.7393389954989</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21586.906808299471</c:v>
                </c:pt>
                <c:pt idx="1">
                  <c:v>22176.891810527537</c:v>
                </c:pt>
                <c:pt idx="2">
                  <c:v>22559.065595768479</c:v>
                </c:pt>
                <c:pt idx="3">
                  <c:v>22976.965198497666</c:v>
                </c:pt>
                <c:pt idx="4">
                  <c:v>23501.057561019414</c:v>
                </c:pt>
                <c:pt idx="5">
                  <c:v>24143.930051806245</c:v>
                </c:pt>
                <c:pt idx="6">
                  <c:v>24990.1952753851</c:v>
                </c:pt>
                <c:pt idx="7">
                  <c:v>26084.746090634377</c:v>
                </c:pt>
                <c:pt idx="8">
                  <c:v>27363.900091930205</c:v>
                </c:pt>
                <c:pt idx="9">
                  <c:v>29042.692126785088</c:v>
                </c:pt>
                <c:pt idx="10">
                  <c:v>31271.504743708578</c:v>
                </c:pt>
                <c:pt idx="11">
                  <c:v>35119.126887934013</c:v>
                </c:pt>
                <c:pt idx="12">
                  <c:v>41423.269452970897</c:v>
                </c:pt>
                <c:pt idx="13">
                  <c:v>50598.783107940209</c:v>
                </c:pt>
                <c:pt idx="14">
                  <c:v>65001.528093066168</c:v>
                </c:pt>
                <c:pt idx="15">
                  <c:v>93203.355661661641</c:v>
                </c:pt>
                <c:pt idx="16">
                  <c:v>120011.3345562145</c:v>
                </c:pt>
                <c:pt idx="17">
                  <c:v>68723.485988223809</c:v>
                </c:pt>
                <c:pt idx="18">
                  <c:v>30918.78800471163</c:v>
                </c:pt>
                <c:pt idx="19">
                  <c:v>17544.308150233417</c:v>
                </c:pt>
                <c:pt idx="20">
                  <c:v>11643.607666044836</c:v>
                </c:pt>
                <c:pt idx="21">
                  <c:v>8411.2176035345219</c:v>
                </c:pt>
                <c:pt idx="22">
                  <c:v>6330.5121315583183</c:v>
                </c:pt>
                <c:pt idx="23">
                  <c:v>4771.8930156855977</c:v>
                </c:pt>
                <c:pt idx="24">
                  <c:v>3466.060474476345</c:v>
                </c:pt>
                <c:pt idx="25">
                  <c:v>2410.4416254123034</c:v>
                </c:pt>
                <c:pt idx="26">
                  <c:v>1650.4388913117341</c:v>
                </c:pt>
                <c:pt idx="27">
                  <c:v>1182.2643751491598</c:v>
                </c:pt>
                <c:pt idx="28">
                  <c:v>940.93564166891053</c:v>
                </c:pt>
                <c:pt idx="29">
                  <c:v>819.53517089041009</c:v>
                </c:pt>
                <c:pt idx="30">
                  <c:v>757.89722411263494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25393.568386649978</c:v>
                </c:pt>
                <c:pt idx="1">
                  <c:v>27084.539949588099</c:v>
                </c:pt>
                <c:pt idx="2">
                  <c:v>28720.160081905295</c:v>
                </c:pt>
                <c:pt idx="3">
                  <c:v>31249.646209362581</c:v>
                </c:pt>
                <c:pt idx="4">
                  <c:v>35310.084689321317</c:v>
                </c:pt>
                <c:pt idx="5">
                  <c:v>41770.992704588716</c:v>
                </c:pt>
                <c:pt idx="6">
                  <c:v>50867.30499030355</c:v>
                </c:pt>
                <c:pt idx="7">
                  <c:v>66813.304689896933</c:v>
                </c:pt>
                <c:pt idx="8">
                  <c:v>100166.13841907137</c:v>
                </c:pt>
                <c:pt idx="9">
                  <c:v>239209.07365124312</c:v>
                </c:pt>
                <c:pt idx="10">
                  <c:v>-434146.00503808621</c:v>
                </c:pt>
                <c:pt idx="11">
                  <c:v>-92783.81561830506</c:v>
                </c:pt>
                <c:pt idx="12">
                  <c:v>-45575.380585679479</c:v>
                </c:pt>
                <c:pt idx="13">
                  <c:v>-27037.651675818404</c:v>
                </c:pt>
                <c:pt idx="14">
                  <c:v>-17295.988625367216</c:v>
                </c:pt>
                <c:pt idx="15">
                  <c:v>-11681.794590661575</c:v>
                </c:pt>
                <c:pt idx="16">
                  <c:v>-8676.3168132790815</c:v>
                </c:pt>
                <c:pt idx="17">
                  <c:v>-7132.3818572909804</c:v>
                </c:pt>
                <c:pt idx="18">
                  <c:v>-7054.6668959634899</c:v>
                </c:pt>
                <c:pt idx="19">
                  <c:v>-15303.918327797739</c:v>
                </c:pt>
                <c:pt idx="20">
                  <c:v>7171.6561722797296</c:v>
                </c:pt>
                <c:pt idx="21">
                  <c:v>2267.6512678891745</c:v>
                </c:pt>
                <c:pt idx="22">
                  <c:v>1342.8118972213299</c:v>
                </c:pt>
                <c:pt idx="23">
                  <c:v>1013.4861415615435</c:v>
                </c:pt>
                <c:pt idx="24">
                  <c:v>858.34766896561644</c:v>
                </c:pt>
                <c:pt idx="25">
                  <c:v>778.81671928129947</c:v>
                </c:pt>
                <c:pt idx="26">
                  <c:v>722.35727551437105</c:v>
                </c:pt>
                <c:pt idx="27">
                  <c:v>681.03462936558253</c:v>
                </c:pt>
                <c:pt idx="28">
                  <c:v>684.04508615430552</c:v>
                </c:pt>
                <c:pt idx="29">
                  <c:v>659.83679031254007</c:v>
                </c:pt>
                <c:pt idx="30">
                  <c:v>659.39001525263291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48341.983233453284</c:v>
                </c:pt>
                <c:pt idx="1">
                  <c:v>67941.212759188784</c:v>
                </c:pt>
                <c:pt idx="2">
                  <c:v>106581.8494399214</c:v>
                </c:pt>
                <c:pt idx="3">
                  <c:v>288758.29313817841</c:v>
                </c:pt>
                <c:pt idx="4">
                  <c:v>-288065.55911220331</c:v>
                </c:pt>
                <c:pt idx="5">
                  <c:v>-79234.14359526879</c:v>
                </c:pt>
                <c:pt idx="6">
                  <c:v>-40714.818197634682</c:v>
                </c:pt>
                <c:pt idx="7">
                  <c:v>-24326.385022731254</c:v>
                </c:pt>
                <c:pt idx="8">
                  <c:v>-15427.768378593551</c:v>
                </c:pt>
                <c:pt idx="9">
                  <c:v>-9752.6488612277735</c:v>
                </c:pt>
                <c:pt idx="10">
                  <c:v>-5964.337623498428</c:v>
                </c:pt>
                <c:pt idx="11">
                  <c:v>-3517.5701927614382</c:v>
                </c:pt>
                <c:pt idx="12">
                  <c:v>-2082.5065038760617</c:v>
                </c:pt>
                <c:pt idx="13">
                  <c:v>-1304.5671943275686</c:v>
                </c:pt>
                <c:pt idx="14">
                  <c:v>-933.54237214130342</c:v>
                </c:pt>
                <c:pt idx="15">
                  <c:v>-775.18717459109746</c:v>
                </c:pt>
                <c:pt idx="16">
                  <c:v>-751.2831465372966</c:v>
                </c:pt>
                <c:pt idx="17">
                  <c:v>-886.01771893675016</c:v>
                </c:pt>
                <c:pt idx="18">
                  <c:v>-1513.0564232573886</c:v>
                </c:pt>
                <c:pt idx="19">
                  <c:v>-9284.3564959459982</c:v>
                </c:pt>
                <c:pt idx="20">
                  <c:v>2810.2536037086306</c:v>
                </c:pt>
                <c:pt idx="21">
                  <c:v>1316.3498626257301</c:v>
                </c:pt>
                <c:pt idx="22">
                  <c:v>956.82091385254694</c:v>
                </c:pt>
                <c:pt idx="23">
                  <c:v>811.61046333774709</c:v>
                </c:pt>
                <c:pt idx="24">
                  <c:v>738.99446163767857</c:v>
                </c:pt>
                <c:pt idx="25">
                  <c:v>724.39732522703719</c:v>
                </c:pt>
                <c:pt idx="26">
                  <c:v>707.07422101532052</c:v>
                </c:pt>
                <c:pt idx="27">
                  <c:v>666.37704016566681</c:v>
                </c:pt>
                <c:pt idx="28">
                  <c:v>665.87819078840846</c:v>
                </c:pt>
                <c:pt idx="29">
                  <c:v>649.26387204203775</c:v>
                </c:pt>
                <c:pt idx="30">
                  <c:v>641.08087260851198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55146968"/>
        <c:axId val="4551442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55146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144224"/>
        <c:crosses val="autoZero"/>
        <c:crossBetween val="midCat"/>
        <c:majorUnit val="10000"/>
      </c:valAx>
      <c:valAx>
        <c:axId val="45514422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146968"/>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0.35489597935815076</c:v>
                </c:pt>
                <c:pt idx="1">
                  <c:v>0.35490202218430006</c:v>
                </c:pt>
                <c:pt idx="2">
                  <c:v>0.3549020636626749</c:v>
                </c:pt>
                <c:pt idx="3">
                  <c:v>0.35490205578029937</c:v>
                </c:pt>
                <c:pt idx="4">
                  <c:v>0.35490204335390357</c:v>
                </c:pt>
                <c:pt idx="5">
                  <c:v>0.35490204440916467</c:v>
                </c:pt>
                <c:pt idx="6">
                  <c:v>0.35490203980042623</c:v>
                </c:pt>
                <c:pt idx="7">
                  <c:v>0.35490204298777367</c:v>
                </c:pt>
                <c:pt idx="8">
                  <c:v>0.354902046175121</c:v>
                </c:pt>
                <c:pt idx="9">
                  <c:v>0.35490209753879987</c:v>
                </c:pt>
                <c:pt idx="10">
                  <c:v>0.35490258920783019</c:v>
                </c:pt>
                <c:pt idx="11">
                  <c:v>0.35490755753802411</c:v>
                </c:pt>
                <c:pt idx="12">
                  <c:v>0.35495682322457078</c:v>
                </c:pt>
                <c:pt idx="13">
                  <c:v>0.35542753741007366</c:v>
                </c:pt>
                <c:pt idx="14">
                  <c:v>0.35886729716974969</c:v>
                </c:pt>
                <c:pt idx="15">
                  <c:v>0.36471461580118525</c:v>
                </c:pt>
                <c:pt idx="16">
                  <c:v>0.368997751402251</c:v>
                </c:pt>
                <c:pt idx="17">
                  <c:v>0.37343228673851209</c:v>
                </c:pt>
                <c:pt idx="18">
                  <c:v>0.37847426589692063</c:v>
                </c:pt>
                <c:pt idx="19">
                  <c:v>0.38388349439235298</c:v>
                </c:pt>
                <c:pt idx="20">
                  <c:v>0.38955598590785695</c:v>
                </c:pt>
                <c:pt idx="21">
                  <c:v>0.3932572703907245</c:v>
                </c:pt>
                <c:pt idx="22">
                  <c:v>0.39233854200316304</c:v>
                </c:pt>
                <c:pt idx="23">
                  <c:v>0.38878007018680982</c:v>
                </c:pt>
                <c:pt idx="24">
                  <c:v>0.38517528954678487</c:v>
                </c:pt>
                <c:pt idx="25">
                  <c:v>0.38199118893972828</c:v>
                </c:pt>
                <c:pt idx="26">
                  <c:v>0.37863557002696607</c:v>
                </c:pt>
                <c:pt idx="27">
                  <c:v>0.37508754752929113</c:v>
                </c:pt>
                <c:pt idx="28">
                  <c:v>0.37211206681544845</c:v>
                </c:pt>
                <c:pt idx="29">
                  <c:v>0.36998525619072381</c:v>
                </c:pt>
                <c:pt idx="30">
                  <c:v>0.36932124505994396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0.35482118738094864</c:v>
                </c:pt>
                <c:pt idx="1">
                  <c:v>0.35482783521903322</c:v>
                </c:pt>
                <c:pt idx="2">
                  <c:v>0.35482789779427787</c:v>
                </c:pt>
                <c:pt idx="3">
                  <c:v>0.354827927664711</c:v>
                </c:pt>
                <c:pt idx="4">
                  <c:v>0.35482826802139189</c:v>
                </c:pt>
                <c:pt idx="5">
                  <c:v>0.35483171856662499</c:v>
                </c:pt>
                <c:pt idx="6">
                  <c:v>0.35486606897663669</c:v>
                </c:pt>
                <c:pt idx="7">
                  <c:v>0.35519741436275554</c:v>
                </c:pt>
                <c:pt idx="8">
                  <c:v>0.35783756168709369</c:v>
                </c:pt>
                <c:pt idx="9">
                  <c:v>0.36387514519750819</c:v>
                </c:pt>
                <c:pt idx="10">
                  <c:v>0.36817913117817369</c:v>
                </c:pt>
                <c:pt idx="11">
                  <c:v>0.3724540831718347</c:v>
                </c:pt>
                <c:pt idx="12">
                  <c:v>0.37740418808551496</c:v>
                </c:pt>
                <c:pt idx="13">
                  <c:v>0.38281449537080187</c:v>
                </c:pt>
                <c:pt idx="14">
                  <c:v>0.389154242855551</c:v>
                </c:pt>
                <c:pt idx="15">
                  <c:v>0.39629437438480308</c:v>
                </c:pt>
                <c:pt idx="16">
                  <c:v>0.40375680905594591</c:v>
                </c:pt>
                <c:pt idx="17">
                  <c:v>0.41130037097382799</c:v>
                </c:pt>
                <c:pt idx="18">
                  <c:v>0.41871405087546681</c:v>
                </c:pt>
                <c:pt idx="19">
                  <c:v>0.42311682834247144</c:v>
                </c:pt>
                <c:pt idx="20">
                  <c:v>0.41923118981609542</c:v>
                </c:pt>
                <c:pt idx="21">
                  <c:v>0.40998822695277171</c:v>
                </c:pt>
                <c:pt idx="22">
                  <c:v>0.40041657150459081</c:v>
                </c:pt>
                <c:pt idx="23">
                  <c:v>0.3923056353269026</c:v>
                </c:pt>
                <c:pt idx="24">
                  <c:v>0.38525072058989801</c:v>
                </c:pt>
                <c:pt idx="25">
                  <c:v>0.37967855068746292</c:v>
                </c:pt>
                <c:pt idx="26">
                  <c:v>0.37554569276491812</c:v>
                </c:pt>
                <c:pt idx="27">
                  <c:v>0.37281913936625122</c:v>
                </c:pt>
                <c:pt idx="28">
                  <c:v>0.37105240773761544</c:v>
                </c:pt>
                <c:pt idx="29">
                  <c:v>0.37005321715082468</c:v>
                </c:pt>
                <c:pt idx="30">
                  <c:v>0.36958492431552026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0.35477058198623695</c:v>
                </c:pt>
                <c:pt idx="1">
                  <c:v>0.35477781733677666</c:v>
                </c:pt>
                <c:pt idx="2">
                  <c:v>0.35477996345413693</c:v>
                </c:pt>
                <c:pt idx="3">
                  <c:v>0.35480066766085783</c:v>
                </c:pt>
                <c:pt idx="4">
                  <c:v>0.35500228114419569</c:v>
                </c:pt>
                <c:pt idx="5">
                  <c:v>0.3567483273195185</c:v>
                </c:pt>
                <c:pt idx="6">
                  <c:v>0.36276720216317948</c:v>
                </c:pt>
                <c:pt idx="7">
                  <c:v>0.3672262004593369</c:v>
                </c:pt>
                <c:pt idx="8">
                  <c:v>0.37136611789334945</c:v>
                </c:pt>
                <c:pt idx="9">
                  <c:v>0.37619947643528545</c:v>
                </c:pt>
                <c:pt idx="10">
                  <c:v>0.38141836081700342</c:v>
                </c:pt>
                <c:pt idx="11">
                  <c:v>0.38754587223220294</c:v>
                </c:pt>
                <c:pt idx="12">
                  <c:v>0.39448251091367348</c:v>
                </c:pt>
                <c:pt idx="13">
                  <c:v>0.40188126002592905</c:v>
                </c:pt>
                <c:pt idx="14">
                  <c:v>0.40958911883464649</c:v>
                </c:pt>
                <c:pt idx="15">
                  <c:v>0.41770359114388039</c:v>
                </c:pt>
                <c:pt idx="16">
                  <c:v>0.42821784330005652</c:v>
                </c:pt>
                <c:pt idx="17">
                  <c:v>0.43961044976552138</c:v>
                </c:pt>
                <c:pt idx="18">
                  <c:v>0.44389699213231482</c:v>
                </c:pt>
                <c:pt idx="19">
                  <c:v>0.43484850974380884</c:v>
                </c:pt>
                <c:pt idx="20">
                  <c:v>0.42130709958998103</c:v>
                </c:pt>
                <c:pt idx="21">
                  <c:v>0.40859653237872606</c:v>
                </c:pt>
                <c:pt idx="22">
                  <c:v>0.39817455774962407</c:v>
                </c:pt>
                <c:pt idx="23">
                  <c:v>0.38959513486840536</c:v>
                </c:pt>
                <c:pt idx="24">
                  <c:v>0.38323169370053223</c:v>
                </c:pt>
                <c:pt idx="25">
                  <c:v>0.37847278016444513</c:v>
                </c:pt>
                <c:pt idx="26">
                  <c:v>0.37530017563651091</c:v>
                </c:pt>
                <c:pt idx="27">
                  <c:v>0.37340344754492044</c:v>
                </c:pt>
                <c:pt idx="28">
                  <c:v>0.37248523863291111</c:v>
                </c:pt>
                <c:pt idx="29">
                  <c:v>0.37247702080976652</c:v>
                </c:pt>
                <c:pt idx="30">
                  <c:v>0.37329799121232177</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0.35471875817893839</c:v>
                </c:pt>
                <c:pt idx="1">
                  <c:v>0.35476427021935553</c:v>
                </c:pt>
                <c:pt idx="2">
                  <c:v>0.35513075943754374</c:v>
                </c:pt>
                <c:pt idx="3">
                  <c:v>0.35797376910597761</c:v>
                </c:pt>
                <c:pt idx="4">
                  <c:v>0.36384606795456531</c:v>
                </c:pt>
                <c:pt idx="5">
                  <c:v>0.36805965167887011</c:v>
                </c:pt>
                <c:pt idx="6">
                  <c:v>0.37230591403596053</c:v>
                </c:pt>
                <c:pt idx="7">
                  <c:v>0.37719745801225502</c:v>
                </c:pt>
                <c:pt idx="8">
                  <c:v>0.38257129814771013</c:v>
                </c:pt>
                <c:pt idx="9">
                  <c:v>0.38885797060695171</c:v>
                </c:pt>
                <c:pt idx="10">
                  <c:v>0.39593372556541445</c:v>
                </c:pt>
                <c:pt idx="11">
                  <c:v>0.40330422291518786</c:v>
                </c:pt>
                <c:pt idx="12">
                  <c:v>0.41102984620086391</c:v>
                </c:pt>
                <c:pt idx="13">
                  <c:v>0.41958285765110254</c:v>
                </c:pt>
                <c:pt idx="14">
                  <c:v>0.43076231879816651</c:v>
                </c:pt>
                <c:pt idx="15">
                  <c:v>0.44351746347578624</c:v>
                </c:pt>
                <c:pt idx="16">
                  <c:v>0.45456280842810487</c:v>
                </c:pt>
                <c:pt idx="17">
                  <c:v>0.45886276191674802</c:v>
                </c:pt>
                <c:pt idx="18">
                  <c:v>0.45038692134131919</c:v>
                </c:pt>
                <c:pt idx="19">
                  <c:v>0.43376077870951285</c:v>
                </c:pt>
                <c:pt idx="20">
                  <c:v>0.41822897347961724</c:v>
                </c:pt>
                <c:pt idx="21">
                  <c:v>0.40561216449846527</c:v>
                </c:pt>
                <c:pt idx="22">
                  <c:v>0.3957409861882622</c:v>
                </c:pt>
                <c:pt idx="23">
                  <c:v>0.38798098997590896</c:v>
                </c:pt>
                <c:pt idx="24">
                  <c:v>0.38236073526821734</c:v>
                </c:pt>
                <c:pt idx="25">
                  <c:v>0.37860628097626842</c:v>
                </c:pt>
                <c:pt idx="26">
                  <c:v>0.37656615413665595</c:v>
                </c:pt>
                <c:pt idx="27">
                  <c:v>0.37588547480692353</c:v>
                </c:pt>
                <c:pt idx="28">
                  <c:v>0.37630053975891509</c:v>
                </c:pt>
                <c:pt idx="29">
                  <c:v>0.37755150222040601</c:v>
                </c:pt>
                <c:pt idx="30">
                  <c:v>0.3792783394951591</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0.35669424279974371</c:v>
                </c:pt>
                <c:pt idx="1">
                  <c:v>0.36381285985426876</c:v>
                </c:pt>
                <c:pt idx="2">
                  <c:v>0.36805711474976932</c:v>
                </c:pt>
                <c:pt idx="3">
                  <c:v>0.37232543156202752</c:v>
                </c:pt>
                <c:pt idx="4">
                  <c:v>0.37719485157551658</c:v>
                </c:pt>
                <c:pt idx="5">
                  <c:v>0.38258146708104163</c:v>
                </c:pt>
                <c:pt idx="6">
                  <c:v>0.38886469628682918</c:v>
                </c:pt>
                <c:pt idx="7">
                  <c:v>0.39592756377954424</c:v>
                </c:pt>
                <c:pt idx="8">
                  <c:v>0.40323905685148376</c:v>
                </c:pt>
                <c:pt idx="9">
                  <c:v>0.41092447804756133</c:v>
                </c:pt>
                <c:pt idx="10">
                  <c:v>0.41955981300310613</c:v>
                </c:pt>
                <c:pt idx="11">
                  <c:v>0.43080778045953932</c:v>
                </c:pt>
                <c:pt idx="12">
                  <c:v>0.44354880968854687</c:v>
                </c:pt>
                <c:pt idx="13">
                  <c:v>0.45538051176429006</c:v>
                </c:pt>
                <c:pt idx="14">
                  <c:v>0.46639275755272308</c:v>
                </c:pt>
                <c:pt idx="15">
                  <c:v>0.47744824481442832</c:v>
                </c:pt>
                <c:pt idx="16">
                  <c:v>0.48361266176195816</c:v>
                </c:pt>
                <c:pt idx="17">
                  <c:v>0.47534307577694779</c:v>
                </c:pt>
                <c:pt idx="18">
                  <c:v>0.45544729226535463</c:v>
                </c:pt>
                <c:pt idx="19">
                  <c:v>0.43618769029269239</c:v>
                </c:pt>
                <c:pt idx="20">
                  <c:v>0.42029278480629212</c:v>
                </c:pt>
                <c:pt idx="21">
                  <c:v>0.4076057819268889</c:v>
                </c:pt>
                <c:pt idx="22">
                  <c:v>0.397892826900479</c:v>
                </c:pt>
                <c:pt idx="23">
                  <c:v>0.39115179478242412</c:v>
                </c:pt>
                <c:pt idx="24">
                  <c:v>0.38673491484147576</c:v>
                </c:pt>
                <c:pt idx="25">
                  <c:v>0.38471964365997935</c:v>
                </c:pt>
                <c:pt idx="26">
                  <c:v>0.38411431824728953</c:v>
                </c:pt>
                <c:pt idx="27">
                  <c:v>0.38418375754079576</c:v>
                </c:pt>
                <c:pt idx="28">
                  <c:v>0.38404057977325279</c:v>
                </c:pt>
                <c:pt idx="29">
                  <c:v>0.38369895648501395</c:v>
                </c:pt>
                <c:pt idx="30">
                  <c:v>0.38330551692727372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0.39427561036024372</c:v>
                </c:pt>
                <c:pt idx="1">
                  <c:v>0.4037430680490301</c:v>
                </c:pt>
                <c:pt idx="2">
                  <c:v>0.41152209741599799</c:v>
                </c:pt>
                <c:pt idx="3">
                  <c:v>0.42095508159629863</c:v>
                </c:pt>
                <c:pt idx="4">
                  <c:v>0.4325781738016175</c:v>
                </c:pt>
                <c:pt idx="5">
                  <c:v>0.44512623528539907</c:v>
                </c:pt>
                <c:pt idx="6">
                  <c:v>0.45642693069866719</c:v>
                </c:pt>
                <c:pt idx="7">
                  <c:v>0.46788810691277705</c:v>
                </c:pt>
                <c:pt idx="8">
                  <c:v>0.47930844947728379</c:v>
                </c:pt>
                <c:pt idx="9">
                  <c:v>0.49163002574223441</c:v>
                </c:pt>
                <c:pt idx="10">
                  <c:v>0.50443882524619388</c:v>
                </c:pt>
                <c:pt idx="11">
                  <c:v>0.51986383183620388</c:v>
                </c:pt>
                <c:pt idx="12">
                  <c:v>0.53833337825768979</c:v>
                </c:pt>
                <c:pt idx="13">
                  <c:v>0.56052002302217097</c:v>
                </c:pt>
                <c:pt idx="14">
                  <c:v>0.58678826962308783</c:v>
                </c:pt>
                <c:pt idx="15">
                  <c:v>0.61156764956078513</c:v>
                </c:pt>
                <c:pt idx="16">
                  <c:v>0.61509043008662778</c:v>
                </c:pt>
                <c:pt idx="17">
                  <c:v>0.59458284184799615</c:v>
                </c:pt>
                <c:pt idx="18">
                  <c:v>0.55955612083707895</c:v>
                </c:pt>
                <c:pt idx="19">
                  <c:v>0.51681712245192568</c:v>
                </c:pt>
                <c:pt idx="20">
                  <c:v>0.47639048968183723</c:v>
                </c:pt>
                <c:pt idx="21">
                  <c:v>0.44422358614041935</c:v>
                </c:pt>
                <c:pt idx="22">
                  <c:v>0.42134079305592781</c:v>
                </c:pt>
                <c:pt idx="23">
                  <c:v>0.40684649820573399</c:v>
                </c:pt>
                <c:pt idx="24">
                  <c:v>0.39792561387968323</c:v>
                </c:pt>
                <c:pt idx="25">
                  <c:v>0.39207194877757212</c:v>
                </c:pt>
                <c:pt idx="26">
                  <c:v>0.38985856435232907</c:v>
                </c:pt>
                <c:pt idx="27">
                  <c:v>0.38798727678434231</c:v>
                </c:pt>
                <c:pt idx="28">
                  <c:v>0.38868171613136165</c:v>
                </c:pt>
                <c:pt idx="29">
                  <c:v>0.38587682514307076</c:v>
                </c:pt>
                <c:pt idx="30">
                  <c:v>0.38586011128695918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0.45450490496812768</c:v>
                </c:pt>
                <c:pt idx="1">
                  <c:v>0.46898678097757085</c:v>
                </c:pt>
                <c:pt idx="2">
                  <c:v>0.48088322666957084</c:v>
                </c:pt>
                <c:pt idx="3">
                  <c:v>0.4931989574542967</c:v>
                </c:pt>
                <c:pt idx="4">
                  <c:v>0.50656640942148146</c:v>
                </c:pt>
                <c:pt idx="5">
                  <c:v>0.5227542253653461</c:v>
                </c:pt>
                <c:pt idx="6">
                  <c:v>0.54189045250279344</c:v>
                </c:pt>
                <c:pt idx="7">
                  <c:v>0.56543847815098824</c:v>
                </c:pt>
                <c:pt idx="8">
                  <c:v>0.59457682568474046</c:v>
                </c:pt>
                <c:pt idx="9">
                  <c:v>0.6328207741917089</c:v>
                </c:pt>
                <c:pt idx="10">
                  <c:v>0.68333020421120849</c:v>
                </c:pt>
                <c:pt idx="11">
                  <c:v>0.74524020735652441</c:v>
                </c:pt>
                <c:pt idx="12">
                  <c:v>0.80816746989810162</c:v>
                </c:pt>
                <c:pt idx="13">
                  <c:v>0.85914946735003972</c:v>
                </c:pt>
                <c:pt idx="14">
                  <c:v>0.88691880061992689</c:v>
                </c:pt>
                <c:pt idx="15">
                  <c:v>0.88233328924894572</c:v>
                </c:pt>
                <c:pt idx="16">
                  <c:v>0.82835141787283606</c:v>
                </c:pt>
                <c:pt idx="17">
                  <c:v>0.71455639605442056</c:v>
                </c:pt>
                <c:pt idx="18">
                  <c:v>0.59490811344728323</c:v>
                </c:pt>
                <c:pt idx="19">
                  <c:v>0.51250242617474107</c:v>
                </c:pt>
                <c:pt idx="20">
                  <c:v>0.46541421985666703</c:v>
                </c:pt>
                <c:pt idx="21">
                  <c:v>0.4336795855389774</c:v>
                </c:pt>
                <c:pt idx="22">
                  <c:v>0.41397916551672681</c:v>
                </c:pt>
                <c:pt idx="23">
                  <c:v>0.40217553448411786</c:v>
                </c:pt>
                <c:pt idx="24">
                  <c:v>0.39501639110185399</c:v>
                </c:pt>
                <c:pt idx="25">
                  <c:v>0.39347828163196613</c:v>
                </c:pt>
                <c:pt idx="26">
                  <c:v>0.39158578509903996</c:v>
                </c:pt>
                <c:pt idx="27">
                  <c:v>0.38693297594015463</c:v>
                </c:pt>
                <c:pt idx="28">
                  <c:v>0.38689559191669393</c:v>
                </c:pt>
                <c:pt idx="29">
                  <c:v>0.38486946069725192</c:v>
                </c:pt>
                <c:pt idx="30">
                  <c:v>0.38375611597713882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5141480"/>
        <c:axId val="4551473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51414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5147360"/>
        <c:crosses val="autoZero"/>
        <c:crossBetween val="midCat"/>
        <c:majorUnit val="10000"/>
      </c:valAx>
      <c:valAx>
        <c:axId val="45514736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5141480"/>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5143440"/>
        <c:axId val="4551438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514344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143832"/>
        <c:crosses val="autoZero"/>
        <c:crossBetween val="midCat"/>
        <c:majorUnit val="10000"/>
      </c:valAx>
      <c:valAx>
        <c:axId val="45514383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143440"/>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8.7734713785796448E-3</c:v>
                </c:pt>
                <c:pt idx="1">
                  <c:v>1.1684129791858695E-2</c:v>
                </c:pt>
                <c:pt idx="2">
                  <c:v>3.1484996315467449E-3</c:v>
                </c:pt>
                <c:pt idx="3">
                  <c:v>5.2407156157359847E-4</c:v>
                </c:pt>
                <c:pt idx="4">
                  <c:v>7.5247376058610772E-5</c:v>
                </c:pt>
                <c:pt idx="5">
                  <c:v>1.0330637598895691E-5</c:v>
                </c:pt>
                <c:pt idx="6">
                  <c:v>5.4554648135351553E-6</c:v>
                </c:pt>
                <c:pt idx="7">
                  <c:v>1.5460650219636269E-5</c:v>
                </c:pt>
                <c:pt idx="8">
                  <c:v>4.0047988151598447E-5</c:v>
                </c:pt>
                <c:pt idx="9">
                  <c:v>8.4495766520497679E-5</c:v>
                </c:pt>
                <c:pt idx="10">
                  <c:v>1.4870765756741145E-4</c:v>
                </c:pt>
                <c:pt idx="11">
                  <c:v>2.2340074060221338E-4</c:v>
                </c:pt>
                <c:pt idx="12">
                  <c:v>2.8744155369604294E-4</c:v>
                </c:pt>
                <c:pt idx="13">
                  <c:v>3.135231778221226E-4</c:v>
                </c:pt>
                <c:pt idx="14">
                  <c:v>2.9161730937159966E-4</c:v>
                </c:pt>
                <c:pt idx="15">
                  <c:v>2.3506814666878549E-4</c:v>
                </c:pt>
                <c:pt idx="16">
                  <c:v>1.6779466112470473E-4</c:v>
                </c:pt>
                <c:pt idx="17">
                  <c:v>1.1050959451594386E-4</c:v>
                </c:pt>
                <c:pt idx="18">
                  <c:v>6.573979025334154E-5</c:v>
                </c:pt>
                <c:pt idx="19">
                  <c:v>3.4978808611734228E-5</c:v>
                </c:pt>
                <c:pt idx="20">
                  <c:v>1.8010926526173464E-5</c:v>
                </c:pt>
                <c:pt idx="21">
                  <c:v>5.9865939855145142E-6</c:v>
                </c:pt>
                <c:pt idx="22">
                  <c:v>6.0265071255836194E-6</c:v>
                </c:pt>
                <c:pt idx="23">
                  <c:v>1.2087145176827331E-5</c:v>
                </c:pt>
                <c:pt idx="24">
                  <c:v>2.0758649442181103E-6</c:v>
                </c:pt>
                <c:pt idx="25">
                  <c:v>2.5352673057318128E-5</c:v>
                </c:pt>
                <c:pt idx="26">
                  <c:v>8.0266292499149935E-5</c:v>
                </c:pt>
                <c:pt idx="27">
                  <c:v>1.6950231001400476E-4</c:v>
                </c:pt>
                <c:pt idx="28">
                  <c:v>2.774730005024378E-4</c:v>
                </c:pt>
                <c:pt idx="29">
                  <c:v>3.9940711979317273E-4</c:v>
                </c:pt>
                <c:pt idx="30">
                  <c:v>2.5222102233592788E-4</c:v>
                </c:pt>
              </c:numCache>
            </c:numRef>
          </c:yVal>
          <c:smooth val="1"/>
        </c:ser>
        <c:dLbls>
          <c:showLegendKey val="0"/>
          <c:showVal val="0"/>
          <c:showCatName val="0"/>
          <c:showSerName val="0"/>
          <c:showPercent val="0"/>
          <c:showBubbleSize val="0"/>
        </c:dLbls>
        <c:axId val="451866048"/>
        <c:axId val="451869968"/>
      </c:scatterChart>
      <c:valAx>
        <c:axId val="4518660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69968"/>
        <c:crossesAt val="-1.5000000000000005E-3"/>
        <c:crossBetween val="midCat"/>
      </c:valAx>
      <c:valAx>
        <c:axId val="45186996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6604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6780.5706314205363</c:v>
                </c:pt>
                <c:pt idx="1">
                  <c:v>6721.2212006192021</c:v>
                </c:pt>
                <c:pt idx="2">
                  <c:v>6506.6070040863333</c:v>
                </c:pt>
                <c:pt idx="3">
                  <c:v>6416.3604003741639</c:v>
                </c:pt>
                <c:pt idx="4">
                  <c:v>6286.3298338446029</c:v>
                </c:pt>
                <c:pt idx="5">
                  <c:v>6151.4801113763451</c:v>
                </c:pt>
                <c:pt idx="6">
                  <c:v>5999.0245222214589</c:v>
                </c:pt>
                <c:pt idx="7">
                  <c:v>5834.2820545115419</c:v>
                </c:pt>
                <c:pt idx="8">
                  <c:v>5660.4412431166265</c:v>
                </c:pt>
                <c:pt idx="9">
                  <c:v>5501.0985852992544</c:v>
                </c:pt>
                <c:pt idx="10">
                  <c:v>5315.2637759297595</c:v>
                </c:pt>
                <c:pt idx="11">
                  <c:v>5096.1000381721924</c:v>
                </c:pt>
                <c:pt idx="12">
                  <c:v>4858.2785013782841</c:v>
                </c:pt>
                <c:pt idx="13">
                  <c:v>4655.2766676770207</c:v>
                </c:pt>
                <c:pt idx="14">
                  <c:v>4467.8720452439284</c:v>
                </c:pt>
                <c:pt idx="15">
                  <c:v>4268.9685198069465</c:v>
                </c:pt>
                <c:pt idx="16">
                  <c:v>3976.1112580265126</c:v>
                </c:pt>
                <c:pt idx="17">
                  <c:v>3446.0399220416325</c:v>
                </c:pt>
                <c:pt idx="18">
                  <c:v>2839.1790796036248</c:v>
                </c:pt>
                <c:pt idx="19">
                  <c:v>2338.6539094953223</c:v>
                </c:pt>
                <c:pt idx="20">
                  <c:v>1960.2919261946645</c:v>
                </c:pt>
                <c:pt idx="21">
                  <c:v>1656.3285032680628</c:v>
                </c:pt>
                <c:pt idx="22">
                  <c:v>1387.2192082214817</c:v>
                </c:pt>
                <c:pt idx="23">
                  <c:v>1120.0913818051722</c:v>
                </c:pt>
                <c:pt idx="24">
                  <c:v>849.29955730214272</c:v>
                </c:pt>
                <c:pt idx="25">
                  <c:v>602.03583238052408</c:v>
                </c:pt>
                <c:pt idx="26">
                  <c:v>414.51825549157752</c:v>
                </c:pt>
                <c:pt idx="27">
                  <c:v>296.81455070900495</c:v>
                </c:pt>
                <c:pt idx="28">
                  <c:v>236.43831957557742</c:v>
                </c:pt>
                <c:pt idx="29">
                  <c:v>206.73036660336291</c:v>
                </c:pt>
                <c:pt idx="30">
                  <c:v>191.75832815520027</c:v>
                </c:pt>
              </c:numCache>
            </c:numRef>
          </c:yVal>
          <c:smooth val="1"/>
        </c:ser>
        <c:dLbls>
          <c:showLegendKey val="0"/>
          <c:showVal val="0"/>
          <c:showCatName val="0"/>
          <c:showSerName val="0"/>
          <c:showPercent val="0"/>
          <c:showBubbleSize val="0"/>
        </c:dLbls>
        <c:axId val="451871536"/>
        <c:axId val="451868792"/>
      </c:scatterChart>
      <c:valAx>
        <c:axId val="4518715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68792"/>
        <c:crosses val="autoZero"/>
        <c:crossBetween val="midCat"/>
      </c:valAx>
      <c:valAx>
        <c:axId val="4518687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7153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1.4198800950559774E-2</c:v>
                </c:pt>
                <c:pt idx="1">
                  <c:v>1.4217626581591461E-2</c:v>
                </c:pt>
                <c:pt idx="2">
                  <c:v>1.4301397431516536E-2</c:v>
                </c:pt>
                <c:pt idx="3">
                  <c:v>1.5174409006760356E-2</c:v>
                </c:pt>
                <c:pt idx="4">
                  <c:v>2.2579327883636632E-2</c:v>
                </c:pt>
                <c:pt idx="5">
                  <c:v>4.2086806030322166E-2</c:v>
                </c:pt>
                <c:pt idx="6">
                  <c:v>4.3014780446548911E-2</c:v>
                </c:pt>
                <c:pt idx="7">
                  <c:v>4.3018049421831128E-2</c:v>
                </c:pt>
                <c:pt idx="8">
                  <c:v>4.3050934593547072E-2</c:v>
                </c:pt>
                <c:pt idx="9">
                  <c:v>4.3378425164201644E-2</c:v>
                </c:pt>
                <c:pt idx="10">
                  <c:v>4.6517363982326344E-2</c:v>
                </c:pt>
                <c:pt idx="11">
                  <c:v>6.7569181528757377E-2</c:v>
                </c:pt>
                <c:pt idx="12">
                  <c:v>8.9553685571688482E-2</c:v>
                </c:pt>
                <c:pt idx="13">
                  <c:v>0.10194891668648398</c:v>
                </c:pt>
                <c:pt idx="14">
                  <c:v>0.10892334103983141</c:v>
                </c:pt>
                <c:pt idx="15">
                  <c:v>0.1085438943086421</c:v>
                </c:pt>
                <c:pt idx="16">
                  <c:v>0.11692929782803434</c:v>
                </c:pt>
                <c:pt idx="17">
                  <c:v>0.12707463474901412</c:v>
                </c:pt>
                <c:pt idx="18">
                  <c:v>0.13584110436751393</c:v>
                </c:pt>
                <c:pt idx="19">
                  <c:v>0.14003133435966728</c:v>
                </c:pt>
                <c:pt idx="20">
                  <c:v>0.13594596854966912</c:v>
                </c:pt>
                <c:pt idx="21">
                  <c:v>7.9541666197563088E-2</c:v>
                </c:pt>
                <c:pt idx="22">
                  <c:v>3.3256726893782146E-2</c:v>
                </c:pt>
                <c:pt idx="23">
                  <c:v>0.16356205033659743</c:v>
                </c:pt>
                <c:pt idx="24">
                  <c:v>0.26414524077445556</c:v>
                </c:pt>
                <c:pt idx="25">
                  <c:v>0.34464450078122211</c:v>
                </c:pt>
                <c:pt idx="26">
                  <c:v>0.31918682440522167</c:v>
                </c:pt>
                <c:pt idx="27">
                  <c:v>0.19246485457988974</c:v>
                </c:pt>
                <c:pt idx="28">
                  <c:v>4.6903315010438165E-2</c:v>
                </c:pt>
                <c:pt idx="29">
                  <c:v>7.0460592117833926E-2</c:v>
                </c:pt>
                <c:pt idx="30">
                  <c:v>0.17421244338902186</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2.3564236363674548E-2</c:v>
                </c:pt>
                <c:pt idx="1">
                  <c:v>2.3504531155586393E-2</c:v>
                </c:pt>
                <c:pt idx="2">
                  <c:v>2.2855223059671168E-2</c:v>
                </c:pt>
                <c:pt idx="3">
                  <c:v>1.8914025336953105E-2</c:v>
                </c:pt>
                <c:pt idx="4">
                  <c:v>2.6552107060468601E-2</c:v>
                </c:pt>
                <c:pt idx="5">
                  <c:v>2.3942579406449879E-2</c:v>
                </c:pt>
                <c:pt idx="6">
                  <c:v>2.6352578960120079E-2</c:v>
                </c:pt>
                <c:pt idx="7">
                  <c:v>2.8057592297257884E-2</c:v>
                </c:pt>
                <c:pt idx="8">
                  <c:v>3.1145082326848095E-2</c:v>
                </c:pt>
                <c:pt idx="9">
                  <c:v>3.3743017627168567E-2</c:v>
                </c:pt>
                <c:pt idx="10">
                  <c:v>3.6000587801870175E-2</c:v>
                </c:pt>
                <c:pt idx="11">
                  <c:v>3.4504991064915835E-2</c:v>
                </c:pt>
                <c:pt idx="12">
                  <c:v>3.9278489145671287E-2</c:v>
                </c:pt>
                <c:pt idx="13">
                  <c:v>4.6988174195202605E-2</c:v>
                </c:pt>
                <c:pt idx="14">
                  <c:v>5.2153792500332107E-2</c:v>
                </c:pt>
                <c:pt idx="15">
                  <c:v>4.7957204721406722E-2</c:v>
                </c:pt>
                <c:pt idx="16">
                  <c:v>3.8600319392810924E-2</c:v>
                </c:pt>
                <c:pt idx="17">
                  <c:v>4.2488760432575958E-3</c:v>
                </c:pt>
                <c:pt idx="18">
                  <c:v>8.9795478293011169E-2</c:v>
                </c:pt>
                <c:pt idx="19">
                  <c:v>0.13935726105613619</c:v>
                </c:pt>
                <c:pt idx="20">
                  <c:v>0.10960294635929661</c:v>
                </c:pt>
                <c:pt idx="21">
                  <c:v>5.0769297373086067E-2</c:v>
                </c:pt>
                <c:pt idx="22">
                  <c:v>1.0094673720053284E-4</c:v>
                </c:pt>
                <c:pt idx="23">
                  <c:v>4.7975662589987367E-2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8.7815856979002842E-3</c:v>
                </c:pt>
                <c:pt idx="1">
                  <c:v>1.161747655338684E-2</c:v>
                </c:pt>
                <c:pt idx="2">
                  <c:v>3.2299139314460284E-3</c:v>
                </c:pt>
                <c:pt idx="3">
                  <c:v>4.7591274483066014E-4</c:v>
                </c:pt>
                <c:pt idx="4">
                  <c:v>1.4930026660901275E-4</c:v>
                </c:pt>
                <c:pt idx="5">
                  <c:v>6.8865347025438251E-5</c:v>
                </c:pt>
                <c:pt idx="6">
                  <c:v>1.0063210460485472E-4</c:v>
                </c:pt>
                <c:pt idx="7">
                  <c:v>9.0549108616978194E-5</c:v>
                </c:pt>
                <c:pt idx="8">
                  <c:v>1.5323126605869104E-4</c:v>
                </c:pt>
                <c:pt idx="9">
                  <c:v>2.1143698034855318E-5</c:v>
                </c:pt>
                <c:pt idx="10">
                  <c:v>2.9205773758577547E-4</c:v>
                </c:pt>
                <c:pt idx="11">
                  <c:v>5.9429493076231127E-5</c:v>
                </c:pt>
                <c:pt idx="12">
                  <c:v>4.6313498628888913E-4</c:v>
                </c:pt>
                <c:pt idx="13">
                  <c:v>1.9044686561338532E-4</c:v>
                </c:pt>
                <c:pt idx="14">
                  <c:v>4.5065666816682581E-4</c:v>
                </c:pt>
                <c:pt idx="15">
                  <c:v>9.3038796350636949E-5</c:v>
                </c:pt>
                <c:pt idx="16">
                  <c:v>5.3432594324351269E-4</c:v>
                </c:pt>
                <c:pt idx="17">
                  <c:v>4.349133596316916E-4</c:v>
                </c:pt>
                <c:pt idx="18">
                  <c:v>6.2391019278295234E-4</c:v>
                </c:pt>
                <c:pt idx="19">
                  <c:v>4.5965554974091843E-4</c:v>
                </c:pt>
                <c:pt idx="20">
                  <c:v>5.0365584330577709E-4</c:v>
                </c:pt>
                <c:pt idx="21">
                  <c:v>3.959536001622825E-4</c:v>
                </c:pt>
                <c:pt idx="22">
                  <c:v>7.4439825715984242E-4</c:v>
                </c:pt>
                <c:pt idx="23">
                  <c:v>8.3811953786119679E-4</c:v>
                </c:pt>
                <c:pt idx="24">
                  <c:v>1.1404304294091491E-3</c:v>
                </c:pt>
                <c:pt idx="25">
                  <c:v>1.2576333747614152E-3</c:v>
                </c:pt>
                <c:pt idx="26">
                  <c:v>1.3994749525488319E-3</c:v>
                </c:pt>
                <c:pt idx="27">
                  <c:v>8.054854749751807E-4</c:v>
                </c:pt>
                <c:pt idx="28">
                  <c:v>8.7444762471535018E-4</c:v>
                </c:pt>
                <c:pt idx="29">
                  <c:v>6.1504261800517733E-5</c:v>
                </c:pt>
                <c:pt idx="30">
                  <c:v>5.2136243442603512E-4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pt idx="0" formatCode="_-* #,##0\ _€_-;\-* #,##0\ _€_-;_-* &quot;-&quot;??\ _€_-;_-@_-">
                  <c:v>5</c:v>
                </c:pt>
                <c:pt idx="2" formatCode="_-* #,##0\ _€_-;\-* #,##0\ _€_-;_-* &quot;-&quot;??\ _€_-;_-@_-">
                  <c:v>11</c:v>
                </c:pt>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0.10963325001753983</c:v>
                </c:pt>
                <c:pt idx="1">
                  <c:v>0.11423525936199892</c:v>
                </c:pt>
                <c:pt idx="2">
                  <c:v>0.116953073019833</c:v>
                </c:pt>
                <c:pt idx="3">
                  <c:v>0.11829999486919077</c:v>
                </c:pt>
                <c:pt idx="4">
                  <c:v>0.11986772292482013</c:v>
                </c:pt>
                <c:pt idx="5">
                  <c:v>8.5671753860166663E-2</c:v>
                </c:pt>
                <c:pt idx="6">
                  <c:v>7.5102932972881632E-3</c:v>
                </c:pt>
                <c:pt idx="7">
                  <c:v>0.11057596210333796</c:v>
                </c:pt>
                <c:pt idx="8">
                  <c:v>0.18066380996698325</c:v>
                </c:pt>
                <c:pt idx="9">
                  <c:v>0.20686554563350482</c:v>
                </c:pt>
                <c:pt idx="10">
                  <c:v>0.17493274661386513</c:v>
                </c:pt>
                <c:pt idx="11">
                  <c:v>0.11434703992520989</c:v>
                </c:pt>
                <c:pt idx="12">
                  <c:v>1.3563093038461109E-2</c:v>
                </c:pt>
                <c:pt idx="13">
                  <c:v>2.8336508605676991E-2</c:v>
                </c:pt>
                <c:pt idx="14">
                  <c:v>5.0648872373484137E-2</c:v>
                </c:pt>
                <c:pt idx="15">
                  <c:v>0.20646802494006744</c:v>
                </c:pt>
                <c:pt idx="16">
                  <c:v>0.31837691992408096</c:v>
                </c:pt>
                <c:pt idx="17">
                  <c:v>0.31988801909935538</c:v>
                </c:pt>
                <c:pt idx="18">
                  <c:v>0.25319217532068267</c:v>
                </c:pt>
                <c:pt idx="19">
                  <c:v>0.1882925476750314</c:v>
                </c:pt>
                <c:pt idx="20">
                  <c:v>0.3133600629222752</c:v>
                </c:pt>
                <c:pt idx="21">
                  <c:v>0.32481482646500964</c:v>
                </c:pt>
                <c:pt idx="22">
                  <c:v>0.29368561393585479</c:v>
                </c:pt>
                <c:pt idx="23">
                  <c:v>0.27389969961379057</c:v>
                </c:pt>
                <c:pt idx="24">
                  <c:v>0.26072506577751264</c:v>
                </c:pt>
                <c:pt idx="25">
                  <c:v>0.25753744610528267</c:v>
                </c:pt>
                <c:pt idx="26">
                  <c:v>0.25364043434961048</c:v>
                </c:pt>
                <c:pt idx="27">
                  <c:v>0.24318655350292789</c:v>
                </c:pt>
                <c:pt idx="28">
                  <c:v>0.24289032151815826</c:v>
                </c:pt>
                <c:pt idx="29">
                  <c:v>0.23829568801962386</c:v>
                </c:pt>
                <c:pt idx="30">
                  <c:v>0.23657570999984581</c:v>
                </c:pt>
              </c:numCache>
            </c:numRef>
          </c:yVal>
          <c:smooth val="1"/>
        </c:ser>
        <c:dLbls>
          <c:showLegendKey val="0"/>
          <c:showVal val="0"/>
          <c:showCatName val="0"/>
          <c:showSerName val="0"/>
          <c:showPercent val="0"/>
          <c:showBubbleSize val="0"/>
        </c:dLbls>
        <c:axId val="451867224"/>
        <c:axId val="451867616"/>
      </c:scatterChart>
      <c:valAx>
        <c:axId val="4518672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67616"/>
        <c:crossesAt val="1.0000000000000005E-9"/>
        <c:crossBetween val="midCat"/>
      </c:valAx>
      <c:valAx>
        <c:axId val="451867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6722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-21.791567045586209</c:v>
                </c:pt>
                <c:pt idx="1">
                  <c:v>-13.119481726760494</c:v>
                </c:pt>
                <c:pt idx="2">
                  <c:v>-8.6916102244209963</c:v>
                </c:pt>
                <c:pt idx="3">
                  <c:v>-4.7520980113111246</c:v>
                </c:pt>
                <c:pt idx="4">
                  <c:v>0</c:v>
                </c:pt>
                <c:pt idx="5">
                  <c:v>12.423556606236367</c:v>
                </c:pt>
                <c:pt idx="6">
                  <c:v>25.881767880905638</c:v>
                </c:pt>
              </c:numCache>
            </c:numRef>
          </c:yVal>
          <c:smooth val="0"/>
        </c:ser>
        <c:dLbls>
          <c:showLegendKey val="0"/>
          <c:showVal val="0"/>
          <c:showCatName val="0"/>
          <c:showSerName val="0"/>
          <c:showPercent val="0"/>
          <c:showBubbleSize val="0"/>
        </c:dLbls>
        <c:axId val="451868400"/>
        <c:axId val="451864480"/>
      </c:scatterChart>
      <c:valAx>
        <c:axId val="451868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64480"/>
        <c:crossesAt val="-100"/>
        <c:crossBetween val="midCat"/>
      </c:valAx>
      <c:valAx>
        <c:axId val="451864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6840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ser>
        <c:dLbls>
          <c:showLegendKey val="0"/>
          <c:showVal val="0"/>
          <c:showCatName val="0"/>
          <c:showSerName val="0"/>
          <c:showPercent val="0"/>
          <c:showBubbleSize val="0"/>
        </c:dLbls>
        <c:axId val="451869576"/>
        <c:axId val="451870360"/>
      </c:scatterChart>
      <c:valAx>
        <c:axId val="45186957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70360"/>
        <c:crosses val="autoZero"/>
        <c:crossBetween val="midCat"/>
      </c:valAx>
      <c:valAx>
        <c:axId val="45187036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6957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3.4359171254774338E-25</c:v>
                </c:pt>
                <c:pt idx="1">
                  <c:v>3.4359171254774337E-24</c:v>
                </c:pt>
                <c:pt idx="2">
                  <c:v>3.4359171254774335E-23</c:v>
                </c:pt>
                <c:pt idx="3">
                  <c:v>3.4359171254774334E-22</c:v>
                </c:pt>
                <c:pt idx="4">
                  <c:v>3.4359171254774333E-21</c:v>
                </c:pt>
                <c:pt idx="5">
                  <c:v>3.4359171254774336E-20</c:v>
                </c:pt>
                <c:pt idx="6">
                  <c:v>3.4359171254774339E-19</c:v>
                </c:pt>
                <c:pt idx="7">
                  <c:v>3.4359171254774337E-18</c:v>
                </c:pt>
                <c:pt idx="8">
                  <c:v>3.4359171254774334E-17</c:v>
                </c:pt>
                <c:pt idx="9">
                  <c:v>3.4359171254774331E-16</c:v>
                </c:pt>
                <c:pt idx="10">
                  <c:v>3.4359171254774338E-15</c:v>
                </c:pt>
                <c:pt idx="11">
                  <c:v>3.4359171254774338E-14</c:v>
                </c:pt>
                <c:pt idx="12">
                  <c:v>3.4359171254774336E-13</c:v>
                </c:pt>
                <c:pt idx="13">
                  <c:v>3.4359171254774336E-12</c:v>
                </c:pt>
                <c:pt idx="14">
                  <c:v>3.4359171254774334E-11</c:v>
                </c:pt>
                <c:pt idx="15">
                  <c:v>3.4359171254774334E-10</c:v>
                </c:pt>
                <c:pt idx="16">
                  <c:v>3.4359171254774335E-9</c:v>
                </c:pt>
                <c:pt idx="17">
                  <c:v>3.4359171254774337E-8</c:v>
                </c:pt>
                <c:pt idx="18">
                  <c:v>3.4359171254774337E-7</c:v>
                </c:pt>
                <c:pt idx="19">
                  <c:v>3.4359171254774333E-6</c:v>
                </c:pt>
                <c:pt idx="20">
                  <c:v>3.4359171254774333E-5</c:v>
                </c:pt>
                <c:pt idx="21">
                  <c:v>3.4359171254774333E-4</c:v>
                </c:pt>
                <c:pt idx="22">
                  <c:v>3.4359171254774333E-3</c:v>
                </c:pt>
                <c:pt idx="23">
                  <c:v>3.4359171254774334E-2</c:v>
                </c:pt>
                <c:pt idx="24">
                  <c:v>0.34359171254774334</c:v>
                </c:pt>
                <c:pt idx="25">
                  <c:v>3.4359171254774337</c:v>
                </c:pt>
                <c:pt idx="26">
                  <c:v>34.359171254774331</c:v>
                </c:pt>
                <c:pt idx="27">
                  <c:v>343.59171254774333</c:v>
                </c:pt>
                <c:pt idx="28">
                  <c:v>3435.9171254774333</c:v>
                </c:pt>
                <c:pt idx="29">
                  <c:v>34359.171254774337</c:v>
                </c:pt>
                <c:pt idx="30">
                  <c:v>343591.71254774334</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2.0057716131801753E-21</c:v>
                </c:pt>
                <c:pt idx="1">
                  <c:v>2.0057716131801753E-20</c:v>
                </c:pt>
                <c:pt idx="2">
                  <c:v>2.0057716131801753E-19</c:v>
                </c:pt>
                <c:pt idx="3">
                  <c:v>2.0057716131801754E-18</c:v>
                </c:pt>
                <c:pt idx="4">
                  <c:v>2.0057716131801751E-17</c:v>
                </c:pt>
                <c:pt idx="5">
                  <c:v>2.0057716131801753E-16</c:v>
                </c:pt>
                <c:pt idx="6">
                  <c:v>2.0057716131801752E-15</c:v>
                </c:pt>
                <c:pt idx="7">
                  <c:v>2.0057716131801753E-14</c:v>
                </c:pt>
                <c:pt idx="8">
                  <c:v>2.0057716131801751E-13</c:v>
                </c:pt>
                <c:pt idx="9">
                  <c:v>2.0057716131801751E-12</c:v>
                </c:pt>
                <c:pt idx="10">
                  <c:v>2.0057716131801753E-11</c:v>
                </c:pt>
                <c:pt idx="11">
                  <c:v>2.0057716131801753E-10</c:v>
                </c:pt>
                <c:pt idx="12">
                  <c:v>2.0057716131801754E-9</c:v>
                </c:pt>
                <c:pt idx="13">
                  <c:v>2.0057716131801753E-8</c:v>
                </c:pt>
                <c:pt idx="14">
                  <c:v>2.0057716131801753E-7</c:v>
                </c:pt>
                <c:pt idx="15">
                  <c:v>2.0057716131801751E-6</c:v>
                </c:pt>
                <c:pt idx="16">
                  <c:v>2.0057716131801752E-5</c:v>
                </c:pt>
                <c:pt idx="17">
                  <c:v>2.0057716131801753E-4</c:v>
                </c:pt>
                <c:pt idx="18">
                  <c:v>2.0057716131801754E-3</c:v>
                </c:pt>
                <c:pt idx="19">
                  <c:v>2.0057716131801753E-2</c:v>
                </c:pt>
                <c:pt idx="20">
                  <c:v>0.20057716131801753</c:v>
                </c:pt>
                <c:pt idx="21">
                  <c:v>2.0057716131801753</c:v>
                </c:pt>
                <c:pt idx="22">
                  <c:v>20.057716131801751</c:v>
                </c:pt>
                <c:pt idx="23">
                  <c:v>200.57716131801752</c:v>
                </c:pt>
                <c:pt idx="24">
                  <c:v>2005.7716131801753</c:v>
                </c:pt>
                <c:pt idx="25">
                  <c:v>20057.716131801753</c:v>
                </c:pt>
                <c:pt idx="26">
                  <c:v>200577.16131801752</c:v>
                </c:pt>
                <c:pt idx="27">
                  <c:v>2005771.6131801752</c:v>
                </c:pt>
                <c:pt idx="28">
                  <c:v>20057716.131801751</c:v>
                </c:pt>
                <c:pt idx="29">
                  <c:v>200577161.31801751</c:v>
                </c:pt>
                <c:pt idx="30">
                  <c:v>2005771613.1801753</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1.679893078357828E-19</c:v>
                </c:pt>
                <c:pt idx="1">
                  <c:v>1.6798930783578279E-18</c:v>
                </c:pt>
                <c:pt idx="2">
                  <c:v>1.6798930783578278E-17</c:v>
                </c:pt>
                <c:pt idx="3">
                  <c:v>1.6798930783578278E-16</c:v>
                </c:pt>
                <c:pt idx="4">
                  <c:v>1.6798930783578277E-15</c:v>
                </c:pt>
                <c:pt idx="5">
                  <c:v>1.6798930783578278E-14</c:v>
                </c:pt>
                <c:pt idx="6">
                  <c:v>1.6798930783578278E-13</c:v>
                </c:pt>
                <c:pt idx="7">
                  <c:v>1.6798930783578278E-12</c:v>
                </c:pt>
                <c:pt idx="8">
                  <c:v>1.6798930783578277E-11</c:v>
                </c:pt>
                <c:pt idx="9">
                  <c:v>1.6798930783578277E-10</c:v>
                </c:pt>
                <c:pt idx="10">
                  <c:v>1.6798930783578281E-9</c:v>
                </c:pt>
                <c:pt idx="11">
                  <c:v>1.6798930783578279E-8</c:v>
                </c:pt>
                <c:pt idx="12">
                  <c:v>1.679893078357828E-7</c:v>
                </c:pt>
                <c:pt idx="13">
                  <c:v>1.6798930783578279E-6</c:v>
                </c:pt>
                <c:pt idx="14">
                  <c:v>1.6798930783578278E-5</c:v>
                </c:pt>
                <c:pt idx="15">
                  <c:v>1.6798930783578278E-4</c:v>
                </c:pt>
                <c:pt idx="16">
                  <c:v>1.6798930783578278E-3</c:v>
                </c:pt>
                <c:pt idx="17">
                  <c:v>1.6798930783578279E-2</c:v>
                </c:pt>
                <c:pt idx="18">
                  <c:v>0.16798930783578278</c:v>
                </c:pt>
                <c:pt idx="19">
                  <c:v>1.6798930783578279</c:v>
                </c:pt>
                <c:pt idx="20">
                  <c:v>16.798930783578278</c:v>
                </c:pt>
                <c:pt idx="21">
                  <c:v>167.9893078357828</c:v>
                </c:pt>
                <c:pt idx="22">
                  <c:v>1679.8930783578278</c:v>
                </c:pt>
                <c:pt idx="23">
                  <c:v>16798.930783578278</c:v>
                </c:pt>
                <c:pt idx="24">
                  <c:v>167989.30783578279</c:v>
                </c:pt>
                <c:pt idx="25">
                  <c:v>1679893.0783578278</c:v>
                </c:pt>
                <c:pt idx="26">
                  <c:v>16798930.78357828</c:v>
                </c:pt>
                <c:pt idx="27">
                  <c:v>167989307.8357828</c:v>
                </c:pt>
                <c:pt idx="28">
                  <c:v>1679893078.3578279</c:v>
                </c:pt>
                <c:pt idx="29">
                  <c:v>16798930783.578279</c:v>
                </c:pt>
                <c:pt idx="30">
                  <c:v>167989307835.78278</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8.6335628762884951E-18</c:v>
                </c:pt>
                <c:pt idx="1">
                  <c:v>8.6335628762884945E-17</c:v>
                </c:pt>
                <c:pt idx="2">
                  <c:v>8.6335628762884945E-16</c:v>
                </c:pt>
                <c:pt idx="3">
                  <c:v>8.6335628762884939E-15</c:v>
                </c:pt>
                <c:pt idx="4">
                  <c:v>8.6335628762884933E-14</c:v>
                </c:pt>
                <c:pt idx="5">
                  <c:v>8.6335628762884948E-13</c:v>
                </c:pt>
                <c:pt idx="6">
                  <c:v>8.6335628762884948E-12</c:v>
                </c:pt>
                <c:pt idx="7">
                  <c:v>8.6335628762884942E-11</c:v>
                </c:pt>
                <c:pt idx="8">
                  <c:v>8.6335628762884937E-10</c:v>
                </c:pt>
                <c:pt idx="9">
                  <c:v>8.6335628762884932E-9</c:v>
                </c:pt>
                <c:pt idx="10">
                  <c:v>8.6335628762884949E-8</c:v>
                </c:pt>
                <c:pt idx="11">
                  <c:v>8.6335628762884944E-7</c:v>
                </c:pt>
                <c:pt idx="12">
                  <c:v>8.6335628762884937E-6</c:v>
                </c:pt>
                <c:pt idx="13">
                  <c:v>8.6335628762884944E-5</c:v>
                </c:pt>
                <c:pt idx="14">
                  <c:v>8.6335628762884947E-4</c:v>
                </c:pt>
                <c:pt idx="15">
                  <c:v>8.633562876288494E-3</c:v>
                </c:pt>
                <c:pt idx="16">
                  <c:v>8.6335628762884947E-2</c:v>
                </c:pt>
                <c:pt idx="17">
                  <c:v>0.86335628762884942</c:v>
                </c:pt>
                <c:pt idx="18">
                  <c:v>8.6335628762884937</c:v>
                </c:pt>
                <c:pt idx="19">
                  <c:v>86.335628762884937</c:v>
                </c:pt>
                <c:pt idx="20">
                  <c:v>863.35628762884937</c:v>
                </c:pt>
                <c:pt idx="21">
                  <c:v>8633.5628762884935</c:v>
                </c:pt>
                <c:pt idx="22">
                  <c:v>86335.628762884939</c:v>
                </c:pt>
                <c:pt idx="23">
                  <c:v>863356.28762884939</c:v>
                </c:pt>
                <c:pt idx="24">
                  <c:v>8633562.8762884941</c:v>
                </c:pt>
                <c:pt idx="25">
                  <c:v>86335628.762884945</c:v>
                </c:pt>
                <c:pt idx="26">
                  <c:v>863356287.62884939</c:v>
                </c:pt>
                <c:pt idx="27">
                  <c:v>8633562876.2884941</c:v>
                </c:pt>
                <c:pt idx="28">
                  <c:v>86335628762.884949</c:v>
                </c:pt>
                <c:pt idx="29">
                  <c:v>863356287628.84937</c:v>
                </c:pt>
                <c:pt idx="30">
                  <c:v>8633562876288.4941</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2.4858909867597949E-10</c:v>
                </c:pt>
                <c:pt idx="1">
                  <c:v>2.4858909867597946E-9</c:v>
                </c:pt>
                <c:pt idx="2">
                  <c:v>2.4858909867597946E-8</c:v>
                </c:pt>
                <c:pt idx="3">
                  <c:v>2.4858909867597945E-7</c:v>
                </c:pt>
                <c:pt idx="4">
                  <c:v>2.4858909867597944E-6</c:v>
                </c:pt>
                <c:pt idx="5">
                  <c:v>2.4858909867597946E-5</c:v>
                </c:pt>
                <c:pt idx="6">
                  <c:v>2.4858909867597946E-4</c:v>
                </c:pt>
                <c:pt idx="7">
                  <c:v>2.4858909867597947E-3</c:v>
                </c:pt>
                <c:pt idx="8">
                  <c:v>2.4858909867597943E-2</c:v>
                </c:pt>
                <c:pt idx="9">
                  <c:v>0.24858909867597945</c:v>
                </c:pt>
                <c:pt idx="10">
                  <c:v>2.4858909867597947</c:v>
                </c:pt>
                <c:pt idx="11">
                  <c:v>24.858909867597948</c:v>
                </c:pt>
                <c:pt idx="12">
                  <c:v>248.58909867597944</c:v>
                </c:pt>
                <c:pt idx="13">
                  <c:v>2485.8909867597945</c:v>
                </c:pt>
                <c:pt idx="14">
                  <c:v>24858.909867597948</c:v>
                </c:pt>
                <c:pt idx="15">
                  <c:v>248589.09867597945</c:v>
                </c:pt>
                <c:pt idx="16">
                  <c:v>2485890.9867597944</c:v>
                </c:pt>
                <c:pt idx="17">
                  <c:v>24858909.867597945</c:v>
                </c:pt>
                <c:pt idx="18">
                  <c:v>248589098.67597944</c:v>
                </c:pt>
                <c:pt idx="19">
                  <c:v>2485890986.7597947</c:v>
                </c:pt>
                <c:pt idx="20">
                  <c:v>24858909867.597946</c:v>
                </c:pt>
                <c:pt idx="21">
                  <c:v>248589098675.97946</c:v>
                </c:pt>
                <c:pt idx="22">
                  <c:v>2485890986759.7944</c:v>
                </c:pt>
                <c:pt idx="23">
                  <c:v>24858909867597.945</c:v>
                </c:pt>
                <c:pt idx="24">
                  <c:v>248589098675979.44</c:v>
                </c:pt>
                <c:pt idx="25">
                  <c:v>2485890986759794.5</c:v>
                </c:pt>
                <c:pt idx="26">
                  <c:v>2.4858909867597944E+16</c:v>
                </c:pt>
                <c:pt idx="27">
                  <c:v>2.4858909867597946E+17</c:v>
                </c:pt>
                <c:pt idx="28">
                  <c:v>2.4858909867597947E+18</c:v>
                </c:pt>
                <c:pt idx="29">
                  <c:v>2.4858909867597947E+19</c:v>
                </c:pt>
                <c:pt idx="30">
                  <c:v>2.4858909867597945E+20</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1.7390376021061691E-4</c:v>
                </c:pt>
                <c:pt idx="1">
                  <c:v>1.7390376021061691E-3</c:v>
                </c:pt>
                <c:pt idx="2">
                  <c:v>1.7390376021061693E-2</c:v>
                </c:pt>
                <c:pt idx="3">
                  <c:v>0.1739037602106169</c:v>
                </c:pt>
                <c:pt idx="4">
                  <c:v>1.7390376021061691</c:v>
                </c:pt>
                <c:pt idx="5">
                  <c:v>17.390376021061691</c:v>
                </c:pt>
                <c:pt idx="6">
                  <c:v>173.90376021061692</c:v>
                </c:pt>
                <c:pt idx="7">
                  <c:v>1739.0376021061691</c:v>
                </c:pt>
                <c:pt idx="8">
                  <c:v>17390.376021061689</c:v>
                </c:pt>
                <c:pt idx="9">
                  <c:v>173903.76021061689</c:v>
                </c:pt>
                <c:pt idx="10">
                  <c:v>1739037.6021061693</c:v>
                </c:pt>
                <c:pt idx="11">
                  <c:v>17390376.021061692</c:v>
                </c:pt>
                <c:pt idx="12">
                  <c:v>173903760.21061692</c:v>
                </c:pt>
                <c:pt idx="13">
                  <c:v>1739037602.1061692</c:v>
                </c:pt>
                <c:pt idx="14">
                  <c:v>17390376021.061691</c:v>
                </c:pt>
                <c:pt idx="15">
                  <c:v>173903760210.61691</c:v>
                </c:pt>
                <c:pt idx="16">
                  <c:v>1739037602106.1692</c:v>
                </c:pt>
                <c:pt idx="17">
                  <c:v>17390376021061.691</c:v>
                </c:pt>
                <c:pt idx="18">
                  <c:v>173903760210616.91</c:v>
                </c:pt>
                <c:pt idx="19">
                  <c:v>1739037602106169</c:v>
                </c:pt>
                <c:pt idx="20">
                  <c:v>1.7390376021061692E+16</c:v>
                </c:pt>
                <c:pt idx="21">
                  <c:v>1.739037602106169E+17</c:v>
                </c:pt>
                <c:pt idx="22">
                  <c:v>1.7390376021061691E+18</c:v>
                </c:pt>
                <c:pt idx="23">
                  <c:v>1.7390376021061691E+19</c:v>
                </c:pt>
                <c:pt idx="24">
                  <c:v>1.7390376021061691E+20</c:v>
                </c:pt>
                <c:pt idx="25">
                  <c:v>1.7390376021061691E+21</c:v>
                </c:pt>
                <c:pt idx="26">
                  <c:v>1.7390376021061691E+22</c:v>
                </c:pt>
                <c:pt idx="27">
                  <c:v>1.7390376021061692E+23</c:v>
                </c:pt>
                <c:pt idx="28">
                  <c:v>1.7390376021061691E+24</c:v>
                </c:pt>
                <c:pt idx="29">
                  <c:v>1.7390376021061692E+25</c:v>
                </c:pt>
                <c:pt idx="30">
                  <c:v>1.739037602106169E+26</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51870752"/>
        <c:axId val="451871144"/>
      </c:scatterChart>
      <c:valAx>
        <c:axId val="45187075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71144"/>
        <c:crosses val="autoZero"/>
        <c:crossBetween val="midCat"/>
      </c:valAx>
      <c:valAx>
        <c:axId val="451871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7075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CMU @Tref 80°C E+-15</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3.4359171254774338E-25</c:v>
                </c:pt>
                <c:pt idx="1">
                  <c:v>3.4359171254774337E-24</c:v>
                </c:pt>
                <c:pt idx="2">
                  <c:v>3.4359171254774335E-23</c:v>
                </c:pt>
                <c:pt idx="3">
                  <c:v>3.4359171254774334E-22</c:v>
                </c:pt>
                <c:pt idx="4">
                  <c:v>3.4359171254774333E-21</c:v>
                </c:pt>
                <c:pt idx="5">
                  <c:v>3.4359171254774336E-20</c:v>
                </c:pt>
                <c:pt idx="6">
                  <c:v>3.4359171254774339E-19</c:v>
                </c:pt>
                <c:pt idx="7">
                  <c:v>3.4359171254774337E-18</c:v>
                </c:pt>
                <c:pt idx="8">
                  <c:v>3.4359171254774334E-17</c:v>
                </c:pt>
                <c:pt idx="9">
                  <c:v>3.4359171254774331E-16</c:v>
                </c:pt>
                <c:pt idx="10">
                  <c:v>3.4359171254774338E-15</c:v>
                </c:pt>
                <c:pt idx="11">
                  <c:v>3.4359171254774338E-14</c:v>
                </c:pt>
                <c:pt idx="12">
                  <c:v>3.4359171254774336E-13</c:v>
                </c:pt>
                <c:pt idx="13">
                  <c:v>3.4359171254774336E-12</c:v>
                </c:pt>
                <c:pt idx="14">
                  <c:v>3.4359171254774334E-11</c:v>
                </c:pt>
                <c:pt idx="15">
                  <c:v>3.4359171254774334E-10</c:v>
                </c:pt>
                <c:pt idx="16">
                  <c:v>3.4359171254774335E-9</c:v>
                </c:pt>
                <c:pt idx="17">
                  <c:v>3.4359171254774337E-8</c:v>
                </c:pt>
                <c:pt idx="18">
                  <c:v>3.4359171254774337E-7</c:v>
                </c:pt>
                <c:pt idx="19">
                  <c:v>3.4359171254774333E-6</c:v>
                </c:pt>
                <c:pt idx="20">
                  <c:v>3.4359171254774333E-5</c:v>
                </c:pt>
                <c:pt idx="21">
                  <c:v>3.4359171254774333E-4</c:v>
                </c:pt>
                <c:pt idx="22">
                  <c:v>3.4359171254774333E-3</c:v>
                </c:pt>
                <c:pt idx="23">
                  <c:v>3.4359171254774334E-2</c:v>
                </c:pt>
                <c:pt idx="24">
                  <c:v>0.34359171254774334</c:v>
                </c:pt>
                <c:pt idx="25">
                  <c:v>3.4359171254774337</c:v>
                </c:pt>
                <c:pt idx="26">
                  <c:v>34.359171254774331</c:v>
                </c:pt>
                <c:pt idx="27">
                  <c:v>343.59171254774333</c:v>
                </c:pt>
                <c:pt idx="28">
                  <c:v>3435.9171254774333</c:v>
                </c:pt>
                <c:pt idx="29">
                  <c:v>34359.171254774337</c:v>
                </c:pt>
                <c:pt idx="30">
                  <c:v>343591.71254774334</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2.0057716131801753E-21</c:v>
                </c:pt>
                <c:pt idx="1">
                  <c:v>2.0057716131801753E-20</c:v>
                </c:pt>
                <c:pt idx="2">
                  <c:v>2.0057716131801753E-19</c:v>
                </c:pt>
                <c:pt idx="3">
                  <c:v>2.0057716131801754E-18</c:v>
                </c:pt>
                <c:pt idx="4">
                  <c:v>2.0057716131801751E-17</c:v>
                </c:pt>
                <c:pt idx="5">
                  <c:v>2.0057716131801753E-16</c:v>
                </c:pt>
                <c:pt idx="6">
                  <c:v>2.0057716131801752E-15</c:v>
                </c:pt>
                <c:pt idx="7">
                  <c:v>2.0057716131801753E-14</c:v>
                </c:pt>
                <c:pt idx="8">
                  <c:v>2.0057716131801751E-13</c:v>
                </c:pt>
                <c:pt idx="9">
                  <c:v>2.0057716131801751E-12</c:v>
                </c:pt>
                <c:pt idx="10">
                  <c:v>2.0057716131801753E-11</c:v>
                </c:pt>
                <c:pt idx="11">
                  <c:v>2.0057716131801753E-10</c:v>
                </c:pt>
                <c:pt idx="12">
                  <c:v>2.0057716131801754E-9</c:v>
                </c:pt>
                <c:pt idx="13">
                  <c:v>2.0057716131801753E-8</c:v>
                </c:pt>
                <c:pt idx="14">
                  <c:v>2.0057716131801753E-7</c:v>
                </c:pt>
                <c:pt idx="15">
                  <c:v>2.0057716131801751E-6</c:v>
                </c:pt>
                <c:pt idx="16">
                  <c:v>2.0057716131801752E-5</c:v>
                </c:pt>
                <c:pt idx="17">
                  <c:v>2.0057716131801753E-4</c:v>
                </c:pt>
                <c:pt idx="18">
                  <c:v>2.0057716131801754E-3</c:v>
                </c:pt>
                <c:pt idx="19">
                  <c:v>2.0057716131801753E-2</c:v>
                </c:pt>
                <c:pt idx="20">
                  <c:v>0.20057716131801753</c:v>
                </c:pt>
                <c:pt idx="21">
                  <c:v>2.0057716131801753</c:v>
                </c:pt>
                <c:pt idx="22">
                  <c:v>20.057716131801751</c:v>
                </c:pt>
                <c:pt idx="23">
                  <c:v>200.57716131801752</c:v>
                </c:pt>
                <c:pt idx="24">
                  <c:v>2005.7716131801753</c:v>
                </c:pt>
                <c:pt idx="25">
                  <c:v>20057.716131801753</c:v>
                </c:pt>
                <c:pt idx="26">
                  <c:v>200577.16131801752</c:v>
                </c:pt>
                <c:pt idx="27">
                  <c:v>2005771.6131801752</c:v>
                </c:pt>
                <c:pt idx="28">
                  <c:v>20057716.131801751</c:v>
                </c:pt>
                <c:pt idx="29">
                  <c:v>200577161.31801751</c:v>
                </c:pt>
                <c:pt idx="30">
                  <c:v>2005771613.1801753</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1.679893078357828E-19</c:v>
                </c:pt>
                <c:pt idx="1">
                  <c:v>1.6798930783578279E-18</c:v>
                </c:pt>
                <c:pt idx="2">
                  <c:v>1.6798930783578278E-17</c:v>
                </c:pt>
                <c:pt idx="3">
                  <c:v>1.6798930783578278E-16</c:v>
                </c:pt>
                <c:pt idx="4">
                  <c:v>1.6798930783578277E-15</c:v>
                </c:pt>
                <c:pt idx="5">
                  <c:v>1.6798930783578278E-14</c:v>
                </c:pt>
                <c:pt idx="6">
                  <c:v>1.6798930783578278E-13</c:v>
                </c:pt>
                <c:pt idx="7">
                  <c:v>1.6798930783578278E-12</c:v>
                </c:pt>
                <c:pt idx="8">
                  <c:v>1.6798930783578277E-11</c:v>
                </c:pt>
                <c:pt idx="9">
                  <c:v>1.6798930783578277E-10</c:v>
                </c:pt>
                <c:pt idx="10">
                  <c:v>1.6798930783578281E-9</c:v>
                </c:pt>
                <c:pt idx="11">
                  <c:v>1.6798930783578279E-8</c:v>
                </c:pt>
                <c:pt idx="12">
                  <c:v>1.679893078357828E-7</c:v>
                </c:pt>
                <c:pt idx="13">
                  <c:v>1.6798930783578279E-6</c:v>
                </c:pt>
                <c:pt idx="14">
                  <c:v>1.6798930783578278E-5</c:v>
                </c:pt>
                <c:pt idx="15">
                  <c:v>1.6798930783578278E-4</c:v>
                </c:pt>
                <c:pt idx="16">
                  <c:v>1.6798930783578278E-3</c:v>
                </c:pt>
                <c:pt idx="17">
                  <c:v>1.6798930783578279E-2</c:v>
                </c:pt>
                <c:pt idx="18">
                  <c:v>0.16798930783578278</c:v>
                </c:pt>
                <c:pt idx="19">
                  <c:v>1.6798930783578279</c:v>
                </c:pt>
                <c:pt idx="20">
                  <c:v>16.798930783578278</c:v>
                </c:pt>
                <c:pt idx="21">
                  <c:v>167.9893078357828</c:v>
                </c:pt>
                <c:pt idx="22">
                  <c:v>1679.8930783578278</c:v>
                </c:pt>
                <c:pt idx="23">
                  <c:v>16798.930783578278</c:v>
                </c:pt>
                <c:pt idx="24">
                  <c:v>167989.30783578279</c:v>
                </c:pt>
                <c:pt idx="25">
                  <c:v>1679893.0783578278</c:v>
                </c:pt>
                <c:pt idx="26">
                  <c:v>16798930.78357828</c:v>
                </c:pt>
                <c:pt idx="27">
                  <c:v>167989307.8357828</c:v>
                </c:pt>
                <c:pt idx="28">
                  <c:v>1679893078.3578279</c:v>
                </c:pt>
                <c:pt idx="29">
                  <c:v>16798930783.578279</c:v>
                </c:pt>
                <c:pt idx="30">
                  <c:v>167989307835.78278</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8.6335628762884951E-18</c:v>
                </c:pt>
                <c:pt idx="1">
                  <c:v>8.6335628762884945E-17</c:v>
                </c:pt>
                <c:pt idx="2">
                  <c:v>8.6335628762884945E-16</c:v>
                </c:pt>
                <c:pt idx="3">
                  <c:v>8.6335628762884939E-15</c:v>
                </c:pt>
                <c:pt idx="4">
                  <c:v>8.6335628762884933E-14</c:v>
                </c:pt>
                <c:pt idx="5">
                  <c:v>8.6335628762884948E-13</c:v>
                </c:pt>
                <c:pt idx="6">
                  <c:v>8.6335628762884948E-12</c:v>
                </c:pt>
                <c:pt idx="7">
                  <c:v>8.6335628762884942E-11</c:v>
                </c:pt>
                <c:pt idx="8">
                  <c:v>8.6335628762884937E-10</c:v>
                </c:pt>
                <c:pt idx="9">
                  <c:v>8.6335628762884932E-9</c:v>
                </c:pt>
                <c:pt idx="10">
                  <c:v>8.6335628762884949E-8</c:v>
                </c:pt>
                <c:pt idx="11">
                  <c:v>8.6335628762884944E-7</c:v>
                </c:pt>
                <c:pt idx="12">
                  <c:v>8.6335628762884937E-6</c:v>
                </c:pt>
                <c:pt idx="13">
                  <c:v>8.6335628762884944E-5</c:v>
                </c:pt>
                <c:pt idx="14">
                  <c:v>8.6335628762884947E-4</c:v>
                </c:pt>
                <c:pt idx="15">
                  <c:v>8.633562876288494E-3</c:v>
                </c:pt>
                <c:pt idx="16">
                  <c:v>8.6335628762884947E-2</c:v>
                </c:pt>
                <c:pt idx="17">
                  <c:v>0.86335628762884942</c:v>
                </c:pt>
                <c:pt idx="18">
                  <c:v>8.6335628762884937</c:v>
                </c:pt>
                <c:pt idx="19">
                  <c:v>86.335628762884937</c:v>
                </c:pt>
                <c:pt idx="20">
                  <c:v>863.35628762884937</c:v>
                </c:pt>
                <c:pt idx="21">
                  <c:v>8633.5628762884935</c:v>
                </c:pt>
                <c:pt idx="22">
                  <c:v>86335.628762884939</c:v>
                </c:pt>
                <c:pt idx="23">
                  <c:v>863356.28762884939</c:v>
                </c:pt>
                <c:pt idx="24">
                  <c:v>8633562.8762884941</c:v>
                </c:pt>
                <c:pt idx="25">
                  <c:v>86335628.762884945</c:v>
                </c:pt>
                <c:pt idx="26">
                  <c:v>863356287.62884939</c:v>
                </c:pt>
                <c:pt idx="27">
                  <c:v>8633562876.2884941</c:v>
                </c:pt>
                <c:pt idx="28">
                  <c:v>86335628762.884949</c:v>
                </c:pt>
                <c:pt idx="29">
                  <c:v>863356287628.84937</c:v>
                </c:pt>
                <c:pt idx="30">
                  <c:v>8633562876288.4941</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2.4858909867597949E-10</c:v>
                </c:pt>
                <c:pt idx="1">
                  <c:v>2.4858909867597946E-9</c:v>
                </c:pt>
                <c:pt idx="2">
                  <c:v>2.4858909867597946E-8</c:v>
                </c:pt>
                <c:pt idx="3">
                  <c:v>2.4858909867597945E-7</c:v>
                </c:pt>
                <c:pt idx="4">
                  <c:v>2.4858909867597944E-6</c:v>
                </c:pt>
                <c:pt idx="5">
                  <c:v>2.4858909867597946E-5</c:v>
                </c:pt>
                <c:pt idx="6">
                  <c:v>2.4858909867597946E-4</c:v>
                </c:pt>
                <c:pt idx="7">
                  <c:v>2.4858909867597947E-3</c:v>
                </c:pt>
                <c:pt idx="8">
                  <c:v>2.4858909867597943E-2</c:v>
                </c:pt>
                <c:pt idx="9">
                  <c:v>0.24858909867597945</c:v>
                </c:pt>
                <c:pt idx="10">
                  <c:v>2.4858909867597947</c:v>
                </c:pt>
                <c:pt idx="11">
                  <c:v>24.858909867597948</c:v>
                </c:pt>
                <c:pt idx="12">
                  <c:v>248.58909867597944</c:v>
                </c:pt>
                <c:pt idx="13">
                  <c:v>2485.8909867597945</c:v>
                </c:pt>
                <c:pt idx="14">
                  <c:v>24858.909867597948</c:v>
                </c:pt>
                <c:pt idx="15">
                  <c:v>248589.09867597945</c:v>
                </c:pt>
                <c:pt idx="16">
                  <c:v>2485890.9867597944</c:v>
                </c:pt>
                <c:pt idx="17">
                  <c:v>24858909.867597945</c:v>
                </c:pt>
                <c:pt idx="18">
                  <c:v>248589098.67597944</c:v>
                </c:pt>
                <c:pt idx="19">
                  <c:v>2485890986.7597947</c:v>
                </c:pt>
                <c:pt idx="20">
                  <c:v>24858909867.597946</c:v>
                </c:pt>
                <c:pt idx="21">
                  <c:v>248589098675.97946</c:v>
                </c:pt>
                <c:pt idx="22">
                  <c:v>2485890986759.7944</c:v>
                </c:pt>
                <c:pt idx="23">
                  <c:v>24858909867597.945</c:v>
                </c:pt>
                <c:pt idx="24">
                  <c:v>248589098675979.44</c:v>
                </c:pt>
                <c:pt idx="25">
                  <c:v>2485890986759794.5</c:v>
                </c:pt>
                <c:pt idx="26">
                  <c:v>2.4858909867597944E+16</c:v>
                </c:pt>
                <c:pt idx="27">
                  <c:v>2.4858909867597946E+17</c:v>
                </c:pt>
                <c:pt idx="28">
                  <c:v>2.4858909867597947E+18</c:v>
                </c:pt>
                <c:pt idx="29">
                  <c:v>2.4858909867597947E+19</c:v>
                </c:pt>
                <c:pt idx="30">
                  <c:v>2.4858909867597945E+20</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1.7390376021061691E-4</c:v>
                </c:pt>
                <c:pt idx="1">
                  <c:v>1.7390376021061691E-3</c:v>
                </c:pt>
                <c:pt idx="2">
                  <c:v>1.7390376021061693E-2</c:v>
                </c:pt>
                <c:pt idx="3">
                  <c:v>0.1739037602106169</c:v>
                </c:pt>
                <c:pt idx="4">
                  <c:v>1.7390376021061691</c:v>
                </c:pt>
                <c:pt idx="5">
                  <c:v>17.390376021061691</c:v>
                </c:pt>
                <c:pt idx="6">
                  <c:v>173.90376021061692</c:v>
                </c:pt>
                <c:pt idx="7">
                  <c:v>1739.0376021061691</c:v>
                </c:pt>
                <c:pt idx="8">
                  <c:v>17390.376021061689</c:v>
                </c:pt>
                <c:pt idx="9">
                  <c:v>173903.76021061689</c:v>
                </c:pt>
                <c:pt idx="10">
                  <c:v>1739037.6021061693</c:v>
                </c:pt>
                <c:pt idx="11">
                  <c:v>17390376.021061692</c:v>
                </c:pt>
                <c:pt idx="12">
                  <c:v>173903760.21061692</c:v>
                </c:pt>
                <c:pt idx="13">
                  <c:v>1739037602.1061692</c:v>
                </c:pt>
                <c:pt idx="14">
                  <c:v>17390376021.061691</c:v>
                </c:pt>
                <c:pt idx="15">
                  <c:v>173903760210.61691</c:v>
                </c:pt>
                <c:pt idx="16">
                  <c:v>1739037602106.1692</c:v>
                </c:pt>
                <c:pt idx="17">
                  <c:v>17390376021061.691</c:v>
                </c:pt>
                <c:pt idx="18">
                  <c:v>173903760210616.91</c:v>
                </c:pt>
                <c:pt idx="19">
                  <c:v>1739037602106169</c:v>
                </c:pt>
                <c:pt idx="20">
                  <c:v>1.7390376021061692E+16</c:v>
                </c:pt>
                <c:pt idx="21">
                  <c:v>1.739037602106169E+17</c:v>
                </c:pt>
                <c:pt idx="22">
                  <c:v>1.7390376021061691E+18</c:v>
                </c:pt>
                <c:pt idx="23">
                  <c:v>1.7390376021061691E+19</c:v>
                </c:pt>
                <c:pt idx="24">
                  <c:v>1.7390376021061691E+20</c:v>
                </c:pt>
                <c:pt idx="25">
                  <c:v>1.7390376021061691E+21</c:v>
                </c:pt>
                <c:pt idx="26">
                  <c:v>1.7390376021061691E+22</c:v>
                </c:pt>
                <c:pt idx="27">
                  <c:v>1.7390376021061692E+23</c:v>
                </c:pt>
                <c:pt idx="28">
                  <c:v>1.7390376021061691E+24</c:v>
                </c:pt>
                <c:pt idx="29">
                  <c:v>1.7390376021061692E+25</c:v>
                </c:pt>
                <c:pt idx="30">
                  <c:v>1.739037602106169E+26</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51865656"/>
        <c:axId val="451864872"/>
      </c:scatterChart>
      <c:valAx>
        <c:axId val="45186565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64872"/>
        <c:crosses val="autoZero"/>
        <c:crossBetween val="midCat"/>
      </c:valAx>
      <c:valAx>
        <c:axId val="451864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865656"/>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5446509366477"/>
          <c:y val="0.18948727700485571"/>
          <c:w val="0.70007204458649541"/>
          <c:h val="0.58927146811954401"/>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3.4359171254774338E-25</c:v>
                </c:pt>
                <c:pt idx="1">
                  <c:v>3.4359171254774337E-24</c:v>
                </c:pt>
                <c:pt idx="2">
                  <c:v>3.4359171254774335E-23</c:v>
                </c:pt>
                <c:pt idx="3">
                  <c:v>3.4359171254774334E-22</c:v>
                </c:pt>
                <c:pt idx="4">
                  <c:v>3.4359171254774333E-21</c:v>
                </c:pt>
                <c:pt idx="5">
                  <c:v>3.4359171254774336E-20</c:v>
                </c:pt>
                <c:pt idx="6">
                  <c:v>3.4359171254774339E-19</c:v>
                </c:pt>
                <c:pt idx="7">
                  <c:v>3.4359171254774337E-18</c:v>
                </c:pt>
                <c:pt idx="8">
                  <c:v>3.4359171254774334E-17</c:v>
                </c:pt>
                <c:pt idx="9">
                  <c:v>3.4359171254774331E-16</c:v>
                </c:pt>
                <c:pt idx="10">
                  <c:v>3.4359171254774338E-15</c:v>
                </c:pt>
                <c:pt idx="11">
                  <c:v>3.4359171254774338E-14</c:v>
                </c:pt>
                <c:pt idx="12">
                  <c:v>3.4359171254774336E-13</c:v>
                </c:pt>
                <c:pt idx="13">
                  <c:v>3.4359171254774336E-12</c:v>
                </c:pt>
                <c:pt idx="14">
                  <c:v>3.4359171254774334E-11</c:v>
                </c:pt>
                <c:pt idx="15">
                  <c:v>3.4359171254774334E-10</c:v>
                </c:pt>
                <c:pt idx="16">
                  <c:v>3.4359171254774335E-9</c:v>
                </c:pt>
                <c:pt idx="17">
                  <c:v>3.4359171254774337E-8</c:v>
                </c:pt>
                <c:pt idx="18">
                  <c:v>3.4359171254774337E-7</c:v>
                </c:pt>
                <c:pt idx="19">
                  <c:v>3.4359171254774333E-6</c:v>
                </c:pt>
                <c:pt idx="20">
                  <c:v>3.4359171254774333E-5</c:v>
                </c:pt>
                <c:pt idx="21">
                  <c:v>3.4359171254774333E-4</c:v>
                </c:pt>
                <c:pt idx="22">
                  <c:v>3.4359171254774333E-3</c:v>
                </c:pt>
                <c:pt idx="23">
                  <c:v>3.4359171254774334E-2</c:v>
                </c:pt>
                <c:pt idx="24">
                  <c:v>0.34359171254774334</c:v>
                </c:pt>
                <c:pt idx="25">
                  <c:v>3.4359171254774337</c:v>
                </c:pt>
                <c:pt idx="26">
                  <c:v>34.359171254774331</c:v>
                </c:pt>
                <c:pt idx="27">
                  <c:v>343.59171254774333</c:v>
                </c:pt>
                <c:pt idx="28">
                  <c:v>3435.9171254774333</c:v>
                </c:pt>
                <c:pt idx="29">
                  <c:v>34359.171254774337</c:v>
                </c:pt>
                <c:pt idx="30">
                  <c:v>343591.71254774334</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2.0057716131801753E-21</c:v>
                </c:pt>
                <c:pt idx="1">
                  <c:v>2.0057716131801753E-20</c:v>
                </c:pt>
                <c:pt idx="2">
                  <c:v>2.0057716131801753E-19</c:v>
                </c:pt>
                <c:pt idx="3">
                  <c:v>2.0057716131801754E-18</c:v>
                </c:pt>
                <c:pt idx="4">
                  <c:v>2.0057716131801751E-17</c:v>
                </c:pt>
                <c:pt idx="5">
                  <c:v>2.0057716131801753E-16</c:v>
                </c:pt>
                <c:pt idx="6">
                  <c:v>2.0057716131801752E-15</c:v>
                </c:pt>
                <c:pt idx="7">
                  <c:v>2.0057716131801753E-14</c:v>
                </c:pt>
                <c:pt idx="8">
                  <c:v>2.0057716131801751E-13</c:v>
                </c:pt>
                <c:pt idx="9">
                  <c:v>2.0057716131801751E-12</c:v>
                </c:pt>
                <c:pt idx="10">
                  <c:v>2.0057716131801753E-11</c:v>
                </c:pt>
                <c:pt idx="11">
                  <c:v>2.0057716131801753E-10</c:v>
                </c:pt>
                <c:pt idx="12">
                  <c:v>2.0057716131801754E-9</c:v>
                </c:pt>
                <c:pt idx="13">
                  <c:v>2.0057716131801753E-8</c:v>
                </c:pt>
                <c:pt idx="14">
                  <c:v>2.0057716131801753E-7</c:v>
                </c:pt>
                <c:pt idx="15">
                  <c:v>2.0057716131801751E-6</c:v>
                </c:pt>
                <c:pt idx="16">
                  <c:v>2.0057716131801752E-5</c:v>
                </c:pt>
                <c:pt idx="17">
                  <c:v>2.0057716131801753E-4</c:v>
                </c:pt>
                <c:pt idx="18">
                  <c:v>2.0057716131801754E-3</c:v>
                </c:pt>
                <c:pt idx="19">
                  <c:v>2.0057716131801753E-2</c:v>
                </c:pt>
                <c:pt idx="20">
                  <c:v>0.20057716131801753</c:v>
                </c:pt>
                <c:pt idx="21">
                  <c:v>2.0057716131801753</c:v>
                </c:pt>
                <c:pt idx="22">
                  <c:v>20.057716131801751</c:v>
                </c:pt>
                <c:pt idx="23">
                  <c:v>200.57716131801752</c:v>
                </c:pt>
                <c:pt idx="24">
                  <c:v>2005.7716131801753</c:v>
                </c:pt>
                <c:pt idx="25">
                  <c:v>20057.716131801753</c:v>
                </c:pt>
                <c:pt idx="26">
                  <c:v>200577.16131801752</c:v>
                </c:pt>
                <c:pt idx="27">
                  <c:v>2005771.6131801752</c:v>
                </c:pt>
                <c:pt idx="28">
                  <c:v>20057716.131801751</c:v>
                </c:pt>
                <c:pt idx="29">
                  <c:v>200577161.31801751</c:v>
                </c:pt>
                <c:pt idx="30">
                  <c:v>2005771613.1801753</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1.679893078357828E-19</c:v>
                </c:pt>
                <c:pt idx="1">
                  <c:v>1.6798930783578279E-18</c:v>
                </c:pt>
                <c:pt idx="2">
                  <c:v>1.6798930783578278E-17</c:v>
                </c:pt>
                <c:pt idx="3">
                  <c:v>1.6798930783578278E-16</c:v>
                </c:pt>
                <c:pt idx="4">
                  <c:v>1.6798930783578277E-15</c:v>
                </c:pt>
                <c:pt idx="5">
                  <c:v>1.6798930783578278E-14</c:v>
                </c:pt>
                <c:pt idx="6">
                  <c:v>1.6798930783578278E-13</c:v>
                </c:pt>
                <c:pt idx="7">
                  <c:v>1.6798930783578278E-12</c:v>
                </c:pt>
                <c:pt idx="8">
                  <c:v>1.6798930783578277E-11</c:v>
                </c:pt>
                <c:pt idx="9">
                  <c:v>1.6798930783578277E-10</c:v>
                </c:pt>
                <c:pt idx="10">
                  <c:v>1.6798930783578281E-9</c:v>
                </c:pt>
                <c:pt idx="11">
                  <c:v>1.6798930783578279E-8</c:v>
                </c:pt>
                <c:pt idx="12">
                  <c:v>1.679893078357828E-7</c:v>
                </c:pt>
                <c:pt idx="13">
                  <c:v>1.6798930783578279E-6</c:v>
                </c:pt>
                <c:pt idx="14">
                  <c:v>1.6798930783578278E-5</c:v>
                </c:pt>
                <c:pt idx="15">
                  <c:v>1.6798930783578278E-4</c:v>
                </c:pt>
                <c:pt idx="16">
                  <c:v>1.6798930783578278E-3</c:v>
                </c:pt>
                <c:pt idx="17">
                  <c:v>1.6798930783578279E-2</c:v>
                </c:pt>
                <c:pt idx="18">
                  <c:v>0.16798930783578278</c:v>
                </c:pt>
                <c:pt idx="19">
                  <c:v>1.6798930783578279</c:v>
                </c:pt>
                <c:pt idx="20">
                  <c:v>16.798930783578278</c:v>
                </c:pt>
                <c:pt idx="21">
                  <c:v>167.9893078357828</c:v>
                </c:pt>
                <c:pt idx="22">
                  <c:v>1679.8930783578278</c:v>
                </c:pt>
                <c:pt idx="23">
                  <c:v>16798.930783578278</c:v>
                </c:pt>
                <c:pt idx="24">
                  <c:v>167989.30783578279</c:v>
                </c:pt>
                <c:pt idx="25">
                  <c:v>1679893.0783578278</c:v>
                </c:pt>
                <c:pt idx="26">
                  <c:v>16798930.78357828</c:v>
                </c:pt>
                <c:pt idx="27">
                  <c:v>167989307.8357828</c:v>
                </c:pt>
                <c:pt idx="28">
                  <c:v>1679893078.3578279</c:v>
                </c:pt>
                <c:pt idx="29">
                  <c:v>16798930783.578279</c:v>
                </c:pt>
                <c:pt idx="30">
                  <c:v>167989307835.78278</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8.6335628762884951E-18</c:v>
                </c:pt>
                <c:pt idx="1">
                  <c:v>8.6335628762884945E-17</c:v>
                </c:pt>
                <c:pt idx="2">
                  <c:v>8.6335628762884945E-16</c:v>
                </c:pt>
                <c:pt idx="3">
                  <c:v>8.6335628762884939E-15</c:v>
                </c:pt>
                <c:pt idx="4">
                  <c:v>8.6335628762884933E-14</c:v>
                </c:pt>
                <c:pt idx="5">
                  <c:v>8.6335628762884948E-13</c:v>
                </c:pt>
                <c:pt idx="6">
                  <c:v>8.6335628762884948E-12</c:v>
                </c:pt>
                <c:pt idx="7">
                  <c:v>8.6335628762884942E-11</c:v>
                </c:pt>
                <c:pt idx="8">
                  <c:v>8.6335628762884937E-10</c:v>
                </c:pt>
                <c:pt idx="9">
                  <c:v>8.6335628762884932E-9</c:v>
                </c:pt>
                <c:pt idx="10">
                  <c:v>8.6335628762884949E-8</c:v>
                </c:pt>
                <c:pt idx="11">
                  <c:v>8.6335628762884944E-7</c:v>
                </c:pt>
                <c:pt idx="12">
                  <c:v>8.6335628762884937E-6</c:v>
                </c:pt>
                <c:pt idx="13">
                  <c:v>8.6335628762884944E-5</c:v>
                </c:pt>
                <c:pt idx="14">
                  <c:v>8.6335628762884947E-4</c:v>
                </c:pt>
                <c:pt idx="15">
                  <c:v>8.633562876288494E-3</c:v>
                </c:pt>
                <c:pt idx="16">
                  <c:v>8.6335628762884947E-2</c:v>
                </c:pt>
                <c:pt idx="17">
                  <c:v>0.86335628762884942</c:v>
                </c:pt>
                <c:pt idx="18">
                  <c:v>8.6335628762884937</c:v>
                </c:pt>
                <c:pt idx="19">
                  <c:v>86.335628762884937</c:v>
                </c:pt>
                <c:pt idx="20">
                  <c:v>863.35628762884937</c:v>
                </c:pt>
                <c:pt idx="21">
                  <c:v>8633.5628762884935</c:v>
                </c:pt>
                <c:pt idx="22">
                  <c:v>86335.628762884939</c:v>
                </c:pt>
                <c:pt idx="23">
                  <c:v>863356.28762884939</c:v>
                </c:pt>
                <c:pt idx="24">
                  <c:v>8633562.8762884941</c:v>
                </c:pt>
                <c:pt idx="25">
                  <c:v>86335628.762884945</c:v>
                </c:pt>
                <c:pt idx="26">
                  <c:v>863356287.62884939</c:v>
                </c:pt>
                <c:pt idx="27">
                  <c:v>8633562876.2884941</c:v>
                </c:pt>
                <c:pt idx="28">
                  <c:v>86335628762.884949</c:v>
                </c:pt>
                <c:pt idx="29">
                  <c:v>863356287628.84937</c:v>
                </c:pt>
                <c:pt idx="30">
                  <c:v>8633562876288.4941</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2.4858909867597949E-10</c:v>
                </c:pt>
                <c:pt idx="1">
                  <c:v>2.4858909867597946E-9</c:v>
                </c:pt>
                <c:pt idx="2">
                  <c:v>2.4858909867597946E-8</c:v>
                </c:pt>
                <c:pt idx="3">
                  <c:v>2.4858909867597945E-7</c:v>
                </c:pt>
                <c:pt idx="4">
                  <c:v>2.4858909867597944E-6</c:v>
                </c:pt>
                <c:pt idx="5">
                  <c:v>2.4858909867597946E-5</c:v>
                </c:pt>
                <c:pt idx="6">
                  <c:v>2.4858909867597946E-4</c:v>
                </c:pt>
                <c:pt idx="7">
                  <c:v>2.4858909867597947E-3</c:v>
                </c:pt>
                <c:pt idx="8">
                  <c:v>2.4858909867597943E-2</c:v>
                </c:pt>
                <c:pt idx="9">
                  <c:v>0.24858909867597945</c:v>
                </c:pt>
                <c:pt idx="10">
                  <c:v>2.4858909867597947</c:v>
                </c:pt>
                <c:pt idx="11">
                  <c:v>24.858909867597948</c:v>
                </c:pt>
                <c:pt idx="12">
                  <c:v>248.58909867597944</c:v>
                </c:pt>
                <c:pt idx="13">
                  <c:v>2485.8909867597945</c:v>
                </c:pt>
                <c:pt idx="14">
                  <c:v>24858.909867597948</c:v>
                </c:pt>
                <c:pt idx="15">
                  <c:v>248589.09867597945</c:v>
                </c:pt>
                <c:pt idx="16">
                  <c:v>2485890.9867597944</c:v>
                </c:pt>
                <c:pt idx="17">
                  <c:v>24858909.867597945</c:v>
                </c:pt>
                <c:pt idx="18">
                  <c:v>248589098.67597944</c:v>
                </c:pt>
                <c:pt idx="19">
                  <c:v>2485890986.7597947</c:v>
                </c:pt>
                <c:pt idx="20">
                  <c:v>24858909867.597946</c:v>
                </c:pt>
                <c:pt idx="21">
                  <c:v>248589098675.97946</c:v>
                </c:pt>
                <c:pt idx="22">
                  <c:v>2485890986759.7944</c:v>
                </c:pt>
                <c:pt idx="23">
                  <c:v>24858909867597.945</c:v>
                </c:pt>
                <c:pt idx="24">
                  <c:v>248589098675979.44</c:v>
                </c:pt>
                <c:pt idx="25">
                  <c:v>2485890986759794.5</c:v>
                </c:pt>
                <c:pt idx="26">
                  <c:v>2.4858909867597944E+16</c:v>
                </c:pt>
                <c:pt idx="27">
                  <c:v>2.4858909867597946E+17</c:v>
                </c:pt>
                <c:pt idx="28">
                  <c:v>2.4858909867597947E+18</c:v>
                </c:pt>
                <c:pt idx="29">
                  <c:v>2.4858909867597947E+19</c:v>
                </c:pt>
                <c:pt idx="30">
                  <c:v>2.4858909867597945E+20</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1.7390376021061691E-4</c:v>
                </c:pt>
                <c:pt idx="1">
                  <c:v>1.7390376021061691E-3</c:v>
                </c:pt>
                <c:pt idx="2">
                  <c:v>1.7390376021061693E-2</c:v>
                </c:pt>
                <c:pt idx="3">
                  <c:v>0.1739037602106169</c:v>
                </c:pt>
                <c:pt idx="4">
                  <c:v>1.7390376021061691</c:v>
                </c:pt>
                <c:pt idx="5">
                  <c:v>17.390376021061691</c:v>
                </c:pt>
                <c:pt idx="6">
                  <c:v>173.90376021061692</c:v>
                </c:pt>
                <c:pt idx="7">
                  <c:v>1739.0376021061691</c:v>
                </c:pt>
                <c:pt idx="8">
                  <c:v>17390.376021061689</c:v>
                </c:pt>
                <c:pt idx="9">
                  <c:v>173903.76021061689</c:v>
                </c:pt>
                <c:pt idx="10">
                  <c:v>1739037.6021061693</c:v>
                </c:pt>
                <c:pt idx="11">
                  <c:v>17390376.021061692</c:v>
                </c:pt>
                <c:pt idx="12">
                  <c:v>173903760.21061692</c:v>
                </c:pt>
                <c:pt idx="13">
                  <c:v>1739037602.1061692</c:v>
                </c:pt>
                <c:pt idx="14">
                  <c:v>17390376021.061691</c:v>
                </c:pt>
                <c:pt idx="15">
                  <c:v>173903760210.61691</c:v>
                </c:pt>
                <c:pt idx="16">
                  <c:v>1739037602106.1692</c:v>
                </c:pt>
                <c:pt idx="17">
                  <c:v>17390376021061.691</c:v>
                </c:pt>
                <c:pt idx="18">
                  <c:v>173903760210616.91</c:v>
                </c:pt>
                <c:pt idx="19">
                  <c:v>1739037602106169</c:v>
                </c:pt>
                <c:pt idx="20">
                  <c:v>1.7390376021061692E+16</c:v>
                </c:pt>
                <c:pt idx="21">
                  <c:v>1.739037602106169E+17</c:v>
                </c:pt>
                <c:pt idx="22">
                  <c:v>1.7390376021061691E+18</c:v>
                </c:pt>
                <c:pt idx="23">
                  <c:v>1.7390376021061691E+19</c:v>
                </c:pt>
                <c:pt idx="24">
                  <c:v>1.7390376021061691E+20</c:v>
                </c:pt>
                <c:pt idx="25">
                  <c:v>1.7390376021061691E+21</c:v>
                </c:pt>
                <c:pt idx="26">
                  <c:v>1.7390376021061691E+22</c:v>
                </c:pt>
                <c:pt idx="27">
                  <c:v>1.7390376021061692E+23</c:v>
                </c:pt>
                <c:pt idx="28">
                  <c:v>1.7390376021061691E+24</c:v>
                </c:pt>
                <c:pt idx="29">
                  <c:v>1.7390376021061692E+25</c:v>
                </c:pt>
                <c:pt idx="30">
                  <c:v>1.739037602106169E+26</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ser>
          <c:idx val="7"/>
          <c:order val="7"/>
          <c:tx>
            <c:v>Mastercurve @Tref interpolated</c:v>
          </c:tx>
          <c:spPr>
            <a:ln w="19050" cap="rnd">
              <a:solidFill>
                <a:srgbClr val="FF0000"/>
              </a:solidFill>
              <a:prstDash val="sysDash"/>
              <a:round/>
            </a:ln>
            <a:effectLst/>
          </c:spPr>
          <c:marker>
            <c:symbol val="none"/>
          </c:marker>
          <c:xVal>
            <c:numRef>
              <c:f>'Universal Mastercurve'!$A$72:$A$102</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Mastercurve'!$J$72:$J$102</c:f>
              <c:numCache>
                <c:formatCode>General</c:formatCode>
                <c:ptCount val="31"/>
                <c:pt idx="0">
                  <c:v>7093.4858608209797</c:v>
                </c:pt>
                <c:pt idx="1">
                  <c:v>7093.4858608209797</c:v>
                </c:pt>
                <c:pt idx="2">
                  <c:v>7092.1673772219492</c:v>
                </c:pt>
                <c:pt idx="3">
                  <c:v>7091.0575491365025</c:v>
                </c:pt>
                <c:pt idx="4">
                  <c:v>7045.0971706629016</c:v>
                </c:pt>
                <c:pt idx="5">
                  <c:v>6748.7178233507166</c:v>
                </c:pt>
                <c:pt idx="6">
                  <c:v>6610.0354909710168</c:v>
                </c:pt>
                <c:pt idx="7">
                  <c:v>6379.5814601349293</c:v>
                </c:pt>
                <c:pt idx="8">
                  <c:v>6143.5559103523465</c:v>
                </c:pt>
                <c:pt idx="9">
                  <c:v>5979.2143489968621</c:v>
                </c:pt>
                <c:pt idx="10">
                  <c:v>5702.4398675071734</c:v>
                </c:pt>
                <c:pt idx="11">
                  <c:v>5396.5654286334557</c:v>
                </c:pt>
                <c:pt idx="12">
                  <c:v>5178.0330526184152</c:v>
                </c:pt>
                <c:pt idx="13">
                  <c:v>4884.6368283232359</c:v>
                </c:pt>
                <c:pt idx="14">
                  <c:v>4485.8226748675906</c:v>
                </c:pt>
                <c:pt idx="15">
                  <c:v>4147.850916602446</c:v>
                </c:pt>
                <c:pt idx="16">
                  <c:v>3653.8528997018375</c:v>
                </c:pt>
                <c:pt idx="17">
                  <c:v>3327.6273741882437</c:v>
                </c:pt>
                <c:pt idx="18">
                  <c:v>3044.4678870520356</c:v>
                </c:pt>
                <c:pt idx="19">
                  <c:v>2653.6609144869353</c:v>
                </c:pt>
                <c:pt idx="20">
                  <c:v>2283.9972429176014</c:v>
                </c:pt>
                <c:pt idx="21">
                  <c:v>2093.0748437326852</c:v>
                </c:pt>
                <c:pt idx="22">
                  <c:v>1564.6045232545055</c:v>
                </c:pt>
                <c:pt idx="23">
                  <c:v>1074.377387029519</c:v>
                </c:pt>
                <c:pt idx="24">
                  <c:v>710.39700974719551</c:v>
                </c:pt>
                <c:pt idx="25">
                  <c:v>505.20551768974872</c:v>
                </c:pt>
                <c:pt idx="26">
                  <c:v>491.63807981787494</c:v>
                </c:pt>
                <c:pt idx="27">
                  <c:v>420.71970940966855</c:v>
                </c:pt>
                <c:pt idx="28">
                  <c:v>350.02293592389253</c:v>
                </c:pt>
                <c:pt idx="29">
                  <c:v>283.10941172214928</c:v>
                </c:pt>
                <c:pt idx="30">
                  <c:v>238.40239143762301</c:v>
                </c:pt>
              </c:numCache>
            </c:numRef>
          </c:yVal>
          <c:smooth val="1"/>
        </c:ser>
        <c:dLbls>
          <c:showLegendKey val="0"/>
          <c:showVal val="0"/>
          <c:showCatName val="0"/>
          <c:showSerName val="0"/>
          <c:showPercent val="0"/>
          <c:showBubbleSize val="0"/>
        </c:dLbls>
        <c:axId val="455143048"/>
        <c:axId val="455147752"/>
      </c:scatterChart>
      <c:valAx>
        <c:axId val="45514304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147752"/>
        <c:crosses val="autoZero"/>
        <c:crossBetween val="midCat"/>
      </c:valAx>
      <c:valAx>
        <c:axId val="455147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143048"/>
        <c:crossesAt val="1.0000000000000012E-22"/>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Mastercurve'!$F$109:$AJ$109</c:f>
              <c:numCache>
                <c:formatCode>0.00E+00</c:formatCode>
                <c:ptCount val="31"/>
                <c:pt idx="0">
                  <c:v>7093.4858608209797</c:v>
                </c:pt>
                <c:pt idx="1">
                  <c:v>7093.4858608209797</c:v>
                </c:pt>
                <c:pt idx="2">
                  <c:v>7092.1673772219492</c:v>
                </c:pt>
                <c:pt idx="3">
                  <c:v>7091.0575491365025</c:v>
                </c:pt>
                <c:pt idx="4">
                  <c:v>7045.0971706629016</c:v>
                </c:pt>
                <c:pt idx="5">
                  <c:v>6748.7178233507166</c:v>
                </c:pt>
                <c:pt idx="6">
                  <c:v>6610.0354909710168</c:v>
                </c:pt>
                <c:pt idx="7">
                  <c:v>6379.5814601349293</c:v>
                </c:pt>
                <c:pt idx="8">
                  <c:v>6143.5559103523465</c:v>
                </c:pt>
                <c:pt idx="9">
                  <c:v>5979.2143489968621</c:v>
                </c:pt>
                <c:pt idx="10">
                  <c:v>5702.4398675071734</c:v>
                </c:pt>
                <c:pt idx="11">
                  <c:v>5396.5654286334557</c:v>
                </c:pt>
                <c:pt idx="12">
                  <c:v>5178.0330526184152</c:v>
                </c:pt>
                <c:pt idx="13">
                  <c:v>4884.6368283232359</c:v>
                </c:pt>
                <c:pt idx="14">
                  <c:v>4485.8226748675906</c:v>
                </c:pt>
                <c:pt idx="15">
                  <c:v>4147.850916602446</c:v>
                </c:pt>
                <c:pt idx="16">
                  <c:v>3653.8528997018375</c:v>
                </c:pt>
                <c:pt idx="17">
                  <c:v>3327.6273741882437</c:v>
                </c:pt>
                <c:pt idx="18">
                  <c:v>3044.4678870520356</c:v>
                </c:pt>
                <c:pt idx="19">
                  <c:v>2653.6609144869353</c:v>
                </c:pt>
                <c:pt idx="20">
                  <c:v>2283.9972429176014</c:v>
                </c:pt>
                <c:pt idx="21">
                  <c:v>2093.0748437326852</c:v>
                </c:pt>
                <c:pt idx="22">
                  <c:v>1564.6045232545055</c:v>
                </c:pt>
                <c:pt idx="23">
                  <c:v>1074.377387029519</c:v>
                </c:pt>
                <c:pt idx="24">
                  <c:v>710.39700974719551</c:v>
                </c:pt>
                <c:pt idx="25">
                  <c:v>505.20551768974872</c:v>
                </c:pt>
                <c:pt idx="26">
                  <c:v>491.63807981787494</c:v>
                </c:pt>
                <c:pt idx="27">
                  <c:v>420.71970940966855</c:v>
                </c:pt>
                <c:pt idx="28">
                  <c:v>350.02293592389253</c:v>
                </c:pt>
                <c:pt idx="29">
                  <c:v>283.10941172214928</c:v>
                </c:pt>
                <c:pt idx="30">
                  <c:v>238.40239143762301</c:v>
                </c:pt>
              </c:numCache>
            </c:numRef>
          </c:yVal>
          <c:smooth val="1"/>
        </c:ser>
        <c:ser>
          <c:idx val="1"/>
          <c:order val="1"/>
          <c:tx>
            <c:v>original master curve</c:v>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6780.5706314205363</c:v>
                </c:pt>
                <c:pt idx="1">
                  <c:v>6721.2212006192021</c:v>
                </c:pt>
                <c:pt idx="2">
                  <c:v>6506.6070040863333</c:v>
                </c:pt>
                <c:pt idx="3">
                  <c:v>6416.3604003741639</c:v>
                </c:pt>
                <c:pt idx="4">
                  <c:v>6286.3298338446029</c:v>
                </c:pt>
                <c:pt idx="5">
                  <c:v>6151.4801113763451</c:v>
                </c:pt>
                <c:pt idx="6">
                  <c:v>5999.0245222214589</c:v>
                </c:pt>
                <c:pt idx="7">
                  <c:v>5834.2820545115419</c:v>
                </c:pt>
                <c:pt idx="8">
                  <c:v>5660.4412431166265</c:v>
                </c:pt>
                <c:pt idx="9">
                  <c:v>5501.0985852992544</c:v>
                </c:pt>
                <c:pt idx="10">
                  <c:v>5315.2637759297595</c:v>
                </c:pt>
                <c:pt idx="11">
                  <c:v>5096.1000381721924</c:v>
                </c:pt>
                <c:pt idx="12">
                  <c:v>4858.2785013782841</c:v>
                </c:pt>
                <c:pt idx="13">
                  <c:v>4655.2766676770207</c:v>
                </c:pt>
                <c:pt idx="14">
                  <c:v>4467.8720452439284</c:v>
                </c:pt>
                <c:pt idx="15">
                  <c:v>4268.9685198069465</c:v>
                </c:pt>
                <c:pt idx="16">
                  <c:v>3976.1112580265126</c:v>
                </c:pt>
                <c:pt idx="17">
                  <c:v>3446.0399220416325</c:v>
                </c:pt>
                <c:pt idx="18">
                  <c:v>2839.1790796036248</c:v>
                </c:pt>
                <c:pt idx="19">
                  <c:v>2338.6539094953223</c:v>
                </c:pt>
                <c:pt idx="20">
                  <c:v>1960.2919261946645</c:v>
                </c:pt>
                <c:pt idx="21">
                  <c:v>1656.3285032680628</c:v>
                </c:pt>
                <c:pt idx="22">
                  <c:v>1387.2192082214817</c:v>
                </c:pt>
                <c:pt idx="23">
                  <c:v>1120.0913818051722</c:v>
                </c:pt>
                <c:pt idx="24">
                  <c:v>849.29955730214272</c:v>
                </c:pt>
                <c:pt idx="25">
                  <c:v>602.03583238052408</c:v>
                </c:pt>
                <c:pt idx="26">
                  <c:v>414.51825549157752</c:v>
                </c:pt>
                <c:pt idx="27">
                  <c:v>296.81455070900495</c:v>
                </c:pt>
                <c:pt idx="28">
                  <c:v>236.43831957557742</c:v>
                </c:pt>
                <c:pt idx="29">
                  <c:v>206.73036660336291</c:v>
                </c:pt>
                <c:pt idx="30">
                  <c:v>191.75832815520027</c:v>
                </c:pt>
              </c:numCache>
            </c:numRef>
          </c:yVal>
          <c:smooth val="1"/>
        </c:ser>
        <c:ser>
          <c:idx val="2"/>
          <c:order val="2"/>
          <c:tx>
            <c:v>Regression new Mastercurve</c:v>
          </c:tx>
          <c:spPr>
            <a:ln w="19050" cap="rnd">
              <a:solidFill>
                <a:schemeClr val="accent3"/>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Mastercurve'!$F$110:$AJ$110</c:f>
              <c:numCache>
                <c:formatCode>0.00E+00</c:formatCode>
                <c:ptCount val="31"/>
                <c:pt idx="0">
                  <c:v>6992.4041437247624</c:v>
                </c:pt>
                <c:pt idx="1">
                  <c:v>6992.3631408793399</c:v>
                </c:pt>
                <c:pt idx="2">
                  <c:v>6991.9534717403785</c:v>
                </c:pt>
                <c:pt idx="3">
                  <c:v>6987.8924889542232</c:v>
                </c:pt>
                <c:pt idx="4">
                  <c:v>6950.6407020667702</c:v>
                </c:pt>
                <c:pt idx="5">
                  <c:v>6773.3087553704008</c:v>
                </c:pt>
                <c:pt idx="6">
                  <c:v>6607.4612879269143</c:v>
                </c:pt>
                <c:pt idx="7">
                  <c:v>6379.1088488874739</c:v>
                </c:pt>
                <c:pt idx="8">
                  <c:v>6145.3600909812503</c:v>
                </c:pt>
                <c:pt idx="9">
                  <c:v>5975.4883363895542</c:v>
                </c:pt>
                <c:pt idx="10">
                  <c:v>5708.7901823683796</c:v>
                </c:pt>
                <c:pt idx="11">
                  <c:v>5387.3913835889243</c:v>
                </c:pt>
                <c:pt idx="12">
                  <c:v>5189.3145956986436</c:v>
                </c:pt>
                <c:pt idx="13">
                  <c:v>4872.7734087703375</c:v>
                </c:pt>
                <c:pt idx="14">
                  <c:v>4496.4795246891763</c:v>
                </c:pt>
                <c:pt idx="15">
                  <c:v>4139.6091288352909</c:v>
                </c:pt>
                <c:pt idx="16">
                  <c:v>3659.3481753719152</c:v>
                </c:pt>
                <c:pt idx="17">
                  <c:v>3324.46169726783</c:v>
                </c:pt>
                <c:pt idx="18">
                  <c:v>3046.0400846540397</c:v>
                </c:pt>
                <c:pt idx="19">
                  <c:v>2652.9914630783715</c:v>
                </c:pt>
                <c:pt idx="20">
                  <c:v>2284.259278821552</c:v>
                </c:pt>
                <c:pt idx="21">
                  <c:v>2092.9902309842319</c:v>
                </c:pt>
                <c:pt idx="22">
                  <c:v>1564.6050391358976</c:v>
                </c:pt>
                <c:pt idx="23">
                  <c:v>1074.3379335405093</c:v>
                </c:pt>
                <c:pt idx="24">
                  <c:v>710.4541531151973</c:v>
                </c:pt>
                <c:pt idx="25">
                  <c:v>505.23107276590031</c:v>
                </c:pt>
                <c:pt idx="26">
                  <c:v>491.62781067621296</c:v>
                </c:pt>
                <c:pt idx="27">
                  <c:v>420.69855137211994</c:v>
                </c:pt>
                <c:pt idx="28">
                  <c:v>349.94926620567145</c:v>
                </c:pt>
                <c:pt idx="29">
                  <c:v>283.3418674310139</c:v>
                </c:pt>
                <c:pt idx="30">
                  <c:v>238.22276788750165</c:v>
                </c:pt>
              </c:numCache>
            </c:numRef>
          </c:yVal>
          <c:smooth val="1"/>
        </c:ser>
        <c:dLbls>
          <c:showLegendKey val="0"/>
          <c:showVal val="0"/>
          <c:showCatName val="0"/>
          <c:showSerName val="0"/>
          <c:showPercent val="0"/>
          <c:showBubbleSize val="0"/>
        </c:dLbls>
        <c:axId val="458042120"/>
        <c:axId val="458037808"/>
      </c:scatterChart>
      <c:valAx>
        <c:axId val="4580421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8037808"/>
        <c:crosses val="autoZero"/>
        <c:crossBetween val="midCat"/>
      </c:valAx>
      <c:valAx>
        <c:axId val="4580378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804212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Mastercurve'!$F$148:$AJ$148</c:f>
              <c:numCache>
                <c:formatCode>0.00%</c:formatCode>
                <c:ptCount val="31"/>
                <c:pt idx="0">
                  <c:v>1.424993565639086E-2</c:v>
                </c:pt>
                <c:pt idx="1">
                  <c:v>1.4255716008424691E-2</c:v>
                </c:pt>
                <c:pt idx="2">
                  <c:v>1.4130222843221329E-2</c:v>
                </c:pt>
                <c:pt idx="3">
                  <c:v>1.4548614147806779E-2</c:v>
                </c:pt>
                <c:pt idx="4">
                  <c:v>1.3407404654326939E-2</c:v>
                </c:pt>
                <c:pt idx="5">
                  <c:v>3.643793186107008E-3</c:v>
                </c:pt>
                <c:pt idx="6">
                  <c:v>3.8943861158062879E-4</c:v>
                </c:pt>
                <c:pt idx="7">
                  <c:v>7.4081857941424471E-5</c:v>
                </c:pt>
                <c:pt idx="8">
                  <c:v>2.9367041746355277E-4</c:v>
                </c:pt>
                <c:pt idx="9">
                  <c:v>6.2316090205613887E-4</c:v>
                </c:pt>
                <c:pt idx="10">
                  <c:v>1.1136136476231338E-3</c:v>
                </c:pt>
                <c:pt idx="11">
                  <c:v>1.699978470724191E-3</c:v>
                </c:pt>
                <c:pt idx="12">
                  <c:v>2.178731376487367E-3</c:v>
                </c:pt>
                <c:pt idx="13">
                  <c:v>2.4287208998034849E-3</c:v>
                </c:pt>
                <c:pt idx="14">
                  <c:v>2.3756734481039645E-3</c:v>
                </c:pt>
                <c:pt idx="15">
                  <c:v>1.9870019277129711E-3</c:v>
                </c:pt>
                <c:pt idx="16">
                  <c:v>1.5039674067136484E-3</c:v>
                </c:pt>
                <c:pt idx="17">
                  <c:v>9.513315538179709E-4</c:v>
                </c:pt>
                <c:pt idx="18">
                  <c:v>5.1641129429892425E-4</c:v>
                </c:pt>
                <c:pt idx="19">
                  <c:v>2.522746613590253E-4</c:v>
                </c:pt>
                <c:pt idx="20">
                  <c:v>1.1472689153332385E-4</c:v>
                </c:pt>
                <c:pt idx="21">
                  <c:v>4.0425094547701767E-5</c:v>
                </c:pt>
                <c:pt idx="22">
                  <c:v>3.2971999282106926E-7</c:v>
                </c:pt>
                <c:pt idx="23">
                  <c:v>3.6722188577316013E-5</c:v>
                </c:pt>
                <c:pt idx="24">
                  <c:v>8.0438638138587089E-5</c:v>
                </c:pt>
                <c:pt idx="25">
                  <c:v>5.0583525430306537E-5</c:v>
                </c:pt>
                <c:pt idx="26">
                  <c:v>2.0887604283588603E-5</c:v>
                </c:pt>
                <c:pt idx="27">
                  <c:v>5.0290103067204241E-5</c:v>
                </c:pt>
                <c:pt idx="28">
                  <c:v>2.104711167759066E-4</c:v>
                </c:pt>
                <c:pt idx="29">
                  <c:v>8.2108082331349016E-4</c:v>
                </c:pt>
                <c:pt idx="30">
                  <c:v>7.5344693078869868E-4</c:v>
                </c:pt>
              </c:numCache>
            </c:numRef>
          </c:yVal>
          <c:smooth val="1"/>
        </c:ser>
        <c:dLbls>
          <c:showLegendKey val="0"/>
          <c:showVal val="0"/>
          <c:showCatName val="0"/>
          <c:showSerName val="0"/>
          <c:showPercent val="0"/>
          <c:showBubbleSize val="0"/>
        </c:dLbls>
        <c:axId val="458037416"/>
        <c:axId val="458035456"/>
      </c:scatterChart>
      <c:valAx>
        <c:axId val="4580374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8035456"/>
        <c:crossesAt val="-1.5000000000000005E-3"/>
        <c:crossBetween val="midCat"/>
      </c:valAx>
      <c:valAx>
        <c:axId val="45803545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803741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-21.791567045586213</c:v>
                </c:pt>
                <c:pt idx="1">
                  <c:v>-21.617740388904089</c:v>
                </c:pt>
                <c:pt idx="2">
                  <c:v>-21.443752473399119</c:v>
                </c:pt>
                <c:pt idx="3">
                  <c:v>-21.26944204024846</c:v>
                </c:pt>
                <c:pt idx="4">
                  <c:v>-21.09464783062926</c:v>
                </c:pt>
                <c:pt idx="5">
                  <c:v>-20.919208585718675</c:v>
                </c:pt>
                <c:pt idx="6">
                  <c:v>-20.742963046693859</c:v>
                </c:pt>
                <c:pt idx="7">
                  <c:v>-20.565749954731967</c:v>
                </c:pt>
                <c:pt idx="8">
                  <c:v>-20.387408051010151</c:v>
                </c:pt>
                <c:pt idx="9">
                  <c:v>-20.207776076705564</c:v>
                </c:pt>
                <c:pt idx="10">
                  <c:v>-20.026692772995361</c:v>
                </c:pt>
                <c:pt idx="11">
                  <c:v>-19.843996881056697</c:v>
                </c:pt>
                <c:pt idx="12">
                  <c:v>-19.659527142066722</c:v>
                </c:pt>
                <c:pt idx="13">
                  <c:v>-19.473122297202593</c:v>
                </c:pt>
                <c:pt idx="14">
                  <c:v>-19.284621087641465</c:v>
                </c:pt>
                <c:pt idx="15">
                  <c:v>-19.093862254560488</c:v>
                </c:pt>
                <c:pt idx="16">
                  <c:v>-18.900684539136819</c:v>
                </c:pt>
                <c:pt idx="17">
                  <c:v>-18.704926682547608</c:v>
                </c:pt>
                <c:pt idx="18">
                  <c:v>-18.506427425970013</c:v>
                </c:pt>
                <c:pt idx="19">
                  <c:v>-18.305025510581185</c:v>
                </c:pt>
                <c:pt idx="20">
                  <c:v>-18.10055967755828</c:v>
                </c:pt>
                <c:pt idx="21">
                  <c:v>-17.892868668078449</c:v>
                </c:pt>
                <c:pt idx="22">
                  <c:v>-17.681791223318847</c:v>
                </c:pt>
                <c:pt idx="23">
                  <c:v>-17.467166084456629</c:v>
                </c:pt>
                <c:pt idx="24">
                  <c:v>-17.248831992668947</c:v>
                </c:pt>
                <c:pt idx="25">
                  <c:v>-17.026627689132955</c:v>
                </c:pt>
                <c:pt idx="26">
                  <c:v>-16.800391915025806</c:v>
                </c:pt>
                <c:pt idx="27">
                  <c:v>-16.569963411524657</c:v>
                </c:pt>
                <c:pt idx="28">
                  <c:v>-16.33518091980666</c:v>
                </c:pt>
                <c:pt idx="29">
                  <c:v>-16.095883181048968</c:v>
                </c:pt>
                <c:pt idx="30">
                  <c:v>-15.851908936428734</c:v>
                </c:pt>
                <c:pt idx="31">
                  <c:v>-15.603096927123115</c:v>
                </c:pt>
                <c:pt idx="32">
                  <c:v>-15.349285894309261</c:v>
                </c:pt>
                <c:pt idx="33">
                  <c:v>-15.090314579164327</c:v>
                </c:pt>
                <c:pt idx="34">
                  <c:v>-14.82602172286547</c:v>
                </c:pt>
                <c:pt idx="35">
                  <c:v>-14.556246066589839</c:v>
                </c:pt>
                <c:pt idx="36">
                  <c:v>-14.280826351514591</c:v>
                </c:pt>
                <c:pt idx="37">
                  <c:v>-13.999601318816879</c:v>
                </c:pt>
                <c:pt idx="38">
                  <c:v>-13.712409709673857</c:v>
                </c:pt>
                <c:pt idx="39">
                  <c:v>-13.419090265262676</c:v>
                </c:pt>
                <c:pt idx="40">
                  <c:v>-13.119481726760494</c:v>
                </c:pt>
                <c:pt idx="41">
                  <c:v>-12.981778263690725</c:v>
                </c:pt>
                <c:pt idx="42">
                  <c:v>-12.837989763456552</c:v>
                </c:pt>
                <c:pt idx="43">
                  <c:v>-12.688481541807423</c:v>
                </c:pt>
                <c:pt idx="44">
                  <c:v>-12.533618914492783</c:v>
                </c:pt>
                <c:pt idx="45">
                  <c:v>-12.373767197262078</c:v>
                </c:pt>
                <c:pt idx="46">
                  <c:v>-12.209291705864754</c:v>
                </c:pt>
                <c:pt idx="47">
                  <c:v>-12.040557756050255</c:v>
                </c:pt>
                <c:pt idx="48">
                  <c:v>-11.867930663568028</c:v>
                </c:pt>
                <c:pt idx="49">
                  <c:v>-11.691775744167519</c:v>
                </c:pt>
                <c:pt idx="50">
                  <c:v>-11.512458313598174</c:v>
                </c:pt>
                <c:pt idx="51">
                  <c:v>-11.330343687609442</c:v>
                </c:pt>
                <c:pt idx="52">
                  <c:v>-11.145797181950766</c:v>
                </c:pt>
                <c:pt idx="53">
                  <c:v>-10.959184112371592</c:v>
                </c:pt>
                <c:pt idx="54">
                  <c:v>-10.770869794621365</c:v>
                </c:pt>
                <c:pt idx="55">
                  <c:v>-10.581219544449532</c:v>
                </c:pt>
                <c:pt idx="56">
                  <c:v>-10.390598677605539</c:v>
                </c:pt>
                <c:pt idx="57">
                  <c:v>-10.199372509838833</c:v>
                </c:pt>
                <c:pt idx="58">
                  <c:v>-10.007906356898859</c:v>
                </c:pt>
                <c:pt idx="59">
                  <c:v>-9.8165655345350622</c:v>
                </c:pt>
                <c:pt idx="60">
                  <c:v>-9.6257153584968904</c:v>
                </c:pt>
                <c:pt idx="61">
                  <c:v>-9.4357211445337885</c:v>
                </c:pt>
                <c:pt idx="62">
                  <c:v>-9.246948208395203</c:v>
                </c:pt>
                <c:pt idx="63">
                  <c:v>-9.059761865830577</c:v>
                </c:pt>
                <c:pt idx="64">
                  <c:v>-8.8745274325893604</c:v>
                </c:pt>
                <c:pt idx="65">
                  <c:v>-8.6916102244209981</c:v>
                </c:pt>
                <c:pt idx="66">
                  <c:v>-8.5112995104365545</c:v>
                </c:pt>
                <c:pt idx="67">
                  <c:v>-8.3335803731935645</c:v>
                </c:pt>
                <c:pt idx="68">
                  <c:v>-8.1583618486111948</c:v>
                </c:pt>
                <c:pt idx="69">
                  <c:v>-7.9855529726085974</c:v>
                </c:pt>
                <c:pt idx="70">
                  <c:v>-7.8150627811049338</c:v>
                </c:pt>
                <c:pt idx="71">
                  <c:v>-7.6468003100193602</c:v>
                </c:pt>
                <c:pt idx="72">
                  <c:v>-7.4806745952710365</c:v>
                </c:pt>
                <c:pt idx="73">
                  <c:v>-7.3165946727791189</c:v>
                </c:pt>
                <c:pt idx="74">
                  <c:v>-7.1544695784627672</c:v>
                </c:pt>
                <c:pt idx="75">
                  <c:v>-6.9942083482411395</c:v>
                </c:pt>
                <c:pt idx="76">
                  <c:v>-6.8357200180333928</c:v>
                </c:pt>
                <c:pt idx="77">
                  <c:v>-6.6789136237586861</c:v>
                </c:pt>
                <c:pt idx="78">
                  <c:v>-6.5236982013361775</c:v>
                </c:pt>
                <c:pt idx="79">
                  <c:v>-6.3699827866850258</c:v>
                </c:pt>
                <c:pt idx="80">
                  <c:v>-6.2176764157243873</c:v>
                </c:pt>
                <c:pt idx="81">
                  <c:v>-6.0666881243734236</c:v>
                </c:pt>
                <c:pt idx="82">
                  <c:v>-5.9169269485512901</c:v>
                </c:pt>
                <c:pt idx="83">
                  <c:v>-5.7683019241771465</c:v>
                </c:pt>
                <c:pt idx="84">
                  <c:v>-5.6207220871701491</c:v>
                </c:pt>
                <c:pt idx="85">
                  <c:v>-5.4740964734494577</c:v>
                </c:pt>
                <c:pt idx="86">
                  <c:v>-5.3283341189342304</c:v>
                </c:pt>
                <c:pt idx="87">
                  <c:v>-5.183344059543626</c:v>
                </c:pt>
                <c:pt idx="88">
                  <c:v>-5.0390353311968008</c:v>
                </c:pt>
                <c:pt idx="89">
                  <c:v>-4.8953169698129138</c:v>
                </c:pt>
                <c:pt idx="90">
                  <c:v>-4.7520980113111246</c:v>
                </c:pt>
                <c:pt idx="91">
                  <c:v>-4.6092787297677953</c:v>
                </c:pt>
                <c:pt idx="92">
                  <c:v>-4.4667243518881108</c:v>
                </c:pt>
                <c:pt idx="93">
                  <c:v>-4.32429134253446</c:v>
                </c:pt>
                <c:pt idx="94">
                  <c:v>-4.1818361665692363</c:v>
                </c:pt>
                <c:pt idx="95">
                  <c:v>-4.0392152888548258</c:v>
                </c:pt>
                <c:pt idx="96">
                  <c:v>-3.8962851742536202</c:v>
                </c:pt>
                <c:pt idx="97">
                  <c:v>-3.7529022876280087</c:v>
                </c:pt>
                <c:pt idx="98">
                  <c:v>-3.6089230938403829</c:v>
                </c:pt>
                <c:pt idx="99">
                  <c:v>-3.4642040577531317</c:v>
                </c:pt>
                <c:pt idx="100">
                  <c:v>-3.3186016442286439</c:v>
                </c:pt>
                <c:pt idx="101">
                  <c:v>-3.1719723181293116</c:v>
                </c:pt>
                <c:pt idx="102">
                  <c:v>-3.0241725443175236</c:v>
                </c:pt>
                <c:pt idx="103">
                  <c:v>-2.8750587876556701</c:v>
                </c:pt>
                <c:pt idx="104">
                  <c:v>-2.724487513006141</c:v>
                </c:pt>
                <c:pt idx="105">
                  <c:v>-2.572315185231326</c:v>
                </c:pt>
                <c:pt idx="106">
                  <c:v>-2.4183982691936152</c:v>
                </c:pt>
                <c:pt idx="107">
                  <c:v>-2.2625932297553994</c:v>
                </c:pt>
                <c:pt idx="108">
                  <c:v>-2.1047565317790671</c:v>
                </c:pt>
                <c:pt idx="109">
                  <c:v>-1.9447446401270092</c:v>
                </c:pt>
                <c:pt idx="110">
                  <c:v>-1.7824140196616154</c:v>
                </c:pt>
                <c:pt idx="111">
                  <c:v>-1.6176211352452761</c:v>
                </c:pt>
                <c:pt idx="112">
                  <c:v>-1.4502224517403808</c:v>
                </c:pt>
                <c:pt idx="113">
                  <c:v>-1.2800744340093191</c:v>
                </c:pt>
                <c:pt idx="114">
                  <c:v>-1.1070335469144821</c:v>
                </c:pt>
                <c:pt idx="115">
                  <c:v>-0.93095625531825854</c:v>
                </c:pt>
                <c:pt idx="116">
                  <c:v>-0.75169902408303912</c:v>
                </c:pt>
                <c:pt idx="117">
                  <c:v>-0.56911831807121349</c:v>
                </c:pt>
                <c:pt idx="118">
                  <c:v>-0.38307060214517191</c:v>
                </c:pt>
                <c:pt idx="119">
                  <c:v>-0.19341234116730399</c:v>
                </c:pt>
                <c:pt idx="120">
                  <c:v>1.1102230246251565E-16</c:v>
                </c:pt>
                <c:pt idx="121">
                  <c:v>0.19728259963291028</c:v>
                </c:pt>
                <c:pt idx="122">
                  <c:v>0.39844220856183821</c:v>
                </c:pt>
                <c:pt idx="123">
                  <c:v>0.60345822075575428</c:v>
                </c:pt>
                <c:pt idx="124">
                  <c:v>0.81231003018362935</c:v>
                </c:pt>
                <c:pt idx="125">
                  <c:v>1.0249770308144348</c:v>
                </c:pt>
                <c:pt idx="126">
                  <c:v>1.2414386166171414</c:v>
                </c:pt>
                <c:pt idx="127">
                  <c:v>1.4616741815607202</c:v>
                </c:pt>
                <c:pt idx="128">
                  <c:v>1.6856631196141423</c:v>
                </c:pt>
                <c:pt idx="129">
                  <c:v>1.9133848247463785</c:v>
                </c:pt>
                <c:pt idx="130">
                  <c:v>2.1448186909264</c:v>
                </c:pt>
                <c:pt idx="131">
                  <c:v>2.379944112123177</c:v>
                </c:pt>
                <c:pt idx="132">
                  <c:v>2.6187404823056815</c:v>
                </c:pt>
                <c:pt idx="133">
                  <c:v>2.8611871954428842</c:v>
                </c:pt>
                <c:pt idx="134">
                  <c:v>3.1072636455037559</c:v>
                </c:pt>
                <c:pt idx="135">
                  <c:v>3.3569492264572678</c:v>
                </c:pt>
                <c:pt idx="136">
                  <c:v>3.6102233322723909</c:v>
                </c:pt>
                <c:pt idx="137">
                  <c:v>3.8670653569180962</c:v>
                </c:pt>
                <c:pt idx="138">
                  <c:v>4.1274546943633545</c:v>
                </c:pt>
                <c:pt idx="139">
                  <c:v>4.3913707385771366</c:v>
                </c:pt>
                <c:pt idx="140">
                  <c:v>4.658792883528414</c:v>
                </c:pt>
                <c:pt idx="141">
                  <c:v>4.9297005231861561</c:v>
                </c:pt>
                <c:pt idx="142">
                  <c:v>5.2040730515193365</c:v>
                </c:pt>
                <c:pt idx="143">
                  <c:v>5.4818898624969243</c:v>
                </c:pt>
                <c:pt idx="144">
                  <c:v>5.7631303500878923</c:v>
                </c:pt>
                <c:pt idx="145">
                  <c:v>6.0477739082612096</c:v>
                </c:pt>
                <c:pt idx="146">
                  <c:v>6.3357999309858473</c:v>
                </c:pt>
                <c:pt idx="147">
                  <c:v>6.6271878122307779</c:v>
                </c:pt>
                <c:pt idx="148">
                  <c:v>6.9219169459649699</c:v>
                </c:pt>
                <c:pt idx="149">
                  <c:v>7.2199667261573968</c:v>
                </c:pt>
                <c:pt idx="150">
                  <c:v>7.5213165467770287</c:v>
                </c:pt>
                <c:pt idx="151">
                  <c:v>7.8259458017928365</c:v>
                </c:pt>
                <c:pt idx="152">
                  <c:v>8.1338338851737912</c:v>
                </c:pt>
                <c:pt idx="153">
                  <c:v>8.4449601908888638</c:v>
                </c:pt>
                <c:pt idx="154">
                  <c:v>8.7593041129070262</c:v>
                </c:pt>
                <c:pt idx="155">
                  <c:v>9.0768450451972456</c:v>
                </c:pt>
                <c:pt idx="156">
                  <c:v>9.3975623817284983</c:v>
                </c:pt>
                <c:pt idx="157">
                  <c:v>9.7214355164697519</c:v>
                </c:pt>
                <c:pt idx="158">
                  <c:v>10.048443843389979</c:v>
                </c:pt>
                <c:pt idx="159">
                  <c:v>10.378566756458149</c:v>
                </c:pt>
                <c:pt idx="160">
                  <c:v>10.711783649643236</c:v>
                </c:pt>
                <c:pt idx="161">
                  <c:v>11.048073916914205</c:v>
                </c:pt>
                <c:pt idx="162">
                  <c:v>11.387416952240034</c:v>
                </c:pt>
                <c:pt idx="163">
                  <c:v>11.72979214958969</c:v>
                </c:pt>
                <c:pt idx="164">
                  <c:v>12.075178902932144</c:v>
                </c:pt>
                <c:pt idx="165">
                  <c:v>12.423556606236369</c:v>
                </c:pt>
                <c:pt idx="166">
                  <c:v>12.774893943314929</c:v>
                </c:pt>
                <c:pt idx="167">
                  <c:v>13.129116757354781</c:v>
                </c:pt>
                <c:pt idx="168">
                  <c:v>13.486140181386475</c:v>
                </c:pt>
                <c:pt idx="169">
                  <c:v>13.84587934844056</c:v>
                </c:pt>
                <c:pt idx="170">
                  <c:v>14.208249391547588</c:v>
                </c:pt>
                <c:pt idx="171">
                  <c:v>14.573165443738105</c:v>
                </c:pt>
                <c:pt idx="172">
                  <c:v>14.940542638042665</c:v>
                </c:pt>
                <c:pt idx="173">
                  <c:v>15.310296107491819</c:v>
                </c:pt>
                <c:pt idx="174">
                  <c:v>15.682340985116117</c:v>
                </c:pt>
                <c:pt idx="175">
                  <c:v>16.056592403946109</c:v>
                </c:pt>
                <c:pt idx="176">
                  <c:v>16.43296549701234</c:v>
                </c:pt>
                <c:pt idx="177">
                  <c:v>16.811375397345365</c:v>
                </c:pt>
                <c:pt idx="178">
                  <c:v>17.191737237975737</c:v>
                </c:pt>
                <c:pt idx="179">
                  <c:v>17.573966151934002</c:v>
                </c:pt>
                <c:pt idx="180">
                  <c:v>17.957977272250712</c:v>
                </c:pt>
                <c:pt idx="181">
                  <c:v>18.343685731956416</c:v>
                </c:pt>
                <c:pt idx="182">
                  <c:v>18.731006664081665</c:v>
                </c:pt>
                <c:pt idx="183">
                  <c:v>19.11985520165701</c:v>
                </c:pt>
                <c:pt idx="184">
                  <c:v>19.510146477713</c:v>
                </c:pt>
                <c:pt idx="185">
                  <c:v>19.901795625280187</c:v>
                </c:pt>
                <c:pt idx="186">
                  <c:v>20.294717777389117</c:v>
                </c:pt>
                <c:pt idx="187">
                  <c:v>20.688828067070343</c:v>
                </c:pt>
                <c:pt idx="188">
                  <c:v>21.084041627354416</c:v>
                </c:pt>
                <c:pt idx="189">
                  <c:v>21.480273591271889</c:v>
                </c:pt>
                <c:pt idx="190">
                  <c:v>21.877439091853308</c:v>
                </c:pt>
                <c:pt idx="191">
                  <c:v>22.275453262129222</c:v>
                </c:pt>
                <c:pt idx="192">
                  <c:v>22.674231235130186</c:v>
                </c:pt>
                <c:pt idx="193">
                  <c:v>23.073688143886748</c:v>
                </c:pt>
                <c:pt idx="194">
                  <c:v>23.473739121429457</c:v>
                </c:pt>
                <c:pt idx="195">
                  <c:v>23.874299300788863</c:v>
                </c:pt>
                <c:pt idx="196">
                  <c:v>24.275283814995522</c:v>
                </c:pt>
                <c:pt idx="197">
                  <c:v>24.676607797079974</c:v>
                </c:pt>
                <c:pt idx="198">
                  <c:v>25.078186380072779</c:v>
                </c:pt>
                <c:pt idx="199">
                  <c:v>25.479934697004484</c:v>
                </c:pt>
                <c:pt idx="200">
                  <c:v>25.881767880905638</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-21.791567045586209</c:v>
                </c:pt>
                <c:pt idx="1">
                  <c:v>-13.119481726760494</c:v>
                </c:pt>
                <c:pt idx="2">
                  <c:v>-8.6916102244209963</c:v>
                </c:pt>
                <c:pt idx="3">
                  <c:v>-4.7520980113111246</c:v>
                </c:pt>
                <c:pt idx="4">
                  <c:v>0</c:v>
                </c:pt>
                <c:pt idx="5">
                  <c:v>12.423556606236367</c:v>
                </c:pt>
                <c:pt idx="6">
                  <c:v>25.881767880905638</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-21.686099655080199</c:v>
                </c:pt>
                <c:pt idx="1">
                  <c:v>-21.559452889666467</c:v>
                </c:pt>
                <c:pt idx="2">
                  <c:v>-21.424283517792126</c:v>
                </c:pt>
                <c:pt idx="3">
                  <c:v>-21.281088614757589</c:v>
                </c:pt>
                <c:pt idx="4">
                  <c:v>-21.130346390201581</c:v>
                </c:pt>
                <c:pt idx="5">
                  <c:v>-20.972516883475503</c:v>
                </c:pt>
                <c:pt idx="6">
                  <c:v>-20.808042631678447</c:v>
                </c:pt>
                <c:pt idx="7">
                  <c:v>-20.637349311111617</c:v>
                </c:pt>
                <c:pt idx="8">
                  <c:v>-20.460846352901491</c:v>
                </c:pt>
                <c:pt idx="9">
                  <c:v>-20.278927533530929</c:v>
                </c:pt>
                <c:pt idx="10">
                  <c:v>-20.091971541008522</c:v>
                </c:pt>
                <c:pt idx="11">
                  <c:v>-19.900342517396449</c:v>
                </c:pt>
                <c:pt idx="12">
                  <c:v>-19.704390578407487</c:v>
                </c:pt>
                <c:pt idx="13">
                  <c:v>-19.504452310772699</c:v>
                </c:pt>
                <c:pt idx="14">
                  <c:v>-19.300851248071023</c:v>
                </c:pt>
                <c:pt idx="15">
                  <c:v>-19.093898325703112</c:v>
                </c:pt>
                <c:pt idx="16">
                  <c:v>-18.883892315681656</c:v>
                </c:pt>
                <c:pt idx="17">
                  <c:v>-18.671120241901171</c:v>
                </c:pt>
                <c:pt idx="18">
                  <c:v>-18.455857776540352</c:v>
                </c:pt>
                <c:pt idx="19">
                  <c:v>-18.238369618240824</c:v>
                </c:pt>
                <c:pt idx="20">
                  <c:v>-18.01890985269625</c:v>
                </c:pt>
                <c:pt idx="21">
                  <c:v>-17.797722296276309</c:v>
                </c:pt>
                <c:pt idx="22">
                  <c:v>-17.57504082330054</c:v>
                </c:pt>
                <c:pt idx="23">
                  <c:v>-17.351089677567195</c:v>
                </c:pt>
                <c:pt idx="24">
                  <c:v>-17.126083768732919</c:v>
                </c:pt>
                <c:pt idx="25">
                  <c:v>-16.900228954129446</c:v>
                </c:pt>
                <c:pt idx="26">
                  <c:v>-16.673722306593731</c:v>
                </c:pt>
                <c:pt idx="27">
                  <c:v>-16.446752368878535</c:v>
                </c:pt>
                <c:pt idx="28">
                  <c:v>-16.21949939520082</c:v>
                </c:pt>
                <c:pt idx="29">
                  <c:v>-15.992135580475814</c:v>
                </c:pt>
                <c:pt idx="30">
                  <c:v>-15.764825277774692</c:v>
                </c:pt>
                <c:pt idx="31">
                  <c:v>-15.537725204534787</c:v>
                </c:pt>
                <c:pt idx="32">
                  <c:v>-15.310984638041109</c:v>
                </c:pt>
                <c:pt idx="33">
                  <c:v>-15.084745600688672</c:v>
                </c:pt>
                <c:pt idx="34">
                  <c:v>-14.85914303552547</c:v>
                </c:pt>
                <c:pt idx="35">
                  <c:v>-14.634304972566326</c:v>
                </c:pt>
                <c:pt idx="36">
                  <c:v>-14.410352686358285</c:v>
                </c:pt>
                <c:pt idx="37">
                  <c:v>-14.187400845268575</c:v>
                </c:pt>
                <c:pt idx="38">
                  <c:v>-13.965557652956628</c:v>
                </c:pt>
                <c:pt idx="39">
                  <c:v>-13.74492498248212</c:v>
                </c:pt>
                <c:pt idx="40">
                  <c:v>-13.525598503491192</c:v>
                </c:pt>
                <c:pt idx="41">
                  <c:v>-13.307667802913663</c:v>
                </c:pt>
                <c:pt idx="42">
                  <c:v>-13.091216499594315</c:v>
                </c:pt>
                <c:pt idx="43">
                  <c:v>-12.876322353271785</c:v>
                </c:pt>
                <c:pt idx="44">
                  <c:v>-12.663057368309014</c:v>
                </c:pt>
                <c:pt idx="45">
                  <c:v>-12.451487892569585</c:v>
                </c:pt>
                <c:pt idx="46">
                  <c:v>-12.241674711824732</c:v>
                </c:pt>
                <c:pt idx="47">
                  <c:v>-12.033673140066156</c:v>
                </c:pt>
                <c:pt idx="48">
                  <c:v>-11.827533106090328</c:v>
                </c:pt>
                <c:pt idx="49">
                  <c:v>-11.623299236710135</c:v>
                </c:pt>
                <c:pt idx="50">
                  <c:v>-11.421010936940384</c:v>
                </c:pt>
                <c:pt idx="51">
                  <c:v>-11.220702467493938</c:v>
                </c:pt>
                <c:pt idx="52">
                  <c:v>-11.022403019915744</c:v>
                </c:pt>
                <c:pt idx="53">
                  <c:v>-10.826136789672331</c:v>
                </c:pt>
                <c:pt idx="54">
                  <c:v>-10.631923047504866</c:v>
                </c:pt>
                <c:pt idx="55">
                  <c:v>-10.439776209344277</c:v>
                </c:pt>
                <c:pt idx="56">
                  <c:v>-10.249705905077205</c:v>
                </c:pt>
                <c:pt idx="57">
                  <c:v>-10.061717046442178</c:v>
                </c:pt>
                <c:pt idx="58">
                  <c:v>-9.8758098943256272</c:v>
                </c:pt>
                <c:pt idx="59">
                  <c:v>-9.6919801257178779</c:v>
                </c:pt>
                <c:pt idx="60">
                  <c:v>-9.5102189005796429</c:v>
                </c:pt>
                <c:pt idx="61">
                  <c:v>-9.3305129288599051</c:v>
                </c:pt>
                <c:pt idx="62">
                  <c:v>-9.1528445378966037</c:v>
                </c:pt>
                <c:pt idx="63">
                  <c:v>-8.9771917404217554</c:v>
                </c:pt>
                <c:pt idx="64">
                  <c:v>-8.8035283033832883</c:v>
                </c:pt>
                <c:pt idx="65">
                  <c:v>-8.6318238177861115</c:v>
                </c:pt>
                <c:pt idx="66">
                  <c:v>-8.4620437697453426</c:v>
                </c:pt>
                <c:pt idx="67">
                  <c:v>-8.2941496129352199</c:v>
                </c:pt>
                <c:pt idx="68">
                  <c:v>-8.1280988426073701</c:v>
                </c:pt>
                <c:pt idx="69">
                  <c:v>-7.9638450713427131</c:v>
                </c:pt>
                <c:pt idx="70">
                  <c:v>-7.8013381066916443</c:v>
                </c:pt>
                <c:pt idx="71">
                  <c:v>-7.6405240308474669</c:v>
                </c:pt>
                <c:pt idx="72">
                  <c:v>-7.4813452824885873</c:v>
                </c:pt>
                <c:pt idx="73">
                  <c:v>-7.3237407409152935</c:v>
                </c:pt>
                <c:pt idx="74">
                  <c:v>-7.1676458125973923</c:v>
                </c:pt>
                <c:pt idx="75">
                  <c:v>-7.012992520239405</c:v>
                </c:pt>
                <c:pt idx="76">
                  <c:v>-6.8597095944603739</c:v>
                </c:pt>
                <c:pt idx="77">
                  <c:v>-6.7077225681758366</c:v>
                </c:pt>
                <c:pt idx="78">
                  <c:v>-6.5569538737598192</c:v>
                </c:pt>
                <c:pt idx="79">
                  <c:v>-6.4073229430552345</c:v>
                </c:pt>
                <c:pt idx="80">
                  <c:v>-6.2587463102913539</c:v>
                </c:pt>
                <c:pt idx="81">
                  <c:v>-6.1111377179575737</c:v>
                </c:pt>
                <c:pt idx="82">
                  <c:v>-5.9644082256729662</c:v>
                </c:pt>
                <c:pt idx="83">
                  <c:v>-5.8184663220816235</c:v>
                </c:pt>
                <c:pt idx="84">
                  <c:v>-5.673218039794155</c:v>
                </c:pt>
                <c:pt idx="85">
                  <c:v>-5.5285670733861405</c:v>
                </c:pt>
                <c:pt idx="86">
                  <c:v>-5.3844149004547299</c:v>
                </c:pt>
                <c:pt idx="87">
                  <c:v>-5.240660905725016</c:v>
                </c:pt>
                <c:pt idx="88">
                  <c:v>-5.0972025081881629</c:v>
                </c:pt>
                <c:pt idx="89">
                  <c:v>-4.9539352912437913</c:v>
                </c:pt>
                <c:pt idx="90">
                  <c:v>-4.8107531358093993</c:v>
                </c:pt>
                <c:pt idx="91">
                  <c:v>-4.6675483563501201</c:v>
                </c:pt>
                <c:pt idx="92">
                  <c:v>-4.5242118397724536</c:v>
                </c:pt>
                <c:pt idx="93">
                  <c:v>-4.380633187116068</c:v>
                </c:pt>
                <c:pt idx="94">
                  <c:v>-4.2367008579681524</c:v>
                </c:pt>
                <c:pt idx="95">
                  <c:v>-4.0923023175152133</c:v>
                </c:pt>
                <c:pt idx="96">
                  <c:v>-3.9473241861376538</c:v>
                </c:pt>
                <c:pt idx="97">
                  <c:v>-3.8016523914428126</c:v>
                </c:pt>
                <c:pt idx="98">
                  <c:v>-3.6551723226226311</c:v>
                </c:pt>
                <c:pt idx="99">
                  <c:v>-3.5077689870124789</c:v>
                </c:pt>
                <c:pt idx="100">
                  <c:v>-3.3593271687180923</c:v>
                </c:pt>
                <c:pt idx="101">
                  <c:v>-3.2097315891679901</c:v>
                </c:pt>
                <c:pt idx="102">
                  <c:v>-3.0588670694391458</c:v>
                </c:pt>
                <c:pt idx="103">
                  <c:v>-2.9066186941941008</c:v>
                </c:pt>
                <c:pt idx="104">
                  <c:v>-2.7528719770581227</c:v>
                </c:pt>
                <c:pt idx="105">
                  <c:v>-2.5975130272554026</c:v>
                </c:pt>
                <c:pt idx="106">
                  <c:v>-2.4404287173137336</c:v>
                </c:pt>
                <c:pt idx="107">
                  <c:v>-2.2815068516374835</c:v>
                </c:pt>
                <c:pt idx="108">
                  <c:v>-2.1206363357391123</c:v>
                </c:pt>
                <c:pt idx="109">
                  <c:v>-1.9577073459098802</c:v>
                </c:pt>
                <c:pt idx="110">
                  <c:v>-1.7926114991008248</c:v>
                </c:pt>
                <c:pt idx="111">
                  <c:v>-1.6252420227754607</c:v>
                </c:pt>
                <c:pt idx="112">
                  <c:v>-1.4554939244861087</c:v>
                </c:pt>
                <c:pt idx="113">
                  <c:v>-1.2832641609161368</c:v>
                </c:pt>
                <c:pt idx="114">
                  <c:v>-1.1084518061208259</c:v>
                </c:pt>
                <c:pt idx="115">
                  <c:v>-0.93095821868998097</c:v>
                </c:pt>
                <c:pt idx="116">
                  <c:v>-0.75068720754581197</c:v>
                </c:pt>
                <c:pt idx="117">
                  <c:v>-0.56754519608003096</c:v>
                </c:pt>
                <c:pt idx="118">
                  <c:v>-0.38144138432451224</c:v>
                </c:pt>
                <c:pt idx="119">
                  <c:v>-0.19228790884028044</c:v>
                </c:pt>
                <c:pt idx="120">
                  <c:v>0</c:v>
                </c:pt>
                <c:pt idx="121">
                  <c:v>0.19550386367045072</c:v>
                </c:pt>
                <c:pt idx="122">
                  <c:v>0.39430180443532403</c:v>
                </c:pt>
                <c:pt idx="123">
                  <c:v>0.59646839793086059</c:v>
                </c:pt>
                <c:pt idx="124">
                  <c:v>0.80207452974884386</c:v>
                </c:pt>
                <c:pt idx="125">
                  <c:v>1.0111872563946191</c:v>
                </c:pt>
                <c:pt idx="126">
                  <c:v>1.2238696710019441</c:v>
                </c:pt>
                <c:pt idx="127">
                  <c:v>1.4401807741966137</c:v>
                </c:pt>
                <c:pt idx="128">
                  <c:v>1.6601753505104062</c:v>
                </c:pt>
                <c:pt idx="129">
                  <c:v>1.8839038507564703</c:v>
                </c:pt>
                <c:pt idx="130">
                  <c:v>2.1114122807868747</c:v>
                </c:pt>
                <c:pt idx="131">
                  <c:v>2.3427420970626258</c:v>
                </c:pt>
                <c:pt idx="132">
                  <c:v>2.5779301094760516</c:v>
                </c:pt>
                <c:pt idx="133">
                  <c:v>2.8170083918750235</c:v>
                </c:pt>
                <c:pt idx="134">
                  <c:v>3.0600042007481054</c:v>
                </c:pt>
                <c:pt idx="135">
                  <c:v>3.3069399025392858</c:v>
                </c:pt>
                <c:pt idx="136">
                  <c:v>3.5578329100705353</c:v>
                </c:pt>
                <c:pt idx="137">
                  <c:v>3.8126956285600451</c:v>
                </c:pt>
                <c:pt idx="138">
                  <c:v>4.0715354117335654</c:v>
                </c:pt>
                <c:pt idx="139">
                  <c:v>4.3343545285358624</c:v>
                </c:pt>
                <c:pt idx="140">
                  <c:v>4.6011501409589126</c:v>
                </c:pt>
                <c:pt idx="141">
                  <c:v>4.871914293513008</c:v>
                </c:pt>
                <c:pt idx="142">
                  <c:v>5.1466339148765776</c:v>
                </c:pt>
                <c:pt idx="143">
                  <c:v>5.4252908322701101</c:v>
                </c:pt>
                <c:pt idx="144">
                  <c:v>5.707861799109093</c:v>
                </c:pt>
                <c:pt idx="145">
                  <c:v>5.9943185365005771</c:v>
                </c:pt>
                <c:pt idx="146">
                  <c:v>6.2846277891574722</c:v>
                </c:pt>
                <c:pt idx="147">
                  <c:v>6.5787513963143276</c:v>
                </c:pt>
                <c:pt idx="148">
                  <c:v>6.8766463782378899</c:v>
                </c:pt>
                <c:pt idx="149">
                  <c:v>7.1782650389353675</c:v>
                </c:pt>
                <c:pt idx="150">
                  <c:v>7.4835550856729096</c:v>
                </c:pt>
                <c:pt idx="151">
                  <c:v>7.7924597659263402</c:v>
                </c:pt>
                <c:pt idx="152">
                  <c:v>8.1049180223958874</c:v>
                </c:pt>
                <c:pt idx="153">
                  <c:v>8.420864666726116</c:v>
                </c:pt>
                <c:pt idx="154">
                  <c:v>8.7402305725819591</c:v>
                </c:pt>
                <c:pt idx="155">
                  <c:v>9.0629428887412509</c:v>
                </c:pt>
                <c:pt idx="156">
                  <c:v>9.3889252728738395</c:v>
                </c:pt>
                <c:pt idx="157">
                  <c:v>9.7180981466868559</c:v>
                </c:pt>
                <c:pt idx="158">
                  <c:v>10.050378973125387</c:v>
                </c:pt>
                <c:pt idx="159">
                  <c:v>10.385682556327327</c:v>
                </c:pt>
                <c:pt idx="160">
                  <c:v>10.723921365040809</c:v>
                </c:pt>
                <c:pt idx="161">
                  <c:v>11.065005880222152</c:v>
                </c:pt>
                <c:pt idx="162">
                  <c:v>11.408844967542011</c:v>
                </c:pt>
                <c:pt idx="163">
                  <c:v>11.755346275536697</c:v>
                </c:pt>
                <c:pt idx="164">
                  <c:v>12.104416660151584</c:v>
                </c:pt>
                <c:pt idx="165">
                  <c:v>12.455962636432851</c:v>
                </c:pt>
                <c:pt idx="166">
                  <c:v>12.809890858133484</c:v>
                </c:pt>
                <c:pt idx="167">
                  <c:v>13.166108626009077</c:v>
                </c:pt>
                <c:pt idx="168">
                  <c:v>13.524524425588506</c:v>
                </c:pt>
                <c:pt idx="169">
                  <c:v>13.885048495214201</c:v>
                </c:pt>
                <c:pt idx="170">
                  <c:v>14.247593425156234</c:v>
                </c:pt>
                <c:pt idx="171">
                  <c:v>14.612074788614176</c:v>
                </c:pt>
                <c:pt idx="172">
                  <c:v>14.978411805430083</c:v>
                </c:pt>
                <c:pt idx="173">
                  <c:v>15.34652803934574</c:v>
                </c:pt>
                <c:pt idx="174">
                  <c:v>15.716352129646761</c:v>
                </c:pt>
                <c:pt idx="175">
                  <c:v>16.087818558045747</c:v>
                </c:pt>
                <c:pt idx="176">
                  <c:v>16.460868451666357</c:v>
                </c:pt>
                <c:pt idx="177">
                  <c:v>16.835450422999678</c:v>
                </c:pt>
                <c:pt idx="178">
                  <c:v>17.21152144771391</c:v>
                </c:pt>
                <c:pt idx="179">
                  <c:v>17.58904778120781</c:v>
                </c:pt>
                <c:pt idx="180">
                  <c:v>17.968005914808341</c:v>
                </c:pt>
                <c:pt idx="181">
                  <c:v>18.348383572521964</c:v>
                </c:pt>
                <c:pt idx="182">
                  <c:v>18.730180749259155</c:v>
                </c:pt>
                <c:pt idx="183">
                  <c:v>19.113410791460996</c:v>
                </c:pt>
                <c:pt idx="184">
                  <c:v>19.498101521066332</c:v>
                </c:pt>
                <c:pt idx="185">
                  <c:v>19.884296403767667</c:v>
                </c:pt>
                <c:pt idx="186">
                  <c:v>20.272055762513482</c:v>
                </c:pt>
                <c:pt idx="187">
                  <c:v>20.661458037224303</c:v>
                </c:pt>
                <c:pt idx="188">
                  <c:v>21.052601091699255</c:v>
                </c:pt>
                <c:pt idx="189">
                  <c:v>21.445603568699827</c:v>
                </c:pt>
                <c:pt idx="190">
                  <c:v>21.840606294206633</c:v>
                </c:pt>
                <c:pt idx="191">
                  <c:v>22.237773731855022</c:v>
                </c:pt>
                <c:pt idx="192">
                  <c:v>22.6372954885647</c:v>
                </c:pt>
                <c:pt idx="193">
                  <c:v>23.039387872388119</c:v>
                </c:pt>
                <c:pt idx="194">
                  <c:v>23.444295503612185</c:v>
                </c:pt>
                <c:pt idx="195">
                  <c:v>23.852292980157234</c:v>
                </c:pt>
                <c:pt idx="196">
                  <c:v>24.263686598326789</c:v>
                </c:pt>
                <c:pt idx="197">
                  <c:v>24.678816129971398</c:v>
                </c:pt>
                <c:pt idx="198">
                  <c:v>25.098056657139306</c:v>
                </c:pt>
                <c:pt idx="199">
                  <c:v>25.521820465296223</c:v>
                </c:pt>
                <c:pt idx="200">
                  <c:v>25.950558996206247</c:v>
                </c:pt>
              </c:numCache>
            </c:numRef>
          </c:yVal>
          <c:smooth val="1"/>
        </c:ser>
        <c:dLbls>
          <c:showLegendKey val="0"/>
          <c:showVal val="0"/>
          <c:showCatName val="0"/>
          <c:showSerName val="0"/>
          <c:showPercent val="0"/>
          <c:showBubbleSize val="0"/>
        </c:dLbls>
        <c:axId val="458038984"/>
        <c:axId val="458040944"/>
      </c:scatterChart>
      <c:valAx>
        <c:axId val="45803898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8040944"/>
        <c:crossesAt val="-1000"/>
        <c:crossBetween val="midCat"/>
      </c:valAx>
      <c:valAx>
        <c:axId val="458040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803898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460375</xdr:colOff>
      <xdr:row>419</xdr:row>
      <xdr:rowOff>180181</xdr:rowOff>
    </xdr:from>
    <xdr:to>
      <xdr:col>22</xdr:col>
      <xdr:colOff>460375</xdr:colOff>
      <xdr:row>434</xdr:row>
      <xdr:rowOff>65881</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72</xdr:row>
      <xdr:rowOff>190499</xdr:rowOff>
    </xdr:from>
    <xdr:to>
      <xdr:col>19</xdr:col>
      <xdr:colOff>363682</xdr:colOff>
      <xdr:row>93</xdr:row>
      <xdr:rowOff>147204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152</xdr:row>
      <xdr:rowOff>0</xdr:rowOff>
    </xdr:from>
    <xdr:to>
      <xdr:col>19</xdr:col>
      <xdr:colOff>760866</xdr:colOff>
      <xdr:row>174</xdr:row>
      <xdr:rowOff>181841</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753341</xdr:colOff>
      <xdr:row>175</xdr:row>
      <xdr:rowOff>8659</xdr:rowOff>
    </xdr:from>
    <xdr:to>
      <xdr:col>20</xdr:col>
      <xdr:colOff>8659</xdr:colOff>
      <xdr:row>196</xdr:row>
      <xdr:rowOff>84859</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E11" sqref="E11"/>
    </sheetView>
  </sheetViews>
  <sheetFormatPr baseColWidth="10" defaultRowHeight="15" x14ac:dyDescent="0.25"/>
  <cols>
    <col min="1" max="1" width="22.140625" customWidth="1"/>
  </cols>
  <sheetData>
    <row r="1" spans="1:13" x14ac:dyDescent="0.25">
      <c r="A1" s="13" t="s">
        <v>102</v>
      </c>
      <c r="B1" s="63" t="s">
        <v>165</v>
      </c>
      <c r="D1" t="s">
        <v>103</v>
      </c>
    </row>
    <row r="2" spans="1:13" x14ac:dyDescent="0.25">
      <c r="A2" s="13" t="s">
        <v>104</v>
      </c>
      <c r="B2" s="63" t="s">
        <v>105</v>
      </c>
      <c r="D2" s="124" t="s">
        <v>106</v>
      </c>
      <c r="E2" s="124"/>
      <c r="F2" s="124"/>
      <c r="G2" s="124"/>
      <c r="H2" s="124"/>
      <c r="I2" s="124"/>
      <c r="J2" s="124"/>
      <c r="K2" s="124"/>
      <c r="L2" s="124"/>
      <c r="M2" s="124"/>
    </row>
    <row r="3" spans="1:13" x14ac:dyDescent="0.25">
      <c r="D3" s="124"/>
      <c r="E3" s="124"/>
      <c r="F3" s="124"/>
      <c r="G3" s="124"/>
      <c r="H3" s="124"/>
      <c r="I3" s="124"/>
      <c r="J3" s="124"/>
      <c r="K3" s="124"/>
      <c r="L3" s="124"/>
      <c r="M3" s="124"/>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69" workbookViewId="0">
      <selection activeCell="B74" sqref="B74"/>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130</v>
      </c>
    </row>
    <row r="22" spans="1:2" s="11" customFormat="1" x14ac:dyDescent="0.25">
      <c r="A22" s="61" t="s">
        <v>156</v>
      </c>
      <c r="B22" s="99">
        <f>CTE!N8-0.5</f>
        <v>140</v>
      </c>
    </row>
    <row r="23" spans="1:2" s="11" customFormat="1" x14ac:dyDescent="0.25">
      <c r="A23" s="61" t="s">
        <v>157</v>
      </c>
      <c r="B23" s="99">
        <f>CTE!N9</f>
        <v>180.5</v>
      </c>
    </row>
    <row r="24" spans="1:2" s="11" customFormat="1" x14ac:dyDescent="0.25"/>
    <row r="25" spans="1:2" s="11" customFormat="1" x14ac:dyDescent="0.25">
      <c r="A25" s="61" t="s">
        <v>146</v>
      </c>
      <c r="B25" s="53">
        <f>CTE!O5</f>
        <v>2.4163381142857142E-5</v>
      </c>
    </row>
    <row r="26" spans="1:2" s="11" customFormat="1" x14ac:dyDescent="0.25">
      <c r="A26" s="61" t="s">
        <v>147</v>
      </c>
      <c r="B26" s="53">
        <f>CTE!O6</f>
        <v>2.6285482285714284E-5</v>
      </c>
    </row>
    <row r="27" spans="1:2" s="11" customFormat="1" x14ac:dyDescent="0.25">
      <c r="A27" s="61" t="s">
        <v>148</v>
      </c>
      <c r="B27" s="53">
        <f>CTE!O8</f>
        <v>6.8039453714285723E-5</v>
      </c>
    </row>
    <row r="28" spans="1:2" s="11" customFormat="1" x14ac:dyDescent="0.25">
      <c r="A28" s="61" t="s">
        <v>149</v>
      </c>
      <c r="B28" s="53">
        <f>CTE!O9</f>
        <v>6.7913481714285714E-5</v>
      </c>
    </row>
    <row r="29" spans="1:2" s="11" customFormat="1" x14ac:dyDescent="0.25">
      <c r="A29" s="61"/>
    </row>
    <row r="30" spans="1:2" s="11" customFormat="1" x14ac:dyDescent="0.25">
      <c r="A30" s="61" t="s">
        <v>150</v>
      </c>
      <c r="B30" s="52">
        <f>CTE!P5</f>
        <v>2.1265021444444447E-5</v>
      </c>
    </row>
    <row r="31" spans="1:2" s="11" customFormat="1" x14ac:dyDescent="0.25">
      <c r="A31" s="61" t="s">
        <v>151</v>
      </c>
      <c r="B31" s="52">
        <f>CTE!P6</f>
        <v>2.2263357333333333E-5</v>
      </c>
    </row>
    <row r="32" spans="1:2" s="11" customFormat="1" x14ac:dyDescent="0.25">
      <c r="A32" s="61" t="s">
        <v>152</v>
      </c>
      <c r="B32" s="52">
        <f>CTE!P8</f>
        <v>3.7565950000000002E-5</v>
      </c>
    </row>
    <row r="33" spans="1:2" s="11" customFormat="1" x14ac:dyDescent="0.25">
      <c r="A33" s="61" t="s">
        <v>153</v>
      </c>
      <c r="B33" s="52">
        <f>CTE!P9</f>
        <v>3.810576666666667E-5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0.1938825776333612</v>
      </c>
      <c r="D59" s="55">
        <v>1</v>
      </c>
    </row>
    <row r="60" spans="1:4" s="11" customFormat="1" x14ac:dyDescent="0.25">
      <c r="A60" s="54">
        <v>2</v>
      </c>
      <c r="B60" s="56">
        <f>'Shiftfunktion bestimmen'!N2</f>
        <v>1.6081190690350618E-3</v>
      </c>
      <c r="D60" s="55">
        <v>2</v>
      </c>
    </row>
    <row r="61" spans="1:4" s="11" customFormat="1" x14ac:dyDescent="0.25">
      <c r="A61" s="54">
        <v>3</v>
      </c>
      <c r="B61" s="56">
        <f>'Shiftfunktion bestimmen'!N3</f>
        <v>1.3309866573770696E-5</v>
      </c>
      <c r="D61" s="55">
        <v>3</v>
      </c>
    </row>
    <row r="62" spans="1:4" s="11" customFormat="1" x14ac:dyDescent="0.25">
      <c r="A62" s="54">
        <v>4</v>
      </c>
      <c r="B62" s="56">
        <f>'Shiftfunktion bestimmen'!N4</f>
        <v>-1.4165900034765881E-7</v>
      </c>
      <c r="D62" s="55">
        <v>4</v>
      </c>
    </row>
    <row r="63" spans="1:4" s="11" customFormat="1" x14ac:dyDescent="0.25">
      <c r="A63" s="54">
        <v>5</v>
      </c>
      <c r="B63" s="56">
        <f>'Shiftfunktion bestimmen'!N5</f>
        <v>-1.2446405118092772E-9</v>
      </c>
      <c r="D63" s="55">
        <v>5</v>
      </c>
    </row>
    <row r="64" spans="1:4" s="11" customFormat="1" x14ac:dyDescent="0.25">
      <c r="A64" s="54">
        <v>6</v>
      </c>
      <c r="B64" s="56">
        <f>'Shiftfunktion bestimmen'!N6</f>
        <v>5.050160649918868E-12</v>
      </c>
      <c r="D64" s="55">
        <v>6</v>
      </c>
    </row>
    <row r="65" spans="1:5" s="11" customFormat="1" x14ac:dyDescent="0.25">
      <c r="A65" s="54">
        <v>7</v>
      </c>
      <c r="B65" s="56">
        <f>'Shiftfunktion bestimmen'!N7</f>
        <v>7.1108764767926475E-14</v>
      </c>
      <c r="D65" s="55">
        <v>7</v>
      </c>
    </row>
    <row r="66" spans="1:5" x14ac:dyDescent="0.25">
      <c r="A66" s="54">
        <v>8</v>
      </c>
      <c r="B66" s="56">
        <f>'Shiftfunktion bestimmen'!N8</f>
        <v>2.3782345376068429E-16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'Universal Mastercurve'!C111</f>
        <v>0</v>
      </c>
      <c r="D74" s="51">
        <v>1</v>
      </c>
      <c r="E74" s="56">
        <f>'Universal Mastercurve'!A111</f>
        <v>1.0000000000000001E-20</v>
      </c>
    </row>
    <row r="75" spans="1:5" x14ac:dyDescent="0.25">
      <c r="A75" s="50">
        <f>A74+1</f>
        <v>2</v>
      </c>
      <c r="B75" s="56">
        <f>'Universal Mastercurve'!C112</f>
        <v>0</v>
      </c>
      <c r="D75" s="51">
        <v>2</v>
      </c>
      <c r="E75" s="56">
        <f>'Universal Mastercurve'!A112</f>
        <v>3.9038946506297401E-14</v>
      </c>
    </row>
    <row r="76" spans="1:5" x14ac:dyDescent="0.25">
      <c r="A76" s="50">
        <f t="shared" ref="A76:A104" si="0">A75+1</f>
        <v>3</v>
      </c>
      <c r="B76" s="56">
        <f>'Universal Mastercurve'!C113</f>
        <v>0</v>
      </c>
      <c r="D76" s="51">
        <v>3</v>
      </c>
      <c r="E76" s="56">
        <f>'Universal Mastercurve'!A113</f>
        <v>4.3276437088188502E-13</v>
      </c>
    </row>
    <row r="77" spans="1:5" x14ac:dyDescent="0.25">
      <c r="A77" s="50">
        <f t="shared" si="0"/>
        <v>4</v>
      </c>
      <c r="B77" s="56">
        <f>'Universal Mastercurve'!C114</f>
        <v>0</v>
      </c>
      <c r="D77" s="51">
        <v>4</v>
      </c>
      <c r="E77" s="56">
        <f>'Universal Mastercurve'!A114</f>
        <v>4.7973886968128502E-12</v>
      </c>
    </row>
    <row r="78" spans="1:5" x14ac:dyDescent="0.25">
      <c r="A78" s="50">
        <f t="shared" si="0"/>
        <v>5</v>
      </c>
      <c r="B78" s="56">
        <f>'Universal Mastercurve'!C115</f>
        <v>3.247676368639444E-2</v>
      </c>
      <c r="D78" s="51">
        <v>5</v>
      </c>
      <c r="E78" s="56">
        <f>'Universal Mastercurve'!A115</f>
        <v>5.31812225239524E-11</v>
      </c>
    </row>
    <row r="79" spans="1:5" x14ac:dyDescent="0.25">
      <c r="A79" s="50">
        <f t="shared" si="0"/>
        <v>6</v>
      </c>
      <c r="B79" s="56">
        <f>'Universal Mastercurve'!C116</f>
        <v>2.0378497834738891E-2</v>
      </c>
      <c r="D79" s="51">
        <v>6</v>
      </c>
      <c r="E79" s="56">
        <f>'Universal Mastercurve'!A116</f>
        <v>5.8953789402578301E-10</v>
      </c>
    </row>
    <row r="80" spans="1:5" x14ac:dyDescent="0.25">
      <c r="A80" s="50">
        <f t="shared" si="0"/>
        <v>7</v>
      </c>
      <c r="B80" s="56">
        <f>'Universal Mastercurve'!C117</f>
        <v>3.8059353573918403E-2</v>
      </c>
      <c r="D80" s="51">
        <v>7</v>
      </c>
      <c r="E80" s="56">
        <f>'Universal Mastercurve'!A117</f>
        <v>6.5352940755699598E-9</v>
      </c>
    </row>
    <row r="81" spans="1:5" x14ac:dyDescent="0.25">
      <c r="A81" s="50">
        <f t="shared" si="0"/>
        <v>8</v>
      </c>
      <c r="B81" s="56">
        <f>'Universal Mastercurve'!C118</f>
        <v>3.7005019597113116E-2</v>
      </c>
      <c r="D81" s="51">
        <v>8</v>
      </c>
      <c r="E81" s="56">
        <f>'Universal Mastercurve'!A118</f>
        <v>7.2446689325643296E-8</v>
      </c>
    </row>
    <row r="82" spans="1:5" x14ac:dyDescent="0.25">
      <c r="A82" s="50">
        <f t="shared" si="0"/>
        <v>9</v>
      </c>
      <c r="B82" s="56">
        <f>'Universal Mastercurve'!C119</f>
        <v>1.6269583341805467E-2</v>
      </c>
      <c r="D82" s="51">
        <f>A82</f>
        <v>9</v>
      </c>
      <c r="E82" s="56">
        <f>'Universal Mastercurve'!A119</f>
        <v>8.03104303120212E-7</v>
      </c>
    </row>
    <row r="83" spans="1:5" x14ac:dyDescent="0.25">
      <c r="A83" s="50">
        <f t="shared" si="0"/>
        <v>10</v>
      </c>
      <c r="B83" s="56">
        <f>'Universal Mastercurve'!C120</f>
        <v>5.0685376026668436E-2</v>
      </c>
      <c r="C83" s="11"/>
      <c r="D83" s="51">
        <f t="shared" ref="D83:D104" si="1">A83</f>
        <v>10</v>
      </c>
      <c r="E83" s="56">
        <f>'Universal Mastercurve'!A120</f>
        <v>8.9027742702096099E-6</v>
      </c>
    </row>
    <row r="84" spans="1:5" x14ac:dyDescent="0.25">
      <c r="A84" s="50">
        <f t="shared" si="0"/>
        <v>11</v>
      </c>
      <c r="B84" s="56">
        <f>'Universal Mastercurve'!C121</f>
        <v>5.2468733234862223E-2</v>
      </c>
      <c r="C84" s="11"/>
      <c r="D84" s="51">
        <f t="shared" si="1"/>
        <v>11</v>
      </c>
      <c r="E84" s="56">
        <f>'Universal Mastercurve'!A121</f>
        <v>9.86912775817142E-5</v>
      </c>
    </row>
    <row r="85" spans="1:5" x14ac:dyDescent="0.25">
      <c r="A85" s="50">
        <f t="shared" si="0"/>
        <v>12</v>
      </c>
      <c r="B85" s="56">
        <f>'Universal Mastercurve'!C122</f>
        <v>6.0104388322869007E-3</v>
      </c>
      <c r="C85" s="11"/>
      <c r="D85" s="51">
        <f t="shared" si="1"/>
        <v>12</v>
      </c>
      <c r="E85" s="56">
        <f>'Universal Mastercurve'!A122</f>
        <v>1.0940374286813801E-3</v>
      </c>
    </row>
    <row r="86" spans="1:5" x14ac:dyDescent="0.25">
      <c r="A86" s="50">
        <f t="shared" si="0"/>
        <v>13</v>
      </c>
      <c r="B86" s="56">
        <f>'Universal Mastercurve'!C123</f>
        <v>8.4294530908026688E-2</v>
      </c>
      <c r="C86" s="11"/>
      <c r="D86" s="51">
        <f t="shared" si="1"/>
        <v>13</v>
      </c>
      <c r="E86" s="56">
        <f>'Universal Mastercurve'!A123</f>
        <v>1.2127899493091E-2</v>
      </c>
    </row>
    <row r="87" spans="1:5" x14ac:dyDescent="0.25">
      <c r="A87" s="50">
        <f t="shared" si="0"/>
        <v>14</v>
      </c>
      <c r="B87" s="56">
        <f>'Universal Mastercurve'!C124</f>
        <v>2.576186221686735E-2</v>
      </c>
      <c r="C87" s="11"/>
      <c r="D87" s="51">
        <f t="shared" si="1"/>
        <v>14</v>
      </c>
      <c r="E87" s="56">
        <f>'Universal Mastercurve'!A124</f>
        <v>0.13444324870292301</v>
      </c>
    </row>
    <row r="88" spans="1:5" x14ac:dyDescent="0.25">
      <c r="A88" s="50">
        <f t="shared" si="0"/>
        <v>15</v>
      </c>
      <c r="B88" s="56">
        <f>'Universal Mastercurve'!C125</f>
        <v>8.3411180502367843E-2</v>
      </c>
      <c r="C88" s="11"/>
      <c r="D88" s="51">
        <f t="shared" si="1"/>
        <v>15</v>
      </c>
      <c r="E88" s="56">
        <f>'Universal Mastercurve'!A125</f>
        <v>1.49036419143257</v>
      </c>
    </row>
    <row r="89" spans="1:5" x14ac:dyDescent="0.25">
      <c r="A89" s="50">
        <f t="shared" si="0"/>
        <v>16</v>
      </c>
      <c r="B89" s="56">
        <f>'Universal Mastercurve'!C126</f>
        <v>6.1576718482571534E-2</v>
      </c>
      <c r="C89" s="11"/>
      <c r="D89" s="51">
        <f t="shared" si="1"/>
        <v>16</v>
      </c>
      <c r="E89" s="56">
        <f>'Universal Mastercurve'!A126</f>
        <v>16.521360830937301</v>
      </c>
    </row>
    <row r="90" spans="1:5" x14ac:dyDescent="0.25">
      <c r="A90" s="50">
        <f t="shared" si="0"/>
        <v>17</v>
      </c>
      <c r="B90" s="56">
        <f>'Universal Mastercurve'!C127</f>
        <v>3.1774041388576597E-2</v>
      </c>
      <c r="C90" s="11"/>
      <c r="D90" s="51">
        <f t="shared" si="1"/>
        <v>17</v>
      </c>
      <c r="E90" s="56">
        <f>'Universal Mastercurve'!A127</f>
        <v>183.146753843879</v>
      </c>
    </row>
    <row r="91" spans="1:5" x14ac:dyDescent="0.25">
      <c r="A91" s="50">
        <f t="shared" si="0"/>
        <v>18</v>
      </c>
      <c r="B91" s="56">
        <f>'Universal Mastercurve'!C128</f>
        <v>5.44168279130577E-2</v>
      </c>
      <c r="C91" s="11"/>
      <c r="D91" s="51">
        <f t="shared" si="1"/>
        <v>18</v>
      </c>
      <c r="E91" s="56">
        <f>'Universal Mastercurve'!A128</f>
        <v>2030.26456396616</v>
      </c>
    </row>
    <row r="92" spans="1:5" x14ac:dyDescent="0.25">
      <c r="A92" s="50">
        <f t="shared" si="0"/>
        <v>19</v>
      </c>
      <c r="B92" s="56">
        <f>'Universal Mastercurve'!C129</f>
        <v>7.0715437074940254E-2</v>
      </c>
      <c r="C92" s="11"/>
      <c r="D92" s="51">
        <f t="shared" si="1"/>
        <v>19</v>
      </c>
      <c r="E92" s="56">
        <f>'Universal Mastercurve'!A129</f>
        <v>22506.400540467101</v>
      </c>
    </row>
    <row r="93" spans="1:5" x14ac:dyDescent="0.25">
      <c r="A93" s="50">
        <f t="shared" si="0"/>
        <v>20</v>
      </c>
      <c r="B93" s="56">
        <f>'Universal Mastercurve'!C130</f>
        <v>2.2644197704615284E-2</v>
      </c>
      <c r="C93" s="11"/>
      <c r="D93" s="51">
        <f t="shared" si="1"/>
        <v>20</v>
      </c>
      <c r="E93" s="56">
        <f>'Universal Mastercurve'!A130</f>
        <v>249493.62476110301</v>
      </c>
    </row>
    <row r="94" spans="1:5" x14ac:dyDescent="0.25">
      <c r="A94" s="50">
        <f t="shared" si="0"/>
        <v>21</v>
      </c>
      <c r="B94" s="56">
        <f>'Universal Mastercurve'!C131</f>
        <v>0</v>
      </c>
      <c r="C94" s="11"/>
      <c r="D94" s="51">
        <f t="shared" si="1"/>
        <v>21</v>
      </c>
      <c r="E94" s="56">
        <f>'Universal Mastercurve'!A131</f>
        <v>2765749.6224023802</v>
      </c>
    </row>
    <row r="95" spans="1:5" x14ac:dyDescent="0.25">
      <c r="A95" s="50">
        <f t="shared" si="0"/>
        <v>22</v>
      </c>
      <c r="B95" s="56">
        <f>'Universal Mastercurve'!C132</f>
        <v>0.13454140098069695</v>
      </c>
      <c r="C95" s="11"/>
      <c r="D95" s="51">
        <f t="shared" si="1"/>
        <v>22</v>
      </c>
      <c r="E95" s="56">
        <f>'Universal Mastercurve'!A132</f>
        <v>10000000</v>
      </c>
    </row>
    <row r="96" spans="1:5" x14ac:dyDescent="0.25">
      <c r="A96" s="50">
        <f t="shared" si="0"/>
        <v>23</v>
      </c>
      <c r="B96" s="56">
        <f>'Universal Mastercurve'!C133</f>
        <v>2.5845401610123938E-2</v>
      </c>
      <c r="C96" s="11"/>
      <c r="D96" s="51">
        <f t="shared" si="1"/>
        <v>23</v>
      </c>
      <c r="E96" s="56">
        <f>'Universal Mastercurve'!A133</f>
        <v>100000000</v>
      </c>
    </row>
    <row r="97" spans="1:5" x14ac:dyDescent="0.25">
      <c r="A97" s="50">
        <f t="shared" si="0"/>
        <v>24</v>
      </c>
      <c r="B97" s="56">
        <f>'Universal Mastercurve'!C134</f>
        <v>7.9154812965280069E-2</v>
      </c>
      <c r="C97" s="11"/>
      <c r="D97" s="51">
        <f t="shared" si="1"/>
        <v>24</v>
      </c>
      <c r="E97" s="56">
        <f>'Universal Mastercurve'!A134</f>
        <v>1000000000</v>
      </c>
    </row>
    <row r="98" spans="1:5" x14ac:dyDescent="0.25">
      <c r="A98" s="50">
        <f t="shared" si="0"/>
        <v>25</v>
      </c>
      <c r="B98" s="56">
        <f>'Universal Mastercurve'!C135</f>
        <v>1.4637437279649158E-5</v>
      </c>
      <c r="C98" s="11"/>
      <c r="D98" s="51">
        <f t="shared" si="1"/>
        <v>25</v>
      </c>
      <c r="E98" s="56">
        <f>'Universal Mastercurve'!A135</f>
        <v>10000000000</v>
      </c>
    </row>
    <row r="99" spans="1:5" x14ac:dyDescent="0.25">
      <c r="A99" s="50">
        <f t="shared" si="0"/>
        <v>26</v>
      </c>
      <c r="B99" s="56">
        <f>'Universal Mastercurve'!C136</f>
        <v>7.4251499966029725E-4</v>
      </c>
      <c r="C99" s="11"/>
      <c r="D99" s="51">
        <f t="shared" si="1"/>
        <v>26</v>
      </c>
      <c r="E99" s="56">
        <f>'Universal Mastercurve'!A136</f>
        <v>100000000000</v>
      </c>
    </row>
    <row r="100" spans="1:5" x14ac:dyDescent="0.25">
      <c r="A100" s="50">
        <f t="shared" si="0"/>
        <v>27</v>
      </c>
      <c r="B100" s="56">
        <f>'Universal Mastercurve'!C137</f>
        <v>1.7408148220604425E-2</v>
      </c>
      <c r="C100" s="11"/>
      <c r="D100" s="51">
        <f t="shared" si="1"/>
        <v>27</v>
      </c>
      <c r="E100" s="56">
        <f>'Universal Mastercurve'!A137</f>
        <v>1000000000000</v>
      </c>
    </row>
    <row r="101" spans="1:5" x14ac:dyDescent="0.25">
      <c r="A101" s="50">
        <f t="shared" si="0"/>
        <v>28</v>
      </c>
      <c r="B101" s="56">
        <f>'Universal Mastercurve'!C138</f>
        <v>4.6184297679076163E-3</v>
      </c>
      <c r="C101" s="11"/>
      <c r="D101" s="51">
        <f t="shared" si="1"/>
        <v>28</v>
      </c>
      <c r="E101" s="56">
        <f>'Universal Mastercurve'!A138</f>
        <v>10000000000000</v>
      </c>
    </row>
    <row r="102" spans="1:5" x14ac:dyDescent="0.25">
      <c r="A102" s="50">
        <f t="shared" si="0"/>
        <v>29</v>
      </c>
      <c r="B102" s="56">
        <f>'Universal Mastercurve'!C139</f>
        <v>1.4344799351723472E-2</v>
      </c>
      <c r="C102" s="11"/>
      <c r="D102" s="51">
        <f t="shared" si="1"/>
        <v>29</v>
      </c>
      <c r="E102" s="56">
        <f>'Universal Mastercurve'!A139</f>
        <v>100000000000000</v>
      </c>
    </row>
    <row r="103" spans="1:5" x14ac:dyDescent="0.25">
      <c r="A103" s="50">
        <f t="shared" si="0"/>
        <v>30</v>
      </c>
      <c r="B103" s="56">
        <f>'Universal Mastercurve'!C140</f>
        <v>0</v>
      </c>
      <c r="C103" s="11"/>
      <c r="D103" s="51">
        <f t="shared" si="1"/>
        <v>30</v>
      </c>
      <c r="E103" s="56">
        <f>'Universal Mastercurve'!A140</f>
        <v>1000000000000000</v>
      </c>
    </row>
    <row r="104" spans="1:5" x14ac:dyDescent="0.25">
      <c r="A104" s="50">
        <f t="shared" si="0"/>
        <v>31</v>
      </c>
      <c r="B104" s="56">
        <f>'Universal Mastercurve'!C141</f>
        <v>1.3799257874791684E-2</v>
      </c>
      <c r="C104" s="11"/>
      <c r="D104" s="51">
        <f t="shared" si="1"/>
        <v>31</v>
      </c>
      <c r="E104" s="56">
        <f>'Universal Mastercurve'!A141</f>
        <v>1E+16</v>
      </c>
    </row>
    <row r="105" spans="1:5" x14ac:dyDescent="0.25">
      <c r="A105" s="11"/>
    </row>
    <row r="106" spans="1:5" s="11" customFormat="1" x14ac:dyDescent="0.25"/>
    <row r="107" spans="1:5" s="11" customFormat="1" x14ac:dyDescent="0.25">
      <c r="A107" s="61" t="str">
        <f>STUTT!B2</f>
        <v>mp,ex,MatID,</v>
      </c>
      <c r="B107" s="52">
        <f>STUTT!C2</f>
        <v>18946.322</v>
      </c>
    </row>
    <row r="108" spans="1:5" s="11" customFormat="1" x14ac:dyDescent="0.25">
      <c r="A108" s="61" t="str">
        <f>STUTT!B3</f>
        <v>mp,PRXY,MatID,</v>
      </c>
      <c r="B108" s="52">
        <f>STUTT!C3</f>
        <v>0.27492274999999999</v>
      </c>
    </row>
    <row r="109" spans="1:5" s="11" customFormat="1" x14ac:dyDescent="0.25">
      <c r="A109" s="61" t="str">
        <f>STUTT!B4</f>
        <v>mp,ey,MatID,</v>
      </c>
      <c r="B109" s="52">
        <f>STUTT!C4</f>
        <v>25113.767</v>
      </c>
    </row>
    <row r="110" spans="1:5" s="11" customFormat="1" x14ac:dyDescent="0.25">
      <c r="A110" s="61" t="str">
        <f>STUTT!B5</f>
        <v>mp,PRYZ,MatID,</v>
      </c>
      <c r="B110" s="52">
        <f>STUTT!C5</f>
        <v>0.36447574999999999</v>
      </c>
    </row>
    <row r="111" spans="1:5" s="11" customFormat="1" x14ac:dyDescent="0.25">
      <c r="A111" s="61" t="str">
        <f>STUTT!B6</f>
        <v>mp,ez,MatID,</v>
      </c>
      <c r="B111" s="52">
        <f>STUTT!C6</f>
        <v>18946.322</v>
      </c>
    </row>
    <row r="112" spans="1:5" s="11" customFormat="1" x14ac:dyDescent="0.25">
      <c r="A112" s="61" t="str">
        <f>STUTT!B7</f>
        <v>mp,PRXZ,MatID,</v>
      </c>
      <c r="B112" s="52">
        <f>STUTT!C7</f>
        <v>0.35477789999999998</v>
      </c>
    </row>
    <row r="113" spans="1:4" s="11" customFormat="1" x14ac:dyDescent="0.25">
      <c r="A113" s="61" t="str">
        <f>STUTT!B8</f>
        <v>MP,GXZ,</v>
      </c>
      <c r="B113" s="52" t="str">
        <f>STUTT!C8</f>
        <v>MatID,</v>
      </c>
      <c r="C113" s="125">
        <f>STUTT!D8</f>
        <v>6992.4087</v>
      </c>
      <c r="D113" s="125"/>
    </row>
    <row r="114" spans="1:4" s="11" customFormat="1" x14ac:dyDescent="0.25">
      <c r="A114" s="61" t="str">
        <f>STUTT!B9</f>
        <v>MP,GXY,</v>
      </c>
      <c r="B114" s="52" t="str">
        <f>STUTT!C9</f>
        <v>MatID,</v>
      </c>
      <c r="C114" s="125">
        <f>STUTT!D9</f>
        <v>9035.3351999999995</v>
      </c>
      <c r="D114" s="125"/>
    </row>
    <row r="115" spans="1:4" x14ac:dyDescent="0.25">
      <c r="A115" s="61" t="str">
        <f>STUTT!B10</f>
        <v>MP,GYZ,</v>
      </c>
      <c r="B115" s="52" t="str">
        <f>STUTT!C10</f>
        <v>MatID,</v>
      </c>
      <c r="C115" s="125">
        <f>STUTT!D10</f>
        <v>9035.3351999999995</v>
      </c>
      <c r="D115" s="125"/>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N22" sqref="N22"/>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s="11">
        <f>0.35/2</f>
        <v>0.17499999999999999</v>
      </c>
      <c r="M1" s="11"/>
      <c r="N1" s="11"/>
      <c r="O1" s="11"/>
      <c r="P1" s="11"/>
      <c r="Q1" s="11" t="s">
        <v>129</v>
      </c>
      <c r="R1" s="11">
        <v>0.09</v>
      </c>
    </row>
    <row r="2" spans="1:18" x14ac:dyDescent="0.25">
      <c r="A2" t="s">
        <v>27</v>
      </c>
      <c r="B2" t="s">
        <v>14</v>
      </c>
      <c r="C2" t="s">
        <v>15</v>
      </c>
      <c r="D2" t="s">
        <v>16</v>
      </c>
      <c r="E2" t="s">
        <v>33</v>
      </c>
      <c r="F2" t="s">
        <v>34</v>
      </c>
      <c r="G2" t="s">
        <v>35</v>
      </c>
      <c r="H2" t="s">
        <v>36</v>
      </c>
      <c r="I2" t="s">
        <v>37</v>
      </c>
      <c r="J2" t="s">
        <v>38</v>
      </c>
    </row>
    <row r="3" spans="1:18" x14ac:dyDescent="0.25">
      <c r="A3">
        <v>-40</v>
      </c>
      <c r="B3" s="3">
        <v>-1.973E-7</v>
      </c>
      <c r="C3" s="3">
        <v>2.4930000000000001E-6</v>
      </c>
      <c r="D3" s="3">
        <v>-1.973E-7</v>
      </c>
      <c r="E3" s="3">
        <v>-1.3499999999999999E-5</v>
      </c>
      <c r="F3" s="3">
        <v>-1.3499999999999999E-5</v>
      </c>
      <c r="G3" s="3">
        <v>-1.3499999999999999E-5</v>
      </c>
      <c r="H3" s="3">
        <v>-2.1161738999999999E-6</v>
      </c>
      <c r="I3" s="3">
        <v>-9.5446578000000009E-7</v>
      </c>
      <c r="J3" s="3">
        <v>-2.1161738999999999E-6</v>
      </c>
      <c r="L3" s="48">
        <f>ABS(H3/(-0.5)/$L$1)</f>
        <v>2.4184844571428572E-5</v>
      </c>
      <c r="R3">
        <f>ABS(I3/(-0.5)/$R$1)</f>
        <v>2.1210350666666669E-5</v>
      </c>
    </row>
    <row r="4" spans="1:18" x14ac:dyDescent="0.25">
      <c r="A4">
        <v>-39</v>
      </c>
      <c r="B4" s="3">
        <v>1.9719999999999999E-7</v>
      </c>
      <c r="C4" s="3">
        <v>-2.4930000000000001E-6</v>
      </c>
      <c r="D4" s="3">
        <v>1.9719999999999999E-7</v>
      </c>
      <c r="E4" s="3">
        <v>1.3499999999999999E-5</v>
      </c>
      <c r="F4" s="3">
        <v>1.3499999999999999E-5</v>
      </c>
      <c r="G4" s="3">
        <v>1.3499999999999999E-5</v>
      </c>
      <c r="H4" s="3">
        <v>2.1161285999999999E-6</v>
      </c>
      <c r="I4" s="3">
        <v>9.5452484000000003E-7</v>
      </c>
      <c r="J4" s="3">
        <v>2.1161285999999999E-6</v>
      </c>
      <c r="L4" s="48">
        <f t="shared" ref="L4:L14" si="0">ABS(H4/(-0.5)/$L$1)</f>
        <v>2.4184326857142857E-5</v>
      </c>
      <c r="N4" s="39" t="s">
        <v>27</v>
      </c>
      <c r="O4" s="39" t="s">
        <v>130</v>
      </c>
      <c r="P4" s="85" t="s">
        <v>131</v>
      </c>
      <c r="R4" s="11">
        <f t="shared" ref="R4:R14" si="1">ABS(I4/(-0.5)/$R$1)</f>
        <v>2.1211663111111113E-5</v>
      </c>
    </row>
    <row r="5" spans="1:18" x14ac:dyDescent="0.25">
      <c r="A5">
        <v>0</v>
      </c>
      <c r="B5" s="3">
        <v>-1.9219999999999999E-7</v>
      </c>
      <c r="C5" s="3">
        <v>2.4719999999999998E-6</v>
      </c>
      <c r="D5" s="3">
        <v>-1.9219999999999999E-7</v>
      </c>
      <c r="E5" s="3">
        <v>-1.3499999999999999E-5</v>
      </c>
      <c r="F5" s="3">
        <v>-1.3499999999999999E-5</v>
      </c>
      <c r="G5" s="3">
        <v>-1.3499999999999999E-5</v>
      </c>
      <c r="H5" s="3">
        <v>-2.1143196000000002E-6</v>
      </c>
      <c r="I5" s="3">
        <v>-9.5689469999999994E-7</v>
      </c>
      <c r="J5" s="3">
        <v>-2.1143196000000002E-6</v>
      </c>
      <c r="L5" s="48">
        <f t="shared" si="0"/>
        <v>2.4163652571428575E-5</v>
      </c>
      <c r="M5" s="48"/>
      <c r="N5" s="10">
        <f>(INDEX(A:A,ROW(A2)*2+1)+INDEX(A:A,ROW(A2)*2+2))/2</f>
        <v>0.5</v>
      </c>
      <c r="O5" s="89">
        <f>(INDEX(L:L,ROW(L2)*2+1)+INDEX(L:L,ROW(L2)*2+2))/2</f>
        <v>2.4163381142857142E-5</v>
      </c>
      <c r="P5" s="89">
        <f>(INDEX(R:R,ROW(M2)*2+1)+INDEX(R:R,ROW(R2)*2+2))/2</f>
        <v>2.1265021444444447E-5</v>
      </c>
      <c r="R5" s="11">
        <f t="shared" si="1"/>
        <v>2.1264326666666666E-5</v>
      </c>
    </row>
    <row r="6" spans="1:18" x14ac:dyDescent="0.25">
      <c r="A6">
        <v>1</v>
      </c>
      <c r="B6" s="3">
        <v>1.92E-7</v>
      </c>
      <c r="C6" s="3">
        <v>-2.4710000000000001E-6</v>
      </c>
      <c r="D6" s="3">
        <v>1.92E-7</v>
      </c>
      <c r="E6" s="3">
        <v>1.3499999999999999E-5</v>
      </c>
      <c r="F6" s="3">
        <v>1.3499999999999999E-5</v>
      </c>
      <c r="G6" s="3">
        <v>1.3499999999999999E-5</v>
      </c>
      <c r="H6" s="3">
        <v>2.1142720999999998E-6</v>
      </c>
      <c r="I6" s="3">
        <v>9.5695722999999997E-7</v>
      </c>
      <c r="J6" s="3">
        <v>2.1142720999999998E-6</v>
      </c>
      <c r="L6" s="48">
        <f t="shared" si="0"/>
        <v>2.4163109714285714E-5</v>
      </c>
      <c r="M6" s="49"/>
      <c r="N6" s="10">
        <f>(INDEX(A:A,ROW(A3)*2+1)+INDEX(A:A,ROW(A3)*2+2))/2</f>
        <v>130.5</v>
      </c>
      <c r="O6" s="89">
        <f t="shared" ref="O6:O7" si="2">(INDEX(L:L,ROW(L3)*2+1)+INDEX(L:L,ROW(L3)*2+2))/2</f>
        <v>2.6285482285714284E-5</v>
      </c>
      <c r="P6" s="89">
        <f t="shared" ref="P6:P9" si="3">(INDEX(R:R,ROW(M3)*2+1)+INDEX(R:R,ROW(R3)*2+2))/2</f>
        <v>2.2263357333333333E-5</v>
      </c>
      <c r="R6" s="11">
        <f t="shared" si="1"/>
        <v>2.1265716222222223E-5</v>
      </c>
    </row>
    <row r="7" spans="1:18" x14ac:dyDescent="0.25">
      <c r="A7">
        <v>130</v>
      </c>
      <c r="B7" s="3">
        <v>-2.8169999999999999E-7</v>
      </c>
      <c r="C7" s="3">
        <v>3.0639999999999998E-6</v>
      </c>
      <c r="D7" s="3">
        <v>-2.8169999999999999E-7</v>
      </c>
      <c r="E7" s="3">
        <v>-1.435E-5</v>
      </c>
      <c r="F7" s="3">
        <v>-1.435E-5</v>
      </c>
      <c r="G7" s="3">
        <v>-1.435E-5</v>
      </c>
      <c r="H7" s="3">
        <v>-2.2037995999999998E-6</v>
      </c>
      <c r="I7" s="3">
        <v>-9.8383106000000002E-7</v>
      </c>
      <c r="J7" s="3">
        <v>-2.2037995999999998E-6</v>
      </c>
      <c r="L7" s="48">
        <f t="shared" si="0"/>
        <v>2.5186281142857142E-5</v>
      </c>
      <c r="M7" s="48"/>
      <c r="N7" s="10">
        <f>(INDEX(A:A,ROW(A4)*2+1)+INDEX(A:A,ROW(A4)*2+2))/2</f>
        <v>135.5</v>
      </c>
      <c r="O7" s="89">
        <f t="shared" si="2"/>
        <v>4.8267398857142861E-5</v>
      </c>
      <c r="P7" s="89">
        <f t="shared" si="3"/>
        <v>3.0288797777777777E-5</v>
      </c>
      <c r="R7" s="11">
        <f t="shared" si="1"/>
        <v>2.1862912444444445E-5</v>
      </c>
    </row>
    <row r="8" spans="1:18" x14ac:dyDescent="0.25">
      <c r="A8">
        <v>131</v>
      </c>
      <c r="B8" s="3">
        <v>4.9790000000000003E-7</v>
      </c>
      <c r="C8" s="3">
        <v>-4.4059999999999998E-6</v>
      </c>
      <c r="D8" s="3">
        <v>4.9790000000000003E-7</v>
      </c>
      <c r="E8" s="3">
        <v>1.605E-5</v>
      </c>
      <c r="F8" s="3">
        <v>1.605E-5</v>
      </c>
      <c r="G8" s="3">
        <v>1.605E-5</v>
      </c>
      <c r="H8" s="3">
        <v>2.3961597999999999E-6</v>
      </c>
      <c r="I8" s="3">
        <v>1.0198711E-6</v>
      </c>
      <c r="J8" s="3">
        <v>2.3961597999999999E-6</v>
      </c>
      <c r="L8" s="48">
        <f t="shared" si="0"/>
        <v>2.738468342857143E-5</v>
      </c>
      <c r="M8" s="49"/>
      <c r="N8" s="10">
        <f>(INDEX(A:A,ROW(A5)*2+1)+INDEX(A:A,ROW(A5)*2+2))/2</f>
        <v>140.5</v>
      </c>
      <c r="O8" s="89">
        <f t="shared" ref="O8:O9" si="4">(INDEX(L:L,ROW(L5)*2+1)+INDEX(L:L,ROW(L5)*2+2))/2</f>
        <v>6.8039453714285723E-5</v>
      </c>
      <c r="P8" s="89">
        <f t="shared" si="3"/>
        <v>3.7565950000000002E-5</v>
      </c>
      <c r="R8" s="11">
        <f t="shared" si="1"/>
        <v>2.2663802222222221E-5</v>
      </c>
    </row>
    <row r="9" spans="1:18" x14ac:dyDescent="0.25">
      <c r="A9">
        <v>135</v>
      </c>
      <c r="B9" s="3">
        <v>-2.4430000000000002E-6</v>
      </c>
      <c r="C9" s="3">
        <v>1.6480000000000001E-5</v>
      </c>
      <c r="D9" s="3">
        <v>-2.4430000000000002E-6</v>
      </c>
      <c r="E9" s="3">
        <v>-3.1350000000000003E-5</v>
      </c>
      <c r="F9" s="3">
        <v>-3.1350000000000003E-5</v>
      </c>
      <c r="G9" s="3">
        <v>-3.1350000000000003E-5</v>
      </c>
      <c r="H9" s="3">
        <v>-4.1272953999999997E-6</v>
      </c>
      <c r="I9" s="3">
        <v>-1.3447875999999999E-6</v>
      </c>
      <c r="J9" s="3">
        <v>-4.1272953999999997E-6</v>
      </c>
      <c r="L9" s="48">
        <f t="shared" si="0"/>
        <v>4.7169090285714284E-5</v>
      </c>
      <c r="M9" s="48"/>
      <c r="N9" s="10">
        <f>(INDEX(A:A,ROW(A6)*2+1)+INDEX(A:A,ROW(A6)*2+2))/2</f>
        <v>180.5</v>
      </c>
      <c r="O9" s="89">
        <f t="shared" si="4"/>
        <v>6.7913481714285714E-5</v>
      </c>
      <c r="P9" s="89">
        <f t="shared" si="3"/>
        <v>3.810576666666667E-5</v>
      </c>
      <c r="R9" s="11">
        <f t="shared" si="1"/>
        <v>2.9884168888888887E-5</v>
      </c>
    </row>
    <row r="10" spans="1:18" x14ac:dyDescent="0.25">
      <c r="A10">
        <v>136</v>
      </c>
      <c r="B10" s="3">
        <v>2.6579999999999998E-6</v>
      </c>
      <c r="C10" s="3">
        <v>-1.7819999999999999E-5</v>
      </c>
      <c r="D10" s="3">
        <v>2.6579999999999998E-6</v>
      </c>
      <c r="E10" s="3">
        <v>3.3049999999999997E-5</v>
      </c>
      <c r="F10" s="3">
        <v>3.3049999999999997E-5</v>
      </c>
      <c r="G10" s="3">
        <v>3.3049999999999997E-5</v>
      </c>
      <c r="H10" s="3">
        <v>4.3194994000000003E-6</v>
      </c>
      <c r="I10" s="3">
        <v>1.3812042E-6</v>
      </c>
      <c r="J10" s="3">
        <v>4.3194994000000003E-6</v>
      </c>
      <c r="L10" s="48">
        <f t="shared" si="0"/>
        <v>4.9365707428571437E-5</v>
      </c>
      <c r="M10" s="49"/>
      <c r="N10" s="10"/>
      <c r="O10" s="3"/>
      <c r="R10" s="11">
        <f t="shared" si="1"/>
        <v>3.0693426666666671E-5</v>
      </c>
    </row>
    <row r="11" spans="1:18" x14ac:dyDescent="0.25">
      <c r="A11">
        <v>140</v>
      </c>
      <c r="B11" s="3">
        <v>-4.4920000000000004E-6</v>
      </c>
      <c r="C11" s="3">
        <v>2.9200000000000002E-5</v>
      </c>
      <c r="D11" s="3">
        <v>-4.4920000000000004E-6</v>
      </c>
      <c r="E11" s="3">
        <v>-4.7500000000000003E-5</v>
      </c>
      <c r="F11" s="3">
        <v>-4.7500000000000003E-5</v>
      </c>
      <c r="G11" s="3">
        <v>-4.7500000000000003E-5</v>
      </c>
      <c r="H11" s="3">
        <v>-5.9535860000000001E-6</v>
      </c>
      <c r="I11" s="3">
        <v>-1.6901754000000001E-6</v>
      </c>
      <c r="J11" s="3">
        <v>-5.9535860000000001E-6</v>
      </c>
      <c r="L11" s="48">
        <f t="shared" si="0"/>
        <v>6.804098285714286E-5</v>
      </c>
      <c r="M11" s="48"/>
      <c r="N11" s="10"/>
      <c r="O11" s="3"/>
      <c r="R11" s="11">
        <f t="shared" si="1"/>
        <v>3.7559453333333333E-5</v>
      </c>
    </row>
    <row r="12" spans="1:18" x14ac:dyDescent="0.25">
      <c r="A12">
        <v>141</v>
      </c>
      <c r="B12" s="3">
        <v>4.4909999999999999E-6</v>
      </c>
      <c r="C12" s="3">
        <v>-2.919E-5</v>
      </c>
      <c r="D12" s="3">
        <v>4.4909999999999999E-6</v>
      </c>
      <c r="E12" s="3">
        <v>4.7500000000000003E-5</v>
      </c>
      <c r="F12" s="3">
        <v>4.7500000000000003E-5</v>
      </c>
      <c r="G12" s="3">
        <v>4.7500000000000003E-5</v>
      </c>
      <c r="H12" s="3">
        <v>5.9533184000000001E-6</v>
      </c>
      <c r="I12" s="3">
        <v>1.6907601000000001E-6</v>
      </c>
      <c r="J12" s="3">
        <v>5.9533184000000001E-6</v>
      </c>
      <c r="L12" s="48">
        <f t="shared" si="0"/>
        <v>6.8037924571428572E-5</v>
      </c>
      <c r="M12" s="49"/>
      <c r="N12" s="10"/>
      <c r="O12" s="3"/>
      <c r="R12" s="11">
        <f t="shared" si="1"/>
        <v>3.7572446666666672E-5</v>
      </c>
    </row>
    <row r="13" spans="1:18" x14ac:dyDescent="0.25">
      <c r="A13">
        <v>180</v>
      </c>
      <c r="B13" s="3">
        <v>-4.4519999999999999E-6</v>
      </c>
      <c r="C13" s="3">
        <v>2.8969999999999999E-5</v>
      </c>
      <c r="D13" s="3">
        <v>-4.4519999999999999E-6</v>
      </c>
      <c r="E13" s="3">
        <v>-4.7500000000000003E-5</v>
      </c>
      <c r="F13" s="3">
        <v>-4.7500000000000003E-5</v>
      </c>
      <c r="G13" s="3">
        <v>-4.7500000000000003E-5</v>
      </c>
      <c r="H13" s="3">
        <v>-5.9425716999999999E-6</v>
      </c>
      <c r="I13" s="3">
        <v>-1.714444E-6</v>
      </c>
      <c r="J13" s="3">
        <v>-5.9425716999999999E-6</v>
      </c>
      <c r="L13" s="48">
        <f t="shared" si="0"/>
        <v>6.7915105142857151E-5</v>
      </c>
      <c r="M13" s="48"/>
      <c r="N13" s="10"/>
      <c r="O13" s="3"/>
      <c r="R13" s="11">
        <f t="shared" si="1"/>
        <v>3.809875555555556E-5</v>
      </c>
    </row>
    <row r="14" spans="1:18" x14ac:dyDescent="0.25">
      <c r="A14" s="11">
        <v>181</v>
      </c>
      <c r="B14" s="3">
        <v>4.4510000000000002E-6</v>
      </c>
      <c r="C14" s="3">
        <v>-2.8969999999999999E-5</v>
      </c>
      <c r="D14" s="3">
        <v>4.4510000000000002E-6</v>
      </c>
      <c r="E14" s="3">
        <v>4.7500000000000003E-5</v>
      </c>
      <c r="F14" s="3">
        <v>4.7500000000000003E-5</v>
      </c>
      <c r="G14" s="3">
        <v>4.7500000000000003E-5</v>
      </c>
      <c r="H14" s="3">
        <v>5.9422875999999998E-6</v>
      </c>
      <c r="I14" s="3">
        <v>1.715075E-6</v>
      </c>
      <c r="J14" s="3">
        <v>5.9422875999999998E-6</v>
      </c>
      <c r="L14" s="48">
        <f t="shared" si="0"/>
        <v>6.7911858285714291E-5</v>
      </c>
      <c r="M14" s="49"/>
      <c r="N14" s="10"/>
      <c r="O14" s="3"/>
      <c r="R14" s="11">
        <f t="shared" si="1"/>
        <v>3.8112777777777781E-5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18946.322</v>
      </c>
    </row>
    <row r="3" spans="2:4" x14ac:dyDescent="0.25">
      <c r="B3" t="s">
        <v>118</v>
      </c>
      <c r="C3" s="3">
        <v>0.27492274999999999</v>
      </c>
    </row>
    <row r="4" spans="2:4" x14ac:dyDescent="0.25">
      <c r="B4" t="s">
        <v>119</v>
      </c>
      <c r="C4" s="3">
        <v>25113.767</v>
      </c>
    </row>
    <row r="5" spans="2:4" x14ac:dyDescent="0.25">
      <c r="B5" t="s">
        <v>120</v>
      </c>
      <c r="C5" s="3">
        <v>0.36447574999999999</v>
      </c>
    </row>
    <row r="6" spans="2:4" x14ac:dyDescent="0.25">
      <c r="B6" t="s">
        <v>121</v>
      </c>
      <c r="C6" s="3">
        <v>18946.322</v>
      </c>
    </row>
    <row r="7" spans="2:4" x14ac:dyDescent="0.25">
      <c r="B7" t="s">
        <v>122</v>
      </c>
      <c r="C7" s="3">
        <v>0.35477789999999998</v>
      </c>
    </row>
    <row r="8" spans="2:4" x14ac:dyDescent="0.25">
      <c r="B8" t="s">
        <v>123</v>
      </c>
      <c r="C8" t="s">
        <v>124</v>
      </c>
      <c r="D8" s="3">
        <v>6992.4087</v>
      </c>
    </row>
    <row r="9" spans="2:4" x14ac:dyDescent="0.25">
      <c r="B9" t="s">
        <v>125</v>
      </c>
      <c r="C9" t="s">
        <v>124</v>
      </c>
      <c r="D9" s="3">
        <v>9035.3351999999995</v>
      </c>
    </row>
    <row r="10" spans="2:4" x14ac:dyDescent="0.25">
      <c r="B10" t="s">
        <v>126</v>
      </c>
      <c r="C10" t="s">
        <v>124</v>
      </c>
      <c r="D10" s="3">
        <v>9035.3351999999995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AV16" sqref="AV16"/>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26" t="s">
        <v>7</v>
      </c>
      <c r="B1" s="126"/>
      <c r="C1" s="126"/>
      <c r="D1" s="126"/>
      <c r="E1" s="126"/>
      <c r="F1" s="126"/>
      <c r="G1" s="126"/>
      <c r="H1" s="126"/>
      <c r="I1" s="126"/>
      <c r="J1" s="126"/>
      <c r="K1" s="126"/>
      <c r="M1" s="126" t="s">
        <v>8</v>
      </c>
      <c r="N1" s="126"/>
      <c r="O1" s="126"/>
      <c r="P1" s="126"/>
      <c r="Q1" s="126"/>
      <c r="R1" s="126"/>
      <c r="S1" s="126"/>
      <c r="T1" s="126"/>
      <c r="U1" s="126"/>
      <c r="V1" s="126"/>
      <c r="W1" s="126"/>
      <c r="X1" s="126"/>
      <c r="Z1" s="127" t="s">
        <v>10</v>
      </c>
      <c r="AA1" s="127"/>
      <c r="AB1" s="127"/>
      <c r="AC1" s="127"/>
      <c r="AD1" s="127"/>
      <c r="AE1" s="127"/>
      <c r="AF1" s="127"/>
      <c r="AG1" s="127"/>
      <c r="AH1" s="127"/>
      <c r="AI1" s="127"/>
      <c r="AJ1" s="127"/>
      <c r="AL1" s="126" t="s">
        <v>11</v>
      </c>
      <c r="AM1" s="126"/>
      <c r="AN1" s="126"/>
      <c r="AO1" s="126"/>
      <c r="AP1" s="126"/>
      <c r="AQ1" s="126"/>
      <c r="AR1" s="126"/>
      <c r="AS1" s="126"/>
      <c r="AT1" s="126"/>
      <c r="AU1" s="126"/>
      <c r="AV1" s="126"/>
      <c r="AX1" s="126" t="s">
        <v>12</v>
      </c>
      <c r="AY1" s="126"/>
      <c r="AZ1" s="126"/>
      <c r="BA1" s="126"/>
      <c r="BB1" s="126"/>
      <c r="BC1" s="126"/>
      <c r="BD1" s="126"/>
      <c r="BE1" s="126"/>
      <c r="BF1" s="126"/>
      <c r="BG1" s="126"/>
      <c r="BH1" s="126"/>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-5.2026789142857141E-4</v>
      </c>
      <c r="C3" s="2">
        <f>IF('Modell einstellen'!$B$2="Ja",creep_res0!O3,creep_res0!C3)</f>
        <v>-5.2482441714285716E-4</v>
      </c>
      <c r="D3" s="2">
        <f>IF('Modell einstellen'!$B$2="Ja",creep_res25!O3,creep_res25!C3)</f>
        <v>-5.2781071428571432E-4</v>
      </c>
      <c r="E3" s="2">
        <f>IF('Modell einstellen'!$B$2="Ja",creep_res50!O3,creep_res50!C3)</f>
        <v>-5.3091504571428573E-4</v>
      </c>
      <c r="F3" s="2">
        <f>IF('Modell einstellen'!$B$2="Ja",creep_res80!O3,creep_res80!C3)</f>
        <v>-5.3875919428571434E-4</v>
      </c>
      <c r="G3" s="2">
        <f>IF('Modell einstellen'!$B$2="Ja",creep_res125!O3,creep_res125!C3)</f>
        <v>-6.2079731428571429E-4</v>
      </c>
      <c r="H3" s="2">
        <f>IF('Modell einstellen'!$B$2="Ja",creep_res160!O3,creep_res160!C3)</f>
        <v>-7.5780891428571431E-4</v>
      </c>
      <c r="M3" s="9">
        <v>-10</v>
      </c>
      <c r="N3" s="2">
        <f t="shared" ref="N3:N33" si="4">A3</f>
        <v>1.0000000000000001E-15</v>
      </c>
      <c r="O3" s="2">
        <f t="shared" ref="O3:O33" si="5">$M$3/B3</f>
        <v>19220.867104717185</v>
      </c>
      <c r="P3" s="2">
        <f t="shared" ref="P3:P33" si="6">$M$3/C3</f>
        <v>19053.991531948868</v>
      </c>
      <c r="Q3" s="2">
        <f t="shared" ref="Q3:Q33" si="7">$M$3/D3</f>
        <v>18946.186065080146</v>
      </c>
      <c r="R3" s="2">
        <f t="shared" ref="R3:R33" si="8">$M$3/E3</f>
        <v>18835.405175881086</v>
      </c>
      <c r="S3" s="2">
        <f t="shared" ref="S3:S33" si="9">$M$3/F3</f>
        <v>18561.168154648341</v>
      </c>
      <c r="T3" s="2">
        <f t="shared" ref="T3:T33" si="10">$M$3/G3</f>
        <v>16108.317110723878</v>
      </c>
      <c r="U3" s="2">
        <f t="shared" ref="U3:U33" si="11">$M$3/H3</f>
        <v>13195.938727410814</v>
      </c>
      <c r="Z3" s="2">
        <v>1.0000000000000001E-15</v>
      </c>
      <c r="AA3" s="3">
        <f>IF('Modell einstellen'!$B$2="Ja",'creep_res-40'!P3,'creep_res-40'!L3)</f>
        <v>0.35489597935815076</v>
      </c>
      <c r="AB3" s="2">
        <f>IF('Modell einstellen'!$B$2="Ja",creep_res0!P3,creep_res0!L3)</f>
        <v>0.35482118738094864</v>
      </c>
      <c r="AC3" s="2">
        <f>IF('Modell einstellen'!$B$2="Ja",creep_res25!P3,creep_res25!L3)</f>
        <v>0.35477058198623695</v>
      </c>
      <c r="AD3" s="2">
        <f>IF('Modell einstellen'!$B$2="Ja",creep_res50!P3,creep_res50!L3)</f>
        <v>0.35471875817893839</v>
      </c>
      <c r="AE3" s="2">
        <f>IF('Modell einstellen'!$B$2="Ja",creep_res80!P3,creep_res80!L3)</f>
        <v>0.35669424279974371</v>
      </c>
      <c r="AF3" s="2">
        <f>IF('Modell einstellen'!$B$2="Ja",creep_res125!P3,creep_res125!L3)</f>
        <v>0.39427561036024372</v>
      </c>
      <c r="AG3" s="2">
        <f>IF('Modell einstellen'!$B$2="Ja",creep_res160!P3,creep_res160!L3)</f>
        <v>0.45450490496812768</v>
      </c>
      <c r="AL3" s="2">
        <f t="shared" ref="AL3:AL33" si="12">Z3</f>
        <v>1.0000000000000001E-15</v>
      </c>
      <c r="AM3" s="2">
        <f t="shared" ref="AM3:AM33" si="13">O3/(2*(1+AA3))</f>
        <v>7093.1154116431162</v>
      </c>
      <c r="AN3" s="2">
        <f t="shared" ref="AN3:AN33" si="14">P3/(2*(1+AB3))</f>
        <v>7031.9211529245395</v>
      </c>
      <c r="AO3" s="2">
        <f t="shared" ref="AO3:AO33" si="15">Q3/(2*(1+AC3))</f>
        <v>6992.3964680806075</v>
      </c>
      <c r="AP3" s="2">
        <f t="shared" ref="AP3:AP33" si="16">R3/(2*(1+AD3))</f>
        <v>6951.7769139036336</v>
      </c>
      <c r="AQ3" s="2">
        <f t="shared" ref="AQ3:AQ33" si="17">S3/(2*(1+AE3))</f>
        <v>6840.5863197092085</v>
      </c>
      <c r="AR3" s="2">
        <f t="shared" ref="AR3:AR33" si="18">T3/(2*(1+AF3))</f>
        <v>5776.5900052436255</v>
      </c>
      <c r="AS3" s="2">
        <f t="shared" ref="AS3:AS33" si="19">U3/(2*(1+AG3))</f>
        <v>4536.230397827354</v>
      </c>
      <c r="AX3" s="2">
        <f>AL3</f>
        <v>1.0000000000000001E-15</v>
      </c>
      <c r="AY3" s="37">
        <f t="shared" ref="AY3:AY33" si="20">O3/(3*(1-(2*AA3)))</f>
        <v>22077.11293330136</v>
      </c>
      <c r="AZ3" s="37">
        <f t="shared" ref="AZ3:AZ33" si="21">P3/(3*(1-(2*AB3)))</f>
        <v>21874.164680336275</v>
      </c>
      <c r="BA3" s="37">
        <f t="shared" ref="BA3:BA33" si="22">Q3/(3*(1-(2*AC3)))</f>
        <v>21742.824013893041</v>
      </c>
      <c r="BB3" s="37">
        <f t="shared" ref="BB3:BB33" si="23">R3/(3*(1-(2*AD3)))</f>
        <v>21607.980195039068</v>
      </c>
      <c r="BC3" s="37">
        <f t="shared" ref="BC3:BC33" si="24">S3/(3*(1-(2*AE3)))</f>
        <v>21586.906808299471</v>
      </c>
      <c r="BD3" s="37">
        <f t="shared" ref="BD3:BD33" si="25">T3/(3*(1-(2*AF3)))</f>
        <v>25393.568386649978</v>
      </c>
      <c r="BE3" s="37">
        <f t="shared" ref="BE3:BE33" si="26">U3/(3*(1-(2*AG3)))</f>
        <v>48341.983233453284</v>
      </c>
    </row>
    <row r="4" spans="1:308" x14ac:dyDescent="0.25">
      <c r="A4" s="2">
        <f>'creep_res-40'!A4</f>
        <v>1E-14</v>
      </c>
      <c r="B4" s="3">
        <f>'creep_res-40'!O4</f>
        <v>-5.2026033714285718E-4</v>
      </c>
      <c r="C4" s="2">
        <f>IF('Modell einstellen'!$B$2="Ja",creep_res0!O4,creep_res0!C4)</f>
        <v>-5.2481664571428575E-4</v>
      </c>
      <c r="D4" s="2">
        <f>IF('Modell einstellen'!$B$2="Ja",creep_res25!O4,creep_res25!C4)</f>
        <v>-5.2780317142857151E-4</v>
      </c>
      <c r="E4" s="2">
        <f>IF('Modell einstellen'!$B$2="Ja",creep_res50!O4,creep_res50!C4)</f>
        <v>-5.3097552000000003E-4</v>
      </c>
      <c r="F4" s="2">
        <f>IF('Modell einstellen'!$B$2="Ja",creep_res80!O4,creep_res80!C4)</f>
        <v>-5.5183846857142854E-4</v>
      </c>
      <c r="G4" s="2">
        <f>IF('Modell einstellen'!$B$2="Ja",creep_res125!O4,creep_res125!C4)</f>
        <v>-6.3928611428571433E-4</v>
      </c>
      <c r="H4" s="2">
        <f>IF('Modell einstellen'!$B$2="Ja",creep_res160!O4,creep_res160!C4)</f>
        <v>-7.9098565714285718E-4</v>
      </c>
      <c r="M4" s="9">
        <f t="shared" ref="M4:M32" si="27">M3</f>
        <v>-10</v>
      </c>
      <c r="N4" s="2">
        <f t="shared" si="4"/>
        <v>1E-14</v>
      </c>
      <c r="O4" s="2">
        <f t="shared" si="5"/>
        <v>19221.146195609606</v>
      </c>
      <c r="P4" s="2">
        <f t="shared" si="6"/>
        <v>19054.273681410777</v>
      </c>
      <c r="Q4" s="2">
        <f t="shared" si="7"/>
        <v>18946.45682581564</v>
      </c>
      <c r="R4" s="2">
        <f t="shared" si="8"/>
        <v>18833.259958952531</v>
      </c>
      <c r="S4" s="2">
        <f t="shared" si="9"/>
        <v>18121.244837982198</v>
      </c>
      <c r="T4" s="2">
        <f t="shared" si="10"/>
        <v>15642.448313104966</v>
      </c>
      <c r="U4" s="2">
        <f t="shared" si="11"/>
        <v>12642.454271701079</v>
      </c>
      <c r="Z4" s="2">
        <v>1E-14</v>
      </c>
      <c r="AA4" s="3">
        <f>IF('Modell einstellen'!$B$2="Ja",'creep_res-40'!P4,'creep_res-40'!L4)</f>
        <v>0.35490202218430006</v>
      </c>
      <c r="AB4" s="2">
        <f>IF('Modell einstellen'!$B$2="Ja",creep_res0!P4,creep_res0!L4)</f>
        <v>0.35482783521903322</v>
      </c>
      <c r="AC4" s="2">
        <f>IF('Modell einstellen'!$B$2="Ja",creep_res25!P4,creep_res25!L4)</f>
        <v>0.35477781733677666</v>
      </c>
      <c r="AD4" s="2">
        <f>IF('Modell einstellen'!$B$2="Ja",creep_res50!P4,creep_res50!L4)</f>
        <v>0.35476427021935553</v>
      </c>
      <c r="AE4" s="2">
        <f>IF('Modell einstellen'!$B$2="Ja",creep_res80!P4,creep_res80!L4)</f>
        <v>0.36381285985426876</v>
      </c>
      <c r="AF4" s="2">
        <f>IF('Modell einstellen'!$B$2="Ja",creep_res125!P4,creep_res125!L4)</f>
        <v>0.4037430680490301</v>
      </c>
      <c r="AG4" s="2">
        <f>IF('Modell einstellen'!$B$2="Ja",creep_res160!P4,creep_res160!L4)</f>
        <v>0.46898678097757085</v>
      </c>
      <c r="AL4" s="2">
        <f t="shared" si="12"/>
        <v>1E-14</v>
      </c>
      <c r="AM4" s="2">
        <f t="shared" si="13"/>
        <v>7093.186769557813</v>
      </c>
      <c r="AN4" s="2">
        <f t="shared" si="14"/>
        <v>7031.9907762783369</v>
      </c>
      <c r="AO4" s="2">
        <f t="shared" si="15"/>
        <v>6992.459052459466</v>
      </c>
      <c r="AP4" s="2">
        <f t="shared" si="16"/>
        <v>6950.7516447504031</v>
      </c>
      <c r="AQ4" s="2">
        <f t="shared" si="17"/>
        <v>6643.5965561721414</v>
      </c>
      <c r="AR4" s="2">
        <f t="shared" si="18"/>
        <v>5571.6920956359099</v>
      </c>
      <c r="AS4" s="2">
        <f t="shared" si="19"/>
        <v>4303.1205029931816</v>
      </c>
      <c r="AX4" s="2">
        <f t="shared" ref="AX4:AX32" si="28">AL4</f>
        <v>1E-14</v>
      </c>
      <c r="AY4" s="37">
        <f t="shared" si="20"/>
        <v>22078.352945786577</v>
      </c>
      <c r="AZ4" s="37">
        <f t="shared" si="21"/>
        <v>21875.490284426003</v>
      </c>
      <c r="BA4" s="37">
        <f t="shared" si="22"/>
        <v>21744.218041575314</v>
      </c>
      <c r="BB4" s="37">
        <f t="shared" si="23"/>
        <v>21612.28965190726</v>
      </c>
      <c r="BC4" s="37">
        <f t="shared" si="24"/>
        <v>22176.891810527537</v>
      </c>
      <c r="BD4" s="37">
        <f t="shared" si="25"/>
        <v>27084.539949588099</v>
      </c>
      <c r="BE4" s="37">
        <f t="shared" si="26"/>
        <v>67941.212759188784</v>
      </c>
      <c r="BF4" s="5"/>
      <c r="BG4" s="5"/>
    </row>
    <row r="5" spans="1:308" x14ac:dyDescent="0.25">
      <c r="A5" s="2">
        <f>'creep_res-40'!A5</f>
        <v>1E-13</v>
      </c>
      <c r="B5" s="3">
        <f>'creep_res-40'!O5</f>
        <v>-5.2026304571428574E-4</v>
      </c>
      <c r="C5" s="2">
        <f>IF('Modell einstellen'!$B$2="Ja",creep_res0!O5,creep_res0!C5)</f>
        <v>-5.2481937142857143E-4</v>
      </c>
      <c r="D5" s="2">
        <f>IF('Modell einstellen'!$B$2="Ja",creep_res25!O5,creep_res25!C5)</f>
        <v>-5.2780959428571435E-4</v>
      </c>
      <c r="E5" s="2">
        <f>IF('Modell einstellen'!$B$2="Ja",creep_res50!O5,creep_res50!C5)</f>
        <v>-5.316390914285714E-4</v>
      </c>
      <c r="F5" s="2">
        <f>IF('Modell einstellen'!$B$2="Ja",creep_res80!O5,creep_res80!C5)</f>
        <v>-5.5994022285714288E-4</v>
      </c>
      <c r="G5" s="2">
        <f>IF('Modell einstellen'!$B$2="Ja",creep_res125!O5,creep_res125!C5)</f>
        <v>-6.558840571428572E-4</v>
      </c>
      <c r="H5" s="2">
        <f>IF('Modell einstellen'!$B$2="Ja",creep_res160!O5,creep_res160!C5)</f>
        <v>-8.179954857142857E-4</v>
      </c>
      <c r="M5" s="9">
        <f t="shared" si="27"/>
        <v>-10</v>
      </c>
      <c r="N5" s="2">
        <f t="shared" si="4"/>
        <v>1E-13</v>
      </c>
      <c r="O5" s="2">
        <f t="shared" si="5"/>
        <v>19221.046127292553</v>
      </c>
      <c r="P5" s="2">
        <f t="shared" si="6"/>
        <v>19054.174720684852</v>
      </c>
      <c r="Q5" s="2">
        <f t="shared" si="7"/>
        <v>18946.226268457696</v>
      </c>
      <c r="R5" s="2">
        <f t="shared" si="8"/>
        <v>18809.75300956317</v>
      </c>
      <c r="S5" s="2">
        <f t="shared" si="9"/>
        <v>17859.049219529443</v>
      </c>
      <c r="T5" s="2">
        <f t="shared" si="10"/>
        <v>15246.597155542559</v>
      </c>
      <c r="U5" s="2">
        <f t="shared" si="11"/>
        <v>12225.006341285432</v>
      </c>
      <c r="Z5" s="2">
        <v>1E-13</v>
      </c>
      <c r="AA5" s="3">
        <f>IF('Modell einstellen'!$B$2="Ja",'creep_res-40'!P5,'creep_res-40'!L5)</f>
        <v>0.3549020636626749</v>
      </c>
      <c r="AB5" s="2">
        <f>IF('Modell einstellen'!$B$2="Ja",creep_res0!P5,creep_res0!L5)</f>
        <v>0.35482789779427787</v>
      </c>
      <c r="AC5" s="2">
        <f>IF('Modell einstellen'!$B$2="Ja",creep_res25!P5,creep_res25!L5)</f>
        <v>0.35477996345413693</v>
      </c>
      <c r="AD5" s="2">
        <f>IF('Modell einstellen'!$B$2="Ja",creep_res50!P5,creep_res50!L5)</f>
        <v>0.35513075943754374</v>
      </c>
      <c r="AE5" s="2">
        <f>IF('Modell einstellen'!$B$2="Ja",creep_res80!P5,creep_res80!L5)</f>
        <v>0.36805711474976932</v>
      </c>
      <c r="AF5" s="2">
        <f>IF('Modell einstellen'!$B$2="Ja",creep_res125!P5,creep_res125!L5)</f>
        <v>0.41152209741599799</v>
      </c>
      <c r="AG5" s="2">
        <f>IF('Modell einstellen'!$B$2="Ja",creep_res160!P5,creep_res160!L5)</f>
        <v>0.48088322666957084</v>
      </c>
      <c r="AL5" s="2">
        <f t="shared" si="12"/>
        <v>1E-13</v>
      </c>
      <c r="AM5" s="2">
        <f t="shared" si="13"/>
        <v>7093.1496241627792</v>
      </c>
      <c r="AN5" s="2">
        <f t="shared" si="14"/>
        <v>7031.9539299810422</v>
      </c>
      <c r="AO5" s="2">
        <f t="shared" si="15"/>
        <v>6992.3628853177524</v>
      </c>
      <c r="AP5" s="2">
        <f t="shared" si="16"/>
        <v>6940.1985301294053</v>
      </c>
      <c r="AQ5" s="2">
        <f t="shared" si="17"/>
        <v>6527.1577578820725</v>
      </c>
      <c r="AR5" s="2">
        <f t="shared" si="18"/>
        <v>5400.7646013667554</v>
      </c>
      <c r="AS5" s="2">
        <f t="shared" si="19"/>
        <v>4127.6064584710148</v>
      </c>
      <c r="AX5" s="2">
        <f t="shared" si="28"/>
        <v>1E-13</v>
      </c>
      <c r="AY5" s="37">
        <f t="shared" si="20"/>
        <v>22078.244313789179</v>
      </c>
      <c r="AZ5" s="37">
        <f t="shared" si="21"/>
        <v>21875.38610056468</v>
      </c>
      <c r="BA5" s="37">
        <f t="shared" si="22"/>
        <v>21744.274779045543</v>
      </c>
      <c r="BB5" s="37">
        <f t="shared" si="23"/>
        <v>21639.920405157689</v>
      </c>
      <c r="BC5" s="37">
        <f t="shared" si="24"/>
        <v>22559.065595768479</v>
      </c>
      <c r="BD5" s="37">
        <f t="shared" si="25"/>
        <v>28720.160081905295</v>
      </c>
      <c r="BE5" s="37">
        <f t="shared" si="26"/>
        <v>106581.8494399214</v>
      </c>
    </row>
    <row r="6" spans="1:308" x14ac:dyDescent="0.25">
      <c r="A6" s="2">
        <f>'creep_res-40'!A6</f>
        <v>9.9999999999999998E-13</v>
      </c>
      <c r="B6" s="3">
        <f>'creep_res-40'!O6</f>
        <v>-5.2026376571428568E-4</v>
      </c>
      <c r="C6" s="2">
        <f>IF('Modell einstellen'!$B$2="Ja",creep_res0!O6,creep_res0!C6)</f>
        <v>-5.2482014857142855E-4</v>
      </c>
      <c r="D6" s="2">
        <f>IF('Modell einstellen'!$B$2="Ja",creep_res25!O6,creep_res25!C6)</f>
        <v>-5.2784711428571437E-4</v>
      </c>
      <c r="E6" s="2">
        <f>IF('Modell einstellen'!$B$2="Ja",creep_res50!O6,creep_res50!C6)</f>
        <v>-5.367964742857143E-4</v>
      </c>
      <c r="F6" s="2">
        <f>IF('Modell einstellen'!$B$2="Ja",creep_res80!O6,creep_res80!C6)</f>
        <v>-5.6813518285714294E-4</v>
      </c>
      <c r="G6" s="2">
        <f>IF('Modell einstellen'!$B$2="Ja",creep_res125!O6,creep_res125!C6)</f>
        <v>-6.7472948571428574E-4</v>
      </c>
      <c r="H6" s="2">
        <f>IF('Modell einstellen'!$B$2="Ja",creep_res160!O6,creep_res160!C6)</f>
        <v>-8.486698857142858E-4</v>
      </c>
      <c r="M6" s="9">
        <f t="shared" si="27"/>
        <v>-10</v>
      </c>
      <c r="N6" s="2">
        <f t="shared" si="4"/>
        <v>9.9999999999999998E-13</v>
      </c>
      <c r="O6" s="2">
        <f t="shared" si="5"/>
        <v>19221.019527029144</v>
      </c>
      <c r="P6" s="2">
        <f t="shared" si="6"/>
        <v>19054.146505655717</v>
      </c>
      <c r="Q6" s="2">
        <f t="shared" si="7"/>
        <v>18944.879548185188</v>
      </c>
      <c r="R6" s="2">
        <f t="shared" si="8"/>
        <v>18629.034427445622</v>
      </c>
      <c r="S6" s="2">
        <f t="shared" si="9"/>
        <v>17601.444694395013</v>
      </c>
      <c r="T6" s="2">
        <f t="shared" si="10"/>
        <v>14820.754408581606</v>
      </c>
      <c r="U6" s="2">
        <f t="shared" si="11"/>
        <v>11783.144622344491</v>
      </c>
      <c r="Z6" s="2">
        <v>9.9999999999999998E-13</v>
      </c>
      <c r="AA6" s="3">
        <f>IF('Modell einstellen'!$B$2="Ja",'creep_res-40'!P6,'creep_res-40'!L6)</f>
        <v>0.35490205578029937</v>
      </c>
      <c r="AB6" s="2">
        <f>IF('Modell einstellen'!$B$2="Ja",creep_res0!P6,creep_res0!L6)</f>
        <v>0.354827927664711</v>
      </c>
      <c r="AC6" s="2">
        <f>IF('Modell einstellen'!$B$2="Ja",creep_res25!P6,creep_res25!L6)</f>
        <v>0.35480066766085783</v>
      </c>
      <c r="AD6" s="2">
        <f>IF('Modell einstellen'!$B$2="Ja",creep_res50!P6,creep_res50!L6)</f>
        <v>0.35797376910597761</v>
      </c>
      <c r="AE6" s="2">
        <f>IF('Modell einstellen'!$B$2="Ja",creep_res80!P6,creep_res80!L6)</f>
        <v>0.37232543156202752</v>
      </c>
      <c r="AF6" s="2">
        <f>IF('Modell einstellen'!$B$2="Ja",creep_res125!P6,creep_res125!L6)</f>
        <v>0.42095508159629863</v>
      </c>
      <c r="AG6" s="2">
        <f>IF('Modell einstellen'!$B$2="Ja",creep_res160!P6,creep_res160!L6)</f>
        <v>0.4931989574542967</v>
      </c>
      <c r="AL6" s="2">
        <f t="shared" si="12"/>
        <v>9.9999999999999998E-13</v>
      </c>
      <c r="AM6" s="2">
        <f t="shared" si="13"/>
        <v>7093.139849123485</v>
      </c>
      <c r="AN6" s="2">
        <f t="shared" si="14"/>
        <v>7031.9433621725511</v>
      </c>
      <c r="AO6" s="2">
        <f t="shared" si="15"/>
        <v>6991.7590094248426</v>
      </c>
      <c r="AP6" s="2">
        <f t="shared" si="16"/>
        <v>6859.1289652487367</v>
      </c>
      <c r="AQ6" s="2">
        <f t="shared" si="17"/>
        <v>6412.9995296962652</v>
      </c>
      <c r="AR6" s="2">
        <f t="shared" si="18"/>
        <v>5215.0678795321228</v>
      </c>
      <c r="AS6" s="2">
        <f t="shared" si="19"/>
        <v>3945.604356178083</v>
      </c>
      <c r="AX6" s="2">
        <f t="shared" si="28"/>
        <v>9.9999999999999998E-13</v>
      </c>
      <c r="AY6" s="37">
        <f t="shared" si="20"/>
        <v>22078.212560022632</v>
      </c>
      <c r="AZ6" s="37">
        <f t="shared" si="21"/>
        <v>21875.358208990678</v>
      </c>
      <c r="BA6" s="37">
        <f t="shared" si="22"/>
        <v>21745.829500941531</v>
      </c>
      <c r="BB6" s="37">
        <f t="shared" si="23"/>
        <v>21861.025612639936</v>
      </c>
      <c r="BC6" s="37">
        <f t="shared" si="24"/>
        <v>22976.965198497666</v>
      </c>
      <c r="BD6" s="37">
        <f t="shared" si="25"/>
        <v>31249.646209362581</v>
      </c>
      <c r="BE6" s="37">
        <f t="shared" si="26"/>
        <v>288758.29313817841</v>
      </c>
    </row>
    <row r="7" spans="1:308" x14ac:dyDescent="0.25">
      <c r="A7" s="2">
        <f>'creep_res-40'!A7</f>
        <v>9.9999999999999994E-12</v>
      </c>
      <c r="B7" s="3">
        <f>'creep_res-40'!O7</f>
        <v>-5.2026397714285716E-4</v>
      </c>
      <c r="C7" s="2">
        <f>IF('Modell einstellen'!$B$2="Ja",creep_res0!O7,creep_res0!C7)</f>
        <v>-5.2482096571428573E-4</v>
      </c>
      <c r="D7" s="2">
        <f>IF('Modell einstellen'!$B$2="Ja",creep_res25!O7,creep_res25!C7)</f>
        <v>-5.2820610285714297E-4</v>
      </c>
      <c r="E7" s="2">
        <f>IF('Modell einstellen'!$B$2="Ja",creep_res50!O7,creep_res50!C7)</f>
        <v>-5.4753407428571432E-4</v>
      </c>
      <c r="F7" s="2">
        <f>IF('Modell einstellen'!$B$2="Ja",creep_res80!O7,creep_res80!C7)</f>
        <v>-5.7749040000000008E-4</v>
      </c>
      <c r="G7" s="2">
        <f>IF('Modell einstellen'!$B$2="Ja",creep_res125!O7,creep_res125!C7)</f>
        <v>-7.0008291428571429E-4</v>
      </c>
      <c r="H7" s="2">
        <f>IF('Modell einstellen'!$B$2="Ja",creep_res160!O7,creep_res160!C7)</f>
        <v>-8.8110862857142865E-4</v>
      </c>
      <c r="M7" s="9">
        <f t="shared" si="27"/>
        <v>-10</v>
      </c>
      <c r="N7" s="2">
        <f t="shared" si="4"/>
        <v>9.9999999999999994E-12</v>
      </c>
      <c r="O7" s="2">
        <f t="shared" si="5"/>
        <v>19221.011715854664</v>
      </c>
      <c r="P7" s="2">
        <f t="shared" si="6"/>
        <v>19054.116838472557</v>
      </c>
      <c r="Q7" s="2">
        <f t="shared" si="7"/>
        <v>18932.003901334268</v>
      </c>
      <c r="R7" s="2">
        <f t="shared" si="8"/>
        <v>18263.70352027041</v>
      </c>
      <c r="S7" s="2">
        <f t="shared" si="9"/>
        <v>17316.305171479904</v>
      </c>
      <c r="T7" s="2">
        <f t="shared" si="10"/>
        <v>14284.022357841532</v>
      </c>
      <c r="U7" s="2">
        <f t="shared" si="11"/>
        <v>11349.338408152171</v>
      </c>
      <c r="Z7" s="2">
        <v>9.9999999999999994E-12</v>
      </c>
      <c r="AA7" s="3">
        <f>IF('Modell einstellen'!$B$2="Ja",'creep_res-40'!P7,'creep_res-40'!L7)</f>
        <v>0.35490204335390357</v>
      </c>
      <c r="AB7" s="2">
        <f>IF('Modell einstellen'!$B$2="Ja",creep_res0!P7,creep_res0!L7)</f>
        <v>0.35482826802139189</v>
      </c>
      <c r="AC7" s="2">
        <f>IF('Modell einstellen'!$B$2="Ja",creep_res25!P7,creep_res25!L7)</f>
        <v>0.35500228114419569</v>
      </c>
      <c r="AD7" s="2">
        <f>IF('Modell einstellen'!$B$2="Ja",creep_res50!P7,creep_res50!L7)</f>
        <v>0.36384606795456531</v>
      </c>
      <c r="AE7" s="2">
        <f>IF('Modell einstellen'!$B$2="Ja",creep_res80!P7,creep_res80!L7)</f>
        <v>0.37719485157551658</v>
      </c>
      <c r="AF7" s="2">
        <f>IF('Modell einstellen'!$B$2="Ja",creep_res125!P7,creep_res125!L7)</f>
        <v>0.4325781738016175</v>
      </c>
      <c r="AG7" s="2">
        <f>IF('Modell einstellen'!$B$2="Ja",creep_res160!P7,creep_res160!L7)</f>
        <v>0.50656640942148146</v>
      </c>
      <c r="AL7" s="2">
        <f t="shared" si="12"/>
        <v>9.9999999999999994E-12</v>
      </c>
      <c r="AM7" s="2">
        <f t="shared" si="13"/>
        <v>7093.1370316171597</v>
      </c>
      <c r="AN7" s="2">
        <f t="shared" si="14"/>
        <v>7031.9306469370567</v>
      </c>
      <c r="AO7" s="2">
        <f t="shared" si="15"/>
        <v>6985.9675385002447</v>
      </c>
      <c r="AP7" s="2">
        <f t="shared" si="16"/>
        <v>6695.6616107202954</v>
      </c>
      <c r="AQ7" s="2">
        <f t="shared" si="17"/>
        <v>6286.8028992665704</v>
      </c>
      <c r="AR7" s="2">
        <f t="shared" si="18"/>
        <v>4985.425095489265</v>
      </c>
      <c r="AS7" s="2">
        <f t="shared" si="19"/>
        <v>3766.6240058114313</v>
      </c>
      <c r="AX7" s="2">
        <f t="shared" si="28"/>
        <v>9.9999999999999994E-12</v>
      </c>
      <c r="AY7" s="37">
        <f t="shared" si="20"/>
        <v>22078.201696912922</v>
      </c>
      <c r="AZ7" s="37">
        <f t="shared" si="21"/>
        <v>21875.375436130926</v>
      </c>
      <c r="BA7" s="37">
        <f t="shared" si="22"/>
        <v>21761.266373394414</v>
      </c>
      <c r="BB7" s="37">
        <f t="shared" si="23"/>
        <v>22356.685120896589</v>
      </c>
      <c r="BC7" s="37">
        <f t="shared" si="24"/>
        <v>23501.057561019414</v>
      </c>
      <c r="BD7" s="37">
        <f t="shared" si="25"/>
        <v>35310.084689321317</v>
      </c>
      <c r="BE7" s="37">
        <f t="shared" si="26"/>
        <v>-288065.55911220331</v>
      </c>
    </row>
    <row r="8" spans="1:308" x14ac:dyDescent="0.25">
      <c r="A8" s="2">
        <f>'creep_res-40'!A8</f>
        <v>1E-10</v>
      </c>
      <c r="B8" s="3">
        <f>'creep_res-40'!O8</f>
        <v>-5.2026404000000005E-4</v>
      </c>
      <c r="C8" s="2">
        <f>IF('Modell einstellen'!$B$2="Ja",creep_res0!O8,creep_res0!C8)</f>
        <v>-5.248271028571429E-4</v>
      </c>
      <c r="D8" s="2">
        <f>IF('Modell einstellen'!$B$2="Ja",creep_res25!O8,creep_res25!C8)</f>
        <v>-5.3132425714285715E-4</v>
      </c>
      <c r="E8" s="2">
        <f>IF('Modell einstellen'!$B$2="Ja",creep_res50!O8,creep_res50!C8)</f>
        <v>-5.5545164000000004E-4</v>
      </c>
      <c r="F8" s="2">
        <f>IF('Modell einstellen'!$B$2="Ja",creep_res80!O8,creep_res80!C8)</f>
        <v>-5.8790091428571434E-4</v>
      </c>
      <c r="G8" s="2">
        <f>IF('Modell einstellen'!$B$2="Ja",creep_res125!O8,creep_res125!C8)</f>
        <v>-7.2712519999999998E-4</v>
      </c>
      <c r="H8" s="2">
        <f>IF('Modell einstellen'!$B$2="Ja",creep_res160!O8,creep_res160!C8)</f>
        <v>-9.2443062857142859E-4</v>
      </c>
      <c r="M8" s="9">
        <f t="shared" si="27"/>
        <v>-10</v>
      </c>
      <c r="N8" s="2">
        <f t="shared" si="4"/>
        <v>1E-10</v>
      </c>
      <c r="O8" s="2">
        <f t="shared" si="5"/>
        <v>19221.009393614826</v>
      </c>
      <c r="P8" s="2">
        <f t="shared" si="6"/>
        <v>19053.894026357066</v>
      </c>
      <c r="Q8" s="2">
        <f t="shared" si="7"/>
        <v>18820.898661344763</v>
      </c>
      <c r="R8" s="2">
        <f t="shared" si="8"/>
        <v>18003.367493882994</v>
      </c>
      <c r="S8" s="2">
        <f t="shared" si="9"/>
        <v>17009.669073486239</v>
      </c>
      <c r="T8" s="2">
        <f t="shared" si="10"/>
        <v>13752.789753401477</v>
      </c>
      <c r="U8" s="2">
        <f t="shared" si="11"/>
        <v>10817.469359981644</v>
      </c>
      <c r="Z8" s="2">
        <v>1E-10</v>
      </c>
      <c r="AA8" s="3">
        <f>IF('Modell einstellen'!$B$2="Ja",'creep_res-40'!P8,'creep_res-40'!L8)</f>
        <v>0.35490204440916467</v>
      </c>
      <c r="AB8" s="2">
        <f>IF('Modell einstellen'!$B$2="Ja",creep_res0!P8,creep_res0!L8)</f>
        <v>0.35483171856662499</v>
      </c>
      <c r="AC8" s="2">
        <f>IF('Modell einstellen'!$B$2="Ja",creep_res25!P8,creep_res25!L8)</f>
        <v>0.3567483273195185</v>
      </c>
      <c r="AD8" s="2">
        <f>IF('Modell einstellen'!$B$2="Ja",creep_res50!P8,creep_res50!L8)</f>
        <v>0.36805965167887011</v>
      </c>
      <c r="AE8" s="2">
        <f>IF('Modell einstellen'!$B$2="Ja",creep_res80!P8,creep_res80!L8)</f>
        <v>0.38258146708104163</v>
      </c>
      <c r="AF8" s="2">
        <f>IF('Modell einstellen'!$B$2="Ja",creep_res125!P8,creep_res125!L8)</f>
        <v>0.44512623528539907</v>
      </c>
      <c r="AG8" s="2">
        <f>IF('Modell einstellen'!$B$2="Ja",creep_res160!P8,creep_res160!L8)</f>
        <v>0.5227542253653461</v>
      </c>
      <c r="AL8" s="2">
        <f t="shared" si="12"/>
        <v>1E-10</v>
      </c>
      <c r="AM8" s="2">
        <f t="shared" si="13"/>
        <v>7093.1361691156708</v>
      </c>
      <c r="AN8" s="2">
        <f t="shared" si="14"/>
        <v>7031.8305090006179</v>
      </c>
      <c r="AO8" s="2">
        <f t="shared" si="15"/>
        <v>6936.0316435873456</v>
      </c>
      <c r="AP8" s="2">
        <f t="shared" si="16"/>
        <v>6579.8912612434069</v>
      </c>
      <c r="AQ8" s="2">
        <f t="shared" si="17"/>
        <v>6151.4165633211096</v>
      </c>
      <c r="AR8" s="2">
        <f t="shared" si="18"/>
        <v>4758.3350912889036</v>
      </c>
      <c r="AS8" s="2">
        <f t="shared" si="19"/>
        <v>3551.9419942460731</v>
      </c>
      <c r="AX8" s="2">
        <f t="shared" si="28"/>
        <v>1E-10</v>
      </c>
      <c r="AY8" s="37">
        <f t="shared" si="20"/>
        <v>22078.199190042968</v>
      </c>
      <c r="AZ8" s="37">
        <f t="shared" si="21"/>
        <v>21875.639589012484</v>
      </c>
      <c r="BA8" s="37">
        <f t="shared" si="22"/>
        <v>21897.241301705664</v>
      </c>
      <c r="BB8" s="37">
        <f t="shared" si="23"/>
        <v>22741.801785132677</v>
      </c>
      <c r="BC8" s="37">
        <f t="shared" si="24"/>
        <v>24143.930051806245</v>
      </c>
      <c r="BD8" s="37">
        <f t="shared" si="25"/>
        <v>41770.992704588716</v>
      </c>
      <c r="BE8" s="37">
        <f t="shared" si="26"/>
        <v>-79234.14359526879</v>
      </c>
    </row>
    <row r="9" spans="1:308" x14ac:dyDescent="0.25">
      <c r="A9" s="2">
        <f>'creep_res-40'!A9</f>
        <v>1.0000000000000001E-9</v>
      </c>
      <c r="B9" s="3">
        <f>'creep_res-40'!O9</f>
        <v>-5.2026406285714288E-4</v>
      </c>
      <c r="C9" s="2">
        <f>IF('Modell einstellen'!$B$2="Ja",creep_res0!O9,creep_res0!C9)</f>
        <v>-5.2488745714285713E-4</v>
      </c>
      <c r="D9" s="2">
        <f>IF('Modell einstellen'!$B$2="Ja",creep_res25!O9,creep_res25!C9)</f>
        <v>-5.4216279428571435E-4</v>
      </c>
      <c r="E9" s="2">
        <f>IF('Modell einstellen'!$B$2="Ja",creep_res50!O9,creep_res50!C9)</f>
        <v>-5.6348080000000005E-4</v>
      </c>
      <c r="F9" s="2">
        <f>IF('Modell einstellen'!$B$2="Ja",creep_res80!O9,creep_res80!C9)</f>
        <v>-6.0010474285714284E-4</v>
      </c>
      <c r="G9" s="2">
        <f>IF('Modell einstellen'!$B$2="Ja",creep_res125!O9,creep_res125!C9)</f>
        <v>-7.5195502857142865E-4</v>
      </c>
      <c r="H9" s="2">
        <f>IF('Modell einstellen'!$B$2="Ja",creep_res160!O9,creep_res160!C9)</f>
        <v>-9.7719491428571443E-4</v>
      </c>
      <c r="M9" s="9">
        <f t="shared" si="27"/>
        <v>-10</v>
      </c>
      <c r="N9" s="2">
        <f t="shared" si="4"/>
        <v>1.0000000000000001E-9</v>
      </c>
      <c r="O9" s="2">
        <f t="shared" si="5"/>
        <v>19221.008549164115</v>
      </c>
      <c r="P9" s="2">
        <f t="shared" si="6"/>
        <v>19051.703110669547</v>
      </c>
      <c r="Q9" s="2">
        <f t="shared" si="7"/>
        <v>18444.644496815286</v>
      </c>
      <c r="R9" s="2">
        <f t="shared" si="8"/>
        <v>17746.833609947313</v>
      </c>
      <c r="S9" s="2">
        <f t="shared" si="9"/>
        <v>16663.757650688218</v>
      </c>
      <c r="T9" s="2">
        <f t="shared" si="10"/>
        <v>13298.667633087174</v>
      </c>
      <c r="U9" s="2">
        <f t="shared" si="11"/>
        <v>10233.372947207314</v>
      </c>
      <c r="Z9" s="2">
        <v>1.0000000000000001E-9</v>
      </c>
      <c r="AA9" s="3">
        <f>IF('Modell einstellen'!$B$2="Ja",'creep_res-40'!P9,'creep_res-40'!L9)</f>
        <v>0.35490203980042623</v>
      </c>
      <c r="AB9" s="2">
        <f>IF('Modell einstellen'!$B$2="Ja",creep_res0!P9,creep_res0!L9)</f>
        <v>0.35486606897663669</v>
      </c>
      <c r="AC9" s="2">
        <f>IF('Modell einstellen'!$B$2="Ja",creep_res25!P9,creep_res25!L9)</f>
        <v>0.36276720216317948</v>
      </c>
      <c r="AD9" s="2">
        <f>IF('Modell einstellen'!$B$2="Ja",creep_res50!P9,creep_res50!L9)</f>
        <v>0.37230591403596053</v>
      </c>
      <c r="AE9" s="2">
        <f>IF('Modell einstellen'!$B$2="Ja",creep_res80!P9,creep_res80!L9)</f>
        <v>0.38886469628682918</v>
      </c>
      <c r="AF9" s="2">
        <f>IF('Modell einstellen'!$B$2="Ja",creep_res125!P9,creep_res125!L9)</f>
        <v>0.45642693069866719</v>
      </c>
      <c r="AG9" s="2">
        <f>IF('Modell einstellen'!$B$2="Ja",creep_res160!P9,creep_res160!L9)</f>
        <v>0.54189045250279344</v>
      </c>
      <c r="AL9" s="2">
        <f t="shared" si="12"/>
        <v>1.0000000000000001E-9</v>
      </c>
      <c r="AM9" s="2">
        <f t="shared" si="13"/>
        <v>7093.1358816152215</v>
      </c>
      <c r="AN9" s="2">
        <f t="shared" si="14"/>
        <v>7030.8436925650376</v>
      </c>
      <c r="AO9" s="2">
        <f t="shared" si="15"/>
        <v>6767.3497232459458</v>
      </c>
      <c r="AP9" s="2">
        <f t="shared" si="16"/>
        <v>6466.0632255652681</v>
      </c>
      <c r="AQ9" s="2">
        <f t="shared" si="17"/>
        <v>5999.0572498672</v>
      </c>
      <c r="AR9" s="2">
        <f t="shared" si="18"/>
        <v>4565.5114420012915</v>
      </c>
      <c r="AS9" s="2">
        <f t="shared" si="19"/>
        <v>3318.4500658255338</v>
      </c>
      <c r="AX9" s="2">
        <f t="shared" si="28"/>
        <v>1.0000000000000001E-9</v>
      </c>
      <c r="AY9" s="37">
        <f t="shared" si="20"/>
        <v>22078.197518796656</v>
      </c>
      <c r="AZ9" s="37">
        <f t="shared" si="21"/>
        <v>21878.301162166608</v>
      </c>
      <c r="BA9" s="37">
        <f t="shared" si="22"/>
        <v>22400.675819429198</v>
      </c>
      <c r="BB9" s="37">
        <f t="shared" si="23"/>
        <v>23163.215268174965</v>
      </c>
      <c r="BC9" s="37">
        <f t="shared" si="24"/>
        <v>24990.1952753851</v>
      </c>
      <c r="BD9" s="37">
        <f t="shared" si="25"/>
        <v>50867.30499030355</v>
      </c>
      <c r="BE9" s="37">
        <f t="shared" si="26"/>
        <v>-40714.818197634682</v>
      </c>
    </row>
    <row r="10" spans="1:308" x14ac:dyDescent="0.25">
      <c r="A10" s="2">
        <f>'creep_res-40'!A10</f>
        <v>1E-8</v>
      </c>
      <c r="B10" s="3">
        <f>'creep_res-40'!O10</f>
        <v>-5.2026407428571429E-4</v>
      </c>
      <c r="C10" s="2">
        <f>IF('Modell einstellen'!$B$2="Ja",creep_res0!O10,creep_res0!C10)</f>
        <v>-5.2546980000000004E-4</v>
      </c>
      <c r="D10" s="2">
        <f>IF('Modell einstellen'!$B$2="Ja",creep_res25!O10,creep_res25!C10)</f>
        <v>-5.5038337142857149E-4</v>
      </c>
      <c r="E10" s="2">
        <f>IF('Modell einstellen'!$B$2="Ja",creep_res50!O10,creep_res50!C10)</f>
        <v>-5.7273514285714289E-4</v>
      </c>
      <c r="F10" s="2">
        <f>IF('Modell einstellen'!$B$2="Ja",creep_res80!O10,creep_res80!C10)</f>
        <v>-6.139406857142858E-4</v>
      </c>
      <c r="G10" s="2">
        <f>IF('Modell einstellen'!$B$2="Ja",creep_res125!O10,creep_res125!C10)</f>
        <v>-7.768190857142857E-4</v>
      </c>
      <c r="H10" s="2">
        <f>IF('Modell einstellen'!$B$2="Ja",creep_res160!O10,creep_res160!C10)</f>
        <v>-1.0469790285714286E-3</v>
      </c>
      <c r="M10" s="9">
        <f t="shared" si="27"/>
        <v>-10</v>
      </c>
      <c r="N10" s="2">
        <f t="shared" si="4"/>
        <v>1E-8</v>
      </c>
      <c r="O10" s="2">
        <f t="shared" si="5"/>
        <v>19221.008126938788</v>
      </c>
      <c r="P10" s="2">
        <f t="shared" si="6"/>
        <v>19030.589388771721</v>
      </c>
      <c r="Q10" s="2">
        <f t="shared" si="7"/>
        <v>18169.153573888081</v>
      </c>
      <c r="R10" s="2">
        <f t="shared" si="8"/>
        <v>17460.077532721432</v>
      </c>
      <c r="S10" s="2">
        <f t="shared" si="9"/>
        <v>16288.218443065973</v>
      </c>
      <c r="T10" s="2">
        <f t="shared" si="10"/>
        <v>12873.010182036134</v>
      </c>
      <c r="U10" s="2">
        <f t="shared" si="11"/>
        <v>9551.2896888151608</v>
      </c>
      <c r="Z10" s="2">
        <v>1E-8</v>
      </c>
      <c r="AA10" s="3">
        <f>IF('Modell einstellen'!$B$2="Ja",'creep_res-40'!P10,'creep_res-40'!L10)</f>
        <v>0.35490204298777367</v>
      </c>
      <c r="AB10" s="2">
        <f>IF('Modell einstellen'!$B$2="Ja",creep_res0!P10,creep_res0!L10)</f>
        <v>0.35519741436275554</v>
      </c>
      <c r="AC10" s="2">
        <f>IF('Modell einstellen'!$B$2="Ja",creep_res25!P10,creep_res25!L10)</f>
        <v>0.3672262004593369</v>
      </c>
      <c r="AD10" s="2">
        <f>IF('Modell einstellen'!$B$2="Ja",creep_res50!P10,creep_res50!L10)</f>
        <v>0.37719745801225502</v>
      </c>
      <c r="AE10" s="2">
        <f>IF('Modell einstellen'!$B$2="Ja",creep_res80!P10,creep_res80!L10)</f>
        <v>0.39592756377954424</v>
      </c>
      <c r="AF10" s="2">
        <f>IF('Modell einstellen'!$B$2="Ja",creep_res125!P10,creep_res125!L10)</f>
        <v>0.46788810691277705</v>
      </c>
      <c r="AG10" s="2">
        <f>IF('Modell einstellen'!$B$2="Ja",creep_res160!P10,creep_res160!L10)</f>
        <v>0.56543847815098824</v>
      </c>
      <c r="AL10" s="2">
        <f t="shared" si="12"/>
        <v>1E-8</v>
      </c>
      <c r="AM10" s="2">
        <f t="shared" si="13"/>
        <v>7093.135709114963</v>
      </c>
      <c r="AN10" s="2">
        <f t="shared" si="14"/>
        <v>7021.3347469085647</v>
      </c>
      <c r="AO10" s="2">
        <f t="shared" si="15"/>
        <v>6644.5309370841214</v>
      </c>
      <c r="AP10" s="2">
        <f t="shared" si="16"/>
        <v>6338.9884403076148</v>
      </c>
      <c r="AQ10" s="2">
        <f t="shared" si="17"/>
        <v>5834.1918541119712</v>
      </c>
      <c r="AR10" s="2">
        <f t="shared" si="18"/>
        <v>4384.874474223483</v>
      </c>
      <c r="AS10" s="2">
        <f t="shared" si="19"/>
        <v>3050.6755206683788</v>
      </c>
      <c r="AX10" s="2">
        <f t="shared" si="28"/>
        <v>1E-8</v>
      </c>
      <c r="AY10" s="37">
        <f t="shared" si="20"/>
        <v>22078.197518796649</v>
      </c>
      <c r="AZ10" s="37">
        <f t="shared" si="21"/>
        <v>21904.062584037278</v>
      </c>
      <c r="BA10" s="37">
        <f t="shared" si="22"/>
        <v>22807.152260392086</v>
      </c>
      <c r="BB10" s="37">
        <f t="shared" si="23"/>
        <v>23696.683106206725</v>
      </c>
      <c r="BC10" s="37">
        <f t="shared" si="24"/>
        <v>26084.746090634377</v>
      </c>
      <c r="BD10" s="37">
        <f t="shared" si="25"/>
        <v>66813.304689896933</v>
      </c>
      <c r="BE10" s="37">
        <f t="shared" si="26"/>
        <v>-24326.385022731254</v>
      </c>
    </row>
    <row r="11" spans="1:308" x14ac:dyDescent="0.25">
      <c r="A11" s="2">
        <f>'creep_res-40'!A11</f>
        <v>9.9999999999999995E-8</v>
      </c>
      <c r="B11" s="3">
        <f>'creep_res-40'!O11</f>
        <v>-5.2026408571428581E-4</v>
      </c>
      <c r="C11" s="2">
        <f>IF('Modell einstellen'!$B$2="Ja",creep_res0!O11,creep_res0!C11)</f>
        <v>-5.3013404571428579E-4</v>
      </c>
      <c r="D11" s="2">
        <f>IF('Modell einstellen'!$B$2="Ja",creep_res25!O11,creep_res25!C11)</f>
        <v>-5.5811092000000002E-4</v>
      </c>
      <c r="E11" s="2">
        <f>IF('Modell einstellen'!$B$2="Ja",creep_res50!O11,creep_res50!C11)</f>
        <v>-5.8296645714285718E-4</v>
      </c>
      <c r="F11" s="2">
        <f>IF('Modell einstellen'!$B$2="Ja",creep_res80!O11,creep_res80!C11)</f>
        <v>-6.2946365714285719E-4</v>
      </c>
      <c r="G11" s="2">
        <f>IF('Modell einstellen'!$B$2="Ja",creep_res125!O11,creep_res125!C11)</f>
        <v>-8.0414577142857145E-4</v>
      </c>
      <c r="H11" s="2">
        <f>IF('Modell einstellen'!$B$2="Ja",creep_res160!O11,creep_res160!C11)</f>
        <v>-1.1422493142857143E-3</v>
      </c>
      <c r="M11" s="9">
        <f t="shared" si="27"/>
        <v>-10</v>
      </c>
      <c r="N11" s="2">
        <f t="shared" si="4"/>
        <v>9.9999999999999995E-8</v>
      </c>
      <c r="O11" s="2">
        <f t="shared" si="5"/>
        <v>19221.007704713476</v>
      </c>
      <c r="P11" s="2">
        <f t="shared" si="6"/>
        <v>18863.153726575543</v>
      </c>
      <c r="Q11" s="2">
        <f t="shared" si="7"/>
        <v>17917.585271400887</v>
      </c>
      <c r="R11" s="2">
        <f t="shared" si="8"/>
        <v>17153.645595683865</v>
      </c>
      <c r="S11" s="2">
        <f t="shared" si="9"/>
        <v>15886.540686701621</v>
      </c>
      <c r="T11" s="2">
        <f t="shared" si="10"/>
        <v>12435.556282581601</v>
      </c>
      <c r="U11" s="2">
        <f t="shared" si="11"/>
        <v>8754.6561638807598</v>
      </c>
      <c r="Z11" s="2">
        <v>9.9999999999999995E-8</v>
      </c>
      <c r="AA11" s="3">
        <f>IF('Modell einstellen'!$B$2="Ja",'creep_res-40'!P11,'creep_res-40'!L11)</f>
        <v>0.354902046175121</v>
      </c>
      <c r="AB11" s="2">
        <f>IF('Modell einstellen'!$B$2="Ja",creep_res0!P11,creep_res0!L11)</f>
        <v>0.35783756168709369</v>
      </c>
      <c r="AC11" s="2">
        <f>IF('Modell einstellen'!$B$2="Ja",creep_res25!P11,creep_res25!L11)</f>
        <v>0.37136611789334945</v>
      </c>
      <c r="AD11" s="2">
        <f>IF('Modell einstellen'!$B$2="Ja",creep_res50!P11,creep_res50!L11)</f>
        <v>0.38257129814771013</v>
      </c>
      <c r="AE11" s="2">
        <f>IF('Modell einstellen'!$B$2="Ja",creep_res80!P11,creep_res80!L11)</f>
        <v>0.40323905685148376</v>
      </c>
      <c r="AF11" s="2">
        <f>IF('Modell einstellen'!$B$2="Ja",creep_res125!P11,creep_res125!L11)</f>
        <v>0.47930844947728379</v>
      </c>
      <c r="AG11" s="2">
        <f>IF('Modell einstellen'!$B$2="Ja",creep_res160!P11,creep_res160!L11)</f>
        <v>0.59457682568474046</v>
      </c>
      <c r="AL11" s="2">
        <f t="shared" si="12"/>
        <v>9.9999999999999995E-8</v>
      </c>
      <c r="AM11" s="2">
        <f t="shared" si="13"/>
        <v>7093.1355366147118</v>
      </c>
      <c r="AN11" s="2">
        <f t="shared" si="14"/>
        <v>6946.0273669032786</v>
      </c>
      <c r="AO11" s="2">
        <f t="shared" si="15"/>
        <v>6532.7504586905397</v>
      </c>
      <c r="AP11" s="2">
        <f t="shared" si="16"/>
        <v>6203.5301972004399</v>
      </c>
      <c r="AQ11" s="2">
        <f t="shared" si="17"/>
        <v>5660.667941479277</v>
      </c>
      <c r="AR11" s="2">
        <f t="shared" si="18"/>
        <v>4203.1654341512503</v>
      </c>
      <c r="AS11" s="2">
        <f t="shared" si="19"/>
        <v>2745.1346410108995</v>
      </c>
      <c r="AX11" s="2">
        <f t="shared" si="28"/>
        <v>9.9999999999999995E-8</v>
      </c>
      <c r="AY11" s="37">
        <f t="shared" si="20"/>
        <v>22078.197518796638</v>
      </c>
      <c r="AZ11" s="37">
        <f t="shared" si="21"/>
        <v>22114.554250325065</v>
      </c>
      <c r="BA11" s="37">
        <f t="shared" si="22"/>
        <v>23215.22263803118</v>
      </c>
      <c r="BB11" s="37">
        <f t="shared" si="23"/>
        <v>24346.185281092145</v>
      </c>
      <c r="BC11" s="37">
        <f t="shared" si="24"/>
        <v>27363.900091930205</v>
      </c>
      <c r="BD11" s="37">
        <f t="shared" si="25"/>
        <v>100166.13841907137</v>
      </c>
      <c r="BE11" s="37">
        <f t="shared" si="26"/>
        <v>-15427.768378593551</v>
      </c>
    </row>
    <row r="12" spans="1:308" x14ac:dyDescent="0.25">
      <c r="A12" s="2">
        <f>'creep_res-40'!A12</f>
        <v>9.9999999999999995E-7</v>
      </c>
      <c r="B12" s="3">
        <f>'creep_res-40'!O12</f>
        <v>-5.2026417142857142E-4</v>
      </c>
      <c r="C12" s="2">
        <f>IF('Modell einstellen'!$B$2="Ja",creep_res0!O12,creep_res0!C12)</f>
        <v>-5.4088885714285724E-4</v>
      </c>
      <c r="D12" s="2">
        <f>IF('Modell einstellen'!$B$2="Ja",creep_res25!O12,creep_res25!C12)</f>
        <v>-5.6713196571428579E-4</v>
      </c>
      <c r="E12" s="2">
        <f>IF('Modell einstellen'!$B$2="Ja",creep_res50!O12,creep_res50!C12)</f>
        <v>-5.9499394285714288E-4</v>
      </c>
      <c r="F12" s="2">
        <f>IF('Modell einstellen'!$B$2="Ja",creep_res80!O12,creep_res80!C12)</f>
        <v>-6.4424862857142857E-4</v>
      </c>
      <c r="G12" s="2">
        <f>IF('Modell einstellen'!$B$2="Ja",creep_res125!O12,creep_res125!C12)</f>
        <v>-8.3242857142857153E-4</v>
      </c>
      <c r="H12" s="2">
        <f>IF('Modell einstellen'!$B$2="Ja",creep_res160!O12,creep_res160!C12)</f>
        <v>-1.2866492E-3</v>
      </c>
      <c r="M12" s="9">
        <f t="shared" si="27"/>
        <v>-10</v>
      </c>
      <c r="N12" s="2">
        <f t="shared" si="4"/>
        <v>9.9999999999999995E-7</v>
      </c>
      <c r="O12" s="2">
        <f t="shared" si="5"/>
        <v>19221.004538024255</v>
      </c>
      <c r="P12" s="2">
        <f t="shared" si="6"/>
        <v>18488.086541148401</v>
      </c>
      <c r="Q12" s="2">
        <f t="shared" si="7"/>
        <v>17632.580430209568</v>
      </c>
      <c r="R12" s="2">
        <f t="shared" si="8"/>
        <v>16806.893784464937</v>
      </c>
      <c r="S12" s="2">
        <f t="shared" si="9"/>
        <v>15521.957760584179</v>
      </c>
      <c r="T12" s="2">
        <f t="shared" si="10"/>
        <v>12013.042732109147</v>
      </c>
      <c r="U12" s="2">
        <f t="shared" si="11"/>
        <v>7772.1262330089658</v>
      </c>
      <c r="Z12" s="2">
        <v>9.9999999999999995E-7</v>
      </c>
      <c r="AA12" s="3">
        <f>IF('Modell einstellen'!$B$2="Ja",'creep_res-40'!P12,'creep_res-40'!L12)</f>
        <v>0.35490209753879987</v>
      </c>
      <c r="AB12" s="2">
        <f>IF('Modell einstellen'!$B$2="Ja",creep_res0!P12,creep_res0!L12)</f>
        <v>0.36387514519750819</v>
      </c>
      <c r="AC12" s="2">
        <f>IF('Modell einstellen'!$B$2="Ja",creep_res25!P12,creep_res25!L12)</f>
        <v>0.37619947643528545</v>
      </c>
      <c r="AD12" s="2">
        <f>IF('Modell einstellen'!$B$2="Ja",creep_res50!P12,creep_res50!L12)</f>
        <v>0.38885797060695171</v>
      </c>
      <c r="AE12" s="2">
        <f>IF('Modell einstellen'!$B$2="Ja",creep_res80!P12,creep_res80!L12)</f>
        <v>0.41092447804756133</v>
      </c>
      <c r="AF12" s="2">
        <f>IF('Modell einstellen'!$B$2="Ja",creep_res125!P12,creep_res125!L12)</f>
        <v>0.49163002574223441</v>
      </c>
      <c r="AG12" s="2">
        <f>IF('Modell einstellen'!$B$2="Ja",creep_res160!P12,creep_res160!L12)</f>
        <v>0.6328207741917089</v>
      </c>
      <c r="AL12" s="2">
        <f t="shared" si="12"/>
        <v>9.9999999999999995E-7</v>
      </c>
      <c r="AM12" s="2">
        <f t="shared" si="13"/>
        <v>7093.1340991129555</v>
      </c>
      <c r="AN12" s="2">
        <f t="shared" si="14"/>
        <v>6777.7782322116691</v>
      </c>
      <c r="AO12" s="2">
        <f t="shared" si="15"/>
        <v>6406.2589516029093</v>
      </c>
      <c r="AP12" s="2">
        <f t="shared" si="16"/>
        <v>6050.6164561665273</v>
      </c>
      <c r="AQ12" s="2">
        <f t="shared" si="17"/>
        <v>5500.6338050295499</v>
      </c>
      <c r="AR12" s="2">
        <f t="shared" si="18"/>
        <v>4026.8171479490911</v>
      </c>
      <c r="AS12" s="2">
        <f t="shared" si="19"/>
        <v>2379.9691784471511</v>
      </c>
      <c r="AX12" s="2">
        <f t="shared" si="28"/>
        <v>9.9999999999999995E-7</v>
      </c>
      <c r="AY12" s="37">
        <f t="shared" si="20"/>
        <v>22078.201696912933</v>
      </c>
      <c r="AZ12" s="37">
        <f t="shared" si="21"/>
        <v>22636.187647942024</v>
      </c>
      <c r="BA12" s="37">
        <f t="shared" si="22"/>
        <v>23737.89157279889</v>
      </c>
      <c r="BB12" s="37">
        <f t="shared" si="23"/>
        <v>25203.327484433135</v>
      </c>
      <c r="BC12" s="37">
        <f t="shared" si="24"/>
        <v>29042.692126785088</v>
      </c>
      <c r="BD12" s="37">
        <f t="shared" si="25"/>
        <v>239209.07365124312</v>
      </c>
      <c r="BE12" s="37">
        <f t="shared" si="26"/>
        <v>-9752.6488612277735</v>
      </c>
    </row>
    <row r="13" spans="1:308" x14ac:dyDescent="0.25">
      <c r="A13" s="2">
        <f>'creep_res-40'!A13</f>
        <v>1.0000000000000001E-5</v>
      </c>
      <c r="B13" s="3">
        <f>'creep_res-40'!O13</f>
        <v>-5.2026502857142854E-4</v>
      </c>
      <c r="C13" s="2">
        <f>IF('Modell einstellen'!$B$2="Ja",creep_res0!O13,creep_res0!C13)</f>
        <v>-5.4876942857142862E-4</v>
      </c>
      <c r="D13" s="2">
        <f>IF('Modell einstellen'!$B$2="Ja",creep_res25!O13,creep_res25!C13)</f>
        <v>-5.7693480000000003E-4</v>
      </c>
      <c r="E13" s="2">
        <f>IF('Modell einstellen'!$B$2="Ja",creep_res50!O13,creep_res50!C13)</f>
        <v>-6.0864839999999996E-4</v>
      </c>
      <c r="F13" s="2">
        <f>IF('Modell einstellen'!$B$2="Ja",creep_res80!O13,creep_res80!C13)</f>
        <v>-6.6256257142857146E-4</v>
      </c>
      <c r="G13" s="2">
        <f>IF('Modell einstellen'!$B$2="Ja",creep_res125!O13,creep_res125!C13)</f>
        <v>-8.6485817142857157E-4</v>
      </c>
      <c r="H13" s="2">
        <f>IF('Modell einstellen'!$B$2="Ja",creep_res160!O13,creep_res160!C13)</f>
        <v>-1.5242370285714288E-3</v>
      </c>
      <c r="M13" s="9">
        <f t="shared" si="27"/>
        <v>-10</v>
      </c>
      <c r="N13" s="2">
        <f t="shared" si="4"/>
        <v>1.0000000000000001E-5</v>
      </c>
      <c r="O13" s="2">
        <f t="shared" si="5"/>
        <v>19220.972871189388</v>
      </c>
      <c r="P13" s="2">
        <f t="shared" si="6"/>
        <v>18222.589450786771</v>
      </c>
      <c r="Q13" s="2">
        <f t="shared" si="7"/>
        <v>17332.981127156829</v>
      </c>
      <c r="R13" s="2">
        <f t="shared" si="8"/>
        <v>16429.846854111503</v>
      </c>
      <c r="S13" s="2">
        <f t="shared" si="9"/>
        <v>15092.91413554903</v>
      </c>
      <c r="T13" s="2">
        <f t="shared" si="10"/>
        <v>11562.58948618363</v>
      </c>
      <c r="U13" s="2">
        <f t="shared" si="11"/>
        <v>6560.6594070033643</v>
      </c>
      <c r="Z13" s="2">
        <v>1.0000000000000001E-5</v>
      </c>
      <c r="AA13" s="3">
        <f>IF('Modell einstellen'!$B$2="Ja",'creep_res-40'!P13,'creep_res-40'!L13)</f>
        <v>0.35490258920783019</v>
      </c>
      <c r="AB13" s="2">
        <f>IF('Modell einstellen'!$B$2="Ja",creep_res0!P13,creep_res0!L13)</f>
        <v>0.36817913117817369</v>
      </c>
      <c r="AC13" s="2">
        <f>IF('Modell einstellen'!$B$2="Ja",creep_res25!P13,creep_res25!L13)</f>
        <v>0.38141836081700342</v>
      </c>
      <c r="AD13" s="2">
        <f>IF('Modell einstellen'!$B$2="Ja",creep_res50!P13,creep_res50!L13)</f>
        <v>0.39593372556541445</v>
      </c>
      <c r="AE13" s="2">
        <f>IF('Modell einstellen'!$B$2="Ja",creep_res80!P13,creep_res80!L13)</f>
        <v>0.41955981300310613</v>
      </c>
      <c r="AF13" s="2">
        <f>IF('Modell einstellen'!$B$2="Ja",creep_res125!P13,creep_res125!L13)</f>
        <v>0.50443882524619388</v>
      </c>
      <c r="AG13" s="2">
        <f>IF('Modell einstellen'!$B$2="Ja",creep_res160!P13,creep_res160!L13)</f>
        <v>0.68333020421120849</v>
      </c>
      <c r="AL13" s="2">
        <f t="shared" si="12"/>
        <v>1.0000000000000001E-5</v>
      </c>
      <c r="AM13" s="2">
        <f t="shared" si="13"/>
        <v>7093.1198391270691</v>
      </c>
      <c r="AN13" s="2">
        <f t="shared" si="14"/>
        <v>6659.4311503256295</v>
      </c>
      <c r="AO13" s="2">
        <f t="shared" si="15"/>
        <v>6273.617616065887</v>
      </c>
      <c r="AP13" s="2">
        <f t="shared" si="16"/>
        <v>5884.895018012654</v>
      </c>
      <c r="AQ13" s="2">
        <f t="shared" si="17"/>
        <v>5316.0543139142828</v>
      </c>
      <c r="AR13" s="2">
        <f t="shared" si="18"/>
        <v>3842.8247437350828</v>
      </c>
      <c r="AS13" s="2">
        <f t="shared" si="19"/>
        <v>1948.7143373862357</v>
      </c>
      <c r="AX13" s="2">
        <f t="shared" si="28"/>
        <v>1.0000000000000001E-5</v>
      </c>
      <c r="AY13" s="37">
        <f t="shared" si="20"/>
        <v>22078.240135656793</v>
      </c>
      <c r="AZ13" s="37">
        <f t="shared" si="21"/>
        <v>23039.585984695968</v>
      </c>
      <c r="BA13" s="37">
        <f t="shared" si="22"/>
        <v>24361.530231517503</v>
      </c>
      <c r="BB13" s="37">
        <f t="shared" si="23"/>
        <v>26313.114636767765</v>
      </c>
      <c r="BC13" s="37">
        <f t="shared" si="24"/>
        <v>31271.504743708578</v>
      </c>
      <c r="BD13" s="37">
        <f t="shared" si="25"/>
        <v>-434146.00503808621</v>
      </c>
      <c r="BE13" s="37">
        <f t="shared" si="26"/>
        <v>-5964.337623498428</v>
      </c>
    </row>
    <row r="14" spans="1:308" x14ac:dyDescent="0.25">
      <c r="A14" s="2">
        <f>'creep_res-40'!A14</f>
        <v>1E-4</v>
      </c>
      <c r="B14" s="3">
        <f>'creep_res-40'!O14</f>
        <v>-5.202735885714286E-4</v>
      </c>
      <c r="C14" s="2">
        <f>IF('Modell einstellen'!$B$2="Ja",creep_res0!O14,creep_res0!C14)</f>
        <v>-5.5665492571428568E-4</v>
      </c>
      <c r="D14" s="2">
        <f>IF('Modell einstellen'!$B$2="Ja",creep_res25!O14,creep_res25!C14)</f>
        <v>-5.8849794285714295E-4</v>
      </c>
      <c r="E14" s="2">
        <f>IF('Modell einstellen'!$B$2="Ja",creep_res50!O14,creep_res50!C14)</f>
        <v>-6.2406720000000003E-4</v>
      </c>
      <c r="F14" s="2">
        <f>IF('Modell einstellen'!$B$2="Ja",creep_res80!O14,creep_res80!C14)</f>
        <v>-6.858794285714287E-4</v>
      </c>
      <c r="G14" s="2">
        <f>IF('Modell einstellen'!$B$2="Ja",creep_res125!O14,creep_res125!C14)</f>
        <v>-9.0430200000000006E-4</v>
      </c>
      <c r="H14" s="2">
        <f>IF('Modell einstellen'!$B$2="Ja",creep_res160!O14,creep_res160!C14)</f>
        <v>-1.9320319428571429E-3</v>
      </c>
      <c r="M14" s="9">
        <f t="shared" si="27"/>
        <v>-10</v>
      </c>
      <c r="N14" s="2">
        <f t="shared" si="4"/>
        <v>1E-4</v>
      </c>
      <c r="O14" s="2">
        <f t="shared" si="5"/>
        <v>19220.656630789352</v>
      </c>
      <c r="P14" s="2">
        <f t="shared" si="6"/>
        <v>17964.450754061414</v>
      </c>
      <c r="Q14" s="2">
        <f t="shared" si="7"/>
        <v>16992.41283911758</v>
      </c>
      <c r="R14" s="2">
        <f t="shared" si="8"/>
        <v>16023.915373216218</v>
      </c>
      <c r="S14" s="2">
        <f t="shared" si="9"/>
        <v>14579.822026195356</v>
      </c>
      <c r="T14" s="2">
        <f t="shared" si="10"/>
        <v>11058.252663380154</v>
      </c>
      <c r="U14" s="2">
        <f t="shared" si="11"/>
        <v>5175.897860783668</v>
      </c>
      <c r="Z14" s="2">
        <v>1E-4</v>
      </c>
      <c r="AA14" s="3">
        <f>IF('Modell einstellen'!$B$2="Ja",'creep_res-40'!P14,'creep_res-40'!L14)</f>
        <v>0.35490755753802411</v>
      </c>
      <c r="AB14" s="2">
        <f>IF('Modell einstellen'!$B$2="Ja",creep_res0!P14,creep_res0!L14)</f>
        <v>0.3724540831718347</v>
      </c>
      <c r="AC14" s="2">
        <f>IF('Modell einstellen'!$B$2="Ja",creep_res25!P14,creep_res25!L14)</f>
        <v>0.38754587223220294</v>
      </c>
      <c r="AD14" s="2">
        <f>IF('Modell einstellen'!$B$2="Ja",creep_res50!P14,creep_res50!L14)</f>
        <v>0.40330422291518786</v>
      </c>
      <c r="AE14" s="2">
        <f>IF('Modell einstellen'!$B$2="Ja",creep_res80!P14,creep_res80!L14)</f>
        <v>0.43080778045953932</v>
      </c>
      <c r="AF14" s="2">
        <f>IF('Modell einstellen'!$B$2="Ja",creep_res125!P14,creep_res125!L14)</f>
        <v>0.51986383183620388</v>
      </c>
      <c r="AG14" s="2">
        <f>IF('Modell einstellen'!$B$2="Ja",creep_res160!P14,creep_res160!L14)</f>
        <v>0.74524020735652441</v>
      </c>
      <c r="AL14" s="2">
        <f t="shared" si="12"/>
        <v>1E-4</v>
      </c>
      <c r="AM14" s="2">
        <f t="shared" si="13"/>
        <v>7092.9771274266232</v>
      </c>
      <c r="AN14" s="2">
        <f t="shared" si="14"/>
        <v>6544.645454565718</v>
      </c>
      <c r="AO14" s="2">
        <f t="shared" si="15"/>
        <v>6123.1895749079549</v>
      </c>
      <c r="AP14" s="2">
        <f t="shared" si="16"/>
        <v>5709.3519393565812</v>
      </c>
      <c r="AQ14" s="2">
        <f t="shared" si="17"/>
        <v>5094.9618199282804</v>
      </c>
      <c r="AR14" s="2">
        <f t="shared" si="18"/>
        <v>3637.9090125528774</v>
      </c>
      <c r="AS14" s="2">
        <f t="shared" si="19"/>
        <v>1482.8611668944652</v>
      </c>
      <c r="AX14" s="2">
        <f t="shared" si="28"/>
        <v>1E-4</v>
      </c>
      <c r="AY14" s="37">
        <f t="shared" si="20"/>
        <v>22078.632887014399</v>
      </c>
      <c r="AZ14" s="37">
        <f t="shared" si="21"/>
        <v>23474.488248107809</v>
      </c>
      <c r="BA14" s="37">
        <f t="shared" si="22"/>
        <v>25184.213890017851</v>
      </c>
      <c r="BB14" s="37">
        <f t="shared" si="23"/>
        <v>27619.123013616882</v>
      </c>
      <c r="BC14" s="37">
        <f t="shared" si="24"/>
        <v>35119.126887934013</v>
      </c>
      <c r="BD14" s="37">
        <f t="shared" si="25"/>
        <v>-92783.81561830506</v>
      </c>
      <c r="BE14" s="37">
        <f t="shared" si="26"/>
        <v>-3517.5701927614382</v>
      </c>
    </row>
    <row r="15" spans="1:308" x14ac:dyDescent="0.25">
      <c r="A15" s="2">
        <f>'creep_res-40'!A15</f>
        <v>1E-3</v>
      </c>
      <c r="B15" s="3">
        <f>'creep_res-40'!O15</f>
        <v>-5.2035845142857145E-4</v>
      </c>
      <c r="C15" s="2">
        <f>IF('Modell einstellen'!$B$2="Ja",creep_res0!O15,creep_res0!C15)</f>
        <v>-5.6579005714285722E-4</v>
      </c>
      <c r="D15" s="2">
        <f>IF('Modell einstellen'!$B$2="Ja",creep_res25!O15,creep_res25!C15)</f>
        <v>-6.0169605714285716E-4</v>
      </c>
      <c r="E15" s="2">
        <f>IF('Modell einstellen'!$B$2="Ja",creep_res50!O15,creep_res50!C15)</f>
        <v>-6.3871062857142865E-4</v>
      </c>
      <c r="F15" s="2">
        <f>IF('Modell einstellen'!$B$2="Ja",creep_res80!O15,creep_res80!C15)</f>
        <v>-7.1274022857142861E-4</v>
      </c>
      <c r="G15" s="2">
        <f>IF('Modell einstellen'!$B$2="Ja",creep_res125!O15,creep_res125!C15)</f>
        <v>-9.539845714285714E-4</v>
      </c>
      <c r="H15" s="2">
        <f>IF('Modell einstellen'!$B$2="Ja",creep_res160!O15,creep_res160!C15)</f>
        <v>-2.5970217714285713E-3</v>
      </c>
      <c r="M15" s="9">
        <f t="shared" si="27"/>
        <v>-10</v>
      </c>
      <c r="N15" s="2">
        <f t="shared" si="4"/>
        <v>1E-3</v>
      </c>
      <c r="O15" s="2">
        <f t="shared" si="5"/>
        <v>19217.522022648805</v>
      </c>
      <c r="P15" s="2">
        <f t="shared" si="6"/>
        <v>17674.400378292765</v>
      </c>
      <c r="Q15" s="2">
        <f t="shared" si="7"/>
        <v>16619.686769238309</v>
      </c>
      <c r="R15" s="2">
        <f t="shared" si="8"/>
        <v>15656.542341195242</v>
      </c>
      <c r="S15" s="2">
        <f t="shared" si="9"/>
        <v>14030.357203273577</v>
      </c>
      <c r="T15" s="2">
        <f t="shared" si="10"/>
        <v>10482.349819374138</v>
      </c>
      <c r="U15" s="2">
        <f t="shared" si="11"/>
        <v>3850.5645620749624</v>
      </c>
      <c r="Z15" s="2">
        <v>1E-3</v>
      </c>
      <c r="AA15" s="3">
        <f>IF('Modell einstellen'!$B$2="Ja",'creep_res-40'!P15,'creep_res-40'!L15)</f>
        <v>0.35495682322457078</v>
      </c>
      <c r="AB15" s="2">
        <f>IF('Modell einstellen'!$B$2="Ja",creep_res0!P15,creep_res0!L15)</f>
        <v>0.37740418808551496</v>
      </c>
      <c r="AC15" s="2">
        <f>IF('Modell einstellen'!$B$2="Ja",creep_res25!P15,creep_res25!L15)</f>
        <v>0.39448251091367348</v>
      </c>
      <c r="AD15" s="2">
        <f>IF('Modell einstellen'!$B$2="Ja",creep_res50!P15,creep_res50!L15)</f>
        <v>0.41102984620086391</v>
      </c>
      <c r="AE15" s="2">
        <f>IF('Modell einstellen'!$B$2="Ja",creep_res80!P15,creep_res80!L15)</f>
        <v>0.44354880968854687</v>
      </c>
      <c r="AF15" s="2">
        <f>IF('Modell einstellen'!$B$2="Ja",creep_res125!P15,creep_res125!L15)</f>
        <v>0.53833337825768979</v>
      </c>
      <c r="AG15" s="2">
        <f>IF('Modell einstellen'!$B$2="Ja",creep_res160!P15,creep_res160!L15)</f>
        <v>0.80816746989810162</v>
      </c>
      <c r="AL15" s="2">
        <f t="shared" si="12"/>
        <v>1E-3</v>
      </c>
      <c r="AM15" s="2">
        <f t="shared" si="13"/>
        <v>7091.5625107943715</v>
      </c>
      <c r="AN15" s="2">
        <f t="shared" si="14"/>
        <v>6415.8365900058752</v>
      </c>
      <c r="AO15" s="2">
        <f t="shared" si="15"/>
        <v>5959.0875608576071</v>
      </c>
      <c r="AP15" s="2">
        <f t="shared" si="16"/>
        <v>5547.9132434192643</v>
      </c>
      <c r="AQ15" s="2">
        <f t="shared" si="17"/>
        <v>4859.6753740182503</v>
      </c>
      <c r="AR15" s="2">
        <f t="shared" si="18"/>
        <v>3407.0475124340101</v>
      </c>
      <c r="AS15" s="2">
        <f t="shared" si="19"/>
        <v>1064.7698916660522</v>
      </c>
      <c r="AX15" s="2">
        <f t="shared" si="28"/>
        <v>1E-3</v>
      </c>
      <c r="AY15" s="37">
        <f t="shared" si="20"/>
        <v>22082.530239028241</v>
      </c>
      <c r="AZ15" s="37">
        <f t="shared" si="21"/>
        <v>24028.010014215506</v>
      </c>
      <c r="BA15" s="37">
        <f t="shared" si="22"/>
        <v>26251.077606735766</v>
      </c>
      <c r="BB15" s="37">
        <f t="shared" si="23"/>
        <v>29329.20324521096</v>
      </c>
      <c r="BC15" s="37">
        <f t="shared" si="24"/>
        <v>41423.269452970897</v>
      </c>
      <c r="BD15" s="37">
        <f t="shared" si="25"/>
        <v>-45575.380585679479</v>
      </c>
      <c r="BE15" s="37">
        <f t="shared" si="26"/>
        <v>-2082.5065038760617</v>
      </c>
    </row>
    <row r="16" spans="1:308" x14ac:dyDescent="0.25">
      <c r="A16" s="2">
        <f>'creep_res-40'!A16</f>
        <v>0.01</v>
      </c>
      <c r="B16" s="3">
        <f>'creep_res-40'!O16</f>
        <v>-5.2117016571428566E-4</v>
      </c>
      <c r="C16" s="2">
        <f>IF('Modell einstellen'!$B$2="Ja",creep_res0!O16,creep_res0!C16)</f>
        <v>-5.7584177142857142E-4</v>
      </c>
      <c r="D16" s="2">
        <f>IF('Modell einstellen'!$B$2="Ja",creep_res25!O16,creep_res25!C16)</f>
        <v>-6.1693605714285718E-4</v>
      </c>
      <c r="E16" s="2">
        <f>IF('Modell einstellen'!$B$2="Ja",creep_res50!O16,creep_res50!C16)</f>
        <v>-6.5660079999999997E-4</v>
      </c>
      <c r="F16" s="2">
        <f>IF('Modell einstellen'!$B$2="Ja",creep_res80!O16,creep_res80!C16)</f>
        <v>-7.3821708571428582E-4</v>
      </c>
      <c r="G16" s="2">
        <f>IF('Modell einstellen'!$B$2="Ja",creep_res125!O16,creep_res125!C16)</f>
        <v>-1.0185461142857143E-3</v>
      </c>
      <c r="H16" s="2">
        <f>IF('Modell einstellen'!$B$2="Ja",creep_res160!O16,creep_res160!C16)</f>
        <v>-3.5571900571428573E-3</v>
      </c>
      <c r="M16" s="9">
        <f t="shared" si="27"/>
        <v>-10</v>
      </c>
      <c r="N16" s="2">
        <f t="shared" si="4"/>
        <v>0.01</v>
      </c>
      <c r="O16" s="2">
        <f t="shared" si="5"/>
        <v>19187.591036210943</v>
      </c>
      <c r="P16" s="2">
        <f t="shared" si="6"/>
        <v>17365.881560123013</v>
      </c>
      <c r="Q16" s="2">
        <f t="shared" si="7"/>
        <v>16209.135264863289</v>
      </c>
      <c r="R16" s="2">
        <f t="shared" si="8"/>
        <v>15229.954029906758</v>
      </c>
      <c r="S16" s="2">
        <f t="shared" si="9"/>
        <v>13546.150845755861</v>
      </c>
      <c r="T16" s="2">
        <f t="shared" si="10"/>
        <v>9817.9158113158155</v>
      </c>
      <c r="U16" s="2">
        <f t="shared" si="11"/>
        <v>2811.2076777904922</v>
      </c>
      <c r="Z16" s="2">
        <v>0.01</v>
      </c>
      <c r="AA16" s="3">
        <f>IF('Modell einstellen'!$B$2="Ja",'creep_res-40'!P16,'creep_res-40'!L16)</f>
        <v>0.35542753741007366</v>
      </c>
      <c r="AB16" s="2">
        <f>IF('Modell einstellen'!$B$2="Ja",creep_res0!P16,creep_res0!L16)</f>
        <v>0.38281449537080187</v>
      </c>
      <c r="AC16" s="2">
        <f>IF('Modell einstellen'!$B$2="Ja",creep_res25!P16,creep_res25!L16)</f>
        <v>0.40188126002592905</v>
      </c>
      <c r="AD16" s="2">
        <f>IF('Modell einstellen'!$B$2="Ja",creep_res50!P16,creep_res50!L16)</f>
        <v>0.41958285765110254</v>
      </c>
      <c r="AE16" s="2">
        <f>IF('Modell einstellen'!$B$2="Ja",creep_res80!P16,creep_res80!L16)</f>
        <v>0.45538051176429006</v>
      </c>
      <c r="AF16" s="2">
        <f>IF('Modell einstellen'!$B$2="Ja",creep_res125!P16,creep_res125!L16)</f>
        <v>0.56052002302217097</v>
      </c>
      <c r="AG16" s="2">
        <f>IF('Modell einstellen'!$B$2="Ja",creep_res160!P16,creep_res160!L16)</f>
        <v>0.85914946735003972</v>
      </c>
      <c r="AL16" s="2">
        <f t="shared" si="12"/>
        <v>0.01</v>
      </c>
      <c r="AM16" s="2">
        <f t="shared" si="13"/>
        <v>7078.0585854387473</v>
      </c>
      <c r="AN16" s="2">
        <f t="shared" si="14"/>
        <v>6279.1797519689544</v>
      </c>
      <c r="AO16" s="2">
        <f t="shared" si="15"/>
        <v>5781.2083401997561</v>
      </c>
      <c r="AP16" s="2">
        <f t="shared" si="16"/>
        <v>5364.2356794540465</v>
      </c>
      <c r="AQ16" s="2">
        <f t="shared" si="17"/>
        <v>4653.8175879978271</v>
      </c>
      <c r="AR16" s="2">
        <f t="shared" si="18"/>
        <v>3145.7192687287707</v>
      </c>
      <c r="AS16" s="2">
        <f t="shared" si="19"/>
        <v>756.04671038027936</v>
      </c>
      <c r="AX16" s="2">
        <f t="shared" si="28"/>
        <v>0.01</v>
      </c>
      <c r="AY16" s="37">
        <f t="shared" si="20"/>
        <v>22119.923684493697</v>
      </c>
      <c r="AZ16" s="37">
        <f t="shared" si="21"/>
        <v>24698.563209776745</v>
      </c>
      <c r="BA16" s="37">
        <f t="shared" si="22"/>
        <v>27533.196460307085</v>
      </c>
      <c r="BB16" s="37">
        <f t="shared" si="23"/>
        <v>31564.484853718845</v>
      </c>
      <c r="BC16" s="37">
        <f t="shared" si="24"/>
        <v>50598.783107940209</v>
      </c>
      <c r="BD16" s="37">
        <f t="shared" si="25"/>
        <v>-27037.651675818404</v>
      </c>
      <c r="BE16" s="37">
        <f t="shared" si="26"/>
        <v>-1304.5671943275686</v>
      </c>
    </row>
    <row r="17" spans="1:57" x14ac:dyDescent="0.25">
      <c r="A17" s="2">
        <f>'creep_res-40'!A17</f>
        <v>0.1</v>
      </c>
      <c r="B17" s="3">
        <f>'creep_res-40'!O17</f>
        <v>-5.2714065714285722E-4</v>
      </c>
      <c r="C17" s="2">
        <f>IF('Modell einstellen'!$B$2="Ja",creep_res0!O17,creep_res0!C17)</f>
        <v>-5.8768102857142859E-4</v>
      </c>
      <c r="D17" s="2">
        <f>IF('Modell einstellen'!$B$2="Ja",creep_res25!O17,creep_res25!C17)</f>
        <v>-6.3134834285714285E-4</v>
      </c>
      <c r="E17" s="2">
        <f>IF('Modell einstellen'!$B$2="Ja",creep_res50!O17,creep_res50!C17)</f>
        <v>-6.7950274285714289E-4</v>
      </c>
      <c r="F17" s="2">
        <f>IF('Modell einstellen'!$B$2="Ja",creep_res80!O17,creep_res80!C17)</f>
        <v>-7.6294337142857147E-4</v>
      </c>
      <c r="G17" s="2">
        <f>IF('Modell einstellen'!$B$2="Ja",creep_res125!O17,creep_res125!C17)</f>
        <v>-1.1103050857142859E-3</v>
      </c>
      <c r="H17" s="2">
        <f>IF('Modell einstellen'!$B$2="Ja",creep_res160!O17,creep_res160!C17)</f>
        <v>-4.6141837142857148E-3</v>
      </c>
      <c r="M17" s="9">
        <f t="shared" si="27"/>
        <v>-10</v>
      </c>
      <c r="N17" s="2">
        <f t="shared" si="4"/>
        <v>0.1</v>
      </c>
      <c r="O17" s="2">
        <f t="shared" si="5"/>
        <v>18970.268873208846</v>
      </c>
      <c r="P17" s="2">
        <f t="shared" si="6"/>
        <v>17016.033381762583</v>
      </c>
      <c r="Q17" s="2">
        <f t="shared" si="7"/>
        <v>15839.116571915563</v>
      </c>
      <c r="R17" s="2">
        <f t="shared" si="8"/>
        <v>14716.644053491889</v>
      </c>
      <c r="S17" s="2">
        <f t="shared" si="9"/>
        <v>13107.132684402939</v>
      </c>
      <c r="T17" s="2">
        <f t="shared" si="10"/>
        <v>9006.5335452973814</v>
      </c>
      <c r="U17" s="2">
        <f t="shared" si="11"/>
        <v>2167.2305697407674</v>
      </c>
      <c r="Z17" s="2">
        <v>0.1</v>
      </c>
      <c r="AA17" s="3">
        <f>IF('Modell einstellen'!$B$2="Ja",'creep_res-40'!P17,'creep_res-40'!L17)</f>
        <v>0.35886729716974969</v>
      </c>
      <c r="AB17" s="2">
        <f>IF('Modell einstellen'!$B$2="Ja",creep_res0!P17,creep_res0!L17)</f>
        <v>0.389154242855551</v>
      </c>
      <c r="AC17" s="2">
        <f>IF('Modell einstellen'!$B$2="Ja",creep_res25!P17,creep_res25!L17)</f>
        <v>0.40958911883464649</v>
      </c>
      <c r="AD17" s="2">
        <f>IF('Modell einstellen'!$B$2="Ja",creep_res50!P17,creep_res50!L17)</f>
        <v>0.43076231879816651</v>
      </c>
      <c r="AE17" s="2">
        <f>IF('Modell einstellen'!$B$2="Ja",creep_res80!P17,creep_res80!L17)</f>
        <v>0.46639275755272308</v>
      </c>
      <c r="AF17" s="2">
        <f>IF('Modell einstellen'!$B$2="Ja",creep_res125!P17,creep_res125!L17)</f>
        <v>0.58678826962308783</v>
      </c>
      <c r="AG17" s="2">
        <f>IF('Modell einstellen'!$B$2="Ja",creep_res160!P17,creep_res160!L17)</f>
        <v>0.88691880061992689</v>
      </c>
      <c r="AL17" s="2">
        <f t="shared" si="12"/>
        <v>0.1</v>
      </c>
      <c r="AM17" s="2">
        <f t="shared" si="13"/>
        <v>6980.1771345591078</v>
      </c>
      <c r="AN17" s="2">
        <f t="shared" si="14"/>
        <v>6124.6018825038309</v>
      </c>
      <c r="AO17" s="2">
        <f t="shared" si="15"/>
        <v>5618.3452185734377</v>
      </c>
      <c r="AP17" s="2">
        <f t="shared" si="16"/>
        <v>5142.9380897638539</v>
      </c>
      <c r="AQ17" s="2">
        <f t="shared" si="17"/>
        <v>4469.1753341299773</v>
      </c>
      <c r="AR17" s="2">
        <f t="shared" si="18"/>
        <v>2837.9758401657195</v>
      </c>
      <c r="AS17" s="2">
        <f t="shared" si="19"/>
        <v>574.27764486440731</v>
      </c>
      <c r="AX17" s="2">
        <f t="shared" si="28"/>
        <v>0.1</v>
      </c>
      <c r="AY17" s="37">
        <f t="shared" si="20"/>
        <v>22402.40153744481</v>
      </c>
      <c r="AZ17" s="37">
        <f t="shared" si="21"/>
        <v>25585.152167180811</v>
      </c>
      <c r="BA17" s="37">
        <f t="shared" si="22"/>
        <v>29198.396564212995</v>
      </c>
      <c r="BB17" s="37">
        <f t="shared" si="23"/>
        <v>35425.421047323616</v>
      </c>
      <c r="BC17" s="37">
        <f t="shared" si="24"/>
        <v>65001.528093066168</v>
      </c>
      <c r="BD17" s="37">
        <f t="shared" si="25"/>
        <v>-17295.988625367216</v>
      </c>
      <c r="BE17" s="37">
        <f t="shared" si="26"/>
        <v>-933.54237214130342</v>
      </c>
    </row>
    <row r="18" spans="1:57" x14ac:dyDescent="0.25">
      <c r="A18" s="2">
        <f>'creep_res-40'!A18</f>
        <v>1</v>
      </c>
      <c r="B18" s="3">
        <f>'creep_res-40'!O18</f>
        <v>-5.3738724571428579E-4</v>
      </c>
      <c r="C18" s="2">
        <f>IF('Modell einstellen'!$B$2="Ja",creep_res0!O18,creep_res0!C18)</f>
        <v>-6.0114314285714284E-4</v>
      </c>
      <c r="D18" s="2">
        <f>IF('Modell einstellen'!$B$2="Ja",creep_res25!O18,creep_res25!C18)</f>
        <v>-6.481961714285714E-4</v>
      </c>
      <c r="E18" s="2">
        <f>IF('Modell einstellen'!$B$2="Ja",creep_res50!O18,creep_res50!C18)</f>
        <v>-7.0670925714285716E-4</v>
      </c>
      <c r="F18" s="2">
        <f>IF('Modell einstellen'!$B$2="Ja",creep_res80!O18,creep_res80!C18)</f>
        <v>-7.9293365714285728E-4</v>
      </c>
      <c r="G18" s="2">
        <f>IF('Modell einstellen'!$B$2="Ja",creep_res125!O18,creep_res125!C18)</f>
        <v>-1.2787949142857144E-3</v>
      </c>
      <c r="H18" s="2">
        <f>IF('Modell einstellen'!$B$2="Ja",creep_res160!O18,creep_res160!C18)</f>
        <v>-5.6234140000000002E-3</v>
      </c>
      <c r="M18" s="9">
        <f t="shared" si="27"/>
        <v>-10</v>
      </c>
      <c r="N18" s="2">
        <f t="shared" si="4"/>
        <v>1</v>
      </c>
      <c r="O18" s="2">
        <f t="shared" si="5"/>
        <v>18608.554780097496</v>
      </c>
      <c r="P18" s="2">
        <f t="shared" si="6"/>
        <v>16634.973082237128</v>
      </c>
      <c r="Q18" s="2">
        <f t="shared" si="7"/>
        <v>15427.42836317718</v>
      </c>
      <c r="R18" s="2">
        <f t="shared" si="8"/>
        <v>14150.090576751223</v>
      </c>
      <c r="S18" s="2">
        <f t="shared" si="9"/>
        <v>12611.395556133355</v>
      </c>
      <c r="T18" s="2">
        <f t="shared" si="10"/>
        <v>7819.862190792036</v>
      </c>
      <c r="U18" s="2">
        <f t="shared" si="11"/>
        <v>1778.2791734700663</v>
      </c>
      <c r="Z18" s="2">
        <v>1</v>
      </c>
      <c r="AA18" s="3">
        <f>IF('Modell einstellen'!$B$2="Ja",'creep_res-40'!P18,'creep_res-40'!L18)</f>
        <v>0.36471461580118525</v>
      </c>
      <c r="AB18" s="2">
        <f>IF('Modell einstellen'!$B$2="Ja",creep_res0!P18,creep_res0!L18)</f>
        <v>0.39629437438480308</v>
      </c>
      <c r="AC18" s="2">
        <f>IF('Modell einstellen'!$B$2="Ja",creep_res25!P18,creep_res25!L18)</f>
        <v>0.41770359114388039</v>
      </c>
      <c r="AD18" s="2">
        <f>IF('Modell einstellen'!$B$2="Ja",creep_res50!P18,creep_res50!L18)</f>
        <v>0.44351746347578624</v>
      </c>
      <c r="AE18" s="2">
        <f>IF('Modell einstellen'!$B$2="Ja",creep_res80!P18,creep_res80!L18)</f>
        <v>0.47744824481442832</v>
      </c>
      <c r="AF18" s="2">
        <f>IF('Modell einstellen'!$B$2="Ja",creep_res125!P18,creep_res125!L18)</f>
        <v>0.61156764956078513</v>
      </c>
      <c r="AG18" s="2">
        <f>IF('Modell einstellen'!$B$2="Ja",creep_res160!P18,creep_res160!L18)</f>
        <v>0.88233328924894572</v>
      </c>
      <c r="AL18" s="2">
        <f t="shared" si="12"/>
        <v>1</v>
      </c>
      <c r="AM18" s="2">
        <f t="shared" si="13"/>
        <v>6817.7458366168885</v>
      </c>
      <c r="AN18" s="2">
        <f t="shared" si="14"/>
        <v>5956.8287989294422</v>
      </c>
      <c r="AO18" s="2">
        <f t="shared" si="15"/>
        <v>5440.9922001853329</v>
      </c>
      <c r="AP18" s="2">
        <f t="shared" si="16"/>
        <v>4901.2536857987861</v>
      </c>
      <c r="AQ18" s="2">
        <f t="shared" si="17"/>
        <v>4267.9652571239076</v>
      </c>
      <c r="AR18" s="2">
        <f t="shared" si="18"/>
        <v>2426.1662837806571</v>
      </c>
      <c r="AS18" s="2">
        <f t="shared" si="19"/>
        <v>472.36033693576201</v>
      </c>
      <c r="AX18" s="2">
        <f t="shared" si="28"/>
        <v>1</v>
      </c>
      <c r="AY18" s="37">
        <f t="shared" si="20"/>
        <v>22925.061824306722</v>
      </c>
      <c r="AZ18" s="37">
        <f t="shared" si="21"/>
        <v>26734.282708959516</v>
      </c>
      <c r="BA18" s="37">
        <f t="shared" si="22"/>
        <v>31243.624069002512</v>
      </c>
      <c r="BB18" s="37">
        <f t="shared" si="23"/>
        <v>41753.585702503391</v>
      </c>
      <c r="BC18" s="37">
        <f t="shared" si="24"/>
        <v>93203.355661661641</v>
      </c>
      <c r="BD18" s="37">
        <f t="shared" si="25"/>
        <v>-11681.794590661575</v>
      </c>
      <c r="BE18" s="37">
        <f t="shared" si="26"/>
        <v>-775.18717459109746</v>
      </c>
    </row>
    <row r="19" spans="1:57" x14ac:dyDescent="0.25">
      <c r="A19" s="2">
        <f>'creep_res-40'!A19</f>
        <v>10</v>
      </c>
      <c r="B19" s="3">
        <f>'creep_res-40'!O19</f>
        <v>-5.4510416571428575E-4</v>
      </c>
      <c r="C19" s="2">
        <f>IF('Modell einstellen'!$B$2="Ja",creep_res0!O19,creep_res0!C19)</f>
        <v>-6.1650040000000011E-4</v>
      </c>
      <c r="D19" s="2">
        <f>IF('Modell einstellen'!$B$2="Ja",creep_res25!O19,creep_res25!C19)</f>
        <v>-6.7047302857142863E-4</v>
      </c>
      <c r="E19" s="2">
        <f>IF('Modell einstellen'!$B$2="Ja",creep_res50!O19,creep_res50!C19)</f>
        <v>-7.3743742857142864E-4</v>
      </c>
      <c r="F19" s="2">
        <f>IF('Modell einstellen'!$B$2="Ja",creep_res80!O19,creep_res80!C19)</f>
        <v>-8.4745777142857144E-4</v>
      </c>
      <c r="G19" s="2">
        <f>IF('Modell einstellen'!$B$2="Ja",creep_res125!O19,creep_res125!C19)</f>
        <v>-1.6690684000000003E-3</v>
      </c>
      <c r="H19" s="2">
        <f>IF('Modell einstellen'!$B$2="Ja",creep_res160!O19,creep_res160!C19)</f>
        <v>-6.7562577142857147E-3</v>
      </c>
      <c r="M19" s="9">
        <f t="shared" si="27"/>
        <v>-10</v>
      </c>
      <c r="N19" s="2">
        <f t="shared" si="4"/>
        <v>10</v>
      </c>
      <c r="O19" s="2">
        <f t="shared" si="5"/>
        <v>18345.117555460878</v>
      </c>
      <c r="P19" s="2">
        <f t="shared" si="6"/>
        <v>16220.589637898043</v>
      </c>
      <c r="Q19" s="2">
        <f t="shared" si="7"/>
        <v>14914.843064316723</v>
      </c>
      <c r="R19" s="2">
        <f t="shared" si="8"/>
        <v>13560.472539849385</v>
      </c>
      <c r="S19" s="2">
        <f t="shared" si="9"/>
        <v>11799.997990628914</v>
      </c>
      <c r="T19" s="2">
        <f t="shared" si="10"/>
        <v>5991.3662016487751</v>
      </c>
      <c r="U19" s="2">
        <f t="shared" si="11"/>
        <v>1480.1093183369221</v>
      </c>
      <c r="Z19" s="2">
        <v>10</v>
      </c>
      <c r="AA19" s="3">
        <f>IF('Modell einstellen'!$B$2="Ja",'creep_res-40'!P19,'creep_res-40'!L19)</f>
        <v>0.368997751402251</v>
      </c>
      <c r="AB19" s="2">
        <f>IF('Modell einstellen'!$B$2="Ja",creep_res0!P19,creep_res0!L19)</f>
        <v>0.40375680905594591</v>
      </c>
      <c r="AC19" s="2">
        <f>IF('Modell einstellen'!$B$2="Ja",creep_res25!P19,creep_res25!L19)</f>
        <v>0.42821784330005652</v>
      </c>
      <c r="AD19" s="2">
        <f>IF('Modell einstellen'!$B$2="Ja",creep_res50!P19,creep_res50!L19)</f>
        <v>0.45456280842810487</v>
      </c>
      <c r="AE19" s="2">
        <f>IF('Modell einstellen'!$B$2="Ja",creep_res80!P19,creep_res80!L19)</f>
        <v>0.48361266176195816</v>
      </c>
      <c r="AF19" s="2">
        <f>IF('Modell einstellen'!$B$2="Ja",creep_res125!P19,creep_res125!L19)</f>
        <v>0.61509043008662778</v>
      </c>
      <c r="AG19" s="2">
        <f>IF('Modell einstellen'!$B$2="Ja",creep_res160!P19,creep_res160!L19)</f>
        <v>0.82835141787283606</v>
      </c>
      <c r="AL19" s="2">
        <f t="shared" si="12"/>
        <v>10</v>
      </c>
      <c r="AM19" s="2">
        <f t="shared" si="13"/>
        <v>6700.2000319833087</v>
      </c>
      <c r="AN19" s="2">
        <f t="shared" si="14"/>
        <v>5777.56401011038</v>
      </c>
      <c r="AO19" s="2">
        <f t="shared" si="15"/>
        <v>5221.4874412485688</v>
      </c>
      <c r="AP19" s="2">
        <f t="shared" si="16"/>
        <v>4661.3568218837227</v>
      </c>
      <c r="AQ19" s="2">
        <f t="shared" si="17"/>
        <v>3976.7785402340392</v>
      </c>
      <c r="AR19" s="2">
        <f t="shared" si="18"/>
        <v>1854.808278855141</v>
      </c>
      <c r="AS19" s="2">
        <f t="shared" si="19"/>
        <v>404.76609252146119</v>
      </c>
      <c r="AX19" s="2">
        <f t="shared" si="28"/>
        <v>10</v>
      </c>
      <c r="AY19" s="37">
        <f t="shared" si="20"/>
        <v>23339.443599667724</v>
      </c>
      <c r="AZ19" s="37">
        <f t="shared" si="21"/>
        <v>28089.588258641987</v>
      </c>
      <c r="BA19" s="37">
        <f t="shared" si="22"/>
        <v>34629.875886524846</v>
      </c>
      <c r="BB19" s="37">
        <f t="shared" si="23"/>
        <v>49740.722928824689</v>
      </c>
      <c r="BC19" s="37">
        <f t="shared" si="24"/>
        <v>120011.3345562145</v>
      </c>
      <c r="BD19" s="37">
        <f t="shared" si="25"/>
        <v>-8676.3168132790815</v>
      </c>
      <c r="BE19" s="37">
        <f t="shared" si="26"/>
        <v>-751.2831465372966</v>
      </c>
    </row>
    <row r="20" spans="1:57" x14ac:dyDescent="0.25">
      <c r="A20" s="2">
        <f>'creep_res-40'!A20</f>
        <v>100</v>
      </c>
      <c r="B20" s="3">
        <f>'creep_res-40'!O20</f>
        <v>-5.531446114285715E-4</v>
      </c>
      <c r="C20" s="2">
        <f>IF('Modell einstellen'!$B$2="Ja",creep_res0!O20,creep_res0!C20)</f>
        <v>-6.3240502857142859E-4</v>
      </c>
      <c r="D20" s="2">
        <f>IF('Modell einstellen'!$B$2="Ja",creep_res25!O20,creep_res25!C20)</f>
        <v>-7.0504165714285728E-4</v>
      </c>
      <c r="E20" s="2">
        <f>IF('Modell einstellen'!$B$2="Ja",creep_res50!O20,creep_res50!C20)</f>
        <v>-7.9729805714285717E-4</v>
      </c>
      <c r="F20" s="2">
        <f>IF('Modell einstellen'!$B$2="Ja",creep_res80!O20,creep_res80!C20)</f>
        <v>-9.8356862857142862E-4</v>
      </c>
      <c r="G20" s="2">
        <f>IF('Modell einstellen'!$B$2="Ja",creep_res125!O20,creep_res125!C20)</f>
        <v>-2.4705964000000004E-3</v>
      </c>
      <c r="H20" s="2">
        <f>IF('Modell einstellen'!$B$2="Ja",creep_res160!O20,creep_res160!C20)</f>
        <v>-8.7672800000000006E-3</v>
      </c>
      <c r="M20" s="9">
        <f t="shared" si="27"/>
        <v>-10</v>
      </c>
      <c r="N20" s="2">
        <f t="shared" si="4"/>
        <v>100</v>
      </c>
      <c r="O20" s="2">
        <f t="shared" si="5"/>
        <v>18078.455061098099</v>
      </c>
      <c r="P20" s="2">
        <f t="shared" si="6"/>
        <v>15812.650988227435</v>
      </c>
      <c r="Q20" s="2">
        <f t="shared" si="7"/>
        <v>14183.559082912139</v>
      </c>
      <c r="R20" s="2">
        <f t="shared" si="8"/>
        <v>12542.360928151909</v>
      </c>
      <c r="S20" s="2">
        <f t="shared" si="9"/>
        <v>10167.058718133751</v>
      </c>
      <c r="T20" s="2">
        <f t="shared" si="10"/>
        <v>4047.605671246019</v>
      </c>
      <c r="U20" s="2">
        <f t="shared" si="11"/>
        <v>1140.6046116925659</v>
      </c>
      <c r="Z20" s="2">
        <v>100</v>
      </c>
      <c r="AA20" s="3">
        <f>IF('Modell einstellen'!$B$2="Ja",'creep_res-40'!P20,'creep_res-40'!L20)</f>
        <v>0.37343228673851209</v>
      </c>
      <c r="AB20" s="2">
        <f>IF('Modell einstellen'!$B$2="Ja",creep_res0!P20,creep_res0!L20)</f>
        <v>0.41130037097382799</v>
      </c>
      <c r="AC20" s="2">
        <f>IF('Modell einstellen'!$B$2="Ja",creep_res25!P20,creep_res25!L20)</f>
        <v>0.43961044976552138</v>
      </c>
      <c r="AD20" s="2">
        <f>IF('Modell einstellen'!$B$2="Ja",creep_res50!P20,creep_res50!L20)</f>
        <v>0.45886276191674802</v>
      </c>
      <c r="AE20" s="2">
        <f>IF('Modell einstellen'!$B$2="Ja",creep_res80!P20,creep_res80!L20)</f>
        <v>0.47534307577694779</v>
      </c>
      <c r="AF20" s="2">
        <f>IF('Modell einstellen'!$B$2="Ja",creep_res125!P20,creep_res125!L20)</f>
        <v>0.59458284184799615</v>
      </c>
      <c r="AG20" s="2">
        <f>IF('Modell einstellen'!$B$2="Ja",creep_res160!P20,creep_res160!L20)</f>
        <v>0.71455639605442056</v>
      </c>
      <c r="AL20" s="2">
        <f t="shared" si="12"/>
        <v>100</v>
      </c>
      <c r="AM20" s="2">
        <f t="shared" si="13"/>
        <v>6581.4875752007347</v>
      </c>
      <c r="AN20" s="2">
        <f t="shared" si="14"/>
        <v>5602.1564627366897</v>
      </c>
      <c r="AO20" s="2">
        <f t="shared" si="15"/>
        <v>4926.1795387850607</v>
      </c>
      <c r="AP20" s="2">
        <f t="shared" si="16"/>
        <v>4298.6774546472579</v>
      </c>
      <c r="AQ20" s="2">
        <f t="shared" si="17"/>
        <v>3445.6591436468279</v>
      </c>
      <c r="AR20" s="2">
        <f t="shared" si="18"/>
        <v>1269.173844412863</v>
      </c>
      <c r="AS20" s="2">
        <f t="shared" si="19"/>
        <v>332.62382454066642</v>
      </c>
      <c r="AX20" s="2">
        <f t="shared" si="28"/>
        <v>100</v>
      </c>
      <c r="AY20" s="37">
        <f t="shared" si="20"/>
        <v>23806.038411165402</v>
      </c>
      <c r="AZ20" s="37">
        <f t="shared" si="21"/>
        <v>29711.982567521412</v>
      </c>
      <c r="BA20" s="37">
        <f t="shared" si="22"/>
        <v>39144.628576303541</v>
      </c>
      <c r="BB20" s="37">
        <f t="shared" si="23"/>
        <v>50815.115098268368</v>
      </c>
      <c r="BC20" s="37">
        <f t="shared" si="24"/>
        <v>68723.485988223809</v>
      </c>
      <c r="BD20" s="37">
        <f t="shared" si="25"/>
        <v>-7132.3818572909804</v>
      </c>
      <c r="BE20" s="37">
        <f t="shared" si="26"/>
        <v>-886.01771893675016</v>
      </c>
    </row>
    <row r="21" spans="1:57" x14ac:dyDescent="0.25">
      <c r="A21" s="2">
        <f>'creep_res-40'!A21</f>
        <v>1000</v>
      </c>
      <c r="B21" s="3">
        <f>'creep_res-40'!O21</f>
        <v>-5.6241089714285724E-4</v>
      </c>
      <c r="C21" s="2">
        <f>IF('Modell einstellen'!$B$2="Ja",creep_res0!O21,creep_res0!C21)</f>
        <v>-6.5889742857142865E-4</v>
      </c>
      <c r="D21" s="2">
        <f>IF('Modell einstellen'!$B$2="Ja",creep_res25!O21,creep_res25!C21)</f>
        <v>-7.793978857142858E-4</v>
      </c>
      <c r="E21" s="2">
        <f>IF('Modell einstellen'!$B$2="Ja",creep_res50!O21,creep_res50!C21)</f>
        <v>-9.3838194285714291E-4</v>
      </c>
      <c r="F21" s="2">
        <f>IF('Modell einstellen'!$B$2="Ja",creep_res80!O21,creep_res80!C21)</f>
        <v>-1.209907542857143E-3</v>
      </c>
      <c r="G21" s="2">
        <f>IF('Modell einstellen'!$B$2="Ja",creep_res125!O21,creep_res125!C21)</f>
        <v>-3.9668505142857148E-3</v>
      </c>
      <c r="H21" s="2">
        <f>IF('Modell einstellen'!$B$2="Ja",creep_res160!O21,creep_res160!C21)</f>
        <v>-1.1606206285714286E-2</v>
      </c>
      <c r="M21" s="9">
        <f t="shared" si="27"/>
        <v>-10</v>
      </c>
      <c r="N21" s="2">
        <f t="shared" si="4"/>
        <v>1000</v>
      </c>
      <c r="O21" s="2">
        <f t="shared" si="5"/>
        <v>17780.594314231279</v>
      </c>
      <c r="P21" s="2">
        <f t="shared" si="6"/>
        <v>15176.869063947086</v>
      </c>
      <c r="Q21" s="2">
        <f t="shared" si="7"/>
        <v>12830.417150587233</v>
      </c>
      <c r="R21" s="2">
        <f t="shared" si="8"/>
        <v>10656.641547846128</v>
      </c>
      <c r="S21" s="2">
        <f t="shared" si="9"/>
        <v>8265.0943529002579</v>
      </c>
      <c r="T21" s="2">
        <f t="shared" si="10"/>
        <v>2520.8915647280537</v>
      </c>
      <c r="U21" s="2">
        <f t="shared" si="11"/>
        <v>861.60798402391697</v>
      </c>
      <c r="Z21" s="2">
        <v>1000</v>
      </c>
      <c r="AA21" s="3">
        <f>IF('Modell einstellen'!$B$2="Ja",'creep_res-40'!P21,'creep_res-40'!L21)</f>
        <v>0.37847426589692063</v>
      </c>
      <c r="AB21" s="2">
        <f>IF('Modell einstellen'!$B$2="Ja",creep_res0!P21,creep_res0!L21)</f>
        <v>0.41871405087546681</v>
      </c>
      <c r="AC21" s="2">
        <f>IF('Modell einstellen'!$B$2="Ja",creep_res25!P21,creep_res25!L21)</f>
        <v>0.44389699213231482</v>
      </c>
      <c r="AD21" s="2">
        <f>IF('Modell einstellen'!$B$2="Ja",creep_res50!P21,creep_res50!L21)</f>
        <v>0.45038692134131919</v>
      </c>
      <c r="AE21" s="2">
        <f>IF('Modell einstellen'!$B$2="Ja",creep_res80!P21,creep_res80!L21)</f>
        <v>0.45544729226535463</v>
      </c>
      <c r="AF21" s="2">
        <f>IF('Modell einstellen'!$B$2="Ja",creep_res125!P21,creep_res125!L21)</f>
        <v>0.55955612083707895</v>
      </c>
      <c r="AG21" s="2">
        <f>IF('Modell einstellen'!$B$2="Ja",creep_res160!P21,creep_res160!L21)</f>
        <v>0.59490811344728323</v>
      </c>
      <c r="AL21" s="2">
        <f t="shared" si="12"/>
        <v>1000</v>
      </c>
      <c r="AM21" s="2">
        <f t="shared" si="13"/>
        <v>6449.3747740231202</v>
      </c>
      <c r="AN21" s="2">
        <f t="shared" si="14"/>
        <v>5348.811853446321</v>
      </c>
      <c r="AO21" s="2">
        <f t="shared" si="15"/>
        <v>4442.9821588725517</v>
      </c>
      <c r="AP21" s="2">
        <f t="shared" si="16"/>
        <v>3673.7236771243274</v>
      </c>
      <c r="AQ21" s="2">
        <f t="shared" si="17"/>
        <v>2839.3657389117534</v>
      </c>
      <c r="AR21" s="2">
        <f t="shared" si="18"/>
        <v>808.20803145416335</v>
      </c>
      <c r="AS21" s="2">
        <f t="shared" si="19"/>
        <v>270.11210763785351</v>
      </c>
      <c r="AX21" s="2">
        <f t="shared" si="28"/>
        <v>1000</v>
      </c>
      <c r="AY21" s="37">
        <f t="shared" si="20"/>
        <v>24385.225134222183</v>
      </c>
      <c r="AZ21" s="37">
        <f t="shared" si="21"/>
        <v>31118.270802857416</v>
      </c>
      <c r="BA21" s="37">
        <f t="shared" si="22"/>
        <v>38115.654395473255</v>
      </c>
      <c r="BB21" s="37">
        <f t="shared" si="23"/>
        <v>35799.167732765876</v>
      </c>
      <c r="BC21" s="37">
        <f t="shared" si="24"/>
        <v>30918.78800471163</v>
      </c>
      <c r="BD21" s="37">
        <f t="shared" si="25"/>
        <v>-7054.6668959634899</v>
      </c>
      <c r="BE21" s="37">
        <f t="shared" si="26"/>
        <v>-1513.0564232573886</v>
      </c>
    </row>
    <row r="22" spans="1:57" x14ac:dyDescent="0.25">
      <c r="A22" s="2">
        <f>'creep_res-40'!A22</f>
        <v>10000</v>
      </c>
      <c r="B22" s="3">
        <f>'creep_res-40'!O22</f>
        <v>-5.7446554285714283E-4</v>
      </c>
      <c r="C22" s="2">
        <f>IF('Modell einstellen'!$B$2="Ja",creep_res0!O22,creep_res0!C22)</f>
        <v>-7.3297771428571445E-4</v>
      </c>
      <c r="D22" s="2">
        <f>IF('Modell einstellen'!$B$2="Ja",creep_res25!O22,creep_res25!C22)</f>
        <v>-9.2856325714285712E-4</v>
      </c>
      <c r="E22" s="2">
        <f>IF('Modell einstellen'!$B$2="Ja",creep_res50!O22,creep_res50!C22)</f>
        <v>-1.1411583428571428E-3</v>
      </c>
      <c r="F22" s="2">
        <f>IF('Modell einstellen'!$B$2="Ja",creep_res80!O22,creep_res80!C22)</f>
        <v>-1.4887029142857144E-3</v>
      </c>
      <c r="G22" s="2">
        <f>IF('Modell einstellen'!$B$2="Ja",creep_res125!O22,creep_res125!C22)</f>
        <v>-6.4758148571428583E-3</v>
      </c>
      <c r="H22" s="2">
        <f>IF('Modell einstellen'!$B$2="Ja",creep_res160!O22,creep_res160!C22)</f>
        <v>-1.4358287428571431E-2</v>
      </c>
      <c r="M22" s="9">
        <f t="shared" si="27"/>
        <v>-10</v>
      </c>
      <c r="N22" s="2">
        <f t="shared" si="4"/>
        <v>10000</v>
      </c>
      <c r="O22" s="2">
        <f t="shared" si="5"/>
        <v>17407.484442433797</v>
      </c>
      <c r="P22" s="2">
        <f t="shared" si="6"/>
        <v>13642.979595559715</v>
      </c>
      <c r="Q22" s="2">
        <f t="shared" si="7"/>
        <v>10769.325539295516</v>
      </c>
      <c r="R22" s="2">
        <f t="shared" si="8"/>
        <v>8763.0257996999644</v>
      </c>
      <c r="S22" s="2">
        <f t="shared" si="9"/>
        <v>6717.2569516988151</v>
      </c>
      <c r="T22" s="2">
        <f t="shared" si="10"/>
        <v>1544.2072110770657</v>
      </c>
      <c r="U22" s="2">
        <f t="shared" si="11"/>
        <v>696.46189002325491</v>
      </c>
      <c r="Z22" s="2">
        <v>10000</v>
      </c>
      <c r="AA22" s="3">
        <f>IF('Modell einstellen'!$B$2="Ja",'creep_res-40'!P22,'creep_res-40'!L22)</f>
        <v>0.38388349439235298</v>
      </c>
      <c r="AB22" s="2">
        <f>IF('Modell einstellen'!$B$2="Ja",creep_res0!P22,creep_res0!L22)</f>
        <v>0.42311682834247144</v>
      </c>
      <c r="AC22" s="2">
        <f>IF('Modell einstellen'!$B$2="Ja",creep_res25!P22,creep_res25!L22)</f>
        <v>0.43484850974380884</v>
      </c>
      <c r="AD22" s="2">
        <f>IF('Modell einstellen'!$B$2="Ja",creep_res50!P22,creep_res50!L22)</f>
        <v>0.43376077870951285</v>
      </c>
      <c r="AE22" s="2">
        <f>IF('Modell einstellen'!$B$2="Ja",creep_res80!P22,creep_res80!L22)</f>
        <v>0.43618769029269239</v>
      </c>
      <c r="AF22" s="2">
        <f>IF('Modell einstellen'!$B$2="Ja",creep_res125!P22,creep_res125!L22)</f>
        <v>0.51681712245192568</v>
      </c>
      <c r="AG22" s="2">
        <f>IF('Modell einstellen'!$B$2="Ja",creep_res160!P22,creep_res160!L22)</f>
        <v>0.51250242617474107</v>
      </c>
      <c r="AL22" s="2">
        <f t="shared" si="12"/>
        <v>10000</v>
      </c>
      <c r="AM22" s="2">
        <f t="shared" si="13"/>
        <v>6289.3605252793404</v>
      </c>
      <c r="AN22" s="2">
        <f t="shared" si="14"/>
        <v>4793.3449045957559</v>
      </c>
      <c r="AO22" s="2">
        <f t="shared" si="15"/>
        <v>3752.7744100380223</v>
      </c>
      <c r="AP22" s="2">
        <f t="shared" si="16"/>
        <v>3055.9581241953465</v>
      </c>
      <c r="AQ22" s="2">
        <f t="shared" si="17"/>
        <v>2338.5721090290958</v>
      </c>
      <c r="AR22" s="2">
        <f t="shared" si="18"/>
        <v>509.02880387480866</v>
      </c>
      <c r="AS22" s="2">
        <f t="shared" si="19"/>
        <v>230.23496622900356</v>
      </c>
      <c r="AX22" s="2">
        <f t="shared" si="28"/>
        <v>10000</v>
      </c>
      <c r="AY22" s="37">
        <f t="shared" si="20"/>
        <v>24985.658945641175</v>
      </c>
      <c r="AZ22" s="37">
        <f t="shared" si="21"/>
        <v>29575.131769042044</v>
      </c>
      <c r="BA22" s="37">
        <f t="shared" si="22"/>
        <v>27549.447953142146</v>
      </c>
      <c r="BB22" s="37">
        <f t="shared" si="23"/>
        <v>22048.935230459032</v>
      </c>
      <c r="BC22" s="37">
        <f t="shared" si="24"/>
        <v>17544.308150233417</v>
      </c>
      <c r="BD22" s="37">
        <f t="shared" si="25"/>
        <v>-15303.918327797739</v>
      </c>
      <c r="BE22" s="37">
        <f t="shared" si="26"/>
        <v>-9284.3564959459982</v>
      </c>
    </row>
    <row r="23" spans="1:57" x14ac:dyDescent="0.25">
      <c r="A23" s="2">
        <f>'creep_res-40'!A23</f>
        <v>100000</v>
      </c>
      <c r="B23" s="3">
        <f>'creep_res-40'!O23</f>
        <v>-5.9813674285714286E-4</v>
      </c>
      <c r="C23" s="2">
        <f>IF('Modell einstellen'!$B$2="Ja",creep_res0!O23,creep_res0!C23)</f>
        <v>-8.7946508571428578E-4</v>
      </c>
      <c r="D23" s="2">
        <f>IF('Modell einstellen'!$B$2="Ja",creep_res25!O23,creep_res25!C23)</f>
        <v>-1.1236970857142858E-3</v>
      </c>
      <c r="E23" s="2">
        <f>IF('Modell einstellen'!$B$2="Ja",creep_res50!O23,creep_res50!C23)</f>
        <v>-1.363100342857143E-3</v>
      </c>
      <c r="F23" s="2">
        <f>IF('Modell einstellen'!$B$2="Ja",creep_res80!O23,creep_res80!C23)</f>
        <v>-1.7958230857142859E-3</v>
      </c>
      <c r="G23" s="2">
        <f>IF('Modell einstellen'!$B$2="Ja",creep_res125!O23,creep_res125!C23)</f>
        <v>-9.8433360000000011E-3</v>
      </c>
      <c r="H23" s="2">
        <f>IF('Modell einstellen'!$B$2="Ja",creep_res160!O23,creep_res160!C23)</f>
        <v>-1.7147691428571431E-2</v>
      </c>
      <c r="M23" s="9">
        <f t="shared" si="27"/>
        <v>-10</v>
      </c>
      <c r="N23" s="2">
        <f t="shared" si="4"/>
        <v>100000</v>
      </c>
      <c r="O23" s="2">
        <f t="shared" si="5"/>
        <v>16718.585038318521</v>
      </c>
      <c r="P23" s="2">
        <f t="shared" si="6"/>
        <v>11370.548032476103</v>
      </c>
      <c r="Q23" s="2">
        <f t="shared" si="7"/>
        <v>8899.1954567929042</v>
      </c>
      <c r="R23" s="2">
        <f t="shared" si="8"/>
        <v>7336.2170675119769</v>
      </c>
      <c r="S23" s="2">
        <f t="shared" si="9"/>
        <v>5568.477251211255</v>
      </c>
      <c r="T23" s="2">
        <f t="shared" si="10"/>
        <v>1015.9157423865241</v>
      </c>
      <c r="U23" s="2">
        <f t="shared" si="11"/>
        <v>583.16887970925518</v>
      </c>
      <c r="Z23" s="2">
        <v>100000</v>
      </c>
      <c r="AA23" s="3">
        <f>IF('Modell einstellen'!$B$2="Ja",'creep_res-40'!P23,'creep_res-40'!L23)</f>
        <v>0.38955598590785695</v>
      </c>
      <c r="AB23" s="2">
        <f>IF('Modell einstellen'!$B$2="Ja",creep_res0!P23,creep_res0!L23)</f>
        <v>0.41923118981609542</v>
      </c>
      <c r="AC23" s="2">
        <f>IF('Modell einstellen'!$B$2="Ja",creep_res25!P23,creep_res25!L23)</f>
        <v>0.42130709958998103</v>
      </c>
      <c r="AD23" s="2">
        <f>IF('Modell einstellen'!$B$2="Ja",creep_res50!P23,creep_res50!L23)</f>
        <v>0.41822897347961724</v>
      </c>
      <c r="AE23" s="2">
        <f>IF('Modell einstellen'!$B$2="Ja",creep_res80!P23,creep_res80!L23)</f>
        <v>0.42029278480629212</v>
      </c>
      <c r="AF23" s="2">
        <f>IF('Modell einstellen'!$B$2="Ja",creep_res125!P23,creep_res125!L23)</f>
        <v>0.47639048968183723</v>
      </c>
      <c r="AG23" s="2">
        <f>IF('Modell einstellen'!$B$2="Ja",creep_res160!P23,creep_res160!L23)</f>
        <v>0.46541421985666703</v>
      </c>
      <c r="AL23" s="2">
        <f t="shared" si="12"/>
        <v>100000</v>
      </c>
      <c r="AM23" s="2">
        <f t="shared" si="13"/>
        <v>6015.8011652173718</v>
      </c>
      <c r="AN23" s="2">
        <f t="shared" si="14"/>
        <v>4005.8829435497059</v>
      </c>
      <c r="AO23" s="2">
        <f t="shared" si="15"/>
        <v>3130.6377978974938</v>
      </c>
      <c r="AP23" s="2">
        <f t="shared" si="16"/>
        <v>2586.4007874245467</v>
      </c>
      <c r="AQ23" s="2">
        <f t="shared" si="17"/>
        <v>1960.3272335044344</v>
      </c>
      <c r="AR23" s="2">
        <f t="shared" si="18"/>
        <v>344.05387649356049</v>
      </c>
      <c r="AS23" s="2">
        <f t="shared" si="19"/>
        <v>198.97748766430533</v>
      </c>
      <c r="AX23" s="2">
        <f t="shared" si="28"/>
        <v>100000</v>
      </c>
      <c r="AY23" s="37">
        <f t="shared" si="20"/>
        <v>25229.351383362831</v>
      </c>
      <c r="AZ23" s="37">
        <f t="shared" si="21"/>
        <v>23463.157801025358</v>
      </c>
      <c r="BA23" s="37">
        <f t="shared" si="22"/>
        <v>18847.942254902329</v>
      </c>
      <c r="BB23" s="37">
        <f t="shared" si="23"/>
        <v>14952.76379195938</v>
      </c>
      <c r="BC23" s="37">
        <f t="shared" si="24"/>
        <v>11643.607666044836</v>
      </c>
      <c r="BD23" s="37">
        <f t="shared" si="25"/>
        <v>7171.6561722797296</v>
      </c>
      <c r="BE23" s="37">
        <f t="shared" si="26"/>
        <v>2810.2536037086306</v>
      </c>
    </row>
    <row r="24" spans="1:57" x14ac:dyDescent="0.25">
      <c r="A24" s="2">
        <f>'creep_res-40'!A24</f>
        <v>1000000</v>
      </c>
      <c r="B24" s="3">
        <f>'creep_res-40'!O24</f>
        <v>-6.6538377142857149E-4</v>
      </c>
      <c r="C24" s="2">
        <f>IF('Modell einstellen'!$B$2="Ja",creep_res0!O24,creep_res0!C24)</f>
        <v>-1.0596601142857144E-3</v>
      </c>
      <c r="D24" s="2">
        <f>IF('Modell einstellen'!$B$2="Ja",creep_res25!O24,creep_res25!C24)</f>
        <v>-1.3216305714285716E-3</v>
      </c>
      <c r="E24" s="2">
        <f>IF('Modell einstellen'!$B$2="Ja",creep_res50!O24,creep_res50!C24)</f>
        <v>-1.5828392571428573E-3</v>
      </c>
      <c r="F24" s="2">
        <f>IF('Modell einstellen'!$B$2="Ja",creep_res80!O24,creep_res80!C24)</f>
        <v>-2.1445940000000001E-3</v>
      </c>
      <c r="G24" s="2">
        <f>IF('Modell einstellen'!$B$2="Ja",creep_res125!O24,creep_res125!C24)</f>
        <v>-1.3177162285714288E-2</v>
      </c>
      <c r="H24" s="2">
        <f>IF('Modell einstellen'!$B$2="Ja",creep_res160!O24,creep_res160!C24)</f>
        <v>-1.9091066285714286E-2</v>
      </c>
      <c r="M24" s="9">
        <f t="shared" si="27"/>
        <v>-10</v>
      </c>
      <c r="N24" s="2">
        <f t="shared" si="4"/>
        <v>1000000</v>
      </c>
      <c r="O24" s="2">
        <f t="shared" si="5"/>
        <v>15028.920796385088</v>
      </c>
      <c r="P24" s="2">
        <f t="shared" si="6"/>
        <v>9436.9882051668101</v>
      </c>
      <c r="Q24" s="2">
        <f t="shared" si="7"/>
        <v>7566.4109291833647</v>
      </c>
      <c r="R24" s="2">
        <f t="shared" si="8"/>
        <v>6317.7609191035253</v>
      </c>
      <c r="S24" s="2">
        <f t="shared" si="9"/>
        <v>4662.8872411281573</v>
      </c>
      <c r="T24" s="2">
        <f t="shared" si="10"/>
        <v>758.88873364193637</v>
      </c>
      <c r="U24" s="2">
        <f t="shared" si="11"/>
        <v>523.80521079029154</v>
      </c>
      <c r="Z24" s="2">
        <v>1000000</v>
      </c>
      <c r="AA24" s="3">
        <f>IF('Modell einstellen'!$B$2="Ja",'creep_res-40'!P24,'creep_res-40'!L24)</f>
        <v>0.3932572703907245</v>
      </c>
      <c r="AB24" s="2">
        <f>IF('Modell einstellen'!$B$2="Ja",creep_res0!P24,creep_res0!L24)</f>
        <v>0.40998822695277171</v>
      </c>
      <c r="AC24" s="2">
        <f>IF('Modell einstellen'!$B$2="Ja",creep_res25!P24,creep_res25!L24)</f>
        <v>0.40859653237872606</v>
      </c>
      <c r="AD24" s="2">
        <f>IF('Modell einstellen'!$B$2="Ja",creep_res50!P24,creep_res50!L24)</f>
        <v>0.40561216449846527</v>
      </c>
      <c r="AE24" s="2">
        <f>IF('Modell einstellen'!$B$2="Ja",creep_res80!P24,creep_res80!L24)</f>
        <v>0.4076057819268889</v>
      </c>
      <c r="AF24" s="2">
        <f>IF('Modell einstellen'!$B$2="Ja",creep_res125!P24,creep_res125!L24)</f>
        <v>0.44422358614041935</v>
      </c>
      <c r="AG24" s="2">
        <f>IF('Modell einstellen'!$B$2="Ja",creep_res160!P24,creep_res160!L24)</f>
        <v>0.4336795855389774</v>
      </c>
      <c r="AL24" s="2">
        <f t="shared" si="12"/>
        <v>1000000</v>
      </c>
      <c r="AM24" s="2">
        <f t="shared" si="13"/>
        <v>5393.4478275395559</v>
      </c>
      <c r="AN24" s="2">
        <f t="shared" si="14"/>
        <v>3346.4776601581179</v>
      </c>
      <c r="AO24" s="2">
        <f t="shared" si="15"/>
        <v>2685.7977977575347</v>
      </c>
      <c r="AP24" s="2">
        <f t="shared" si="16"/>
        <v>2247.3343211844494</v>
      </c>
      <c r="AQ24" s="2">
        <f t="shared" si="17"/>
        <v>1656.3185875611684</v>
      </c>
      <c r="AR24" s="2">
        <f t="shared" si="18"/>
        <v>262.73242624087396</v>
      </c>
      <c r="AS24" s="2">
        <f t="shared" si="19"/>
        <v>182.67861803771595</v>
      </c>
      <c r="AX24" s="2">
        <f t="shared" si="28"/>
        <v>1000000</v>
      </c>
      <c r="AY24" s="37">
        <f t="shared" si="20"/>
        <v>23465.955404171989</v>
      </c>
      <c r="AZ24" s="37">
        <f t="shared" si="21"/>
        <v>17473.618331043792</v>
      </c>
      <c r="BA24" s="37">
        <f t="shared" si="22"/>
        <v>13796.724796288985</v>
      </c>
      <c r="BB24" s="37">
        <f t="shared" si="23"/>
        <v>11155.676444840181</v>
      </c>
      <c r="BC24" s="37">
        <f t="shared" si="24"/>
        <v>8411.2176035345219</v>
      </c>
      <c r="BD24" s="37">
        <f t="shared" si="25"/>
        <v>2267.6512678891745</v>
      </c>
      <c r="BE24" s="37">
        <f t="shared" si="26"/>
        <v>1316.3498626257301</v>
      </c>
    </row>
    <row r="25" spans="1:57" x14ac:dyDescent="0.25">
      <c r="A25" s="2">
        <f>'creep_res-40'!A25</f>
        <v>10000000</v>
      </c>
      <c r="B25" s="3">
        <f>'creep_res-40'!O25</f>
        <v>-7.8451982857142871E-4</v>
      </c>
      <c r="C25" s="2">
        <f>IF('Modell einstellen'!$B$2="Ja",creep_res0!O25,creep_res0!C25)</f>
        <v>-1.2344853714285715E-3</v>
      </c>
      <c r="D25" s="2">
        <f>IF('Modell einstellen'!$B$2="Ja",creep_res25!O25,creep_res25!C25)</f>
        <v>-1.5099526857142859E-3</v>
      </c>
      <c r="E25" s="2">
        <f>IF('Modell einstellen'!$B$2="Ja",creep_res50!O25,creep_res50!C25)</f>
        <v>-1.8098891428571431E-3</v>
      </c>
      <c r="F25" s="2">
        <f>IF('Modell einstellen'!$B$2="Ja",creep_res80!O25,creep_res80!C25)</f>
        <v>-2.5784199428571428E-3</v>
      </c>
      <c r="G25" s="2">
        <f>IF('Modell einstellen'!$B$2="Ja",creep_res125!O25,creep_res125!C25)</f>
        <v>-1.5779164571428573E-2</v>
      </c>
      <c r="H25" s="2">
        <f>IF('Modell einstellen'!$B$2="Ja",creep_res160!O25,creep_res160!C25)</f>
        <v>-2.0249506285714286E-2</v>
      </c>
      <c r="M25" s="9">
        <f t="shared" si="27"/>
        <v>-10</v>
      </c>
      <c r="N25" s="2">
        <f t="shared" si="4"/>
        <v>10000000</v>
      </c>
      <c r="O25" s="2">
        <f t="shared" si="5"/>
        <v>12746.65041699392</v>
      </c>
      <c r="P25" s="2">
        <f t="shared" si="6"/>
        <v>8100.5415142569063</v>
      </c>
      <c r="Q25" s="2">
        <f t="shared" si="7"/>
        <v>6622.7240724893854</v>
      </c>
      <c r="R25" s="2">
        <f t="shared" si="8"/>
        <v>5525.2002806170285</v>
      </c>
      <c r="S25" s="2">
        <f t="shared" si="9"/>
        <v>3878.344188153857</v>
      </c>
      <c r="T25" s="2">
        <f t="shared" si="10"/>
        <v>633.74711346296874</v>
      </c>
      <c r="U25" s="2">
        <f t="shared" si="11"/>
        <v>493.83920076386482</v>
      </c>
      <c r="Z25" s="2">
        <v>10000000</v>
      </c>
      <c r="AA25" s="3">
        <f>IF('Modell einstellen'!$B$2="Ja",'creep_res-40'!P25,'creep_res-40'!L25)</f>
        <v>0.39233854200316304</v>
      </c>
      <c r="AB25" s="2">
        <f>IF('Modell einstellen'!$B$2="Ja",creep_res0!P25,creep_res0!L25)</f>
        <v>0.40041657150459081</v>
      </c>
      <c r="AC25" s="2">
        <f>IF('Modell einstellen'!$B$2="Ja",creep_res25!P25,creep_res25!L25)</f>
        <v>0.39817455774962407</v>
      </c>
      <c r="AD25" s="2">
        <f>IF('Modell einstellen'!$B$2="Ja",creep_res50!P25,creep_res50!L25)</f>
        <v>0.3957409861882622</v>
      </c>
      <c r="AE25" s="2">
        <f>IF('Modell einstellen'!$B$2="Ja",creep_res80!P25,creep_res80!L25)</f>
        <v>0.397892826900479</v>
      </c>
      <c r="AF25" s="2">
        <f>IF('Modell einstellen'!$B$2="Ja",creep_res125!P25,creep_res125!L25)</f>
        <v>0.42134079305592781</v>
      </c>
      <c r="AG25" s="2">
        <f>IF('Modell einstellen'!$B$2="Ja",creep_res160!P25,creep_res160!L25)</f>
        <v>0.41397916551672681</v>
      </c>
      <c r="AL25" s="2">
        <f t="shared" si="12"/>
        <v>10000000</v>
      </c>
      <c r="AM25" s="2">
        <f t="shared" si="13"/>
        <v>4577.424969740212</v>
      </c>
      <c r="AN25" s="2">
        <f t="shared" si="14"/>
        <v>2892.1899665732253</v>
      </c>
      <c r="AO25" s="2">
        <f t="shared" si="15"/>
        <v>2368.346654493816</v>
      </c>
      <c r="AP25" s="2">
        <f t="shared" si="16"/>
        <v>1979.307169199863</v>
      </c>
      <c r="AQ25" s="2">
        <f t="shared" si="17"/>
        <v>1387.2108481854204</v>
      </c>
      <c r="AR25" s="2">
        <f t="shared" si="18"/>
        <v>222.939887660718</v>
      </c>
      <c r="AS25" s="2">
        <f t="shared" si="19"/>
        <v>174.62746722417066</v>
      </c>
      <c r="AX25" s="2">
        <f t="shared" si="28"/>
        <v>10000000</v>
      </c>
      <c r="AY25" s="37">
        <f t="shared" si="20"/>
        <v>19732.611611372275</v>
      </c>
      <c r="AZ25" s="37">
        <f t="shared" si="21"/>
        <v>13557.378700195992</v>
      </c>
      <c r="BA25" s="37">
        <f t="shared" si="22"/>
        <v>10839.995594625787</v>
      </c>
      <c r="BB25" s="37">
        <f t="shared" si="23"/>
        <v>8832.4901585871066</v>
      </c>
      <c r="BC25" s="37">
        <f t="shared" si="24"/>
        <v>6330.5121315583183</v>
      </c>
      <c r="BD25" s="37">
        <f t="shared" si="25"/>
        <v>1342.8118972213299</v>
      </c>
      <c r="BE25" s="37">
        <f t="shared" si="26"/>
        <v>956.82091385254694</v>
      </c>
    </row>
    <row r="26" spans="1:57" x14ac:dyDescent="0.25">
      <c r="A26" s="2">
        <f>'creep_res-40'!A26</f>
        <v>100000000</v>
      </c>
      <c r="B26" s="3">
        <f>'creep_res-40'!O26</f>
        <v>-9.1970068571428578E-4</v>
      </c>
      <c r="C26" s="2">
        <f>IF('Modell einstellen'!$B$2="Ja",creep_res0!O26,creep_res0!C26)</f>
        <v>-1.3975460000000002E-3</v>
      </c>
      <c r="D26" s="2">
        <f>IF('Modell einstellen'!$B$2="Ja",creep_res25!O26,creep_res25!C26)</f>
        <v>-1.6873612000000001E-3</v>
      </c>
      <c r="E26" s="2">
        <f>IF('Modell einstellen'!$B$2="Ja",creep_res50!O26,creep_res50!C26)</f>
        <v>-2.0538577714285717E-3</v>
      </c>
      <c r="F26" s="2">
        <f>IF('Modell einstellen'!$B$2="Ja",creep_res80!O26,creep_res80!C26)</f>
        <v>-3.2087566285714285E-3</v>
      </c>
      <c r="G26" s="2">
        <f>IF('Modell einstellen'!$B$2="Ja",creep_res125!O26,creep_res125!C26)</f>
        <v>-1.7653537714285714E-2</v>
      </c>
      <c r="H26" s="2">
        <f>IF('Modell einstellen'!$B$2="Ja",creep_res160!O26,creep_res160!C26)</f>
        <v>-2.0991990857142859E-2</v>
      </c>
      <c r="M26" s="9">
        <f t="shared" si="27"/>
        <v>-10</v>
      </c>
      <c r="N26" s="2">
        <f t="shared" si="4"/>
        <v>100000000</v>
      </c>
      <c r="O26" s="2">
        <f t="shared" si="5"/>
        <v>10873.102690179574</v>
      </c>
      <c r="P26" s="2">
        <f t="shared" si="6"/>
        <v>7155.399536043893</v>
      </c>
      <c r="Q26" s="2">
        <f t="shared" si="7"/>
        <v>5926.4133844016324</v>
      </c>
      <c r="R26" s="2">
        <f t="shared" si="8"/>
        <v>4868.8863168185435</v>
      </c>
      <c r="S26" s="2">
        <f t="shared" si="9"/>
        <v>3116.4719414859778</v>
      </c>
      <c r="T26" s="2">
        <f t="shared" si="10"/>
        <v>566.45869863850191</v>
      </c>
      <c r="U26" s="2">
        <f t="shared" si="11"/>
        <v>476.37215869867538</v>
      </c>
      <c r="Z26" s="2">
        <v>100000000</v>
      </c>
      <c r="AA26" s="3">
        <f>IF('Modell einstellen'!$B$2="Ja",'creep_res-40'!P26,'creep_res-40'!L26)</f>
        <v>0.38878007018680982</v>
      </c>
      <c r="AB26" s="2">
        <f>IF('Modell einstellen'!$B$2="Ja",creep_res0!P26,creep_res0!L26)</f>
        <v>0.3923056353269026</v>
      </c>
      <c r="AC26" s="2">
        <f>IF('Modell einstellen'!$B$2="Ja",creep_res25!P26,creep_res25!L26)</f>
        <v>0.38959513486840536</v>
      </c>
      <c r="AD26" s="2">
        <f>IF('Modell einstellen'!$B$2="Ja",creep_res50!P26,creep_res50!L26)</f>
        <v>0.38798098997590896</v>
      </c>
      <c r="AE26" s="2">
        <f>IF('Modell einstellen'!$B$2="Ja",creep_res80!P26,creep_res80!L26)</f>
        <v>0.39115179478242412</v>
      </c>
      <c r="AF26" s="2">
        <f>IF('Modell einstellen'!$B$2="Ja",creep_res125!P26,creep_res125!L26)</f>
        <v>0.40684649820573399</v>
      </c>
      <c r="AG26" s="2">
        <f>IF('Modell einstellen'!$B$2="Ja",creep_res160!P26,creep_res160!L26)</f>
        <v>0.40217553448411786</v>
      </c>
      <c r="AL26" s="2">
        <f t="shared" si="12"/>
        <v>100000000</v>
      </c>
      <c r="AM26" s="2">
        <f t="shared" si="13"/>
        <v>3914.6236771373719</v>
      </c>
      <c r="AN26" s="2">
        <f t="shared" si="14"/>
        <v>2569.6224142495339</v>
      </c>
      <c r="AO26" s="2">
        <f t="shared" si="15"/>
        <v>2132.4244867059297</v>
      </c>
      <c r="AP26" s="2">
        <f t="shared" si="16"/>
        <v>1753.9456058771568</v>
      </c>
      <c r="AQ26" s="2">
        <f t="shared" si="17"/>
        <v>1120.1049206759617</v>
      </c>
      <c r="AR26" s="2">
        <f t="shared" si="18"/>
        <v>201.32214117210117</v>
      </c>
      <c r="AS26" s="2">
        <f t="shared" si="19"/>
        <v>169.86894542912563</v>
      </c>
      <c r="AX26" s="2">
        <f t="shared" si="28"/>
        <v>100000000</v>
      </c>
      <c r="AY26" s="37">
        <f t="shared" si="20"/>
        <v>16293.696505117547</v>
      </c>
      <c r="AZ26" s="37">
        <f t="shared" si="21"/>
        <v>11073.621103208552</v>
      </c>
      <c r="BA26" s="37">
        <f t="shared" si="22"/>
        <v>8946.4858535865169</v>
      </c>
      <c r="BB26" s="37">
        <f t="shared" si="23"/>
        <v>7244.1369784340341</v>
      </c>
      <c r="BC26" s="37">
        <f t="shared" si="24"/>
        <v>4771.8930156855977</v>
      </c>
      <c r="BD26" s="37">
        <f t="shared" si="25"/>
        <v>1013.4861415615435</v>
      </c>
      <c r="BE26" s="37">
        <f t="shared" si="26"/>
        <v>811.61046333774709</v>
      </c>
    </row>
    <row r="27" spans="1:57" x14ac:dyDescent="0.25">
      <c r="A27" s="2">
        <f>'creep_res-40'!A27</f>
        <v>1000000000</v>
      </c>
      <c r="B27" s="3">
        <f>'creep_res-40'!O27</f>
        <v>-1.0495565142857144E-3</v>
      </c>
      <c r="C27" s="2">
        <f>IF('Modell einstellen'!$B$2="Ja",creep_res0!O27,creep_res0!C27)</f>
        <v>-1.5444489142857143E-3</v>
      </c>
      <c r="D27" s="2">
        <f>IF('Modell einstellen'!$B$2="Ja",creep_res25!O27,creep_res25!C27)</f>
        <v>-1.8756650285714287E-3</v>
      </c>
      <c r="E27" s="2">
        <f>IF('Modell einstellen'!$B$2="Ja",creep_res50!O27,creep_res50!C27)</f>
        <v>-2.3467463428571431E-3</v>
      </c>
      <c r="F27" s="2">
        <f>IF('Modell einstellen'!$B$2="Ja",creep_res80!O27,creep_res80!C27)</f>
        <v>-4.2453798857142863E-3</v>
      </c>
      <c r="G27" s="2">
        <f>IF('Modell einstellen'!$B$2="Ja",creep_res125!O27,creep_res125!C27)</f>
        <v>-1.9022550285714285E-2</v>
      </c>
      <c r="H27" s="2">
        <f>IF('Modell einstellen'!$B$2="Ja",creep_res160!O27,creep_res160!C27)</f>
        <v>-2.1482561714285715E-2</v>
      </c>
      <c r="M27" s="9">
        <f t="shared" si="27"/>
        <v>-10</v>
      </c>
      <c r="N27" s="2">
        <f t="shared" si="4"/>
        <v>1000000000</v>
      </c>
      <c r="O27" s="2">
        <f t="shared" si="5"/>
        <v>9527.8337696808976</v>
      </c>
      <c r="P27" s="2">
        <f t="shared" si="6"/>
        <v>6474.8014048913092</v>
      </c>
      <c r="Q27" s="2">
        <f t="shared" si="7"/>
        <v>5331.4423671994064</v>
      </c>
      <c r="R27" s="2">
        <f t="shared" si="8"/>
        <v>4261.2189555284822</v>
      </c>
      <c r="S27" s="2">
        <f t="shared" si="9"/>
        <v>2355.5018088369488</v>
      </c>
      <c r="T27" s="2">
        <f t="shared" si="10"/>
        <v>525.69186832482103</v>
      </c>
      <c r="U27" s="2">
        <f t="shared" si="11"/>
        <v>465.4938332307961</v>
      </c>
      <c r="Z27" s="2">
        <v>1000000000</v>
      </c>
      <c r="AA27" s="3">
        <f>IF('Modell einstellen'!$B$2="Ja",'creep_res-40'!P27,'creep_res-40'!L27)</f>
        <v>0.38517528954678487</v>
      </c>
      <c r="AB27" s="2">
        <f>IF('Modell einstellen'!$B$2="Ja",creep_res0!P27,creep_res0!L27)</f>
        <v>0.38525072058989801</v>
      </c>
      <c r="AC27" s="2">
        <f>IF('Modell einstellen'!$B$2="Ja",creep_res25!P27,creep_res25!L27)</f>
        <v>0.38323169370053223</v>
      </c>
      <c r="AD27" s="2">
        <f>IF('Modell einstellen'!$B$2="Ja",creep_res50!P27,creep_res50!L27)</f>
        <v>0.38236073526821734</v>
      </c>
      <c r="AE27" s="2">
        <f>IF('Modell einstellen'!$B$2="Ja",creep_res80!P27,creep_res80!L27)</f>
        <v>0.38673491484147576</v>
      </c>
      <c r="AF27" s="2">
        <f>IF('Modell einstellen'!$B$2="Ja",creep_res125!P27,creep_res125!L27)</f>
        <v>0.39792561387968323</v>
      </c>
      <c r="AG27" s="2">
        <f>IF('Modell einstellen'!$B$2="Ja",creep_res160!P27,creep_res160!L27)</f>
        <v>0.39501639110185399</v>
      </c>
      <c r="AL27" s="2">
        <f t="shared" si="12"/>
        <v>1000000000</v>
      </c>
      <c r="AM27" s="2">
        <f t="shared" si="13"/>
        <v>3439.215903424868</v>
      </c>
      <c r="AN27" s="2">
        <f t="shared" si="14"/>
        <v>2337.0503651981739</v>
      </c>
      <c r="AO27" s="2">
        <f t="shared" si="15"/>
        <v>1927.1689592855932</v>
      </c>
      <c r="AP27" s="2">
        <f t="shared" si="16"/>
        <v>1541.283272452644</v>
      </c>
      <c r="AQ27" s="2">
        <f t="shared" si="17"/>
        <v>849.29779427462438</v>
      </c>
      <c r="AR27" s="2">
        <f t="shared" si="18"/>
        <v>188.02569432355588</v>
      </c>
      <c r="AS27" s="2">
        <f t="shared" si="19"/>
        <v>166.84170745231376</v>
      </c>
      <c r="AX27" s="2">
        <f t="shared" si="28"/>
        <v>1000000000</v>
      </c>
      <c r="AY27" s="37">
        <f t="shared" si="20"/>
        <v>13829.534502452147</v>
      </c>
      <c r="AZ27" s="37">
        <f t="shared" si="21"/>
        <v>9404.2731512515529</v>
      </c>
      <c r="BA27" s="37">
        <f t="shared" si="22"/>
        <v>7609.7166776377044</v>
      </c>
      <c r="BB27" s="37">
        <f t="shared" si="23"/>
        <v>6037.1268119875549</v>
      </c>
      <c r="BC27" s="37">
        <f t="shared" si="24"/>
        <v>3466.060474476345</v>
      </c>
      <c r="BD27" s="37">
        <f t="shared" si="25"/>
        <v>858.34766896561644</v>
      </c>
      <c r="BE27" s="37">
        <f t="shared" si="26"/>
        <v>738.99446163767857</v>
      </c>
    </row>
    <row r="28" spans="1:57" x14ac:dyDescent="0.25">
      <c r="A28" s="2">
        <f>'creep_res-40'!A28</f>
        <v>10000000000</v>
      </c>
      <c r="B28" s="3">
        <f>'creep_res-40'!O28</f>
        <v>-1.1750555999999999E-3</v>
      </c>
      <c r="C28" s="2">
        <f>IF('Modell einstellen'!$B$2="Ja",creep_res0!O28,creep_res0!C28)</f>
        <v>-1.6846166285714287E-3</v>
      </c>
      <c r="D28" s="2">
        <f>IF('Modell einstellen'!$B$2="Ja",creep_res25!O28,creep_res25!C28)</f>
        <v>-2.0839046857142858E-3</v>
      </c>
      <c r="E28" s="2">
        <f>IF('Modell einstellen'!$B$2="Ja",creep_res50!O28,creep_res50!C28)</f>
        <v>-2.7357348571428572E-3</v>
      </c>
      <c r="F28" s="2">
        <f>IF('Modell einstellen'!$B$2="Ja",creep_res80!O28,creep_res80!C28)</f>
        <v>-5.9978668571428568E-3</v>
      </c>
      <c r="G28" s="2">
        <f>IF('Modell einstellen'!$B$2="Ja",creep_res125!O28,creep_res125!C28)</f>
        <v>-1.9828010857142857E-2</v>
      </c>
      <c r="H28" s="2">
        <f>IF('Modell einstellen'!$B$2="Ja",creep_res160!O28,creep_res160!C28)</f>
        <v>-2.1599005142857144E-2</v>
      </c>
      <c r="M28" s="9">
        <f t="shared" si="27"/>
        <v>-10</v>
      </c>
      <c r="N28" s="2">
        <f t="shared" si="4"/>
        <v>10000000000</v>
      </c>
      <c r="O28" s="2">
        <f t="shared" si="5"/>
        <v>8510.2356007664657</v>
      </c>
      <c r="P28" s="2">
        <f t="shared" si="6"/>
        <v>5936.0686760406115</v>
      </c>
      <c r="Q28" s="2">
        <f t="shared" si="7"/>
        <v>4798.683965035746</v>
      </c>
      <c r="R28" s="2">
        <f t="shared" si="8"/>
        <v>3655.3249939008292</v>
      </c>
      <c r="S28" s="2">
        <f t="shared" si="9"/>
        <v>1667.2594170860937</v>
      </c>
      <c r="T28" s="2">
        <f t="shared" si="10"/>
        <v>504.33702462885191</v>
      </c>
      <c r="U28" s="2">
        <f t="shared" si="11"/>
        <v>462.98428718634898</v>
      </c>
      <c r="Z28" s="2">
        <v>10000000000</v>
      </c>
      <c r="AA28" s="3">
        <f>IF('Modell einstellen'!$B$2="Ja",'creep_res-40'!P28,'creep_res-40'!L28)</f>
        <v>0.38199118893972828</v>
      </c>
      <c r="AB28" s="2">
        <f>IF('Modell einstellen'!$B$2="Ja",creep_res0!P28,creep_res0!L28)</f>
        <v>0.37967855068746292</v>
      </c>
      <c r="AC28" s="2">
        <f>IF('Modell einstellen'!$B$2="Ja",creep_res25!P28,creep_res25!L28)</f>
        <v>0.37847278016444513</v>
      </c>
      <c r="AD28" s="2">
        <f>IF('Modell einstellen'!$B$2="Ja",creep_res50!P28,creep_res50!L28)</f>
        <v>0.37860628097626842</v>
      </c>
      <c r="AE28" s="2">
        <f>IF('Modell einstellen'!$B$2="Ja",creep_res80!P28,creep_res80!L28)</f>
        <v>0.38471964365997935</v>
      </c>
      <c r="AF28" s="2">
        <f>IF('Modell einstellen'!$B$2="Ja",creep_res125!P28,creep_res125!L28)</f>
        <v>0.39207194877757212</v>
      </c>
      <c r="AG28" s="2">
        <f>IF('Modell einstellen'!$B$2="Ja",creep_res160!P28,creep_res160!L28)</f>
        <v>0.39347828163196613</v>
      </c>
      <c r="AL28" s="2">
        <f t="shared" si="12"/>
        <v>10000000000</v>
      </c>
      <c r="AM28" s="2">
        <f t="shared" si="13"/>
        <v>3078.9760704970804</v>
      </c>
      <c r="AN28" s="2">
        <f t="shared" si="14"/>
        <v>2151.250620328482</v>
      </c>
      <c r="AO28" s="2">
        <f t="shared" si="15"/>
        <v>1740.579877269425</v>
      </c>
      <c r="AP28" s="2">
        <f t="shared" si="16"/>
        <v>1325.7320252858156</v>
      </c>
      <c r="AQ28" s="2">
        <f t="shared" si="17"/>
        <v>602.02056954985051</v>
      </c>
      <c r="AR28" s="2">
        <f t="shared" si="18"/>
        <v>181.14617749166206</v>
      </c>
      <c r="AS28" s="2">
        <f t="shared" si="19"/>
        <v>166.12540478353452</v>
      </c>
      <c r="AX28" s="2">
        <f t="shared" si="28"/>
        <v>10000000000</v>
      </c>
      <c r="AY28" s="37">
        <f t="shared" si="20"/>
        <v>12019.209306357014</v>
      </c>
      <c r="AZ28" s="37">
        <f t="shared" si="21"/>
        <v>8222.5138160550359</v>
      </c>
      <c r="BA28" s="37">
        <f t="shared" si="22"/>
        <v>6581.082509099756</v>
      </c>
      <c r="BB28" s="37">
        <f t="shared" si="23"/>
        <v>5018.5531608740539</v>
      </c>
      <c r="BC28" s="37">
        <f t="shared" si="24"/>
        <v>2410.4416254123034</v>
      </c>
      <c r="BD28" s="37">
        <f t="shared" si="25"/>
        <v>778.81671928129947</v>
      </c>
      <c r="BE28" s="37">
        <f t="shared" si="26"/>
        <v>724.39732522703719</v>
      </c>
    </row>
    <row r="29" spans="1:57" x14ac:dyDescent="0.25">
      <c r="A29" s="2">
        <f>'creep_res-40'!A29</f>
        <v>100000000000</v>
      </c>
      <c r="B29" s="3">
        <f>'creep_res-40'!O29</f>
        <v>-1.2959366857142858E-3</v>
      </c>
      <c r="C29" s="2">
        <f>IF('Modell einstellen'!$B$2="Ja",creep_res0!O29,creep_res0!C29)</f>
        <v>-1.8263416571428573E-3</v>
      </c>
      <c r="D29" s="2">
        <f>IF('Modell einstellen'!$B$2="Ja",creep_res25!O29,creep_res25!C29)</f>
        <v>-2.3419146285714289E-3</v>
      </c>
      <c r="E29" s="2">
        <f>IF('Modell einstellen'!$B$2="Ja",creep_res50!O29,creep_res50!C29)</f>
        <v>-3.3312539428571432E-3</v>
      </c>
      <c r="F29" s="2">
        <f>IF('Modell einstellen'!$B$2="Ja",creep_res80!O29,creep_res80!C29)</f>
        <v>-8.7140394285714282E-3</v>
      </c>
      <c r="G29" s="2">
        <f>IF('Modell einstellen'!$B$2="Ja",creep_res125!O29,creep_res125!C29)</f>
        <v>-2.0948164000000002E-2</v>
      </c>
      <c r="H29" s="2">
        <f>IF('Modell einstellen'!$B$2="Ja",creep_res160!O29,creep_res160!C29)</f>
        <v>-2.1741901142857144E-2</v>
      </c>
      <c r="M29" s="9">
        <f t="shared" si="27"/>
        <v>-10</v>
      </c>
      <c r="N29" s="2">
        <f t="shared" si="4"/>
        <v>100000000000</v>
      </c>
      <c r="O29" s="2">
        <f t="shared" si="5"/>
        <v>7716.426358042535</v>
      </c>
      <c r="P29" s="2">
        <f t="shared" si="6"/>
        <v>5475.4267696242969</v>
      </c>
      <c r="Q29" s="2">
        <f t="shared" si="7"/>
        <v>4270.0104768977053</v>
      </c>
      <c r="R29" s="2">
        <f t="shared" si="8"/>
        <v>3001.8726196007801</v>
      </c>
      <c r="S29" s="2">
        <f t="shared" si="9"/>
        <v>1147.5734166650875</v>
      </c>
      <c r="T29" s="2">
        <f t="shared" si="10"/>
        <v>477.36880425415796</v>
      </c>
      <c r="U29" s="2">
        <f t="shared" si="11"/>
        <v>459.94137928850324</v>
      </c>
      <c r="Z29" s="2">
        <v>100000000000</v>
      </c>
      <c r="AA29" s="3">
        <f>IF('Modell einstellen'!$B$2="Ja",'creep_res-40'!P29,'creep_res-40'!L29)</f>
        <v>0.37863557002696607</v>
      </c>
      <c r="AB29" s="2">
        <f>IF('Modell einstellen'!$B$2="Ja",creep_res0!P29,creep_res0!L29)</f>
        <v>0.37554569276491812</v>
      </c>
      <c r="AC29" s="2">
        <f>IF('Modell einstellen'!$B$2="Ja",creep_res25!P29,creep_res25!L29)</f>
        <v>0.37530017563651091</v>
      </c>
      <c r="AD29" s="2">
        <f>IF('Modell einstellen'!$B$2="Ja",creep_res50!P29,creep_res50!L29)</f>
        <v>0.37656615413665595</v>
      </c>
      <c r="AE29" s="2">
        <f>IF('Modell einstellen'!$B$2="Ja",creep_res80!P29,creep_res80!L29)</f>
        <v>0.38411431824728953</v>
      </c>
      <c r="AF29" s="2">
        <f>IF('Modell einstellen'!$B$2="Ja",creep_res125!P29,creep_res125!L29)</f>
        <v>0.38985856435232907</v>
      </c>
      <c r="AG29" s="2">
        <f>IF('Modell einstellen'!$B$2="Ja",creep_res160!P29,creep_res160!L29)</f>
        <v>0.39158578509903996</v>
      </c>
      <c r="AL29" s="2">
        <f t="shared" si="12"/>
        <v>100000000000</v>
      </c>
      <c r="AM29" s="2">
        <f t="shared" si="13"/>
        <v>2798.5736498484516</v>
      </c>
      <c r="AN29" s="2">
        <f t="shared" si="14"/>
        <v>1990.2744047049448</v>
      </c>
      <c r="AO29" s="2">
        <f t="shared" si="15"/>
        <v>1552.3921804639763</v>
      </c>
      <c r="AP29" s="2">
        <f t="shared" si="16"/>
        <v>1090.3481138846798</v>
      </c>
      <c r="AQ29" s="2">
        <f t="shared" si="17"/>
        <v>414.55153000594095</v>
      </c>
      <c r="AR29" s="2">
        <f t="shared" si="18"/>
        <v>171.73287142228415</v>
      </c>
      <c r="AS29" s="2">
        <f t="shared" si="19"/>
        <v>165.25800429032441</v>
      </c>
      <c r="AX29" s="2">
        <f t="shared" si="28"/>
        <v>100000000000</v>
      </c>
      <c r="AY29" s="37">
        <f t="shared" si="20"/>
        <v>10596.770898685134</v>
      </c>
      <c r="AZ29" s="37">
        <f t="shared" si="21"/>
        <v>7332.5797117407874</v>
      </c>
      <c r="BA29" s="37">
        <f t="shared" si="22"/>
        <v>5707.0522468566833</v>
      </c>
      <c r="BB29" s="37">
        <f t="shared" si="23"/>
        <v>4053.281332744843</v>
      </c>
      <c r="BC29" s="37">
        <f t="shared" si="24"/>
        <v>1650.4388913117341</v>
      </c>
      <c r="BD29" s="37">
        <f t="shared" si="25"/>
        <v>722.35727551437105</v>
      </c>
      <c r="BE29" s="37">
        <f t="shared" si="26"/>
        <v>707.07422101532052</v>
      </c>
    </row>
    <row r="30" spans="1:57" x14ac:dyDescent="0.25">
      <c r="A30" s="2">
        <f>'creep_res-40'!A30</f>
        <v>1000000000000</v>
      </c>
      <c r="B30" s="3">
        <f>'creep_res-40'!O30</f>
        <v>-1.4036457142857144E-3</v>
      </c>
      <c r="C30" s="2">
        <f>IF('Modell einstellen'!$B$2="Ja",creep_res0!O30,creep_res0!C30)</f>
        <v>-1.9920576000000004E-3</v>
      </c>
      <c r="D30" s="2">
        <f>IF('Modell einstellen'!$B$2="Ja",creep_res25!O30,creep_res25!C30)</f>
        <v>-2.686055542857143E-3</v>
      </c>
      <c r="E30" s="2">
        <f>IF('Modell einstellen'!$B$2="Ja",creep_res50!O30,creep_res50!C30)</f>
        <v>-4.3332200000000005E-3</v>
      </c>
      <c r="F30" s="2">
        <f>IF('Modell einstellen'!$B$2="Ja",creep_res80!O30,creep_res80!C30)</f>
        <v>-1.2172076571428572E-2</v>
      </c>
      <c r="G30" s="2">
        <f>IF('Modell einstellen'!$B$2="Ja",creep_res125!O30,creep_res125!C30)</f>
        <v>-2.1848025714285717E-2</v>
      </c>
      <c r="H30" s="2">
        <f>IF('Modell einstellen'!$B$2="Ja",creep_res160!O30,creep_res160!C30)</f>
        <v>-2.2120389142857143E-2</v>
      </c>
      <c r="M30" s="9">
        <f t="shared" si="27"/>
        <v>-10</v>
      </c>
      <c r="N30" s="2">
        <f t="shared" si="4"/>
        <v>1000000000000</v>
      </c>
      <c r="O30" s="2">
        <f t="shared" si="5"/>
        <v>7124.3048713961189</v>
      </c>
      <c r="P30" s="2">
        <f t="shared" si="6"/>
        <v>5019.9351665333361</v>
      </c>
      <c r="Q30" s="2">
        <f t="shared" si="7"/>
        <v>3722.9312054221532</v>
      </c>
      <c r="R30" s="2">
        <f t="shared" si="8"/>
        <v>2307.7526643004508</v>
      </c>
      <c r="S30" s="2">
        <f t="shared" si="9"/>
        <v>821.55250513892827</v>
      </c>
      <c r="T30" s="2">
        <f t="shared" si="10"/>
        <v>457.70726063643014</v>
      </c>
      <c r="U30" s="2">
        <f t="shared" si="11"/>
        <v>452.07161300003997</v>
      </c>
      <c r="Z30" s="2">
        <v>1000000000000</v>
      </c>
      <c r="AA30" s="3">
        <f>IF('Modell einstellen'!$B$2="Ja",'creep_res-40'!P30,'creep_res-40'!L30)</f>
        <v>0.37508754752929113</v>
      </c>
      <c r="AB30" s="2">
        <f>IF('Modell einstellen'!$B$2="Ja",creep_res0!P30,creep_res0!L30)</f>
        <v>0.37281913936625122</v>
      </c>
      <c r="AC30" s="2">
        <f>IF('Modell einstellen'!$B$2="Ja",creep_res25!P30,creep_res25!L30)</f>
        <v>0.37340344754492044</v>
      </c>
      <c r="AD30" s="2">
        <f>IF('Modell einstellen'!$B$2="Ja",creep_res50!P30,creep_res50!L30)</f>
        <v>0.37588547480692353</v>
      </c>
      <c r="AE30" s="2">
        <f>IF('Modell einstellen'!$B$2="Ja",creep_res80!P30,creep_res80!L30)</f>
        <v>0.38418375754079576</v>
      </c>
      <c r="AF30" s="2">
        <f>IF('Modell einstellen'!$B$2="Ja",creep_res125!P30,creep_res125!L30)</f>
        <v>0.38798727678434231</v>
      </c>
      <c r="AG30" s="2">
        <f>IF('Modell einstellen'!$B$2="Ja",creep_res160!P30,creep_res160!L30)</f>
        <v>0.38693297594015463</v>
      </c>
      <c r="AL30" s="2">
        <f t="shared" si="12"/>
        <v>1000000000000</v>
      </c>
      <c r="AM30" s="2">
        <f t="shared" si="13"/>
        <v>2590.4913778751102</v>
      </c>
      <c r="AN30" s="2">
        <f t="shared" si="14"/>
        <v>1828.3308494849296</v>
      </c>
      <c r="AO30" s="2">
        <f t="shared" si="15"/>
        <v>1355.3669215252155</v>
      </c>
      <c r="AP30" s="2">
        <f t="shared" si="16"/>
        <v>838.64271647474698</v>
      </c>
      <c r="AQ30" s="2">
        <f t="shared" si="17"/>
        <v>296.76424848335745</v>
      </c>
      <c r="AR30" s="2">
        <f t="shared" si="18"/>
        <v>164.88164851800227</v>
      </c>
      <c r="AS30" s="2">
        <f t="shared" si="19"/>
        <v>162.97529182821398</v>
      </c>
      <c r="AX30" s="2">
        <f t="shared" si="28"/>
        <v>1000000000000</v>
      </c>
      <c r="AY30" s="37">
        <f t="shared" si="20"/>
        <v>9505.7307878181327</v>
      </c>
      <c r="AZ30" s="37">
        <f t="shared" si="21"/>
        <v>6578.47302589234</v>
      </c>
      <c r="BA30" s="37">
        <f t="shared" si="22"/>
        <v>4901.3067275840267</v>
      </c>
      <c r="BB30" s="37">
        <f t="shared" si="23"/>
        <v>3098.9559316424861</v>
      </c>
      <c r="BC30" s="37">
        <f t="shared" si="24"/>
        <v>1182.2643751491598</v>
      </c>
      <c r="BD30" s="37">
        <f t="shared" si="25"/>
        <v>681.03462936558253</v>
      </c>
      <c r="BE30" s="37">
        <f t="shared" si="26"/>
        <v>666.37704016566681</v>
      </c>
    </row>
    <row r="31" spans="1:57" x14ac:dyDescent="0.25">
      <c r="A31" s="2">
        <f>'creep_res-40'!A31</f>
        <v>10000000000000</v>
      </c>
      <c r="B31" s="3">
        <f>'creep_res-40'!O31</f>
        <v>-1.5006965714285713E-3</v>
      </c>
      <c r="C31" s="2">
        <f>IF('Modell einstellen'!$B$2="Ja",creep_res0!O31,creep_res0!C31)</f>
        <v>-2.1900582857142855E-3</v>
      </c>
      <c r="D31" s="2">
        <f>IF('Modell einstellen'!$B$2="Ja",creep_res25!O31,creep_res25!C31)</f>
        <v>-3.2099524E-3</v>
      </c>
      <c r="E31" s="2">
        <f>IF('Modell einstellen'!$B$2="Ja",creep_res50!O31,creep_res50!C31)</f>
        <v>-6.0493674285714292E-3</v>
      </c>
      <c r="F31" s="2">
        <f>IF('Modell einstellen'!$B$2="Ja",creep_res80!O31,creep_res80!C31)</f>
        <v>-1.5275055428571429E-2</v>
      </c>
      <c r="G31" s="2">
        <f>IF('Modell einstellen'!$B$2="Ja",creep_res125!O31,creep_res125!C31)</f>
        <v>-2.1887568571428574E-2</v>
      </c>
      <c r="H31" s="2">
        <f>IF('Modell einstellen'!$B$2="Ja",creep_res160!O31,creep_res160!C31)</f>
        <v>-2.2129644E-2</v>
      </c>
      <c r="M31" s="9">
        <f t="shared" si="27"/>
        <v>-10</v>
      </c>
      <c r="N31" s="2">
        <f t="shared" si="4"/>
        <v>10000000000000</v>
      </c>
      <c r="O31" s="2">
        <f t="shared" si="5"/>
        <v>6663.5722306479402</v>
      </c>
      <c r="P31" s="2">
        <f t="shared" si="6"/>
        <v>4566.0885215840317</v>
      </c>
      <c r="Q31" s="2">
        <f t="shared" si="7"/>
        <v>3115.3109933966621</v>
      </c>
      <c r="R31" s="2">
        <f t="shared" si="8"/>
        <v>1653.0654019740243</v>
      </c>
      <c r="S31" s="2">
        <f t="shared" si="9"/>
        <v>654.66210887165539</v>
      </c>
      <c r="T31" s="2">
        <f t="shared" si="10"/>
        <v>456.88035047683292</v>
      </c>
      <c r="U31" s="2">
        <f t="shared" si="11"/>
        <v>451.88255174823416</v>
      </c>
      <c r="Z31" s="2">
        <v>10000000000000</v>
      </c>
      <c r="AA31" s="3">
        <f>IF('Modell einstellen'!$B$2="Ja",'creep_res-40'!P31,'creep_res-40'!L31)</f>
        <v>0.37211206681544845</v>
      </c>
      <c r="AB31" s="2">
        <f>IF('Modell einstellen'!$B$2="Ja",creep_res0!P31,creep_res0!L31)</f>
        <v>0.37105240773761544</v>
      </c>
      <c r="AC31" s="2">
        <f>IF('Modell einstellen'!$B$2="Ja",creep_res25!P31,creep_res25!L31)</f>
        <v>0.37248523863291111</v>
      </c>
      <c r="AD31" s="2">
        <f>IF('Modell einstellen'!$B$2="Ja",creep_res50!P31,creep_res50!L31)</f>
        <v>0.37630053975891509</v>
      </c>
      <c r="AE31" s="2">
        <f>IF('Modell einstellen'!$B$2="Ja",creep_res80!P31,creep_res80!L31)</f>
        <v>0.38404057977325279</v>
      </c>
      <c r="AF31" s="2">
        <f>IF('Modell einstellen'!$B$2="Ja",creep_res125!P31,creep_res125!L31)</f>
        <v>0.38868171613136165</v>
      </c>
      <c r="AG31" s="2">
        <f>IF('Modell einstellen'!$B$2="Ja",creep_res160!P31,creep_res160!L31)</f>
        <v>0.38689559191669393</v>
      </c>
      <c r="AL31" s="2">
        <f t="shared" si="12"/>
        <v>10000000000000</v>
      </c>
      <c r="AM31" s="2">
        <f t="shared" si="13"/>
        <v>2428.2171958860131</v>
      </c>
      <c r="AN31" s="2">
        <f t="shared" si="14"/>
        <v>1665.1765081389453</v>
      </c>
      <c r="AO31" s="2">
        <f t="shared" si="15"/>
        <v>1134.9160288600715</v>
      </c>
      <c r="AP31" s="2">
        <f t="shared" si="16"/>
        <v>600.54666630574377</v>
      </c>
      <c r="AQ31" s="2">
        <f t="shared" si="17"/>
        <v>236.5039430342818</v>
      </c>
      <c r="AR31" s="2">
        <f t="shared" si="18"/>
        <v>164.50146393142782</v>
      </c>
      <c r="AS31" s="2">
        <f t="shared" si="19"/>
        <v>162.91152498499585</v>
      </c>
      <c r="AX31" s="2">
        <f t="shared" si="28"/>
        <v>10000000000000</v>
      </c>
      <c r="AY31" s="37">
        <f t="shared" si="20"/>
        <v>8684.1294883700029</v>
      </c>
      <c r="AZ31" s="37">
        <f t="shared" si="21"/>
        <v>5901.7368238160971</v>
      </c>
      <c r="BA31" s="37">
        <f t="shared" si="22"/>
        <v>4071.8305342290523</v>
      </c>
      <c r="BB31" s="37">
        <f t="shared" si="23"/>
        <v>2227.2603275070496</v>
      </c>
      <c r="BC31" s="37">
        <f t="shared" si="24"/>
        <v>940.93564166891053</v>
      </c>
      <c r="BD31" s="37">
        <f t="shared" si="25"/>
        <v>684.04508615430552</v>
      </c>
      <c r="BE31" s="37">
        <f t="shared" si="26"/>
        <v>665.87819078840846</v>
      </c>
    </row>
    <row r="32" spans="1:57" x14ac:dyDescent="0.25">
      <c r="A32" s="2">
        <f>'creep_res-40'!A32</f>
        <v>100000000000000</v>
      </c>
      <c r="B32" s="3">
        <f>'creep_res-40'!O32</f>
        <v>-1.597299942857143E-3</v>
      </c>
      <c r="C32" s="2">
        <f>IF('Modell einstellen'!$B$2="Ja",creep_res0!O32,creep_res0!C32)</f>
        <v>-2.4504237714285718E-3</v>
      </c>
      <c r="D32" s="2">
        <f>IF('Modell einstellen'!$B$2="Ja",creep_res25!O32,creep_res25!C32)</f>
        <v>-4.0818608571428572E-3</v>
      </c>
      <c r="E32" s="2">
        <f>IF('Modell einstellen'!$B$2="Ja",creep_res50!O32,creep_res50!C32)</f>
        <v>-8.7255600000000003E-3</v>
      </c>
      <c r="F32" s="2">
        <f>IF('Modell einstellen'!$B$2="Ja",creep_res80!O32,creep_res80!C32)</f>
        <v>-1.7486284571428572E-2</v>
      </c>
      <c r="G32" s="2">
        <f>IF('Modell einstellen'!$B$2="Ja",creep_res125!O32,creep_res125!C32)</f>
        <v>-2.213290285714286E-2</v>
      </c>
      <c r="H32" s="2">
        <f>IF('Modell einstellen'!$B$2="Ja",creep_res160!O32,creep_res160!C32)</f>
        <v>-2.2296514285714285E-2</v>
      </c>
      <c r="M32" s="9">
        <f t="shared" si="27"/>
        <v>-10</v>
      </c>
      <c r="N32" s="2">
        <f t="shared" si="4"/>
        <v>100000000000000</v>
      </c>
      <c r="O32" s="2">
        <f t="shared" si="5"/>
        <v>6260.5649269057576</v>
      </c>
      <c r="P32" s="2">
        <f t="shared" si="6"/>
        <v>4080.9267836028635</v>
      </c>
      <c r="Q32" s="2">
        <f t="shared" si="7"/>
        <v>2449.8630281580959</v>
      </c>
      <c r="R32" s="2">
        <f t="shared" si="8"/>
        <v>1146.0582472643589</v>
      </c>
      <c r="S32" s="2">
        <f t="shared" si="9"/>
        <v>571.87677343072266</v>
      </c>
      <c r="T32" s="2">
        <f t="shared" si="10"/>
        <v>451.81601638723777</v>
      </c>
      <c r="U32" s="2">
        <f t="shared" si="11"/>
        <v>448.50059842794133</v>
      </c>
      <c r="Z32" s="2">
        <v>100000000000000</v>
      </c>
      <c r="AA32" s="3">
        <f>IF('Modell einstellen'!$B$2="Ja",'creep_res-40'!P32,'creep_res-40'!L32)</f>
        <v>0.36998525619072381</v>
      </c>
      <c r="AB32" s="2">
        <f>IF('Modell einstellen'!$B$2="Ja",creep_res0!P32,creep_res0!L32)</f>
        <v>0.37005321715082468</v>
      </c>
      <c r="AC32" s="2">
        <f>IF('Modell einstellen'!$B$2="Ja",creep_res25!P32,creep_res25!L32)</f>
        <v>0.37247702080976652</v>
      </c>
      <c r="AD32" s="2">
        <f>IF('Modell einstellen'!$B$2="Ja",creep_res50!P32,creep_res50!L32)</f>
        <v>0.37755150222040601</v>
      </c>
      <c r="AE32" s="2">
        <f>IF('Modell einstellen'!$B$2="Ja",creep_res80!P32,creep_res80!L32)</f>
        <v>0.38369895648501395</v>
      </c>
      <c r="AF32" s="2">
        <f>IF('Modell einstellen'!$B$2="Ja",creep_res125!P32,creep_res125!L32)</f>
        <v>0.38587682514307076</v>
      </c>
      <c r="AG32" s="2">
        <f>IF('Modell einstellen'!$B$2="Ja",creep_res160!P32,creep_res160!L32)</f>
        <v>0.38486946069725192</v>
      </c>
      <c r="AL32" s="2">
        <f t="shared" si="12"/>
        <v>100000000000000</v>
      </c>
      <c r="AM32" s="2">
        <f t="shared" si="13"/>
        <v>2284.9023004500814</v>
      </c>
      <c r="AN32" s="2">
        <f t="shared" si="14"/>
        <v>1489.3314845424752</v>
      </c>
      <c r="AO32" s="2">
        <f t="shared" si="15"/>
        <v>892.49692017162795</v>
      </c>
      <c r="AP32" s="2">
        <f t="shared" si="16"/>
        <v>415.97655166325364</v>
      </c>
      <c r="AQ32" s="2">
        <f t="shared" si="17"/>
        <v>206.64782998877558</v>
      </c>
      <c r="AR32" s="2">
        <f t="shared" si="18"/>
        <v>163.00727748318997</v>
      </c>
      <c r="AS32" s="2">
        <f t="shared" si="19"/>
        <v>161.92883558935978</v>
      </c>
      <c r="AX32" s="2">
        <f t="shared" si="28"/>
        <v>100000000000000</v>
      </c>
      <c r="AY32" s="37">
        <f t="shared" si="20"/>
        <v>8025.4550926029715</v>
      </c>
      <c r="AZ32" s="37">
        <f t="shared" si="21"/>
        <v>5234.1000602011209</v>
      </c>
      <c r="BA32" s="37">
        <f t="shared" si="22"/>
        <v>3201.8582633951432</v>
      </c>
      <c r="BB32" s="37">
        <f t="shared" si="23"/>
        <v>1559.9187523003231</v>
      </c>
      <c r="BC32" s="37">
        <f t="shared" si="24"/>
        <v>819.53517089041009</v>
      </c>
      <c r="BD32" s="37">
        <f t="shared" si="25"/>
        <v>659.83679031254007</v>
      </c>
      <c r="BE32" s="37">
        <f t="shared" si="26"/>
        <v>649.26387204203775</v>
      </c>
    </row>
    <row r="33" spans="1:60" x14ac:dyDescent="0.25">
      <c r="A33" s="2">
        <f>'creep_res-40'!A33</f>
        <v>1000000000000000</v>
      </c>
      <c r="B33" s="3">
        <f>'creep_res-40'!O33</f>
        <v>-1.6886448000000001E-3</v>
      </c>
      <c r="C33" s="2">
        <f>IF('Modell einstellen'!$B$2="Ja",creep_res0!O33,creep_res0!C33)</f>
        <v>-2.8145985714285717E-3</v>
      </c>
      <c r="D33" s="2">
        <f>IF('Modell einstellen'!$B$2="Ja",creep_res25!O33,creep_res25!C33)</f>
        <v>-5.5902430857142863E-3</v>
      </c>
      <c r="E33" s="2">
        <f>IF('Modell einstellen'!$B$2="Ja",creep_res50!O33,creep_res50!C33)</f>
        <v>-1.2177281142857144E-2</v>
      </c>
      <c r="F33" s="2">
        <f>IF('Modell einstellen'!$B$2="Ja",creep_res80!O33,creep_res80!C33)</f>
        <v>-1.8844651428571429E-2</v>
      </c>
      <c r="G33" s="2">
        <f>IF('Modell einstellen'!$B$2="Ja",creep_res125!O33,creep_res125!C33)</f>
        <v>-2.2144656000000002E-2</v>
      </c>
      <c r="H33" s="2">
        <f>IF('Modell einstellen'!$B$2="Ja",creep_res160!O33,creep_res160!C33)</f>
        <v>-2.2364841142857143E-2</v>
      </c>
      <c r="M33" s="9">
        <f>M31</f>
        <v>-10</v>
      </c>
      <c r="N33" s="2">
        <f t="shared" si="4"/>
        <v>1000000000000000</v>
      </c>
      <c r="O33" s="2">
        <f t="shared" si="5"/>
        <v>5921.9085031973564</v>
      </c>
      <c r="P33" s="2">
        <f t="shared" si="6"/>
        <v>3552.9045248269349</v>
      </c>
      <c r="Q33" s="2">
        <f t="shared" si="7"/>
        <v>1788.8309768773254</v>
      </c>
      <c r="R33" s="2">
        <f t="shared" si="8"/>
        <v>821.201373499184</v>
      </c>
      <c r="S33" s="2">
        <f t="shared" si="9"/>
        <v>530.65454874046873</v>
      </c>
      <c r="T33" s="2">
        <f t="shared" si="10"/>
        <v>451.57621775655485</v>
      </c>
      <c r="U33" s="2">
        <f t="shared" si="11"/>
        <v>447.13038362867104</v>
      </c>
      <c r="Z33" s="2">
        <v>1000000000000000</v>
      </c>
      <c r="AA33" s="3">
        <f>IF('Modell einstellen'!$B$2="Ja",'creep_res-40'!P33,'creep_res-40'!L33)</f>
        <v>0.36932124505994396</v>
      </c>
      <c r="AB33" s="2">
        <f>IF('Modell einstellen'!$B$2="Ja",creep_res0!P33,creep_res0!L33)</f>
        <v>0.36958492431552026</v>
      </c>
      <c r="AC33" s="2">
        <f>IF('Modell einstellen'!$B$2="Ja",creep_res25!P33,creep_res25!L33)</f>
        <v>0.37329799121232177</v>
      </c>
      <c r="AD33" s="2">
        <f>IF('Modell einstellen'!$B$2="Ja",creep_res50!P33,creep_res50!L33)</f>
        <v>0.3792783394951591</v>
      </c>
      <c r="AE33" s="2">
        <f>IF('Modell einstellen'!$B$2="Ja",creep_res80!P33,creep_res80!L33)</f>
        <v>0.38330551692727372</v>
      </c>
      <c r="AF33" s="2">
        <f>IF('Modell einstellen'!$B$2="Ja",creep_res125!P33,creep_res125!L33)</f>
        <v>0.38586011128695918</v>
      </c>
      <c r="AG33" s="2">
        <f>IF('Modell einstellen'!$B$2="Ja",creep_res160!P33,creep_res160!L33)</f>
        <v>0.38375611597713882</v>
      </c>
      <c r="AL33" s="2">
        <f t="shared" si="12"/>
        <v>1000000000000000</v>
      </c>
      <c r="AM33" s="2">
        <f t="shared" si="13"/>
        <v>2162.351794570352</v>
      </c>
      <c r="AN33" s="2">
        <f t="shared" si="14"/>
        <v>1297.0734642842888</v>
      </c>
      <c r="AO33" s="2">
        <f t="shared" si="15"/>
        <v>651.2901745739025</v>
      </c>
      <c r="AP33" s="2">
        <f t="shared" si="16"/>
        <v>297.69240550814368</v>
      </c>
      <c r="AQ33" s="2">
        <f t="shared" si="17"/>
        <v>191.80670583863778</v>
      </c>
      <c r="AR33" s="2">
        <f t="shared" si="18"/>
        <v>162.92272722143832</v>
      </c>
      <c r="AS33" s="2">
        <f t="shared" si="19"/>
        <v>161.56401350859798</v>
      </c>
      <c r="AX33" s="2">
        <f>AL33</f>
        <v>1000000000000000</v>
      </c>
      <c r="AY33" s="37">
        <f t="shared" si="20"/>
        <v>7552.7560006646436</v>
      </c>
      <c r="AZ33" s="37">
        <f t="shared" si="21"/>
        <v>4540.5084575532119</v>
      </c>
      <c r="BA33" s="37">
        <f t="shared" si="22"/>
        <v>2353.0684240833825</v>
      </c>
      <c r="BB33" s="37">
        <f t="shared" si="23"/>
        <v>1133.7393389954989</v>
      </c>
      <c r="BC33" s="37">
        <f t="shared" si="24"/>
        <v>757.89722411263494</v>
      </c>
      <c r="BD33" s="37">
        <f t="shared" si="25"/>
        <v>659.39001525263291</v>
      </c>
      <c r="BE33" s="37">
        <f t="shared" si="26"/>
        <v>641.08087260851198</v>
      </c>
    </row>
    <row r="34" spans="1:60" x14ac:dyDescent="0.25">
      <c r="A34" s="126" t="s">
        <v>4</v>
      </c>
      <c r="B34" s="126"/>
      <c r="C34" s="126"/>
      <c r="D34" s="126"/>
      <c r="E34" s="126"/>
      <c r="F34" s="126"/>
      <c r="G34" s="126"/>
      <c r="H34" s="126"/>
      <c r="I34" s="126"/>
      <c r="J34" s="126"/>
      <c r="K34" s="126"/>
      <c r="M34" s="126" t="s">
        <v>2</v>
      </c>
      <c r="N34" s="126"/>
      <c r="O34" s="126"/>
      <c r="P34" s="126"/>
      <c r="Q34" s="126"/>
      <c r="R34" s="126"/>
      <c r="S34" s="126"/>
      <c r="T34" s="126"/>
      <c r="U34" s="126"/>
      <c r="V34" s="126"/>
      <c r="W34" s="126"/>
      <c r="X34" s="126"/>
      <c r="Z34" s="127" t="s">
        <v>5</v>
      </c>
      <c r="AA34" s="127"/>
      <c r="AB34" s="127"/>
      <c r="AC34" s="127"/>
      <c r="AD34" s="127"/>
      <c r="AE34" s="127"/>
      <c r="AF34" s="127"/>
      <c r="AG34" s="127"/>
      <c r="AH34" s="127"/>
      <c r="AI34" s="127"/>
      <c r="AJ34" s="127"/>
      <c r="AL34" s="126" t="s">
        <v>3</v>
      </c>
      <c r="AM34" s="126"/>
      <c r="AN34" s="126"/>
      <c r="AO34" s="126"/>
      <c r="AP34" s="126"/>
      <c r="AQ34" s="126"/>
      <c r="AR34" s="126"/>
      <c r="AS34" s="126"/>
      <c r="AT34" s="126"/>
      <c r="AU34" s="126"/>
      <c r="AV34" s="126"/>
      <c r="AX34" s="126" t="s">
        <v>1</v>
      </c>
      <c r="AY34" s="126"/>
      <c r="AZ34" s="126"/>
      <c r="BA34" s="126"/>
      <c r="BB34" s="126"/>
      <c r="BC34" s="126"/>
      <c r="BD34" s="126"/>
      <c r="BE34" s="126"/>
      <c r="BF34" s="126"/>
      <c r="BG34" s="126"/>
      <c r="BH34" s="126"/>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B51" sqref="B5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110</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30" t="s">
        <v>26</v>
      </c>
      <c r="B15" s="130"/>
      <c r="C15" s="130"/>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6840.5863197092085</v>
      </c>
      <c r="G16" s="26">
        <f>INDEX(Comparison!$AM$3:$AS$33,G14,$B$3)</f>
        <v>6643.5965561721414</v>
      </c>
      <c r="H16" s="26">
        <f>INDEX(Comparison!$AM$3:$AS$33,H14,$B$3)</f>
        <v>6527.1577578820725</v>
      </c>
      <c r="I16" s="26">
        <f>INDEX(Comparison!$AM$3:$AS$33,I14,$B$3)</f>
        <v>6412.9995296962652</v>
      </c>
      <c r="J16" s="26">
        <f>INDEX(Comparison!$AM$3:$AS$33,J14,$B$3)</f>
        <v>6286.8028992665704</v>
      </c>
      <c r="K16" s="26">
        <f>INDEX(Comparison!$AM$3:$AS$33,K14,$B$3)</f>
        <v>6151.4165633211096</v>
      </c>
      <c r="L16" s="26">
        <f>INDEX(Comparison!$AM$3:$AS$33,L14,$B$3)</f>
        <v>5999.0572498672</v>
      </c>
      <c r="M16" s="26">
        <f>INDEX(Comparison!$AM$3:$AS$33,M14,$B$3)</f>
        <v>5834.1918541119712</v>
      </c>
      <c r="N16" s="26">
        <f>INDEX(Comparison!$AM$3:$AS$33,N14,$B$3)</f>
        <v>5660.667941479277</v>
      </c>
      <c r="O16" s="26">
        <f>INDEX(Comparison!$AM$3:$AS$33,O14,$B$3)</f>
        <v>5500.6338050295499</v>
      </c>
      <c r="P16" s="26">
        <f>INDEX(Comparison!$AM$3:$AS$33,P14,$B$3)</f>
        <v>5316.0543139142828</v>
      </c>
      <c r="Q16" s="26">
        <f>INDEX(Comparison!$AM$3:$AS$33,Q14,$B$3)</f>
        <v>5094.9618199282804</v>
      </c>
      <c r="R16" s="26">
        <f>INDEX(Comparison!$AM$3:$AS$33,R14,$B$3)</f>
        <v>4859.6753740182503</v>
      </c>
      <c r="S16" s="26">
        <f>INDEX(Comparison!$AM$3:$AS$33,S14,$B$3)</f>
        <v>4653.8175879978271</v>
      </c>
      <c r="T16" s="26">
        <f>INDEX(Comparison!$AM$3:$AS$33,T14,$B$3)</f>
        <v>4469.1753341299773</v>
      </c>
      <c r="U16" s="26">
        <f>INDEX(Comparison!$AM$3:$AS$33,U14,$B$3)</f>
        <v>4267.9652571239076</v>
      </c>
      <c r="V16" s="26">
        <f>INDEX(Comparison!$AM$3:$AS$33,V14,$B$3)</f>
        <v>3976.7785402340392</v>
      </c>
      <c r="W16" s="26">
        <f>INDEX(Comparison!$AM$3:$AS$33,W14,$B$3)</f>
        <v>3445.6591436468279</v>
      </c>
      <c r="X16" s="26">
        <f>INDEX(Comparison!$AM$3:$AS$33,X14,$B$3)</f>
        <v>2839.3657389117534</v>
      </c>
      <c r="Y16" s="26">
        <f>INDEX(Comparison!$AM$3:$AS$33,Y14,$B$3)</f>
        <v>2338.5721090290958</v>
      </c>
      <c r="Z16" s="26">
        <f>INDEX(Comparison!$AM$3:$AS$33,Z14,$B$3)</f>
        <v>1960.3272335044344</v>
      </c>
      <c r="AA16" s="26">
        <f>INDEX(Comparison!$AM$3:$AS$33,AA14,$B$3)</f>
        <v>1656.3185875611684</v>
      </c>
      <c r="AB16" s="26">
        <f>INDEX(Comparison!$AM$3:$AS$33,AB14,$B$3)</f>
        <v>1387.2108481854204</v>
      </c>
      <c r="AC16" s="26">
        <f>INDEX(Comparison!$AM$3:$AS$33,AC14,$B$3)</f>
        <v>1120.1049206759617</v>
      </c>
      <c r="AD16" s="26">
        <f>INDEX(Comparison!$AM$3:$AS$33,AD14,$B$3)</f>
        <v>849.29779427462438</v>
      </c>
      <c r="AE16" s="26">
        <f>INDEX(Comparison!$AM$3:$AS$33,AE14,$B$3)</f>
        <v>602.02056954985051</v>
      </c>
      <c r="AF16" s="26">
        <f>INDEX(Comparison!$AM$3:$AS$33,AF14,$B$3)</f>
        <v>414.55153000594095</v>
      </c>
      <c r="AG16" s="26">
        <f>INDEX(Comparison!$AM$3:$AS$33,AG14,$B$3)</f>
        <v>296.76424848335745</v>
      </c>
      <c r="AH16" s="26">
        <f>INDEX(Comparison!$AM$3:$AS$33,AH14,$B$3)</f>
        <v>236.5039430342818</v>
      </c>
      <c r="AI16" s="26">
        <f>INDEX(Comparison!$AM$3:$AS$33,AI14,$B$3)</f>
        <v>206.64782998877558</v>
      </c>
      <c r="AJ16" s="26">
        <f>INDEX(Comparison!$AM$3:$AS$33,AJ14,$B$3)</f>
        <v>191.80670583863778</v>
      </c>
    </row>
    <row r="17" spans="1:36" x14ac:dyDescent="0.25">
      <c r="A17" s="14" t="s">
        <v>20</v>
      </c>
      <c r="B17" s="105">
        <v>3.2742244345967945E-2</v>
      </c>
      <c r="C17" s="18">
        <f t="shared" ref="C17:C48" si="3">ABS(B17/$B$49)</f>
        <v>1.7639399753961282E-2</v>
      </c>
      <c r="D17" s="66"/>
      <c r="E17" s="65" t="s">
        <v>22</v>
      </c>
      <c r="F17" s="27">
        <f>($C$17+SUM(F18:F48))*$B$51</f>
        <v>6780.5706314205363</v>
      </c>
      <c r="G17" s="27">
        <f t="shared" ref="G17:M17" si="4">($C$17+SUM(G18:G48))*$B$51</f>
        <v>6721.2212006192021</v>
      </c>
      <c r="H17" s="27">
        <f t="shared" si="4"/>
        <v>6506.6070040863333</v>
      </c>
      <c r="I17" s="27">
        <f t="shared" si="4"/>
        <v>6416.3604003741639</v>
      </c>
      <c r="J17" s="27">
        <f t="shared" si="4"/>
        <v>6286.3298338446029</v>
      </c>
      <c r="K17" s="27">
        <f t="shared" si="4"/>
        <v>6151.4801113763451</v>
      </c>
      <c r="L17" s="27">
        <f t="shared" si="4"/>
        <v>5999.0245222214589</v>
      </c>
      <c r="M17" s="27">
        <f t="shared" si="4"/>
        <v>5834.2820545115419</v>
      </c>
      <c r="N17" s="27">
        <f t="shared" ref="N17" si="5">($C$17+SUM(N18:N48))*$B$51</f>
        <v>5660.4412431166265</v>
      </c>
      <c r="O17" s="27">
        <f t="shared" ref="O17" si="6">($C$17+SUM(O18:O48))*$B$51</f>
        <v>5501.0985852992544</v>
      </c>
      <c r="P17" s="27">
        <f t="shared" ref="P17" si="7">($C$17+SUM(P18:P48))*$B$51</f>
        <v>5315.2637759297595</v>
      </c>
      <c r="Q17" s="27">
        <f t="shared" ref="Q17" si="8">($C$17+SUM(Q18:Q48))*$B$51</f>
        <v>5096.1000381721924</v>
      </c>
      <c r="R17" s="27">
        <f t="shared" ref="R17" si="9">($C$17+SUM(R18:R48))*$B$51</f>
        <v>4858.2785013782841</v>
      </c>
      <c r="S17" s="27">
        <f t="shared" ref="S17:T17" si="10">($C$17+SUM(S18:S48))*$B$51</f>
        <v>4655.2766676770207</v>
      </c>
      <c r="T17" s="27">
        <f t="shared" si="10"/>
        <v>4467.8720452439284</v>
      </c>
      <c r="U17" s="27">
        <f t="shared" ref="U17" si="11">($C$17+SUM(U18:U48))*$B$51</f>
        <v>4268.9685198069465</v>
      </c>
      <c r="V17" s="27">
        <f t="shared" ref="V17" si="12">($C$17+SUM(V18:V48))*$B$51</f>
        <v>3976.1112580265126</v>
      </c>
      <c r="W17" s="27">
        <f t="shared" ref="W17" si="13">($C$17+SUM(W18:W48))*$B$51</f>
        <v>3446.0399220416325</v>
      </c>
      <c r="X17" s="27">
        <f t="shared" ref="X17" si="14">($C$17+SUM(X18:X48))*$B$51</f>
        <v>2839.1790796036248</v>
      </c>
      <c r="Y17" s="27">
        <f t="shared" ref="Y17" si="15">($C$17+SUM(Y18:Y48))*$B$51</f>
        <v>2338.6539094953223</v>
      </c>
      <c r="Z17" s="27">
        <f t="shared" ref="Z17:AA17" si="16">($C$17+SUM(Z18:Z48))*$B$51</f>
        <v>1960.2919261946645</v>
      </c>
      <c r="AA17" s="27">
        <f t="shared" si="16"/>
        <v>1656.3285032680628</v>
      </c>
      <c r="AB17" s="27">
        <f t="shared" ref="AB17" si="17">($C$17+SUM(AB18:AB48))*$B$51</f>
        <v>1387.2192082214817</v>
      </c>
      <c r="AC17" s="27">
        <f t="shared" ref="AC17" si="18">($C$17+SUM(AC18:AC48))*$B$51</f>
        <v>1120.0913818051722</v>
      </c>
      <c r="AD17" s="27">
        <f t="shared" ref="AD17" si="19">($C$17+SUM(AD18:AD48))*$B$51</f>
        <v>849.29955730214272</v>
      </c>
      <c r="AE17" s="27">
        <f t="shared" ref="AE17" si="20">($C$17+SUM(AE18:AE48))*$B$51</f>
        <v>602.03583238052408</v>
      </c>
      <c r="AF17" s="27">
        <f t="shared" ref="AF17" si="21">($C$17+SUM(AF18:AF48))*$B$51</f>
        <v>414.51825549157752</v>
      </c>
      <c r="AG17" s="27">
        <f t="shared" ref="AG17:AH17" si="22">($C$17+SUM(AG18:AG48))*$B$51</f>
        <v>296.81455070900495</v>
      </c>
      <c r="AH17" s="27">
        <f t="shared" si="22"/>
        <v>236.43831957557742</v>
      </c>
      <c r="AI17" s="27">
        <f t="shared" ref="AI17" si="23">($C$17+SUM(AI18:AI48))*$B$51</f>
        <v>206.73036660336291</v>
      </c>
      <c r="AJ17" s="27">
        <f t="shared" ref="AJ17" si="24">($C$17+SUM(AJ18:AJ48))*$B$51</f>
        <v>191.75832815520027</v>
      </c>
    </row>
    <row r="18" spans="1:36" x14ac:dyDescent="0.25">
      <c r="A18" s="3">
        <f>0.000000000000001/10^5</f>
        <v>1.0000000000000001E-20</v>
      </c>
      <c r="B18" s="106">
        <v>5.4254533500291691E-2</v>
      </c>
      <c r="C18" s="18">
        <f t="shared" si="3"/>
        <v>2.9228827283923852E-2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7.6507645440392416E-2</v>
      </c>
      <c r="C19" s="18">
        <f t="shared" si="3"/>
        <v>4.1217362130021661E-2</v>
      </c>
      <c r="D19" s="17"/>
      <c r="F19" s="3">
        <f t="shared" si="25"/>
        <v>4.0174968726001167E-2</v>
      </c>
      <c r="G19" s="3">
        <f t="shared" si="25"/>
        <v>3.1903161938336685E-2</v>
      </c>
      <c r="H19" s="3">
        <f t="shared" si="25"/>
        <v>3.181379938021354E-3</v>
      </c>
      <c r="I19" s="3">
        <f t="shared" si="25"/>
        <v>3.093382578431464E-13</v>
      </c>
      <c r="J19" s="3">
        <f t="shared" si="25"/>
        <v>2.336762678821658E-113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1.5631502242832648E-2</v>
      </c>
      <c r="C20" s="18">
        <f t="shared" si="3"/>
        <v>8.421240581518729E-3</v>
      </c>
      <c r="D20" s="17"/>
      <c r="F20" s="3">
        <f t="shared" si="25"/>
        <v>8.4018038648054818E-3</v>
      </c>
      <c r="G20" s="3">
        <f t="shared" si="25"/>
        <v>8.2288797880420428E-3</v>
      </c>
      <c r="H20" s="3">
        <f t="shared" si="25"/>
        <v>6.6837855624053231E-3</v>
      </c>
      <c r="I20" s="3">
        <f t="shared" si="25"/>
        <v>8.3529601002209364E-4</v>
      </c>
      <c r="J20" s="3">
        <f t="shared" si="25"/>
        <v>7.7628178769730027E-13</v>
      </c>
      <c r="K20" s="3">
        <f t="shared" si="25"/>
        <v>3.7308629981670213E-103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3.8930137425835377E-2</v>
      </c>
      <c r="C21" s="18">
        <f t="shared" si="3"/>
        <v>2.0973035607301731E-2</v>
      </c>
      <c r="D21" s="17"/>
      <c r="F21" s="3">
        <f t="shared" si="25"/>
        <v>2.0968664302159677E-2</v>
      </c>
      <c r="G21" s="3">
        <f t="shared" si="25"/>
        <v>2.0929363532121444E-2</v>
      </c>
      <c r="H21" s="3">
        <f t="shared" si="25"/>
        <v>2.0540384433956161E-2</v>
      </c>
      <c r="I21" s="3">
        <f t="shared" si="25"/>
        <v>1.7026838954110574E-2</v>
      </c>
      <c r="J21" s="3">
        <f t="shared" si="25"/>
        <v>2.6084867543690795E-3</v>
      </c>
      <c r="K21" s="3">
        <f t="shared" si="25"/>
        <v>1.8575251815615126E-11</v>
      </c>
      <c r="L21" s="3">
        <f t="shared" si="25"/>
        <v>6.2286718656322803E-93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3.5876172977122325E-2</v>
      </c>
      <c r="C22" s="18">
        <f t="shared" si="3"/>
        <v>1.932775744078321E-2</v>
      </c>
      <c r="D22" s="17"/>
      <c r="F22" s="3">
        <f t="shared" si="25"/>
        <v>1.9327394012211833E-2</v>
      </c>
      <c r="G22" s="3">
        <f t="shared" si="25"/>
        <v>1.9324123462571063E-2</v>
      </c>
      <c r="H22" s="3">
        <f t="shared" si="25"/>
        <v>1.9291448389751043E-2</v>
      </c>
      <c r="I22" s="3">
        <f t="shared" si="25"/>
        <v>1.8967721056187308E-2</v>
      </c>
      <c r="J22" s="3">
        <f t="shared" si="25"/>
        <v>1.6014682823943492E-2</v>
      </c>
      <c r="K22" s="3">
        <f t="shared" si="25"/>
        <v>2.9481543511533622E-3</v>
      </c>
      <c r="L22" s="3">
        <f t="shared" si="25"/>
        <v>1.3178590807168425E-10</v>
      </c>
      <c r="M22" s="3">
        <f t="shared" si="25"/>
        <v>4.1981362963978624E-84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4.3145665960383696E-2</v>
      </c>
      <c r="C23" s="18">
        <f t="shared" si="3"/>
        <v>2.3244089240932235E-2</v>
      </c>
      <c r="D23" s="17"/>
      <c r="F23" s="3">
        <f t="shared" si="25"/>
        <v>2.3244049813323318E-2</v>
      </c>
      <c r="G23" s="3">
        <f t="shared" si="25"/>
        <v>2.3243694967852602E-2</v>
      </c>
      <c r="H23" s="3">
        <f t="shared" si="25"/>
        <v>2.3240146811072206E-2</v>
      </c>
      <c r="I23" s="3">
        <f t="shared" si="25"/>
        <v>2.3204695019124172E-2</v>
      </c>
      <c r="J23" s="3">
        <f t="shared" si="25"/>
        <v>2.2853137934830424E-2</v>
      </c>
      <c r="K23" s="3">
        <f t="shared" si="25"/>
        <v>1.9617587652959682E-2</v>
      </c>
      <c r="L23" s="3">
        <f t="shared" si="25"/>
        <v>4.2622921095008381E-3</v>
      </c>
      <c r="M23" s="3">
        <f t="shared" si="25"/>
        <v>9.9912377498661779E-10</v>
      </c>
      <c r="N23" s="3">
        <f t="shared" si="25"/>
        <v>5.0047239482434131E-76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4.5934602914313588E-2</v>
      </c>
      <c r="C24" s="18">
        <f t="shared" si="3"/>
        <v>2.4746587765442286E-2</v>
      </c>
      <c r="D24" s="17"/>
      <c r="F24" s="3">
        <f t="shared" si="25"/>
        <v>2.4746583978835963E-2</v>
      </c>
      <c r="G24" s="3">
        <f t="shared" si="25"/>
        <v>2.4746549899405126E-2</v>
      </c>
      <c r="H24" s="3">
        <f t="shared" si="25"/>
        <v>2.4746209107678E-2</v>
      </c>
      <c r="I24" s="3">
        <f t="shared" si="25"/>
        <v>2.4742801448518738E-2</v>
      </c>
      <c r="J24" s="3">
        <f t="shared" si="25"/>
        <v>2.4708750654977844E-2</v>
      </c>
      <c r="K24" s="3">
        <f t="shared" si="25"/>
        <v>2.4370809427861056E-2</v>
      </c>
      <c r="L24" s="3">
        <f t="shared" si="25"/>
        <v>2.1235457516539651E-2</v>
      </c>
      <c r="M24" s="3">
        <f t="shared" si="25"/>
        <v>5.357698970144778E-3</v>
      </c>
      <c r="N24" s="3">
        <f t="shared" si="25"/>
        <v>5.5994474200317516E-9</v>
      </c>
      <c r="O24" s="3">
        <f t="shared" si="25"/>
        <v>8.7059024114334831E-69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5.0723417876368193E-2</v>
      </c>
      <c r="C25" s="18">
        <f t="shared" si="3"/>
        <v>2.732649098071575E-2</v>
      </c>
      <c r="D25" s="17"/>
      <c r="F25" s="3">
        <f t="shared" si="25"/>
        <v>2.7326490603521277E-2</v>
      </c>
      <c r="G25" s="3">
        <f t="shared" si="25"/>
        <v>2.7326487208771257E-2</v>
      </c>
      <c r="H25" s="3">
        <f t="shared" si="25"/>
        <v>2.7326453261294237E-2</v>
      </c>
      <c r="I25" s="3">
        <f t="shared" si="25"/>
        <v>2.7326113788843507E-2</v>
      </c>
      <c r="J25" s="3">
        <f t="shared" si="25"/>
        <v>2.7322719296274479E-2</v>
      </c>
      <c r="K25" s="3">
        <f t="shared" si="25"/>
        <v>2.7288797553748065E-2</v>
      </c>
      <c r="L25" s="3">
        <f t="shared" si="25"/>
        <v>2.6951887824088444E-2</v>
      </c>
      <c r="M25" s="3">
        <f t="shared" si="25"/>
        <v>2.3803296149601638E-2</v>
      </c>
      <c r="N25" s="3">
        <f t="shared" si="25"/>
        <v>6.8725228928155279E-3</v>
      </c>
      <c r="O25" s="3">
        <f t="shared" si="25"/>
        <v>2.7663501353516161E-8</v>
      </c>
      <c r="P25" s="3">
        <f t="shared" si="25"/>
        <v>3.0889912094935036E-62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3.9625832562701906E-2</v>
      </c>
      <c r="C26" s="18">
        <f t="shared" si="3"/>
        <v>2.134783107020306E-2</v>
      </c>
      <c r="D26" s="17"/>
      <c r="F26" s="3">
        <f t="shared" si="25"/>
        <v>2.1347831043621417E-2</v>
      </c>
      <c r="G26" s="3">
        <f t="shared" si="25"/>
        <v>2.1347830804386642E-2</v>
      </c>
      <c r="H26" s="3">
        <f t="shared" si="25"/>
        <v>2.1347828412039027E-2</v>
      </c>
      <c r="I26" s="3">
        <f t="shared" si="25"/>
        <v>2.1347804488577614E-2</v>
      </c>
      <c r="J26" s="3">
        <f t="shared" si="25"/>
        <v>2.1347565255438034E-2</v>
      </c>
      <c r="K26" s="3">
        <f t="shared" si="25"/>
        <v>2.1345173071489774E-2</v>
      </c>
      <c r="L26" s="3">
        <f t="shared" si="25"/>
        <v>2.1321265970649941E-2</v>
      </c>
      <c r="M26" s="3">
        <f t="shared" si="25"/>
        <v>2.1083662733556517E-2</v>
      </c>
      <c r="N26" s="3">
        <f t="shared" si="25"/>
        <v>1.8848499672711284E-2</v>
      </c>
      <c r="O26" s="3">
        <f t="shared" si="25"/>
        <v>6.1458795782435936E-3</v>
      </c>
      <c r="P26" s="3">
        <f t="shared" si="25"/>
        <v>8.3494265285953335E-8</v>
      </c>
      <c r="Q26" s="3">
        <f t="shared" si="25"/>
        <v>1.7880623441837281E-56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5.6074528422122176E-2</v>
      </c>
      <c r="C27" s="18">
        <f t="shared" si="3"/>
        <v>3.0209322623129298E-2</v>
      </c>
      <c r="D27" s="17"/>
      <c r="F27" s="3">
        <f t="shared" si="25"/>
        <v>3.0209322619736051E-2</v>
      </c>
      <c r="G27" s="3">
        <f t="shared" si="25"/>
        <v>3.0209322589196817E-2</v>
      </c>
      <c r="H27" s="3">
        <f t="shared" si="25"/>
        <v>3.0209322283804484E-2</v>
      </c>
      <c r="I27" s="3">
        <f t="shared" si="25"/>
        <v>3.0209319229881307E-2</v>
      </c>
      <c r="J27" s="3">
        <f t="shared" si="25"/>
        <v>3.0209288690666518E-2</v>
      </c>
      <c r="K27" s="3">
        <f t="shared" si="25"/>
        <v>3.0208983300216638E-2</v>
      </c>
      <c r="L27" s="3">
        <f t="shared" si="25"/>
        <v>3.0205929565510884E-2</v>
      </c>
      <c r="M27" s="3">
        <f t="shared" si="25"/>
        <v>3.0175409191409621E-2</v>
      </c>
      <c r="N27" s="3">
        <f t="shared" si="25"/>
        <v>2.9871896414578228E-2</v>
      </c>
      <c r="O27" s="3">
        <f t="shared" si="25"/>
        <v>2.6999707581749112E-2</v>
      </c>
      <c r="P27" s="3">
        <f t="shared" si="25"/>
        <v>9.8247547983617393E-3</v>
      </c>
      <c r="Q27" s="3">
        <f t="shared" si="25"/>
        <v>3.9989715735543306E-7</v>
      </c>
      <c r="R27" s="3">
        <f t="shared" si="25"/>
        <v>4.9913070163693228E-51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6.279444436077844E-2</v>
      </c>
      <c r="C28" s="18">
        <f t="shared" si="3"/>
        <v>3.3829577920917731E-2</v>
      </c>
      <c r="D28" s="17"/>
      <c r="F28" s="3">
        <f t="shared" si="25"/>
        <v>3.3829577920574949E-2</v>
      </c>
      <c r="G28" s="3">
        <f t="shared" si="25"/>
        <v>3.382957791748991E-2</v>
      </c>
      <c r="H28" s="3">
        <f t="shared" si="25"/>
        <v>3.3829577886639546E-2</v>
      </c>
      <c r="I28" s="3">
        <f t="shared" si="25"/>
        <v>3.3829577578135893E-2</v>
      </c>
      <c r="J28" s="3">
        <f t="shared" si="25"/>
        <v>3.3829574493099486E-2</v>
      </c>
      <c r="K28" s="3">
        <f t="shared" si="25"/>
        <v>3.3829543642750898E-2</v>
      </c>
      <c r="L28" s="3">
        <f t="shared" si="25"/>
        <v>3.382923514081234E-2</v>
      </c>
      <c r="M28" s="3">
        <f t="shared" si="25"/>
        <v>3.3826150276155348E-2</v>
      </c>
      <c r="N28" s="3">
        <f t="shared" si="25"/>
        <v>3.3795317097221188E-2</v>
      </c>
      <c r="O28" s="3">
        <f t="shared" si="25"/>
        <v>3.3488526865138202E-2</v>
      </c>
      <c r="P28" s="3">
        <f t="shared" si="25"/>
        <v>3.0569703266172841E-2</v>
      </c>
      <c r="Q28" s="3">
        <f t="shared" si="25"/>
        <v>1.2281262604354512E-2</v>
      </c>
      <c r="R28" s="3">
        <f t="shared" si="25"/>
        <v>1.3451197957827228E-6</v>
      </c>
      <c r="S28" s="3">
        <f t="shared" si="25"/>
        <v>3.3414920158878336E-46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7.1992635810460587E-2</v>
      </c>
      <c r="C29" s="18">
        <f t="shared" si="3"/>
        <v>3.878496748676441E-2</v>
      </c>
      <c r="D29" s="17"/>
      <c r="F29" s="3">
        <f t="shared" si="25"/>
        <v>3.8784967486728959E-2</v>
      </c>
      <c r="G29" s="3">
        <f t="shared" si="25"/>
        <v>3.8784967486409895E-2</v>
      </c>
      <c r="H29" s="3">
        <f t="shared" si="25"/>
        <v>3.8784967483219288E-2</v>
      </c>
      <c r="I29" s="3">
        <f t="shared" si="25"/>
        <v>3.8784967451313185E-2</v>
      </c>
      <c r="J29" s="3">
        <f t="shared" si="25"/>
        <v>3.8784967132252157E-2</v>
      </c>
      <c r="K29" s="3">
        <f t="shared" si="25"/>
        <v>3.8784963941642034E-2</v>
      </c>
      <c r="L29" s="3">
        <f t="shared" si="25"/>
        <v>3.8784932035555206E-2</v>
      </c>
      <c r="M29" s="3">
        <f t="shared" si="25"/>
        <v>3.8784612976130547E-2</v>
      </c>
      <c r="N29" s="3">
        <f t="shared" si="25"/>
        <v>3.8781422526239041E-2</v>
      </c>
      <c r="O29" s="3">
        <f t="shared" si="25"/>
        <v>3.874953245843981E-2</v>
      </c>
      <c r="P29" s="3">
        <f t="shared" si="25"/>
        <v>3.8432070509175353E-2</v>
      </c>
      <c r="Q29" s="3">
        <f t="shared" si="25"/>
        <v>3.5397039425660463E-2</v>
      </c>
      <c r="R29" s="3">
        <f t="shared" si="25"/>
        <v>1.5548858462411514E-2</v>
      </c>
      <c r="S29" s="3">
        <f t="shared" si="25"/>
        <v>4.1592422643020349E-6</v>
      </c>
      <c r="T29" s="3">
        <f t="shared" si="25"/>
        <v>7.8013774393236387E-42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4.305062777543283E-2</v>
      </c>
      <c r="C30" s="18">
        <f t="shared" si="3"/>
        <v>2.3192888824780992E-2</v>
      </c>
      <c r="D30" s="17"/>
      <c r="F30" s="3">
        <f t="shared" si="25"/>
        <v>2.319288882477908E-2</v>
      </c>
      <c r="G30" s="3">
        <f t="shared" si="25"/>
        <v>2.3192888824761868E-2</v>
      </c>
      <c r="H30" s="3">
        <f t="shared" si="25"/>
        <v>2.3192888824589756E-2</v>
      </c>
      <c r="I30" s="3">
        <f t="shared" si="25"/>
        <v>2.3192888822868633E-2</v>
      </c>
      <c r="J30" s="3">
        <f t="shared" si="25"/>
        <v>2.3192888805657411E-2</v>
      </c>
      <c r="K30" s="3">
        <f t="shared" si="25"/>
        <v>2.3192888633545166E-2</v>
      </c>
      <c r="L30" s="3">
        <f t="shared" si="25"/>
        <v>2.3192886912422807E-2</v>
      </c>
      <c r="M30" s="3">
        <f t="shared" si="25"/>
        <v>2.3192869701206233E-2</v>
      </c>
      <c r="N30" s="3">
        <f t="shared" si="25"/>
        <v>2.3192697589742968E-2</v>
      </c>
      <c r="O30" s="3">
        <f t="shared" si="25"/>
        <v>2.3190976545355759E-2</v>
      </c>
      <c r="P30" s="3">
        <f t="shared" si="25"/>
        <v>2.3173773124099132E-2</v>
      </c>
      <c r="Q30" s="3">
        <f t="shared" si="25"/>
        <v>2.3002439248676333E-2</v>
      </c>
      <c r="R30" s="3">
        <f t="shared" si="25"/>
        <v>2.1357248843617806E-2</v>
      </c>
      <c r="S30" s="3">
        <f t="shared" si="25"/>
        <v>1.0168560169513436E-2</v>
      </c>
      <c r="T30" s="3">
        <f t="shared" si="25"/>
        <v>6.0869679076103898E-6</v>
      </c>
      <c r="U30" s="3">
        <f t="shared" si="25"/>
        <v>3.5959736805577481E-38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6.1593177622814639E-2</v>
      </c>
      <c r="C31" s="18">
        <f t="shared" si="3"/>
        <v>3.3182413237330913E-2</v>
      </c>
      <c r="D31" s="17"/>
      <c r="F31" s="3">
        <f t="shared" si="25"/>
        <v>3.3182413237330663E-2</v>
      </c>
      <c r="G31" s="3">
        <f t="shared" si="25"/>
        <v>3.3182413237328443E-2</v>
      </c>
      <c r="H31" s="3">
        <f t="shared" si="25"/>
        <v>3.3182413237306231E-2</v>
      </c>
      <c r="I31" s="3">
        <f t="shared" si="25"/>
        <v>3.3182413237084103E-2</v>
      </c>
      <c r="J31" s="3">
        <f t="shared" si="25"/>
        <v>3.3182413234862776E-2</v>
      </c>
      <c r="K31" s="3">
        <f t="shared" si="25"/>
        <v>3.3182413212649559E-2</v>
      </c>
      <c r="L31" s="3">
        <f t="shared" si="25"/>
        <v>3.3182412990517378E-2</v>
      </c>
      <c r="M31" s="3">
        <f t="shared" si="25"/>
        <v>3.3182410769195675E-2</v>
      </c>
      <c r="N31" s="3">
        <f t="shared" si="25"/>
        <v>3.3182388555986764E-2</v>
      </c>
      <c r="O31" s="3">
        <f t="shared" si="25"/>
        <v>3.3182166424715547E-2</v>
      </c>
      <c r="P31" s="3">
        <f t="shared" si="25"/>
        <v>3.3179945193786864E-2</v>
      </c>
      <c r="Q31" s="3">
        <f t="shared" si="25"/>
        <v>3.3157741060825349E-2</v>
      </c>
      <c r="R31" s="3">
        <f t="shared" si="25"/>
        <v>3.2936515342186001E-2</v>
      </c>
      <c r="S31" s="3">
        <f t="shared" si="25"/>
        <v>3.0803834746159827E-2</v>
      </c>
      <c r="T31" s="3">
        <f t="shared" si="25"/>
        <v>1.5771614056078759E-2</v>
      </c>
      <c r="U31" s="3">
        <f t="shared" si="25"/>
        <v>1.9524939750514681E-5</v>
      </c>
      <c r="V31" s="3">
        <f t="shared" si="26"/>
        <v>1.6509172926290076E-34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3.7870211043685376E-2</v>
      </c>
      <c r="C32" s="18">
        <f t="shared" si="3"/>
        <v>2.0402015949426134E-2</v>
      </c>
      <c r="D32" s="17"/>
      <c r="F32" s="3">
        <f t="shared" si="25"/>
        <v>2.040201594942612E-2</v>
      </c>
      <c r="G32" s="3">
        <f t="shared" si="25"/>
        <v>2.0402015949425999E-2</v>
      </c>
      <c r="H32" s="3">
        <f t="shared" si="25"/>
        <v>2.0402015949424767E-2</v>
      </c>
      <c r="I32" s="3">
        <f t="shared" si="25"/>
        <v>2.0402015949412444E-2</v>
      </c>
      <c r="J32" s="3">
        <f t="shared" si="25"/>
        <v>2.040201594928924E-2</v>
      </c>
      <c r="K32" s="3">
        <f t="shared" si="25"/>
        <v>2.0402015948057205E-2</v>
      </c>
      <c r="L32" s="3">
        <f t="shared" si="25"/>
        <v>2.0402015935736852E-2</v>
      </c>
      <c r="M32" s="3">
        <f t="shared" si="25"/>
        <v>2.0402015812533314E-2</v>
      </c>
      <c r="N32" s="3">
        <f t="shared" si="25"/>
        <v>2.0402014580497965E-2</v>
      </c>
      <c r="O32" s="3">
        <f t="shared" si="25"/>
        <v>2.0402002260148558E-2</v>
      </c>
      <c r="P32" s="3">
        <f t="shared" si="25"/>
        <v>2.0401879057063713E-2</v>
      </c>
      <c r="Q32" s="3">
        <f t="shared" si="25"/>
        <v>2.0400647067134282E-2</v>
      </c>
      <c r="R32" s="3">
        <f t="shared" si="25"/>
        <v>2.0388331258827559E-2</v>
      </c>
      <c r="S32" s="3">
        <f t="shared" si="25"/>
        <v>2.0265581361923496E-2</v>
      </c>
      <c r="T32" s="3">
        <f t="shared" si="25"/>
        <v>1.907800352193615E-2</v>
      </c>
      <c r="U32" s="3">
        <f t="shared" si="25"/>
        <v>1.0429692435593333E-2</v>
      </c>
      <c r="V32" s="3">
        <f t="shared" si="26"/>
        <v>2.4868939799710289E-5</v>
      </c>
      <c r="W32" s="3">
        <f t="shared" si="26"/>
        <v>1.4774573935903424E-31</v>
      </c>
      <c r="X32" s="3">
        <f t="shared" si="26"/>
        <v>8.0926715104005819E-294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0.12418830489610136</v>
      </c>
      <c r="C33" s="18">
        <f t="shared" si="3"/>
        <v>6.6904612026051358E-2</v>
      </c>
      <c r="D33" s="17"/>
      <c r="F33" s="3">
        <f t="shared" si="25"/>
        <v>6.6904612026051344E-2</v>
      </c>
      <c r="G33" s="3">
        <f t="shared" si="25"/>
        <v>6.6904612026051316E-2</v>
      </c>
      <c r="H33" s="3">
        <f t="shared" si="25"/>
        <v>6.6904612026050955E-2</v>
      </c>
      <c r="I33" s="3">
        <f t="shared" si="25"/>
        <v>6.6904612026047305E-2</v>
      </c>
      <c r="J33" s="3">
        <f t="shared" si="25"/>
        <v>6.6904612026010862E-2</v>
      </c>
      <c r="K33" s="3">
        <f t="shared" si="25"/>
        <v>6.690461202564639E-2</v>
      </c>
      <c r="L33" s="3">
        <f t="shared" si="25"/>
        <v>6.6904612022001778E-2</v>
      </c>
      <c r="M33" s="3">
        <f t="shared" si="25"/>
        <v>6.6904611985555529E-2</v>
      </c>
      <c r="N33" s="3">
        <f t="shared" si="25"/>
        <v>6.6904611621093124E-2</v>
      </c>
      <c r="O33" s="3">
        <f t="shared" si="25"/>
        <v>6.6904607976469077E-2</v>
      </c>
      <c r="P33" s="3">
        <f t="shared" si="25"/>
        <v>6.6904571530239626E-2</v>
      </c>
      <c r="Q33" s="3">
        <f t="shared" si="25"/>
        <v>6.6904207069037033E-2</v>
      </c>
      <c r="R33" s="3">
        <f t="shared" si="25"/>
        <v>6.6900562566205996E-2</v>
      </c>
      <c r="S33" s="3">
        <f t="shared" si="25"/>
        <v>6.68641284551863E-2</v>
      </c>
      <c r="T33" s="3">
        <f t="shared" si="25"/>
        <v>6.6500876876803588E-2</v>
      </c>
      <c r="U33" s="3">
        <f t="shared" ref="P33:AE48" si="27">$C33*EXP(-U$15/$A33)</f>
        <v>6.2975149876045591E-2</v>
      </c>
      <c r="V33" s="3">
        <f t="shared" si="27"/>
        <v>3.6524778266793644E-2</v>
      </c>
      <c r="W33" s="3">
        <f t="shared" si="27"/>
        <v>1.5731544810627325E-4</v>
      </c>
      <c r="X33" s="3">
        <f t="shared" si="27"/>
        <v>3.4562823010010137E-28</v>
      </c>
      <c r="Y33" s="3">
        <f t="shared" si="27"/>
        <v>9.0570666689233523E-265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0.17949997481206834</v>
      </c>
      <c r="C34" s="18">
        <f t="shared" si="3"/>
        <v>9.6702955914687194E-2</v>
      </c>
      <c r="D34" s="17"/>
      <c r="F34" s="3">
        <f t="shared" ref="F34:O48" si="28">$C34*EXP(-F$15/$A34)</f>
        <v>9.6702955914687194E-2</v>
      </c>
      <c r="G34" s="3">
        <f t="shared" si="28"/>
        <v>9.6702955914687194E-2</v>
      </c>
      <c r="H34" s="3">
        <f t="shared" si="28"/>
        <v>9.6702955914687139E-2</v>
      </c>
      <c r="I34" s="3">
        <f t="shared" si="28"/>
        <v>9.6702955914686667E-2</v>
      </c>
      <c r="J34" s="3">
        <f t="shared" si="28"/>
        <v>9.6702955914681907E-2</v>
      </c>
      <c r="K34" s="3">
        <f t="shared" si="28"/>
        <v>9.6702955914634389E-2</v>
      </c>
      <c r="L34" s="3">
        <f t="shared" si="28"/>
        <v>9.6702955914159186E-2</v>
      </c>
      <c r="M34" s="3">
        <f t="shared" si="28"/>
        <v>9.6702955909407112E-2</v>
      </c>
      <c r="N34" s="3">
        <f t="shared" si="28"/>
        <v>9.6702955861886389E-2</v>
      </c>
      <c r="O34" s="3">
        <f t="shared" si="28"/>
        <v>9.6702955386679168E-2</v>
      </c>
      <c r="P34" s="3">
        <f t="shared" si="27"/>
        <v>9.6702950634607085E-2</v>
      </c>
      <c r="Q34" s="3">
        <f t="shared" si="27"/>
        <v>9.6702903113899036E-2</v>
      </c>
      <c r="R34" s="3">
        <f t="shared" si="27"/>
        <v>9.6702427908102961E-2</v>
      </c>
      <c r="S34" s="3">
        <f t="shared" si="27"/>
        <v>9.6697675978576231E-2</v>
      </c>
      <c r="T34" s="3">
        <f t="shared" si="27"/>
        <v>9.66501695243807E-2</v>
      </c>
      <c r="U34" s="3">
        <f t="shared" si="27"/>
        <v>9.6176386757883245E-2</v>
      </c>
      <c r="V34" s="3">
        <f t="shared" si="27"/>
        <v>9.1564436413306208E-2</v>
      </c>
      <c r="W34" s="3">
        <f t="shared" si="27"/>
        <v>5.601579734370396E-2</v>
      </c>
      <c r="X34" s="3">
        <f t="shared" si="27"/>
        <v>4.1128936334491276E-4</v>
      </c>
      <c r="Y34" s="3">
        <f t="shared" si="27"/>
        <v>1.8729105515248131E-25</v>
      </c>
      <c r="Z34" s="3">
        <f t="shared" si="27"/>
        <v>7.1814579120631033E-239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0.155254869247545</v>
      </c>
      <c r="C35" s="18">
        <f t="shared" si="3"/>
        <v>8.3641263972904237E-2</v>
      </c>
      <c r="D35" s="17"/>
      <c r="F35" s="3">
        <f t="shared" si="28"/>
        <v>8.3641263972904237E-2</v>
      </c>
      <c r="G35" s="3">
        <f t="shared" si="28"/>
        <v>8.3641263972904237E-2</v>
      </c>
      <c r="H35" s="3">
        <f t="shared" si="28"/>
        <v>8.3641263972904237E-2</v>
      </c>
      <c r="I35" s="3">
        <f t="shared" si="28"/>
        <v>8.3641263972904195E-2</v>
      </c>
      <c r="J35" s="3">
        <f t="shared" si="28"/>
        <v>8.3641263972903834E-2</v>
      </c>
      <c r="K35" s="3">
        <f t="shared" si="28"/>
        <v>8.3641263972900115E-2</v>
      </c>
      <c r="L35" s="3">
        <f t="shared" si="28"/>
        <v>8.3641263972863047E-2</v>
      </c>
      <c r="M35" s="3">
        <f t="shared" si="28"/>
        <v>8.3641263972492261E-2</v>
      </c>
      <c r="N35" s="3">
        <f t="shared" si="28"/>
        <v>8.3641263968784504E-2</v>
      </c>
      <c r="O35" s="3">
        <f t="shared" si="28"/>
        <v>8.3641263931707011E-2</v>
      </c>
      <c r="P35" s="3">
        <f t="shared" si="27"/>
        <v>8.3641263560931989E-2</v>
      </c>
      <c r="Q35" s="3">
        <f t="shared" si="27"/>
        <v>8.3641259853181937E-2</v>
      </c>
      <c r="R35" s="3">
        <f t="shared" si="27"/>
        <v>8.3641222775690402E-2</v>
      </c>
      <c r="S35" s="3">
        <f t="shared" si="27"/>
        <v>8.3640852001679047E-2</v>
      </c>
      <c r="T35" s="3">
        <f t="shared" si="27"/>
        <v>8.3637144351962719E-2</v>
      </c>
      <c r="U35" s="3">
        <f t="shared" si="27"/>
        <v>8.3600076893039596E-2</v>
      </c>
      <c r="V35" s="3">
        <f t="shared" si="27"/>
        <v>8.323030464715718E-2</v>
      </c>
      <c r="W35" s="3">
        <f t="shared" si="27"/>
        <v>7.9621353902567416E-2</v>
      </c>
      <c r="X35" s="3">
        <f t="shared" si="27"/>
        <v>5.1110519712358179E-2</v>
      </c>
      <c r="Y35" s="3">
        <f t="shared" si="27"/>
        <v>6.0718031894527625E-4</v>
      </c>
      <c r="Z35" s="3">
        <f t="shared" si="27"/>
        <v>3.3993162858391977E-23</v>
      </c>
      <c r="AA35" s="3">
        <f t="shared" si="27"/>
        <v>1.0283251670230214E-215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0.11029908235969897</v>
      </c>
      <c r="C36" s="18">
        <f t="shared" si="3"/>
        <v>5.9421998861156927E-2</v>
      </c>
      <c r="D36" s="17"/>
      <c r="F36" s="3">
        <f t="shared" si="28"/>
        <v>5.9421998861156927E-2</v>
      </c>
      <c r="G36" s="3">
        <f t="shared" si="28"/>
        <v>5.9421998861156927E-2</v>
      </c>
      <c r="H36" s="3">
        <f t="shared" si="28"/>
        <v>5.9421998861156927E-2</v>
      </c>
      <c r="I36" s="3">
        <f t="shared" si="28"/>
        <v>5.9421998861156927E-2</v>
      </c>
      <c r="J36" s="3">
        <f t="shared" si="28"/>
        <v>5.9421998861156899E-2</v>
      </c>
      <c r="K36" s="3">
        <f t="shared" si="28"/>
        <v>5.9421998861156664E-2</v>
      </c>
      <c r="L36" s="3">
        <f t="shared" si="28"/>
        <v>5.942199886115429E-2</v>
      </c>
      <c r="M36" s="3">
        <f t="shared" si="28"/>
        <v>5.9421998861130525E-2</v>
      </c>
      <c r="N36" s="3">
        <f t="shared" si="28"/>
        <v>5.9421998860892902E-2</v>
      </c>
      <c r="O36" s="3">
        <f t="shared" si="28"/>
        <v>5.9421998858516699E-2</v>
      </c>
      <c r="P36" s="3">
        <f t="shared" si="27"/>
        <v>5.9421998834754665E-2</v>
      </c>
      <c r="Q36" s="3">
        <f t="shared" si="27"/>
        <v>5.9421998597134262E-2</v>
      </c>
      <c r="R36" s="3">
        <f t="shared" si="27"/>
        <v>5.942199622093032E-2</v>
      </c>
      <c r="S36" s="3">
        <f t="shared" si="27"/>
        <v>5.942197245889614E-2</v>
      </c>
      <c r="T36" s="3">
        <f t="shared" si="27"/>
        <v>5.9421734839076888E-2</v>
      </c>
      <c r="U36" s="3">
        <f t="shared" si="27"/>
        <v>5.9419358693145144E-2</v>
      </c>
      <c r="V36" s="3">
        <f t="shared" si="27"/>
        <v>5.9395602459130774E-2</v>
      </c>
      <c r="W36" s="3">
        <f t="shared" si="27"/>
        <v>5.9158561876993261E-2</v>
      </c>
      <c r="X36" s="3">
        <f t="shared" si="27"/>
        <v>5.6839568061833143E-2</v>
      </c>
      <c r="Y36" s="3">
        <f t="shared" si="27"/>
        <v>3.810503627272549E-2</v>
      </c>
      <c r="Z36" s="3">
        <f t="shared" si="27"/>
        <v>6.9871245284551617E-4</v>
      </c>
      <c r="AA36" s="3">
        <f t="shared" si="27"/>
        <v>3.0023376017299866E-21</v>
      </c>
      <c r="AB36" s="3">
        <f t="shared" si="27"/>
        <v>6.4427301921196727E-195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9.6197458422976195E-2</v>
      </c>
      <c r="C37" s="18">
        <f t="shared" si="3"/>
        <v>5.182495758409756E-2</v>
      </c>
      <c r="D37" s="17"/>
      <c r="F37" s="3">
        <f t="shared" si="28"/>
        <v>5.182495758409756E-2</v>
      </c>
      <c r="G37" s="3">
        <f t="shared" si="28"/>
        <v>5.182495758409756E-2</v>
      </c>
      <c r="H37" s="3">
        <f t="shared" si="28"/>
        <v>5.182495758409756E-2</v>
      </c>
      <c r="I37" s="3">
        <f t="shared" si="28"/>
        <v>5.182495758409756E-2</v>
      </c>
      <c r="J37" s="3">
        <f t="shared" si="28"/>
        <v>5.182495758409756E-2</v>
      </c>
      <c r="K37" s="3">
        <f t="shared" si="28"/>
        <v>5.1824957584097539E-2</v>
      </c>
      <c r="L37" s="3">
        <f t="shared" si="28"/>
        <v>5.1824957584097352E-2</v>
      </c>
      <c r="M37" s="3">
        <f t="shared" si="28"/>
        <v>5.1824957584095485E-2</v>
      </c>
      <c r="N37" s="3">
        <f t="shared" si="28"/>
        <v>5.1824957584076792E-2</v>
      </c>
      <c r="O37" s="3">
        <f t="shared" si="28"/>
        <v>5.1824957583889837E-2</v>
      </c>
      <c r="P37" s="3">
        <f t="shared" si="27"/>
        <v>5.1824957582020353E-2</v>
      </c>
      <c r="Q37" s="3">
        <f t="shared" si="27"/>
        <v>5.1824957563325502E-2</v>
      </c>
      <c r="R37" s="3">
        <f t="shared" si="27"/>
        <v>5.1824957376376997E-2</v>
      </c>
      <c r="S37" s="3">
        <f t="shared" si="27"/>
        <v>5.1824955506891916E-2</v>
      </c>
      <c r="T37" s="3">
        <f t="shared" si="27"/>
        <v>5.1824936812044871E-2</v>
      </c>
      <c r="U37" s="3">
        <f t="shared" si="27"/>
        <v>5.1824749863945301E-2</v>
      </c>
      <c r="V37" s="3">
        <f t="shared" si="27"/>
        <v>5.182288042003997E-2</v>
      </c>
      <c r="W37" s="3">
        <f t="shared" si="27"/>
        <v>5.180418968953001E-2</v>
      </c>
      <c r="X37" s="3">
        <f t="shared" si="27"/>
        <v>5.1617652744257038E-2</v>
      </c>
      <c r="Y37" s="3">
        <f t="shared" si="27"/>
        <v>4.978882968711501E-2</v>
      </c>
      <c r="Z37" s="3">
        <f t="shared" si="27"/>
        <v>3.4711116473033418E-2</v>
      </c>
      <c r="AA37" s="3">
        <f t="shared" si="27"/>
        <v>9.4153231567377534E-4</v>
      </c>
      <c r="AB37" s="3">
        <f t="shared" si="27"/>
        <v>2.0300265064261551E-19</v>
      </c>
      <c r="AC37" s="3">
        <f t="shared" si="27"/>
        <v>4.4072378406826888E-176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3.7155209693745812E-2</v>
      </c>
      <c r="C38" s="18">
        <f t="shared" si="3"/>
        <v>2.0016819549847034E-2</v>
      </c>
      <c r="D38" s="17"/>
      <c r="F38" s="3">
        <f t="shared" si="28"/>
        <v>2.0016819549847034E-2</v>
      </c>
      <c r="G38" s="3">
        <f t="shared" si="28"/>
        <v>2.0016819549847034E-2</v>
      </c>
      <c r="H38" s="3">
        <f t="shared" si="28"/>
        <v>2.0016819549847034E-2</v>
      </c>
      <c r="I38" s="3">
        <f t="shared" si="28"/>
        <v>2.0016819549847034E-2</v>
      </c>
      <c r="J38" s="3">
        <f t="shared" si="28"/>
        <v>2.0016819549847034E-2</v>
      </c>
      <c r="K38" s="3">
        <f t="shared" si="28"/>
        <v>2.0016819549847034E-2</v>
      </c>
      <c r="L38" s="3">
        <f t="shared" si="28"/>
        <v>2.0016819549847027E-2</v>
      </c>
      <c r="M38" s="3">
        <f t="shared" si="28"/>
        <v>2.0016819549846961E-2</v>
      </c>
      <c r="N38" s="3">
        <f t="shared" si="28"/>
        <v>2.0016819549846309E-2</v>
      </c>
      <c r="O38" s="3">
        <f t="shared" si="28"/>
        <v>2.0016819549839797E-2</v>
      </c>
      <c r="P38" s="3">
        <f t="shared" si="27"/>
        <v>2.0016819549774661E-2</v>
      </c>
      <c r="Q38" s="3">
        <f t="shared" si="27"/>
        <v>2.0016819549123297E-2</v>
      </c>
      <c r="R38" s="3">
        <f t="shared" si="27"/>
        <v>2.0016819542609639E-2</v>
      </c>
      <c r="S38" s="3">
        <f t="shared" si="27"/>
        <v>2.0016819477473094E-2</v>
      </c>
      <c r="T38" s="3">
        <f t="shared" si="27"/>
        <v>2.0016818826107653E-2</v>
      </c>
      <c r="U38" s="3">
        <f t="shared" si="27"/>
        <v>2.0016812312454405E-2</v>
      </c>
      <c r="V38" s="3">
        <f t="shared" si="27"/>
        <v>2.0016747176038498E-2</v>
      </c>
      <c r="W38" s="3">
        <f t="shared" si="27"/>
        <v>2.001609582353709E-2</v>
      </c>
      <c r="X38" s="3">
        <f t="shared" si="27"/>
        <v>2.000958346414829E-2</v>
      </c>
      <c r="Y38" s="3">
        <f t="shared" si="27"/>
        <v>1.9944576292568291E-2</v>
      </c>
      <c r="Z38" s="3">
        <f t="shared" si="27"/>
        <v>1.9306007845274076E-2</v>
      </c>
      <c r="AA38" s="3">
        <f t="shared" si="27"/>
        <v>1.3943413821691644E-2</v>
      </c>
      <c r="AB38" s="3">
        <f t="shared" si="27"/>
        <v>5.384377512790288E-4</v>
      </c>
      <c r="AC38" s="3">
        <f t="shared" si="27"/>
        <v>3.9700808531459707E-18</v>
      </c>
      <c r="AD38" s="3">
        <f t="shared" si="27"/>
        <v>1.885549112024795E-159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7.1246955366744844E-2</v>
      </c>
      <c r="C39" s="18">
        <f t="shared" si="3"/>
        <v>3.8383243179278659E-2</v>
      </c>
      <c r="D39" s="17"/>
      <c r="F39" s="3">
        <f t="shared" si="28"/>
        <v>3.8383243179278659E-2</v>
      </c>
      <c r="G39" s="3">
        <f t="shared" si="28"/>
        <v>3.8383243179278659E-2</v>
      </c>
      <c r="H39" s="3">
        <f t="shared" si="28"/>
        <v>3.8383243179278659E-2</v>
      </c>
      <c r="I39" s="3">
        <f t="shared" si="28"/>
        <v>3.8383243179278659E-2</v>
      </c>
      <c r="J39" s="3">
        <f t="shared" si="28"/>
        <v>3.8383243179278659E-2</v>
      </c>
      <c r="K39" s="3">
        <f t="shared" si="28"/>
        <v>3.8383243179278659E-2</v>
      </c>
      <c r="L39" s="3">
        <f t="shared" si="28"/>
        <v>3.8383243179278652E-2</v>
      </c>
      <c r="M39" s="3">
        <f t="shared" si="28"/>
        <v>3.8383243179278617E-2</v>
      </c>
      <c r="N39" s="3">
        <f t="shared" si="28"/>
        <v>3.8383243179278277E-2</v>
      </c>
      <c r="O39" s="3">
        <f t="shared" si="28"/>
        <v>3.8383243179274822E-2</v>
      </c>
      <c r="P39" s="3">
        <f t="shared" si="27"/>
        <v>3.838324317924028E-2</v>
      </c>
      <c r="Q39" s="3">
        <f t="shared" si="27"/>
        <v>3.8383243178894827E-2</v>
      </c>
      <c r="R39" s="3">
        <f t="shared" si="27"/>
        <v>3.8383243175440333E-2</v>
      </c>
      <c r="S39" s="3">
        <f t="shared" si="27"/>
        <v>3.8383243140895418E-2</v>
      </c>
      <c r="T39" s="3">
        <f t="shared" si="27"/>
        <v>3.8383242795446228E-2</v>
      </c>
      <c r="U39" s="3">
        <f t="shared" si="27"/>
        <v>3.8383239340954535E-2</v>
      </c>
      <c r="V39" s="3">
        <f t="shared" si="27"/>
        <v>3.8383204796054671E-2</v>
      </c>
      <c r="W39" s="3">
        <f t="shared" si="27"/>
        <v>3.8382859348766021E-2</v>
      </c>
      <c r="X39" s="3">
        <f t="shared" si="27"/>
        <v>3.8379405046870547E-2</v>
      </c>
      <c r="Y39" s="3">
        <f t="shared" si="27"/>
        <v>3.8344879121325365E-2</v>
      </c>
      <c r="Z39" s="3">
        <f t="shared" si="27"/>
        <v>3.8001323528398724E-2</v>
      </c>
      <c r="AA39" s="3">
        <f t="shared" si="27"/>
        <v>3.4730594654184856E-2</v>
      </c>
      <c r="AB39" s="3">
        <f t="shared" si="27"/>
        <v>1.4120406051140609E-2</v>
      </c>
      <c r="AC39" s="3">
        <f t="shared" si="27"/>
        <v>1.7425965443956269E-6</v>
      </c>
      <c r="AD39" s="3">
        <f t="shared" si="27"/>
        <v>1.4278858083300015E-45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6.8132246969396432E-2</v>
      </c>
      <c r="C40" s="18">
        <f t="shared" si="3"/>
        <v>3.6705240109076338E-2</v>
      </c>
      <c r="D40" s="17"/>
      <c r="F40" s="3">
        <f t="shared" si="28"/>
        <v>3.6705240109076338E-2</v>
      </c>
      <c r="G40" s="3">
        <f t="shared" si="28"/>
        <v>3.6705240109076338E-2</v>
      </c>
      <c r="H40" s="3">
        <f t="shared" si="28"/>
        <v>3.6705240109076338E-2</v>
      </c>
      <c r="I40" s="3">
        <f t="shared" si="28"/>
        <v>3.6705240109076338E-2</v>
      </c>
      <c r="J40" s="3">
        <f t="shared" si="28"/>
        <v>3.6705240109076338E-2</v>
      </c>
      <c r="K40" s="3">
        <f t="shared" si="28"/>
        <v>3.6705240109076338E-2</v>
      </c>
      <c r="L40" s="3">
        <f t="shared" si="28"/>
        <v>3.6705240109076338E-2</v>
      </c>
      <c r="M40" s="3">
        <f t="shared" si="28"/>
        <v>3.6705240109076331E-2</v>
      </c>
      <c r="N40" s="3">
        <f t="shared" si="28"/>
        <v>3.6705240109076304E-2</v>
      </c>
      <c r="O40" s="3">
        <f t="shared" si="28"/>
        <v>3.6705240109075971E-2</v>
      </c>
      <c r="P40" s="3">
        <f t="shared" si="27"/>
        <v>3.6705240109072668E-2</v>
      </c>
      <c r="Q40" s="3">
        <f t="shared" si="27"/>
        <v>3.6705240109039632E-2</v>
      </c>
      <c r="R40" s="3">
        <f t="shared" si="27"/>
        <v>3.6705240108709285E-2</v>
      </c>
      <c r="S40" s="3">
        <f t="shared" si="27"/>
        <v>3.6705240105405816E-2</v>
      </c>
      <c r="T40" s="3">
        <f t="shared" si="27"/>
        <v>3.6705240072371102E-2</v>
      </c>
      <c r="U40" s="3">
        <f t="shared" si="27"/>
        <v>3.6705239742023943E-2</v>
      </c>
      <c r="V40" s="3">
        <f t="shared" si="27"/>
        <v>3.6705236438552516E-2</v>
      </c>
      <c r="W40" s="3">
        <f t="shared" si="27"/>
        <v>3.670520340385458E-2</v>
      </c>
      <c r="X40" s="3">
        <f t="shared" si="27"/>
        <v>3.6704873058510501E-2</v>
      </c>
      <c r="Y40" s="3">
        <f t="shared" si="27"/>
        <v>3.6701569768585511E-2</v>
      </c>
      <c r="Z40" s="3">
        <f t="shared" si="27"/>
        <v>3.6668553215471307E-2</v>
      </c>
      <c r="AA40" s="3">
        <f t="shared" si="27"/>
        <v>3.6340016867714327E-2</v>
      </c>
      <c r="AB40" s="3">
        <f t="shared" si="27"/>
        <v>3.3212274688686573E-2</v>
      </c>
      <c r="AC40" s="3">
        <f t="shared" si="27"/>
        <v>1.3503103219390614E-2</v>
      </c>
      <c r="AD40" s="3">
        <f t="shared" si="27"/>
        <v>1.6664153228672077E-6</v>
      </c>
      <c r="AE40" s="3">
        <f t="shared" si="27"/>
        <v>1.365462819238513E-45</v>
      </c>
      <c r="AF40" s="3">
        <f t="shared" si="29"/>
        <v>0</v>
      </c>
      <c r="AG40" s="3">
        <f t="shared" si="29"/>
        <v>0</v>
      </c>
      <c r="AH40" s="3">
        <f t="shared" si="29"/>
        <v>0</v>
      </c>
      <c r="AI40" s="3">
        <f t="shared" si="29"/>
        <v>0</v>
      </c>
      <c r="AJ40" s="3">
        <f t="shared" si="29"/>
        <v>0</v>
      </c>
    </row>
    <row r="41" spans="1:36" x14ac:dyDescent="0.25">
      <c r="A41" s="3">
        <f t="shared" si="30"/>
        <v>1000000000</v>
      </c>
      <c r="B41" s="106">
        <v>7.6533389536127969E-2</v>
      </c>
      <c r="C41" s="18">
        <f t="shared" si="3"/>
        <v>4.1231231380742084E-2</v>
      </c>
      <c r="D41" s="17"/>
      <c r="F41" s="3">
        <f t="shared" si="28"/>
        <v>4.1231231380742084E-2</v>
      </c>
      <c r="G41" s="3">
        <f t="shared" si="28"/>
        <v>4.1231231380742084E-2</v>
      </c>
      <c r="H41" s="3">
        <f t="shared" si="28"/>
        <v>4.1231231380742084E-2</v>
      </c>
      <c r="I41" s="3">
        <f t="shared" si="28"/>
        <v>4.1231231380742084E-2</v>
      </c>
      <c r="J41" s="3">
        <f t="shared" si="28"/>
        <v>4.1231231380742084E-2</v>
      </c>
      <c r="K41" s="3">
        <f t="shared" si="28"/>
        <v>4.1231231380742084E-2</v>
      </c>
      <c r="L41" s="3">
        <f t="shared" si="28"/>
        <v>4.1231231380742084E-2</v>
      </c>
      <c r="M41" s="3">
        <f t="shared" si="28"/>
        <v>4.1231231380742084E-2</v>
      </c>
      <c r="N41" s="3">
        <f t="shared" si="28"/>
        <v>4.1231231380742077E-2</v>
      </c>
      <c r="O41" s="3">
        <f t="shared" si="28"/>
        <v>4.1231231380742042E-2</v>
      </c>
      <c r="P41" s="3">
        <f t="shared" si="27"/>
        <v>4.1231231380741674E-2</v>
      </c>
      <c r="Q41" s="3">
        <f t="shared" si="27"/>
        <v>4.1231231380737962E-2</v>
      </c>
      <c r="R41" s="3">
        <f t="shared" si="27"/>
        <v>4.1231231380700853E-2</v>
      </c>
      <c r="S41" s="3">
        <f t="shared" si="27"/>
        <v>4.1231231380329775E-2</v>
      </c>
      <c r="T41" s="3">
        <f t="shared" si="27"/>
        <v>4.1231231376618958E-2</v>
      </c>
      <c r="U41" s="3">
        <f t="shared" si="27"/>
        <v>4.1231231339510857E-2</v>
      </c>
      <c r="V41" s="3">
        <f t="shared" si="27"/>
        <v>4.1231230968429775E-2</v>
      </c>
      <c r="W41" s="3">
        <f t="shared" si="27"/>
        <v>4.123122725761915E-2</v>
      </c>
      <c r="X41" s="3">
        <f t="shared" si="27"/>
        <v>4.1231190149531319E-2</v>
      </c>
      <c r="Y41" s="3">
        <f t="shared" si="27"/>
        <v>4.1230819070489831E-2</v>
      </c>
      <c r="Z41" s="3">
        <f t="shared" si="27"/>
        <v>4.1227108463753298E-2</v>
      </c>
      <c r="AA41" s="3">
        <f t="shared" si="27"/>
        <v>4.1190020758106877E-2</v>
      </c>
      <c r="AB41" s="3">
        <f t="shared" si="27"/>
        <v>4.0820973773777185E-2</v>
      </c>
      <c r="AC41" s="3">
        <f t="shared" si="27"/>
        <v>3.7307560944993899E-2</v>
      </c>
      <c r="AD41" s="3">
        <f t="shared" si="27"/>
        <v>1.5168122359157835E-2</v>
      </c>
      <c r="AE41" s="3">
        <f t="shared" si="27"/>
        <v>1.8718950087064521E-6</v>
      </c>
      <c r="AF41" s="3">
        <f t="shared" si="29"/>
        <v>1.5338331332125504E-45</v>
      </c>
      <c r="AG41" s="3">
        <f t="shared" si="29"/>
        <v>0</v>
      </c>
      <c r="AH41" s="3">
        <f t="shared" si="29"/>
        <v>0</v>
      </c>
      <c r="AI41" s="3">
        <f t="shared" si="29"/>
        <v>0</v>
      </c>
      <c r="AJ41" s="3">
        <f t="shared" si="29"/>
        <v>0</v>
      </c>
    </row>
    <row r="42" spans="1:36" x14ac:dyDescent="0.25">
      <c r="A42" s="3">
        <f t="shared" si="30"/>
        <v>10000000000</v>
      </c>
      <c r="B42" s="106">
        <v>6.2066178449525347E-2</v>
      </c>
      <c r="C42" s="18">
        <f t="shared" si="3"/>
        <v>3.343723543516635E-2</v>
      </c>
      <c r="D42" s="17"/>
      <c r="F42" s="3">
        <f t="shared" si="28"/>
        <v>3.343723543516635E-2</v>
      </c>
      <c r="G42" s="3">
        <f t="shared" si="28"/>
        <v>3.343723543516635E-2</v>
      </c>
      <c r="H42" s="3">
        <f t="shared" si="28"/>
        <v>3.343723543516635E-2</v>
      </c>
      <c r="I42" s="3">
        <f t="shared" si="28"/>
        <v>3.343723543516635E-2</v>
      </c>
      <c r="J42" s="3">
        <f t="shared" si="28"/>
        <v>3.343723543516635E-2</v>
      </c>
      <c r="K42" s="3">
        <f t="shared" si="28"/>
        <v>3.343723543516635E-2</v>
      </c>
      <c r="L42" s="3">
        <f t="shared" si="28"/>
        <v>3.343723543516635E-2</v>
      </c>
      <c r="M42" s="3">
        <f t="shared" si="28"/>
        <v>3.343723543516635E-2</v>
      </c>
      <c r="N42" s="3">
        <f t="shared" si="28"/>
        <v>3.343723543516635E-2</v>
      </c>
      <c r="O42" s="3">
        <f t="shared" si="28"/>
        <v>3.3437235435166343E-2</v>
      </c>
      <c r="P42" s="3">
        <f t="shared" si="27"/>
        <v>3.3437235435166315E-2</v>
      </c>
      <c r="Q42" s="3">
        <f t="shared" si="27"/>
        <v>3.3437235435166017E-2</v>
      </c>
      <c r="R42" s="3">
        <f t="shared" si="27"/>
        <v>3.3437235435163006E-2</v>
      </c>
      <c r="S42" s="3">
        <f t="shared" si="27"/>
        <v>3.3437235435132912E-2</v>
      </c>
      <c r="T42" s="3">
        <f t="shared" si="27"/>
        <v>3.3437235434831979E-2</v>
      </c>
      <c r="U42" s="3">
        <f t="shared" si="27"/>
        <v>3.3437235431822629E-2</v>
      </c>
      <c r="V42" s="3">
        <f t="shared" si="27"/>
        <v>3.3437235401729118E-2</v>
      </c>
      <c r="W42" s="3">
        <f t="shared" si="27"/>
        <v>3.3437235100794001E-2</v>
      </c>
      <c r="X42" s="3">
        <f t="shared" si="27"/>
        <v>3.3437232091442975E-2</v>
      </c>
      <c r="Y42" s="3">
        <f t="shared" si="27"/>
        <v>3.3437201997947634E-2</v>
      </c>
      <c r="Z42" s="3">
        <f t="shared" si="27"/>
        <v>3.3436901064483854E-2</v>
      </c>
      <c r="AA42" s="3">
        <f t="shared" si="27"/>
        <v>3.343389187880344E-2</v>
      </c>
      <c r="AB42" s="3">
        <f t="shared" si="27"/>
        <v>3.340381491277742E-2</v>
      </c>
      <c r="AC42" s="3">
        <f t="shared" si="27"/>
        <v>3.3104529383618235E-2</v>
      </c>
      <c r="AD42" s="3">
        <f t="shared" si="27"/>
        <v>3.0255261777416415E-2</v>
      </c>
      <c r="AE42" s="3">
        <f t="shared" si="27"/>
        <v>1.2300871486206946E-2</v>
      </c>
      <c r="AF42" s="3">
        <f t="shared" si="29"/>
        <v>1.5180481402082219E-6</v>
      </c>
      <c r="AG42" s="3">
        <f t="shared" si="29"/>
        <v>1.2438905624691495E-45</v>
      </c>
      <c r="AH42" s="3">
        <f t="shared" si="29"/>
        <v>0</v>
      </c>
      <c r="AI42" s="3">
        <f t="shared" si="29"/>
        <v>0</v>
      </c>
      <c r="AJ42" s="3">
        <f t="shared" si="29"/>
        <v>0</v>
      </c>
    </row>
    <row r="43" spans="1:36" x14ac:dyDescent="0.25">
      <c r="A43" s="3">
        <f t="shared" si="30"/>
        <v>100000000000</v>
      </c>
      <c r="B43" s="106">
        <v>4.6062293057318925E-2</v>
      </c>
      <c r="C43" s="18">
        <f t="shared" si="3"/>
        <v>2.4815378940943638E-2</v>
      </c>
      <c r="D43" s="17"/>
      <c r="F43" s="3">
        <f t="shared" si="28"/>
        <v>2.4815378940943638E-2</v>
      </c>
      <c r="G43" s="3">
        <f t="shared" si="28"/>
        <v>2.4815378940943638E-2</v>
      </c>
      <c r="H43" s="3">
        <f t="shared" si="28"/>
        <v>2.4815378940943638E-2</v>
      </c>
      <c r="I43" s="3">
        <f t="shared" si="28"/>
        <v>2.4815378940943638E-2</v>
      </c>
      <c r="J43" s="3">
        <f t="shared" si="28"/>
        <v>2.4815378940943638E-2</v>
      </c>
      <c r="K43" s="3">
        <f t="shared" si="28"/>
        <v>2.4815378940943638E-2</v>
      </c>
      <c r="L43" s="3">
        <f t="shared" si="28"/>
        <v>2.4815378940943638E-2</v>
      </c>
      <c r="M43" s="3">
        <f t="shared" si="28"/>
        <v>2.4815378940943638E-2</v>
      </c>
      <c r="N43" s="3">
        <f t="shared" si="28"/>
        <v>2.4815378940943638E-2</v>
      </c>
      <c r="O43" s="3">
        <f t="shared" si="28"/>
        <v>2.4815378940943638E-2</v>
      </c>
      <c r="P43" s="3">
        <f t="shared" si="27"/>
        <v>2.4815378940943635E-2</v>
      </c>
      <c r="Q43" s="3">
        <f t="shared" si="27"/>
        <v>2.4815378940943614E-2</v>
      </c>
      <c r="R43" s="3">
        <f t="shared" si="27"/>
        <v>2.4815378940943392E-2</v>
      </c>
      <c r="S43" s="3">
        <f t="shared" si="27"/>
        <v>2.4815378940941157E-2</v>
      </c>
      <c r="T43" s="3">
        <f t="shared" si="27"/>
        <v>2.4815378940918825E-2</v>
      </c>
      <c r="U43" s="3">
        <f t="shared" si="27"/>
        <v>2.4815378940695486E-2</v>
      </c>
      <c r="V43" s="3">
        <f t="shared" si="27"/>
        <v>2.4815378938462099E-2</v>
      </c>
      <c r="W43" s="3">
        <f t="shared" si="27"/>
        <v>2.4815378916128259E-2</v>
      </c>
      <c r="X43" s="3">
        <f t="shared" si="27"/>
        <v>2.4815378692789849E-2</v>
      </c>
      <c r="Y43" s="3">
        <f t="shared" si="27"/>
        <v>2.4815376459405868E-2</v>
      </c>
      <c r="Z43" s="3">
        <f t="shared" si="27"/>
        <v>2.4815354125577106E-2</v>
      </c>
      <c r="AA43" s="3">
        <f t="shared" si="27"/>
        <v>2.4815130788394993E-2</v>
      </c>
      <c r="AB43" s="3">
        <f t="shared" si="27"/>
        <v>2.4812897527122301E-2</v>
      </c>
      <c r="AC43" s="3">
        <f t="shared" si="27"/>
        <v>2.4790575965557303E-2</v>
      </c>
      <c r="AD43" s="3">
        <f t="shared" si="27"/>
        <v>2.4568461794903858E-2</v>
      </c>
      <c r="AE43" s="3">
        <f t="shared" si="27"/>
        <v>2.2453883408507364E-2</v>
      </c>
      <c r="AF43" s="3">
        <f t="shared" si="29"/>
        <v>9.1290677372519238E-3</v>
      </c>
      <c r="AG43" s="3">
        <f t="shared" si="29"/>
        <v>1.126616460948287E-6</v>
      </c>
      <c r="AH43" s="3">
        <f t="shared" si="29"/>
        <v>9.2315095034057805E-46</v>
      </c>
      <c r="AI43" s="3">
        <f t="shared" si="29"/>
        <v>0</v>
      </c>
      <c r="AJ43" s="3">
        <f t="shared" si="29"/>
        <v>0</v>
      </c>
    </row>
    <row r="44" spans="1:36" x14ac:dyDescent="0.25">
      <c r="A44" s="3">
        <f t="shared" si="30"/>
        <v>1000000000000</v>
      </c>
      <c r="B44" s="106">
        <v>2.4625729225771602E-2</v>
      </c>
      <c r="C44" s="18">
        <f t="shared" si="3"/>
        <v>1.3266747308349527E-2</v>
      </c>
      <c r="D44" s="17"/>
      <c r="F44" s="3">
        <f t="shared" si="28"/>
        <v>1.3266747308349527E-2</v>
      </c>
      <c r="G44" s="3">
        <f t="shared" si="28"/>
        <v>1.3266747308349527E-2</v>
      </c>
      <c r="H44" s="3">
        <f t="shared" si="28"/>
        <v>1.3266747308349527E-2</v>
      </c>
      <c r="I44" s="3">
        <f t="shared" si="28"/>
        <v>1.3266747308349527E-2</v>
      </c>
      <c r="J44" s="3">
        <f t="shared" si="28"/>
        <v>1.3266747308349527E-2</v>
      </c>
      <c r="K44" s="3">
        <f t="shared" si="28"/>
        <v>1.3266747308349527E-2</v>
      </c>
      <c r="L44" s="3">
        <f t="shared" si="28"/>
        <v>1.3266747308349527E-2</v>
      </c>
      <c r="M44" s="3">
        <f t="shared" si="28"/>
        <v>1.3266747308349527E-2</v>
      </c>
      <c r="N44" s="3">
        <f t="shared" si="28"/>
        <v>1.3266747308349527E-2</v>
      </c>
      <c r="O44" s="3">
        <f t="shared" si="28"/>
        <v>1.3266747308349527E-2</v>
      </c>
      <c r="P44" s="3">
        <f t="shared" si="27"/>
        <v>1.3266747308349527E-2</v>
      </c>
      <c r="Q44" s="3">
        <f t="shared" si="27"/>
        <v>1.3266747308349525E-2</v>
      </c>
      <c r="R44" s="3">
        <f t="shared" si="27"/>
        <v>1.3266747308349513E-2</v>
      </c>
      <c r="S44" s="3">
        <f t="shared" si="27"/>
        <v>1.3266747308349395E-2</v>
      </c>
      <c r="T44" s="3">
        <f t="shared" si="27"/>
        <v>1.32667473083482E-2</v>
      </c>
      <c r="U44" s="3">
        <f t="shared" si="27"/>
        <v>1.326674730833626E-2</v>
      </c>
      <c r="V44" s="3">
        <f t="shared" si="27"/>
        <v>1.3266747308216859E-2</v>
      </c>
      <c r="W44" s="3">
        <f t="shared" si="27"/>
        <v>1.3266747307022852E-2</v>
      </c>
      <c r="X44" s="3">
        <f t="shared" si="27"/>
        <v>1.326674729508278E-2</v>
      </c>
      <c r="Y44" s="3">
        <f t="shared" si="27"/>
        <v>1.3266747175682055E-2</v>
      </c>
      <c r="Z44" s="3">
        <f t="shared" si="27"/>
        <v>1.3266745981674863E-2</v>
      </c>
      <c r="AA44" s="3">
        <f t="shared" si="27"/>
        <v>1.3266734041608852E-2</v>
      </c>
      <c r="AB44" s="3">
        <f t="shared" si="27"/>
        <v>1.3266614641539779E-2</v>
      </c>
      <c r="AC44" s="3">
        <f t="shared" si="27"/>
        <v>1.3265420699950218E-2</v>
      </c>
      <c r="AD44" s="3">
        <f t="shared" si="27"/>
        <v>1.3253487192204261E-2</v>
      </c>
      <c r="AE44" s="3">
        <f t="shared" si="27"/>
        <v>1.3134740967023674E-2</v>
      </c>
      <c r="AF44" s="3">
        <f t="shared" si="29"/>
        <v>1.2004249380222503E-2</v>
      </c>
      <c r="AG44" s="3">
        <f t="shared" si="29"/>
        <v>4.8805635859583609E-3</v>
      </c>
      <c r="AH44" s="3">
        <f t="shared" si="29"/>
        <v>6.0230939597570353E-7</v>
      </c>
      <c r="AI44" s="3">
        <f t="shared" si="29"/>
        <v>4.9353307941730164E-46</v>
      </c>
      <c r="AJ44" s="3">
        <f t="shared" si="29"/>
        <v>0</v>
      </c>
    </row>
    <row r="45" spans="1:36" x14ac:dyDescent="0.25">
      <c r="A45" s="3">
        <f t="shared" si="30"/>
        <v>10000000000000</v>
      </c>
      <c r="B45" s="106">
        <v>1.196503469435283E-2</v>
      </c>
      <c r="C45" s="18">
        <f t="shared" si="3"/>
        <v>6.4459854313467695E-3</v>
      </c>
      <c r="D45" s="17"/>
      <c r="F45" s="3">
        <f t="shared" si="28"/>
        <v>6.4459854313467695E-3</v>
      </c>
      <c r="G45" s="3">
        <f t="shared" si="28"/>
        <v>6.4459854313467695E-3</v>
      </c>
      <c r="H45" s="3">
        <f t="shared" si="28"/>
        <v>6.4459854313467695E-3</v>
      </c>
      <c r="I45" s="3">
        <f t="shared" si="28"/>
        <v>6.4459854313467695E-3</v>
      </c>
      <c r="J45" s="3">
        <f t="shared" si="28"/>
        <v>6.4459854313467695E-3</v>
      </c>
      <c r="K45" s="3">
        <f t="shared" si="28"/>
        <v>6.4459854313467695E-3</v>
      </c>
      <c r="L45" s="3">
        <f t="shared" si="28"/>
        <v>6.4459854313467695E-3</v>
      </c>
      <c r="M45" s="3">
        <f t="shared" si="28"/>
        <v>6.4459854313467695E-3</v>
      </c>
      <c r="N45" s="3">
        <f t="shared" si="28"/>
        <v>6.4459854313467695E-3</v>
      </c>
      <c r="O45" s="3">
        <f t="shared" si="28"/>
        <v>6.4459854313467695E-3</v>
      </c>
      <c r="P45" s="3">
        <f t="shared" si="27"/>
        <v>6.4459854313467695E-3</v>
      </c>
      <c r="Q45" s="3">
        <f t="shared" si="27"/>
        <v>6.4459854313467695E-3</v>
      </c>
      <c r="R45" s="3">
        <f t="shared" si="27"/>
        <v>6.4459854313467686E-3</v>
      </c>
      <c r="S45" s="3">
        <f t="shared" si="27"/>
        <v>6.4459854313467634E-3</v>
      </c>
      <c r="T45" s="3">
        <f t="shared" si="27"/>
        <v>6.4459854313467053E-3</v>
      </c>
      <c r="U45" s="3">
        <f t="shared" si="27"/>
        <v>6.445985431346125E-3</v>
      </c>
      <c r="V45" s="3">
        <f t="shared" si="27"/>
        <v>6.4459854313403233E-3</v>
      </c>
      <c r="W45" s="3">
        <f t="shared" si="27"/>
        <v>6.4459854312823098E-3</v>
      </c>
      <c r="X45" s="3">
        <f t="shared" si="27"/>
        <v>6.4459854307021705E-3</v>
      </c>
      <c r="Y45" s="3">
        <f t="shared" si="27"/>
        <v>6.4459854249007843E-3</v>
      </c>
      <c r="Z45" s="3">
        <f t="shared" si="27"/>
        <v>6.4459853668869154E-3</v>
      </c>
      <c r="AA45" s="3">
        <f t="shared" si="27"/>
        <v>6.4459847867482586E-3</v>
      </c>
      <c r="AB45" s="3">
        <f t="shared" si="27"/>
        <v>6.4459789853645614E-3</v>
      </c>
      <c r="AC45" s="3">
        <f t="shared" si="27"/>
        <v>6.4459209718147545E-3</v>
      </c>
      <c r="AD45" s="3">
        <f t="shared" si="27"/>
        <v>6.4453408650324874E-3</v>
      </c>
      <c r="AE45" s="3">
        <f t="shared" si="27"/>
        <v>6.4395426678340766E-3</v>
      </c>
      <c r="AF45" s="3">
        <f t="shared" si="29"/>
        <v>6.3818468046544291E-3</v>
      </c>
      <c r="AG45" s="3">
        <f t="shared" si="29"/>
        <v>5.8325688143972213E-3</v>
      </c>
      <c r="AH45" s="3">
        <f t="shared" si="29"/>
        <v>2.3713455182831082E-3</v>
      </c>
      <c r="AI45" s="3">
        <f t="shared" si="29"/>
        <v>2.9264728583314395E-7</v>
      </c>
      <c r="AJ45" s="3">
        <f t="shared" si="29"/>
        <v>2.3979555544933425E-46</v>
      </c>
    </row>
    <row r="46" spans="1:36" x14ac:dyDescent="0.25">
      <c r="A46" s="3">
        <f t="shared" si="30"/>
        <v>100000000000000</v>
      </c>
      <c r="B46" s="106">
        <v>6.1537992426733048E-3</v>
      </c>
      <c r="C46" s="18">
        <f t="shared" si="3"/>
        <v>3.3152683029349498E-3</v>
      </c>
      <c r="D46" s="17"/>
      <c r="F46" s="3">
        <f t="shared" si="28"/>
        <v>3.3152683029349498E-3</v>
      </c>
      <c r="G46" s="3">
        <f t="shared" si="28"/>
        <v>3.3152683029349498E-3</v>
      </c>
      <c r="H46" s="3">
        <f t="shared" si="28"/>
        <v>3.3152683029349498E-3</v>
      </c>
      <c r="I46" s="3">
        <f t="shared" si="28"/>
        <v>3.3152683029349498E-3</v>
      </c>
      <c r="J46" s="3">
        <f t="shared" si="28"/>
        <v>3.3152683029349498E-3</v>
      </c>
      <c r="K46" s="3">
        <f t="shared" si="28"/>
        <v>3.3152683029349498E-3</v>
      </c>
      <c r="L46" s="3">
        <f t="shared" si="28"/>
        <v>3.3152683029349498E-3</v>
      </c>
      <c r="M46" s="3">
        <f t="shared" si="28"/>
        <v>3.3152683029349498E-3</v>
      </c>
      <c r="N46" s="3">
        <f t="shared" si="28"/>
        <v>3.3152683029349498E-3</v>
      </c>
      <c r="O46" s="3">
        <f t="shared" si="28"/>
        <v>3.3152683029349498E-3</v>
      </c>
      <c r="P46" s="3">
        <f t="shared" si="27"/>
        <v>3.3152683029349498E-3</v>
      </c>
      <c r="Q46" s="3">
        <f t="shared" si="27"/>
        <v>3.3152683029349498E-3</v>
      </c>
      <c r="R46" s="3">
        <f t="shared" si="27"/>
        <v>3.3152683029349498E-3</v>
      </c>
      <c r="S46" s="3">
        <f t="shared" si="27"/>
        <v>3.3152683029349494E-3</v>
      </c>
      <c r="T46" s="3">
        <f t="shared" si="27"/>
        <v>3.3152683029349463E-3</v>
      </c>
      <c r="U46" s="3">
        <f t="shared" si="27"/>
        <v>3.3152683029349169E-3</v>
      </c>
      <c r="V46" s="3">
        <f t="shared" si="27"/>
        <v>3.315268302934618E-3</v>
      </c>
      <c r="W46" s="3">
        <f t="shared" si="27"/>
        <v>3.3152683029316348E-3</v>
      </c>
      <c r="X46" s="3">
        <f t="shared" si="27"/>
        <v>3.3152683029017971E-3</v>
      </c>
      <c r="Y46" s="3">
        <f t="shared" si="27"/>
        <v>3.3152683026034229E-3</v>
      </c>
      <c r="Z46" s="3">
        <f t="shared" si="27"/>
        <v>3.3152682996196816E-3</v>
      </c>
      <c r="AA46" s="3">
        <f t="shared" si="27"/>
        <v>3.315268269782267E-3</v>
      </c>
      <c r="AB46" s="3">
        <f t="shared" si="27"/>
        <v>3.3152679714081364E-3</v>
      </c>
      <c r="AC46" s="3">
        <f t="shared" si="27"/>
        <v>3.3152649876683044E-3</v>
      </c>
      <c r="AD46" s="3">
        <f t="shared" si="27"/>
        <v>3.3152351504176832E-3</v>
      </c>
      <c r="AE46" s="3">
        <f t="shared" si="27"/>
        <v>3.3149367926804453E-3</v>
      </c>
      <c r="AF46" s="3">
        <f t="shared" si="29"/>
        <v>3.3119546917137598E-3</v>
      </c>
      <c r="AG46" s="3">
        <f t="shared" si="29"/>
        <v>3.2822808321546337E-3</v>
      </c>
      <c r="AH46" s="3">
        <f t="shared" si="29"/>
        <v>2.9997788113241171E-3</v>
      </c>
      <c r="AI46" s="3">
        <f t="shared" si="29"/>
        <v>1.2196190506171053E-3</v>
      </c>
      <c r="AJ46" s="3">
        <f t="shared" si="29"/>
        <v>1.5051294809703907E-7</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2.0071556462279233E-2</v>
      </c>
      <c r="C48" s="18">
        <f t="shared" si="3"/>
        <v>1.0813254106264341E-2</v>
      </c>
      <c r="D48" s="17"/>
      <c r="F48" s="3">
        <f t="shared" si="28"/>
        <v>1.0813254106264341E-2</v>
      </c>
      <c r="G48" s="3">
        <f t="shared" si="28"/>
        <v>1.0813254106264341E-2</v>
      </c>
      <c r="H48" s="3">
        <f t="shared" si="28"/>
        <v>1.0813254106264341E-2</v>
      </c>
      <c r="I48" s="3">
        <f t="shared" si="28"/>
        <v>1.0813254106264341E-2</v>
      </c>
      <c r="J48" s="3">
        <f t="shared" si="28"/>
        <v>1.0813254106264341E-2</v>
      </c>
      <c r="K48" s="3">
        <f t="shared" si="28"/>
        <v>1.0813254106264341E-2</v>
      </c>
      <c r="L48" s="3">
        <f t="shared" si="28"/>
        <v>1.0813254106264341E-2</v>
      </c>
      <c r="M48" s="3">
        <f t="shared" si="28"/>
        <v>1.0813254106264341E-2</v>
      </c>
      <c r="N48" s="3">
        <f t="shared" si="28"/>
        <v>1.0813254106264341E-2</v>
      </c>
      <c r="O48" s="3">
        <f t="shared" si="28"/>
        <v>1.0813254106264341E-2</v>
      </c>
      <c r="P48" s="3">
        <f t="shared" si="27"/>
        <v>1.0813254106264341E-2</v>
      </c>
      <c r="Q48" s="3">
        <f t="shared" si="27"/>
        <v>1.0813254106264341E-2</v>
      </c>
      <c r="R48" s="3">
        <f t="shared" si="27"/>
        <v>1.0813254106264341E-2</v>
      </c>
      <c r="S48" s="3">
        <f t="shared" si="27"/>
        <v>1.0813254106264341E-2</v>
      </c>
      <c r="T48" s="3">
        <f t="shared" si="27"/>
        <v>1.0813254106264341E-2</v>
      </c>
      <c r="U48" s="3">
        <f t="shared" si="27"/>
        <v>1.0813254106264339E-2</v>
      </c>
      <c r="V48" s="3">
        <f t="shared" si="27"/>
        <v>1.081325410626433E-2</v>
      </c>
      <c r="W48" s="3">
        <f t="shared" si="27"/>
        <v>1.0813254106264233E-2</v>
      </c>
      <c r="X48" s="3">
        <f t="shared" si="27"/>
        <v>1.0813254106263258E-2</v>
      </c>
      <c r="Y48" s="3">
        <f t="shared" si="27"/>
        <v>1.0813254106253528E-2</v>
      </c>
      <c r="Z48" s="3">
        <f t="shared" si="27"/>
        <v>1.0813254106156208E-2</v>
      </c>
      <c r="AA48" s="3">
        <f t="shared" si="27"/>
        <v>1.0813254105183015E-2</v>
      </c>
      <c r="AB48" s="3">
        <f t="shared" si="27"/>
        <v>1.0813254095451088E-2</v>
      </c>
      <c r="AC48" s="3">
        <f t="shared" si="27"/>
        <v>1.08132539981318E-2</v>
      </c>
      <c r="AD48" s="3">
        <f t="shared" si="27"/>
        <v>1.0813253024938985E-2</v>
      </c>
      <c r="AE48" s="3">
        <f t="shared" si="27"/>
        <v>1.0813243293015641E-2</v>
      </c>
      <c r="AF48" s="3">
        <f t="shared" si="29"/>
        <v>1.0813145974263938E-2</v>
      </c>
      <c r="AG48" s="3">
        <f t="shared" si="29"/>
        <v>1.0812172834918183E-2</v>
      </c>
      <c r="AH48" s="3">
        <f t="shared" si="29"/>
        <v>1.0802446256983371E-2</v>
      </c>
      <c r="AI48" s="3">
        <f t="shared" si="29"/>
        <v>1.0705660430194519E-2</v>
      </c>
      <c r="AJ48" s="3">
        <f t="shared" si="29"/>
        <v>9.7842369260789635E-3</v>
      </c>
    </row>
    <row r="49" spans="1:36" x14ac:dyDescent="0.25">
      <c r="B49" s="16">
        <f>SUM(B17:B48)</f>
        <v>1.8561994627178295</v>
      </c>
      <c r="C49" s="18">
        <f>SUM(C17:C48)</f>
        <v>1.0000000000000002</v>
      </c>
      <c r="F49" s="3">
        <f t="shared" ref="F49:AJ49" si="31">F16-F17</f>
        <v>60.015688288672209</v>
      </c>
      <c r="G49" s="3">
        <f t="shared" si="31"/>
        <v>-77.624644447060746</v>
      </c>
      <c r="H49" s="3">
        <f t="shared" si="31"/>
        <v>20.550753795739183</v>
      </c>
      <c r="I49" s="3">
        <f t="shared" si="31"/>
        <v>-3.3608706778986743</v>
      </c>
      <c r="J49" s="3">
        <f t="shared" si="31"/>
        <v>0.47306542196747614</v>
      </c>
      <c r="K49" s="3">
        <f t="shared" si="31"/>
        <v>-6.3548055235514767E-2</v>
      </c>
      <c r="L49" s="3">
        <f t="shared" si="31"/>
        <v>3.2727645741033484E-2</v>
      </c>
      <c r="M49" s="3">
        <f t="shared" si="31"/>
        <v>-9.0200399570676382E-2</v>
      </c>
      <c r="N49" s="3">
        <f t="shared" si="31"/>
        <v>0.22669836265049526</v>
      </c>
      <c r="O49" s="3">
        <f t="shared" si="31"/>
        <v>-0.46478026970453357</v>
      </c>
      <c r="P49" s="3">
        <f t="shared" si="31"/>
        <v>0.79053798452332558</v>
      </c>
      <c r="Q49" s="3">
        <f t="shared" si="31"/>
        <v>-1.1382182439119788</v>
      </c>
      <c r="R49" s="3">
        <f t="shared" si="31"/>
        <v>1.3968726399662046</v>
      </c>
      <c r="S49" s="3">
        <f t="shared" si="31"/>
        <v>-1.4590796791935645</v>
      </c>
      <c r="T49" s="3">
        <f t="shared" si="31"/>
        <v>1.3032888860489038</v>
      </c>
      <c r="U49" s="3">
        <f t="shared" si="31"/>
        <v>-1.0032626830388836</v>
      </c>
      <c r="V49" s="3">
        <f t="shared" si="31"/>
        <v>0.66728220752656853</v>
      </c>
      <c r="W49" s="3">
        <f t="shared" si="31"/>
        <v>-0.38077839480456532</v>
      </c>
      <c r="X49" s="3">
        <f t="shared" si="31"/>
        <v>0.18665930812858278</v>
      </c>
      <c r="Y49" s="3">
        <f t="shared" si="31"/>
        <v>-8.1800466226468416E-2</v>
      </c>
      <c r="Z49" s="3">
        <f t="shared" si="31"/>
        <v>3.530730976990526E-2</v>
      </c>
      <c r="AA49" s="3">
        <f t="shared" si="31"/>
        <v>-9.9157068943895865E-3</v>
      </c>
      <c r="AB49" s="3">
        <f t="shared" si="31"/>
        <v>-8.3600360612763325E-3</v>
      </c>
      <c r="AC49" s="3">
        <f t="shared" si="31"/>
        <v>1.353887078948901E-2</v>
      </c>
      <c r="AD49" s="3">
        <f t="shared" si="31"/>
        <v>-1.7630275183364574E-3</v>
      </c>
      <c r="AE49" s="3">
        <f t="shared" si="31"/>
        <v>-1.526283067357781E-2</v>
      </c>
      <c r="AF49" s="3">
        <f t="shared" si="31"/>
        <v>3.3274514363426988E-2</v>
      </c>
      <c r="AG49" s="3">
        <f t="shared" si="31"/>
        <v>-5.0302225647499199E-2</v>
      </c>
      <c r="AH49" s="3">
        <f t="shared" si="31"/>
        <v>6.56234587043798E-2</v>
      </c>
      <c r="AI49" s="3">
        <f t="shared" si="31"/>
        <v>-8.2536614587326085E-2</v>
      </c>
      <c r="AJ49" s="3">
        <f t="shared" si="31"/>
        <v>4.8377683437507812E-2</v>
      </c>
    </row>
    <row r="50" spans="1:36" x14ac:dyDescent="0.25">
      <c r="F50" s="57">
        <f t="shared" ref="F50:AJ50" si="32">F49/F17</f>
        <v>8.8511264834503847E-3</v>
      </c>
      <c r="G50" s="57">
        <f t="shared" si="32"/>
        <v>-1.1549187585123587E-2</v>
      </c>
      <c r="H50" s="57">
        <f t="shared" si="32"/>
        <v>3.1584439912895812E-3</v>
      </c>
      <c r="I50" s="57">
        <f t="shared" si="32"/>
        <v>-5.2379705443333392E-4</v>
      </c>
      <c r="J50" s="57">
        <f t="shared" si="32"/>
        <v>7.5253038652309793E-5</v>
      </c>
      <c r="K50" s="57">
        <f t="shared" si="32"/>
        <v>-1.0330530877924987E-5</v>
      </c>
      <c r="L50" s="57">
        <f t="shared" si="32"/>
        <v>5.4554945757938537E-6</v>
      </c>
      <c r="M50" s="57">
        <f t="shared" si="32"/>
        <v>-1.5460411191626583E-5</v>
      </c>
      <c r="N50" s="57">
        <f t="shared" si="32"/>
        <v>4.0049592057186632E-5</v>
      </c>
      <c r="O50" s="57">
        <f t="shared" si="32"/>
        <v>-8.4488627589147258E-5</v>
      </c>
      <c r="P50" s="57">
        <f t="shared" si="32"/>
        <v>1.4872977482383604E-4</v>
      </c>
      <c r="Q50" s="57">
        <f t="shared" si="32"/>
        <v>-2.233508438582813E-4</v>
      </c>
      <c r="R50" s="57">
        <f t="shared" si="32"/>
        <v>2.8752420009884461E-4</v>
      </c>
      <c r="S50" s="57">
        <f t="shared" si="32"/>
        <v>-3.1342491184775147E-4</v>
      </c>
      <c r="T50" s="57">
        <f t="shared" si="32"/>
        <v>2.9170237483328585E-4</v>
      </c>
      <c r="U50" s="57">
        <f t="shared" si="32"/>
        <v>-2.3501290262132305E-4</v>
      </c>
      <c r="V50" s="57">
        <f t="shared" si="32"/>
        <v>1.678228208980663E-4</v>
      </c>
      <c r="W50" s="57">
        <f t="shared" si="32"/>
        <v>-1.1049738349489877E-4</v>
      </c>
      <c r="X50" s="57">
        <f t="shared" si="32"/>
        <v>6.574411225749174E-5</v>
      </c>
      <c r="Y50" s="57">
        <f t="shared" si="32"/>
        <v>-3.4977585137478002E-5</v>
      </c>
      <c r="Z50" s="57">
        <f t="shared" si="32"/>
        <v>1.8011250925490527E-5</v>
      </c>
      <c r="AA50" s="57">
        <f t="shared" si="32"/>
        <v>-5.9865581464215209E-6</v>
      </c>
      <c r="AB50" s="57">
        <f t="shared" si="32"/>
        <v>-6.0264708070143584E-6</v>
      </c>
      <c r="AC50" s="57">
        <f t="shared" si="32"/>
        <v>1.2087291277671799E-5</v>
      </c>
      <c r="AD50" s="57">
        <f t="shared" si="32"/>
        <v>-2.0758606350117894E-6</v>
      </c>
      <c r="AE50" s="57">
        <f t="shared" si="32"/>
        <v>-2.5352030315582198E-5</v>
      </c>
      <c r="AF50" s="57">
        <f t="shared" si="32"/>
        <v>8.0272735694032868E-5</v>
      </c>
      <c r="AG50" s="57">
        <f t="shared" si="32"/>
        <v>-1.6947358385005582E-4</v>
      </c>
      <c r="AH50" s="57">
        <f t="shared" si="32"/>
        <v>2.7755001313737253E-4</v>
      </c>
      <c r="AI50" s="57">
        <f t="shared" si="32"/>
        <v>-3.9924765743623195E-4</v>
      </c>
      <c r="AJ50" s="57">
        <f t="shared" si="32"/>
        <v>2.5228465382923638E-4</v>
      </c>
    </row>
    <row r="51" spans="1:36" x14ac:dyDescent="0.25">
      <c r="A51" s="13" t="s">
        <v>21</v>
      </c>
      <c r="B51" s="3">
        <f>STUTT!D8</f>
        <v>6992.4087</v>
      </c>
      <c r="E51" s="11" t="s">
        <v>24</v>
      </c>
      <c r="F51" s="20">
        <f t="shared" ref="F51:AJ51" si="33">(F16-F17)^2</f>
        <v>3601.8828407630667</v>
      </c>
      <c r="G51" s="20">
        <f t="shared" si="33"/>
        <v>6025.5854255325985</v>
      </c>
      <c r="H51" s="20">
        <f t="shared" si="33"/>
        <v>422.33348157308842</v>
      </c>
      <c r="I51" s="20">
        <f t="shared" si="33"/>
        <v>11.295451713559094</v>
      </c>
      <c r="J51" s="20">
        <f t="shared" si="33"/>
        <v>0.22379089346126627</v>
      </c>
      <c r="K51" s="20">
        <f t="shared" si="33"/>
        <v>4.0383553242160355E-3</v>
      </c>
      <c r="L51" s="20">
        <f t="shared" si="33"/>
        <v>1.0710987957505871E-3</v>
      </c>
      <c r="M51" s="20">
        <f t="shared" si="33"/>
        <v>8.1361120827096768E-3</v>
      </c>
      <c r="N51" s="20">
        <f t="shared" si="33"/>
        <v>5.1392147628415465E-2</v>
      </c>
      <c r="O51" s="20">
        <f t="shared" si="33"/>
        <v>0.21602069910661897</v>
      </c>
      <c r="P51" s="20">
        <f t="shared" si="33"/>
        <v>0.62495030497420179</v>
      </c>
      <c r="Q51" s="20">
        <f t="shared" si="33"/>
        <v>1.2955407707740689</v>
      </c>
      <c r="R51" s="20">
        <f t="shared" si="33"/>
        <v>1.9512531722861539</v>
      </c>
      <c r="S51" s="20">
        <f t="shared" si="33"/>
        <v>2.1289135102355949</v>
      </c>
      <c r="T51" s="20">
        <f t="shared" si="33"/>
        <v>1.6985619204985927</v>
      </c>
      <c r="U51" s="20">
        <f t="shared" si="33"/>
        <v>1.0065360111783794</v>
      </c>
      <c r="V51" s="20">
        <f t="shared" si="33"/>
        <v>0.44526554448153044</v>
      </c>
      <c r="W51" s="20">
        <f t="shared" si="33"/>
        <v>0.14499218594994143</v>
      </c>
      <c r="X51" s="20">
        <f t="shared" si="33"/>
        <v>3.4841697311041211E-2</v>
      </c>
      <c r="Y51" s="20">
        <f t="shared" si="33"/>
        <v>6.6913162748676001E-3</v>
      </c>
      <c r="Z51" s="20">
        <f t="shared" si="33"/>
        <v>1.2466061231880474E-3</v>
      </c>
      <c r="AA51" s="20">
        <f t="shared" si="33"/>
        <v>9.8321243215445175E-5</v>
      </c>
      <c r="AB51" s="20">
        <f t="shared" si="33"/>
        <v>6.9890202945840698E-5</v>
      </c>
      <c r="AC51" s="20">
        <f t="shared" si="33"/>
        <v>1.8330102225447878E-4</v>
      </c>
      <c r="AD51" s="20">
        <f t="shared" si="33"/>
        <v>3.1082660304116078E-6</v>
      </c>
      <c r="AE51" s="20">
        <f t="shared" si="33"/>
        <v>2.3295400017030765E-4</v>
      </c>
      <c r="AF51" s="20">
        <f t="shared" si="33"/>
        <v>1.1071933061219089E-3</v>
      </c>
      <c r="AG51" s="20">
        <f t="shared" si="33"/>
        <v>2.5303139050919261E-3</v>
      </c>
      <c r="AH51" s="20">
        <f t="shared" si="33"/>
        <v>4.3064383323254407E-3</v>
      </c>
      <c r="AI51" s="20">
        <f t="shared" si="33"/>
        <v>6.8122927475368087E-3</v>
      </c>
      <c r="AJ51" s="20">
        <f t="shared" si="33"/>
        <v>2.3404002547797176E-3</v>
      </c>
    </row>
    <row r="52" spans="1:36" x14ac:dyDescent="0.25">
      <c r="A52" s="13"/>
    </row>
    <row r="53" spans="1:36" x14ac:dyDescent="0.25">
      <c r="E53" s="131" t="s">
        <v>25</v>
      </c>
      <c r="F53" s="131"/>
      <c r="G53" s="104">
        <f>SUM(F51:AJ51)</f>
        <v>10070.958126142081</v>
      </c>
      <c r="I53" s="3">
        <f>G53+C123</f>
        <v>10070.958126142081</v>
      </c>
      <c r="K53" s="3">
        <f>SUM(Z51:AJ51)</f>
        <v>1.8930819403660332E-2</v>
      </c>
    </row>
    <row r="55" spans="1:36" x14ac:dyDescent="0.25">
      <c r="E55" s="30" t="s">
        <v>30</v>
      </c>
      <c r="F55" s="31">
        <f t="shared" ref="F55:AJ55" si="34">ABS(F17-F16)/F16</f>
        <v>8.7734713785796448E-3</v>
      </c>
      <c r="G55" s="31">
        <f t="shared" si="34"/>
        <v>1.1684129791858695E-2</v>
      </c>
      <c r="H55" s="31">
        <f t="shared" si="34"/>
        <v>3.1484996315467449E-3</v>
      </c>
      <c r="I55" s="31">
        <f t="shared" si="34"/>
        <v>5.2407156157359847E-4</v>
      </c>
      <c r="J55" s="31">
        <f t="shared" si="34"/>
        <v>7.5247376058610772E-5</v>
      </c>
      <c r="K55" s="31">
        <f t="shared" si="34"/>
        <v>1.0330637598895691E-5</v>
      </c>
      <c r="L55" s="31">
        <f t="shared" si="34"/>
        <v>5.4554648135351553E-6</v>
      </c>
      <c r="M55" s="31">
        <f t="shared" si="34"/>
        <v>1.5460650219636269E-5</v>
      </c>
      <c r="N55" s="31">
        <f t="shared" si="34"/>
        <v>4.0047988151598447E-5</v>
      </c>
      <c r="O55" s="31">
        <f t="shared" si="34"/>
        <v>8.4495766520497679E-5</v>
      </c>
      <c r="P55" s="31">
        <f t="shared" si="34"/>
        <v>1.4870765756741145E-4</v>
      </c>
      <c r="Q55" s="31">
        <f t="shared" si="34"/>
        <v>2.2340074060221338E-4</v>
      </c>
      <c r="R55" s="31">
        <f t="shared" si="34"/>
        <v>2.8744155369604294E-4</v>
      </c>
      <c r="S55" s="31">
        <f t="shared" si="34"/>
        <v>3.135231778221226E-4</v>
      </c>
      <c r="T55" s="31">
        <f t="shared" si="34"/>
        <v>2.9161730937159966E-4</v>
      </c>
      <c r="U55" s="31">
        <f t="shared" si="34"/>
        <v>2.3506814666878549E-4</v>
      </c>
      <c r="V55" s="31">
        <f t="shared" si="34"/>
        <v>1.6779466112470473E-4</v>
      </c>
      <c r="W55" s="31">
        <f t="shared" si="34"/>
        <v>1.1050959451594386E-4</v>
      </c>
      <c r="X55" s="31">
        <f t="shared" si="34"/>
        <v>6.573979025334154E-5</v>
      </c>
      <c r="Y55" s="31">
        <f t="shared" si="34"/>
        <v>3.4978808611734228E-5</v>
      </c>
      <c r="Z55" s="31">
        <f t="shared" si="34"/>
        <v>1.8010926526173464E-5</v>
      </c>
      <c r="AA55" s="31">
        <f t="shared" si="34"/>
        <v>5.9865939855145142E-6</v>
      </c>
      <c r="AB55" s="31">
        <f t="shared" si="34"/>
        <v>6.0265071255836194E-6</v>
      </c>
      <c r="AC55" s="31">
        <f t="shared" si="34"/>
        <v>1.2087145176827331E-5</v>
      </c>
      <c r="AD55" s="31">
        <f t="shared" si="34"/>
        <v>2.0758649442181103E-6</v>
      </c>
      <c r="AE55" s="31">
        <f t="shared" si="34"/>
        <v>2.5352673057318128E-5</v>
      </c>
      <c r="AF55" s="31">
        <f t="shared" si="34"/>
        <v>8.0266292499149935E-5</v>
      </c>
      <c r="AG55" s="31">
        <f t="shared" si="34"/>
        <v>1.6950231001400476E-4</v>
      </c>
      <c r="AH55" s="31">
        <f t="shared" si="34"/>
        <v>2.774730005024378E-4</v>
      </c>
      <c r="AI55" s="31">
        <f t="shared" si="34"/>
        <v>3.9940711979317273E-4</v>
      </c>
      <c r="AJ55" s="31">
        <f t="shared" si="34"/>
        <v>2.5222102233592788E-4</v>
      </c>
    </row>
    <row r="56" spans="1:36" x14ac:dyDescent="0.25">
      <c r="E56" s="13" t="s">
        <v>31</v>
      </c>
      <c r="F56" s="32">
        <f>AVERAGE(F55:AJ55)</f>
        <v>8.8672261751986093E-4</v>
      </c>
    </row>
    <row r="57" spans="1:36" x14ac:dyDescent="0.25">
      <c r="A57" s="42"/>
      <c r="B57" s="15"/>
      <c r="C57" s="15"/>
      <c r="D57" s="15"/>
      <c r="F57" s="60">
        <f>AVERAGE(S55:X55)</f>
        <v>1.9737544662608297E-4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32"/>
      <c r="D63" s="132"/>
      <c r="E63" s="132"/>
      <c r="F63" s="132"/>
      <c r="G63" s="132"/>
      <c r="H63" s="132"/>
      <c r="I63" s="132"/>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33"/>
    </row>
    <row r="101" spans="1:9" x14ac:dyDescent="0.25">
      <c r="A101" s="133"/>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-21.791567045586209</v>
      </c>
    </row>
    <row r="119" spans="1:14" x14ac:dyDescent="0.25">
      <c r="L119" s="11">
        <f>L118+1</f>
        <v>2</v>
      </c>
      <c r="M119" s="11">
        <f t="shared" ref="M119:M124" si="35">INDEX($B$125:$K$126,1,L119)</f>
        <v>0</v>
      </c>
      <c r="N119" s="11">
        <f t="shared" ref="N119:N124" si="36">IF(L119=$B$3,0,INDEX($B$125:$K$126,2,L119))</f>
        <v>-13.119481726760494</v>
      </c>
    </row>
    <row r="120" spans="1:14" x14ac:dyDescent="0.25">
      <c r="L120" s="11">
        <f t="shared" ref="L120:L124" si="37">L119+1</f>
        <v>3</v>
      </c>
      <c r="M120" s="11">
        <f t="shared" si="35"/>
        <v>25</v>
      </c>
      <c r="N120" s="11">
        <f t="shared" si="36"/>
        <v>-8.6916102244209963</v>
      </c>
    </row>
    <row r="121" spans="1:14" x14ac:dyDescent="0.25">
      <c r="A121" s="103">
        <f>(A165+A204+A243+A282+A321+A360+A399)*10^9</f>
        <v>2.5877424992371752E+16</v>
      </c>
      <c r="L121" s="11">
        <f t="shared" si="37"/>
        <v>4</v>
      </c>
      <c r="M121" s="11">
        <f t="shared" si="35"/>
        <v>50</v>
      </c>
      <c r="N121" s="11">
        <f t="shared" si="36"/>
        <v>-4.7520980113111246</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31"/>
      <c r="B123" s="131"/>
      <c r="C123" s="3"/>
      <c r="D123" s="3"/>
      <c r="E123" s="3"/>
      <c r="F123" s="3"/>
      <c r="G123" s="3"/>
      <c r="H123" s="3"/>
      <c r="I123" s="3"/>
      <c r="J123" s="3"/>
      <c r="K123" s="3"/>
      <c r="L123" s="11">
        <f t="shared" si="37"/>
        <v>6</v>
      </c>
      <c r="M123" s="11">
        <f t="shared" si="35"/>
        <v>125</v>
      </c>
      <c r="N123" s="11">
        <f t="shared" si="36"/>
        <v>12.423556606236367</v>
      </c>
    </row>
    <row r="124" spans="1:14" x14ac:dyDescent="0.25">
      <c r="B124" s="3"/>
      <c r="C124" s="3"/>
      <c r="D124" s="3"/>
      <c r="E124" s="3"/>
      <c r="F124" s="3"/>
      <c r="G124" s="3"/>
      <c r="H124" s="3"/>
      <c r="I124" s="3"/>
      <c r="J124" s="3"/>
      <c r="K124" s="3"/>
      <c r="L124" s="11">
        <f t="shared" si="37"/>
        <v>7</v>
      </c>
      <c r="M124" s="11">
        <f t="shared" si="35"/>
        <v>160</v>
      </c>
      <c r="N124" s="11">
        <f t="shared" si="36"/>
        <v>25.881767880905638</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-21.791567045586209</v>
      </c>
      <c r="C126" s="107">
        <v>-13.119481726760494</v>
      </c>
      <c r="D126" s="107">
        <v>-8.6916102244209963</v>
      </c>
      <c r="E126" s="107">
        <v>-4.7520980113111246</v>
      </c>
      <c r="F126" s="107">
        <v>7.508952281607347E-3</v>
      </c>
      <c r="G126" s="107">
        <v>12.423556606236367</v>
      </c>
      <c r="H126" s="107">
        <v>25.881767880905638</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7093.1154116431162</v>
      </c>
      <c r="C130" s="26">
        <f>INDEX(Comparison!$AM$3:$AS$33,G14,$B$122)</f>
        <v>7093.186769557813</v>
      </c>
      <c r="D130" s="26">
        <f>INDEX(Comparison!$AM$3:$AS$33,H14,$B$122)</f>
        <v>7093.1496241627792</v>
      </c>
      <c r="E130" s="26">
        <f>INDEX(Comparison!$AM$3:$AS$33,I14,$B$122)</f>
        <v>7093.139849123485</v>
      </c>
      <c r="F130" s="26">
        <f>INDEX(Comparison!$AM$3:$AS$33,J14,$B$122)</f>
        <v>7093.1370316171597</v>
      </c>
      <c r="G130" s="26">
        <f>INDEX(Comparison!$AM$3:$AS$33,K14,$B$122)</f>
        <v>7093.1361691156708</v>
      </c>
      <c r="H130" s="26">
        <f>INDEX(Comparison!$AM$3:$AS$33,L14,$B$122)</f>
        <v>7093.1358816152215</v>
      </c>
      <c r="I130" s="26">
        <f>INDEX(Comparison!$AM$3:$AS$33,M14,$B$122)</f>
        <v>7093.135709114963</v>
      </c>
      <c r="J130" s="26">
        <f>INDEX(Comparison!$AM$3:$AS$33,N14,$B$122)</f>
        <v>7093.1355366147118</v>
      </c>
      <c r="K130" s="26">
        <f>INDEX(Comparison!$AM$3:$AS$33,O14,$B$122)</f>
        <v>7093.1340991129555</v>
      </c>
      <c r="L130" s="26">
        <f>INDEX(Comparison!$AM$3:$AS$33,P14,$B$122)</f>
        <v>7093.1198391270691</v>
      </c>
      <c r="M130" s="26">
        <f>INDEX(Comparison!$AM$3:$AS$33,Q14,$B$122)</f>
        <v>7092.9771274266232</v>
      </c>
      <c r="N130" s="26">
        <f>INDEX(Comparison!$AM$3:$AS$33,R14,$B$122)</f>
        <v>7091.5625107943715</v>
      </c>
      <c r="O130" s="26">
        <f>INDEX(Comparison!$AM$3:$AS$33,S14,$B$122)</f>
        <v>7078.0585854387473</v>
      </c>
      <c r="P130" s="26">
        <f>INDEX(Comparison!$AM$3:$AS$33,T14,$B$122)</f>
        <v>6980.1771345591078</v>
      </c>
      <c r="Q130" s="26">
        <f>INDEX(Comparison!$AM$3:$AS$33,U14,$B$122)</f>
        <v>6817.7458366168885</v>
      </c>
      <c r="R130" s="26">
        <f>INDEX(Comparison!$AM$3:$AS$33,V14,$B$122)</f>
        <v>6700.2000319833087</v>
      </c>
      <c r="S130" s="26">
        <f>INDEX(Comparison!$AM$3:$AS$33,W14,$B$122)</f>
        <v>6581.4875752007347</v>
      </c>
      <c r="T130" s="26">
        <f>INDEX(Comparison!$AM$3:$AS$33,X14,$B$122)</f>
        <v>6449.3747740231202</v>
      </c>
      <c r="U130" s="26">
        <f>INDEX(Comparison!$AM$3:$AS$33,Y14,$B$122)</f>
        <v>6289.3605252793404</v>
      </c>
      <c r="V130" s="26">
        <f>INDEX(Comparison!$AM$3:$AS$33,Z14,$B$122)</f>
        <v>6015.8011652173718</v>
      </c>
      <c r="W130" s="26">
        <f>INDEX(Comparison!$AM$3:$AS$33,AA14,$B$122)</f>
        <v>5393.4478275395559</v>
      </c>
      <c r="X130" s="26">
        <f>INDEX(Comparison!$AM$3:$AS$33,AB14,$B$122)</f>
        <v>4577.424969740212</v>
      </c>
      <c r="Y130" s="26">
        <f>INDEX(Comparison!$AM$3:$AS$33,AC14,$B$122)</f>
        <v>3914.6236771373719</v>
      </c>
      <c r="Z130" s="26">
        <f>INDEX(Comparison!$AM$3:$AS$33,AD14,$B$122)</f>
        <v>3439.215903424868</v>
      </c>
      <c r="AA130" s="26">
        <f>INDEX(Comparison!$AM$3:$AS$33,AE14,$B$122)</f>
        <v>3078.9760704970804</v>
      </c>
      <c r="AB130" s="26">
        <f>INDEX(Comparison!$AM$3:$AS$33,AF14,$B$122)</f>
        <v>2798.5736498484516</v>
      </c>
      <c r="AC130" s="26">
        <f>INDEX(Comparison!$AM$3:$AS$33,AG14,$B$122)</f>
        <v>2590.4913778751102</v>
      </c>
      <c r="AD130" s="26">
        <f>INDEX(Comparison!$AM$3:$AS$33,AH14,$B$122)</f>
        <v>2428.2171958860131</v>
      </c>
      <c r="AE130" s="26">
        <f>INDEX(Comparison!$AM$3:$AS$33,AI14,$B$122)</f>
        <v>2284.9023004500814</v>
      </c>
      <c r="AF130" s="26">
        <f>INDEX(Comparison!$AM$3:$AS$33,AJ14,$B$122)</f>
        <v>2162.351794570352</v>
      </c>
    </row>
    <row r="131" spans="1:33" x14ac:dyDescent="0.25">
      <c r="A131" s="68" t="s">
        <v>22</v>
      </c>
      <c r="B131" s="27">
        <f>($C$17+SUM(B132:B162))*$B$51</f>
        <v>6992.4016777938477</v>
      </c>
      <c r="C131" s="27">
        <f t="shared" ref="C131:AF131" si="40">($C$17+SUM(C132:C162))*$B$51</f>
        <v>6992.338488794755</v>
      </c>
      <c r="D131" s="27">
        <f t="shared" si="40"/>
        <v>6991.7076723464152</v>
      </c>
      <c r="E131" s="27">
        <f t="shared" si="40"/>
        <v>6985.5056439107348</v>
      </c>
      <c r="F131" s="27">
        <f t="shared" si="40"/>
        <v>6932.9787648567108</v>
      </c>
      <c r="G131" s="27">
        <f t="shared" si="40"/>
        <v>6794.6087230194371</v>
      </c>
      <c r="H131" s="27">
        <f t="shared" si="40"/>
        <v>6788.0261989900046</v>
      </c>
      <c r="I131" s="27">
        <f t="shared" si="40"/>
        <v>6788.0028466245003</v>
      </c>
      <c r="J131" s="27">
        <f t="shared" si="40"/>
        <v>6787.7694225647474</v>
      </c>
      <c r="K131" s="27">
        <f t="shared" si="40"/>
        <v>6785.4451124149373</v>
      </c>
      <c r="L131" s="27">
        <f t="shared" si="40"/>
        <v>6763.1666018001351</v>
      </c>
      <c r="M131" s="27">
        <f t="shared" si="40"/>
        <v>6613.7104683242096</v>
      </c>
      <c r="N131" s="27">
        <f t="shared" si="40"/>
        <v>6456.4869514907186</v>
      </c>
      <c r="O131" s="27">
        <f t="shared" si="40"/>
        <v>6356.4581804097998</v>
      </c>
      <c r="P131" s="27">
        <f t="shared" si="40"/>
        <v>6219.8729200130929</v>
      </c>
      <c r="Q131" s="27">
        <f t="shared" si="40"/>
        <v>6077.7211531039602</v>
      </c>
      <c r="R131" s="27">
        <f t="shared" si="40"/>
        <v>5916.7503469361272</v>
      </c>
      <c r="S131" s="27">
        <f t="shared" si="40"/>
        <v>5745.1474454769268</v>
      </c>
      <c r="T131" s="27">
        <f t="shared" si="40"/>
        <v>5573.284582239834</v>
      </c>
      <c r="U131" s="27">
        <f t="shared" si="40"/>
        <v>5408.6529786554565</v>
      </c>
      <c r="V131" s="27">
        <f t="shared" si="40"/>
        <v>5197.9772492096681</v>
      </c>
      <c r="W131" s="27">
        <f t="shared" si="40"/>
        <v>4964.4440007874327</v>
      </c>
      <c r="X131" s="27">
        <f t="shared" si="40"/>
        <v>4729.6551418356412</v>
      </c>
      <c r="Y131" s="27">
        <f t="shared" si="40"/>
        <v>4554.9075520661509</v>
      </c>
      <c r="Z131" s="27">
        <f t="shared" si="40"/>
        <v>4347.6684163103664</v>
      </c>
      <c r="AA131" s="27">
        <f t="shared" si="40"/>
        <v>4140.1282412308756</v>
      </c>
      <c r="AB131" s="27">
        <f t="shared" si="40"/>
        <v>3691.8414860077096</v>
      </c>
      <c r="AC131" s="27">
        <f t="shared" si="40"/>
        <v>3089.0699242083015</v>
      </c>
      <c r="AD131" s="27">
        <f t="shared" si="40"/>
        <v>2542.1086319384176</v>
      </c>
      <c r="AE131" s="27">
        <f t="shared" si="40"/>
        <v>2123.9067314289678</v>
      </c>
      <c r="AF131" s="27">
        <f t="shared" si="40"/>
        <v>1785.6432049716148</v>
      </c>
    </row>
    <row r="132" spans="1:33" x14ac:dyDescent="0.25">
      <c r="B132" s="3">
        <f t="shared" ref="B132:Z133" si="41">$C18*EXP(-B$129/$A18/EXP(-$B$126))</f>
        <v>2.9227823022894516E-2</v>
      </c>
      <c r="C132" s="3">
        <f t="shared" ref="C132:AF132" si="42">$C18*EXP(-C$129/$A18/EXP(-$B$126))</f>
        <v>2.9218786226212497E-2</v>
      </c>
      <c r="D132" s="3">
        <f t="shared" si="42"/>
        <v>2.9128571789117881E-2</v>
      </c>
      <c r="E132" s="3">
        <f t="shared" si="42"/>
        <v>2.8241606171628519E-2</v>
      </c>
      <c r="F132" s="3">
        <f t="shared" si="42"/>
        <v>2.0729623111978155E-2</v>
      </c>
      <c r="G132" s="3">
        <f t="shared" si="42"/>
        <v>9.4104749530132521E-4</v>
      </c>
      <c r="H132" s="3">
        <f t="shared" si="42"/>
        <v>3.4979444821932343E-17</v>
      </c>
      <c r="I132" s="3">
        <f t="shared" si="42"/>
        <v>1.7612727012022705E-151</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4.1217362129658895E-2</v>
      </c>
      <c r="C133" s="3">
        <f t="shared" si="41"/>
        <v>4.1217362126394014E-2</v>
      </c>
      <c r="D133" s="3">
        <f t="shared" si="41"/>
        <v>4.1217362093745206E-2</v>
      </c>
      <c r="E133" s="3">
        <f t="shared" si="41"/>
        <v>4.1217361767257155E-2</v>
      </c>
      <c r="F133" s="3">
        <f t="shared" si="41"/>
        <v>4.1217358502376789E-2</v>
      </c>
      <c r="G133" s="3">
        <f t="shared" si="41"/>
        <v>4.121732585358729E-2</v>
      </c>
      <c r="H133" s="3">
        <f t="shared" si="41"/>
        <v>4.121699936711469E-2</v>
      </c>
      <c r="I133" s="3">
        <f t="shared" si="41"/>
        <v>4.1213734644622545E-2</v>
      </c>
      <c r="J133" s="3">
        <f t="shared" si="41"/>
        <v>4.1181101638917535E-2</v>
      </c>
      <c r="K133" s="3">
        <f t="shared" si="41"/>
        <v>4.0856189344935623E-2</v>
      </c>
      <c r="L133" s="3">
        <f t="shared" si="41"/>
        <v>3.7744774082871718E-2</v>
      </c>
      <c r="M133" s="3">
        <f t="shared" si="41"/>
        <v>1.7094112493953303E-2</v>
      </c>
      <c r="N133" s="3">
        <f t="shared" si="41"/>
        <v>6.2050292255478248E-6</v>
      </c>
      <c r="O133" s="3">
        <f t="shared" si="41"/>
        <v>2.4644304618089033E-40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8.4212405815120434E-3</v>
      </c>
      <c r="C134" s="3">
        <f t="shared" si="44"/>
        <v>8.4212405814518693E-3</v>
      </c>
      <c r="D134" s="3">
        <f t="shared" si="44"/>
        <v>8.4212405808501284E-3</v>
      </c>
      <c r="E134" s="3">
        <f t="shared" si="44"/>
        <v>8.4212405748327161E-3</v>
      </c>
      <c r="F134" s="3">
        <f t="shared" si="44"/>
        <v>8.4212405146585935E-3</v>
      </c>
      <c r="G134" s="3">
        <f t="shared" si="44"/>
        <v>8.421239912917395E-3</v>
      </c>
      <c r="H134" s="3">
        <f t="shared" si="44"/>
        <v>8.421233895507774E-3</v>
      </c>
      <c r="I134" s="3">
        <f t="shared" si="44"/>
        <v>8.4211737216480561E-3</v>
      </c>
      <c r="J134" s="3">
        <f t="shared" si="44"/>
        <v>8.4205720066988145E-3</v>
      </c>
      <c r="K134" s="3">
        <f t="shared" si="44"/>
        <v>8.414557221375709E-3</v>
      </c>
      <c r="L134" s="3">
        <f t="shared" si="44"/>
        <v>8.3546451612193044E-3</v>
      </c>
      <c r="M134" s="3">
        <f t="shared" si="44"/>
        <v>7.7784922038920202E-3</v>
      </c>
      <c r="N134" s="3">
        <f t="shared" si="44"/>
        <v>3.8068830566389627E-3</v>
      </c>
      <c r="O134" s="3">
        <f t="shared" si="44"/>
        <v>3.0013088431502496E-6</v>
      </c>
      <c r="P134" s="3">
        <f t="shared" si="44"/>
        <v>2.7843396169135514E-37</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2.0973035607300228E-2</v>
      </c>
      <c r="C135" s="3">
        <f t="shared" si="47"/>
        <v>2.0973035607286708E-2</v>
      </c>
      <c r="D135" s="3">
        <f t="shared" si="47"/>
        <v>2.0973035607151521E-2</v>
      </c>
      <c r="E135" s="3">
        <f t="shared" si="47"/>
        <v>2.097303560579963E-2</v>
      </c>
      <c r="F135" s="3">
        <f t="shared" si="47"/>
        <v>2.0973035592280725E-2</v>
      </c>
      <c r="G135" s="3">
        <f t="shared" si="47"/>
        <v>2.0973035457091654E-2</v>
      </c>
      <c r="H135" s="3">
        <f t="shared" si="47"/>
        <v>2.097303410520102E-2</v>
      </c>
      <c r="I135" s="3">
        <f t="shared" si="47"/>
        <v>2.097302058629948E-2</v>
      </c>
      <c r="J135" s="3">
        <f t="shared" si="47"/>
        <v>2.0972885397763343E-2</v>
      </c>
      <c r="K135" s="3">
        <f t="shared" si="47"/>
        <v>2.0971533560328156E-2</v>
      </c>
      <c r="L135" s="3">
        <f t="shared" si="47"/>
        <v>2.0958019977453949E-2</v>
      </c>
      <c r="M135" s="3">
        <f t="shared" si="47"/>
        <v>2.0823362155694074E-2</v>
      </c>
      <c r="N135" s="3">
        <f t="shared" si="47"/>
        <v>1.9523463996043489E-2</v>
      </c>
      <c r="O135" s="3">
        <f t="shared" si="47"/>
        <v>1.0247480749722331E-2</v>
      </c>
      <c r="P135" s="3">
        <f t="shared" si="47"/>
        <v>1.626370408856512E-5</v>
      </c>
      <c r="Q135" s="3">
        <f t="shared" si="47"/>
        <v>1.6490848098343163E-33</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1.9327757440783085E-2</v>
      </c>
      <c r="C136" s="3">
        <f t="shared" si="49"/>
        <v>1.9327757440781961E-2</v>
      </c>
      <c r="D136" s="3">
        <f t="shared" si="49"/>
        <v>1.9327757440770723E-2</v>
      </c>
      <c r="E136" s="3">
        <f t="shared" si="49"/>
        <v>1.9327757440658337E-2</v>
      </c>
      <c r="F136" s="3">
        <f t="shared" si="49"/>
        <v>1.9327757439534486E-2</v>
      </c>
      <c r="G136" s="3">
        <f t="shared" si="49"/>
        <v>1.932775742829599E-2</v>
      </c>
      <c r="H136" s="3">
        <f t="shared" si="49"/>
        <v>1.9327757315910989E-2</v>
      </c>
      <c r="I136" s="3">
        <f t="shared" si="49"/>
        <v>1.932775619206106E-2</v>
      </c>
      <c r="J136" s="3">
        <f t="shared" si="49"/>
        <v>1.9327744953565321E-2</v>
      </c>
      <c r="K136" s="3">
        <f t="shared" si="49"/>
        <v>1.932763256896735E-2</v>
      </c>
      <c r="L136" s="3">
        <f t="shared" si="49"/>
        <v>1.9326508758928423E-2</v>
      </c>
      <c r="M136" s="3">
        <f t="shared" si="49"/>
        <v>1.9315274251844223E-2</v>
      </c>
      <c r="N136" s="3">
        <f t="shared" si="49"/>
        <v>1.9203287739632365E-2</v>
      </c>
      <c r="O136" s="3">
        <f t="shared" si="49"/>
        <v>1.8118518915675109E-2</v>
      </c>
      <c r="P136" s="3">
        <f t="shared" si="49"/>
        <v>1.0129633610784441E-2</v>
      </c>
      <c r="Q136" s="3">
        <f t="shared" si="49"/>
        <v>3.0220675802722416E-5</v>
      </c>
      <c r="R136" s="3">
        <f t="shared" si="49"/>
        <v>1.6881402280180165E-30</v>
      </c>
      <c r="S136" s="3">
        <f t="shared" si="49"/>
        <v>4.9940397105108051E-283</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2.3244089240932221E-2</v>
      </c>
      <c r="C137" s="3">
        <f t="shared" si="51"/>
        <v>2.32440892409321E-2</v>
      </c>
      <c r="D137" s="3">
        <f t="shared" si="51"/>
        <v>2.3244089240930878E-2</v>
      </c>
      <c r="E137" s="3">
        <f t="shared" si="51"/>
        <v>2.3244089240918687E-2</v>
      </c>
      <c r="F137" s="3">
        <f t="shared" si="51"/>
        <v>2.3244089240796767E-2</v>
      </c>
      <c r="G137" s="3">
        <f t="shared" si="51"/>
        <v>2.3244089239577534E-2</v>
      </c>
      <c r="H137" s="3">
        <f t="shared" si="51"/>
        <v>2.3244089227385224E-2</v>
      </c>
      <c r="I137" s="3">
        <f t="shared" si="51"/>
        <v>2.3244089105462124E-2</v>
      </c>
      <c r="J137" s="3">
        <f t="shared" si="51"/>
        <v>2.3244087886231161E-2</v>
      </c>
      <c r="K137" s="3">
        <f t="shared" si="51"/>
        <v>2.3244075693925025E-2</v>
      </c>
      <c r="L137" s="3">
        <f t="shared" si="51"/>
        <v>2.3243953771215416E-2</v>
      </c>
      <c r="M137" s="3">
        <f t="shared" si="51"/>
        <v>2.3242734579292615E-2</v>
      </c>
      <c r="N137" s="3">
        <f t="shared" si="51"/>
        <v>2.3230546176709395E-2</v>
      </c>
      <c r="O137" s="3">
        <f t="shared" si="51"/>
        <v>2.3109013133810936E-2</v>
      </c>
      <c r="P137" s="3">
        <f t="shared" si="51"/>
        <v>2.1928109271046443E-2</v>
      </c>
      <c r="Q137" s="3">
        <f t="shared" si="51"/>
        <v>1.2977739713005027E-2</v>
      </c>
      <c r="R137" s="3">
        <f t="shared" si="51"/>
        <v>6.841916785316016E-5</v>
      </c>
      <c r="S137" s="3">
        <f t="shared" si="51"/>
        <v>1.1349195323530742E-27</v>
      </c>
      <c r="T137" s="3">
        <f t="shared" si="51"/>
        <v>1.7899376242067627E-255</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2.4746587765442286E-2</v>
      </c>
      <c r="C138" s="3">
        <f t="shared" si="53"/>
        <v>2.4746587765442273E-2</v>
      </c>
      <c r="D138" s="3">
        <f t="shared" si="53"/>
        <v>2.4746587765442158E-2</v>
      </c>
      <c r="E138" s="3">
        <f t="shared" si="53"/>
        <v>2.4746587765440985E-2</v>
      </c>
      <c r="F138" s="3">
        <f t="shared" si="53"/>
        <v>2.4746587765429276E-2</v>
      </c>
      <c r="G138" s="3">
        <f t="shared" si="53"/>
        <v>2.4746587765312182E-2</v>
      </c>
      <c r="H138" s="3">
        <f t="shared" si="53"/>
        <v>2.474658776414124E-2</v>
      </c>
      <c r="I138" s="3">
        <f t="shared" si="53"/>
        <v>2.4746587752431819E-2</v>
      </c>
      <c r="J138" s="3">
        <f t="shared" si="53"/>
        <v>2.474658763533762E-2</v>
      </c>
      <c r="K138" s="3">
        <f t="shared" si="53"/>
        <v>2.4746586464395672E-2</v>
      </c>
      <c r="L138" s="3">
        <f t="shared" si="53"/>
        <v>2.4746574754979194E-2</v>
      </c>
      <c r="M138" s="3">
        <f t="shared" si="53"/>
        <v>2.4746457661119201E-2</v>
      </c>
      <c r="N138" s="3">
        <f t="shared" si="53"/>
        <v>2.4745286752991858E-2</v>
      </c>
      <c r="O138" s="3">
        <f t="shared" si="53"/>
        <v>2.4733580718446134E-2</v>
      </c>
      <c r="P138" s="3">
        <f t="shared" si="53"/>
        <v>2.4616824513032379E-2</v>
      </c>
      <c r="Q138" s="3">
        <f t="shared" si="53"/>
        <v>2.3479150665102245E-2</v>
      </c>
      <c r="R138" s="3">
        <f t="shared" si="53"/>
        <v>1.4628032368690034E-2</v>
      </c>
      <c r="S138" s="3">
        <f t="shared" si="53"/>
        <v>1.2889059022566722E-4</v>
      </c>
      <c r="T138" s="3">
        <f t="shared" si="53"/>
        <v>3.6355842244364402E-25</v>
      </c>
      <c r="U138" s="3">
        <f t="shared" si="53"/>
        <v>1.1590553832057178E-230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2.732649098071575E-2</v>
      </c>
      <c r="C139" s="3">
        <f t="shared" si="55"/>
        <v>2.732649098071575E-2</v>
      </c>
      <c r="D139" s="3">
        <f t="shared" si="55"/>
        <v>2.732649098071574E-2</v>
      </c>
      <c r="E139" s="3">
        <f t="shared" si="55"/>
        <v>2.7326490980715618E-2</v>
      </c>
      <c r="F139" s="3">
        <f t="shared" si="55"/>
        <v>2.7326490980714456E-2</v>
      </c>
      <c r="G139" s="3">
        <f t="shared" si="55"/>
        <v>2.7326490980702788E-2</v>
      </c>
      <c r="H139" s="3">
        <f t="shared" si="55"/>
        <v>2.7326490980586149E-2</v>
      </c>
      <c r="I139" s="3">
        <f t="shared" si="55"/>
        <v>2.7326490979419742E-2</v>
      </c>
      <c r="J139" s="3">
        <f t="shared" si="55"/>
        <v>2.7326490967755662E-2</v>
      </c>
      <c r="K139" s="3">
        <f t="shared" si="55"/>
        <v>2.7326490851114858E-2</v>
      </c>
      <c r="L139" s="3">
        <f t="shared" si="55"/>
        <v>2.7326489684706821E-2</v>
      </c>
      <c r="M139" s="3">
        <f t="shared" si="55"/>
        <v>2.7326478020629243E-2</v>
      </c>
      <c r="N139" s="3">
        <f t="shared" si="55"/>
        <v>2.7326361380127281E-2</v>
      </c>
      <c r="O139" s="3">
        <f t="shared" si="55"/>
        <v>2.7325195002490116E-2</v>
      </c>
      <c r="P139" s="3">
        <f t="shared" si="55"/>
        <v>2.7313533963930554E-2</v>
      </c>
      <c r="Q139" s="3">
        <f t="shared" si="55"/>
        <v>2.7197196927653197E-2</v>
      </c>
      <c r="R139" s="3">
        <f t="shared" si="55"/>
        <v>2.6060734677027023E-2</v>
      </c>
      <c r="S139" s="3">
        <f t="shared" si="55"/>
        <v>1.7006374679929655E-2</v>
      </c>
      <c r="T139" s="3">
        <f t="shared" si="55"/>
        <v>2.3815660293867349E-4</v>
      </c>
      <c r="U139" s="3">
        <f t="shared" si="55"/>
        <v>6.9083043904133968E-23</v>
      </c>
      <c r="V139" s="3">
        <f t="shared" si="55"/>
        <v>2.9138007166612943E-208</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2.134783107020306E-2</v>
      </c>
      <c r="C140" s="3">
        <f t="shared" si="57"/>
        <v>2.134783107020306E-2</v>
      </c>
      <c r="D140" s="3">
        <f t="shared" si="57"/>
        <v>2.134783107020306E-2</v>
      </c>
      <c r="E140" s="3">
        <f t="shared" si="57"/>
        <v>2.1347831070203049E-2</v>
      </c>
      <c r="F140" s="3">
        <f t="shared" si="57"/>
        <v>2.1347831070202966E-2</v>
      </c>
      <c r="G140" s="3">
        <f t="shared" si="57"/>
        <v>2.1347831070202147E-2</v>
      </c>
      <c r="H140" s="3">
        <f t="shared" si="57"/>
        <v>2.1347831070193925E-2</v>
      </c>
      <c r="I140" s="3">
        <f t="shared" si="57"/>
        <v>2.134783107011173E-2</v>
      </c>
      <c r="J140" s="3">
        <f t="shared" si="57"/>
        <v>2.1347831069289735E-2</v>
      </c>
      <c r="K140" s="3">
        <f t="shared" si="57"/>
        <v>2.1347831061069827E-2</v>
      </c>
      <c r="L140" s="3">
        <f t="shared" si="57"/>
        <v>2.1347830978870743E-2</v>
      </c>
      <c r="M140" s="3">
        <f t="shared" si="57"/>
        <v>2.1347830156879889E-2</v>
      </c>
      <c r="N140" s="3">
        <f t="shared" si="57"/>
        <v>2.134782193697312E-2</v>
      </c>
      <c r="O140" s="3">
        <f t="shared" si="57"/>
        <v>2.134773973807948E-2</v>
      </c>
      <c r="P140" s="3">
        <f t="shared" si="57"/>
        <v>2.1346917766550573E-2</v>
      </c>
      <c r="Q140" s="3">
        <f t="shared" si="57"/>
        <v>2.1338699791762086E-2</v>
      </c>
      <c r="R140" s="3">
        <f t="shared" si="57"/>
        <v>2.1256693846227078E-2</v>
      </c>
      <c r="S140" s="3">
        <f t="shared" si="57"/>
        <v>2.0453769544048647E-2</v>
      </c>
      <c r="T140" s="3">
        <f t="shared" si="57"/>
        <v>1.3917132639929849E-2</v>
      </c>
      <c r="U140" s="3">
        <f t="shared" si="57"/>
        <v>2.9601508713728773E-4</v>
      </c>
      <c r="V140" s="3">
        <f t="shared" si="57"/>
        <v>5.6098939030239137E-21</v>
      </c>
      <c r="W140" s="3">
        <f t="shared" si="57"/>
        <v>3.3524527083481928E-188</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3.0209322623129298E-2</v>
      </c>
      <c r="C141" s="3">
        <f t="shared" si="59"/>
        <v>3.0209322623129298E-2</v>
      </c>
      <c r="D141" s="3">
        <f t="shared" si="59"/>
        <v>3.0209322623129298E-2</v>
      </c>
      <c r="E141" s="3">
        <f t="shared" si="59"/>
        <v>3.0209322623129298E-2</v>
      </c>
      <c r="F141" s="3">
        <f t="shared" si="59"/>
        <v>3.0209322623129288E-2</v>
      </c>
      <c r="G141" s="3">
        <f t="shared" si="59"/>
        <v>3.020932262312918E-2</v>
      </c>
      <c r="H141" s="3">
        <f t="shared" si="59"/>
        <v>3.0209322623128133E-2</v>
      </c>
      <c r="I141" s="3">
        <f t="shared" si="59"/>
        <v>3.0209322623117641E-2</v>
      </c>
      <c r="J141" s="3">
        <f t="shared" si="59"/>
        <v>3.0209322623012711E-2</v>
      </c>
      <c r="K141" s="3">
        <f t="shared" si="59"/>
        <v>3.0209322621963405E-2</v>
      </c>
      <c r="L141" s="3">
        <f t="shared" si="59"/>
        <v>3.0209322611470378E-2</v>
      </c>
      <c r="M141" s="3">
        <f t="shared" si="59"/>
        <v>3.0209322506540102E-2</v>
      </c>
      <c r="N141" s="3">
        <f t="shared" si="59"/>
        <v>3.0209321457237367E-2</v>
      </c>
      <c r="O141" s="3">
        <f t="shared" si="59"/>
        <v>3.0209310964212002E-2</v>
      </c>
      <c r="P141" s="3">
        <f t="shared" si="59"/>
        <v>3.020920603415882E-2</v>
      </c>
      <c r="Q141" s="3">
        <f t="shared" si="59"/>
        <v>3.0208156753672527E-2</v>
      </c>
      <c r="R141" s="3">
        <f t="shared" si="59"/>
        <v>3.0197665953103085E-2</v>
      </c>
      <c r="S141" s="3">
        <f t="shared" si="59"/>
        <v>3.0092958119411223E-2</v>
      </c>
      <c r="T141" s="3">
        <f t="shared" si="59"/>
        <v>2.9065642099778161E-2</v>
      </c>
      <c r="U141" s="3">
        <f t="shared" si="59"/>
        <v>2.0536684439559756E-2</v>
      </c>
      <c r="V141" s="3">
        <f t="shared" si="59"/>
        <v>6.3684598268924501E-4</v>
      </c>
      <c r="W141" s="3">
        <f t="shared" si="59"/>
        <v>5.2369116846094203E-19</v>
      </c>
      <c r="X141" s="3">
        <f t="shared" si="59"/>
        <v>7.4042933120270195E-170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3.3829577920917731E-2</v>
      </c>
      <c r="C142" s="3">
        <f t="shared" si="61"/>
        <v>3.3829577920917731E-2</v>
      </c>
      <c r="D142" s="3">
        <f t="shared" si="61"/>
        <v>3.3829577920917731E-2</v>
      </c>
      <c r="E142" s="3">
        <f t="shared" si="61"/>
        <v>3.3829577920917731E-2</v>
      </c>
      <c r="F142" s="3">
        <f t="shared" si="61"/>
        <v>3.3829577920917731E-2</v>
      </c>
      <c r="G142" s="3">
        <f t="shared" si="61"/>
        <v>3.3829577920917717E-2</v>
      </c>
      <c r="H142" s="3">
        <f t="shared" si="61"/>
        <v>3.3829577920917613E-2</v>
      </c>
      <c r="I142" s="3">
        <f t="shared" si="61"/>
        <v>3.3829577920916551E-2</v>
      </c>
      <c r="J142" s="3">
        <f t="shared" si="61"/>
        <v>3.3829577920905955E-2</v>
      </c>
      <c r="K142" s="3">
        <f t="shared" si="61"/>
        <v>3.3829577920799957E-2</v>
      </c>
      <c r="L142" s="3">
        <f t="shared" si="61"/>
        <v>3.3829577919739957E-2</v>
      </c>
      <c r="M142" s="3">
        <f t="shared" si="61"/>
        <v>3.3829577909140034E-2</v>
      </c>
      <c r="N142" s="3">
        <f t="shared" si="61"/>
        <v>3.3829577803140734E-2</v>
      </c>
      <c r="O142" s="3">
        <f t="shared" si="61"/>
        <v>3.3829576743147752E-2</v>
      </c>
      <c r="P142" s="3">
        <f t="shared" si="61"/>
        <v>3.3829566143219768E-2</v>
      </c>
      <c r="Q142" s="3">
        <f t="shared" si="61"/>
        <v>3.3829460144122615E-2</v>
      </c>
      <c r="R142" s="3">
        <f t="shared" si="61"/>
        <v>3.3828400171418103E-2</v>
      </c>
      <c r="S142" s="3">
        <f t="shared" si="61"/>
        <v>3.3817802270858156E-2</v>
      </c>
      <c r="T142" s="3">
        <f t="shared" si="61"/>
        <v>3.3712005702208156E-2</v>
      </c>
      <c r="U142" s="3">
        <f t="shared" si="61"/>
        <v>3.2672073966474452E-2</v>
      </c>
      <c r="V142" s="3">
        <f t="shared" si="61"/>
        <v>2.3883491850339174E-2</v>
      </c>
      <c r="W142" s="3">
        <f t="shared" si="61"/>
        <v>1.0406603577800106E-3</v>
      </c>
      <c r="X142" s="3">
        <f t="shared" si="61"/>
        <v>2.5669706193355942E-17</v>
      </c>
      <c r="Y142" s="3">
        <f t="shared" si="61"/>
        <v>2.1406209205600001E-153</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3.878496748676441E-2</v>
      </c>
      <c r="C143" s="3">
        <f t="shared" si="63"/>
        <v>3.878496748676441E-2</v>
      </c>
      <c r="D143" s="3">
        <f t="shared" si="63"/>
        <v>3.878496748676441E-2</v>
      </c>
      <c r="E143" s="3">
        <f t="shared" si="63"/>
        <v>3.878496748676441E-2</v>
      </c>
      <c r="F143" s="3">
        <f t="shared" si="63"/>
        <v>3.878496748676441E-2</v>
      </c>
      <c r="G143" s="3">
        <f t="shared" si="63"/>
        <v>3.878496748676441E-2</v>
      </c>
      <c r="H143" s="3">
        <f t="shared" si="63"/>
        <v>3.8784967486764396E-2</v>
      </c>
      <c r="I143" s="3">
        <f t="shared" si="63"/>
        <v>3.8784967486764292E-2</v>
      </c>
      <c r="J143" s="3">
        <f t="shared" si="63"/>
        <v>3.8784967486763189E-2</v>
      </c>
      <c r="K143" s="3">
        <f t="shared" si="63"/>
        <v>3.8784967486752225E-2</v>
      </c>
      <c r="L143" s="3">
        <f t="shared" si="63"/>
        <v>3.8784967486642605E-2</v>
      </c>
      <c r="M143" s="3">
        <f t="shared" si="63"/>
        <v>3.8784967485546336E-2</v>
      </c>
      <c r="N143" s="3">
        <f t="shared" si="63"/>
        <v>3.8784967474583661E-2</v>
      </c>
      <c r="O143" s="3">
        <f t="shared" si="63"/>
        <v>3.8784967364956936E-2</v>
      </c>
      <c r="P143" s="3">
        <f t="shared" si="63"/>
        <v>3.8784966268689706E-2</v>
      </c>
      <c r="Q143" s="3">
        <f t="shared" si="63"/>
        <v>3.8784955306019074E-2</v>
      </c>
      <c r="R143" s="3">
        <f t="shared" si="63"/>
        <v>3.878484567948319E-2</v>
      </c>
      <c r="S143" s="3">
        <f t="shared" si="63"/>
        <v>3.8783749431166629E-2</v>
      </c>
      <c r="T143" s="3">
        <f t="shared" si="63"/>
        <v>3.8772788652048404E-2</v>
      </c>
      <c r="U143" s="3">
        <f t="shared" si="63"/>
        <v>3.8663351087530787E-2</v>
      </c>
      <c r="V143" s="3">
        <f t="shared" si="63"/>
        <v>3.7585821421228592E-2</v>
      </c>
      <c r="W143" s="3">
        <f t="shared" si="63"/>
        <v>2.8331500382600728E-2</v>
      </c>
      <c r="X143" s="3">
        <f t="shared" si="63"/>
        <v>1.677740776788931E-3</v>
      </c>
      <c r="Y143" s="3">
        <f t="shared" si="63"/>
        <v>8.8976990962849905E-16</v>
      </c>
      <c r="Z143" s="3">
        <f t="shared" si="63"/>
        <v>1.5660522968658293E-138</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2.3192888824780992E-2</v>
      </c>
      <c r="C144" s="3">
        <f t="shared" si="65"/>
        <v>2.3192888824780992E-2</v>
      </c>
      <c r="D144" s="3">
        <f t="shared" si="65"/>
        <v>2.3192888824780992E-2</v>
      </c>
      <c r="E144" s="3">
        <f t="shared" si="65"/>
        <v>2.3192888824780992E-2</v>
      </c>
      <c r="F144" s="3">
        <f t="shared" si="65"/>
        <v>2.3192888824780992E-2</v>
      </c>
      <c r="G144" s="3">
        <f t="shared" si="65"/>
        <v>2.3192888824780992E-2</v>
      </c>
      <c r="H144" s="3">
        <f t="shared" si="65"/>
        <v>2.3192888824780992E-2</v>
      </c>
      <c r="I144" s="3">
        <f t="shared" si="65"/>
        <v>2.3192888824780985E-2</v>
      </c>
      <c r="J144" s="3">
        <f t="shared" si="65"/>
        <v>2.3192888824780926E-2</v>
      </c>
      <c r="K144" s="3">
        <f t="shared" si="65"/>
        <v>2.3192888824780336E-2</v>
      </c>
      <c r="L144" s="3">
        <f t="shared" si="65"/>
        <v>2.3192888824774421E-2</v>
      </c>
      <c r="M144" s="3">
        <f t="shared" si="65"/>
        <v>2.3192888824715284E-2</v>
      </c>
      <c r="N144" s="3">
        <f t="shared" si="65"/>
        <v>2.319288882412392E-2</v>
      </c>
      <c r="O144" s="3">
        <f t="shared" si="65"/>
        <v>2.3192888818210289E-2</v>
      </c>
      <c r="P144" s="3">
        <f t="shared" si="65"/>
        <v>2.3192888759073948E-2</v>
      </c>
      <c r="Q144" s="3">
        <f t="shared" si="65"/>
        <v>2.3192888167710552E-2</v>
      </c>
      <c r="R144" s="3">
        <f t="shared" si="65"/>
        <v>2.3192882254077413E-2</v>
      </c>
      <c r="S144" s="3">
        <f t="shared" si="65"/>
        <v>2.3192823117828963E-2</v>
      </c>
      <c r="T144" s="3">
        <f t="shared" si="65"/>
        <v>2.319223176363748E-2</v>
      </c>
      <c r="U144" s="3">
        <f t="shared" si="65"/>
        <v>2.3186319050945415E-2</v>
      </c>
      <c r="V144" s="3">
        <f t="shared" si="65"/>
        <v>2.3127274768124057E-2</v>
      </c>
      <c r="W144" s="3">
        <f t="shared" si="65"/>
        <v>2.2545038723918873E-2</v>
      </c>
      <c r="X144" s="3">
        <f t="shared" si="65"/>
        <v>1.7470938709766452E-2</v>
      </c>
      <c r="Y144" s="3">
        <f t="shared" si="65"/>
        <v>1.3644850628322003E-3</v>
      </c>
      <c r="Z144" s="3">
        <f t="shared" si="65"/>
        <v>1.1521107841860754E-14</v>
      </c>
      <c r="AA144" s="3">
        <f t="shared" ref="AA144" si="66">$C30*EXP(-AA$129/$A30/EXP(-$B$126))</f>
        <v>2.1220167233317409E-125</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3.3182413237330913E-2</v>
      </c>
      <c r="C145" s="3">
        <f t="shared" si="68"/>
        <v>3.3182413237330913E-2</v>
      </c>
      <c r="D145" s="3">
        <f t="shared" si="68"/>
        <v>3.3182413237330913E-2</v>
      </c>
      <c r="E145" s="3">
        <f t="shared" si="68"/>
        <v>3.3182413237330913E-2</v>
      </c>
      <c r="F145" s="3">
        <f t="shared" si="68"/>
        <v>3.3182413237330913E-2</v>
      </c>
      <c r="G145" s="3">
        <f t="shared" si="68"/>
        <v>3.3182413237330913E-2</v>
      </c>
      <c r="H145" s="3">
        <f t="shared" si="68"/>
        <v>3.3182413237330913E-2</v>
      </c>
      <c r="I145" s="3">
        <f t="shared" si="68"/>
        <v>3.3182413237330913E-2</v>
      </c>
      <c r="J145" s="3">
        <f t="shared" si="68"/>
        <v>3.3182413237330906E-2</v>
      </c>
      <c r="K145" s="3">
        <f t="shared" si="68"/>
        <v>3.3182413237330829E-2</v>
      </c>
      <c r="L145" s="3">
        <f t="shared" si="68"/>
        <v>3.3182413237330066E-2</v>
      </c>
      <c r="M145" s="3">
        <f t="shared" si="68"/>
        <v>3.3182413237322433E-2</v>
      </c>
      <c r="N145" s="3">
        <f t="shared" si="68"/>
        <v>3.3182413237246113E-2</v>
      </c>
      <c r="O145" s="3">
        <f t="shared" si="68"/>
        <v>3.3182413236482883E-2</v>
      </c>
      <c r="P145" s="3">
        <f t="shared" si="68"/>
        <v>3.3182413228850606E-2</v>
      </c>
      <c r="Q145" s="3">
        <f t="shared" si="68"/>
        <v>3.3182413152527832E-2</v>
      </c>
      <c r="R145" s="3">
        <f t="shared" si="68"/>
        <v>3.318241238930008E-2</v>
      </c>
      <c r="S145" s="3">
        <f t="shared" si="68"/>
        <v>3.318240475702354E-2</v>
      </c>
      <c r="T145" s="3">
        <f t="shared" si="68"/>
        <v>3.3182328434354695E-2</v>
      </c>
      <c r="U145" s="3">
        <f t="shared" si="68"/>
        <v>3.3181565217321449E-2</v>
      </c>
      <c r="V145" s="3">
        <f t="shared" si="68"/>
        <v>3.3173934012421587E-2</v>
      </c>
      <c r="W145" s="3">
        <f t="shared" si="68"/>
        <v>3.3097718424574742E-2</v>
      </c>
      <c r="X145" s="3">
        <f t="shared" si="68"/>
        <v>3.2345127071999574E-2</v>
      </c>
      <c r="Y145" s="3">
        <f t="shared" si="68"/>
        <v>2.5699040513438558E-2</v>
      </c>
      <c r="Z145" s="3">
        <f t="shared" si="68"/>
        <v>2.5763056308986351E-3</v>
      </c>
      <c r="AA145" s="3">
        <f t="shared" ref="AA145" si="69">$C31*EXP(-AA$129/$A31/EXP(-$B$126))</f>
        <v>2.6412050546499644E-13</v>
      </c>
      <c r="AB145" s="3">
        <f t="shared" si="67"/>
        <v>3.3872674580485561E-113</v>
      </c>
      <c r="AC145" s="3">
        <f t="shared" si="67"/>
        <v>0</v>
      </c>
      <c r="AD145" s="3">
        <f t="shared" si="67"/>
        <v>0</v>
      </c>
      <c r="AE145" s="3">
        <f t="shared" si="67"/>
        <v>0</v>
      </c>
      <c r="AF145" s="3">
        <f t="shared" si="67"/>
        <v>0</v>
      </c>
    </row>
    <row r="146" spans="1:32" x14ac:dyDescent="0.25">
      <c r="B146" s="3">
        <f t="shared" ref="B146:Z146" si="70">$C32*EXP(-B$129/$A32/EXP(-$B$126))</f>
        <v>2.0402015949426134E-2</v>
      </c>
      <c r="C146" s="3">
        <f t="shared" si="70"/>
        <v>2.0402015949426134E-2</v>
      </c>
      <c r="D146" s="3">
        <f t="shared" si="70"/>
        <v>2.0402015949426134E-2</v>
      </c>
      <c r="E146" s="3">
        <f t="shared" si="70"/>
        <v>2.0402015949426134E-2</v>
      </c>
      <c r="F146" s="3">
        <f t="shared" si="70"/>
        <v>2.0402015949426134E-2</v>
      </c>
      <c r="G146" s="3">
        <f t="shared" si="70"/>
        <v>2.0402015949426134E-2</v>
      </c>
      <c r="H146" s="3">
        <f t="shared" si="70"/>
        <v>2.0402015949426134E-2</v>
      </c>
      <c r="I146" s="3">
        <f t="shared" si="70"/>
        <v>2.0402015949426134E-2</v>
      </c>
      <c r="J146" s="3">
        <f t="shared" si="70"/>
        <v>2.0402015949426134E-2</v>
      </c>
      <c r="K146" s="3">
        <f t="shared" si="70"/>
        <v>2.0402015949426131E-2</v>
      </c>
      <c r="L146" s="3">
        <f t="shared" si="70"/>
        <v>2.0402015949426085E-2</v>
      </c>
      <c r="M146" s="3">
        <f t="shared" si="70"/>
        <v>2.0402015949425662E-2</v>
      </c>
      <c r="N146" s="3">
        <f t="shared" si="70"/>
        <v>2.0402015949421429E-2</v>
      </c>
      <c r="O146" s="3">
        <f t="shared" si="70"/>
        <v>2.0402015949379099E-2</v>
      </c>
      <c r="P146" s="3">
        <f t="shared" si="70"/>
        <v>2.0402015948955781E-2</v>
      </c>
      <c r="Q146" s="3">
        <f t="shared" si="70"/>
        <v>2.0402015944722608E-2</v>
      </c>
      <c r="R146" s="3">
        <f t="shared" si="70"/>
        <v>2.0402015902390894E-2</v>
      </c>
      <c r="S146" s="3">
        <f t="shared" si="70"/>
        <v>2.0402015479073748E-2</v>
      </c>
      <c r="T146" s="3">
        <f t="shared" si="70"/>
        <v>2.0402011245902775E-2</v>
      </c>
      <c r="U146" s="3">
        <f t="shared" si="70"/>
        <v>2.0401968914241314E-2</v>
      </c>
      <c r="V146" s="3">
        <f t="shared" si="70"/>
        <v>2.0401545602457532E-2</v>
      </c>
      <c r="W146" s="3">
        <f t="shared" si="70"/>
        <v>2.0397312967661032E-2</v>
      </c>
      <c r="X146" s="3">
        <f t="shared" si="70"/>
        <v>2.0355034886766293E-2</v>
      </c>
      <c r="Y146" s="3">
        <f t="shared" si="70"/>
        <v>1.9937043934719078E-2</v>
      </c>
      <c r="Z146" s="3">
        <f t="shared" si="70"/>
        <v>1.6201301883624064E-2</v>
      </c>
      <c r="AA146" s="3">
        <f t="shared" ref="AA146" si="71">$C32*EXP(-AA$129/$A32/EXP(-$B$126))</f>
        <v>2.03442366768182E-3</v>
      </c>
      <c r="AB146" s="3">
        <f t="shared" si="67"/>
        <v>1.9831531376018659E-12</v>
      </c>
      <c r="AC146" s="3">
        <f t="shared" si="67"/>
        <v>1.5364016654692132E-102</v>
      </c>
      <c r="AD146" s="3">
        <f t="shared" si="67"/>
        <v>0</v>
      </c>
      <c r="AE146" s="3">
        <f t="shared" si="67"/>
        <v>0</v>
      </c>
      <c r="AF146" s="3">
        <f t="shared" si="67"/>
        <v>0</v>
      </c>
    </row>
    <row r="147" spans="1:32" x14ac:dyDescent="0.25">
      <c r="B147" s="3">
        <f t="shared" ref="B147:Z147" si="72">$C33*EXP(-B$129/$A33/EXP(-$B$126))</f>
        <v>6.6904612026051358E-2</v>
      </c>
      <c r="C147" s="3">
        <f t="shared" si="72"/>
        <v>6.6904612026051358E-2</v>
      </c>
      <c r="D147" s="3">
        <f t="shared" si="72"/>
        <v>6.6904612026051358E-2</v>
      </c>
      <c r="E147" s="3">
        <f t="shared" si="72"/>
        <v>6.6904612026051358E-2</v>
      </c>
      <c r="F147" s="3">
        <f t="shared" si="72"/>
        <v>6.6904612026051358E-2</v>
      </c>
      <c r="G147" s="3">
        <f t="shared" si="72"/>
        <v>6.6904612026051358E-2</v>
      </c>
      <c r="H147" s="3">
        <f t="shared" si="72"/>
        <v>6.6904612026051358E-2</v>
      </c>
      <c r="I147" s="3">
        <f t="shared" si="72"/>
        <v>6.6904612026051358E-2</v>
      </c>
      <c r="J147" s="3">
        <f t="shared" si="72"/>
        <v>6.6904612026051358E-2</v>
      </c>
      <c r="K147" s="3">
        <f t="shared" si="72"/>
        <v>6.6904612026051358E-2</v>
      </c>
      <c r="L147" s="3">
        <f t="shared" si="72"/>
        <v>6.6904612026051344E-2</v>
      </c>
      <c r="M147" s="3">
        <f t="shared" si="72"/>
        <v>6.6904612026051219E-2</v>
      </c>
      <c r="N147" s="3">
        <f t="shared" si="72"/>
        <v>6.690461202604997E-2</v>
      </c>
      <c r="O147" s="3">
        <f t="shared" si="72"/>
        <v>6.6904612026037452E-2</v>
      </c>
      <c r="P147" s="3">
        <f t="shared" si="72"/>
        <v>6.6904612025912219E-2</v>
      </c>
      <c r="Q147" s="3">
        <f t="shared" si="72"/>
        <v>6.6904612024659957E-2</v>
      </c>
      <c r="R147" s="3">
        <f t="shared" si="72"/>
        <v>6.6904612012137321E-2</v>
      </c>
      <c r="S147" s="3">
        <f t="shared" si="72"/>
        <v>6.6904611886911061E-2</v>
      </c>
      <c r="T147" s="3">
        <f t="shared" si="72"/>
        <v>6.690461063464842E-2</v>
      </c>
      <c r="U147" s="3">
        <f t="shared" si="72"/>
        <v>6.6904598112023289E-2</v>
      </c>
      <c r="V147" s="3">
        <f t="shared" si="72"/>
        <v>6.6904472885900887E-2</v>
      </c>
      <c r="W147" s="3">
        <f t="shared" si="72"/>
        <v>6.6903220637568109E-2</v>
      </c>
      <c r="X147" s="3">
        <f t="shared" si="72"/>
        <v>6.6890699443273416E-2</v>
      </c>
      <c r="Y147" s="3">
        <f t="shared" si="72"/>
        <v>6.6765616314412857E-2</v>
      </c>
      <c r="Z147" s="3">
        <f t="shared" si="72"/>
        <v>6.5527577671174245E-2</v>
      </c>
      <c r="AA147" s="3">
        <f t="shared" ref="AA147" si="73">$C33*EXP(-AA$129/$A33/EXP(-$B$126))</f>
        <v>5.4342126530888421E-2</v>
      </c>
      <c r="AB147" s="3">
        <f t="shared" si="67"/>
        <v>8.3610685474050737E-3</v>
      </c>
      <c r="AC147" s="3">
        <f t="shared" si="67"/>
        <v>6.2160332691775314E-11</v>
      </c>
      <c r="AD147" s="3">
        <f t="shared" si="67"/>
        <v>3.2064818991522841E-92</v>
      </c>
      <c r="AE147" s="3">
        <f t="shared" si="67"/>
        <v>0</v>
      </c>
      <c r="AF147" s="3">
        <f t="shared" si="67"/>
        <v>0</v>
      </c>
    </row>
    <row r="148" spans="1:32" x14ac:dyDescent="0.25">
      <c r="B148" s="3">
        <f t="shared" ref="B148:Z148" si="74">$C34*EXP(-B$129/$A34/EXP(-$B$126))</f>
        <v>9.6702955914687194E-2</v>
      </c>
      <c r="C148" s="3">
        <f t="shared" si="74"/>
        <v>9.6702955914687194E-2</v>
      </c>
      <c r="D148" s="3">
        <f t="shared" si="74"/>
        <v>9.6702955914687194E-2</v>
      </c>
      <c r="E148" s="3">
        <f t="shared" si="74"/>
        <v>9.6702955914687194E-2</v>
      </c>
      <c r="F148" s="3">
        <f t="shared" si="74"/>
        <v>9.6702955914687194E-2</v>
      </c>
      <c r="G148" s="3">
        <f t="shared" si="74"/>
        <v>9.6702955914687194E-2</v>
      </c>
      <c r="H148" s="3">
        <f t="shared" si="74"/>
        <v>9.6702955914687194E-2</v>
      </c>
      <c r="I148" s="3">
        <f t="shared" si="74"/>
        <v>9.6702955914687194E-2</v>
      </c>
      <c r="J148" s="3">
        <f t="shared" si="74"/>
        <v>9.6702955914687194E-2</v>
      </c>
      <c r="K148" s="3">
        <f t="shared" si="74"/>
        <v>9.6702955914687194E-2</v>
      </c>
      <c r="L148" s="3">
        <f t="shared" si="74"/>
        <v>9.6702955914687194E-2</v>
      </c>
      <c r="M148" s="3">
        <f t="shared" si="74"/>
        <v>9.6702955914687166E-2</v>
      </c>
      <c r="N148" s="3">
        <f t="shared" si="74"/>
        <v>9.6702955914687014E-2</v>
      </c>
      <c r="O148" s="3">
        <f t="shared" si="74"/>
        <v>9.6702955914685376E-2</v>
      </c>
      <c r="P148" s="3">
        <f t="shared" si="74"/>
        <v>9.6702955914669056E-2</v>
      </c>
      <c r="Q148" s="3">
        <f t="shared" si="74"/>
        <v>9.670295591450577E-2</v>
      </c>
      <c r="R148" s="3">
        <f t="shared" si="74"/>
        <v>9.6702955912873007E-2</v>
      </c>
      <c r="S148" s="3">
        <f t="shared" si="74"/>
        <v>9.6702955896545276E-2</v>
      </c>
      <c r="T148" s="3">
        <f t="shared" si="74"/>
        <v>9.6702955733268009E-2</v>
      </c>
      <c r="U148" s="3">
        <f t="shared" si="74"/>
        <v>9.6702954100495384E-2</v>
      </c>
      <c r="V148" s="3">
        <f t="shared" si="74"/>
        <v>9.6702937772770711E-2</v>
      </c>
      <c r="W148" s="3">
        <f t="shared" si="74"/>
        <v>9.6702774495675575E-2</v>
      </c>
      <c r="X148" s="3">
        <f t="shared" si="74"/>
        <v>9.6701141739886642E-2</v>
      </c>
      <c r="Y148" s="3">
        <f t="shared" si="74"/>
        <v>9.6684815698154611E-2</v>
      </c>
      <c r="Z148" s="3">
        <f t="shared" si="74"/>
        <v>9.6521706801875107E-2</v>
      </c>
      <c r="AA148" s="3">
        <f>$C34*EXP(-AA$129/$A34/EXP(-$B$126))</f>
        <v>9.4905675710448723E-2</v>
      </c>
      <c r="AB148" s="3">
        <f t="shared" si="67"/>
        <v>8.016118195035507E-2</v>
      </c>
      <c r="AC148" s="3">
        <f t="shared" si="67"/>
        <v>1.4814376468093447E-2</v>
      </c>
      <c r="AD148" s="3">
        <f t="shared" si="67"/>
        <v>6.8845573947000053E-10</v>
      </c>
      <c r="AE148" s="3">
        <f t="shared" si="67"/>
        <v>3.2344653625772559E-83</v>
      </c>
      <c r="AF148" s="3">
        <f t="shared" si="67"/>
        <v>0</v>
      </c>
    </row>
    <row r="149" spans="1:32" x14ac:dyDescent="0.25">
      <c r="B149" s="3">
        <f t="shared" ref="B149:Z149" si="75">$C35*EXP(-B$129/$A35/EXP(-$B$126))</f>
        <v>8.3641263972904237E-2</v>
      </c>
      <c r="C149" s="3">
        <f t="shared" si="75"/>
        <v>8.3641263972904237E-2</v>
      </c>
      <c r="D149" s="3">
        <f t="shared" si="75"/>
        <v>8.3641263972904237E-2</v>
      </c>
      <c r="E149" s="3">
        <f t="shared" si="75"/>
        <v>8.3641263972904237E-2</v>
      </c>
      <c r="F149" s="3">
        <f t="shared" si="75"/>
        <v>8.3641263972904237E-2</v>
      </c>
      <c r="G149" s="3">
        <f t="shared" si="75"/>
        <v>8.3641263972904237E-2</v>
      </c>
      <c r="H149" s="3">
        <f t="shared" si="75"/>
        <v>8.3641263972904237E-2</v>
      </c>
      <c r="I149" s="3">
        <f t="shared" si="75"/>
        <v>8.3641263972904237E-2</v>
      </c>
      <c r="J149" s="3">
        <f t="shared" si="75"/>
        <v>8.3641263972904237E-2</v>
      </c>
      <c r="K149" s="3">
        <f t="shared" si="75"/>
        <v>8.3641263972904237E-2</v>
      </c>
      <c r="L149" s="3">
        <f t="shared" si="75"/>
        <v>8.3641263972904237E-2</v>
      </c>
      <c r="M149" s="3">
        <f t="shared" si="75"/>
        <v>8.3641263972904237E-2</v>
      </c>
      <c r="N149" s="3">
        <f t="shared" si="75"/>
        <v>8.3641263972904223E-2</v>
      </c>
      <c r="O149" s="3">
        <f t="shared" si="75"/>
        <v>8.3641263972904098E-2</v>
      </c>
      <c r="P149" s="3">
        <f t="shared" si="75"/>
        <v>8.3641263972902821E-2</v>
      </c>
      <c r="Q149" s="3">
        <f t="shared" si="75"/>
        <v>8.3641263972890081E-2</v>
      </c>
      <c r="R149" s="3">
        <f t="shared" si="75"/>
        <v>8.3641263972762683E-2</v>
      </c>
      <c r="S149" s="3">
        <f t="shared" si="75"/>
        <v>8.364126397148873E-2</v>
      </c>
      <c r="T149" s="3">
        <f t="shared" si="75"/>
        <v>8.3641263958749212E-2</v>
      </c>
      <c r="U149" s="3">
        <f t="shared" si="75"/>
        <v>8.3641263831353993E-2</v>
      </c>
      <c r="V149" s="3">
        <f t="shared" si="75"/>
        <v>8.3641262557401772E-2</v>
      </c>
      <c r="W149" s="3">
        <f t="shared" si="75"/>
        <v>8.3641249817880695E-2</v>
      </c>
      <c r="X149" s="3">
        <f t="shared" si="75"/>
        <v>8.3641122422776631E-2</v>
      </c>
      <c r="Y149" s="3">
        <f t="shared" si="75"/>
        <v>8.3639848482407964E-2</v>
      </c>
      <c r="Z149" s="3">
        <f t="shared" si="75"/>
        <v>8.3627110145860856E-2</v>
      </c>
      <c r="AA149" s="3">
        <f t="shared" ref="AA149" si="76">$C35*EXP(-AA$129/$A35/EXP(-$B$126))</f>
        <v>8.3499833434224596E-2</v>
      </c>
      <c r="AB149" s="3">
        <f t="shared" si="67"/>
        <v>8.2237671840424409E-2</v>
      </c>
      <c r="AC149" s="3">
        <f t="shared" si="67"/>
        <v>7.0619198513392142E-2</v>
      </c>
      <c r="AD149" s="3">
        <f t="shared" si="67"/>
        <v>1.5397228611239676E-2</v>
      </c>
      <c r="AE149" s="3">
        <f t="shared" si="67"/>
        <v>3.7380085955754775E-9</v>
      </c>
      <c r="AF149" s="3">
        <f t="shared" si="67"/>
        <v>2.6583837431846018E-75</v>
      </c>
    </row>
    <row r="150" spans="1:32" x14ac:dyDescent="0.25">
      <c r="B150" s="3">
        <f t="shared" ref="B150:Z150" si="77">$C36*EXP(-B$129/$A36/EXP(-$B$126))</f>
        <v>5.9421998861156927E-2</v>
      </c>
      <c r="C150" s="3">
        <f t="shared" si="77"/>
        <v>5.9421998861156927E-2</v>
      </c>
      <c r="D150" s="3">
        <f t="shared" si="77"/>
        <v>5.9421998861156927E-2</v>
      </c>
      <c r="E150" s="3">
        <f t="shared" si="77"/>
        <v>5.9421998861156927E-2</v>
      </c>
      <c r="F150" s="3">
        <f t="shared" si="77"/>
        <v>5.9421998861156927E-2</v>
      </c>
      <c r="G150" s="3">
        <f t="shared" si="77"/>
        <v>5.9421998861156927E-2</v>
      </c>
      <c r="H150" s="3">
        <f t="shared" si="77"/>
        <v>5.9421998861156927E-2</v>
      </c>
      <c r="I150" s="3">
        <f t="shared" si="77"/>
        <v>5.9421998861156927E-2</v>
      </c>
      <c r="J150" s="3">
        <f t="shared" si="77"/>
        <v>5.9421998861156927E-2</v>
      </c>
      <c r="K150" s="3">
        <f t="shared" si="77"/>
        <v>5.9421998861156927E-2</v>
      </c>
      <c r="L150" s="3">
        <f t="shared" si="77"/>
        <v>5.9421998861156927E-2</v>
      </c>
      <c r="M150" s="3">
        <f t="shared" si="77"/>
        <v>5.9421998861156927E-2</v>
      </c>
      <c r="N150" s="3">
        <f t="shared" si="77"/>
        <v>5.9421998861156927E-2</v>
      </c>
      <c r="O150" s="3">
        <f t="shared" si="77"/>
        <v>5.942199886115692E-2</v>
      </c>
      <c r="P150" s="3">
        <f t="shared" si="77"/>
        <v>5.9421998861156837E-2</v>
      </c>
      <c r="Q150" s="3">
        <f t="shared" si="77"/>
        <v>5.9421998861156018E-2</v>
      </c>
      <c r="R150" s="3">
        <f t="shared" si="77"/>
        <v>5.9421998861147858E-2</v>
      </c>
      <c r="S150" s="3">
        <f t="shared" si="77"/>
        <v>5.9421998861066208E-2</v>
      </c>
      <c r="T150" s="3">
        <f t="shared" si="77"/>
        <v>5.9421998860249764E-2</v>
      </c>
      <c r="U150" s="3">
        <f t="shared" si="77"/>
        <v>5.942199885208533E-2</v>
      </c>
      <c r="V150" s="3">
        <f t="shared" si="77"/>
        <v>5.9421998770440923E-2</v>
      </c>
      <c r="W150" s="3">
        <f t="shared" si="77"/>
        <v>5.9421997953996934E-2</v>
      </c>
      <c r="X150" s="3">
        <f t="shared" si="77"/>
        <v>5.9421989789557608E-2</v>
      </c>
      <c r="Y150" s="3">
        <f t="shared" si="77"/>
        <v>5.9421908145226007E-2</v>
      </c>
      <c r="Z150" s="3">
        <f t="shared" si="77"/>
        <v>5.9421091708079764E-2</v>
      </c>
      <c r="AA150" s="3">
        <f t="shared" ref="AA150" si="78">$C36*EXP(-AA$129/$A36/EXP(-$B$126))</f>
        <v>5.9412927953558431E-2</v>
      </c>
      <c r="AB150" s="3">
        <f t="shared" si="67"/>
        <v>5.9331352071103634E-2</v>
      </c>
      <c r="AC150" s="3">
        <f t="shared" si="67"/>
        <v>5.8521728289716433E-2</v>
      </c>
      <c r="AD150" s="3">
        <f t="shared" si="67"/>
        <v>5.100891948514636E-2</v>
      </c>
      <c r="AE150" s="3">
        <f t="shared" si="67"/>
        <v>1.291028798776734E-2</v>
      </c>
      <c r="AF150" s="3">
        <f t="shared" si="67"/>
        <v>1.3926243705969311E-8</v>
      </c>
    </row>
    <row r="151" spans="1:32" x14ac:dyDescent="0.25">
      <c r="B151" s="3">
        <f t="shared" ref="B151:Z151" si="79">$C37*EXP(-B$129/$A37/EXP(-$B$126))</f>
        <v>5.182495758409756E-2</v>
      </c>
      <c r="C151" s="3">
        <f t="shared" si="79"/>
        <v>5.182495758409756E-2</v>
      </c>
      <c r="D151" s="3">
        <f t="shared" si="79"/>
        <v>5.182495758409756E-2</v>
      </c>
      <c r="E151" s="3">
        <f t="shared" si="79"/>
        <v>5.182495758409756E-2</v>
      </c>
      <c r="F151" s="3">
        <f t="shared" si="79"/>
        <v>5.182495758409756E-2</v>
      </c>
      <c r="G151" s="3">
        <f t="shared" si="79"/>
        <v>5.182495758409756E-2</v>
      </c>
      <c r="H151" s="3">
        <f t="shared" si="79"/>
        <v>5.182495758409756E-2</v>
      </c>
      <c r="I151" s="3">
        <f t="shared" si="79"/>
        <v>5.182495758409756E-2</v>
      </c>
      <c r="J151" s="3">
        <f t="shared" si="79"/>
        <v>5.182495758409756E-2</v>
      </c>
      <c r="K151" s="3">
        <f t="shared" si="79"/>
        <v>5.182495758409756E-2</v>
      </c>
      <c r="L151" s="3">
        <f t="shared" si="79"/>
        <v>5.182495758409756E-2</v>
      </c>
      <c r="M151" s="3">
        <f t="shared" si="79"/>
        <v>5.182495758409756E-2</v>
      </c>
      <c r="N151" s="3">
        <f t="shared" si="79"/>
        <v>5.182495758409756E-2</v>
      </c>
      <c r="O151" s="3">
        <f t="shared" si="79"/>
        <v>5.182495758409756E-2</v>
      </c>
      <c r="P151" s="3">
        <f t="shared" si="79"/>
        <v>5.1824957584097553E-2</v>
      </c>
      <c r="Q151" s="3">
        <f t="shared" si="79"/>
        <v>5.182495758409749E-2</v>
      </c>
      <c r="R151" s="3">
        <f t="shared" si="79"/>
        <v>5.1824957584096845E-2</v>
      </c>
      <c r="S151" s="3">
        <f t="shared" si="79"/>
        <v>5.1824957584090427E-2</v>
      </c>
      <c r="T151" s="3">
        <f t="shared" si="79"/>
        <v>5.1824957584026193E-2</v>
      </c>
      <c r="U151" s="3">
        <f t="shared" si="79"/>
        <v>5.1824957583383853E-2</v>
      </c>
      <c r="V151" s="3">
        <f t="shared" si="79"/>
        <v>5.1824957576960456E-2</v>
      </c>
      <c r="W151" s="3">
        <f t="shared" si="79"/>
        <v>5.1824957512726491E-2</v>
      </c>
      <c r="X151" s="3">
        <f t="shared" si="79"/>
        <v>5.1824956870386907E-2</v>
      </c>
      <c r="Y151" s="3">
        <f t="shared" si="79"/>
        <v>5.1824950446991459E-2</v>
      </c>
      <c r="Z151" s="3">
        <f t="shared" si="79"/>
        <v>5.1824886213080824E-2</v>
      </c>
      <c r="AA151" s="3">
        <f t="shared" ref="AA151" si="80">$C37*EXP(-AA$129/$A37/EXP(-$B$126))</f>
        <v>5.1824243878353216E-2</v>
      </c>
      <c r="AB151" s="3">
        <f t="shared" si="67"/>
        <v>5.1817820968932733E-2</v>
      </c>
      <c r="AC151" s="3">
        <f t="shared" si="67"/>
        <v>5.1753635640222992E-2</v>
      </c>
      <c r="AD151" s="3">
        <f t="shared" si="67"/>
        <v>5.1116138898446191E-2</v>
      </c>
      <c r="AE151" s="3">
        <f t="shared" si="67"/>
        <v>4.5157492444997067E-2</v>
      </c>
      <c r="AF151" s="3">
        <f t="shared" si="67"/>
        <v>1.3075177146143665E-2</v>
      </c>
    </row>
    <row r="152" spans="1:32" x14ac:dyDescent="0.25">
      <c r="B152" s="3">
        <f t="shared" ref="B152:Z152" si="81">$C38*EXP(-B$129/$A38/EXP(-$B$126))</f>
        <v>2.0016819549847034E-2</v>
      </c>
      <c r="C152" s="3">
        <f t="shared" si="81"/>
        <v>2.0016819549847034E-2</v>
      </c>
      <c r="D152" s="3">
        <f t="shared" si="81"/>
        <v>2.0016819549847034E-2</v>
      </c>
      <c r="E152" s="3">
        <f t="shared" si="81"/>
        <v>2.0016819549847034E-2</v>
      </c>
      <c r="F152" s="3">
        <f t="shared" si="81"/>
        <v>2.0016819549847034E-2</v>
      </c>
      <c r="G152" s="3">
        <f t="shared" si="81"/>
        <v>2.0016819549847034E-2</v>
      </c>
      <c r="H152" s="3">
        <f t="shared" si="81"/>
        <v>2.0016819549847034E-2</v>
      </c>
      <c r="I152" s="3">
        <f t="shared" si="81"/>
        <v>2.0016819549847034E-2</v>
      </c>
      <c r="J152" s="3">
        <f t="shared" si="81"/>
        <v>2.0016819549847034E-2</v>
      </c>
      <c r="K152" s="3">
        <f t="shared" si="81"/>
        <v>2.0016819549847034E-2</v>
      </c>
      <c r="L152" s="3">
        <f t="shared" si="81"/>
        <v>2.0016819549847034E-2</v>
      </c>
      <c r="M152" s="3">
        <f t="shared" si="81"/>
        <v>2.0016819549847034E-2</v>
      </c>
      <c r="N152" s="3">
        <f t="shared" si="81"/>
        <v>2.0016819549847034E-2</v>
      </c>
      <c r="O152" s="3">
        <f t="shared" si="81"/>
        <v>2.0016819549847034E-2</v>
      </c>
      <c r="P152" s="3">
        <f t="shared" si="81"/>
        <v>2.0016819549847034E-2</v>
      </c>
      <c r="Q152" s="3">
        <f t="shared" si="81"/>
        <v>2.0016819549847031E-2</v>
      </c>
      <c r="R152" s="3">
        <f t="shared" si="81"/>
        <v>2.001681954984701E-2</v>
      </c>
      <c r="S152" s="3">
        <f t="shared" si="81"/>
        <v>2.0016819549846784E-2</v>
      </c>
      <c r="T152" s="3">
        <f t="shared" si="81"/>
        <v>2.0016819549844547E-2</v>
      </c>
      <c r="U152" s="3">
        <f t="shared" si="81"/>
        <v>2.0016819549822165E-2</v>
      </c>
      <c r="V152" s="3">
        <f t="shared" si="81"/>
        <v>2.0016819549598365E-2</v>
      </c>
      <c r="W152" s="3">
        <f t="shared" si="81"/>
        <v>2.0016819547360325E-2</v>
      </c>
      <c r="X152" s="3">
        <f t="shared" si="81"/>
        <v>2.0016819524979947E-2</v>
      </c>
      <c r="Y152" s="3">
        <f t="shared" si="81"/>
        <v>2.0016819301176179E-2</v>
      </c>
      <c r="Z152" s="3">
        <f t="shared" si="81"/>
        <v>2.0016817063138612E-2</v>
      </c>
      <c r="AA152" s="3">
        <f t="shared" ref="AA152" si="82">$C38*EXP(-AA$129/$A38/EXP(-$B$126))</f>
        <v>2.0016794682776708E-2</v>
      </c>
      <c r="AB152" s="3">
        <f t="shared" si="67"/>
        <v>2.0016570880533921E-2</v>
      </c>
      <c r="AC152" s="3">
        <f t="shared" si="67"/>
        <v>2.0014332995726355E-2</v>
      </c>
      <c r="AD152" s="3">
        <f t="shared" si="67"/>
        <v>1.9991967903987811E-2</v>
      </c>
      <c r="AE152" s="3">
        <f t="shared" si="67"/>
        <v>1.9769686946448043E-2</v>
      </c>
      <c r="AF152" s="3">
        <f t="shared" si="67"/>
        <v>1.7678371516818697E-2</v>
      </c>
    </row>
    <row r="153" spans="1:32" x14ac:dyDescent="0.25">
      <c r="B153" s="3">
        <f t="shared" ref="B153:Z153" si="83">$C39*EXP(-B$129/$A39/EXP(-$B$126))</f>
        <v>3.8383243179278659E-2</v>
      </c>
      <c r="C153" s="3">
        <f t="shared" si="83"/>
        <v>3.8383243179278659E-2</v>
      </c>
      <c r="D153" s="3">
        <f t="shared" si="83"/>
        <v>3.8383243179278659E-2</v>
      </c>
      <c r="E153" s="3">
        <f t="shared" si="83"/>
        <v>3.8383243179278659E-2</v>
      </c>
      <c r="F153" s="3">
        <f t="shared" si="83"/>
        <v>3.8383243179278659E-2</v>
      </c>
      <c r="G153" s="3">
        <f t="shared" si="83"/>
        <v>3.8383243179278659E-2</v>
      </c>
      <c r="H153" s="3">
        <f t="shared" si="83"/>
        <v>3.8383243179278659E-2</v>
      </c>
      <c r="I153" s="3">
        <f t="shared" si="83"/>
        <v>3.8383243179278659E-2</v>
      </c>
      <c r="J153" s="3">
        <f t="shared" si="83"/>
        <v>3.8383243179278659E-2</v>
      </c>
      <c r="K153" s="3">
        <f t="shared" si="83"/>
        <v>3.8383243179278659E-2</v>
      </c>
      <c r="L153" s="3">
        <f t="shared" si="83"/>
        <v>3.8383243179278659E-2</v>
      </c>
      <c r="M153" s="3">
        <f t="shared" si="83"/>
        <v>3.8383243179278659E-2</v>
      </c>
      <c r="N153" s="3">
        <f t="shared" si="83"/>
        <v>3.8383243179278659E-2</v>
      </c>
      <c r="O153" s="3">
        <f t="shared" si="83"/>
        <v>3.8383243179278659E-2</v>
      </c>
      <c r="P153" s="3">
        <f t="shared" si="83"/>
        <v>3.8383243179278659E-2</v>
      </c>
      <c r="Q153" s="3">
        <f t="shared" si="83"/>
        <v>3.8383243179278659E-2</v>
      </c>
      <c r="R153" s="3">
        <f t="shared" si="83"/>
        <v>3.8383243179278645E-2</v>
      </c>
      <c r="S153" s="3">
        <f t="shared" si="83"/>
        <v>3.8383243179278527E-2</v>
      </c>
      <c r="T153" s="3">
        <f t="shared" si="83"/>
        <v>3.838324317927734E-2</v>
      </c>
      <c r="U153" s="3">
        <f t="shared" si="83"/>
        <v>3.8383243179265468E-2</v>
      </c>
      <c r="V153" s="3">
        <f t="shared" si="83"/>
        <v>3.8383243179146778E-2</v>
      </c>
      <c r="W153" s="3">
        <f t="shared" si="83"/>
        <v>3.8383243177959839E-2</v>
      </c>
      <c r="X153" s="3">
        <f t="shared" si="83"/>
        <v>3.8383243166090493E-2</v>
      </c>
      <c r="Y153" s="3">
        <f t="shared" si="83"/>
        <v>3.8383243047397014E-2</v>
      </c>
      <c r="Z153" s="3">
        <f t="shared" si="83"/>
        <v>3.8383241860462256E-2</v>
      </c>
      <c r="AA153" s="3">
        <f t="shared" ref="AA153" si="84">$C39*EXP(-AA$129/$A39/EXP(-$B$126))</f>
        <v>3.8383229991116666E-2</v>
      </c>
      <c r="AB153" s="3">
        <f t="shared" si="67"/>
        <v>3.8383111297862656E-2</v>
      </c>
      <c r="AC153" s="3">
        <f t="shared" si="67"/>
        <v>3.8381924385509407E-2</v>
      </c>
      <c r="AD153" s="3">
        <f t="shared" si="67"/>
        <v>3.8370057280434057E-2</v>
      </c>
      <c r="AE153" s="3">
        <f t="shared" si="67"/>
        <v>3.8251587844638772E-2</v>
      </c>
      <c r="AF153" s="3">
        <f t="shared" si="67"/>
        <v>3.708682619830074E-2</v>
      </c>
    </row>
    <row r="154" spans="1:32" x14ac:dyDescent="0.25">
      <c r="B154" s="3">
        <f t="shared" ref="B154:Z154" si="85">$C40*EXP(-B$129/$A40/EXP(-$B$126))</f>
        <v>3.6705240109076338E-2</v>
      </c>
      <c r="C154" s="3">
        <f t="shared" si="85"/>
        <v>3.6705240109076338E-2</v>
      </c>
      <c r="D154" s="3">
        <f t="shared" si="85"/>
        <v>3.6705240109076338E-2</v>
      </c>
      <c r="E154" s="3">
        <f t="shared" si="85"/>
        <v>3.6705240109076338E-2</v>
      </c>
      <c r="F154" s="3">
        <f t="shared" si="85"/>
        <v>3.6705240109076338E-2</v>
      </c>
      <c r="G154" s="3">
        <f t="shared" si="85"/>
        <v>3.6705240109076338E-2</v>
      </c>
      <c r="H154" s="3">
        <f t="shared" si="85"/>
        <v>3.6705240109076338E-2</v>
      </c>
      <c r="I154" s="3">
        <f t="shared" si="85"/>
        <v>3.6705240109076338E-2</v>
      </c>
      <c r="J154" s="3">
        <f t="shared" si="85"/>
        <v>3.6705240109076338E-2</v>
      </c>
      <c r="K154" s="3">
        <f t="shared" si="85"/>
        <v>3.6705240109076338E-2</v>
      </c>
      <c r="L154" s="3">
        <f t="shared" si="85"/>
        <v>3.6705240109076338E-2</v>
      </c>
      <c r="M154" s="3">
        <f t="shared" si="85"/>
        <v>3.6705240109076338E-2</v>
      </c>
      <c r="N154" s="3">
        <f t="shared" si="85"/>
        <v>3.6705240109076338E-2</v>
      </c>
      <c r="O154" s="3">
        <f t="shared" si="85"/>
        <v>3.6705240109076338E-2</v>
      </c>
      <c r="P154" s="3">
        <f t="shared" si="85"/>
        <v>3.6705240109076338E-2</v>
      </c>
      <c r="Q154" s="3">
        <f t="shared" si="85"/>
        <v>3.6705240109076338E-2</v>
      </c>
      <c r="R154" s="3">
        <f t="shared" si="85"/>
        <v>3.6705240109076338E-2</v>
      </c>
      <c r="S154" s="3">
        <f t="shared" si="85"/>
        <v>3.6705240109076324E-2</v>
      </c>
      <c r="T154" s="3">
        <f t="shared" si="85"/>
        <v>3.6705240109076213E-2</v>
      </c>
      <c r="U154" s="3">
        <f t="shared" si="85"/>
        <v>3.6705240109075082E-2</v>
      </c>
      <c r="V154" s="3">
        <f t="shared" si="85"/>
        <v>3.6705240109063723E-2</v>
      </c>
      <c r="W154" s="3">
        <f t="shared" si="85"/>
        <v>3.6705240108950224E-2</v>
      </c>
      <c r="X154" s="3">
        <f t="shared" si="85"/>
        <v>3.6705240107815174E-2</v>
      </c>
      <c r="Y154" s="3">
        <f t="shared" si="85"/>
        <v>3.6705240096464725E-2</v>
      </c>
      <c r="Z154" s="3">
        <f t="shared" si="85"/>
        <v>3.6705239982960179E-2</v>
      </c>
      <c r="AA154" s="3">
        <f t="shared" ref="AA154:AF154" si="86">$C40*EXP(-AA$129/$A40/EXP(-$B$126))</f>
        <v>3.6705238847914733E-2</v>
      </c>
      <c r="AB154" s="3">
        <f t="shared" si="86"/>
        <v>3.6705227497462196E-2</v>
      </c>
      <c r="AC154" s="3">
        <f t="shared" si="86"/>
        <v>3.6705113993129916E-2</v>
      </c>
      <c r="AD154" s="3">
        <f t="shared" si="86"/>
        <v>3.670397896911147E-2</v>
      </c>
      <c r="AE154" s="3">
        <f t="shared" si="86"/>
        <v>3.6692630659143084E-2</v>
      </c>
      <c r="AF154" s="3">
        <f t="shared" si="86"/>
        <v>3.6579340360401461E-2</v>
      </c>
    </row>
    <row r="155" spans="1:32" x14ac:dyDescent="0.25">
      <c r="B155" s="3">
        <f t="shared" ref="B155:Z155" si="87">$C41*EXP(-B$129/$A41/EXP(-$B$126))</f>
        <v>4.1231231380742084E-2</v>
      </c>
      <c r="C155" s="3">
        <f t="shared" si="87"/>
        <v>4.1231231380742084E-2</v>
      </c>
      <c r="D155" s="3">
        <f t="shared" si="87"/>
        <v>4.1231231380742084E-2</v>
      </c>
      <c r="E155" s="3">
        <f t="shared" si="87"/>
        <v>4.1231231380742084E-2</v>
      </c>
      <c r="F155" s="3">
        <f t="shared" si="87"/>
        <v>4.1231231380742084E-2</v>
      </c>
      <c r="G155" s="3">
        <f t="shared" si="87"/>
        <v>4.1231231380742084E-2</v>
      </c>
      <c r="H155" s="3">
        <f t="shared" si="87"/>
        <v>4.1231231380742084E-2</v>
      </c>
      <c r="I155" s="3">
        <f t="shared" si="87"/>
        <v>4.1231231380742084E-2</v>
      </c>
      <c r="J155" s="3">
        <f t="shared" si="87"/>
        <v>4.1231231380742084E-2</v>
      </c>
      <c r="K155" s="3">
        <f t="shared" si="87"/>
        <v>4.1231231380742084E-2</v>
      </c>
      <c r="L155" s="3">
        <f t="shared" si="87"/>
        <v>4.1231231380742084E-2</v>
      </c>
      <c r="M155" s="3">
        <f t="shared" si="87"/>
        <v>4.1231231380742084E-2</v>
      </c>
      <c r="N155" s="3">
        <f t="shared" si="87"/>
        <v>4.1231231380742084E-2</v>
      </c>
      <c r="O155" s="3">
        <f t="shared" si="87"/>
        <v>4.1231231380742084E-2</v>
      </c>
      <c r="P155" s="3">
        <f t="shared" si="87"/>
        <v>4.1231231380742084E-2</v>
      </c>
      <c r="Q155" s="3">
        <f t="shared" si="87"/>
        <v>4.1231231380742084E-2</v>
      </c>
      <c r="R155" s="3">
        <f t="shared" si="87"/>
        <v>4.1231231380742084E-2</v>
      </c>
      <c r="S155" s="3">
        <f t="shared" si="87"/>
        <v>4.1231231380742084E-2</v>
      </c>
      <c r="T155" s="3">
        <f t="shared" si="87"/>
        <v>4.123123138074207E-2</v>
      </c>
      <c r="U155" s="3">
        <f t="shared" si="87"/>
        <v>4.1231231380741945E-2</v>
      </c>
      <c r="V155" s="3">
        <f t="shared" si="87"/>
        <v>4.1231231380740668E-2</v>
      </c>
      <c r="W155" s="3">
        <f t="shared" si="87"/>
        <v>4.1231231380727915E-2</v>
      </c>
      <c r="X155" s="3">
        <f t="shared" si="87"/>
        <v>4.1231231380600419E-2</v>
      </c>
      <c r="Y155" s="3">
        <f t="shared" si="87"/>
        <v>4.1231231379325411E-2</v>
      </c>
      <c r="Z155" s="3">
        <f t="shared" si="87"/>
        <v>4.1231231366575374E-2</v>
      </c>
      <c r="AA155" s="3">
        <f t="shared" ref="AA155:AF155" si="88">$C41*EXP(-AA$129/$A41/EXP(-$B$126))</f>
        <v>4.1231231239074989E-2</v>
      </c>
      <c r="AB155" s="3">
        <f t="shared" si="88"/>
        <v>4.1231229964071171E-2</v>
      </c>
      <c r="AC155" s="3">
        <f t="shared" si="88"/>
        <v>4.1231217214035117E-2</v>
      </c>
      <c r="AD155" s="3">
        <f t="shared" si="88"/>
        <v>4.1231089713891451E-2</v>
      </c>
      <c r="AE155" s="3">
        <f t="shared" si="88"/>
        <v>4.1229814734139565E-2</v>
      </c>
      <c r="AF155" s="3">
        <f t="shared" si="88"/>
        <v>4.1217067104844775E-2</v>
      </c>
    </row>
    <row r="156" spans="1:32" x14ac:dyDescent="0.25">
      <c r="B156" s="3">
        <f t="shared" ref="B156:Z156" si="89">$C42*EXP(-B$129/$A42/EXP(-$B$126))</f>
        <v>3.343723543516635E-2</v>
      </c>
      <c r="C156" s="3">
        <f t="shared" si="89"/>
        <v>3.343723543516635E-2</v>
      </c>
      <c r="D156" s="3">
        <f t="shared" si="89"/>
        <v>3.343723543516635E-2</v>
      </c>
      <c r="E156" s="3">
        <f t="shared" si="89"/>
        <v>3.343723543516635E-2</v>
      </c>
      <c r="F156" s="3">
        <f t="shared" si="89"/>
        <v>3.343723543516635E-2</v>
      </c>
      <c r="G156" s="3">
        <f t="shared" si="89"/>
        <v>3.343723543516635E-2</v>
      </c>
      <c r="H156" s="3">
        <f t="shared" si="89"/>
        <v>3.343723543516635E-2</v>
      </c>
      <c r="I156" s="3">
        <f t="shared" si="89"/>
        <v>3.343723543516635E-2</v>
      </c>
      <c r="J156" s="3">
        <f t="shared" si="89"/>
        <v>3.343723543516635E-2</v>
      </c>
      <c r="K156" s="3">
        <f t="shared" si="89"/>
        <v>3.343723543516635E-2</v>
      </c>
      <c r="L156" s="3">
        <f t="shared" si="89"/>
        <v>3.343723543516635E-2</v>
      </c>
      <c r="M156" s="3">
        <f t="shared" si="89"/>
        <v>3.343723543516635E-2</v>
      </c>
      <c r="N156" s="3">
        <f t="shared" si="89"/>
        <v>3.343723543516635E-2</v>
      </c>
      <c r="O156" s="3">
        <f t="shared" si="89"/>
        <v>3.343723543516635E-2</v>
      </c>
      <c r="P156" s="3">
        <f t="shared" si="89"/>
        <v>3.343723543516635E-2</v>
      </c>
      <c r="Q156" s="3">
        <f t="shared" si="89"/>
        <v>3.343723543516635E-2</v>
      </c>
      <c r="R156" s="3">
        <f t="shared" si="89"/>
        <v>3.343723543516635E-2</v>
      </c>
      <c r="S156" s="3">
        <f t="shared" si="89"/>
        <v>3.343723543516635E-2</v>
      </c>
      <c r="T156" s="3">
        <f t="shared" si="89"/>
        <v>3.343723543516635E-2</v>
      </c>
      <c r="U156" s="3">
        <f t="shared" si="89"/>
        <v>3.3437235435166336E-2</v>
      </c>
      <c r="V156" s="3">
        <f t="shared" si="89"/>
        <v>3.3437235435166232E-2</v>
      </c>
      <c r="W156" s="3">
        <f t="shared" si="89"/>
        <v>3.3437235435165205E-2</v>
      </c>
      <c r="X156" s="3">
        <f t="shared" si="89"/>
        <v>3.3437235435154859E-2</v>
      </c>
      <c r="Y156" s="3">
        <f t="shared" si="89"/>
        <v>3.3437235435051463E-2</v>
      </c>
      <c r="Z156" s="3">
        <f t="shared" si="89"/>
        <v>3.3437235434017477E-2</v>
      </c>
      <c r="AA156" s="3">
        <f t="shared" ref="AA156:AF156" si="90">$C42*EXP(-AA$129/$A42/EXP(-$B$126))</f>
        <v>3.3437235423677596E-2</v>
      </c>
      <c r="AB156" s="3">
        <f t="shared" si="90"/>
        <v>3.3437235320278778E-2</v>
      </c>
      <c r="AC156" s="3">
        <f t="shared" si="90"/>
        <v>3.3437234286290675E-2</v>
      </c>
      <c r="AD156" s="3">
        <f t="shared" si="90"/>
        <v>3.3437223946411333E-2</v>
      </c>
      <c r="AE156" s="3">
        <f t="shared" si="90"/>
        <v>3.343712054779386E-2</v>
      </c>
      <c r="AF156" s="3">
        <f t="shared" si="90"/>
        <v>3.343608657920473E-2</v>
      </c>
    </row>
    <row r="157" spans="1:32" x14ac:dyDescent="0.25">
      <c r="B157" s="3">
        <f t="shared" ref="B157:Z157" si="91">$C43*EXP(-B$129/$A43/EXP(-$B$126))</f>
        <v>2.4815378940943638E-2</v>
      </c>
      <c r="C157" s="3">
        <f t="shared" si="91"/>
        <v>2.4815378940943638E-2</v>
      </c>
      <c r="D157" s="3">
        <f t="shared" si="91"/>
        <v>2.4815378940943638E-2</v>
      </c>
      <c r="E157" s="3">
        <f t="shared" si="91"/>
        <v>2.4815378940943638E-2</v>
      </c>
      <c r="F157" s="3">
        <f t="shared" si="91"/>
        <v>2.4815378940943638E-2</v>
      </c>
      <c r="G157" s="3">
        <f t="shared" si="91"/>
        <v>2.4815378940943638E-2</v>
      </c>
      <c r="H157" s="3">
        <f t="shared" si="91"/>
        <v>2.4815378940943638E-2</v>
      </c>
      <c r="I157" s="3">
        <f t="shared" si="91"/>
        <v>2.4815378940943638E-2</v>
      </c>
      <c r="J157" s="3">
        <f t="shared" si="91"/>
        <v>2.4815378940943638E-2</v>
      </c>
      <c r="K157" s="3">
        <f t="shared" si="91"/>
        <v>2.4815378940943638E-2</v>
      </c>
      <c r="L157" s="3">
        <f t="shared" si="91"/>
        <v>2.4815378940943638E-2</v>
      </c>
      <c r="M157" s="3">
        <f t="shared" si="91"/>
        <v>2.4815378940943638E-2</v>
      </c>
      <c r="N157" s="3">
        <f t="shared" si="91"/>
        <v>2.4815378940943638E-2</v>
      </c>
      <c r="O157" s="3">
        <f t="shared" si="91"/>
        <v>2.4815378940943638E-2</v>
      </c>
      <c r="P157" s="3">
        <f t="shared" si="91"/>
        <v>2.4815378940943638E-2</v>
      </c>
      <c r="Q157" s="3">
        <f t="shared" si="91"/>
        <v>2.4815378940943638E-2</v>
      </c>
      <c r="R157" s="3">
        <f t="shared" si="91"/>
        <v>2.4815378940943638E-2</v>
      </c>
      <c r="S157" s="3">
        <f t="shared" si="91"/>
        <v>2.4815378940943638E-2</v>
      </c>
      <c r="T157" s="3">
        <f t="shared" si="91"/>
        <v>2.4815378940943638E-2</v>
      </c>
      <c r="U157" s="3">
        <f t="shared" si="91"/>
        <v>2.4815378940943638E-2</v>
      </c>
      <c r="V157" s="3">
        <f t="shared" si="91"/>
        <v>2.4815378940943631E-2</v>
      </c>
      <c r="W157" s="3">
        <f t="shared" si="91"/>
        <v>2.4815378940943551E-2</v>
      </c>
      <c r="X157" s="3">
        <f t="shared" si="91"/>
        <v>2.4815378940942788E-2</v>
      </c>
      <c r="Y157" s="3">
        <f t="shared" si="91"/>
        <v>2.481537894093511E-2</v>
      </c>
      <c r="Z157" s="3">
        <f t="shared" si="91"/>
        <v>2.4815378940858373E-2</v>
      </c>
      <c r="AA157" s="3">
        <f t="shared" ref="AA157:AF157" si="92">$C43*EXP(-AA$129/$A43/EXP(-$B$126))</f>
        <v>2.4815378940091001E-2</v>
      </c>
      <c r="AB157" s="3">
        <f t="shared" si="92"/>
        <v>2.4815378932417278E-2</v>
      </c>
      <c r="AC157" s="3">
        <f t="shared" si="92"/>
        <v>2.4815378855680054E-2</v>
      </c>
      <c r="AD157" s="3">
        <f t="shared" si="92"/>
        <v>2.4815378088307798E-2</v>
      </c>
      <c r="AE157" s="3">
        <f t="shared" si="92"/>
        <v>2.4815370414586552E-2</v>
      </c>
      <c r="AF157" s="3">
        <f t="shared" si="92"/>
        <v>2.4815293677504638E-2</v>
      </c>
    </row>
    <row r="158" spans="1:32" x14ac:dyDescent="0.25">
      <c r="B158" s="3">
        <f t="shared" ref="B158:Z158" si="93">$C44*EXP(-B$129/$A44/EXP(-$B$126))</f>
        <v>1.3266747308349527E-2</v>
      </c>
      <c r="C158" s="3">
        <f t="shared" si="93"/>
        <v>1.3266747308349527E-2</v>
      </c>
      <c r="D158" s="3">
        <f t="shared" si="93"/>
        <v>1.3266747308349527E-2</v>
      </c>
      <c r="E158" s="3">
        <f t="shared" si="93"/>
        <v>1.3266747308349527E-2</v>
      </c>
      <c r="F158" s="3">
        <f t="shared" si="93"/>
        <v>1.3266747308349527E-2</v>
      </c>
      <c r="G158" s="3">
        <f t="shared" si="93"/>
        <v>1.3266747308349527E-2</v>
      </c>
      <c r="H158" s="3">
        <f t="shared" si="93"/>
        <v>1.3266747308349527E-2</v>
      </c>
      <c r="I158" s="3">
        <f t="shared" si="93"/>
        <v>1.3266747308349527E-2</v>
      </c>
      <c r="J158" s="3">
        <f t="shared" si="93"/>
        <v>1.3266747308349527E-2</v>
      </c>
      <c r="K158" s="3">
        <f t="shared" si="93"/>
        <v>1.3266747308349527E-2</v>
      </c>
      <c r="L158" s="3">
        <f t="shared" si="93"/>
        <v>1.3266747308349527E-2</v>
      </c>
      <c r="M158" s="3">
        <f t="shared" si="93"/>
        <v>1.3266747308349527E-2</v>
      </c>
      <c r="N158" s="3">
        <f t="shared" si="93"/>
        <v>1.3266747308349527E-2</v>
      </c>
      <c r="O158" s="3">
        <f t="shared" si="93"/>
        <v>1.3266747308349527E-2</v>
      </c>
      <c r="P158" s="3">
        <f t="shared" si="93"/>
        <v>1.3266747308349527E-2</v>
      </c>
      <c r="Q158" s="3">
        <f t="shared" si="93"/>
        <v>1.3266747308349527E-2</v>
      </c>
      <c r="R158" s="3">
        <f t="shared" si="93"/>
        <v>1.3266747308349527E-2</v>
      </c>
      <c r="S158" s="3">
        <f t="shared" si="93"/>
        <v>1.3266747308349527E-2</v>
      </c>
      <c r="T158" s="3">
        <f t="shared" si="93"/>
        <v>1.3266747308349527E-2</v>
      </c>
      <c r="U158" s="3">
        <f t="shared" si="93"/>
        <v>1.3266747308349527E-2</v>
      </c>
      <c r="V158" s="3">
        <f t="shared" si="93"/>
        <v>1.3266747308349527E-2</v>
      </c>
      <c r="W158" s="3">
        <f t="shared" si="93"/>
        <v>1.3266747308349522E-2</v>
      </c>
      <c r="X158" s="3">
        <f t="shared" si="93"/>
        <v>1.3266747308349482E-2</v>
      </c>
      <c r="Y158" s="3">
        <f t="shared" si="93"/>
        <v>1.3266747308349073E-2</v>
      </c>
      <c r="Z158" s="3">
        <f t="shared" si="93"/>
        <v>1.3266747308344968E-2</v>
      </c>
      <c r="AA158" s="3">
        <f t="shared" ref="AA158:AF158" si="94">$C44*EXP(-AA$129/$A44/EXP(-$B$126))</f>
        <v>1.3266747308303944E-2</v>
      </c>
      <c r="AB158" s="3">
        <f t="shared" si="94"/>
        <v>1.3266747307893692E-2</v>
      </c>
      <c r="AC158" s="3">
        <f t="shared" si="94"/>
        <v>1.3266747303791182E-2</v>
      </c>
      <c r="AD158" s="3">
        <f t="shared" si="94"/>
        <v>1.3266747262766084E-2</v>
      </c>
      <c r="AE158" s="3">
        <f t="shared" si="94"/>
        <v>1.3266746852515093E-2</v>
      </c>
      <c r="AF158" s="3">
        <f t="shared" si="94"/>
        <v>1.3266742750005882E-2</v>
      </c>
    </row>
    <row r="159" spans="1:32" x14ac:dyDescent="0.25">
      <c r="A159" s="11" t="s">
        <v>75</v>
      </c>
      <c r="B159" s="3">
        <f t="shared" ref="B159:Z159" si="95">$C45*EXP(-B$129/$A45/EXP(-$B$126))</f>
        <v>6.4459854313467695E-3</v>
      </c>
      <c r="C159" s="3">
        <f t="shared" si="95"/>
        <v>6.4459854313467695E-3</v>
      </c>
      <c r="D159" s="3">
        <f t="shared" si="95"/>
        <v>6.4459854313467695E-3</v>
      </c>
      <c r="E159" s="3">
        <f t="shared" si="95"/>
        <v>6.4459854313467695E-3</v>
      </c>
      <c r="F159" s="3">
        <f t="shared" si="95"/>
        <v>6.4459854313467695E-3</v>
      </c>
      <c r="G159" s="3">
        <f t="shared" si="95"/>
        <v>6.4459854313467695E-3</v>
      </c>
      <c r="H159" s="3">
        <f t="shared" si="95"/>
        <v>6.4459854313467695E-3</v>
      </c>
      <c r="I159" s="3">
        <f t="shared" si="95"/>
        <v>6.4459854313467695E-3</v>
      </c>
      <c r="J159" s="3">
        <f t="shared" si="95"/>
        <v>6.4459854313467695E-3</v>
      </c>
      <c r="K159" s="3">
        <f t="shared" si="95"/>
        <v>6.4459854313467695E-3</v>
      </c>
      <c r="L159" s="3">
        <f t="shared" si="95"/>
        <v>6.4459854313467695E-3</v>
      </c>
      <c r="M159" s="3">
        <f t="shared" si="95"/>
        <v>6.4459854313467695E-3</v>
      </c>
      <c r="N159" s="3">
        <f t="shared" si="95"/>
        <v>6.4459854313467695E-3</v>
      </c>
      <c r="O159" s="3">
        <f t="shared" si="95"/>
        <v>6.4459854313467695E-3</v>
      </c>
      <c r="P159" s="3">
        <f t="shared" si="95"/>
        <v>6.4459854313467695E-3</v>
      </c>
      <c r="Q159" s="3">
        <f t="shared" si="95"/>
        <v>6.4459854313467695E-3</v>
      </c>
      <c r="R159" s="3">
        <f t="shared" si="95"/>
        <v>6.4459854313467695E-3</v>
      </c>
      <c r="S159" s="3">
        <f t="shared" si="95"/>
        <v>6.4459854313467695E-3</v>
      </c>
      <c r="T159" s="3">
        <f t="shared" si="95"/>
        <v>6.4459854313467695E-3</v>
      </c>
      <c r="U159" s="3">
        <f t="shared" si="95"/>
        <v>6.4459854313467695E-3</v>
      </c>
      <c r="V159" s="3">
        <f t="shared" si="95"/>
        <v>6.4459854313467695E-3</v>
      </c>
      <c r="W159" s="3">
        <f t="shared" si="95"/>
        <v>6.4459854313467695E-3</v>
      </c>
      <c r="X159" s="3">
        <f t="shared" si="95"/>
        <v>6.4459854313467678E-3</v>
      </c>
      <c r="Y159" s="3">
        <f t="shared" si="95"/>
        <v>6.4459854313467469E-3</v>
      </c>
      <c r="Z159" s="3">
        <f t="shared" si="95"/>
        <v>6.4459854313465483E-3</v>
      </c>
      <c r="AA159" s="3">
        <f t="shared" ref="AA159:AF159" si="96">$C45*EXP(-AA$129/$A45/EXP(-$B$126))</f>
        <v>6.4459854313445543E-3</v>
      </c>
      <c r="AB159" s="3">
        <f t="shared" si="96"/>
        <v>6.4459854313246214E-3</v>
      </c>
      <c r="AC159" s="3">
        <f t="shared" si="96"/>
        <v>6.4459854311252904E-3</v>
      </c>
      <c r="AD159" s="3">
        <f t="shared" si="96"/>
        <v>6.4459854291319821E-3</v>
      </c>
      <c r="AE159" s="3">
        <f t="shared" si="96"/>
        <v>6.4459854091988983E-3</v>
      </c>
      <c r="AF159" s="3">
        <f t="shared" si="96"/>
        <v>6.4459852098680565E-3</v>
      </c>
    </row>
    <row r="160" spans="1:32" x14ac:dyDescent="0.25">
      <c r="B160" s="3">
        <f t="shared" ref="B160:Z160" si="97">$C46*EXP(-B$129/$A46/EXP(-$B$126))</f>
        <v>3.3152683029349498E-3</v>
      </c>
      <c r="C160" s="3">
        <f t="shared" si="97"/>
        <v>3.3152683029349498E-3</v>
      </c>
      <c r="D160" s="3">
        <f t="shared" si="97"/>
        <v>3.3152683029349498E-3</v>
      </c>
      <c r="E160" s="3">
        <f t="shared" si="97"/>
        <v>3.3152683029349498E-3</v>
      </c>
      <c r="F160" s="3">
        <f t="shared" si="97"/>
        <v>3.3152683029349498E-3</v>
      </c>
      <c r="G160" s="3">
        <f t="shared" si="97"/>
        <v>3.3152683029349498E-3</v>
      </c>
      <c r="H160" s="3">
        <f t="shared" si="97"/>
        <v>3.3152683029349498E-3</v>
      </c>
      <c r="I160" s="3">
        <f t="shared" si="97"/>
        <v>3.3152683029349498E-3</v>
      </c>
      <c r="J160" s="3">
        <f t="shared" si="97"/>
        <v>3.3152683029349498E-3</v>
      </c>
      <c r="K160" s="3">
        <f t="shared" si="97"/>
        <v>3.3152683029349498E-3</v>
      </c>
      <c r="L160" s="3">
        <f t="shared" si="97"/>
        <v>3.3152683029349498E-3</v>
      </c>
      <c r="M160" s="3">
        <f t="shared" si="97"/>
        <v>3.3152683029349498E-3</v>
      </c>
      <c r="N160" s="3">
        <f t="shared" si="97"/>
        <v>3.3152683029349498E-3</v>
      </c>
      <c r="O160" s="3">
        <f t="shared" si="97"/>
        <v>3.3152683029349498E-3</v>
      </c>
      <c r="P160" s="3">
        <f t="shared" si="97"/>
        <v>3.3152683029349498E-3</v>
      </c>
      <c r="Q160" s="3">
        <f t="shared" si="97"/>
        <v>3.3152683029349498E-3</v>
      </c>
      <c r="R160" s="3">
        <f t="shared" si="97"/>
        <v>3.3152683029349498E-3</v>
      </c>
      <c r="S160" s="3">
        <f t="shared" si="97"/>
        <v>3.3152683029349498E-3</v>
      </c>
      <c r="T160" s="3">
        <f t="shared" si="97"/>
        <v>3.3152683029349498E-3</v>
      </c>
      <c r="U160" s="3">
        <f t="shared" si="97"/>
        <v>3.3152683029349498E-3</v>
      </c>
      <c r="V160" s="3">
        <f t="shared" si="97"/>
        <v>3.3152683029349498E-3</v>
      </c>
      <c r="W160" s="3">
        <f t="shared" si="97"/>
        <v>3.3152683029349498E-3</v>
      </c>
      <c r="X160" s="3">
        <f t="shared" si="97"/>
        <v>3.3152683029349498E-3</v>
      </c>
      <c r="Y160" s="3">
        <f t="shared" si="97"/>
        <v>3.3152683029349485E-3</v>
      </c>
      <c r="Z160" s="3">
        <f t="shared" si="97"/>
        <v>3.3152683029349385E-3</v>
      </c>
      <c r="AA160" s="3">
        <f t="shared" ref="AA160:AF160" si="98">$C46*EXP(-AA$129/$A46/EXP(-$B$126))</f>
        <v>3.3152683029348362E-3</v>
      </c>
      <c r="AB160" s="3">
        <f t="shared" si="98"/>
        <v>3.3152683029338105E-3</v>
      </c>
      <c r="AC160" s="3">
        <f t="shared" si="98"/>
        <v>3.3152683029235588E-3</v>
      </c>
      <c r="AD160" s="3">
        <f t="shared" si="98"/>
        <v>3.3152683028210401E-3</v>
      </c>
      <c r="AE160" s="3">
        <f t="shared" si="98"/>
        <v>3.315268301795851E-3</v>
      </c>
      <c r="AF160" s="3">
        <f t="shared" si="98"/>
        <v>3.3152682915439627E-3</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1.0813254106264341E-2</v>
      </c>
      <c r="C162" s="3">
        <f t="shared" si="101"/>
        <v>1.0813254106264341E-2</v>
      </c>
      <c r="D162" s="3">
        <f t="shared" si="101"/>
        <v>1.0813254106264341E-2</v>
      </c>
      <c r="E162" s="3">
        <f t="shared" si="101"/>
        <v>1.0813254106264341E-2</v>
      </c>
      <c r="F162" s="3">
        <f t="shared" si="101"/>
        <v>1.0813254106264341E-2</v>
      </c>
      <c r="G162" s="3">
        <f t="shared" si="101"/>
        <v>1.0813254106264341E-2</v>
      </c>
      <c r="H162" s="3">
        <f t="shared" si="101"/>
        <v>1.0813254106264341E-2</v>
      </c>
      <c r="I162" s="3">
        <f t="shared" si="101"/>
        <v>1.0813254106264341E-2</v>
      </c>
      <c r="J162" s="3">
        <f t="shared" si="101"/>
        <v>1.0813254106264341E-2</v>
      </c>
      <c r="K162" s="3">
        <f t="shared" si="101"/>
        <v>1.0813254106264341E-2</v>
      </c>
      <c r="L162" s="3">
        <f t="shared" si="101"/>
        <v>1.0813254106264341E-2</v>
      </c>
      <c r="M162" s="3">
        <f t="shared" si="101"/>
        <v>1.0813254106264341E-2</v>
      </c>
      <c r="N162" s="3">
        <f t="shared" si="101"/>
        <v>1.0813254106264341E-2</v>
      </c>
      <c r="O162" s="3">
        <f t="shared" si="101"/>
        <v>1.0813254106264341E-2</v>
      </c>
      <c r="P162" s="3">
        <f t="shared" si="101"/>
        <v>1.0813254106264341E-2</v>
      </c>
      <c r="Q162" s="3">
        <f t="shared" si="101"/>
        <v>1.0813254106264341E-2</v>
      </c>
      <c r="R162" s="3">
        <f t="shared" si="101"/>
        <v>1.0813254106264341E-2</v>
      </c>
      <c r="S162" s="3">
        <f t="shared" si="101"/>
        <v>1.0813254106264341E-2</v>
      </c>
      <c r="T162" s="3">
        <f t="shared" si="101"/>
        <v>1.0813254106264341E-2</v>
      </c>
      <c r="U162" s="3">
        <f t="shared" si="101"/>
        <v>1.0813254106264341E-2</v>
      </c>
      <c r="V162" s="3">
        <f t="shared" si="101"/>
        <v>1.0813254106264341E-2</v>
      </c>
      <c r="W162" s="3">
        <f t="shared" si="101"/>
        <v>1.0813254106264341E-2</v>
      </c>
      <c r="X162" s="3">
        <f t="shared" si="101"/>
        <v>1.0813254106264341E-2</v>
      </c>
      <c r="Y162" s="3">
        <f t="shared" si="101"/>
        <v>1.0813254106264341E-2</v>
      </c>
      <c r="Z162" s="3">
        <f t="shared" si="101"/>
        <v>1.0813254106264341E-2</v>
      </c>
      <c r="AA162" s="3">
        <f t="shared" ref="AA162:AF162" si="102">$C48*EXP(-AA$129/$A48/EXP(-$B$126))</f>
        <v>1.0813254106264337E-2</v>
      </c>
      <c r="AB162" s="3">
        <f t="shared" si="102"/>
        <v>1.0813254106264304E-2</v>
      </c>
      <c r="AC162" s="3">
        <f t="shared" si="102"/>
        <v>1.0813254106263969E-2</v>
      </c>
      <c r="AD162" s="3">
        <f t="shared" si="102"/>
        <v>1.0813254106260625E-2</v>
      </c>
      <c r="AE162" s="3">
        <f t="shared" si="102"/>
        <v>1.0813254106227186E-2</v>
      </c>
      <c r="AF162" s="3">
        <f t="shared" si="102"/>
        <v>1.0813254105892806E-2</v>
      </c>
    </row>
    <row r="163" spans="1:34" x14ac:dyDescent="0.25">
      <c r="A163" s="79">
        <f>AVERAGE(B163:AF163)</f>
        <v>0.10200895145058611</v>
      </c>
      <c r="B163" s="80">
        <f>IF($A$64&lt;=B129,IF($B$64&gt;=B129,ABS((B131-B130)/B130),0),0)</f>
        <v>1.4198800950559774E-2</v>
      </c>
      <c r="C163" s="80">
        <f t="shared" ref="C163:AF163" si="103">IF($A$64&lt;=C129,IF($B$64&gt;=C129,ABS((C131-C130)/C130),0),0)</f>
        <v>1.4217626581591461E-2</v>
      </c>
      <c r="D163" s="80">
        <f t="shared" si="103"/>
        <v>1.4301397431516536E-2</v>
      </c>
      <c r="E163" s="80">
        <f t="shared" si="103"/>
        <v>1.5174409006760356E-2</v>
      </c>
      <c r="F163" s="80">
        <f t="shared" si="103"/>
        <v>2.2579327883636632E-2</v>
      </c>
      <c r="G163" s="80">
        <f t="shared" si="103"/>
        <v>4.2086806030322166E-2</v>
      </c>
      <c r="H163" s="80">
        <f t="shared" si="103"/>
        <v>4.3014780446548911E-2</v>
      </c>
      <c r="I163" s="80">
        <f t="shared" si="103"/>
        <v>4.3018049421831128E-2</v>
      </c>
      <c r="J163" s="80">
        <f t="shared" si="103"/>
        <v>4.3050934593547072E-2</v>
      </c>
      <c r="K163" s="80">
        <f t="shared" si="103"/>
        <v>4.3378425164201644E-2</v>
      </c>
      <c r="L163" s="80">
        <f t="shared" si="103"/>
        <v>4.6517363982326344E-2</v>
      </c>
      <c r="M163" s="80">
        <f t="shared" si="103"/>
        <v>6.7569181528757377E-2</v>
      </c>
      <c r="N163" s="80">
        <f t="shared" si="103"/>
        <v>8.9553685571688482E-2</v>
      </c>
      <c r="O163" s="80">
        <f t="shared" si="103"/>
        <v>0.10194891668648398</v>
      </c>
      <c r="P163" s="80">
        <f t="shared" si="103"/>
        <v>0.10892334103983141</v>
      </c>
      <c r="Q163" s="80">
        <f t="shared" si="103"/>
        <v>0.1085438943086421</v>
      </c>
      <c r="R163" s="80">
        <f t="shared" si="103"/>
        <v>0.11692929782803434</v>
      </c>
      <c r="S163" s="80">
        <f t="shared" si="103"/>
        <v>0.12707463474901412</v>
      </c>
      <c r="T163" s="80">
        <f t="shared" si="103"/>
        <v>0.13584110436751393</v>
      </c>
      <c r="U163" s="80">
        <f t="shared" si="103"/>
        <v>0.14003133435966728</v>
      </c>
      <c r="V163" s="80">
        <f t="shared" si="103"/>
        <v>0.13594596854966912</v>
      </c>
      <c r="W163" s="80">
        <f t="shared" si="103"/>
        <v>7.9541666197563088E-2</v>
      </c>
      <c r="X163" s="80">
        <f t="shared" si="103"/>
        <v>3.3256726893782146E-2</v>
      </c>
      <c r="Y163" s="80">
        <f t="shared" si="103"/>
        <v>0.16356205033659743</v>
      </c>
      <c r="Z163" s="80">
        <f t="shared" si="103"/>
        <v>0.26414524077445556</v>
      </c>
      <c r="AA163" s="80">
        <f t="shared" si="103"/>
        <v>0.34464450078122211</v>
      </c>
      <c r="AB163" s="80">
        <f t="shared" si="103"/>
        <v>0.31918682440522167</v>
      </c>
      <c r="AC163" s="80">
        <f t="shared" si="103"/>
        <v>0.19246485457988974</v>
      </c>
      <c r="AD163" s="80">
        <f t="shared" si="103"/>
        <v>4.6903315010438165E-2</v>
      </c>
      <c r="AE163" s="80">
        <f t="shared" si="103"/>
        <v>7.0460592117833926E-2</v>
      </c>
      <c r="AF163" s="80">
        <f t="shared" si="103"/>
        <v>0.17421244338902186</v>
      </c>
    </row>
    <row r="164" spans="1:34" x14ac:dyDescent="0.25">
      <c r="B164" s="21">
        <f>(B131-B130)^2</f>
        <v>10143.256185861284</v>
      </c>
      <c r="C164" s="21">
        <f t="shared" ref="C164:AF164" si="104">(C131-C130)^2</f>
        <v>10170.375732864581</v>
      </c>
      <c r="D164" s="21">
        <f t="shared" si="104"/>
        <v>10290.469588313526</v>
      </c>
      <c r="E164" s="21">
        <f t="shared" si="104"/>
        <v>11585.122131780423</v>
      </c>
      <c r="F164" s="21">
        <f t="shared" si="104"/>
        <v>25650.670411711111</v>
      </c>
      <c r="G164" s="21">
        <f t="shared" si="104"/>
        <v>89118.636072739711</v>
      </c>
      <c r="H164" s="21">
        <f t="shared" si="104"/>
        <v>93091.918431660597</v>
      </c>
      <c r="I164" s="21">
        <f t="shared" si="104"/>
        <v>93106.063771623609</v>
      </c>
      <c r="J164" s="21">
        <f t="shared" si="104"/>
        <v>93248.46360997585</v>
      </c>
      <c r="K164" s="21">
        <f t="shared" si="104"/>
        <v>94672.51253525322</v>
      </c>
      <c r="L164" s="21">
        <f t="shared" si="104"/>
        <v>108869.13882252401</v>
      </c>
      <c r="M164" s="21">
        <f t="shared" si="104"/>
        <v>229696.53052718908</v>
      </c>
      <c r="N164" s="21">
        <f t="shared" si="104"/>
        <v>403320.96602484753</v>
      </c>
      <c r="O164" s="21">
        <f t="shared" si="104"/>
        <v>520707.14453794115</v>
      </c>
      <c r="P164" s="21">
        <f t="shared" si="104"/>
        <v>578062.49865643273</v>
      </c>
      <c r="Q164" s="21">
        <f t="shared" si="104"/>
        <v>547636.53220840963</v>
      </c>
      <c r="R164" s="21">
        <f t="shared" si="104"/>
        <v>613793.40900052781</v>
      </c>
      <c r="S164" s="21">
        <f t="shared" si="104"/>
        <v>699464.81258643582</v>
      </c>
      <c r="T164" s="21">
        <f t="shared" si="104"/>
        <v>767534.02413887519</v>
      </c>
      <c r="U164" s="21">
        <f t="shared" si="104"/>
        <v>775645.7826802606</v>
      </c>
      <c r="V164" s="21">
        <f t="shared" si="104"/>
        <v>668835.95759417559</v>
      </c>
      <c r="W164" s="21">
        <f t="shared" si="104"/>
        <v>184044.28336796569</v>
      </c>
      <c r="X164" s="21">
        <f t="shared" si="104"/>
        <v>23174.025296203999</v>
      </c>
      <c r="Y164" s="21">
        <f t="shared" si="104"/>
        <v>409963.4404938122</v>
      </c>
      <c r="Z164" s="21">
        <f t="shared" si="104"/>
        <v>825285.96816797671</v>
      </c>
      <c r="AA164" s="21">
        <f t="shared" si="104"/>
        <v>1126043.9294530456</v>
      </c>
      <c r="AB164" s="21">
        <f t="shared" si="104"/>
        <v>797927.42711664294</v>
      </c>
      <c r="AC164" s="21">
        <f t="shared" si="104"/>
        <v>248580.56686371818</v>
      </c>
      <c r="AD164" s="21">
        <f t="shared" si="104"/>
        <v>12971.259206078947</v>
      </c>
      <c r="AE164" s="21">
        <f t="shared" si="104"/>
        <v>25919.573244432162</v>
      </c>
      <c r="AF164" s="21">
        <f t="shared" si="104"/>
        <v>141909.36147746985</v>
      </c>
    </row>
    <row r="165" spans="1:34" x14ac:dyDescent="0.25">
      <c r="A165" s="71">
        <f>SUM(B165:AF165)</f>
        <v>10240464.119936749</v>
      </c>
      <c r="B165" s="60">
        <f>IF($A$64&lt;=B129,IF($B$64&gt;=B129,ABS(B164),0),0)</f>
        <v>10143.256185861284</v>
      </c>
      <c r="C165" s="60">
        <f t="shared" ref="C165:AF165" si="105">IF($A$64&lt;=C129,IF($B$64&gt;=C129,ABS(C164),0),0)</f>
        <v>10170.375732864581</v>
      </c>
      <c r="D165" s="60">
        <f t="shared" si="105"/>
        <v>10290.469588313526</v>
      </c>
      <c r="E165" s="60">
        <f t="shared" si="105"/>
        <v>11585.122131780423</v>
      </c>
      <c r="F165" s="60">
        <f t="shared" si="105"/>
        <v>25650.670411711111</v>
      </c>
      <c r="G165" s="60">
        <f t="shared" si="105"/>
        <v>89118.636072739711</v>
      </c>
      <c r="H165" s="60">
        <f t="shared" si="105"/>
        <v>93091.918431660597</v>
      </c>
      <c r="I165" s="60">
        <f t="shared" si="105"/>
        <v>93106.063771623609</v>
      </c>
      <c r="J165" s="60">
        <f t="shared" si="105"/>
        <v>93248.46360997585</v>
      </c>
      <c r="K165" s="60">
        <f t="shared" si="105"/>
        <v>94672.51253525322</v>
      </c>
      <c r="L165" s="60">
        <f t="shared" si="105"/>
        <v>108869.13882252401</v>
      </c>
      <c r="M165" s="60">
        <f t="shared" si="105"/>
        <v>229696.53052718908</v>
      </c>
      <c r="N165" s="60">
        <f t="shared" si="105"/>
        <v>403320.96602484753</v>
      </c>
      <c r="O165" s="60">
        <f t="shared" si="105"/>
        <v>520707.14453794115</v>
      </c>
      <c r="P165" s="60">
        <f t="shared" si="105"/>
        <v>578062.49865643273</v>
      </c>
      <c r="Q165" s="60">
        <f t="shared" si="105"/>
        <v>547636.53220840963</v>
      </c>
      <c r="R165" s="60">
        <f t="shared" si="105"/>
        <v>613793.40900052781</v>
      </c>
      <c r="S165" s="60">
        <f t="shared" si="105"/>
        <v>699464.81258643582</v>
      </c>
      <c r="T165" s="60">
        <f t="shared" si="105"/>
        <v>767534.02413887519</v>
      </c>
      <c r="U165" s="60">
        <f t="shared" si="105"/>
        <v>775645.7826802606</v>
      </c>
      <c r="V165" s="60">
        <f t="shared" si="105"/>
        <v>668835.95759417559</v>
      </c>
      <c r="W165" s="60">
        <f t="shared" si="105"/>
        <v>184044.28336796569</v>
      </c>
      <c r="X165" s="60">
        <f t="shared" si="105"/>
        <v>23174.025296203999</v>
      </c>
      <c r="Y165" s="60">
        <f t="shared" si="105"/>
        <v>409963.4404938122</v>
      </c>
      <c r="Z165" s="60">
        <f t="shared" si="105"/>
        <v>825285.96816797671</v>
      </c>
      <c r="AA165" s="60">
        <f t="shared" si="105"/>
        <v>1126043.9294530456</v>
      </c>
      <c r="AB165" s="60">
        <f t="shared" si="105"/>
        <v>797927.42711664294</v>
      </c>
      <c r="AC165" s="60">
        <f t="shared" si="105"/>
        <v>248580.56686371818</v>
      </c>
      <c r="AD165" s="60">
        <f t="shared" si="105"/>
        <v>12971.259206078947</v>
      </c>
      <c r="AE165" s="60">
        <f t="shared" si="105"/>
        <v>25919.573244432162</v>
      </c>
      <c r="AF165" s="60">
        <f t="shared" si="105"/>
        <v>141909.36147746985</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7031.9211529245395</v>
      </c>
      <c r="C169" s="26">
        <f>INDEX(Comparison!$AM$3:$AS$33,G$14,$C$122)</f>
        <v>7031.9907762783369</v>
      </c>
      <c r="D169" s="26">
        <f>INDEX(Comparison!$AM$3:$AS$33,H$14,$C$122)</f>
        <v>7031.9539299810422</v>
      </c>
      <c r="E169" s="26">
        <f>INDEX(Comparison!$AM$3:$AS$33,I$14,$C$122)</f>
        <v>7031.9433621725511</v>
      </c>
      <c r="F169" s="26">
        <f>INDEX(Comparison!$AM$3:$AS$33,J$14,$C$122)</f>
        <v>7031.9306469370567</v>
      </c>
      <c r="G169" s="26">
        <f>INDEX(Comparison!$AM$3:$AS$33,K$14,$C$122)</f>
        <v>7031.8305090006179</v>
      </c>
      <c r="H169" s="26">
        <f>INDEX(Comparison!$AM$3:$AS$33,L$14,$C$122)</f>
        <v>7030.8436925650376</v>
      </c>
      <c r="I169" s="26">
        <f>INDEX(Comparison!$AM$3:$AS$33,M$14,$C$122)</f>
        <v>7021.3347469085647</v>
      </c>
      <c r="J169" s="26">
        <f>INDEX(Comparison!$AM$3:$AS$33,N$14,$C$122)</f>
        <v>6946.0273669032786</v>
      </c>
      <c r="K169" s="26">
        <f>INDEX(Comparison!$AM$3:$AS$33,O$14,$C$122)</f>
        <v>6777.7782322116691</v>
      </c>
      <c r="L169" s="26">
        <f>INDEX(Comparison!$AM$3:$AS$33,P$14,$C$122)</f>
        <v>6659.4311503256295</v>
      </c>
      <c r="M169" s="26">
        <f>INDEX(Comparison!$AM$3:$AS$33,Q$14,$C$122)</f>
        <v>6544.645454565718</v>
      </c>
      <c r="N169" s="26">
        <f>INDEX(Comparison!$AM$3:$AS$33,R$14,$C$122)</f>
        <v>6415.8365900058752</v>
      </c>
      <c r="O169" s="26">
        <f>INDEX(Comparison!$AM$3:$AS$33,S$14,$C$122)</f>
        <v>6279.1797519689544</v>
      </c>
      <c r="P169" s="26">
        <f>INDEX(Comparison!$AM$3:$AS$33,T$14,$C$122)</f>
        <v>6124.6018825038309</v>
      </c>
      <c r="Q169" s="26">
        <f>INDEX(Comparison!$AM$3:$AS$33,U$14,$C$122)</f>
        <v>5956.8287989294422</v>
      </c>
      <c r="R169" s="26">
        <f>INDEX(Comparison!$AM$3:$AS$33,V$14,$C$122)</f>
        <v>5777.56401011038</v>
      </c>
      <c r="S169" s="26">
        <f>INDEX(Comparison!$AM$3:$AS$33,W$14,$C$122)</f>
        <v>5602.1564627366897</v>
      </c>
      <c r="T169" s="26">
        <f>INDEX(Comparison!$AM$3:$AS$33,X$14,$C$122)</f>
        <v>5348.811853446321</v>
      </c>
      <c r="U169" s="26">
        <f>INDEX(Comparison!$AM$3:$AS$33,Y$14,$C$122)</f>
        <v>4793.3449045957559</v>
      </c>
      <c r="V169" s="26">
        <f>INDEX(Comparison!$AM$3:$AS$33,Z$14,$C$122)</f>
        <v>4005.8829435497059</v>
      </c>
      <c r="W169" s="26">
        <f>INDEX(Comparison!$AM$3:$AS$33,AA$14,$C$122)</f>
        <v>3346.4776601581179</v>
      </c>
      <c r="X169" s="26">
        <f>INDEX(Comparison!$AM$3:$AS$33,AB$14,$C$122)</f>
        <v>2892.1899665732253</v>
      </c>
      <c r="Y169" s="26">
        <f>INDEX(Comparison!$AM$3:$AS$33,AC$14,$C$122)</f>
        <v>2569.6224142495339</v>
      </c>
      <c r="Z169" s="26">
        <f>INDEX(Comparison!$AM$3:$AS$33,AD$14,$C$122)</f>
        <v>2337.0503651981739</v>
      </c>
      <c r="AA169" s="26">
        <f>INDEX(Comparison!$AM$3:$AS$33,AE$14,$C$122)</f>
        <v>2151.250620328482</v>
      </c>
      <c r="AB169" s="26">
        <f>INDEX(Comparison!$AM$3:$AS$33,AF$14,$C$122)</f>
        <v>1990.2744047049448</v>
      </c>
      <c r="AC169" s="26">
        <f>INDEX(Comparison!$AM$3:$AS$33,AG$14,$C$122)</f>
        <v>1828.3308494849296</v>
      </c>
      <c r="AD169" s="26">
        <f>INDEX(Comparison!$AM$3:$AS$33,AH$14,$C$122)</f>
        <v>1665.1765081389453</v>
      </c>
      <c r="AE169" s="26">
        <f>INDEX(Comparison!$AM$3:$AS$33,AI$14,$C$122)</f>
        <v>1489.3314845424752</v>
      </c>
      <c r="AF169" s="26">
        <f>INDEX(Comparison!$AM$3:$AS$33,AJ$14,$C$122)</f>
        <v>1297.0734642842888</v>
      </c>
      <c r="AG169" s="26"/>
      <c r="AH169" s="26"/>
    </row>
    <row r="170" spans="1:34" x14ac:dyDescent="0.25">
      <c r="A170" s="70" t="s">
        <v>22</v>
      </c>
      <c r="B170" s="27">
        <f>($C$17+SUM(B171:B201))*$B$51</f>
        <v>6955.2643434123629</v>
      </c>
      <c r="C170" s="27">
        <f t="shared" ref="C170:AF170" si="106">($C$17+SUM(C171:C201))*$B$51</f>
        <v>6815.5292728957802</v>
      </c>
      <c r="D170" s="27">
        <f t="shared" si="106"/>
        <v>6788.0272794368384</v>
      </c>
      <c r="E170" s="27">
        <f t="shared" si="106"/>
        <v>6788.013646453127</v>
      </c>
      <c r="F170" s="27">
        <f t="shared" si="106"/>
        <v>6787.877354537306</v>
      </c>
      <c r="G170" s="27">
        <f t="shared" si="106"/>
        <v>6786.5178240830601</v>
      </c>
      <c r="H170" s="27">
        <f t="shared" si="106"/>
        <v>6773.2556720225793</v>
      </c>
      <c r="I170" s="27">
        <f t="shared" si="106"/>
        <v>6668.8980894873102</v>
      </c>
      <c r="J170" s="27">
        <f t="shared" si="106"/>
        <v>6473.0961217664299</v>
      </c>
      <c r="K170" s="27">
        <f t="shared" si="106"/>
        <v>6385.7827357249525</v>
      </c>
      <c r="L170" s="27">
        <f t="shared" si="106"/>
        <v>6248.0382369124654</v>
      </c>
      <c r="M170" s="27">
        <f t="shared" si="106"/>
        <v>6109.5723838917947</v>
      </c>
      <c r="N170" s="27">
        <f t="shared" si="106"/>
        <v>5950.6409943629415</v>
      </c>
      <c r="O170" s="27">
        <f t="shared" si="106"/>
        <v>5781.1838140907985</v>
      </c>
      <c r="P170" s="27">
        <f t="shared" si="106"/>
        <v>5606.2481167376709</v>
      </c>
      <c r="Q170" s="27">
        <f t="shared" si="106"/>
        <v>5447.6009331471923</v>
      </c>
      <c r="R170" s="27">
        <f t="shared" si="106"/>
        <v>5245.4395218859208</v>
      </c>
      <c r="S170" s="27">
        <f t="shared" si="106"/>
        <v>5017.9613560200405</v>
      </c>
      <c r="T170" s="27">
        <f t="shared" si="106"/>
        <v>4779.1728748029764</v>
      </c>
      <c r="U170" s="27">
        <f t="shared" si="106"/>
        <v>4598.367291822864</v>
      </c>
      <c r="V170" s="27">
        <f t="shared" si="106"/>
        <v>4397.8105255106911</v>
      </c>
      <c r="W170" s="27">
        <f t="shared" si="106"/>
        <v>4203.0410225673622</v>
      </c>
      <c r="X170" s="27">
        <f t="shared" si="106"/>
        <v>3822.192550603294</v>
      </c>
      <c r="Y170" s="27">
        <f t="shared" si="106"/>
        <v>3250.522314728531</v>
      </c>
      <c r="Z170" s="27">
        <f t="shared" si="106"/>
        <v>2677.793486321636</v>
      </c>
      <c r="AA170" s="27">
        <f t="shared" si="106"/>
        <v>2223.8559975917306</v>
      </c>
      <c r="AB170" s="27">
        <f t="shared" si="106"/>
        <v>1867.167147765565</v>
      </c>
      <c r="AC170" s="27">
        <f t="shared" si="106"/>
        <v>1594.0429756127212</v>
      </c>
      <c r="AD170" s="27">
        <f t="shared" si="106"/>
        <v>1295.6006410596317</v>
      </c>
      <c r="AE170" s="27">
        <f t="shared" si="106"/>
        <v>1032.733178385567</v>
      </c>
      <c r="AF170" s="27">
        <f t="shared" si="106"/>
        <v>759.95967598698235</v>
      </c>
      <c r="AG170" s="27"/>
      <c r="AH170" s="27"/>
    </row>
    <row r="171" spans="1:34" x14ac:dyDescent="0.25">
      <c r="B171" s="3">
        <f t="shared" ref="B171:AF171" si="107">$C18*EXP(-B$168/$A18/EXP(-$C$126))</f>
        <v>2.3916731976922956E-2</v>
      </c>
      <c r="C171" s="3">
        <f t="shared" si="107"/>
        <v>3.9329266557341308E-3</v>
      </c>
      <c r="D171" s="3">
        <f t="shared" si="107"/>
        <v>5.6866428781587315E-11</v>
      </c>
      <c r="E171" s="3">
        <f t="shared" si="107"/>
        <v>2.2712086562913617E-89</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4.1217360012325864E-2</v>
      </c>
      <c r="C172" s="3">
        <f t="shared" si="108"/>
        <v>4.1217340953068622E-2</v>
      </c>
      <c r="D172" s="3">
        <f t="shared" si="108"/>
        <v>4.1217150360980871E-2</v>
      </c>
      <c r="E172" s="3">
        <f t="shared" si="108"/>
        <v>4.1215244488574894E-2</v>
      </c>
      <c r="F172" s="3">
        <f t="shared" si="108"/>
        <v>4.119619061083557E-2</v>
      </c>
      <c r="G172" s="3">
        <f t="shared" si="108"/>
        <v>4.100613563734961E-2</v>
      </c>
      <c r="H172" s="3">
        <f t="shared" si="108"/>
        <v>3.915314868587156E-2</v>
      </c>
      <c r="I172" s="3">
        <f t="shared" si="108"/>
        <v>2.4657281378473273E-2</v>
      </c>
      <c r="J172" s="3">
        <f t="shared" si="108"/>
        <v>2.419525293403183E-4</v>
      </c>
      <c r="K172" s="3">
        <f t="shared" si="108"/>
        <v>2.002534099154569E-24</v>
      </c>
      <c r="L172" s="3">
        <f t="shared" si="108"/>
        <v>3.0204903640699308E-225</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8.4212405424880545E-3</v>
      </c>
      <c r="C173" s="3">
        <f t="shared" si="109"/>
        <v>8.4212401912119924E-3</v>
      </c>
      <c r="D173" s="3">
        <f t="shared" si="109"/>
        <v>8.4212366784521802E-3</v>
      </c>
      <c r="E173" s="3">
        <f t="shared" si="109"/>
        <v>8.4212015509346535E-3</v>
      </c>
      <c r="F173" s="3">
        <f t="shared" si="109"/>
        <v>8.4208502838182802E-3</v>
      </c>
      <c r="G173" s="3">
        <f t="shared" si="109"/>
        <v>8.4173384184211813E-3</v>
      </c>
      <c r="H173" s="3">
        <f t="shared" si="109"/>
        <v>8.3823002168903205E-3</v>
      </c>
      <c r="I173" s="3">
        <f t="shared" si="109"/>
        <v>8.0398406497824634E-3</v>
      </c>
      <c r="J173" s="3">
        <f t="shared" si="109"/>
        <v>5.297729005985896E-3</v>
      </c>
      <c r="K173" s="3">
        <f t="shared" si="109"/>
        <v>8.1754698166720526E-5</v>
      </c>
      <c r="L173" s="3">
        <f t="shared" si="109"/>
        <v>6.2624247899486879E-23</v>
      </c>
      <c r="M173" s="3">
        <f t="shared" si="109"/>
        <v>4.3555254899963376E-204</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2.0973035598532978E-2</v>
      </c>
      <c r="C174" s="3">
        <f t="shared" si="110"/>
        <v>2.0973035519614196E-2</v>
      </c>
      <c r="D174" s="3">
        <f t="shared" si="110"/>
        <v>2.0973034730426388E-2</v>
      </c>
      <c r="E174" s="3">
        <f t="shared" si="110"/>
        <v>2.097302683854995E-2</v>
      </c>
      <c r="F174" s="3">
        <f t="shared" si="110"/>
        <v>2.0972947919948918E-2</v>
      </c>
      <c r="G174" s="3">
        <f t="shared" si="110"/>
        <v>2.0972158750271204E-2</v>
      </c>
      <c r="H174" s="3">
        <f t="shared" si="110"/>
        <v>2.0964268686527059E-2</v>
      </c>
      <c r="I174" s="3">
        <f t="shared" si="110"/>
        <v>2.0885531125255707E-2</v>
      </c>
      <c r="J174" s="3">
        <f t="shared" si="110"/>
        <v>2.0114238351998465E-2</v>
      </c>
      <c r="K174" s="3">
        <f t="shared" si="110"/>
        <v>1.3806521519063192E-2</v>
      </c>
      <c r="L174" s="3">
        <f t="shared" si="110"/>
        <v>3.2054654021580807E-4</v>
      </c>
      <c r="M174" s="3">
        <f t="shared" si="110"/>
        <v>1.4586775191039085E-20</v>
      </c>
      <c r="N174" s="3">
        <f t="shared" si="110"/>
        <v>5.5544524045500014E-184</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1.9327757440054247E-2</v>
      </c>
      <c r="C175" s="3">
        <f t="shared" si="111"/>
        <v>1.9327757433493593E-2</v>
      </c>
      <c r="D175" s="3">
        <f t="shared" si="111"/>
        <v>1.9327757367887052E-2</v>
      </c>
      <c r="E175" s="3">
        <f t="shared" si="111"/>
        <v>1.9327756711821659E-2</v>
      </c>
      <c r="F175" s="3">
        <f t="shared" si="111"/>
        <v>1.9327750151168929E-2</v>
      </c>
      <c r="G175" s="3">
        <f t="shared" si="111"/>
        <v>1.9327684544764138E-2</v>
      </c>
      <c r="H175" s="3">
        <f t="shared" si="111"/>
        <v>1.9327028492964311E-2</v>
      </c>
      <c r="I175" s="3">
        <f t="shared" si="111"/>
        <v>1.9320469199624289E-2</v>
      </c>
      <c r="J175" s="3">
        <f t="shared" si="111"/>
        <v>1.9254998578375752E-2</v>
      </c>
      <c r="K175" s="3">
        <f t="shared" si="111"/>
        <v>1.8612371349662513E-2</v>
      </c>
      <c r="L175" s="3">
        <f t="shared" si="111"/>
        <v>1.325512686841962E-2</v>
      </c>
      <c r="M175" s="3">
        <f t="shared" si="111"/>
        <v>4.4484190134270178E-4</v>
      </c>
      <c r="N175" s="3">
        <f t="shared" si="111"/>
        <v>8.0616452521199548E-19</v>
      </c>
      <c r="O175" s="3">
        <f t="shared" si="111"/>
        <v>3.080375309155302E-166</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2.3244089240853152E-2</v>
      </c>
      <c r="C176" s="3">
        <f t="shared" si="112"/>
        <v>2.3244089240141406E-2</v>
      </c>
      <c r="D176" s="3">
        <f t="shared" si="112"/>
        <v>2.324408923302395E-2</v>
      </c>
      <c r="E176" s="3">
        <f t="shared" si="112"/>
        <v>2.3244089161849391E-2</v>
      </c>
      <c r="F176" s="3">
        <f t="shared" si="112"/>
        <v>2.3244088450103791E-2</v>
      </c>
      <c r="G176" s="3">
        <f t="shared" si="112"/>
        <v>2.3244081332648998E-2</v>
      </c>
      <c r="H176" s="3">
        <f t="shared" si="112"/>
        <v>2.3244010158220953E-2</v>
      </c>
      <c r="I176" s="3">
        <f t="shared" si="112"/>
        <v>2.3243298425927053E-2</v>
      </c>
      <c r="J176" s="3">
        <f t="shared" si="112"/>
        <v>2.3236182301507459E-2</v>
      </c>
      <c r="K176" s="3">
        <f t="shared" si="112"/>
        <v>2.3165140773579469E-2</v>
      </c>
      <c r="L176" s="3">
        <f t="shared" si="112"/>
        <v>2.2466562591279143E-2</v>
      </c>
      <c r="M176" s="3">
        <f t="shared" si="112"/>
        <v>1.6540685048036755E-2</v>
      </c>
      <c r="N176" s="3">
        <f t="shared" si="112"/>
        <v>7.7396641508183008E-4</v>
      </c>
      <c r="O176" s="3">
        <f t="shared" si="112"/>
        <v>3.8941111998715793E-17</v>
      </c>
      <c r="P176" s="3">
        <f t="shared" si="112"/>
        <v>4.0482813051411825E-150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2.4746587765434692E-2</v>
      </c>
      <c r="C177" s="3">
        <f t="shared" si="113"/>
        <v>2.4746587765366337E-2</v>
      </c>
      <c r="D177" s="3">
        <f t="shared" si="113"/>
        <v>2.4746587764682779E-2</v>
      </c>
      <c r="E177" s="3">
        <f t="shared" si="113"/>
        <v>2.4746587757847219E-2</v>
      </c>
      <c r="F177" s="3">
        <f t="shared" si="113"/>
        <v>2.4746587689491607E-2</v>
      </c>
      <c r="G177" s="3">
        <f t="shared" si="113"/>
        <v>2.4746587005935492E-2</v>
      </c>
      <c r="H177" s="3">
        <f t="shared" si="113"/>
        <v>2.4746580170375395E-2</v>
      </c>
      <c r="I177" s="3">
        <f t="shared" si="113"/>
        <v>2.4746511814878289E-2</v>
      </c>
      <c r="J177" s="3">
        <f t="shared" si="113"/>
        <v>2.4745828270291828E-2</v>
      </c>
      <c r="K177" s="3">
        <f t="shared" si="113"/>
        <v>2.4738993862783529E-2</v>
      </c>
      <c r="L177" s="3">
        <f t="shared" si="113"/>
        <v>2.4670753517287734E-2</v>
      </c>
      <c r="M177" s="3">
        <f t="shared" si="113"/>
        <v>2.3998617785781488E-2</v>
      </c>
      <c r="N177" s="3">
        <f t="shared" si="113"/>
        <v>1.8206412392355101E-2</v>
      </c>
      <c r="O177" s="3">
        <f t="shared" si="113"/>
        <v>1.1497564183074347E-3</v>
      </c>
      <c r="P177" s="3">
        <f t="shared" si="113"/>
        <v>1.1598999027154426E-15</v>
      </c>
      <c r="Q177" s="3">
        <f t="shared" si="113"/>
        <v>1.2663892225319542E-135</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2.7326490980714994E-2</v>
      </c>
      <c r="C178" s="3">
        <f t="shared" si="114"/>
        <v>2.7326490980708183E-2</v>
      </c>
      <c r="D178" s="3">
        <f t="shared" si="114"/>
        <v>2.7326490980640095E-2</v>
      </c>
      <c r="E178" s="3">
        <f t="shared" si="114"/>
        <v>2.7326490979959185E-2</v>
      </c>
      <c r="F178" s="3">
        <f t="shared" si="114"/>
        <v>2.732649097315009E-2</v>
      </c>
      <c r="G178" s="3">
        <f t="shared" si="114"/>
        <v>2.7326490905059155E-2</v>
      </c>
      <c r="H178" s="3">
        <f t="shared" si="114"/>
        <v>2.7326490224149791E-2</v>
      </c>
      <c r="I178" s="3">
        <f t="shared" si="114"/>
        <v>2.7326483415057081E-2</v>
      </c>
      <c r="J178" s="3">
        <f t="shared" si="114"/>
        <v>2.7326415324223325E-2</v>
      </c>
      <c r="K178" s="3">
        <f t="shared" si="114"/>
        <v>2.7325734425217286E-2</v>
      </c>
      <c r="L178" s="3">
        <f t="shared" si="114"/>
        <v>2.7318926368224208E-2</v>
      </c>
      <c r="M178" s="3">
        <f t="shared" si="114"/>
        <v>2.7250939019054825E-2</v>
      </c>
      <c r="N178" s="3">
        <f t="shared" si="114"/>
        <v>2.6580302228489401E-2</v>
      </c>
      <c r="O178" s="3">
        <f t="shared" si="114"/>
        <v>2.0717833722830453E-2</v>
      </c>
      <c r="P178" s="3">
        <f t="shared" si="114"/>
        <v>1.7147018946199848E-3</v>
      </c>
      <c r="Q178" s="3">
        <f t="shared" si="114"/>
        <v>2.5860175805259402E-14</v>
      </c>
      <c r="R178" s="3">
        <f t="shared" si="114"/>
        <v>1.5742000651673679E-122</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2.1347831070203008E-2</v>
      </c>
      <c r="C179" s="3">
        <f t="shared" si="115"/>
        <v>2.1347831070202525E-2</v>
      </c>
      <c r="D179" s="3">
        <f t="shared" si="115"/>
        <v>2.1347831070197727E-2</v>
      </c>
      <c r="E179" s="3">
        <f t="shared" si="115"/>
        <v>2.1347831070149741E-2</v>
      </c>
      <c r="F179" s="3">
        <f t="shared" si="115"/>
        <v>2.1347831069669893E-2</v>
      </c>
      <c r="G179" s="3">
        <f t="shared" si="115"/>
        <v>2.1347831064871391E-2</v>
      </c>
      <c r="H179" s="3">
        <f t="shared" si="115"/>
        <v>2.1347831016886358E-2</v>
      </c>
      <c r="I179" s="3">
        <f t="shared" si="115"/>
        <v>2.1347830537036039E-2</v>
      </c>
      <c r="J179" s="3">
        <f t="shared" si="115"/>
        <v>2.134782573853343E-2</v>
      </c>
      <c r="K179" s="3">
        <f t="shared" si="115"/>
        <v>2.1347777753566693E-2</v>
      </c>
      <c r="L179" s="3">
        <f t="shared" si="115"/>
        <v>2.1347297909831538E-2</v>
      </c>
      <c r="M179" s="3">
        <f t="shared" si="115"/>
        <v>2.134250006565161E-2</v>
      </c>
      <c r="N179" s="3">
        <f t="shared" si="115"/>
        <v>2.1294580891714827E-2</v>
      </c>
      <c r="O179" s="3">
        <f t="shared" si="115"/>
        <v>2.0821266941946245E-2</v>
      </c>
      <c r="P179" s="3">
        <f t="shared" si="115"/>
        <v>1.6629825952482118E-2</v>
      </c>
      <c r="Q179" s="3">
        <f t="shared" si="115"/>
        <v>1.7566822855888575E-3</v>
      </c>
      <c r="R179" s="3">
        <f t="shared" si="115"/>
        <v>3.0391238693219628E-13</v>
      </c>
      <c r="S179" s="3">
        <f t="shared" si="115"/>
        <v>7.2996190822397188E-111</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3.0209322623129291E-2</v>
      </c>
      <c r="C180" s="3">
        <f t="shared" si="116"/>
        <v>3.0209322623129232E-2</v>
      </c>
      <c r="D180" s="3">
        <f t="shared" si="116"/>
        <v>3.0209322623128618E-2</v>
      </c>
      <c r="E180" s="3">
        <f t="shared" si="116"/>
        <v>3.0209322623122495E-2</v>
      </c>
      <c r="F180" s="3">
        <f t="shared" si="116"/>
        <v>3.0209322623061238E-2</v>
      </c>
      <c r="G180" s="3">
        <f t="shared" si="116"/>
        <v>3.020932262244869E-2</v>
      </c>
      <c r="H180" s="3">
        <f t="shared" si="116"/>
        <v>3.0209322616323218E-2</v>
      </c>
      <c r="I180" s="3">
        <f t="shared" si="116"/>
        <v>3.0209322555068488E-2</v>
      </c>
      <c r="J180" s="3">
        <f t="shared" si="116"/>
        <v>3.0209321942521218E-2</v>
      </c>
      <c r="K180" s="3">
        <f t="shared" si="116"/>
        <v>3.0209315817049182E-2</v>
      </c>
      <c r="L180" s="3">
        <f t="shared" si="116"/>
        <v>3.0209254562397134E-2</v>
      </c>
      <c r="M180" s="3">
        <f t="shared" si="116"/>
        <v>3.0208642022707847E-2</v>
      </c>
      <c r="N180" s="3">
        <f t="shared" si="116"/>
        <v>3.0202517308884246E-2</v>
      </c>
      <c r="O180" s="3">
        <f t="shared" si="116"/>
        <v>3.0141338426353751E-2</v>
      </c>
      <c r="P180" s="3">
        <f t="shared" si="116"/>
        <v>2.9536324239980202E-2</v>
      </c>
      <c r="Q180" s="3">
        <f t="shared" si="116"/>
        <v>2.4115461833334004E-2</v>
      </c>
      <c r="R180" s="3">
        <f t="shared" si="116"/>
        <v>3.1745849214560983E-3</v>
      </c>
      <c r="S180" s="3">
        <f t="shared" si="116"/>
        <v>4.9613584538670303E-12</v>
      </c>
      <c r="T180" s="3">
        <f t="shared" si="116"/>
        <v>4.312580055383787E-100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3.3829577920917731E-2</v>
      </c>
      <c r="C181" s="3">
        <f t="shared" si="117"/>
        <v>3.3829577920917724E-2</v>
      </c>
      <c r="D181" s="3">
        <f t="shared" si="117"/>
        <v>3.3829577920917661E-2</v>
      </c>
      <c r="E181" s="3">
        <f t="shared" si="117"/>
        <v>3.3829577920917044E-2</v>
      </c>
      <c r="F181" s="3">
        <f t="shared" si="117"/>
        <v>3.3829577920910854E-2</v>
      </c>
      <c r="G181" s="3">
        <f t="shared" si="117"/>
        <v>3.3829577920848973E-2</v>
      </c>
      <c r="H181" s="3">
        <f t="shared" si="117"/>
        <v>3.382957792023019E-2</v>
      </c>
      <c r="I181" s="3">
        <f t="shared" si="117"/>
        <v>3.3829577914042307E-2</v>
      </c>
      <c r="J181" s="3">
        <f t="shared" si="117"/>
        <v>3.382957785216352E-2</v>
      </c>
      <c r="K181" s="3">
        <f t="shared" si="117"/>
        <v>3.3829577233375652E-2</v>
      </c>
      <c r="L181" s="3">
        <f t="shared" si="117"/>
        <v>3.3829571045497546E-2</v>
      </c>
      <c r="M181" s="3">
        <f t="shared" si="117"/>
        <v>3.3829509166778772E-2</v>
      </c>
      <c r="N181" s="3">
        <f t="shared" si="117"/>
        <v>3.3828890385816143E-2</v>
      </c>
      <c r="O181" s="3">
        <f t="shared" si="117"/>
        <v>3.382270319865785E-2</v>
      </c>
      <c r="P181" s="3">
        <f t="shared" si="117"/>
        <v>3.3760893531770954E-2</v>
      </c>
      <c r="Q181" s="3">
        <f t="shared" si="117"/>
        <v>3.3148975438851987E-2</v>
      </c>
      <c r="R181" s="3">
        <f t="shared" si="117"/>
        <v>2.7607805401591332E-2</v>
      </c>
      <c r="S181" s="3">
        <f t="shared" si="117"/>
        <v>4.4325091146809308E-3</v>
      </c>
      <c r="T181" s="3">
        <f t="shared" si="117"/>
        <v>5.0446049259206814E-11</v>
      </c>
      <c r="U181" s="3">
        <f t="shared" si="117"/>
        <v>1.8390874581074163E-90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3.878496748676441E-2</v>
      </c>
      <c r="C182" s="3">
        <f t="shared" si="118"/>
        <v>3.878496748676441E-2</v>
      </c>
      <c r="D182" s="3">
        <f t="shared" si="118"/>
        <v>3.8784967486764403E-2</v>
      </c>
      <c r="E182" s="3">
        <f t="shared" si="118"/>
        <v>3.8784967486764334E-2</v>
      </c>
      <c r="F182" s="3">
        <f t="shared" si="118"/>
        <v>3.8784967486763702E-2</v>
      </c>
      <c r="G182" s="3">
        <f t="shared" si="118"/>
        <v>3.8784967486757298E-2</v>
      </c>
      <c r="H182" s="3">
        <f t="shared" si="118"/>
        <v>3.8784967486693307E-2</v>
      </c>
      <c r="I182" s="3">
        <f t="shared" si="118"/>
        <v>3.878496748605334E-2</v>
      </c>
      <c r="J182" s="3">
        <f t="shared" si="118"/>
        <v>3.8784967479653702E-2</v>
      </c>
      <c r="K182" s="3">
        <f t="shared" si="118"/>
        <v>3.8784967415657345E-2</v>
      </c>
      <c r="L182" s="3">
        <f t="shared" si="118"/>
        <v>3.8784966775693798E-2</v>
      </c>
      <c r="M182" s="3">
        <f t="shared" si="118"/>
        <v>3.8784960376058907E-2</v>
      </c>
      <c r="N182" s="3">
        <f t="shared" si="118"/>
        <v>3.8784896379768022E-2</v>
      </c>
      <c r="O182" s="3">
        <f t="shared" si="118"/>
        <v>3.8784256422666918E-2</v>
      </c>
      <c r="P182" s="3">
        <f t="shared" si="118"/>
        <v>3.8777857432393932E-2</v>
      </c>
      <c r="Q182" s="3">
        <f t="shared" si="118"/>
        <v>3.871392556802998E-2</v>
      </c>
      <c r="R182" s="3">
        <f t="shared" si="118"/>
        <v>3.8080375483757763E-2</v>
      </c>
      <c r="S182" s="3">
        <f t="shared" si="118"/>
        <v>3.228801413138209E-2</v>
      </c>
      <c r="T182" s="3">
        <f t="shared" si="118"/>
        <v>6.2007248564143339E-3</v>
      </c>
      <c r="U182" s="3">
        <f t="shared" si="118"/>
        <v>4.2311042269209168E-10</v>
      </c>
      <c r="V182" s="3">
        <f t="shared" si="118"/>
        <v>9.2590483329717023E-82</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2.3192888824780992E-2</v>
      </c>
      <c r="C183" s="3">
        <f t="shared" si="119"/>
        <v>2.3192888824780992E-2</v>
      </c>
      <c r="D183" s="3">
        <f t="shared" si="119"/>
        <v>2.3192888824780992E-2</v>
      </c>
      <c r="E183" s="3">
        <f t="shared" si="119"/>
        <v>2.3192888824780988E-2</v>
      </c>
      <c r="F183" s="3">
        <f t="shared" si="119"/>
        <v>2.3192888824780954E-2</v>
      </c>
      <c r="G183" s="3">
        <f t="shared" si="119"/>
        <v>2.3192888824780607E-2</v>
      </c>
      <c r="H183" s="3">
        <f t="shared" si="119"/>
        <v>2.3192888824777155E-2</v>
      </c>
      <c r="I183" s="3">
        <f t="shared" si="119"/>
        <v>2.3192888824742634E-2</v>
      </c>
      <c r="J183" s="3">
        <f t="shared" si="119"/>
        <v>2.3192888824397417E-2</v>
      </c>
      <c r="K183" s="3">
        <f t="shared" si="119"/>
        <v>2.3192888820945237E-2</v>
      </c>
      <c r="L183" s="3">
        <f t="shared" si="119"/>
        <v>2.3192888786423452E-2</v>
      </c>
      <c r="M183" s="3">
        <f t="shared" si="119"/>
        <v>2.3192888441205602E-2</v>
      </c>
      <c r="N183" s="3">
        <f t="shared" si="119"/>
        <v>2.3192884989027388E-2</v>
      </c>
      <c r="O183" s="3">
        <f t="shared" si="119"/>
        <v>2.3192850467273502E-2</v>
      </c>
      <c r="P183" s="3">
        <f t="shared" si="119"/>
        <v>2.3192505252560766E-2</v>
      </c>
      <c r="Q183" s="3">
        <f t="shared" si="119"/>
        <v>2.3189053388030567E-2</v>
      </c>
      <c r="R183" s="3">
        <f t="shared" si="119"/>
        <v>2.3154562986885206E-2</v>
      </c>
      <c r="S183" s="3">
        <f t="shared" si="119"/>
        <v>2.2812467897882136E-2</v>
      </c>
      <c r="T183" s="3">
        <f t="shared" si="119"/>
        <v>1.9657536499141929E-2</v>
      </c>
      <c r="U183" s="3">
        <f t="shared" si="119"/>
        <v>4.4370803296894653E-3</v>
      </c>
      <c r="V183" s="3">
        <f t="shared" si="119"/>
        <v>1.5232784478403096E-9</v>
      </c>
      <c r="W183" s="3">
        <f t="shared" si="119"/>
        <v>3.464171298557319E-74</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3.3182413237330913E-2</v>
      </c>
      <c r="C184" s="3">
        <f t="shared" si="120"/>
        <v>3.3182413237330913E-2</v>
      </c>
      <c r="D184" s="3">
        <f t="shared" si="120"/>
        <v>3.3182413237330913E-2</v>
      </c>
      <c r="E184" s="3">
        <f t="shared" si="120"/>
        <v>3.3182413237330913E-2</v>
      </c>
      <c r="F184" s="3">
        <f t="shared" si="120"/>
        <v>3.3182413237330906E-2</v>
      </c>
      <c r="G184" s="3">
        <f t="shared" si="120"/>
        <v>3.3182413237330864E-2</v>
      </c>
      <c r="H184" s="3">
        <f t="shared" si="120"/>
        <v>3.318241323733042E-2</v>
      </c>
      <c r="I184" s="3">
        <f t="shared" si="120"/>
        <v>3.3182413237325958E-2</v>
      </c>
      <c r="J184" s="3">
        <f t="shared" si="120"/>
        <v>3.3182413237281411E-2</v>
      </c>
      <c r="K184" s="3">
        <f t="shared" si="120"/>
        <v>3.3182413236835864E-2</v>
      </c>
      <c r="L184" s="3">
        <f t="shared" si="120"/>
        <v>3.3182413232380394E-2</v>
      </c>
      <c r="M184" s="3">
        <f t="shared" si="120"/>
        <v>3.3182413187825756E-2</v>
      </c>
      <c r="N184" s="3">
        <f t="shared" si="120"/>
        <v>3.3182412742279337E-2</v>
      </c>
      <c r="O184" s="3">
        <f t="shared" si="120"/>
        <v>3.3182408286815492E-2</v>
      </c>
      <c r="P184" s="3">
        <f t="shared" si="120"/>
        <v>3.3182363732209966E-2</v>
      </c>
      <c r="Q184" s="3">
        <f t="shared" si="120"/>
        <v>3.3181918189444964E-2</v>
      </c>
      <c r="R184" s="3">
        <f t="shared" si="120"/>
        <v>3.317746309081071E-2</v>
      </c>
      <c r="S184" s="3">
        <f t="shared" si="120"/>
        <v>3.3132944989701811E-2</v>
      </c>
      <c r="T184" s="3">
        <f t="shared" si="120"/>
        <v>3.269103622291001E-2</v>
      </c>
      <c r="U184" s="3">
        <f t="shared" si="120"/>
        <v>2.8583483836648348E-2</v>
      </c>
      <c r="V184" s="3">
        <f t="shared" si="120"/>
        <v>7.4641421165719769E-3</v>
      </c>
      <c r="W184" s="3">
        <f t="shared" si="120"/>
        <v>1.1005943775240234E-8</v>
      </c>
      <c r="X184" s="3">
        <f t="shared" si="120"/>
        <v>5.3468892780007022E-67</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2.0402015949426134E-2</v>
      </c>
      <c r="C185" s="3">
        <f t="shared" si="121"/>
        <v>2.0402015949426134E-2</v>
      </c>
      <c r="D185" s="3">
        <f t="shared" si="121"/>
        <v>2.0402015949426134E-2</v>
      </c>
      <c r="E185" s="3">
        <f t="shared" si="121"/>
        <v>2.0402015949426134E-2</v>
      </c>
      <c r="F185" s="3">
        <f t="shared" si="121"/>
        <v>2.0402015949426134E-2</v>
      </c>
      <c r="G185" s="3">
        <f t="shared" si="121"/>
        <v>2.0402015949426131E-2</v>
      </c>
      <c r="H185" s="3">
        <f t="shared" si="121"/>
        <v>2.0402015949426106E-2</v>
      </c>
      <c r="I185" s="3">
        <f t="shared" si="121"/>
        <v>2.040201594942586E-2</v>
      </c>
      <c r="J185" s="3">
        <f t="shared" si="121"/>
        <v>2.040201594942339E-2</v>
      </c>
      <c r="K185" s="3">
        <f t="shared" si="121"/>
        <v>2.0402015949398677E-2</v>
      </c>
      <c r="L185" s="3">
        <f t="shared" si="121"/>
        <v>2.0402015949151558E-2</v>
      </c>
      <c r="M185" s="3">
        <f t="shared" si="121"/>
        <v>2.0402015946680375E-2</v>
      </c>
      <c r="N185" s="3">
        <f t="shared" si="121"/>
        <v>2.040201592196856E-2</v>
      </c>
      <c r="O185" s="3">
        <f t="shared" si="121"/>
        <v>2.04020156748504E-2</v>
      </c>
      <c r="P185" s="3">
        <f t="shared" si="121"/>
        <v>2.040201320366896E-2</v>
      </c>
      <c r="Q185" s="3">
        <f t="shared" si="121"/>
        <v>2.0401988491871033E-2</v>
      </c>
      <c r="R185" s="3">
        <f t="shared" si="121"/>
        <v>2.0401741375538011E-2</v>
      </c>
      <c r="S185" s="3">
        <f t="shared" si="121"/>
        <v>2.039927037682578E-2</v>
      </c>
      <c r="T185" s="3">
        <f t="shared" si="121"/>
        <v>2.0374576844128002E-2</v>
      </c>
      <c r="U185" s="3">
        <f t="shared" si="121"/>
        <v>2.0129279609215383E-2</v>
      </c>
      <c r="V185" s="3">
        <f t="shared" si="121"/>
        <v>1.7833007030461555E-2</v>
      </c>
      <c r="W185" s="3">
        <f t="shared" si="121"/>
        <v>5.3111438370487367E-3</v>
      </c>
      <c r="X185" s="3">
        <f t="shared" si="121"/>
        <v>2.9162374798396266E-8</v>
      </c>
      <c r="Y185" s="3">
        <f t="shared" si="121"/>
        <v>7.2639212625671953E-61</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6.6904612026051358E-2</v>
      </c>
      <c r="C186" s="3">
        <f t="shared" si="122"/>
        <v>6.6904612026051358E-2</v>
      </c>
      <c r="D186" s="3">
        <f t="shared" si="122"/>
        <v>6.6904612026051358E-2</v>
      </c>
      <c r="E186" s="3">
        <f t="shared" si="122"/>
        <v>6.6904612026051358E-2</v>
      </c>
      <c r="F186" s="3">
        <f t="shared" si="122"/>
        <v>6.6904612026051358E-2</v>
      </c>
      <c r="G186" s="3">
        <f t="shared" si="122"/>
        <v>6.6904612026051358E-2</v>
      </c>
      <c r="H186" s="3">
        <f t="shared" si="122"/>
        <v>6.6904612026051344E-2</v>
      </c>
      <c r="I186" s="3">
        <f t="shared" si="122"/>
        <v>6.6904612026051274E-2</v>
      </c>
      <c r="J186" s="3">
        <f t="shared" si="122"/>
        <v>6.6904612026050553E-2</v>
      </c>
      <c r="K186" s="3">
        <f t="shared" si="122"/>
        <v>6.6904612026043225E-2</v>
      </c>
      <c r="L186" s="3">
        <f t="shared" si="122"/>
        <v>6.6904612025970131E-2</v>
      </c>
      <c r="M186" s="3">
        <f t="shared" si="122"/>
        <v>6.6904612025239105E-2</v>
      </c>
      <c r="N186" s="3">
        <f t="shared" si="122"/>
        <v>6.6904612017928813E-2</v>
      </c>
      <c r="O186" s="3">
        <f t="shared" si="122"/>
        <v>6.6904611944825984E-2</v>
      </c>
      <c r="P186" s="3">
        <f t="shared" si="122"/>
        <v>6.6904611213797621E-2</v>
      </c>
      <c r="Q186" s="3">
        <f t="shared" si="122"/>
        <v>6.6904603903514437E-2</v>
      </c>
      <c r="R186" s="3">
        <f t="shared" si="122"/>
        <v>6.6904530800726447E-2</v>
      </c>
      <c r="S186" s="3">
        <f t="shared" si="122"/>
        <v>6.6903799777239828E-2</v>
      </c>
      <c r="T186" s="3">
        <f t="shared" si="122"/>
        <v>6.6896489981667848E-2</v>
      </c>
      <c r="U186" s="3">
        <f t="shared" si="122"/>
        <v>6.6823435937625297E-2</v>
      </c>
      <c r="V186" s="3">
        <f t="shared" si="122"/>
        <v>6.6097268964171577E-2</v>
      </c>
      <c r="W186" s="3">
        <f t="shared" si="122"/>
        <v>5.9255769925780105E-2</v>
      </c>
      <c r="X186" s="3">
        <f t="shared" si="122"/>
        <v>1.987018655143552E-2</v>
      </c>
      <c r="Y186" s="3">
        <f t="shared" si="122"/>
        <v>3.5720286667651787E-7</v>
      </c>
      <c r="Z186" s="3">
        <f t="shared" si="122"/>
        <v>1.2590554186699291E-54</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9.6702955914687194E-2</v>
      </c>
      <c r="C187" s="3">
        <f t="shared" si="123"/>
        <v>9.6702955914687194E-2</v>
      </c>
      <c r="D187" s="3">
        <f t="shared" si="123"/>
        <v>9.6702955914687194E-2</v>
      </c>
      <c r="E187" s="3">
        <f t="shared" si="123"/>
        <v>9.6702955914687194E-2</v>
      </c>
      <c r="F187" s="3">
        <f t="shared" si="123"/>
        <v>9.6702955914687194E-2</v>
      </c>
      <c r="G187" s="3">
        <f t="shared" si="123"/>
        <v>9.6702955914687194E-2</v>
      </c>
      <c r="H187" s="3">
        <f t="shared" si="123"/>
        <v>9.6702955914687194E-2</v>
      </c>
      <c r="I187" s="3">
        <f t="shared" si="123"/>
        <v>9.670295591468718E-2</v>
      </c>
      <c r="J187" s="3">
        <f t="shared" si="123"/>
        <v>9.6702955914687083E-2</v>
      </c>
      <c r="K187" s="3">
        <f t="shared" si="123"/>
        <v>9.6702955914686126E-2</v>
      </c>
      <c r="L187" s="3">
        <f t="shared" si="123"/>
        <v>9.6702955914676605E-2</v>
      </c>
      <c r="M187" s="3">
        <f t="shared" si="123"/>
        <v>9.6702955914581293E-2</v>
      </c>
      <c r="N187" s="3">
        <f t="shared" si="123"/>
        <v>9.6702955913628139E-2</v>
      </c>
      <c r="O187" s="3">
        <f t="shared" si="123"/>
        <v>9.6702955904096555E-2</v>
      </c>
      <c r="P187" s="3">
        <f t="shared" si="123"/>
        <v>9.6702955808780841E-2</v>
      </c>
      <c r="Q187" s="3">
        <f t="shared" si="123"/>
        <v>9.6702954855623691E-2</v>
      </c>
      <c r="R187" s="3">
        <f t="shared" si="123"/>
        <v>9.6702945324052686E-2</v>
      </c>
      <c r="S187" s="3">
        <f t="shared" si="123"/>
        <v>9.6702850008394237E-2</v>
      </c>
      <c r="T187" s="3">
        <f t="shared" si="123"/>
        <v>9.6701896856976929E-2</v>
      </c>
      <c r="U187" s="3">
        <f t="shared" si="123"/>
        <v>9.6692365859499016E-2</v>
      </c>
      <c r="V187" s="3">
        <f t="shared" si="123"/>
        <v>9.6597107535394494E-2</v>
      </c>
      <c r="W187" s="3">
        <f t="shared" si="123"/>
        <v>9.5649670574781798E-2</v>
      </c>
      <c r="X187" s="3">
        <f t="shared" si="123"/>
        <v>8.6671645536770939E-2</v>
      </c>
      <c r="Y187" s="3">
        <f t="shared" si="123"/>
        <v>3.2345411223241756E-2</v>
      </c>
      <c r="Z187" s="3">
        <f t="shared" si="123"/>
        <v>1.694997355734329E-6</v>
      </c>
      <c r="AA187" s="3">
        <f t="shared" si="123"/>
        <v>2.6468693570223463E-49</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8.3641263972904237E-2</v>
      </c>
      <c r="C188" s="3">
        <f t="shared" si="124"/>
        <v>8.3641263972904237E-2</v>
      </c>
      <c r="D188" s="3">
        <f t="shared" si="124"/>
        <v>8.3641263972904237E-2</v>
      </c>
      <c r="E188" s="3">
        <f t="shared" si="124"/>
        <v>8.3641263972904237E-2</v>
      </c>
      <c r="F188" s="3">
        <f t="shared" si="124"/>
        <v>8.3641263972904237E-2</v>
      </c>
      <c r="G188" s="3">
        <f t="shared" si="124"/>
        <v>8.3641263972904237E-2</v>
      </c>
      <c r="H188" s="3">
        <f t="shared" si="124"/>
        <v>8.3641263972904237E-2</v>
      </c>
      <c r="I188" s="3">
        <f t="shared" si="124"/>
        <v>8.3641263972904237E-2</v>
      </c>
      <c r="J188" s="3">
        <f t="shared" si="124"/>
        <v>8.3641263972904223E-2</v>
      </c>
      <c r="K188" s="3">
        <f t="shared" si="124"/>
        <v>8.3641263972904153E-2</v>
      </c>
      <c r="L188" s="3">
        <f t="shared" si="124"/>
        <v>8.3641263972903404E-2</v>
      </c>
      <c r="M188" s="3">
        <f t="shared" si="124"/>
        <v>8.3641263972895966E-2</v>
      </c>
      <c r="N188" s="3">
        <f t="shared" si="124"/>
        <v>8.3641263972821595E-2</v>
      </c>
      <c r="O188" s="3">
        <f t="shared" si="124"/>
        <v>8.3641263972077912E-2</v>
      </c>
      <c r="P188" s="3">
        <f t="shared" si="124"/>
        <v>8.3641263964641013E-2</v>
      </c>
      <c r="Q188" s="3">
        <f t="shared" si="124"/>
        <v>8.3641263890272016E-2</v>
      </c>
      <c r="R188" s="3">
        <f t="shared" si="124"/>
        <v>8.3641263146582018E-2</v>
      </c>
      <c r="S188" s="3">
        <f t="shared" si="124"/>
        <v>8.3641255709682408E-2</v>
      </c>
      <c r="T188" s="3">
        <f t="shared" si="124"/>
        <v>8.3641181340722667E-2</v>
      </c>
      <c r="U188" s="3">
        <f t="shared" si="124"/>
        <v>8.3640437654762062E-2</v>
      </c>
      <c r="V188" s="3">
        <f t="shared" si="124"/>
        <v>8.3633001158828213E-2</v>
      </c>
      <c r="W188" s="3">
        <f t="shared" si="124"/>
        <v>8.3558672554749178E-2</v>
      </c>
      <c r="X188" s="3">
        <f t="shared" si="124"/>
        <v>8.2819010108041088E-2</v>
      </c>
      <c r="Y188" s="3">
        <f t="shared" si="124"/>
        <v>7.577310228731568E-2</v>
      </c>
      <c r="Z188" s="3">
        <f t="shared" si="124"/>
        <v>3.1143355230668676E-2</v>
      </c>
      <c r="AA188" s="3">
        <f t="shared" si="124"/>
        <v>4.2841898725025735E-6</v>
      </c>
      <c r="AB188" s="3">
        <f t="shared" si="124"/>
        <v>1.0396850944606151E-44</v>
      </c>
      <c r="AC188" s="3">
        <f t="shared" si="124"/>
        <v>0</v>
      </c>
      <c r="AD188" s="3">
        <f t="shared" si="124"/>
        <v>0</v>
      </c>
      <c r="AE188" s="3">
        <f t="shared" si="124"/>
        <v>0</v>
      </c>
      <c r="AF188" s="3">
        <f t="shared" si="124"/>
        <v>0</v>
      </c>
      <c r="AG188" s="3"/>
      <c r="AH188" s="3"/>
    </row>
    <row r="189" spans="2:34" x14ac:dyDescent="0.25">
      <c r="B189" s="3">
        <f t="shared" ref="B189:AF189" si="125">$C36*EXP(-B$168/$A36/EXP(-$C$126))</f>
        <v>5.9421998861156927E-2</v>
      </c>
      <c r="C189" s="3">
        <f t="shared" si="125"/>
        <v>5.9421998861156927E-2</v>
      </c>
      <c r="D189" s="3">
        <f t="shared" si="125"/>
        <v>5.9421998861156927E-2</v>
      </c>
      <c r="E189" s="3">
        <f t="shared" si="125"/>
        <v>5.9421998861156927E-2</v>
      </c>
      <c r="F189" s="3">
        <f t="shared" si="125"/>
        <v>5.9421998861156927E-2</v>
      </c>
      <c r="G189" s="3">
        <f t="shared" si="125"/>
        <v>5.9421998861156927E-2</v>
      </c>
      <c r="H189" s="3">
        <f t="shared" si="125"/>
        <v>5.9421998861156927E-2</v>
      </c>
      <c r="I189" s="3">
        <f t="shared" si="125"/>
        <v>5.9421998861156927E-2</v>
      </c>
      <c r="J189" s="3">
        <f t="shared" si="125"/>
        <v>5.9421998861156927E-2</v>
      </c>
      <c r="K189" s="3">
        <f t="shared" si="125"/>
        <v>5.942199886115692E-2</v>
      </c>
      <c r="L189" s="3">
        <f t="shared" si="125"/>
        <v>5.9421998861156872E-2</v>
      </c>
      <c r="M189" s="3">
        <f t="shared" si="125"/>
        <v>5.94219988611564E-2</v>
      </c>
      <c r="N189" s="3">
        <f t="shared" si="125"/>
        <v>5.9421998861151633E-2</v>
      </c>
      <c r="O189" s="3">
        <f t="shared" si="125"/>
        <v>5.942199886110397E-2</v>
      </c>
      <c r="P189" s="3">
        <f t="shared" si="125"/>
        <v>5.9421998860627358E-2</v>
      </c>
      <c r="Q189" s="3">
        <f t="shared" si="125"/>
        <v>5.9421998855861233E-2</v>
      </c>
      <c r="R189" s="3">
        <f t="shared" si="125"/>
        <v>5.9421998808200011E-2</v>
      </c>
      <c r="S189" s="3">
        <f t="shared" si="125"/>
        <v>5.9421998331587761E-2</v>
      </c>
      <c r="T189" s="3">
        <f t="shared" si="125"/>
        <v>5.9421993565465465E-2</v>
      </c>
      <c r="U189" s="3">
        <f t="shared" si="125"/>
        <v>5.9421945904263536E-2</v>
      </c>
      <c r="V189" s="3">
        <f t="shared" si="125"/>
        <v>5.9421469294346795E-2</v>
      </c>
      <c r="W189" s="3">
        <f t="shared" si="125"/>
        <v>5.9416703405427186E-2</v>
      </c>
      <c r="X189" s="3">
        <f t="shared" si="125"/>
        <v>5.9369065534775778E-2</v>
      </c>
      <c r="Y189" s="3">
        <f t="shared" si="125"/>
        <v>5.8894782458418081E-2</v>
      </c>
      <c r="Z189" s="3">
        <f t="shared" si="125"/>
        <v>5.4355426697230605E-2</v>
      </c>
      <c r="AA189" s="3">
        <f t="shared" si="125"/>
        <v>2.4372707889229114E-2</v>
      </c>
      <c r="AB189" s="3">
        <f t="shared" si="125"/>
        <v>8.0077872096428289E-6</v>
      </c>
      <c r="AC189" s="3">
        <f t="shared" si="125"/>
        <v>1.1738157468200171E-40</v>
      </c>
      <c r="AD189" s="3">
        <f t="shared" si="125"/>
        <v>0</v>
      </c>
      <c r="AE189" s="3">
        <f t="shared" si="125"/>
        <v>0</v>
      </c>
      <c r="AF189" s="3">
        <f t="shared" si="125"/>
        <v>0</v>
      </c>
      <c r="AG189" s="3"/>
      <c r="AH189" s="3"/>
    </row>
    <row r="190" spans="2:34" x14ac:dyDescent="0.25">
      <c r="B190" s="3">
        <f t="shared" ref="B190:AF190" si="126">$C37*EXP(-B$168/$A37/EXP(-$C$126))</f>
        <v>5.182495758409756E-2</v>
      </c>
      <c r="C190" s="3">
        <f t="shared" si="126"/>
        <v>5.182495758409756E-2</v>
      </c>
      <c r="D190" s="3">
        <f t="shared" si="126"/>
        <v>5.182495758409756E-2</v>
      </c>
      <c r="E190" s="3">
        <f t="shared" si="126"/>
        <v>5.182495758409756E-2</v>
      </c>
      <c r="F190" s="3">
        <f t="shared" si="126"/>
        <v>5.182495758409756E-2</v>
      </c>
      <c r="G190" s="3">
        <f t="shared" si="126"/>
        <v>5.182495758409756E-2</v>
      </c>
      <c r="H190" s="3">
        <f t="shared" si="126"/>
        <v>5.182495758409756E-2</v>
      </c>
      <c r="I190" s="3">
        <f t="shared" si="126"/>
        <v>5.182495758409756E-2</v>
      </c>
      <c r="J190" s="3">
        <f t="shared" si="126"/>
        <v>5.182495758409756E-2</v>
      </c>
      <c r="K190" s="3">
        <f t="shared" si="126"/>
        <v>5.182495758409756E-2</v>
      </c>
      <c r="L190" s="3">
        <f t="shared" si="126"/>
        <v>5.1824957584097553E-2</v>
      </c>
      <c r="M190" s="3">
        <f t="shared" si="126"/>
        <v>5.1824957584097518E-2</v>
      </c>
      <c r="N190" s="3">
        <f t="shared" si="126"/>
        <v>5.1824957584097144E-2</v>
      </c>
      <c r="O190" s="3">
        <f t="shared" si="126"/>
        <v>5.1824957584093397E-2</v>
      </c>
      <c r="P190" s="3">
        <f t="shared" si="126"/>
        <v>5.1824957584055899E-2</v>
      </c>
      <c r="Q190" s="3">
        <f t="shared" si="126"/>
        <v>5.1824957583680921E-2</v>
      </c>
      <c r="R190" s="3">
        <f t="shared" si="126"/>
        <v>5.1824957579931163E-2</v>
      </c>
      <c r="S190" s="3">
        <f t="shared" si="126"/>
        <v>5.1824957542433554E-2</v>
      </c>
      <c r="T190" s="3">
        <f t="shared" si="126"/>
        <v>5.1824957167457539E-2</v>
      </c>
      <c r="U190" s="3">
        <f t="shared" si="126"/>
        <v>5.1824953417697529E-2</v>
      </c>
      <c r="V190" s="3">
        <f t="shared" si="126"/>
        <v>5.1824915920112319E-2</v>
      </c>
      <c r="W190" s="3">
        <f t="shared" si="126"/>
        <v>5.1824540945752458E-2</v>
      </c>
      <c r="X190" s="3">
        <f t="shared" si="126"/>
        <v>5.1820791351370604E-2</v>
      </c>
      <c r="Y190" s="3">
        <f t="shared" si="126"/>
        <v>5.178331032524084E-2</v>
      </c>
      <c r="Z190" s="3">
        <f t="shared" si="126"/>
        <v>5.1409987846910282E-2</v>
      </c>
      <c r="AA190" s="3">
        <f t="shared" si="126"/>
        <v>4.7821634314634501E-2</v>
      </c>
      <c r="AB190" s="3">
        <f t="shared" si="126"/>
        <v>2.3194955493423652E-2</v>
      </c>
      <c r="AC190" s="3">
        <f t="shared" si="126"/>
        <v>1.6714170860186821E-5</v>
      </c>
      <c r="AD190" s="3">
        <f t="shared" si="126"/>
        <v>6.3095411383005861E-37</v>
      </c>
      <c r="AE190" s="3">
        <f t="shared" si="126"/>
        <v>0</v>
      </c>
      <c r="AF190" s="3">
        <f t="shared" si="126"/>
        <v>0</v>
      </c>
      <c r="AG190" s="3"/>
      <c r="AH190" s="3"/>
    </row>
    <row r="191" spans="2:34" x14ac:dyDescent="0.25">
      <c r="B191" s="3">
        <f t="shared" ref="B191:AF191" si="127">$C38*EXP(-B$168/$A38/EXP(-$C$126))</f>
        <v>2.0016819549847034E-2</v>
      </c>
      <c r="C191" s="3">
        <f t="shared" si="127"/>
        <v>2.0016819549847034E-2</v>
      </c>
      <c r="D191" s="3">
        <f t="shared" si="127"/>
        <v>2.0016819549847034E-2</v>
      </c>
      <c r="E191" s="3">
        <f t="shared" si="127"/>
        <v>2.0016819549847034E-2</v>
      </c>
      <c r="F191" s="3">
        <f t="shared" si="127"/>
        <v>2.0016819549847034E-2</v>
      </c>
      <c r="G191" s="3">
        <f t="shared" si="127"/>
        <v>2.0016819549847034E-2</v>
      </c>
      <c r="H191" s="3">
        <f t="shared" si="127"/>
        <v>2.0016819549847034E-2</v>
      </c>
      <c r="I191" s="3">
        <f t="shared" si="127"/>
        <v>2.0016819549847034E-2</v>
      </c>
      <c r="J191" s="3">
        <f t="shared" si="127"/>
        <v>2.0016819549847034E-2</v>
      </c>
      <c r="K191" s="3">
        <f t="shared" si="127"/>
        <v>2.0016819549847034E-2</v>
      </c>
      <c r="L191" s="3">
        <f t="shared" si="127"/>
        <v>2.0016819549847034E-2</v>
      </c>
      <c r="M191" s="3">
        <f t="shared" si="127"/>
        <v>2.0016819549847031E-2</v>
      </c>
      <c r="N191" s="3">
        <f t="shared" si="127"/>
        <v>2.001681954984702E-2</v>
      </c>
      <c r="O191" s="3">
        <f t="shared" si="127"/>
        <v>2.0016819549846888E-2</v>
      </c>
      <c r="P191" s="3">
        <f t="shared" si="127"/>
        <v>2.0016819549845584E-2</v>
      </c>
      <c r="Q191" s="3">
        <f t="shared" si="127"/>
        <v>2.0016819549832518E-2</v>
      </c>
      <c r="R191" s="3">
        <f t="shared" si="127"/>
        <v>2.0016819549701869E-2</v>
      </c>
      <c r="S191" s="3">
        <f t="shared" si="127"/>
        <v>2.0016819548395379E-2</v>
      </c>
      <c r="T191" s="3">
        <f t="shared" si="127"/>
        <v>2.0016819535330473E-2</v>
      </c>
      <c r="U191" s="3">
        <f t="shared" si="127"/>
        <v>2.0016819404681439E-2</v>
      </c>
      <c r="V191" s="3">
        <f t="shared" si="127"/>
        <v>2.0016818098191155E-2</v>
      </c>
      <c r="W191" s="3">
        <f t="shared" si="127"/>
        <v>2.0016805033292985E-2</v>
      </c>
      <c r="X191" s="3">
        <f t="shared" si="127"/>
        <v>2.0016674384780282E-2</v>
      </c>
      <c r="Y191" s="3">
        <f t="shared" si="127"/>
        <v>2.001536794655279E-2</v>
      </c>
      <c r="Z191" s="3">
        <f t="shared" si="127"/>
        <v>2.0002308253097116E-2</v>
      </c>
      <c r="AA191" s="3">
        <f t="shared" si="127"/>
        <v>1.9872179070100918E-2</v>
      </c>
      <c r="AB191" s="3">
        <f t="shared" si="127"/>
        <v>1.8616552238135093E-2</v>
      </c>
      <c r="AC191" s="3">
        <f t="shared" si="127"/>
        <v>9.6925235864739334E-3</v>
      </c>
      <c r="AD191" s="3">
        <f t="shared" si="127"/>
        <v>1.4184466263714304E-5</v>
      </c>
      <c r="AE191" s="3">
        <f t="shared" si="127"/>
        <v>6.3910809818890047E-34</v>
      </c>
      <c r="AF191" s="3">
        <f t="shared" si="127"/>
        <v>0</v>
      </c>
      <c r="AG191" s="3"/>
      <c r="AH191" s="3"/>
    </row>
    <row r="192" spans="2:34" x14ac:dyDescent="0.25">
      <c r="B192" s="3">
        <f t="shared" ref="B192:AF192" si="128">$C39*EXP(-B$168/$A39/EXP(-$C$126))</f>
        <v>3.8383243179278659E-2</v>
      </c>
      <c r="C192" s="3">
        <f t="shared" si="128"/>
        <v>3.8383243179278659E-2</v>
      </c>
      <c r="D192" s="3">
        <f t="shared" si="128"/>
        <v>3.8383243179278659E-2</v>
      </c>
      <c r="E192" s="3">
        <f t="shared" si="128"/>
        <v>3.8383243179278659E-2</v>
      </c>
      <c r="F192" s="3">
        <f t="shared" si="128"/>
        <v>3.8383243179278659E-2</v>
      </c>
      <c r="G192" s="3">
        <f t="shared" si="128"/>
        <v>3.8383243179278659E-2</v>
      </c>
      <c r="H192" s="3">
        <f t="shared" si="128"/>
        <v>3.8383243179278659E-2</v>
      </c>
      <c r="I192" s="3">
        <f t="shared" si="128"/>
        <v>3.8383243179278659E-2</v>
      </c>
      <c r="J192" s="3">
        <f t="shared" si="128"/>
        <v>3.8383243179278659E-2</v>
      </c>
      <c r="K192" s="3">
        <f t="shared" si="128"/>
        <v>3.8383243179278659E-2</v>
      </c>
      <c r="L192" s="3">
        <f t="shared" si="128"/>
        <v>3.8383243179278659E-2</v>
      </c>
      <c r="M192" s="3">
        <f t="shared" si="128"/>
        <v>3.8383243179278659E-2</v>
      </c>
      <c r="N192" s="3">
        <f t="shared" si="128"/>
        <v>3.8383243179278652E-2</v>
      </c>
      <c r="O192" s="3">
        <f t="shared" si="128"/>
        <v>3.8383243179278582E-2</v>
      </c>
      <c r="P192" s="3">
        <f t="shared" si="128"/>
        <v>3.8383243179277889E-2</v>
      </c>
      <c r="Q192" s="3">
        <f t="shared" si="128"/>
        <v>3.8383243179270957E-2</v>
      </c>
      <c r="R192" s="3">
        <f t="shared" si="128"/>
        <v>3.8383243179201672E-2</v>
      </c>
      <c r="S192" s="3">
        <f t="shared" si="128"/>
        <v>3.8383243178508775E-2</v>
      </c>
      <c r="T192" s="3">
        <f t="shared" si="128"/>
        <v>3.8383243171579859E-2</v>
      </c>
      <c r="U192" s="3">
        <f t="shared" si="128"/>
        <v>3.8383243102290639E-2</v>
      </c>
      <c r="V192" s="3">
        <f t="shared" si="128"/>
        <v>3.8383242409398471E-2</v>
      </c>
      <c r="W192" s="3">
        <f t="shared" si="128"/>
        <v>3.8383235480477472E-2</v>
      </c>
      <c r="X192" s="3">
        <f t="shared" si="128"/>
        <v>3.8383166191336276E-2</v>
      </c>
      <c r="Y192" s="3">
        <f t="shared" si="128"/>
        <v>3.8382473306803722E-2</v>
      </c>
      <c r="Z192" s="3">
        <f t="shared" si="128"/>
        <v>3.8375545149369882E-2</v>
      </c>
      <c r="AA192" s="3">
        <f t="shared" si="128"/>
        <v>3.8306332318283863E-2</v>
      </c>
      <c r="AB192" s="3">
        <f t="shared" si="128"/>
        <v>3.7621032638399339E-2</v>
      </c>
      <c r="AC192" s="3">
        <f t="shared" si="128"/>
        <v>3.140740921989621E-2</v>
      </c>
      <c r="AD192" s="3">
        <f t="shared" si="128"/>
        <v>5.1647121783890016E-3</v>
      </c>
      <c r="AE192" s="3">
        <f t="shared" si="128"/>
        <v>7.4676891531030181E-11</v>
      </c>
      <c r="AF192" s="3">
        <f t="shared" si="128"/>
        <v>2.982547103874381E-89</v>
      </c>
      <c r="AG192" s="3"/>
      <c r="AH192" s="3"/>
    </row>
    <row r="193" spans="1:34" x14ac:dyDescent="0.25">
      <c r="B193" s="3">
        <f t="shared" ref="B193:AF193" si="129">$C40*EXP(-B$168/$A40/EXP(-$C$126))</f>
        <v>3.6705240109076338E-2</v>
      </c>
      <c r="C193" s="3">
        <f t="shared" si="129"/>
        <v>3.6705240109076338E-2</v>
      </c>
      <c r="D193" s="3">
        <f t="shared" si="129"/>
        <v>3.6705240109076338E-2</v>
      </c>
      <c r="E193" s="3">
        <f t="shared" si="129"/>
        <v>3.6705240109076338E-2</v>
      </c>
      <c r="F193" s="3">
        <f t="shared" si="129"/>
        <v>3.6705240109076338E-2</v>
      </c>
      <c r="G193" s="3">
        <f t="shared" si="129"/>
        <v>3.6705240109076338E-2</v>
      </c>
      <c r="H193" s="3">
        <f t="shared" si="129"/>
        <v>3.6705240109076338E-2</v>
      </c>
      <c r="I193" s="3">
        <f t="shared" si="129"/>
        <v>3.6705240109076338E-2</v>
      </c>
      <c r="J193" s="3">
        <f t="shared" si="129"/>
        <v>3.6705240109076338E-2</v>
      </c>
      <c r="K193" s="3">
        <f t="shared" si="129"/>
        <v>3.6705240109076338E-2</v>
      </c>
      <c r="L193" s="3">
        <f t="shared" si="129"/>
        <v>3.6705240109076338E-2</v>
      </c>
      <c r="M193" s="3">
        <f t="shared" si="129"/>
        <v>3.6705240109076338E-2</v>
      </c>
      <c r="N193" s="3">
        <f t="shared" si="129"/>
        <v>3.6705240109076338E-2</v>
      </c>
      <c r="O193" s="3">
        <f t="shared" si="129"/>
        <v>3.6705240109076331E-2</v>
      </c>
      <c r="P193" s="3">
        <f t="shared" si="129"/>
        <v>3.6705240109076262E-2</v>
      </c>
      <c r="Q193" s="3">
        <f t="shared" si="129"/>
        <v>3.6705240109075603E-2</v>
      </c>
      <c r="R193" s="3">
        <f t="shared" si="129"/>
        <v>3.6705240109068976E-2</v>
      </c>
      <c r="S193" s="3">
        <f t="shared" si="129"/>
        <v>3.6705240109002717E-2</v>
      </c>
      <c r="T193" s="3">
        <f t="shared" si="129"/>
        <v>3.6705240108340115E-2</v>
      </c>
      <c r="U193" s="3">
        <f t="shared" si="129"/>
        <v>3.6705240101714109E-2</v>
      </c>
      <c r="V193" s="3">
        <f t="shared" si="129"/>
        <v>3.6705240035454008E-2</v>
      </c>
      <c r="W193" s="3">
        <f t="shared" si="129"/>
        <v>3.6705239372853062E-2</v>
      </c>
      <c r="X193" s="3">
        <f t="shared" si="129"/>
        <v>3.6705232746844209E-2</v>
      </c>
      <c r="Y193" s="3">
        <f t="shared" si="129"/>
        <v>3.6705166486821504E-2</v>
      </c>
      <c r="Z193" s="3">
        <f t="shared" si="129"/>
        <v>3.6704503893173111E-2</v>
      </c>
      <c r="AA193" s="3">
        <f t="shared" si="129"/>
        <v>3.6697878614508288E-2</v>
      </c>
      <c r="AB193" s="3">
        <f t="shared" si="129"/>
        <v>3.6631691565858555E-2</v>
      </c>
      <c r="AC193" s="3">
        <f t="shared" si="129"/>
        <v>3.5976351182573432E-2</v>
      </c>
      <c r="AD193" s="3">
        <f t="shared" si="129"/>
        <v>3.0034369196885912E-2</v>
      </c>
      <c r="AE193" s="3">
        <f t="shared" si="129"/>
        <v>4.9389260755427818E-3</v>
      </c>
      <c r="AF193" s="3">
        <f t="shared" si="129"/>
        <v>7.1412236361664961E-11</v>
      </c>
      <c r="AG193" s="3"/>
      <c r="AH193" s="3"/>
    </row>
    <row r="194" spans="1:34" x14ac:dyDescent="0.25">
      <c r="B194" s="3">
        <f t="shared" ref="B194:AF194" si="130">$C41*EXP(-B$168/$A41/EXP(-$C$126))</f>
        <v>4.1231231380742084E-2</v>
      </c>
      <c r="C194" s="3">
        <f t="shared" si="130"/>
        <v>4.1231231380742084E-2</v>
      </c>
      <c r="D194" s="3">
        <f t="shared" si="130"/>
        <v>4.1231231380742084E-2</v>
      </c>
      <c r="E194" s="3">
        <f t="shared" si="130"/>
        <v>4.1231231380742084E-2</v>
      </c>
      <c r="F194" s="3">
        <f t="shared" si="130"/>
        <v>4.1231231380742084E-2</v>
      </c>
      <c r="G194" s="3">
        <f t="shared" si="130"/>
        <v>4.1231231380742084E-2</v>
      </c>
      <c r="H194" s="3">
        <f t="shared" si="130"/>
        <v>4.1231231380742084E-2</v>
      </c>
      <c r="I194" s="3">
        <f t="shared" si="130"/>
        <v>4.1231231380742084E-2</v>
      </c>
      <c r="J194" s="3">
        <f t="shared" si="130"/>
        <v>4.1231231380742084E-2</v>
      </c>
      <c r="K194" s="3">
        <f t="shared" si="130"/>
        <v>4.1231231380742084E-2</v>
      </c>
      <c r="L194" s="3">
        <f t="shared" si="130"/>
        <v>4.1231231380742084E-2</v>
      </c>
      <c r="M194" s="3">
        <f t="shared" si="130"/>
        <v>4.1231231380742084E-2</v>
      </c>
      <c r="N194" s="3">
        <f t="shared" si="130"/>
        <v>4.1231231380742084E-2</v>
      </c>
      <c r="O194" s="3">
        <f t="shared" si="130"/>
        <v>4.1231231380742084E-2</v>
      </c>
      <c r="P194" s="3">
        <f t="shared" si="130"/>
        <v>4.1231231380742077E-2</v>
      </c>
      <c r="Q194" s="3">
        <f t="shared" si="130"/>
        <v>4.1231231380742001E-2</v>
      </c>
      <c r="R194" s="3">
        <f t="shared" si="130"/>
        <v>4.1231231380741258E-2</v>
      </c>
      <c r="S194" s="3">
        <f t="shared" si="130"/>
        <v>4.1231231380733813E-2</v>
      </c>
      <c r="T194" s="3">
        <f t="shared" si="130"/>
        <v>4.1231231380659386E-2</v>
      </c>
      <c r="U194" s="3">
        <f t="shared" si="130"/>
        <v>4.1231231379915079E-2</v>
      </c>
      <c r="V194" s="3">
        <f t="shared" si="130"/>
        <v>4.1231231372472039E-2</v>
      </c>
      <c r="W194" s="3">
        <f t="shared" si="130"/>
        <v>4.1231231298041647E-2</v>
      </c>
      <c r="X194" s="3">
        <f t="shared" si="130"/>
        <v>4.1231230553737758E-2</v>
      </c>
      <c r="Y194" s="3">
        <f t="shared" si="130"/>
        <v>4.1231223110699565E-2</v>
      </c>
      <c r="Z194" s="3">
        <f t="shared" si="130"/>
        <v>4.1231148680391544E-2</v>
      </c>
      <c r="AA194" s="3">
        <f t="shared" si="130"/>
        <v>4.1230404384701137E-2</v>
      </c>
      <c r="AB194" s="3">
        <f t="shared" si="130"/>
        <v>4.1222962166729549E-2</v>
      </c>
      <c r="AC194" s="3">
        <f t="shared" si="130"/>
        <v>4.1148613830928563E-2</v>
      </c>
      <c r="AD194" s="3">
        <f t="shared" si="130"/>
        <v>4.0412465779694547E-2</v>
      </c>
      <c r="AE194" s="3">
        <f t="shared" si="130"/>
        <v>3.373779934558227E-2</v>
      </c>
      <c r="AF194" s="3">
        <f t="shared" si="130"/>
        <v>5.5479273037838004E-3</v>
      </c>
      <c r="AG194" s="3"/>
      <c r="AH194" s="3"/>
    </row>
    <row r="195" spans="1:34" x14ac:dyDescent="0.25">
      <c r="B195" s="3">
        <f t="shared" ref="B195:AF195" si="131">$C42*EXP(-B$168/$A42/EXP(-$C$126))</f>
        <v>3.343723543516635E-2</v>
      </c>
      <c r="C195" s="3">
        <f t="shared" si="131"/>
        <v>3.343723543516635E-2</v>
      </c>
      <c r="D195" s="3">
        <f t="shared" si="131"/>
        <v>3.343723543516635E-2</v>
      </c>
      <c r="E195" s="3">
        <f t="shared" si="131"/>
        <v>3.343723543516635E-2</v>
      </c>
      <c r="F195" s="3">
        <f t="shared" si="131"/>
        <v>3.343723543516635E-2</v>
      </c>
      <c r="G195" s="3">
        <f t="shared" si="131"/>
        <v>3.343723543516635E-2</v>
      </c>
      <c r="H195" s="3">
        <f t="shared" si="131"/>
        <v>3.343723543516635E-2</v>
      </c>
      <c r="I195" s="3">
        <f t="shared" si="131"/>
        <v>3.343723543516635E-2</v>
      </c>
      <c r="J195" s="3">
        <f t="shared" si="131"/>
        <v>3.343723543516635E-2</v>
      </c>
      <c r="K195" s="3">
        <f t="shared" si="131"/>
        <v>3.343723543516635E-2</v>
      </c>
      <c r="L195" s="3">
        <f t="shared" si="131"/>
        <v>3.343723543516635E-2</v>
      </c>
      <c r="M195" s="3">
        <f t="shared" si="131"/>
        <v>3.343723543516635E-2</v>
      </c>
      <c r="N195" s="3">
        <f t="shared" si="131"/>
        <v>3.343723543516635E-2</v>
      </c>
      <c r="O195" s="3">
        <f t="shared" si="131"/>
        <v>3.343723543516635E-2</v>
      </c>
      <c r="P195" s="3">
        <f t="shared" si="131"/>
        <v>3.343723543516635E-2</v>
      </c>
      <c r="Q195" s="3">
        <f t="shared" si="131"/>
        <v>3.3437235435166343E-2</v>
      </c>
      <c r="R195" s="3">
        <f t="shared" si="131"/>
        <v>3.3437235435166281E-2</v>
      </c>
      <c r="S195" s="3">
        <f t="shared" si="131"/>
        <v>3.3437235435165677E-2</v>
      </c>
      <c r="T195" s="3">
        <f t="shared" si="131"/>
        <v>3.343723543515964E-2</v>
      </c>
      <c r="U195" s="3">
        <f t="shared" si="131"/>
        <v>3.3437235435099286E-2</v>
      </c>
      <c r="V195" s="3">
        <f t="shared" si="131"/>
        <v>3.3437235434495678E-2</v>
      </c>
      <c r="W195" s="3">
        <f t="shared" si="131"/>
        <v>3.3437235428459604E-2</v>
      </c>
      <c r="X195" s="3">
        <f t="shared" si="131"/>
        <v>3.3437235368098894E-2</v>
      </c>
      <c r="Y195" s="3">
        <f t="shared" si="131"/>
        <v>3.3437234764491779E-2</v>
      </c>
      <c r="Z195" s="3">
        <f t="shared" si="131"/>
        <v>3.3437228728421253E-2</v>
      </c>
      <c r="AA195" s="3">
        <f t="shared" si="131"/>
        <v>3.3437168367775952E-2</v>
      </c>
      <c r="AB195" s="3">
        <f t="shared" si="131"/>
        <v>3.3436564767315817E-2</v>
      </c>
      <c r="AC195" s="3">
        <f t="shared" si="131"/>
        <v>3.3430529361965486E-2</v>
      </c>
      <c r="AD195" s="3">
        <f t="shared" si="131"/>
        <v>3.337023519356111E-2</v>
      </c>
      <c r="AE195" s="3">
        <f t="shared" si="131"/>
        <v>3.2773242213241155E-2</v>
      </c>
      <c r="AF195" s="3">
        <f t="shared" si="131"/>
        <v>2.7360297085610157E-2</v>
      </c>
      <c r="AG195" s="3"/>
      <c r="AH195" s="3"/>
    </row>
    <row r="196" spans="1:34" x14ac:dyDescent="0.25">
      <c r="B196" s="3">
        <f t="shared" ref="B196:AF196" si="132">$C43*EXP(-B$168/$A43/EXP(-$C$126))</f>
        <v>2.4815378940943638E-2</v>
      </c>
      <c r="C196" s="3">
        <f t="shared" si="132"/>
        <v>2.4815378940943638E-2</v>
      </c>
      <c r="D196" s="3">
        <f t="shared" si="132"/>
        <v>2.4815378940943638E-2</v>
      </c>
      <c r="E196" s="3">
        <f t="shared" si="132"/>
        <v>2.4815378940943638E-2</v>
      </c>
      <c r="F196" s="3">
        <f t="shared" si="132"/>
        <v>2.4815378940943638E-2</v>
      </c>
      <c r="G196" s="3">
        <f t="shared" si="132"/>
        <v>2.4815378940943638E-2</v>
      </c>
      <c r="H196" s="3">
        <f t="shared" si="132"/>
        <v>2.4815378940943638E-2</v>
      </c>
      <c r="I196" s="3">
        <f t="shared" si="132"/>
        <v>2.4815378940943638E-2</v>
      </c>
      <c r="J196" s="3">
        <f t="shared" si="132"/>
        <v>2.4815378940943638E-2</v>
      </c>
      <c r="K196" s="3">
        <f t="shared" si="132"/>
        <v>2.4815378940943638E-2</v>
      </c>
      <c r="L196" s="3">
        <f t="shared" si="132"/>
        <v>2.4815378940943638E-2</v>
      </c>
      <c r="M196" s="3">
        <f t="shared" si="132"/>
        <v>2.4815378940943638E-2</v>
      </c>
      <c r="N196" s="3">
        <f t="shared" si="132"/>
        <v>2.4815378940943638E-2</v>
      </c>
      <c r="O196" s="3">
        <f t="shared" si="132"/>
        <v>2.4815378940943638E-2</v>
      </c>
      <c r="P196" s="3">
        <f t="shared" si="132"/>
        <v>2.4815378940943638E-2</v>
      </c>
      <c r="Q196" s="3">
        <f t="shared" si="132"/>
        <v>2.4815378940943638E-2</v>
      </c>
      <c r="R196" s="3">
        <f t="shared" si="132"/>
        <v>2.4815378940943631E-2</v>
      </c>
      <c r="S196" s="3">
        <f t="shared" si="132"/>
        <v>2.4815378940943589E-2</v>
      </c>
      <c r="T196" s="3">
        <f t="shared" si="132"/>
        <v>2.4815378940943138E-2</v>
      </c>
      <c r="U196" s="3">
        <f t="shared" si="132"/>
        <v>2.4815378940938659E-2</v>
      </c>
      <c r="V196" s="3">
        <f t="shared" si="132"/>
        <v>2.4815378940893865E-2</v>
      </c>
      <c r="W196" s="3">
        <f t="shared" si="132"/>
        <v>2.4815378940445897E-2</v>
      </c>
      <c r="X196" s="3">
        <f t="shared" si="132"/>
        <v>2.4815378935966241E-2</v>
      </c>
      <c r="Y196" s="3">
        <f t="shared" si="132"/>
        <v>2.4815378891169654E-2</v>
      </c>
      <c r="Z196" s="3">
        <f t="shared" si="132"/>
        <v>2.4815378443203816E-2</v>
      </c>
      <c r="AA196" s="3">
        <f t="shared" si="132"/>
        <v>2.4815373963545873E-2</v>
      </c>
      <c r="AB196" s="3">
        <f t="shared" si="132"/>
        <v>2.4815329167010906E-2</v>
      </c>
      <c r="AC196" s="3">
        <f t="shared" si="132"/>
        <v>2.4814881206108867E-2</v>
      </c>
      <c r="AD196" s="3">
        <f t="shared" si="132"/>
        <v>2.4810402041821469E-2</v>
      </c>
      <c r="AE196" s="3">
        <f t="shared" si="132"/>
        <v>2.4765654842556599E-2</v>
      </c>
      <c r="AF196" s="3">
        <f t="shared" si="132"/>
        <v>2.4322597668752624E-2</v>
      </c>
      <c r="AG196" s="3"/>
      <c r="AH196" s="3"/>
    </row>
    <row r="197" spans="1:34" x14ac:dyDescent="0.25">
      <c r="B197" s="3">
        <f t="shared" ref="B197:AF197" si="133">$C44*EXP(-B$168/$A44/EXP(-$C$126))</f>
        <v>1.3266747308349527E-2</v>
      </c>
      <c r="C197" s="3">
        <f t="shared" si="133"/>
        <v>1.3266747308349527E-2</v>
      </c>
      <c r="D197" s="3">
        <f t="shared" si="133"/>
        <v>1.3266747308349527E-2</v>
      </c>
      <c r="E197" s="3">
        <f t="shared" si="133"/>
        <v>1.3266747308349527E-2</v>
      </c>
      <c r="F197" s="3">
        <f t="shared" si="133"/>
        <v>1.3266747308349527E-2</v>
      </c>
      <c r="G197" s="3">
        <f t="shared" si="133"/>
        <v>1.3266747308349527E-2</v>
      </c>
      <c r="H197" s="3">
        <f t="shared" si="133"/>
        <v>1.3266747308349527E-2</v>
      </c>
      <c r="I197" s="3">
        <f t="shared" si="133"/>
        <v>1.3266747308349527E-2</v>
      </c>
      <c r="J197" s="3">
        <f t="shared" si="133"/>
        <v>1.3266747308349527E-2</v>
      </c>
      <c r="K197" s="3">
        <f t="shared" si="133"/>
        <v>1.3266747308349527E-2</v>
      </c>
      <c r="L197" s="3">
        <f t="shared" si="133"/>
        <v>1.3266747308349527E-2</v>
      </c>
      <c r="M197" s="3">
        <f t="shared" si="133"/>
        <v>1.3266747308349527E-2</v>
      </c>
      <c r="N197" s="3">
        <f t="shared" si="133"/>
        <v>1.3266747308349527E-2</v>
      </c>
      <c r="O197" s="3">
        <f t="shared" si="133"/>
        <v>1.3266747308349527E-2</v>
      </c>
      <c r="P197" s="3">
        <f t="shared" si="133"/>
        <v>1.3266747308349527E-2</v>
      </c>
      <c r="Q197" s="3">
        <f t="shared" si="133"/>
        <v>1.3266747308349527E-2</v>
      </c>
      <c r="R197" s="3">
        <f t="shared" si="133"/>
        <v>1.3266747308349527E-2</v>
      </c>
      <c r="S197" s="3">
        <f t="shared" si="133"/>
        <v>1.3266747308349524E-2</v>
      </c>
      <c r="T197" s="3">
        <f t="shared" si="133"/>
        <v>1.3266747308349501E-2</v>
      </c>
      <c r="U197" s="3">
        <f t="shared" si="133"/>
        <v>1.326674730834926E-2</v>
      </c>
      <c r="V197" s="3">
        <f t="shared" si="133"/>
        <v>1.3266747308346866E-2</v>
      </c>
      <c r="W197" s="3">
        <f t="shared" si="133"/>
        <v>1.3266747308322918E-2</v>
      </c>
      <c r="X197" s="3">
        <f t="shared" si="133"/>
        <v>1.3266747308083426E-2</v>
      </c>
      <c r="Y197" s="3">
        <f t="shared" si="133"/>
        <v>1.3266747305688522E-2</v>
      </c>
      <c r="Z197" s="3">
        <f t="shared" si="133"/>
        <v>1.326674728173946E-2</v>
      </c>
      <c r="AA197" s="3">
        <f t="shared" si="133"/>
        <v>1.3266747042248879E-2</v>
      </c>
      <c r="AB197" s="3">
        <f t="shared" si="133"/>
        <v>1.3266744647343278E-2</v>
      </c>
      <c r="AC197" s="3">
        <f t="shared" si="133"/>
        <v>1.3266720698311063E-2</v>
      </c>
      <c r="AD197" s="3">
        <f t="shared" si="133"/>
        <v>1.3266481210366691E-2</v>
      </c>
      <c r="AE197" s="3">
        <f t="shared" si="133"/>
        <v>1.326408656868522E-2</v>
      </c>
      <c r="AF197" s="3">
        <f t="shared" si="133"/>
        <v>1.3240163912222219E-2</v>
      </c>
      <c r="AG197" s="3"/>
      <c r="AH197" s="3"/>
    </row>
    <row r="198" spans="1:34" x14ac:dyDescent="0.25">
      <c r="B198" s="3">
        <f t="shared" ref="B198:AF198" si="134">$C45*EXP(-B$168/$A45/EXP(-$C$126))</f>
        <v>6.4459854313467695E-3</v>
      </c>
      <c r="C198" s="3">
        <f t="shared" si="134"/>
        <v>6.4459854313467695E-3</v>
      </c>
      <c r="D198" s="3">
        <f t="shared" si="134"/>
        <v>6.4459854313467695E-3</v>
      </c>
      <c r="E198" s="3">
        <f t="shared" si="134"/>
        <v>6.4459854313467695E-3</v>
      </c>
      <c r="F198" s="3">
        <f t="shared" si="134"/>
        <v>6.4459854313467695E-3</v>
      </c>
      <c r="G198" s="3">
        <f t="shared" si="134"/>
        <v>6.4459854313467695E-3</v>
      </c>
      <c r="H198" s="3">
        <f t="shared" si="134"/>
        <v>6.4459854313467695E-3</v>
      </c>
      <c r="I198" s="3">
        <f t="shared" si="134"/>
        <v>6.4459854313467695E-3</v>
      </c>
      <c r="J198" s="3">
        <f t="shared" si="134"/>
        <v>6.4459854313467695E-3</v>
      </c>
      <c r="K198" s="3">
        <f t="shared" si="134"/>
        <v>6.4459854313467695E-3</v>
      </c>
      <c r="L198" s="3">
        <f t="shared" si="134"/>
        <v>6.4459854313467695E-3</v>
      </c>
      <c r="M198" s="3">
        <f t="shared" si="134"/>
        <v>6.4459854313467695E-3</v>
      </c>
      <c r="N198" s="3">
        <f t="shared" si="134"/>
        <v>6.4459854313467695E-3</v>
      </c>
      <c r="O198" s="3">
        <f t="shared" si="134"/>
        <v>6.4459854313467695E-3</v>
      </c>
      <c r="P198" s="3">
        <f t="shared" si="134"/>
        <v>6.4459854313467695E-3</v>
      </c>
      <c r="Q198" s="3">
        <f t="shared" si="134"/>
        <v>6.4459854313467695E-3</v>
      </c>
      <c r="R198" s="3">
        <f t="shared" si="134"/>
        <v>6.4459854313467695E-3</v>
      </c>
      <c r="S198" s="3">
        <f t="shared" si="134"/>
        <v>6.4459854313467695E-3</v>
      </c>
      <c r="T198" s="3">
        <f t="shared" si="134"/>
        <v>6.4459854313467678E-3</v>
      </c>
      <c r="U198" s="3">
        <f t="shared" si="134"/>
        <v>6.4459854313467565E-3</v>
      </c>
      <c r="V198" s="3">
        <f t="shared" si="134"/>
        <v>6.4459854313466403E-3</v>
      </c>
      <c r="W198" s="3">
        <f t="shared" si="134"/>
        <v>6.4459854313454763E-3</v>
      </c>
      <c r="X198" s="3">
        <f t="shared" si="134"/>
        <v>6.4459854313338406E-3</v>
      </c>
      <c r="Y198" s="3">
        <f t="shared" si="134"/>
        <v>6.445985431217478E-3</v>
      </c>
      <c r="Z198" s="3">
        <f t="shared" si="134"/>
        <v>6.4459854300538523E-3</v>
      </c>
      <c r="AA198" s="3">
        <f t="shared" si="134"/>
        <v>6.4459854184175944E-3</v>
      </c>
      <c r="AB198" s="3">
        <f t="shared" si="134"/>
        <v>6.4459853020550247E-3</v>
      </c>
      <c r="AC198" s="3">
        <f t="shared" si="134"/>
        <v>6.445984138429439E-3</v>
      </c>
      <c r="AD198" s="3">
        <f t="shared" si="134"/>
        <v>6.4459725021851384E-3</v>
      </c>
      <c r="AE198" s="3">
        <f t="shared" si="134"/>
        <v>6.4458561408974376E-3</v>
      </c>
      <c r="AF198" s="3">
        <f t="shared" si="134"/>
        <v>6.4446926435432414E-3</v>
      </c>
      <c r="AG198" s="3"/>
      <c r="AH198" s="3"/>
    </row>
    <row r="199" spans="1:34" x14ac:dyDescent="0.25">
      <c r="B199" s="3">
        <f t="shared" ref="B199:AF199" si="135">$C46*EXP(-B$168/$A46/EXP(-$C$126))</f>
        <v>3.3152683029349498E-3</v>
      </c>
      <c r="C199" s="3">
        <f t="shared" si="135"/>
        <v>3.3152683029349498E-3</v>
      </c>
      <c r="D199" s="3">
        <f t="shared" si="135"/>
        <v>3.3152683029349498E-3</v>
      </c>
      <c r="E199" s="3">
        <f t="shared" si="135"/>
        <v>3.3152683029349498E-3</v>
      </c>
      <c r="F199" s="3">
        <f t="shared" si="135"/>
        <v>3.3152683029349498E-3</v>
      </c>
      <c r="G199" s="3">
        <f t="shared" si="135"/>
        <v>3.3152683029349498E-3</v>
      </c>
      <c r="H199" s="3">
        <f t="shared" si="135"/>
        <v>3.3152683029349498E-3</v>
      </c>
      <c r="I199" s="3">
        <f t="shared" si="135"/>
        <v>3.3152683029349498E-3</v>
      </c>
      <c r="J199" s="3">
        <f t="shared" si="135"/>
        <v>3.3152683029349498E-3</v>
      </c>
      <c r="K199" s="3">
        <f t="shared" si="135"/>
        <v>3.3152683029349498E-3</v>
      </c>
      <c r="L199" s="3">
        <f t="shared" si="135"/>
        <v>3.3152683029349498E-3</v>
      </c>
      <c r="M199" s="3">
        <f t="shared" si="135"/>
        <v>3.3152683029349498E-3</v>
      </c>
      <c r="N199" s="3">
        <f t="shared" si="135"/>
        <v>3.3152683029349498E-3</v>
      </c>
      <c r="O199" s="3">
        <f t="shared" si="135"/>
        <v>3.3152683029349498E-3</v>
      </c>
      <c r="P199" s="3">
        <f t="shared" si="135"/>
        <v>3.3152683029349498E-3</v>
      </c>
      <c r="Q199" s="3">
        <f t="shared" si="135"/>
        <v>3.3152683029349498E-3</v>
      </c>
      <c r="R199" s="3">
        <f t="shared" si="135"/>
        <v>3.3152683029349498E-3</v>
      </c>
      <c r="S199" s="3">
        <f t="shared" si="135"/>
        <v>3.3152683029349498E-3</v>
      </c>
      <c r="T199" s="3">
        <f t="shared" si="135"/>
        <v>3.3152683029349498E-3</v>
      </c>
      <c r="U199" s="3">
        <f t="shared" si="135"/>
        <v>3.3152683029349489E-3</v>
      </c>
      <c r="V199" s="3">
        <f t="shared" si="135"/>
        <v>3.3152683029349433E-3</v>
      </c>
      <c r="W199" s="3">
        <f t="shared" si="135"/>
        <v>3.315268302934883E-3</v>
      </c>
      <c r="X199" s="3">
        <f t="shared" si="135"/>
        <v>3.3152683029342845E-3</v>
      </c>
      <c r="Y199" s="3">
        <f t="shared" si="135"/>
        <v>3.3152683029283002E-3</v>
      </c>
      <c r="Z199" s="3">
        <f t="shared" si="135"/>
        <v>3.3152683028684531E-3</v>
      </c>
      <c r="AA199" s="3">
        <f t="shared" si="135"/>
        <v>3.315268302269983E-3</v>
      </c>
      <c r="AB199" s="3">
        <f t="shared" si="135"/>
        <v>3.3152682962852786E-3</v>
      </c>
      <c r="AC199" s="3">
        <f t="shared" si="135"/>
        <v>3.3152682364382398E-3</v>
      </c>
      <c r="AD199" s="3">
        <f t="shared" si="135"/>
        <v>3.3152676379679114E-3</v>
      </c>
      <c r="AE199" s="3">
        <f t="shared" si="135"/>
        <v>3.3152616532705665E-3</v>
      </c>
      <c r="AF199" s="3">
        <f t="shared" si="135"/>
        <v>3.3152018068913105E-3</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1.0813254106264341E-2</v>
      </c>
      <c r="C201" s="3">
        <f t="shared" si="137"/>
        <v>1.0813254106264341E-2</v>
      </c>
      <c r="D201" s="3">
        <f t="shared" si="137"/>
        <v>1.0813254106264341E-2</v>
      </c>
      <c r="E201" s="3">
        <f t="shared" si="137"/>
        <v>1.0813254106264341E-2</v>
      </c>
      <c r="F201" s="3">
        <f t="shared" si="137"/>
        <v>1.0813254106264341E-2</v>
      </c>
      <c r="G201" s="3">
        <f t="shared" si="137"/>
        <v>1.0813254106264341E-2</v>
      </c>
      <c r="H201" s="3">
        <f t="shared" si="137"/>
        <v>1.0813254106264341E-2</v>
      </c>
      <c r="I201" s="3">
        <f t="shared" si="137"/>
        <v>1.0813254106264341E-2</v>
      </c>
      <c r="J201" s="3">
        <f t="shared" si="137"/>
        <v>1.0813254106264341E-2</v>
      </c>
      <c r="K201" s="3">
        <f t="shared" si="137"/>
        <v>1.0813254106264341E-2</v>
      </c>
      <c r="L201" s="3">
        <f t="shared" si="137"/>
        <v>1.0813254106264341E-2</v>
      </c>
      <c r="M201" s="3">
        <f t="shared" si="137"/>
        <v>1.0813254106264341E-2</v>
      </c>
      <c r="N201" s="3">
        <f t="shared" si="137"/>
        <v>1.0813254106264341E-2</v>
      </c>
      <c r="O201" s="3">
        <f t="shared" si="137"/>
        <v>1.0813254106264341E-2</v>
      </c>
      <c r="P201" s="3">
        <f t="shared" si="137"/>
        <v>1.0813254106264341E-2</v>
      </c>
      <c r="Q201" s="3">
        <f t="shared" si="137"/>
        <v>1.0813254106264341E-2</v>
      </c>
      <c r="R201" s="3">
        <f t="shared" si="137"/>
        <v>1.0813254106264341E-2</v>
      </c>
      <c r="S201" s="3">
        <f t="shared" si="137"/>
        <v>1.0813254106264341E-2</v>
      </c>
      <c r="T201" s="3">
        <f t="shared" si="137"/>
        <v>1.0813254106264341E-2</v>
      </c>
      <c r="U201" s="3">
        <f t="shared" si="137"/>
        <v>1.0813254106264341E-2</v>
      </c>
      <c r="V201" s="3">
        <f t="shared" si="137"/>
        <v>1.0813254106264341E-2</v>
      </c>
      <c r="W201" s="3">
        <f t="shared" si="137"/>
        <v>1.0813254106264339E-2</v>
      </c>
      <c r="X201" s="3">
        <f t="shared" si="137"/>
        <v>1.081325410626432E-2</v>
      </c>
      <c r="Y201" s="3">
        <f t="shared" si="137"/>
        <v>1.0813254106264124E-2</v>
      </c>
      <c r="Z201" s="3">
        <f t="shared" si="137"/>
        <v>1.0813254106262171E-2</v>
      </c>
      <c r="AA201" s="3">
        <f t="shared" si="137"/>
        <v>1.0813254106242651E-2</v>
      </c>
      <c r="AB201" s="3">
        <f t="shared" si="137"/>
        <v>1.0813254106047452E-2</v>
      </c>
      <c r="AC201" s="3">
        <f t="shared" si="137"/>
        <v>1.0813254104095449E-2</v>
      </c>
      <c r="AD201" s="3">
        <f t="shared" si="137"/>
        <v>1.0813254084575423E-2</v>
      </c>
      <c r="AE201" s="3">
        <f t="shared" si="137"/>
        <v>1.0813253889375162E-2</v>
      </c>
      <c r="AF201" s="3">
        <f t="shared" si="137"/>
        <v>1.0813251937372745E-2</v>
      </c>
      <c r="AG201" s="3"/>
      <c r="AH201" s="3"/>
    </row>
    <row r="202" spans="1:34" x14ac:dyDescent="0.25">
      <c r="A202" s="79">
        <f>AVERAGE(B202:AF202)</f>
        <v>0.11095673204213492</v>
      </c>
      <c r="B202" s="80">
        <f>IF($A$64&lt;=B168,IF($B$64&gt;=B168,ABS((B170-B169)/B169),0),0)</f>
        <v>1.0901261240720167E-2</v>
      </c>
      <c r="C202" s="80">
        <f t="shared" ref="C202:AF202" si="138">IF($A$64&lt;=C168,IF($B$64&gt;=C168,ABS((C170-C169)/C169),0),0)</f>
        <v>3.0782392962284053E-2</v>
      </c>
      <c r="D202" s="80">
        <f t="shared" si="138"/>
        <v>3.4688317496537037E-2</v>
      </c>
      <c r="E202" s="80">
        <f t="shared" si="138"/>
        <v>3.4688805520194203E-2</v>
      </c>
      <c r="F202" s="80">
        <f t="shared" si="138"/>
        <v>3.4706441893885089E-2</v>
      </c>
      <c r="G202" s="80">
        <f t="shared" si="138"/>
        <v>3.4886034952572018E-2</v>
      </c>
      <c r="H202" s="80">
        <f t="shared" si="138"/>
        <v>3.6636857794869186E-2</v>
      </c>
      <c r="I202" s="80">
        <f t="shared" si="138"/>
        <v>5.0195108213068662E-2</v>
      </c>
      <c r="J202" s="80">
        <f t="shared" si="138"/>
        <v>6.8086579587965809E-2</v>
      </c>
      <c r="K202" s="80">
        <f t="shared" si="138"/>
        <v>5.7835397243265037E-2</v>
      </c>
      <c r="L202" s="80">
        <f t="shared" si="138"/>
        <v>6.1775984183431033E-2</v>
      </c>
      <c r="M202" s="80">
        <f t="shared" si="138"/>
        <v>6.6477714292438053E-2</v>
      </c>
      <c r="N202" s="80">
        <f t="shared" si="138"/>
        <v>7.2507394650228735E-2</v>
      </c>
      <c r="O202" s="80">
        <f t="shared" si="138"/>
        <v>7.9309074998529863E-2</v>
      </c>
      <c r="P202" s="80">
        <f t="shared" si="138"/>
        <v>8.4634687398529987E-2</v>
      </c>
      <c r="Q202" s="80">
        <f t="shared" si="138"/>
        <v>8.5486402743984849E-2</v>
      </c>
      <c r="R202" s="80">
        <f t="shared" si="138"/>
        <v>9.2101876724043935E-2</v>
      </c>
      <c r="S202" s="80">
        <f t="shared" si="138"/>
        <v>0.10428039820067184</v>
      </c>
      <c r="T202" s="80">
        <f t="shared" si="138"/>
        <v>0.10649822694292707</v>
      </c>
      <c r="U202" s="80">
        <f t="shared" si="138"/>
        <v>4.0676733398832113E-2</v>
      </c>
      <c r="V202" s="80">
        <f t="shared" si="138"/>
        <v>9.7838001630094831E-2</v>
      </c>
      <c r="W202" s="80">
        <f t="shared" si="138"/>
        <v>0.25595968340298808</v>
      </c>
      <c r="X202" s="80">
        <f t="shared" si="138"/>
        <v>0.32155653493673186</v>
      </c>
      <c r="Y202" s="80">
        <f t="shared" si="138"/>
        <v>0.26498052659532706</v>
      </c>
      <c r="Z202" s="80">
        <f t="shared" si="138"/>
        <v>0.1458005040017904</v>
      </c>
      <c r="AA202" s="80">
        <f t="shared" si="138"/>
        <v>3.3750310901554642E-2</v>
      </c>
      <c r="AB202" s="80">
        <f t="shared" si="138"/>
        <v>6.1854413968424754E-2</v>
      </c>
      <c r="AC202" s="80">
        <f t="shared" si="138"/>
        <v>0.12814304037926783</v>
      </c>
      <c r="AD202" s="80">
        <f t="shared" si="138"/>
        <v>0.22194395925772667</v>
      </c>
      <c r="AE202" s="80">
        <f t="shared" si="138"/>
        <v>0.30657936859313478</v>
      </c>
      <c r="AF202" s="80">
        <f t="shared" si="138"/>
        <v>0.41409665920016336</v>
      </c>
    </row>
    <row r="203" spans="1:34" x14ac:dyDescent="0.25">
      <c r="B203" s="21">
        <f>(B170-B169)^2</f>
        <v>5876.266444586121</v>
      </c>
      <c r="C203" s="21">
        <f t="shared" ref="C203:AF203" si="139">(C170-C169)^2</f>
        <v>46855.582446636588</v>
      </c>
      <c r="D203" s="21">
        <f t="shared" si="139"/>
        <v>59500.2108457141</v>
      </c>
      <c r="E203" s="21">
        <f t="shared" si="139"/>
        <v>59501.706210959092</v>
      </c>
      <c r="F203" s="21">
        <f t="shared" si="139"/>
        <v>59562.009531158219</v>
      </c>
      <c r="G203" s="21">
        <f t="shared" si="139"/>
        <v>60178.313381460997</v>
      </c>
      <c r="H203" s="21">
        <f t="shared" si="139"/>
        <v>66351.588326981888</v>
      </c>
      <c r="I203" s="21">
        <f t="shared" si="139"/>
        <v>124211.59749426669</v>
      </c>
      <c r="J203" s="21">
        <f t="shared" si="139"/>
        <v>223663.96262669007</v>
      </c>
      <c r="K203" s="21">
        <f t="shared" si="139"/>
        <v>153660.4692658674</v>
      </c>
      <c r="L203" s="21">
        <f t="shared" si="139"/>
        <v>169244.12920657106</v>
      </c>
      <c r="M203" s="21">
        <f t="shared" si="139"/>
        <v>189288.57682563658</v>
      </c>
      <c r="N203" s="21">
        <f t="shared" si="139"/>
        <v>216406.94220558394</v>
      </c>
      <c r="O203" s="21">
        <f t="shared" si="139"/>
        <v>247999.95414314413</v>
      </c>
      <c r="P203" s="21">
        <f t="shared" si="139"/>
        <v>268690.62648395909</v>
      </c>
      <c r="Q203" s="21">
        <f t="shared" si="139"/>
        <v>259313.01928914507</v>
      </c>
      <c r="R203" s="21">
        <f t="shared" si="139"/>
        <v>283156.47096814256</v>
      </c>
      <c r="S203" s="21">
        <f t="shared" si="139"/>
        <v>341283.92271167715</v>
      </c>
      <c r="T203" s="21">
        <f t="shared" si="139"/>
        <v>324488.56598983286</v>
      </c>
      <c r="U203" s="21">
        <f t="shared" si="139"/>
        <v>38016.269482615782</v>
      </c>
      <c r="V203" s="21">
        <f t="shared" si="139"/>
        <v>153607.22950178478</v>
      </c>
      <c r="W203" s="21">
        <f t="shared" si="139"/>
        <v>733700.79382183042</v>
      </c>
      <c r="X203" s="21">
        <f t="shared" si="139"/>
        <v>864904.80630260485</v>
      </c>
      <c r="Y203" s="21">
        <f t="shared" si="139"/>
        <v>463624.67447230814</v>
      </c>
      <c r="Z203" s="21">
        <f t="shared" si="139"/>
        <v>116105.87459295834</v>
      </c>
      <c r="AA203" s="21">
        <f t="shared" si="139"/>
        <v>5271.5408075386504</v>
      </c>
      <c r="AB203" s="21">
        <f t="shared" si="139"/>
        <v>15155.396711138475</v>
      </c>
      <c r="AC203" s="21">
        <f t="shared" si="139"/>
        <v>54890.807843559815</v>
      </c>
      <c r="AD203" s="21">
        <f t="shared" si="139"/>
        <v>136586.32152742651</v>
      </c>
      <c r="AE203" s="21">
        <f t="shared" si="139"/>
        <v>208482.01318535765</v>
      </c>
      <c r="AF203" s="21">
        <f t="shared" si="139"/>
        <v>288491.22157908371</v>
      </c>
      <c r="AG203" s="3"/>
      <c r="AH203" s="3"/>
    </row>
    <row r="204" spans="1:34" x14ac:dyDescent="0.25">
      <c r="A204" s="71">
        <f>SUM(B204:AF204)</f>
        <v>6238070.8642262202</v>
      </c>
      <c r="B204" s="60">
        <f>IF($A$64&lt;=B168,IF($B$64&gt;=B168,ABS(B203),0),0)</f>
        <v>5876.266444586121</v>
      </c>
      <c r="C204" s="60">
        <f t="shared" ref="C204" si="140">IF($A$64&lt;=C168,IF($B$64&gt;=C168,ABS(C203),0),0)</f>
        <v>46855.582446636588</v>
      </c>
      <c r="D204" s="60">
        <f t="shared" ref="D204" si="141">IF($A$64&lt;=D168,IF($B$64&gt;=D168,ABS(D203),0),0)</f>
        <v>59500.2108457141</v>
      </c>
      <c r="E204" s="60">
        <f t="shared" ref="E204" si="142">IF($A$64&lt;=E168,IF($B$64&gt;=E168,ABS(E203),0),0)</f>
        <v>59501.706210959092</v>
      </c>
      <c r="F204" s="60">
        <f t="shared" ref="F204" si="143">IF($A$64&lt;=F168,IF($B$64&gt;=F168,ABS(F203),0),0)</f>
        <v>59562.009531158219</v>
      </c>
      <c r="G204" s="60">
        <f t="shared" ref="G204" si="144">IF($A$64&lt;=G168,IF($B$64&gt;=G168,ABS(G203),0),0)</f>
        <v>60178.313381460997</v>
      </c>
      <c r="H204" s="60">
        <f t="shared" ref="H204" si="145">IF($A$64&lt;=H168,IF($B$64&gt;=H168,ABS(H203),0),0)</f>
        <v>66351.588326981888</v>
      </c>
      <c r="I204" s="60">
        <f t="shared" ref="I204" si="146">IF($A$64&lt;=I168,IF($B$64&gt;=I168,ABS(I203),0),0)</f>
        <v>124211.59749426669</v>
      </c>
      <c r="J204" s="60">
        <f t="shared" ref="J204" si="147">IF($A$64&lt;=J168,IF($B$64&gt;=J168,ABS(J203),0),0)</f>
        <v>223663.96262669007</v>
      </c>
      <c r="K204" s="60">
        <f t="shared" ref="K204" si="148">IF($A$64&lt;=K168,IF($B$64&gt;=K168,ABS(K203),0),0)</f>
        <v>153660.4692658674</v>
      </c>
      <c r="L204" s="60">
        <f t="shared" ref="L204" si="149">IF($A$64&lt;=L168,IF($B$64&gt;=L168,ABS(L203),0),0)</f>
        <v>169244.12920657106</v>
      </c>
      <c r="M204" s="60">
        <f t="shared" ref="M204" si="150">IF($A$64&lt;=M168,IF($B$64&gt;=M168,ABS(M203),0),0)</f>
        <v>189288.57682563658</v>
      </c>
      <c r="N204" s="60">
        <f t="shared" ref="N204" si="151">IF($A$64&lt;=N168,IF($B$64&gt;=N168,ABS(N203),0),0)</f>
        <v>216406.94220558394</v>
      </c>
      <c r="O204" s="60">
        <f t="shared" ref="O204" si="152">IF($A$64&lt;=O168,IF($B$64&gt;=O168,ABS(O203),0),0)</f>
        <v>247999.95414314413</v>
      </c>
      <c r="P204" s="60">
        <f t="shared" ref="P204" si="153">IF($A$64&lt;=P168,IF($B$64&gt;=P168,ABS(P203),0),0)</f>
        <v>268690.62648395909</v>
      </c>
      <c r="Q204" s="60">
        <f t="shared" ref="Q204" si="154">IF($A$64&lt;=Q168,IF($B$64&gt;=Q168,ABS(Q203),0),0)</f>
        <v>259313.01928914507</v>
      </c>
      <c r="R204" s="60">
        <f t="shared" ref="R204" si="155">IF($A$64&lt;=R168,IF($B$64&gt;=R168,ABS(R203),0),0)</f>
        <v>283156.47096814256</v>
      </c>
      <c r="S204" s="60">
        <f t="shared" ref="S204" si="156">IF($A$64&lt;=S168,IF($B$64&gt;=S168,ABS(S203),0),0)</f>
        <v>341283.92271167715</v>
      </c>
      <c r="T204" s="60">
        <f t="shared" ref="T204" si="157">IF($A$64&lt;=T168,IF($B$64&gt;=T168,ABS(T203),0),0)</f>
        <v>324488.56598983286</v>
      </c>
      <c r="U204" s="60">
        <f t="shared" ref="U204" si="158">IF($A$64&lt;=U168,IF($B$64&gt;=U168,ABS(U203),0),0)</f>
        <v>38016.269482615782</v>
      </c>
      <c r="V204" s="60">
        <f t="shared" ref="V204" si="159">IF($A$64&lt;=V168,IF($B$64&gt;=V168,ABS(V203),0),0)</f>
        <v>153607.22950178478</v>
      </c>
      <c r="W204" s="60">
        <f t="shared" ref="W204" si="160">IF($A$64&lt;=W168,IF($B$64&gt;=W168,ABS(W203),0),0)</f>
        <v>733700.79382183042</v>
      </c>
      <c r="X204" s="60">
        <f t="shared" ref="X204" si="161">IF($A$64&lt;=X168,IF($B$64&gt;=X168,ABS(X203),0),0)</f>
        <v>864904.80630260485</v>
      </c>
      <c r="Y204" s="60">
        <f t="shared" ref="Y204" si="162">IF($A$64&lt;=Y168,IF($B$64&gt;=Y168,ABS(Y203),0),0)</f>
        <v>463624.67447230814</v>
      </c>
      <c r="Z204" s="60">
        <f t="shared" ref="Z204" si="163">IF($A$64&lt;=Z168,IF($B$64&gt;=Z168,ABS(Z203),0),0)</f>
        <v>116105.87459295834</v>
      </c>
      <c r="AA204" s="60">
        <f t="shared" ref="AA204" si="164">IF($A$64&lt;=AA168,IF($B$64&gt;=AA168,ABS(AA203),0),0)</f>
        <v>5271.5408075386504</v>
      </c>
      <c r="AB204" s="60">
        <f t="shared" ref="AB204" si="165">IF($A$64&lt;=AB168,IF($B$64&gt;=AB168,ABS(AB203),0),0)</f>
        <v>15155.396711138475</v>
      </c>
      <c r="AC204" s="60">
        <f t="shared" ref="AC204" si="166">IF($A$64&lt;=AC168,IF($B$64&gt;=AC168,ABS(AC203),0),0)</f>
        <v>54890.807843559815</v>
      </c>
      <c r="AD204" s="60">
        <f t="shared" ref="AD204" si="167">IF($A$64&lt;=AD168,IF($B$64&gt;=AD168,ABS(AD203),0),0)</f>
        <v>136586.32152742651</v>
      </c>
      <c r="AE204" s="60">
        <f t="shared" ref="AE204" si="168">IF($A$64&lt;=AE168,IF($B$64&gt;=AE168,ABS(AE203),0),0)</f>
        <v>208482.01318535765</v>
      </c>
      <c r="AF204" s="60">
        <f t="shared" ref="AF204" si="169">IF($A$64&lt;=AF168,IF($B$64&gt;=AF168,ABS(AF203),0),0)</f>
        <v>288491.22157908371</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6992.3964680806075</v>
      </c>
      <c r="C208" s="26">
        <f>INDEX(Comparison!$AM$3:$AS$33,G$14,$D$122)</f>
        <v>6992.459052459466</v>
      </c>
      <c r="D208" s="26">
        <f>INDEX(Comparison!$AM$3:$AS$33,H$14,$D$122)</f>
        <v>6992.3628853177524</v>
      </c>
      <c r="E208" s="26">
        <f>INDEX(Comparison!$AM$3:$AS$33,I$14,$D$122)</f>
        <v>6991.7590094248426</v>
      </c>
      <c r="F208" s="26">
        <f>INDEX(Comparison!$AM$3:$AS$33,J$14,$D$122)</f>
        <v>6985.9675385002447</v>
      </c>
      <c r="G208" s="26">
        <f>INDEX(Comparison!$AM$3:$AS$33,K$14,$D$122)</f>
        <v>6936.0316435873456</v>
      </c>
      <c r="H208" s="26">
        <f>INDEX(Comparison!$AM$3:$AS$33,L$14,$D$122)</f>
        <v>6767.3497232459458</v>
      </c>
      <c r="I208" s="26">
        <f>INDEX(Comparison!$AM$3:$AS$33,M$14,$D$122)</f>
        <v>6644.5309370841214</v>
      </c>
      <c r="J208" s="26">
        <f>INDEX(Comparison!$AM$3:$AS$33,N$14,$D$122)</f>
        <v>6532.7504586905397</v>
      </c>
      <c r="K208" s="26">
        <f>INDEX(Comparison!$AM$3:$AS$33,O$14,$D$122)</f>
        <v>6406.2589516029093</v>
      </c>
      <c r="L208" s="26">
        <f>INDEX(Comparison!$AM$3:$AS$33,P$14,$D$122)</f>
        <v>6273.617616065887</v>
      </c>
      <c r="M208" s="26">
        <f>INDEX(Comparison!$AM$3:$AS$33,Q$14,$D$122)</f>
        <v>6123.1895749079549</v>
      </c>
      <c r="N208" s="26">
        <f>INDEX(Comparison!$AM$3:$AS$33,R$14,$D$122)</f>
        <v>5959.0875608576071</v>
      </c>
      <c r="O208" s="26">
        <f>INDEX(Comparison!$AM$3:$AS$33,S$14,$D$122)</f>
        <v>5781.2083401997561</v>
      </c>
      <c r="P208" s="26">
        <f>INDEX(Comparison!$AM$3:$AS$33,T$14,$D$122)</f>
        <v>5618.3452185734377</v>
      </c>
      <c r="Q208" s="26">
        <f>INDEX(Comparison!$AM$3:$AS$33,U$14,$D$122)</f>
        <v>5440.9922001853329</v>
      </c>
      <c r="R208" s="26">
        <f>INDEX(Comparison!$AM$3:$AS$33,V$14,$D$122)</f>
        <v>5221.4874412485688</v>
      </c>
      <c r="S208" s="26">
        <f>INDEX(Comparison!$AM$3:$AS$33,W$14,$D$122)</f>
        <v>4926.1795387850607</v>
      </c>
      <c r="T208" s="26">
        <f>INDEX(Comparison!$AM$3:$AS$33,X$14,$D$122)</f>
        <v>4442.9821588725517</v>
      </c>
      <c r="U208" s="26">
        <f>INDEX(Comparison!$AM$3:$AS$33,Y$14,$D$122)</f>
        <v>3752.7744100380223</v>
      </c>
      <c r="V208" s="26">
        <f>INDEX(Comparison!$AM$3:$AS$33,Z$14,$D$122)</f>
        <v>3130.6377978974938</v>
      </c>
      <c r="W208" s="26">
        <f>INDEX(Comparison!$AM$3:$AS$33,AA$14,$D$122)</f>
        <v>2685.7977977575347</v>
      </c>
      <c r="X208" s="26">
        <f>INDEX(Comparison!$AM$3:$AS$33,AB$14,$D$122)</f>
        <v>2368.346654493816</v>
      </c>
      <c r="Y208" s="26">
        <f>INDEX(Comparison!$AM$3:$AS$33,AC$14,$D$122)</f>
        <v>2132.4244867059297</v>
      </c>
      <c r="Z208" s="26">
        <f>INDEX(Comparison!$AM$3:$AS$33,AD$14,$D$122)</f>
        <v>1927.1689592855932</v>
      </c>
      <c r="AA208" s="26">
        <f>INDEX(Comparison!$AM$3:$AS$33,AE$14,$D$122)</f>
        <v>1740.579877269425</v>
      </c>
      <c r="AB208" s="26">
        <f>INDEX(Comparison!$AM$3:$AS$33,AF$14,$D$122)</f>
        <v>1552.3921804639763</v>
      </c>
      <c r="AC208" s="26">
        <f>INDEX(Comparison!$AM$3:$AS$33,AG$14,$D$122)</f>
        <v>1355.3669215252155</v>
      </c>
      <c r="AD208" s="26">
        <f>INDEX(Comparison!$AM$3:$AS$33,AH$14,$D$122)</f>
        <v>1134.9160288600715</v>
      </c>
      <c r="AE208" s="26">
        <f>INDEX(Comparison!$AM$3:$AS$33,AI$14,$D$122)</f>
        <v>892.49692017162795</v>
      </c>
      <c r="AF208" s="26">
        <f>INDEX(Comparison!$AM$3:$AS$33,AJ$14,$D$122)</f>
        <v>651.2901745739025</v>
      </c>
      <c r="AG208" s="26"/>
      <c r="AH208" s="26"/>
    </row>
    <row r="209" spans="1:34" x14ac:dyDescent="0.25">
      <c r="A209" s="70" t="s">
        <v>22</v>
      </c>
      <c r="B209" s="27">
        <f>($C$17+SUM(B210:B240))*$B$51</f>
        <v>6788.0275354895603</v>
      </c>
      <c r="C209" s="27">
        <f t="shared" ref="C209:AF209" si="170">($C$17+SUM(C210:C240))*$B$51</f>
        <v>6788.0161073984018</v>
      </c>
      <c r="D209" s="27">
        <f t="shared" si="170"/>
        <v>6787.9019537543281</v>
      </c>
      <c r="E209" s="27">
        <f t="shared" si="170"/>
        <v>6786.76279507239</v>
      </c>
      <c r="F209" s="27">
        <f t="shared" si="170"/>
        <v>6775.6056171632181</v>
      </c>
      <c r="G209" s="27">
        <f t="shared" si="170"/>
        <v>6684.4415765623462</v>
      </c>
      <c r="H209" s="27">
        <f t="shared" si="170"/>
        <v>6479.2509660963933</v>
      </c>
      <c r="I209" s="27">
        <f t="shared" si="170"/>
        <v>6394.1097138000878</v>
      </c>
      <c r="J209" s="27">
        <f t="shared" si="170"/>
        <v>6257.0411087571702</v>
      </c>
      <c r="K209" s="27">
        <f t="shared" si="170"/>
        <v>6119.7072319710733</v>
      </c>
      <c r="L209" s="27">
        <f t="shared" si="170"/>
        <v>5962.0512457086397</v>
      </c>
      <c r="M209" s="27">
        <f t="shared" si="170"/>
        <v>5793.7242800494732</v>
      </c>
      <c r="N209" s="27">
        <f t="shared" si="170"/>
        <v>5618.7180912766917</v>
      </c>
      <c r="O209" s="27">
        <f t="shared" si="170"/>
        <v>5460.8873251755604</v>
      </c>
      <c r="P209" s="27">
        <f t="shared" si="170"/>
        <v>5262.5760040170662</v>
      </c>
      <c r="Q209" s="27">
        <f t="shared" si="170"/>
        <v>5037.4032907649016</v>
      </c>
      <c r="R209" s="27">
        <f t="shared" si="170"/>
        <v>4798.5573080087042</v>
      </c>
      <c r="S209" s="27">
        <f t="shared" si="170"/>
        <v>4613.2486381492909</v>
      </c>
      <c r="T209" s="27">
        <f t="shared" si="170"/>
        <v>4415.9259900739298</v>
      </c>
      <c r="U209" s="27">
        <f t="shared" si="170"/>
        <v>4221.6637152896492</v>
      </c>
      <c r="V209" s="27">
        <f t="shared" si="170"/>
        <v>3864.3647820180295</v>
      </c>
      <c r="W209" s="27">
        <f t="shared" si="170"/>
        <v>3303.8034435623908</v>
      </c>
      <c r="X209" s="27">
        <f t="shared" si="170"/>
        <v>2721.8065795124585</v>
      </c>
      <c r="Y209" s="27">
        <f t="shared" si="170"/>
        <v>2255.1842204694408</v>
      </c>
      <c r="Z209" s="27">
        <f t="shared" si="170"/>
        <v>1892.4747938649052</v>
      </c>
      <c r="AA209" s="27">
        <f t="shared" si="170"/>
        <v>1611.030400641439</v>
      </c>
      <c r="AB209" s="27">
        <f t="shared" si="170"/>
        <v>1317.6973955598369</v>
      </c>
      <c r="AC209" s="27">
        <f t="shared" si="170"/>
        <v>1054.6597159816322</v>
      </c>
      <c r="AD209" s="27">
        <f t="shared" si="170"/>
        <v>781.82880485641795</v>
      </c>
      <c r="AE209" s="27">
        <f t="shared" si="170"/>
        <v>548.61567222723988</v>
      </c>
      <c r="AF209" s="27">
        <f t="shared" si="170"/>
        <v>377.18054415053751</v>
      </c>
      <c r="AG209" s="27"/>
      <c r="AH209" s="27"/>
    </row>
    <row r="210" spans="1:34" x14ac:dyDescent="0.25">
      <c r="B210" s="3">
        <f t="shared" ref="B210:AF210" si="171">$C18*EXP(-B$207/$A18/EXP(-$D$126))</f>
        <v>1.4795459237361229E-9</v>
      </c>
      <c r="C210" s="3">
        <f t="shared" si="171"/>
        <v>3.2283601596874121E-75</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4.1217184767109567E-2</v>
      </c>
      <c r="C211" s="3">
        <f t="shared" si="172"/>
        <v>4.1215588535244874E-2</v>
      </c>
      <c r="D211" s="3">
        <f t="shared" si="172"/>
        <v>4.1199629616182593E-2</v>
      </c>
      <c r="E211" s="3">
        <f t="shared" si="172"/>
        <v>4.1040379897389852E-2</v>
      </c>
      <c r="F211" s="3">
        <f t="shared" si="172"/>
        <v>3.9481348447990783E-2</v>
      </c>
      <c r="G211" s="3">
        <f t="shared" si="172"/>
        <v>2.6803902307582488E-2</v>
      </c>
      <c r="H211" s="3">
        <f t="shared" si="172"/>
        <v>5.5751751868065279E-4</v>
      </c>
      <c r="I211" s="3">
        <f t="shared" si="172"/>
        <v>8.4501309840007004E-21</v>
      </c>
      <c r="J211" s="3">
        <f t="shared" si="172"/>
        <v>5.4064558891667634E-189</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8.4212373125848779E-3</v>
      </c>
      <c r="C212" s="3">
        <f t="shared" si="173"/>
        <v>8.4212078922373118E-3</v>
      </c>
      <c r="D212" s="3">
        <f t="shared" si="173"/>
        <v>8.4209136944146511E-3</v>
      </c>
      <c r="E212" s="3">
        <f t="shared" si="173"/>
        <v>8.417972281413456E-3</v>
      </c>
      <c r="F212" s="3">
        <f t="shared" si="173"/>
        <v>8.3886146009500354E-3</v>
      </c>
      <c r="G212" s="3">
        <f t="shared" si="173"/>
        <v>8.1006104596236736E-3</v>
      </c>
      <c r="H212" s="3">
        <f t="shared" si="173"/>
        <v>5.7120606808502995E-3</v>
      </c>
      <c r="I212" s="3">
        <f t="shared" si="173"/>
        <v>1.7359749439425709E-4</v>
      </c>
      <c r="J212" s="3">
        <f t="shared" si="173"/>
        <v>1.1669435652548371E-19</v>
      </c>
      <c r="K212" s="3">
        <f t="shared" si="173"/>
        <v>2.1984361863474316E-171</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2.097303487289268E-2</v>
      </c>
      <c r="C213" s="3">
        <f t="shared" si="174"/>
        <v>2.0973028263212394E-2</v>
      </c>
      <c r="D213" s="3">
        <f t="shared" si="174"/>
        <v>2.0972962166524074E-2</v>
      </c>
      <c r="E213" s="3">
        <f t="shared" si="174"/>
        <v>2.0972301211097499E-2</v>
      </c>
      <c r="F213" s="3">
        <f t="shared" si="174"/>
        <v>2.096569280236105E-2</v>
      </c>
      <c r="G213" s="3">
        <f t="shared" si="174"/>
        <v>2.0899723134463533E-2</v>
      </c>
      <c r="H213" s="3">
        <f t="shared" si="174"/>
        <v>2.0251336099440506E-2</v>
      </c>
      <c r="I213" s="3">
        <f t="shared" si="174"/>
        <v>1.4776962353341291E-2</v>
      </c>
      <c r="J213" s="3">
        <f t="shared" si="174"/>
        <v>6.3226628090298797E-4</v>
      </c>
      <c r="K213" s="3">
        <f t="shared" si="174"/>
        <v>1.300314978087763E-17</v>
      </c>
      <c r="L213" s="3">
        <f t="shared" si="174"/>
        <v>1.7600864669874877E-154</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1.9327757379730522E-2</v>
      </c>
      <c r="C214" s="3">
        <f t="shared" si="175"/>
        <v>1.9327756830256337E-2</v>
      </c>
      <c r="D214" s="3">
        <f t="shared" si="175"/>
        <v>1.9327751335515359E-2</v>
      </c>
      <c r="E214" s="3">
        <f t="shared" si="175"/>
        <v>1.9327696388191481E-2</v>
      </c>
      <c r="F214" s="3">
        <f t="shared" si="175"/>
        <v>1.9327146923544241E-2</v>
      </c>
      <c r="G214" s="3">
        <f t="shared" si="175"/>
        <v>1.9321653136134924E-2</v>
      </c>
      <c r="H214" s="3">
        <f t="shared" si="175"/>
        <v>1.9266801078057196E-2</v>
      </c>
      <c r="I214" s="3">
        <f t="shared" si="175"/>
        <v>1.8726772512719619E-2</v>
      </c>
      <c r="J214" s="3">
        <f t="shared" si="175"/>
        <v>1.4092762998168725E-2</v>
      </c>
      <c r="K214" s="3">
        <f t="shared" si="175"/>
        <v>8.2097188279784609E-4</v>
      </c>
      <c r="L214" s="3">
        <f t="shared" si="175"/>
        <v>3.6952994175975898E-16</v>
      </c>
      <c r="M214" s="3">
        <f t="shared" si="175"/>
        <v>1.2614299425526567E-139</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2.3244089234308811E-2</v>
      </c>
      <c r="C215" s="3">
        <f t="shared" si="176"/>
        <v>2.3244089174698012E-2</v>
      </c>
      <c r="D215" s="3">
        <f t="shared" si="176"/>
        <v>2.3244088578590009E-2</v>
      </c>
      <c r="E215" s="3">
        <f t="shared" si="176"/>
        <v>2.324408261751083E-2</v>
      </c>
      <c r="F215" s="3">
        <f t="shared" si="176"/>
        <v>2.3244023006803113E-2</v>
      </c>
      <c r="G215" s="3">
        <f t="shared" si="176"/>
        <v>2.3243426908133996E-2</v>
      </c>
      <c r="H215" s="3">
        <f t="shared" si="176"/>
        <v>2.3237466762168459E-2</v>
      </c>
      <c r="I215" s="3">
        <f t="shared" si="176"/>
        <v>2.3177949295355001E-2</v>
      </c>
      <c r="J215" s="3">
        <f t="shared" si="176"/>
        <v>2.2591094755536178E-2</v>
      </c>
      <c r="K215" s="3">
        <f t="shared" si="176"/>
        <v>1.7480746074972166E-2</v>
      </c>
      <c r="L215" s="3">
        <f t="shared" si="176"/>
        <v>1.3451999286824684E-3</v>
      </c>
      <c r="M215" s="3">
        <f t="shared" si="176"/>
        <v>9.7961527587597276E-15</v>
      </c>
      <c r="N215" s="3">
        <f t="shared" si="176"/>
        <v>4.1090618699051336E-126</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2.4746587764806177E-2</v>
      </c>
      <c r="C216" s="3">
        <f t="shared" si="177"/>
        <v>2.4746587759081191E-2</v>
      </c>
      <c r="D216" s="3">
        <f t="shared" si="177"/>
        <v>2.4746587701831343E-2</v>
      </c>
      <c r="E216" s="3">
        <f t="shared" si="177"/>
        <v>2.4746587129332871E-2</v>
      </c>
      <c r="F216" s="3">
        <f t="shared" si="177"/>
        <v>2.4746581404348864E-2</v>
      </c>
      <c r="G216" s="3">
        <f t="shared" si="177"/>
        <v>2.4746524154581645E-2</v>
      </c>
      <c r="H216" s="3">
        <f t="shared" si="177"/>
        <v>2.4745951664193803E-2</v>
      </c>
      <c r="I216" s="3">
        <f t="shared" si="177"/>
        <v>2.4740227488689905E-2</v>
      </c>
      <c r="J216" s="3">
        <f t="shared" si="177"/>
        <v>2.4683058508793643E-2</v>
      </c>
      <c r="K216" s="3">
        <f t="shared" si="177"/>
        <v>2.4118584314053435E-2</v>
      </c>
      <c r="L216" s="3">
        <f t="shared" si="177"/>
        <v>1.9137279975225508E-2</v>
      </c>
      <c r="M216" s="3">
        <f t="shared" si="177"/>
        <v>1.893059182610477E-3</v>
      </c>
      <c r="N216" s="3">
        <f t="shared" si="177"/>
        <v>1.6982592970349423E-13</v>
      </c>
      <c r="O216" s="3">
        <f t="shared" si="177"/>
        <v>5.7332660261037571E-114</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2.7326490980652384E-2</v>
      </c>
      <c r="C217" s="3">
        <f t="shared" si="178"/>
        <v>2.7326490980082104E-2</v>
      </c>
      <c r="D217" s="3">
        <f t="shared" si="178"/>
        <v>2.7326490974379287E-2</v>
      </c>
      <c r="E217" s="3">
        <f t="shared" si="178"/>
        <v>2.7326490917351114E-2</v>
      </c>
      <c r="F217" s="3">
        <f t="shared" si="178"/>
        <v>2.7326490347069368E-2</v>
      </c>
      <c r="G217" s="3">
        <f t="shared" si="178"/>
        <v>2.7326484644252597E-2</v>
      </c>
      <c r="H217" s="3">
        <f t="shared" si="178"/>
        <v>2.732642761615036E-2</v>
      </c>
      <c r="I217" s="3">
        <f t="shared" si="178"/>
        <v>2.7325857341673625E-2</v>
      </c>
      <c r="J217" s="3">
        <f t="shared" si="178"/>
        <v>2.7320155251422666E-2</v>
      </c>
      <c r="K217" s="3">
        <f t="shared" si="178"/>
        <v>2.7263199750038526E-2</v>
      </c>
      <c r="L217" s="3">
        <f t="shared" si="178"/>
        <v>2.6700134629274355E-2</v>
      </c>
      <c r="M217" s="3">
        <f t="shared" si="178"/>
        <v>2.1671037709587226E-2</v>
      </c>
      <c r="N217" s="3">
        <f t="shared" si="178"/>
        <v>2.6886995489584669E-3</v>
      </c>
      <c r="O217" s="3">
        <f t="shared" si="178"/>
        <v>2.3236351585516085E-12</v>
      </c>
      <c r="P217" s="3">
        <f t="shared" si="178"/>
        <v>5.4003833148677859E-103</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2.1347831070198595E-2</v>
      </c>
      <c r="C218" s="3">
        <f t="shared" si="179"/>
        <v>2.1347831070158405E-2</v>
      </c>
      <c r="D218" s="3">
        <f t="shared" si="179"/>
        <v>2.1347831069756518E-2</v>
      </c>
      <c r="E218" s="3">
        <f t="shared" si="179"/>
        <v>2.1347831065737628E-2</v>
      </c>
      <c r="F218" s="3">
        <f t="shared" si="179"/>
        <v>2.1347831025548745E-2</v>
      </c>
      <c r="G218" s="3">
        <f t="shared" si="179"/>
        <v>2.1347830623659903E-2</v>
      </c>
      <c r="H218" s="3">
        <f t="shared" si="179"/>
        <v>2.1347826604771886E-2</v>
      </c>
      <c r="I218" s="3">
        <f t="shared" si="179"/>
        <v>2.1347786415933365E-2</v>
      </c>
      <c r="J218" s="3">
        <f t="shared" si="179"/>
        <v>2.1347384531709323E-2</v>
      </c>
      <c r="K218" s="3">
        <f t="shared" si="179"/>
        <v>2.1343366105558849E-2</v>
      </c>
      <c r="L218" s="3">
        <f t="shared" si="179"/>
        <v>2.1303223424081218E-2</v>
      </c>
      <c r="M218" s="3">
        <f t="shared" si="179"/>
        <v>2.0905925794604614E-2</v>
      </c>
      <c r="N218" s="3">
        <f t="shared" si="179"/>
        <v>1.7318498169212302E-2</v>
      </c>
      <c r="O218" s="3">
        <f t="shared" si="179"/>
        <v>2.6358364718332074E-3</v>
      </c>
      <c r="P218" s="3">
        <f t="shared" si="179"/>
        <v>1.7579269027540039E-11</v>
      </c>
      <c r="Q218" s="3">
        <f t="shared" si="179"/>
        <v>3.0607249770233905E-93</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3.0209322623128729E-2</v>
      </c>
      <c r="C219" s="3">
        <f t="shared" si="180"/>
        <v>3.0209322623123598E-2</v>
      </c>
      <c r="D219" s="3">
        <f t="shared" si="180"/>
        <v>3.0209322623072295E-2</v>
      </c>
      <c r="E219" s="3">
        <f t="shared" si="180"/>
        <v>3.0209322622559268E-2</v>
      </c>
      <c r="F219" s="3">
        <f t="shared" si="180"/>
        <v>3.0209322617429004E-2</v>
      </c>
      <c r="G219" s="3">
        <f t="shared" si="180"/>
        <v>3.0209322566126354E-2</v>
      </c>
      <c r="H219" s="3">
        <f t="shared" si="180"/>
        <v>3.0209322053099889E-2</v>
      </c>
      <c r="I219" s="3">
        <f t="shared" si="180"/>
        <v>3.02093169228357E-2</v>
      </c>
      <c r="J219" s="3">
        <f t="shared" si="180"/>
        <v>3.0209265620241708E-2</v>
      </c>
      <c r="K219" s="3">
        <f t="shared" si="180"/>
        <v>3.0208752599093589E-2</v>
      </c>
      <c r="L219" s="3">
        <f t="shared" si="180"/>
        <v>3.0203622866761769E-2</v>
      </c>
      <c r="M219" s="3">
        <f t="shared" si="180"/>
        <v>3.0152373428288234E-2</v>
      </c>
      <c r="N219" s="3">
        <f t="shared" si="180"/>
        <v>2.9644637575840273E-2</v>
      </c>
      <c r="O219" s="3">
        <f t="shared" si="180"/>
        <v>2.5014542612530822E-2</v>
      </c>
      <c r="P219" s="3">
        <f t="shared" si="180"/>
        <v>4.5777996026760675E-3</v>
      </c>
      <c r="Q219" s="3">
        <f t="shared" si="180"/>
        <v>1.928851910559234E-10</v>
      </c>
      <c r="R219" s="3">
        <f t="shared" si="180"/>
        <v>3.4018876755916088E-84</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3.3829577920917675E-2</v>
      </c>
      <c r="C220" s="3">
        <f t="shared" si="181"/>
        <v>3.3829577920917155E-2</v>
      </c>
      <c r="D220" s="3">
        <f t="shared" si="181"/>
        <v>3.3829577920911971E-2</v>
      </c>
      <c r="E220" s="3">
        <f t="shared" si="181"/>
        <v>3.3829577920860145E-2</v>
      </c>
      <c r="F220" s="3">
        <f t="shared" si="181"/>
        <v>3.3829577920341893E-2</v>
      </c>
      <c r="G220" s="3">
        <f t="shared" si="181"/>
        <v>3.3829577915159365E-2</v>
      </c>
      <c r="H220" s="3">
        <f t="shared" si="181"/>
        <v>3.382957786333405E-2</v>
      </c>
      <c r="I220" s="3">
        <f t="shared" si="181"/>
        <v>3.3829577345080894E-2</v>
      </c>
      <c r="J220" s="3">
        <f t="shared" si="181"/>
        <v>3.3829572162549781E-2</v>
      </c>
      <c r="K220" s="3">
        <f t="shared" si="181"/>
        <v>3.3829520337282357E-2</v>
      </c>
      <c r="L220" s="3">
        <f t="shared" si="181"/>
        <v>3.3829002088974762E-2</v>
      </c>
      <c r="M220" s="3">
        <f t="shared" si="181"/>
        <v>3.3823820042537964E-2</v>
      </c>
      <c r="N220" s="3">
        <f t="shared" si="181"/>
        <v>3.3772043217345685E-2</v>
      </c>
      <c r="O220" s="3">
        <f t="shared" si="181"/>
        <v>3.3258614248358818E-2</v>
      </c>
      <c r="P220" s="3">
        <f t="shared" si="181"/>
        <v>2.8534632662706123E-2</v>
      </c>
      <c r="Q220" s="3">
        <f t="shared" si="181"/>
        <v>6.1667117283891945E-3</v>
      </c>
      <c r="R220" s="3">
        <f t="shared" si="181"/>
        <v>1.3704628215610441E-9</v>
      </c>
      <c r="S220" s="3">
        <f t="shared" si="181"/>
        <v>4.0272015899966871E-76</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3.8784967486764403E-2</v>
      </c>
      <c r="C221" s="3">
        <f t="shared" si="182"/>
        <v>3.8784967486764348E-2</v>
      </c>
      <c r="D221" s="3">
        <f t="shared" si="182"/>
        <v>3.8784967486763813E-2</v>
      </c>
      <c r="E221" s="3">
        <f t="shared" si="182"/>
        <v>3.8784967486758457E-2</v>
      </c>
      <c r="F221" s="3">
        <f t="shared" si="182"/>
        <v>3.8784967486704854E-2</v>
      </c>
      <c r="G221" s="3">
        <f t="shared" si="182"/>
        <v>3.8784967486168873E-2</v>
      </c>
      <c r="H221" s="3">
        <f t="shared" si="182"/>
        <v>3.8784967480808986E-2</v>
      </c>
      <c r="I221" s="3">
        <f t="shared" si="182"/>
        <v>3.8784967427210139E-2</v>
      </c>
      <c r="J221" s="3">
        <f t="shared" si="182"/>
        <v>3.8784966891221732E-2</v>
      </c>
      <c r="K221" s="3">
        <f t="shared" si="182"/>
        <v>3.878496153133805E-2</v>
      </c>
      <c r="L221" s="3">
        <f t="shared" si="182"/>
        <v>3.8784907932541954E-2</v>
      </c>
      <c r="M221" s="3">
        <f t="shared" si="182"/>
        <v>3.8784371948654875E-2</v>
      </c>
      <c r="N221" s="3">
        <f t="shared" si="182"/>
        <v>3.8779012517150643E-2</v>
      </c>
      <c r="O221" s="3">
        <f t="shared" si="182"/>
        <v>3.8725458917943635E-2</v>
      </c>
      <c r="P221" s="3">
        <f t="shared" si="182"/>
        <v>3.8193973767275118E-2</v>
      </c>
      <c r="Q221" s="3">
        <f t="shared" si="182"/>
        <v>3.3264237236176296E-2</v>
      </c>
      <c r="R221" s="3">
        <f t="shared" si="182"/>
        <v>8.3522754378256847E-3</v>
      </c>
      <c r="S221" s="3">
        <f t="shared" si="182"/>
        <v>8.3191162543491235E-9</v>
      </c>
      <c r="T221" s="3">
        <f t="shared" si="182"/>
        <v>7.9946793147098659E-69</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2.3192888824780992E-2</v>
      </c>
      <c r="C222" s="3">
        <f t="shared" si="183"/>
        <v>2.3192888824780988E-2</v>
      </c>
      <c r="D222" s="3">
        <f t="shared" si="183"/>
        <v>2.3192888824780961E-2</v>
      </c>
      <c r="E222" s="3">
        <f t="shared" si="183"/>
        <v>2.3192888824780669E-2</v>
      </c>
      <c r="F222" s="3">
        <f t="shared" si="183"/>
        <v>2.3192888824777779E-2</v>
      </c>
      <c r="G222" s="3">
        <f t="shared" si="183"/>
        <v>2.3192888824748868E-2</v>
      </c>
      <c r="H222" s="3">
        <f t="shared" si="183"/>
        <v>2.3192888824459735E-2</v>
      </c>
      <c r="I222" s="3">
        <f t="shared" si="183"/>
        <v>2.3192888821568433E-2</v>
      </c>
      <c r="J222" s="3">
        <f t="shared" si="183"/>
        <v>2.3192888792655419E-2</v>
      </c>
      <c r="K222" s="3">
        <f t="shared" si="183"/>
        <v>2.3192888503525251E-2</v>
      </c>
      <c r="L222" s="3">
        <f t="shared" si="183"/>
        <v>2.3192885612223803E-2</v>
      </c>
      <c r="M222" s="3">
        <f t="shared" si="183"/>
        <v>2.3192856699229124E-2</v>
      </c>
      <c r="N222" s="3">
        <f t="shared" si="183"/>
        <v>2.3192567571264752E-2</v>
      </c>
      <c r="O222" s="3">
        <f t="shared" si="183"/>
        <v>2.3189676489852411E-2</v>
      </c>
      <c r="P222" s="3">
        <f t="shared" si="183"/>
        <v>2.3160785489726332E-2</v>
      </c>
      <c r="Q222" s="3">
        <f t="shared" si="183"/>
        <v>2.2873847779307645E-2</v>
      </c>
      <c r="R222" s="3">
        <f t="shared" si="183"/>
        <v>2.0192897956504658E-2</v>
      </c>
      <c r="S222" s="3">
        <f t="shared" si="183"/>
        <v>5.8048752401385845E-3</v>
      </c>
      <c r="T222" s="3">
        <f t="shared" si="183"/>
        <v>2.2373569957353761E-8</v>
      </c>
      <c r="U222" s="3">
        <f t="shared" si="183"/>
        <v>1.6186734622903044E-62</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3.3182413237330913E-2</v>
      </c>
      <c r="C223" s="3">
        <f t="shared" si="184"/>
        <v>3.3182413237330913E-2</v>
      </c>
      <c r="D223" s="3">
        <f t="shared" si="184"/>
        <v>3.3182413237330906E-2</v>
      </c>
      <c r="E223" s="3">
        <f t="shared" si="184"/>
        <v>3.3182413237330871E-2</v>
      </c>
      <c r="F223" s="3">
        <f t="shared" si="184"/>
        <v>3.3182413237330496E-2</v>
      </c>
      <c r="G223" s="3">
        <f t="shared" si="184"/>
        <v>3.318241323732677E-2</v>
      </c>
      <c r="H223" s="3">
        <f t="shared" si="184"/>
        <v>3.3182413237289453E-2</v>
      </c>
      <c r="I223" s="3">
        <f t="shared" si="184"/>
        <v>3.3182413236916293E-2</v>
      </c>
      <c r="J223" s="3">
        <f t="shared" si="184"/>
        <v>3.3182413233184709E-2</v>
      </c>
      <c r="K223" s="3">
        <f t="shared" si="184"/>
        <v>3.3182413195868878E-2</v>
      </c>
      <c r="L223" s="3">
        <f t="shared" si="184"/>
        <v>3.3182412822710568E-2</v>
      </c>
      <c r="M223" s="3">
        <f t="shared" si="184"/>
        <v>3.3182409091127713E-2</v>
      </c>
      <c r="N223" s="3">
        <f t="shared" si="184"/>
        <v>3.3182371775322198E-2</v>
      </c>
      <c r="O223" s="3">
        <f t="shared" si="184"/>
        <v>3.3181998619575083E-2</v>
      </c>
      <c r="P223" s="3">
        <f t="shared" si="184"/>
        <v>3.3178267292896059E-2</v>
      </c>
      <c r="Q223" s="3">
        <f t="shared" si="184"/>
        <v>3.3140977095712613E-2</v>
      </c>
      <c r="R223" s="3">
        <f t="shared" si="184"/>
        <v>3.2770372514348528E-2</v>
      </c>
      <c r="S223" s="3">
        <f t="shared" si="184"/>
        <v>2.9284787336326376E-2</v>
      </c>
      <c r="T223" s="3">
        <f t="shared" si="184"/>
        <v>9.5115005655912743E-3</v>
      </c>
      <c r="U223" s="3">
        <f t="shared" si="184"/>
        <v>1.2425637315208463E-7</v>
      </c>
      <c r="V223" s="3">
        <f t="shared" si="184"/>
        <v>1.798933143571674E-56</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2.0402015949426134E-2</v>
      </c>
      <c r="C224" s="3">
        <f t="shared" si="185"/>
        <v>2.0402015949426134E-2</v>
      </c>
      <c r="D224" s="3">
        <f t="shared" si="185"/>
        <v>2.0402015949426134E-2</v>
      </c>
      <c r="E224" s="3">
        <f t="shared" si="185"/>
        <v>2.0402015949426131E-2</v>
      </c>
      <c r="F224" s="3">
        <f t="shared" si="185"/>
        <v>2.040201594942611E-2</v>
      </c>
      <c r="G224" s="3">
        <f t="shared" si="185"/>
        <v>2.0402015949425902E-2</v>
      </c>
      <c r="H224" s="3">
        <f t="shared" si="185"/>
        <v>2.0402015949423834E-2</v>
      </c>
      <c r="I224" s="3">
        <f t="shared" si="185"/>
        <v>2.0402015949403135E-2</v>
      </c>
      <c r="J224" s="3">
        <f t="shared" si="185"/>
        <v>2.0402015949196169E-2</v>
      </c>
      <c r="K224" s="3">
        <f t="shared" si="185"/>
        <v>2.040201594712648E-2</v>
      </c>
      <c r="L224" s="3">
        <f t="shared" si="185"/>
        <v>2.0402015926429606E-2</v>
      </c>
      <c r="M224" s="3">
        <f t="shared" si="185"/>
        <v>2.0402015719460834E-2</v>
      </c>
      <c r="N224" s="3">
        <f t="shared" si="185"/>
        <v>2.0402013649773225E-2</v>
      </c>
      <c r="O224" s="3">
        <f t="shared" si="185"/>
        <v>2.0401992952908732E-2</v>
      </c>
      <c r="P224" s="3">
        <f t="shared" si="185"/>
        <v>2.0401785985418565E-2</v>
      </c>
      <c r="Q224" s="3">
        <f t="shared" si="185"/>
        <v>2.0399716425990051E-2</v>
      </c>
      <c r="R224" s="3">
        <f t="shared" si="185"/>
        <v>2.0379032374690388E-2</v>
      </c>
      <c r="S224" s="3">
        <f t="shared" si="185"/>
        <v>2.0173341839339578E-2</v>
      </c>
      <c r="T224" s="3">
        <f t="shared" si="185"/>
        <v>1.8227232479126523E-2</v>
      </c>
      <c r="U224" s="3">
        <f t="shared" si="185"/>
        <v>6.6092104902911591E-3</v>
      </c>
      <c r="V224" s="3">
        <f t="shared" si="185"/>
        <v>2.5967975362249215E-7</v>
      </c>
      <c r="W224" s="3">
        <f t="shared" si="185"/>
        <v>2.2767909667664854E-51</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6.6904612026051358E-2</v>
      </c>
      <c r="C225" s="3">
        <f t="shared" si="186"/>
        <v>6.6904612026051358E-2</v>
      </c>
      <c r="D225" s="3">
        <f t="shared" si="186"/>
        <v>6.6904612026051358E-2</v>
      </c>
      <c r="E225" s="3">
        <f t="shared" si="186"/>
        <v>6.6904612026051358E-2</v>
      </c>
      <c r="F225" s="3">
        <f t="shared" si="186"/>
        <v>6.6904612026051344E-2</v>
      </c>
      <c r="G225" s="3">
        <f t="shared" si="186"/>
        <v>6.6904612026051288E-2</v>
      </c>
      <c r="H225" s="3">
        <f t="shared" si="186"/>
        <v>6.6904612026050678E-2</v>
      </c>
      <c r="I225" s="3">
        <f t="shared" si="186"/>
        <v>6.6904612026044558E-2</v>
      </c>
      <c r="J225" s="3">
        <f t="shared" si="186"/>
        <v>6.6904612025983329E-2</v>
      </c>
      <c r="K225" s="3">
        <f t="shared" si="186"/>
        <v>6.6904612025371069E-2</v>
      </c>
      <c r="L225" s="3">
        <f t="shared" si="186"/>
        <v>6.6904612019248494E-2</v>
      </c>
      <c r="M225" s="3">
        <f t="shared" si="186"/>
        <v>6.6904611958022706E-2</v>
      </c>
      <c r="N225" s="3">
        <f t="shared" si="186"/>
        <v>6.6904611345764822E-2</v>
      </c>
      <c r="O225" s="3">
        <f t="shared" si="186"/>
        <v>6.6904605223186267E-2</v>
      </c>
      <c r="P225" s="3">
        <f t="shared" si="186"/>
        <v>6.6904543997431523E-2</v>
      </c>
      <c r="Q225" s="3">
        <f t="shared" si="186"/>
        <v>6.6903931742965717E-2</v>
      </c>
      <c r="R225" s="3">
        <f t="shared" si="186"/>
        <v>6.6897809506455477E-2</v>
      </c>
      <c r="S225" s="3">
        <f t="shared" si="186"/>
        <v>6.6836617945702073E-2</v>
      </c>
      <c r="T225" s="3">
        <f t="shared" si="186"/>
        <v>6.6227772368370796E-2</v>
      </c>
      <c r="U225" s="3">
        <f t="shared" si="186"/>
        <v>6.0436174228473478E-2</v>
      </c>
      <c r="V225" s="3">
        <f t="shared" si="186"/>
        <v>2.4202773464536326E-2</v>
      </c>
      <c r="W225" s="3">
        <f t="shared" si="186"/>
        <v>2.5677151837178635E-6</v>
      </c>
      <c r="X225" s="3">
        <f t="shared" si="186"/>
        <v>4.6383549802610015E-46</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9.6702955914687194E-2</v>
      </c>
      <c r="C226" s="3">
        <f t="shared" si="187"/>
        <v>9.6702955914687194E-2</v>
      </c>
      <c r="D226" s="3">
        <f t="shared" si="187"/>
        <v>9.6702955914687194E-2</v>
      </c>
      <c r="E226" s="3">
        <f t="shared" si="187"/>
        <v>9.6702955914687194E-2</v>
      </c>
      <c r="F226" s="3">
        <f t="shared" si="187"/>
        <v>9.6702955914687194E-2</v>
      </c>
      <c r="G226" s="3">
        <f t="shared" si="187"/>
        <v>9.670295591468718E-2</v>
      </c>
      <c r="H226" s="3">
        <f t="shared" si="187"/>
        <v>9.6702955914687111E-2</v>
      </c>
      <c r="I226" s="3">
        <f t="shared" si="187"/>
        <v>9.6702955914686306E-2</v>
      </c>
      <c r="J226" s="3">
        <f t="shared" si="187"/>
        <v>9.6702955914678326E-2</v>
      </c>
      <c r="K226" s="3">
        <f t="shared" si="187"/>
        <v>9.6702955914598487E-2</v>
      </c>
      <c r="L226" s="3">
        <f t="shared" si="187"/>
        <v>9.6702955913800195E-2</v>
      </c>
      <c r="M226" s="3">
        <f t="shared" si="187"/>
        <v>9.670295590581722E-2</v>
      </c>
      <c r="N226" s="3">
        <f t="shared" si="187"/>
        <v>9.6702955825987494E-2</v>
      </c>
      <c r="O226" s="3">
        <f t="shared" si="187"/>
        <v>9.6702955027690163E-2</v>
      </c>
      <c r="P226" s="3">
        <f t="shared" si="187"/>
        <v>9.6702947044717324E-2</v>
      </c>
      <c r="Q226" s="3">
        <f t="shared" si="187"/>
        <v>9.6702867215025107E-2</v>
      </c>
      <c r="R226" s="3">
        <f t="shared" si="187"/>
        <v>9.6702068921727391E-2</v>
      </c>
      <c r="S226" s="3">
        <f t="shared" si="187"/>
        <v>9.6694086351191505E-2</v>
      </c>
      <c r="T226" s="3">
        <f t="shared" si="187"/>
        <v>9.6614296878883774E-2</v>
      </c>
      <c r="U226" s="3">
        <f t="shared" si="187"/>
        <v>9.5820014418275312E-2</v>
      </c>
      <c r="V226" s="3">
        <f t="shared" si="187"/>
        <v>8.8227622156588234E-2</v>
      </c>
      <c r="W226" s="3">
        <f t="shared" si="187"/>
        <v>3.864452753477602E-2</v>
      </c>
      <c r="X226" s="3">
        <f t="shared" si="187"/>
        <v>1.0044360142376227E-5</v>
      </c>
      <c r="Y226" s="3">
        <f t="shared" si="187"/>
        <v>1.4133997695897756E-41</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8.3641263972904237E-2</v>
      </c>
      <c r="C227" s="3">
        <f t="shared" si="188"/>
        <v>8.3641263972904237E-2</v>
      </c>
      <c r="D227" s="3">
        <f t="shared" si="188"/>
        <v>8.3641263972904237E-2</v>
      </c>
      <c r="E227" s="3">
        <f t="shared" si="188"/>
        <v>8.3641263972904237E-2</v>
      </c>
      <c r="F227" s="3">
        <f t="shared" si="188"/>
        <v>8.3641263972904237E-2</v>
      </c>
      <c r="G227" s="3">
        <f t="shared" si="188"/>
        <v>8.3641263972904237E-2</v>
      </c>
      <c r="H227" s="3">
        <f t="shared" si="188"/>
        <v>8.3641263972904223E-2</v>
      </c>
      <c r="I227" s="3">
        <f t="shared" si="188"/>
        <v>8.3641263972904167E-2</v>
      </c>
      <c r="J227" s="3">
        <f t="shared" si="188"/>
        <v>8.3641263972903543E-2</v>
      </c>
      <c r="K227" s="3">
        <f t="shared" si="188"/>
        <v>8.3641263972897312E-2</v>
      </c>
      <c r="L227" s="3">
        <f t="shared" si="188"/>
        <v>8.3641263972835028E-2</v>
      </c>
      <c r="M227" s="3">
        <f t="shared" si="188"/>
        <v>8.3641263972212165E-2</v>
      </c>
      <c r="N227" s="3">
        <f t="shared" si="188"/>
        <v>8.3641263965983537E-2</v>
      </c>
      <c r="O227" s="3">
        <f t="shared" si="188"/>
        <v>8.3641263903697305E-2</v>
      </c>
      <c r="P227" s="3">
        <f t="shared" si="188"/>
        <v>8.3641263280834932E-2</v>
      </c>
      <c r="Q227" s="3">
        <f t="shared" si="188"/>
        <v>8.3641257052211385E-2</v>
      </c>
      <c r="R227" s="3">
        <f t="shared" si="188"/>
        <v>8.3641194766001459E-2</v>
      </c>
      <c r="S227" s="3">
        <f t="shared" si="188"/>
        <v>8.3640571906453354E-2</v>
      </c>
      <c r="T227" s="3">
        <f t="shared" si="188"/>
        <v>8.3634343566073771E-2</v>
      </c>
      <c r="U227" s="3">
        <f t="shared" si="188"/>
        <v>8.3572085665400433E-2</v>
      </c>
      <c r="V227" s="3">
        <f t="shared" si="188"/>
        <v>8.2952049957947541E-2</v>
      </c>
      <c r="W227" s="3">
        <f t="shared" si="188"/>
        <v>7.6999152591837178E-2</v>
      </c>
      <c r="X227" s="3">
        <f t="shared" si="188"/>
        <v>3.6565723541549973E-2</v>
      </c>
      <c r="Y227" s="3">
        <f t="shared" si="188"/>
        <v>2.1328309267085699E-5</v>
      </c>
      <c r="Z227" s="3">
        <f t="shared" si="188"/>
        <v>9.722523702064643E-38</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5.9421998861156927E-2</v>
      </c>
      <c r="C228" s="3">
        <f t="shared" si="189"/>
        <v>5.9421998861156927E-2</v>
      </c>
      <c r="D228" s="3">
        <f t="shared" si="189"/>
        <v>5.9421998861156927E-2</v>
      </c>
      <c r="E228" s="3">
        <f t="shared" si="189"/>
        <v>5.9421998861156927E-2</v>
      </c>
      <c r="F228" s="3">
        <f t="shared" si="189"/>
        <v>5.9421998861156927E-2</v>
      </c>
      <c r="G228" s="3">
        <f t="shared" si="189"/>
        <v>5.9421998861156927E-2</v>
      </c>
      <c r="H228" s="3">
        <f t="shared" si="189"/>
        <v>5.9421998861156927E-2</v>
      </c>
      <c r="I228" s="3">
        <f t="shared" si="189"/>
        <v>5.942199886115692E-2</v>
      </c>
      <c r="J228" s="3">
        <f t="shared" si="189"/>
        <v>5.9421998861156879E-2</v>
      </c>
      <c r="K228" s="3">
        <f t="shared" si="189"/>
        <v>5.9421998861156483E-2</v>
      </c>
      <c r="L228" s="3">
        <f t="shared" si="189"/>
        <v>5.9421998861152493E-2</v>
      </c>
      <c r="M228" s="3">
        <f t="shared" si="189"/>
        <v>5.9421998861112574E-2</v>
      </c>
      <c r="N228" s="3">
        <f t="shared" si="189"/>
        <v>5.94219988607134E-2</v>
      </c>
      <c r="O228" s="3">
        <f t="shared" si="189"/>
        <v>5.9421998856721635E-2</v>
      </c>
      <c r="P228" s="3">
        <f t="shared" si="189"/>
        <v>5.9421998816803941E-2</v>
      </c>
      <c r="Q228" s="3">
        <f t="shared" si="189"/>
        <v>5.9421998417627075E-2</v>
      </c>
      <c r="R228" s="3">
        <f t="shared" si="189"/>
        <v>5.942199442585859E-2</v>
      </c>
      <c r="S228" s="3">
        <f t="shared" si="189"/>
        <v>5.942195450818847E-2</v>
      </c>
      <c r="T228" s="3">
        <f t="shared" si="189"/>
        <v>5.9421555332962055E-2</v>
      </c>
      <c r="U228" s="3">
        <f t="shared" si="189"/>
        <v>5.941756372817826E-2</v>
      </c>
      <c r="V228" s="3">
        <f t="shared" si="189"/>
        <v>5.9377662424710528E-2</v>
      </c>
      <c r="W228" s="3">
        <f t="shared" si="189"/>
        <v>5.8980120168862525E-2</v>
      </c>
      <c r="X228" s="3">
        <f t="shared" si="189"/>
        <v>5.5148184581797849E-2</v>
      </c>
      <c r="Y228" s="3">
        <f t="shared" si="189"/>
        <v>2.817000310940284E-2</v>
      </c>
      <c r="Z228" s="3">
        <f t="shared" si="189"/>
        <v>3.4067764705209472E-5</v>
      </c>
      <c r="AA228" s="3">
        <f t="shared" si="189"/>
        <v>2.2798752311635673E-34</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5.182495758409756E-2</v>
      </c>
      <c r="C229" s="3">
        <f t="shared" si="190"/>
        <v>5.182495758409756E-2</v>
      </c>
      <c r="D229" s="3">
        <f t="shared" si="190"/>
        <v>5.182495758409756E-2</v>
      </c>
      <c r="E229" s="3">
        <f t="shared" si="190"/>
        <v>5.182495758409756E-2</v>
      </c>
      <c r="F229" s="3">
        <f t="shared" si="190"/>
        <v>5.182495758409756E-2</v>
      </c>
      <c r="G229" s="3">
        <f t="shared" si="190"/>
        <v>5.182495758409756E-2</v>
      </c>
      <c r="H229" s="3">
        <f t="shared" si="190"/>
        <v>5.182495758409756E-2</v>
      </c>
      <c r="I229" s="3">
        <f t="shared" si="190"/>
        <v>5.182495758409756E-2</v>
      </c>
      <c r="J229" s="3">
        <f t="shared" si="190"/>
        <v>5.1824957584097553E-2</v>
      </c>
      <c r="K229" s="3">
        <f t="shared" si="190"/>
        <v>5.1824957584097525E-2</v>
      </c>
      <c r="L229" s="3">
        <f t="shared" si="190"/>
        <v>5.1824957584097206E-2</v>
      </c>
      <c r="M229" s="3">
        <f t="shared" si="190"/>
        <v>5.1824957584094077E-2</v>
      </c>
      <c r="N229" s="3">
        <f t="shared" si="190"/>
        <v>5.1824957584062664E-2</v>
      </c>
      <c r="O229" s="3">
        <f t="shared" si="190"/>
        <v>5.1824957583748617E-2</v>
      </c>
      <c r="P229" s="3">
        <f t="shared" si="190"/>
        <v>5.1824957580608073E-2</v>
      </c>
      <c r="Q229" s="3">
        <f t="shared" si="190"/>
        <v>5.1824957549202723E-2</v>
      </c>
      <c r="R229" s="3">
        <f t="shared" si="190"/>
        <v>5.1824957235149217E-2</v>
      </c>
      <c r="S229" s="3">
        <f t="shared" si="190"/>
        <v>5.1824954094614226E-2</v>
      </c>
      <c r="T229" s="3">
        <f t="shared" si="190"/>
        <v>5.1824922689274772E-2</v>
      </c>
      <c r="U229" s="3">
        <f t="shared" si="190"/>
        <v>5.1824608636926998E-2</v>
      </c>
      <c r="V229" s="3">
        <f t="shared" si="190"/>
        <v>5.182146821811872E-2</v>
      </c>
      <c r="W229" s="3">
        <f t="shared" si="190"/>
        <v>5.1790074494641167E-2</v>
      </c>
      <c r="X229" s="3">
        <f t="shared" si="190"/>
        <v>5.1477181377855764E-2</v>
      </c>
      <c r="Y229" s="3">
        <f t="shared" si="190"/>
        <v>4.845035839391415E-2</v>
      </c>
      <c r="Z229" s="3">
        <f t="shared" si="190"/>
        <v>2.6431349748483865E-2</v>
      </c>
      <c r="AA229" s="3">
        <f t="shared" si="190"/>
        <v>6.1708191239699857E-5</v>
      </c>
      <c r="AB229" s="3">
        <f t="shared" si="190"/>
        <v>2.9687769529303069E-31</v>
      </c>
      <c r="AC229" s="3">
        <f t="shared" si="190"/>
        <v>1.9720825975251979E-294</v>
      </c>
      <c r="AD229" s="3">
        <f t="shared" si="190"/>
        <v>0</v>
      </c>
      <c r="AE229" s="3">
        <f t="shared" si="190"/>
        <v>0</v>
      </c>
      <c r="AF229" s="3">
        <f t="shared" si="190"/>
        <v>0</v>
      </c>
      <c r="AG229" s="3"/>
      <c r="AH229" s="3"/>
    </row>
    <row r="230" spans="2:34" x14ac:dyDescent="0.25">
      <c r="B230" s="3">
        <f t="shared" ref="B230:AF230" si="191">$C38*EXP(-B$207/$A38/EXP(-$D$126))</f>
        <v>2.0016819549847034E-2</v>
      </c>
      <c r="C230" s="3">
        <f t="shared" si="191"/>
        <v>2.0016819549847034E-2</v>
      </c>
      <c r="D230" s="3">
        <f t="shared" si="191"/>
        <v>2.0016819549847034E-2</v>
      </c>
      <c r="E230" s="3">
        <f t="shared" si="191"/>
        <v>2.0016819549847034E-2</v>
      </c>
      <c r="F230" s="3">
        <f t="shared" si="191"/>
        <v>2.0016819549847034E-2</v>
      </c>
      <c r="G230" s="3">
        <f t="shared" si="191"/>
        <v>2.0016819549847034E-2</v>
      </c>
      <c r="H230" s="3">
        <f t="shared" si="191"/>
        <v>2.0016819549847034E-2</v>
      </c>
      <c r="I230" s="3">
        <f t="shared" si="191"/>
        <v>2.0016819549847034E-2</v>
      </c>
      <c r="J230" s="3">
        <f t="shared" si="191"/>
        <v>2.0016819549847034E-2</v>
      </c>
      <c r="K230" s="3">
        <f t="shared" si="191"/>
        <v>2.0016819549847031E-2</v>
      </c>
      <c r="L230" s="3">
        <f t="shared" si="191"/>
        <v>2.0016819549847024E-2</v>
      </c>
      <c r="M230" s="3">
        <f t="shared" si="191"/>
        <v>2.0016819549846913E-2</v>
      </c>
      <c r="N230" s="3">
        <f t="shared" si="191"/>
        <v>2.001681954984582E-2</v>
      </c>
      <c r="O230" s="3">
        <f t="shared" si="191"/>
        <v>2.0016819549834877E-2</v>
      </c>
      <c r="P230" s="3">
        <f t="shared" si="191"/>
        <v>2.0016819549725454E-2</v>
      </c>
      <c r="Q230" s="3">
        <f t="shared" si="191"/>
        <v>2.0016819548631229E-2</v>
      </c>
      <c r="R230" s="3">
        <f t="shared" si="191"/>
        <v>2.0016819537688985E-2</v>
      </c>
      <c r="S230" s="3">
        <f t="shared" si="191"/>
        <v>2.0016819428266556E-2</v>
      </c>
      <c r="T230" s="3">
        <f t="shared" si="191"/>
        <v>2.0016818334042272E-2</v>
      </c>
      <c r="U230" s="3">
        <f t="shared" si="191"/>
        <v>2.0016807391802744E-2</v>
      </c>
      <c r="V230" s="3">
        <f t="shared" si="191"/>
        <v>2.0016697969736458E-2</v>
      </c>
      <c r="W230" s="3">
        <f t="shared" si="191"/>
        <v>2.0015603781971671E-2</v>
      </c>
      <c r="X230" s="3">
        <f t="shared" si="191"/>
        <v>2.0004665193466692E-2</v>
      </c>
      <c r="Y230" s="3">
        <f t="shared" si="191"/>
        <v>1.9895607558412631E-2</v>
      </c>
      <c r="Z230" s="3">
        <f t="shared" si="191"/>
        <v>1.8837201880679048E-2</v>
      </c>
      <c r="AA230" s="3">
        <f t="shared" si="191"/>
        <v>1.0904562735521576E-2</v>
      </c>
      <c r="AB230" s="3">
        <f t="shared" si="191"/>
        <v>4.6081529713061502E-5</v>
      </c>
      <c r="AC230" s="3">
        <f t="shared" si="191"/>
        <v>8.3697639045708666E-29</v>
      </c>
      <c r="AD230" s="3">
        <f t="shared" si="191"/>
        <v>3.2702157718892701E-266</v>
      </c>
      <c r="AE230" s="3">
        <f t="shared" si="191"/>
        <v>0</v>
      </c>
      <c r="AF230" s="3">
        <f t="shared" si="191"/>
        <v>0</v>
      </c>
      <c r="AG230" s="3"/>
      <c r="AH230" s="3"/>
    </row>
    <row r="231" spans="2:34" x14ac:dyDescent="0.25">
      <c r="B231" s="3">
        <f t="shared" ref="B231:AF231" si="192">$C39*EXP(-B$207/$A39/EXP(-$D$126))</f>
        <v>3.8383243179278659E-2</v>
      </c>
      <c r="C231" s="3">
        <f t="shared" si="192"/>
        <v>3.8383243179278659E-2</v>
      </c>
      <c r="D231" s="3">
        <f t="shared" si="192"/>
        <v>3.8383243179278659E-2</v>
      </c>
      <c r="E231" s="3">
        <f t="shared" si="192"/>
        <v>3.8383243179278659E-2</v>
      </c>
      <c r="F231" s="3">
        <f t="shared" si="192"/>
        <v>3.8383243179278659E-2</v>
      </c>
      <c r="G231" s="3">
        <f t="shared" si="192"/>
        <v>3.8383243179278659E-2</v>
      </c>
      <c r="H231" s="3">
        <f t="shared" si="192"/>
        <v>3.8383243179278659E-2</v>
      </c>
      <c r="I231" s="3">
        <f t="shared" si="192"/>
        <v>3.8383243179278659E-2</v>
      </c>
      <c r="J231" s="3">
        <f t="shared" si="192"/>
        <v>3.8383243179278659E-2</v>
      </c>
      <c r="K231" s="3">
        <f t="shared" si="192"/>
        <v>3.8383243179278659E-2</v>
      </c>
      <c r="L231" s="3">
        <f t="shared" si="192"/>
        <v>3.8383243179278652E-2</v>
      </c>
      <c r="M231" s="3">
        <f t="shared" si="192"/>
        <v>3.8383243179278596E-2</v>
      </c>
      <c r="N231" s="3">
        <f t="shared" si="192"/>
        <v>3.8383243179278013E-2</v>
      </c>
      <c r="O231" s="3">
        <f t="shared" si="192"/>
        <v>3.8383243179272213E-2</v>
      </c>
      <c r="P231" s="3">
        <f t="shared" si="192"/>
        <v>3.8383243179214183E-2</v>
      </c>
      <c r="Q231" s="3">
        <f t="shared" si="192"/>
        <v>3.8383243178633862E-2</v>
      </c>
      <c r="R231" s="3">
        <f t="shared" si="192"/>
        <v>3.8383243172830685E-2</v>
      </c>
      <c r="S231" s="3">
        <f t="shared" si="192"/>
        <v>3.8383243114798911E-2</v>
      </c>
      <c r="T231" s="3">
        <f t="shared" si="192"/>
        <v>3.8383242534481214E-2</v>
      </c>
      <c r="U231" s="3">
        <f t="shared" si="192"/>
        <v>3.8383236731304747E-2</v>
      </c>
      <c r="V231" s="3">
        <f t="shared" si="192"/>
        <v>3.838317869958828E-2</v>
      </c>
      <c r="W231" s="3">
        <f t="shared" si="192"/>
        <v>3.8382598387249167E-2</v>
      </c>
      <c r="X231" s="3">
        <f t="shared" si="192"/>
        <v>3.8376795746389539E-2</v>
      </c>
      <c r="Y231" s="3">
        <f t="shared" si="192"/>
        <v>3.831881756396046E-2</v>
      </c>
      <c r="Z231" s="3">
        <f t="shared" si="192"/>
        <v>3.7743831487217334E-2</v>
      </c>
      <c r="AA231" s="3">
        <f t="shared" si="192"/>
        <v>3.2447768744254139E-2</v>
      </c>
      <c r="AB231" s="3">
        <f t="shared" si="192"/>
        <v>7.1544025641866928E-3</v>
      </c>
      <c r="AC231" s="3">
        <f t="shared" si="192"/>
        <v>1.9429370338408694E-9</v>
      </c>
      <c r="AD231" s="3">
        <f t="shared" si="192"/>
        <v>4.2394767287748064E-75</v>
      </c>
      <c r="AE231" s="3">
        <f t="shared" si="192"/>
        <v>0</v>
      </c>
      <c r="AF231" s="3">
        <f t="shared" si="192"/>
        <v>0</v>
      </c>
      <c r="AG231" s="3"/>
      <c r="AH231" s="3"/>
    </row>
    <row r="232" spans="2:34" x14ac:dyDescent="0.25">
      <c r="B232" s="3">
        <f t="shared" ref="B232:AF232" si="193">$C40*EXP(-B$207/$A40/EXP(-$D$126))</f>
        <v>3.6705240109076338E-2</v>
      </c>
      <c r="C232" s="3">
        <f t="shared" si="193"/>
        <v>3.6705240109076338E-2</v>
      </c>
      <c r="D232" s="3">
        <f t="shared" si="193"/>
        <v>3.6705240109076338E-2</v>
      </c>
      <c r="E232" s="3">
        <f t="shared" si="193"/>
        <v>3.6705240109076338E-2</v>
      </c>
      <c r="F232" s="3">
        <f t="shared" si="193"/>
        <v>3.6705240109076338E-2</v>
      </c>
      <c r="G232" s="3">
        <f t="shared" si="193"/>
        <v>3.6705240109076338E-2</v>
      </c>
      <c r="H232" s="3">
        <f t="shared" si="193"/>
        <v>3.6705240109076338E-2</v>
      </c>
      <c r="I232" s="3">
        <f t="shared" si="193"/>
        <v>3.6705240109076338E-2</v>
      </c>
      <c r="J232" s="3">
        <f t="shared" si="193"/>
        <v>3.6705240109076338E-2</v>
      </c>
      <c r="K232" s="3">
        <f t="shared" si="193"/>
        <v>3.6705240109076338E-2</v>
      </c>
      <c r="L232" s="3">
        <f t="shared" si="193"/>
        <v>3.6705240109076338E-2</v>
      </c>
      <c r="M232" s="3">
        <f t="shared" si="193"/>
        <v>3.6705240109076331E-2</v>
      </c>
      <c r="N232" s="3">
        <f t="shared" si="193"/>
        <v>3.6705240109076276E-2</v>
      </c>
      <c r="O232" s="3">
        <f t="shared" si="193"/>
        <v>3.6705240109075721E-2</v>
      </c>
      <c r="P232" s="3">
        <f t="shared" si="193"/>
        <v>3.670524010907017E-2</v>
      </c>
      <c r="Q232" s="3">
        <f t="shared" si="193"/>
        <v>3.6705240109014679E-2</v>
      </c>
      <c r="R232" s="3">
        <f t="shared" si="193"/>
        <v>3.6705240108459727E-2</v>
      </c>
      <c r="S232" s="3">
        <f t="shared" si="193"/>
        <v>3.670524010291025E-2</v>
      </c>
      <c r="T232" s="3">
        <f t="shared" si="193"/>
        <v>3.6705240047415461E-2</v>
      </c>
      <c r="U232" s="3">
        <f t="shared" si="193"/>
        <v>3.6705239492467553E-2</v>
      </c>
      <c r="V232" s="3">
        <f t="shared" si="193"/>
        <v>3.6705233942988975E-2</v>
      </c>
      <c r="W232" s="3">
        <f t="shared" si="193"/>
        <v>3.6705178448249332E-2</v>
      </c>
      <c r="X232" s="3">
        <f t="shared" si="193"/>
        <v>3.6704623505467507E-2</v>
      </c>
      <c r="Y232" s="3">
        <f t="shared" si="193"/>
        <v>3.6699074539085885E-2</v>
      </c>
      <c r="Z232" s="3">
        <f t="shared" si="193"/>
        <v>3.6643630993129978E-2</v>
      </c>
      <c r="AA232" s="3">
        <f t="shared" si="193"/>
        <v>3.6093781625069654E-2</v>
      </c>
      <c r="AB232" s="3">
        <f t="shared" si="193"/>
        <v>3.1029247247262269E-2</v>
      </c>
      <c r="AC232" s="3">
        <f t="shared" si="193"/>
        <v>6.8416330201412426E-3</v>
      </c>
      <c r="AD232" s="3">
        <f t="shared" si="193"/>
        <v>1.8579975123739906E-9</v>
      </c>
      <c r="AE232" s="3">
        <f t="shared" si="193"/>
        <v>4.054139212252079E-75</v>
      </c>
      <c r="AF232" s="3">
        <f t="shared" si="193"/>
        <v>0</v>
      </c>
      <c r="AG232" s="3"/>
      <c r="AH232" s="3"/>
    </row>
    <row r="233" spans="2:34" x14ac:dyDescent="0.25">
      <c r="B233" s="3">
        <f t="shared" ref="B233:AF233" si="194">$C41*EXP(-B$207/$A41/EXP(-$D$126))</f>
        <v>4.1231231380742084E-2</v>
      </c>
      <c r="C233" s="3">
        <f t="shared" si="194"/>
        <v>4.1231231380742084E-2</v>
      </c>
      <c r="D233" s="3">
        <f t="shared" si="194"/>
        <v>4.1231231380742084E-2</v>
      </c>
      <c r="E233" s="3">
        <f t="shared" si="194"/>
        <v>4.1231231380742084E-2</v>
      </c>
      <c r="F233" s="3">
        <f t="shared" si="194"/>
        <v>4.1231231380742084E-2</v>
      </c>
      <c r="G233" s="3">
        <f t="shared" si="194"/>
        <v>4.1231231380742084E-2</v>
      </c>
      <c r="H233" s="3">
        <f t="shared" si="194"/>
        <v>4.1231231380742084E-2</v>
      </c>
      <c r="I233" s="3">
        <f t="shared" si="194"/>
        <v>4.1231231380742084E-2</v>
      </c>
      <c r="J233" s="3">
        <f t="shared" si="194"/>
        <v>4.1231231380742084E-2</v>
      </c>
      <c r="K233" s="3">
        <f t="shared" si="194"/>
        <v>4.1231231380742084E-2</v>
      </c>
      <c r="L233" s="3">
        <f t="shared" si="194"/>
        <v>4.1231231380742084E-2</v>
      </c>
      <c r="M233" s="3">
        <f t="shared" si="194"/>
        <v>4.1231231380742084E-2</v>
      </c>
      <c r="N233" s="3">
        <f t="shared" si="194"/>
        <v>4.1231231380742077E-2</v>
      </c>
      <c r="O233" s="3">
        <f t="shared" si="194"/>
        <v>4.1231231380742014E-2</v>
      </c>
      <c r="P233" s="3">
        <f t="shared" si="194"/>
        <v>4.123123138074139E-2</v>
      </c>
      <c r="Q233" s="3">
        <f t="shared" si="194"/>
        <v>4.1231231380735159E-2</v>
      </c>
      <c r="R233" s="3">
        <f t="shared" si="194"/>
        <v>4.123123138067282E-2</v>
      </c>
      <c r="S233" s="3">
        <f t="shared" si="194"/>
        <v>4.1231231380049443E-2</v>
      </c>
      <c r="T233" s="3">
        <f t="shared" si="194"/>
        <v>4.123123137381568E-2</v>
      </c>
      <c r="U233" s="3">
        <f t="shared" si="194"/>
        <v>4.1231231311478024E-2</v>
      </c>
      <c r="V233" s="3">
        <f t="shared" si="194"/>
        <v>4.1231230688101486E-2</v>
      </c>
      <c r="W233" s="3">
        <f t="shared" si="194"/>
        <v>4.1231224454336649E-2</v>
      </c>
      <c r="X233" s="3">
        <f t="shared" si="194"/>
        <v>4.1231162116740057E-2</v>
      </c>
      <c r="Y233" s="3">
        <f t="shared" si="194"/>
        <v>4.1230538745957779E-2</v>
      </c>
      <c r="Z233" s="3">
        <f t="shared" si="194"/>
        <v>4.122430555646972E-2</v>
      </c>
      <c r="AA233" s="3">
        <f t="shared" si="194"/>
        <v>4.1162025466077078E-2</v>
      </c>
      <c r="AB233" s="3">
        <f t="shared" si="194"/>
        <v>4.0544376148113785E-2</v>
      </c>
      <c r="AC233" s="3">
        <f t="shared" si="194"/>
        <v>3.4855352233638323E-2</v>
      </c>
      <c r="AD233" s="3">
        <f t="shared" si="194"/>
        <v>7.6852502050739867E-3</v>
      </c>
      <c r="AE233" s="3">
        <f t="shared" si="194"/>
        <v>2.0871005096242916E-9</v>
      </c>
      <c r="AF233" s="3">
        <f t="shared" si="194"/>
        <v>4.5540405515225308E-75</v>
      </c>
      <c r="AG233" s="3"/>
      <c r="AH233" s="3"/>
    </row>
    <row r="234" spans="2:34" x14ac:dyDescent="0.25">
      <c r="B234" s="3">
        <f t="shared" ref="B234:AF234" si="195">$C42*EXP(-B$207/$A42/EXP(-$D$126))</f>
        <v>3.343723543516635E-2</v>
      </c>
      <c r="C234" s="3">
        <f t="shared" si="195"/>
        <v>3.343723543516635E-2</v>
      </c>
      <c r="D234" s="3">
        <f t="shared" si="195"/>
        <v>3.343723543516635E-2</v>
      </c>
      <c r="E234" s="3">
        <f t="shared" si="195"/>
        <v>3.343723543516635E-2</v>
      </c>
      <c r="F234" s="3">
        <f t="shared" si="195"/>
        <v>3.343723543516635E-2</v>
      </c>
      <c r="G234" s="3">
        <f t="shared" si="195"/>
        <v>3.343723543516635E-2</v>
      </c>
      <c r="H234" s="3">
        <f t="shared" si="195"/>
        <v>3.343723543516635E-2</v>
      </c>
      <c r="I234" s="3">
        <f t="shared" si="195"/>
        <v>3.343723543516635E-2</v>
      </c>
      <c r="J234" s="3">
        <f t="shared" si="195"/>
        <v>3.343723543516635E-2</v>
      </c>
      <c r="K234" s="3">
        <f t="shared" si="195"/>
        <v>3.343723543516635E-2</v>
      </c>
      <c r="L234" s="3">
        <f t="shared" si="195"/>
        <v>3.343723543516635E-2</v>
      </c>
      <c r="M234" s="3">
        <f t="shared" si="195"/>
        <v>3.343723543516635E-2</v>
      </c>
      <c r="N234" s="3">
        <f t="shared" si="195"/>
        <v>3.343723543516635E-2</v>
      </c>
      <c r="O234" s="3">
        <f t="shared" si="195"/>
        <v>3.3437235435166343E-2</v>
      </c>
      <c r="P234" s="3">
        <f t="shared" si="195"/>
        <v>3.3437235435166295E-2</v>
      </c>
      <c r="Q234" s="3">
        <f t="shared" si="195"/>
        <v>3.3437235435165788E-2</v>
      </c>
      <c r="R234" s="3">
        <f t="shared" si="195"/>
        <v>3.3437235435160736E-2</v>
      </c>
      <c r="S234" s="3">
        <f t="shared" si="195"/>
        <v>3.343723543511018E-2</v>
      </c>
      <c r="T234" s="3">
        <f t="shared" si="195"/>
        <v>3.343723543460464E-2</v>
      </c>
      <c r="U234" s="3">
        <f t="shared" si="195"/>
        <v>3.3437235429549253E-2</v>
      </c>
      <c r="V234" s="3">
        <f t="shared" si="195"/>
        <v>3.3437235378995366E-2</v>
      </c>
      <c r="W234" s="3">
        <f t="shared" si="195"/>
        <v>3.3437234873456546E-2</v>
      </c>
      <c r="X234" s="3">
        <f t="shared" si="195"/>
        <v>3.3437229818068785E-2</v>
      </c>
      <c r="Y234" s="3">
        <f t="shared" si="195"/>
        <v>3.3437179264233167E-2</v>
      </c>
      <c r="Z234" s="3">
        <f t="shared" si="195"/>
        <v>3.3436673730080718E-2</v>
      </c>
      <c r="AA234" s="3">
        <f t="shared" si="195"/>
        <v>3.3431618808909443E-2</v>
      </c>
      <c r="AB234" s="3">
        <f t="shared" si="195"/>
        <v>3.3381111609011582E-2</v>
      </c>
      <c r="AC234" s="3">
        <f t="shared" si="195"/>
        <v>3.288021738466991E-2</v>
      </c>
      <c r="AD234" s="3">
        <f t="shared" si="195"/>
        <v>2.8266597425857423E-2</v>
      </c>
      <c r="AE234" s="3">
        <f t="shared" si="195"/>
        <v>6.2324968689934463E-3</v>
      </c>
      <c r="AF234" s="3">
        <f t="shared" si="195"/>
        <v>1.6925730515474862E-9</v>
      </c>
      <c r="AG234" s="3"/>
      <c r="AH234" s="3"/>
    </row>
    <row r="235" spans="2:34" x14ac:dyDescent="0.25">
      <c r="B235" s="3">
        <f t="shared" ref="B235:AF235" si="196">$C43*EXP(-B$207/$A43/EXP(-$D$126))</f>
        <v>2.4815378940943638E-2</v>
      </c>
      <c r="C235" s="3">
        <f t="shared" si="196"/>
        <v>2.4815378940943638E-2</v>
      </c>
      <c r="D235" s="3">
        <f t="shared" si="196"/>
        <v>2.4815378940943638E-2</v>
      </c>
      <c r="E235" s="3">
        <f t="shared" si="196"/>
        <v>2.4815378940943638E-2</v>
      </c>
      <c r="F235" s="3">
        <f t="shared" si="196"/>
        <v>2.4815378940943638E-2</v>
      </c>
      <c r="G235" s="3">
        <f t="shared" si="196"/>
        <v>2.4815378940943638E-2</v>
      </c>
      <c r="H235" s="3">
        <f t="shared" si="196"/>
        <v>2.4815378940943638E-2</v>
      </c>
      <c r="I235" s="3">
        <f t="shared" si="196"/>
        <v>2.4815378940943638E-2</v>
      </c>
      <c r="J235" s="3">
        <f t="shared" si="196"/>
        <v>2.4815378940943638E-2</v>
      </c>
      <c r="K235" s="3">
        <f t="shared" si="196"/>
        <v>2.4815378940943638E-2</v>
      </c>
      <c r="L235" s="3">
        <f t="shared" si="196"/>
        <v>2.4815378940943638E-2</v>
      </c>
      <c r="M235" s="3">
        <f t="shared" si="196"/>
        <v>2.4815378940943638E-2</v>
      </c>
      <c r="N235" s="3">
        <f t="shared" si="196"/>
        <v>2.4815378940943638E-2</v>
      </c>
      <c r="O235" s="3">
        <f t="shared" si="196"/>
        <v>2.4815378940943638E-2</v>
      </c>
      <c r="P235" s="3">
        <f t="shared" si="196"/>
        <v>2.4815378940943631E-2</v>
      </c>
      <c r="Q235" s="3">
        <f t="shared" si="196"/>
        <v>2.4815378940943596E-2</v>
      </c>
      <c r="R235" s="3">
        <f t="shared" si="196"/>
        <v>2.4815378940943222E-2</v>
      </c>
      <c r="S235" s="3">
        <f t="shared" si="196"/>
        <v>2.4815378940939471E-2</v>
      </c>
      <c r="T235" s="3">
        <f t="shared" si="196"/>
        <v>2.4815378940901953E-2</v>
      </c>
      <c r="U235" s="3">
        <f t="shared" si="196"/>
        <v>2.4815378940526767E-2</v>
      </c>
      <c r="V235" s="3">
        <f t="shared" si="196"/>
        <v>2.4815378936774921E-2</v>
      </c>
      <c r="W235" s="3">
        <f t="shared" si="196"/>
        <v>2.4815378899256453E-2</v>
      </c>
      <c r="X235" s="3">
        <f t="shared" si="196"/>
        <v>2.4815378524071806E-2</v>
      </c>
      <c r="Y235" s="3">
        <f t="shared" si="196"/>
        <v>2.4815374772225656E-2</v>
      </c>
      <c r="Z235" s="3">
        <f t="shared" si="196"/>
        <v>2.4815337253795335E-2</v>
      </c>
      <c r="AA235" s="3">
        <f t="shared" si="196"/>
        <v>2.4814962072611923E-2</v>
      </c>
      <c r="AB235" s="3">
        <f t="shared" si="196"/>
        <v>2.4811210572742114E-2</v>
      </c>
      <c r="AC235" s="3">
        <f t="shared" si="196"/>
        <v>2.4773726753030356E-2</v>
      </c>
      <c r="AD235" s="3">
        <f t="shared" si="196"/>
        <v>2.4401989083196088E-2</v>
      </c>
      <c r="AE235" s="3">
        <f t="shared" si="196"/>
        <v>2.0978000045901949E-2</v>
      </c>
      <c r="AF235" s="3">
        <f t="shared" si="196"/>
        <v>4.6254353728555396E-3</v>
      </c>
      <c r="AG235" s="3"/>
      <c r="AH235" s="3"/>
    </row>
    <row r="236" spans="2:34" x14ac:dyDescent="0.25">
      <c r="B236" s="3">
        <f t="shared" ref="B236:AF236" si="197">$C44*EXP(-B$207/$A44/EXP(-$D$126))</f>
        <v>1.3266747308349527E-2</v>
      </c>
      <c r="C236" s="3">
        <f t="shared" si="197"/>
        <v>1.3266747308349527E-2</v>
      </c>
      <c r="D236" s="3">
        <f t="shared" si="197"/>
        <v>1.3266747308349527E-2</v>
      </c>
      <c r="E236" s="3">
        <f t="shared" si="197"/>
        <v>1.3266747308349527E-2</v>
      </c>
      <c r="F236" s="3">
        <f t="shared" si="197"/>
        <v>1.3266747308349527E-2</v>
      </c>
      <c r="G236" s="3">
        <f t="shared" si="197"/>
        <v>1.3266747308349527E-2</v>
      </c>
      <c r="H236" s="3">
        <f t="shared" si="197"/>
        <v>1.3266747308349527E-2</v>
      </c>
      <c r="I236" s="3">
        <f t="shared" si="197"/>
        <v>1.3266747308349527E-2</v>
      </c>
      <c r="J236" s="3">
        <f t="shared" si="197"/>
        <v>1.3266747308349527E-2</v>
      </c>
      <c r="K236" s="3">
        <f t="shared" si="197"/>
        <v>1.3266747308349527E-2</v>
      </c>
      <c r="L236" s="3">
        <f t="shared" si="197"/>
        <v>1.3266747308349527E-2</v>
      </c>
      <c r="M236" s="3">
        <f t="shared" si="197"/>
        <v>1.3266747308349527E-2</v>
      </c>
      <c r="N236" s="3">
        <f t="shared" si="197"/>
        <v>1.3266747308349527E-2</v>
      </c>
      <c r="O236" s="3">
        <f t="shared" si="197"/>
        <v>1.3266747308349527E-2</v>
      </c>
      <c r="P236" s="3">
        <f t="shared" si="197"/>
        <v>1.3266747308349527E-2</v>
      </c>
      <c r="Q236" s="3">
        <f t="shared" si="197"/>
        <v>1.3266747308349524E-2</v>
      </c>
      <c r="R236" s="3">
        <f t="shared" si="197"/>
        <v>1.3266747308349505E-2</v>
      </c>
      <c r="S236" s="3">
        <f t="shared" si="197"/>
        <v>1.3266747308349305E-2</v>
      </c>
      <c r="T236" s="3">
        <f t="shared" si="197"/>
        <v>1.3266747308347298E-2</v>
      </c>
      <c r="U236" s="3">
        <f t="shared" si="197"/>
        <v>1.3266747308327241E-2</v>
      </c>
      <c r="V236" s="3">
        <f t="shared" si="197"/>
        <v>1.326674730812666E-2</v>
      </c>
      <c r="W236" s="3">
        <f t="shared" si="197"/>
        <v>1.3266747306120855E-2</v>
      </c>
      <c r="X236" s="3">
        <f t="shared" si="197"/>
        <v>1.3266747286062809E-2</v>
      </c>
      <c r="Y236" s="3">
        <f t="shared" si="197"/>
        <v>1.3266747085482358E-2</v>
      </c>
      <c r="Z236" s="3">
        <f t="shared" si="197"/>
        <v>1.3266745079678018E-2</v>
      </c>
      <c r="AA236" s="3">
        <f t="shared" si="197"/>
        <v>1.3266725021651271E-2</v>
      </c>
      <c r="AB236" s="3">
        <f t="shared" si="197"/>
        <v>1.3266524443051726E-2</v>
      </c>
      <c r="AC236" s="3">
        <f t="shared" si="197"/>
        <v>1.3264518823837992E-2</v>
      </c>
      <c r="AD236" s="3">
        <f t="shared" si="197"/>
        <v>1.3244479300546766E-2</v>
      </c>
      <c r="AE236" s="3">
        <f t="shared" si="197"/>
        <v>1.3045741665210928E-2</v>
      </c>
      <c r="AF236" s="3">
        <f t="shared" si="197"/>
        <v>1.121521562519177E-2</v>
      </c>
      <c r="AG236" s="3"/>
      <c r="AH236" s="3"/>
    </row>
    <row r="237" spans="2:34" x14ac:dyDescent="0.25">
      <c r="B237" s="3">
        <f t="shared" ref="B237:AF237" si="198">$C45*EXP(-B$207/$A45/EXP(-$D$126))</f>
        <v>6.4459854313467695E-3</v>
      </c>
      <c r="C237" s="3">
        <f t="shared" si="198"/>
        <v>6.4459854313467695E-3</v>
      </c>
      <c r="D237" s="3">
        <f t="shared" si="198"/>
        <v>6.4459854313467695E-3</v>
      </c>
      <c r="E237" s="3">
        <f t="shared" si="198"/>
        <v>6.4459854313467695E-3</v>
      </c>
      <c r="F237" s="3">
        <f t="shared" si="198"/>
        <v>6.4459854313467695E-3</v>
      </c>
      <c r="G237" s="3">
        <f t="shared" si="198"/>
        <v>6.4459854313467695E-3</v>
      </c>
      <c r="H237" s="3">
        <f t="shared" si="198"/>
        <v>6.4459854313467695E-3</v>
      </c>
      <c r="I237" s="3">
        <f t="shared" si="198"/>
        <v>6.4459854313467695E-3</v>
      </c>
      <c r="J237" s="3">
        <f t="shared" si="198"/>
        <v>6.4459854313467695E-3</v>
      </c>
      <c r="K237" s="3">
        <f t="shared" si="198"/>
        <v>6.4459854313467695E-3</v>
      </c>
      <c r="L237" s="3">
        <f t="shared" si="198"/>
        <v>6.4459854313467695E-3</v>
      </c>
      <c r="M237" s="3">
        <f t="shared" si="198"/>
        <v>6.4459854313467695E-3</v>
      </c>
      <c r="N237" s="3">
        <f t="shared" si="198"/>
        <v>6.4459854313467695E-3</v>
      </c>
      <c r="O237" s="3">
        <f t="shared" si="198"/>
        <v>6.4459854313467695E-3</v>
      </c>
      <c r="P237" s="3">
        <f t="shared" si="198"/>
        <v>6.4459854313467695E-3</v>
      </c>
      <c r="Q237" s="3">
        <f t="shared" si="198"/>
        <v>6.4459854313467695E-3</v>
      </c>
      <c r="R237" s="3">
        <f t="shared" si="198"/>
        <v>6.4459854313467678E-3</v>
      </c>
      <c r="S237" s="3">
        <f t="shared" si="198"/>
        <v>6.4459854313467591E-3</v>
      </c>
      <c r="T237" s="3">
        <f t="shared" si="198"/>
        <v>6.4459854313466611E-3</v>
      </c>
      <c r="U237" s="3">
        <f t="shared" si="198"/>
        <v>6.445985431345687E-3</v>
      </c>
      <c r="V237" s="3">
        <f t="shared" si="198"/>
        <v>6.4459854313359414E-3</v>
      </c>
      <c r="W237" s="3">
        <f t="shared" si="198"/>
        <v>6.4459854312384837E-3</v>
      </c>
      <c r="X237" s="3">
        <f t="shared" si="198"/>
        <v>6.4459854302639126E-3</v>
      </c>
      <c r="Y237" s="3">
        <f t="shared" si="198"/>
        <v>6.4459854205182032E-3</v>
      </c>
      <c r="Z237" s="3">
        <f t="shared" si="198"/>
        <v>6.4459853230611069E-3</v>
      </c>
      <c r="AA237" s="3">
        <f t="shared" si="198"/>
        <v>6.4459843484902298E-3</v>
      </c>
      <c r="AB237" s="3">
        <f t="shared" si="198"/>
        <v>6.4459746027895554E-3</v>
      </c>
      <c r="AC237" s="3">
        <f t="shared" si="198"/>
        <v>6.4458771465932133E-3</v>
      </c>
      <c r="AD237" s="3">
        <f t="shared" si="198"/>
        <v>6.4449026656649136E-3</v>
      </c>
      <c r="AE237" s="3">
        <f t="shared" si="198"/>
        <v>6.4351659553632794E-3</v>
      </c>
      <c r="AF237" s="3">
        <f t="shared" si="198"/>
        <v>6.3386042381419925E-3</v>
      </c>
      <c r="AG237" s="3"/>
      <c r="AH237" s="3"/>
    </row>
    <row r="238" spans="2:34" x14ac:dyDescent="0.25">
      <c r="B238" s="3">
        <f t="shared" ref="B238:AF238" si="199">$C46*EXP(-B$207/$A46/EXP(-$D$126))</f>
        <v>3.3152683029349498E-3</v>
      </c>
      <c r="C238" s="3">
        <f t="shared" si="199"/>
        <v>3.3152683029349498E-3</v>
      </c>
      <c r="D238" s="3">
        <f t="shared" si="199"/>
        <v>3.3152683029349498E-3</v>
      </c>
      <c r="E238" s="3">
        <f t="shared" si="199"/>
        <v>3.3152683029349498E-3</v>
      </c>
      <c r="F238" s="3">
        <f t="shared" si="199"/>
        <v>3.3152683029349498E-3</v>
      </c>
      <c r="G238" s="3">
        <f t="shared" si="199"/>
        <v>3.3152683029349498E-3</v>
      </c>
      <c r="H238" s="3">
        <f t="shared" si="199"/>
        <v>3.3152683029349498E-3</v>
      </c>
      <c r="I238" s="3">
        <f t="shared" si="199"/>
        <v>3.3152683029349498E-3</v>
      </c>
      <c r="J238" s="3">
        <f t="shared" si="199"/>
        <v>3.3152683029349498E-3</v>
      </c>
      <c r="K238" s="3">
        <f t="shared" si="199"/>
        <v>3.3152683029349498E-3</v>
      </c>
      <c r="L238" s="3">
        <f t="shared" si="199"/>
        <v>3.3152683029349498E-3</v>
      </c>
      <c r="M238" s="3">
        <f t="shared" si="199"/>
        <v>3.3152683029349498E-3</v>
      </c>
      <c r="N238" s="3">
        <f t="shared" si="199"/>
        <v>3.3152683029349498E-3</v>
      </c>
      <c r="O238" s="3">
        <f t="shared" si="199"/>
        <v>3.3152683029349498E-3</v>
      </c>
      <c r="P238" s="3">
        <f t="shared" si="199"/>
        <v>3.3152683029349498E-3</v>
      </c>
      <c r="Q238" s="3">
        <f t="shared" si="199"/>
        <v>3.3152683029349498E-3</v>
      </c>
      <c r="R238" s="3">
        <f t="shared" si="199"/>
        <v>3.3152683029349498E-3</v>
      </c>
      <c r="S238" s="3">
        <f t="shared" si="199"/>
        <v>3.3152683029349489E-3</v>
      </c>
      <c r="T238" s="3">
        <f t="shared" si="199"/>
        <v>3.3152683029349442E-3</v>
      </c>
      <c r="U238" s="3">
        <f t="shared" si="199"/>
        <v>3.3152683029348943E-3</v>
      </c>
      <c r="V238" s="3">
        <f t="shared" si="199"/>
        <v>3.315268302934393E-3</v>
      </c>
      <c r="W238" s="3">
        <f t="shared" si="199"/>
        <v>3.3152683029293805E-3</v>
      </c>
      <c r="X238" s="3">
        <f t="shared" si="199"/>
        <v>3.315268302879257E-3</v>
      </c>
      <c r="Y238" s="3">
        <f t="shared" si="199"/>
        <v>3.3152683023780203E-3</v>
      </c>
      <c r="Z238" s="3">
        <f t="shared" si="199"/>
        <v>3.3152682973656535E-3</v>
      </c>
      <c r="AA238" s="3">
        <f t="shared" si="199"/>
        <v>3.3152682472419874E-3</v>
      </c>
      <c r="AB238" s="3">
        <f t="shared" si="199"/>
        <v>3.3152677460053692E-3</v>
      </c>
      <c r="AC238" s="3">
        <f t="shared" si="199"/>
        <v>3.3152627336433529E-3</v>
      </c>
      <c r="AD238" s="3">
        <f t="shared" si="199"/>
        <v>3.3152126104399886E-3</v>
      </c>
      <c r="AE238" s="3">
        <f t="shared" si="199"/>
        <v>3.3147114200839422E-3</v>
      </c>
      <c r="AF238" s="3">
        <f t="shared" si="199"/>
        <v>3.3097036819527185E-3</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1.0813254106264341E-2</v>
      </c>
      <c r="C240" s="3">
        <f t="shared" si="201"/>
        <v>1.0813254106264341E-2</v>
      </c>
      <c r="D240" s="3">
        <f t="shared" si="201"/>
        <v>1.0813254106264341E-2</v>
      </c>
      <c r="E240" s="3">
        <f t="shared" si="201"/>
        <v>1.0813254106264341E-2</v>
      </c>
      <c r="F240" s="3">
        <f t="shared" si="201"/>
        <v>1.0813254106264341E-2</v>
      </c>
      <c r="G240" s="3">
        <f t="shared" si="201"/>
        <v>1.0813254106264341E-2</v>
      </c>
      <c r="H240" s="3">
        <f t="shared" si="201"/>
        <v>1.0813254106264341E-2</v>
      </c>
      <c r="I240" s="3">
        <f t="shared" si="201"/>
        <v>1.0813254106264341E-2</v>
      </c>
      <c r="J240" s="3">
        <f t="shared" si="201"/>
        <v>1.0813254106264341E-2</v>
      </c>
      <c r="K240" s="3">
        <f t="shared" si="201"/>
        <v>1.0813254106264341E-2</v>
      </c>
      <c r="L240" s="3">
        <f t="shared" si="201"/>
        <v>1.0813254106264341E-2</v>
      </c>
      <c r="M240" s="3">
        <f t="shared" si="201"/>
        <v>1.0813254106264341E-2</v>
      </c>
      <c r="N240" s="3">
        <f t="shared" si="201"/>
        <v>1.0813254106264341E-2</v>
      </c>
      <c r="O240" s="3">
        <f t="shared" si="201"/>
        <v>1.0813254106264341E-2</v>
      </c>
      <c r="P240" s="3">
        <f t="shared" si="201"/>
        <v>1.0813254106264341E-2</v>
      </c>
      <c r="Q240" s="3">
        <f t="shared" si="201"/>
        <v>1.0813254106264341E-2</v>
      </c>
      <c r="R240" s="3">
        <f t="shared" si="201"/>
        <v>1.0813254106264341E-2</v>
      </c>
      <c r="S240" s="3">
        <f t="shared" si="201"/>
        <v>1.0813254106264341E-2</v>
      </c>
      <c r="T240" s="3">
        <f t="shared" si="201"/>
        <v>1.0813254106264341E-2</v>
      </c>
      <c r="U240" s="3">
        <f t="shared" si="201"/>
        <v>1.0813254106264339E-2</v>
      </c>
      <c r="V240" s="3">
        <f t="shared" si="201"/>
        <v>1.0813254106264323E-2</v>
      </c>
      <c r="W240" s="3">
        <f t="shared" si="201"/>
        <v>1.081325410626416E-2</v>
      </c>
      <c r="X240" s="3">
        <f t="shared" si="201"/>
        <v>1.0813254106262524E-2</v>
      </c>
      <c r="Y240" s="3">
        <f t="shared" si="201"/>
        <v>1.0813254106246176E-2</v>
      </c>
      <c r="Z240" s="3">
        <f t="shared" si="201"/>
        <v>1.0813254106082689E-2</v>
      </c>
      <c r="AA240" s="3">
        <f t="shared" si="201"/>
        <v>1.081325410444783E-2</v>
      </c>
      <c r="AB240" s="3">
        <f t="shared" si="201"/>
        <v>1.0813254088099229E-2</v>
      </c>
      <c r="AC240" s="3">
        <f t="shared" si="201"/>
        <v>1.0813253924613235E-2</v>
      </c>
      <c r="AD240" s="3">
        <f t="shared" si="201"/>
        <v>1.0813252289753422E-2</v>
      </c>
      <c r="AE240" s="3">
        <f t="shared" si="201"/>
        <v>1.0813235941168871E-2</v>
      </c>
      <c r="AF240" s="3">
        <f t="shared" si="201"/>
        <v>1.0813072456682829E-2</v>
      </c>
      <c r="AG240" s="3"/>
      <c r="AH240" s="3"/>
    </row>
    <row r="241" spans="1:34" x14ac:dyDescent="0.25">
      <c r="A241" s="79">
        <f>AVERAGE(B241:AF241)</f>
        <v>0.10431295629524759</v>
      </c>
      <c r="B241" s="80">
        <f>IF($A$64&lt;=B207,IF($B$64&gt;=B207,ABS((B209-B208)/B208),0),0)</f>
        <v>2.9227309052620973E-2</v>
      </c>
      <c r="C241" s="80">
        <f t="shared" ref="C241:AF241" si="202">IF($A$64&lt;=C207,IF($B$64&gt;=C207,ABS((C209-C208)/C208),0),0)</f>
        <v>2.9237632072962257E-2</v>
      </c>
      <c r="D241" s="80">
        <f t="shared" si="202"/>
        <v>2.9240606489795051E-2</v>
      </c>
      <c r="E241" s="80">
        <f t="shared" si="202"/>
        <v>2.9319691092916555E-2</v>
      </c>
      <c r="F241" s="80">
        <f t="shared" si="202"/>
        <v>3.0112066822198167E-2</v>
      </c>
      <c r="G241" s="80">
        <f t="shared" si="202"/>
        <v>3.6272912228940739E-2</v>
      </c>
      <c r="H241" s="80">
        <f t="shared" si="202"/>
        <v>4.2571873618401757E-2</v>
      </c>
      <c r="I241" s="80">
        <f t="shared" si="202"/>
        <v>3.7688322269130443E-2</v>
      </c>
      <c r="J241" s="80">
        <f t="shared" si="202"/>
        <v>4.2204175971024965E-2</v>
      </c>
      <c r="K241" s="80">
        <f t="shared" si="202"/>
        <v>4.4729962025674586E-2</v>
      </c>
      <c r="L241" s="80">
        <f t="shared" si="202"/>
        <v>4.966295197197991E-2</v>
      </c>
      <c r="M241" s="80">
        <f t="shared" si="202"/>
        <v>5.3806156224296596E-2</v>
      </c>
      <c r="N241" s="80">
        <f t="shared" si="202"/>
        <v>5.7117715775253826E-2</v>
      </c>
      <c r="O241" s="80">
        <f t="shared" si="202"/>
        <v>5.5407277540377969E-2</v>
      </c>
      <c r="P241" s="80">
        <f t="shared" si="202"/>
        <v>6.3322775784629581E-2</v>
      </c>
      <c r="Q241" s="80">
        <f t="shared" si="202"/>
        <v>7.4175608891092343E-2</v>
      </c>
      <c r="R241" s="80">
        <f t="shared" si="202"/>
        <v>8.09980179017213E-2</v>
      </c>
      <c r="S241" s="80">
        <f t="shared" si="202"/>
        <v>6.3524055136842963E-2</v>
      </c>
      <c r="T241" s="80">
        <f t="shared" si="202"/>
        <v>6.0896415585624739E-3</v>
      </c>
      <c r="U241" s="80">
        <f t="shared" si="202"/>
        <v>0.12494470863940797</v>
      </c>
      <c r="V241" s="80">
        <f t="shared" si="202"/>
        <v>0.23436980944052349</v>
      </c>
      <c r="W241" s="80">
        <f t="shared" si="202"/>
        <v>0.23010133016001816</v>
      </c>
      <c r="X241" s="80">
        <f t="shared" si="202"/>
        <v>0.14924332312078151</v>
      </c>
      <c r="Y241" s="80">
        <f t="shared" si="202"/>
        <v>5.7568150491999204E-2</v>
      </c>
      <c r="Z241" s="80">
        <f t="shared" si="202"/>
        <v>1.8002658902076363E-2</v>
      </c>
      <c r="AA241" s="80">
        <f t="shared" si="202"/>
        <v>7.4428917810551581E-2</v>
      </c>
      <c r="AB241" s="80">
        <f t="shared" si="202"/>
        <v>0.15118266367071898</v>
      </c>
      <c r="AC241" s="80">
        <f t="shared" si="202"/>
        <v>0.22186405818816415</v>
      </c>
      <c r="AD241" s="80">
        <f t="shared" si="202"/>
        <v>0.31111308239984964</v>
      </c>
      <c r="AE241" s="80">
        <f t="shared" si="202"/>
        <v>0.38530244774207106</v>
      </c>
      <c r="AF241" s="80">
        <f t="shared" si="202"/>
        <v>0.42087174215809009</v>
      </c>
    </row>
    <row r="242" spans="1:34" x14ac:dyDescent="0.25">
      <c r="B242" s="21">
        <f>(B209-B208)^2</f>
        <v>41766.660608404025</v>
      </c>
      <c r="C242" s="21">
        <f t="shared" ref="C242:AF242" si="203">(C209-C208)^2</f>
        <v>41796.917785241298</v>
      </c>
      <c r="D242" s="21">
        <f t="shared" si="203"/>
        <v>41804.272535783282</v>
      </c>
      <c r="E242" s="21">
        <f t="shared" si="203"/>
        <v>42023.447898836705</v>
      </c>
      <c r="F242" s="21">
        <f t="shared" si="203"/>
        <v>44252.13794860537</v>
      </c>
      <c r="G242" s="21">
        <f t="shared" si="203"/>
        <v>63297.561825643679</v>
      </c>
      <c r="H242" s="21">
        <f t="shared" si="203"/>
        <v>83000.89387111683</v>
      </c>
      <c r="I242" s="21">
        <f t="shared" si="203"/>
        <v>62710.789071071842</v>
      </c>
      <c r="J242" s="21">
        <f t="shared" si="203"/>
        <v>76015.64564068125</v>
      </c>
      <c r="K242" s="21">
        <f t="shared" si="203"/>
        <v>82111.888023962354</v>
      </c>
      <c r="L242" s="21">
        <f t="shared" si="203"/>
        <v>97073.603137589365</v>
      </c>
      <c r="M242" s="21">
        <f t="shared" si="203"/>
        <v>108547.38051618628</v>
      </c>
      <c r="N242" s="21">
        <f t="shared" si="203"/>
        <v>115851.37582279369</v>
      </c>
      <c r="O242" s="21">
        <f t="shared" si="203"/>
        <v>102605.55266613103</v>
      </c>
      <c r="P242" s="21">
        <f t="shared" si="203"/>
        <v>126571.73402605749</v>
      </c>
      <c r="Q242" s="21">
        <f t="shared" si="203"/>
        <v>162884.00780717307</v>
      </c>
      <c r="R242" s="21">
        <f t="shared" si="203"/>
        <v>178869.89760228957</v>
      </c>
      <c r="S242" s="21">
        <f t="shared" si="203"/>
        <v>97925.748572714045</v>
      </c>
      <c r="T242" s="21">
        <f t="shared" si="203"/>
        <v>732.03627005952183</v>
      </c>
      <c r="U242" s="21">
        <f t="shared" si="203"/>
        <v>219857.18057935333</v>
      </c>
      <c r="V242" s="21">
        <f t="shared" si="203"/>
        <v>538355.28722661687</v>
      </c>
      <c r="W242" s="21">
        <f t="shared" si="203"/>
        <v>381930.97824667732</v>
      </c>
      <c r="X242" s="21">
        <f t="shared" si="203"/>
        <v>124933.91859418436</v>
      </c>
      <c r="Y242" s="21">
        <f t="shared" si="203"/>
        <v>15069.952233688133</v>
      </c>
      <c r="Z242" s="21">
        <f t="shared" si="203"/>
        <v>1203.6851142380644</v>
      </c>
      <c r="AA242" s="21">
        <f t="shared" si="203"/>
        <v>16783.066894585088</v>
      </c>
      <c r="AB242" s="21">
        <f t="shared" si="203"/>
        <v>55081.642061200255</v>
      </c>
      <c r="AC242" s="21">
        <f t="shared" si="203"/>
        <v>90424.823465830865</v>
      </c>
      <c r="AD242" s="21">
        <f t="shared" si="203"/>
        <v>124670.58775460621</v>
      </c>
      <c r="AE242" s="21">
        <f t="shared" si="203"/>
        <v>118254.3126877897</v>
      </c>
      <c r="AF242" s="21">
        <f t="shared" si="203"/>
        <v>75136.089490833736</v>
      </c>
      <c r="AG242" s="3"/>
      <c r="AH242" s="3"/>
    </row>
    <row r="243" spans="1:34" x14ac:dyDescent="0.25">
      <c r="A243" s="71">
        <f>SUM(B243:AF243)</f>
        <v>3331543.0759799443</v>
      </c>
      <c r="B243" s="60">
        <f>IF($A$64&lt;=B207,IF($B$64&gt;=B207,ABS(B242),0),0)</f>
        <v>41766.660608404025</v>
      </c>
      <c r="C243" s="60">
        <f t="shared" ref="C243" si="204">IF($A$64&lt;=C207,IF($B$64&gt;=C207,ABS(C242),0),0)</f>
        <v>41796.917785241298</v>
      </c>
      <c r="D243" s="60">
        <f t="shared" ref="D243" si="205">IF($A$64&lt;=D207,IF($B$64&gt;=D207,ABS(D242),0),0)</f>
        <v>41804.272535783282</v>
      </c>
      <c r="E243" s="60">
        <f t="shared" ref="E243" si="206">IF($A$64&lt;=E207,IF($B$64&gt;=E207,ABS(E242),0),0)</f>
        <v>42023.447898836705</v>
      </c>
      <c r="F243" s="60">
        <f t="shared" ref="F243" si="207">IF($A$64&lt;=F207,IF($B$64&gt;=F207,ABS(F242),0),0)</f>
        <v>44252.13794860537</v>
      </c>
      <c r="G243" s="60">
        <f t="shared" ref="G243" si="208">IF($A$64&lt;=G207,IF($B$64&gt;=G207,ABS(G242),0),0)</f>
        <v>63297.561825643679</v>
      </c>
      <c r="H243" s="60">
        <f t="shared" ref="H243" si="209">IF($A$64&lt;=H207,IF($B$64&gt;=H207,ABS(H242),0),0)</f>
        <v>83000.89387111683</v>
      </c>
      <c r="I243" s="60">
        <f t="shared" ref="I243" si="210">IF($A$64&lt;=I207,IF($B$64&gt;=I207,ABS(I242),0),0)</f>
        <v>62710.789071071842</v>
      </c>
      <c r="J243" s="60">
        <f t="shared" ref="J243" si="211">IF($A$64&lt;=J207,IF($B$64&gt;=J207,ABS(J242),0),0)</f>
        <v>76015.64564068125</v>
      </c>
      <c r="K243" s="60">
        <f t="shared" ref="K243" si="212">IF($A$64&lt;=K207,IF($B$64&gt;=K207,ABS(K242),0),0)</f>
        <v>82111.888023962354</v>
      </c>
      <c r="L243" s="60">
        <f t="shared" ref="L243" si="213">IF($A$64&lt;=L207,IF($B$64&gt;=L207,ABS(L242),0),0)</f>
        <v>97073.603137589365</v>
      </c>
      <c r="M243" s="60">
        <f t="shared" ref="M243" si="214">IF($A$64&lt;=M207,IF($B$64&gt;=M207,ABS(M242),0),0)</f>
        <v>108547.38051618628</v>
      </c>
      <c r="N243" s="60">
        <f t="shared" ref="N243" si="215">IF($A$64&lt;=N207,IF($B$64&gt;=N207,ABS(N242),0),0)</f>
        <v>115851.37582279369</v>
      </c>
      <c r="O243" s="60">
        <f t="shared" ref="O243" si="216">IF($A$64&lt;=O207,IF($B$64&gt;=O207,ABS(O242),0),0)</f>
        <v>102605.55266613103</v>
      </c>
      <c r="P243" s="60">
        <f t="shared" ref="P243" si="217">IF($A$64&lt;=P207,IF($B$64&gt;=P207,ABS(P242),0),0)</f>
        <v>126571.73402605749</v>
      </c>
      <c r="Q243" s="60">
        <f t="shared" ref="Q243" si="218">IF($A$64&lt;=Q207,IF($B$64&gt;=Q207,ABS(Q242),0),0)</f>
        <v>162884.00780717307</v>
      </c>
      <c r="R243" s="60">
        <f t="shared" ref="R243" si="219">IF($A$64&lt;=R207,IF($B$64&gt;=R207,ABS(R242),0),0)</f>
        <v>178869.89760228957</v>
      </c>
      <c r="S243" s="60">
        <f t="shared" ref="S243" si="220">IF($A$64&lt;=S207,IF($B$64&gt;=S207,ABS(S242),0),0)</f>
        <v>97925.748572714045</v>
      </c>
      <c r="T243" s="60">
        <f t="shared" ref="T243" si="221">IF($A$64&lt;=T207,IF($B$64&gt;=T207,ABS(T242),0),0)</f>
        <v>732.03627005952183</v>
      </c>
      <c r="U243" s="60">
        <f t="shared" ref="U243" si="222">IF($A$64&lt;=U207,IF($B$64&gt;=U207,ABS(U242),0),0)</f>
        <v>219857.18057935333</v>
      </c>
      <c r="V243" s="60">
        <f t="shared" ref="V243" si="223">IF($A$64&lt;=V207,IF($B$64&gt;=V207,ABS(V242),0),0)</f>
        <v>538355.28722661687</v>
      </c>
      <c r="W243" s="60">
        <f t="shared" ref="W243" si="224">IF($A$64&lt;=W207,IF($B$64&gt;=W207,ABS(W242),0),0)</f>
        <v>381930.97824667732</v>
      </c>
      <c r="X243" s="60">
        <f t="shared" ref="X243" si="225">IF($A$64&lt;=X207,IF($B$64&gt;=X207,ABS(X242),0),0)</f>
        <v>124933.91859418436</v>
      </c>
      <c r="Y243" s="60">
        <f t="shared" ref="Y243" si="226">IF($A$64&lt;=Y207,IF($B$64&gt;=Y207,ABS(Y242),0),0)</f>
        <v>15069.952233688133</v>
      </c>
      <c r="Z243" s="60">
        <f t="shared" ref="Z243" si="227">IF($A$64&lt;=Z207,IF($B$64&gt;=Z207,ABS(Z242),0),0)</f>
        <v>1203.6851142380644</v>
      </c>
      <c r="AA243" s="60">
        <f t="shared" ref="AA243" si="228">IF($A$64&lt;=AA207,IF($B$64&gt;=AA207,ABS(AA242),0),0)</f>
        <v>16783.066894585088</v>
      </c>
      <c r="AB243" s="60">
        <f t="shared" ref="AB243" si="229">IF($A$64&lt;=AB207,IF($B$64&gt;=AB207,ABS(AB242),0),0)</f>
        <v>55081.642061200255</v>
      </c>
      <c r="AC243" s="60">
        <f t="shared" ref="AC243" si="230">IF($A$64&lt;=AC207,IF($B$64&gt;=AC207,ABS(AC242),0),0)</f>
        <v>90424.823465830865</v>
      </c>
      <c r="AD243" s="60">
        <f t="shared" ref="AD243" si="231">IF($A$64&lt;=AD207,IF($B$64&gt;=AD207,ABS(AD242),0),0)</f>
        <v>124670.58775460621</v>
      </c>
      <c r="AE243" s="60">
        <f t="shared" ref="AE243" si="232">IF($A$64&lt;=AE207,IF($B$64&gt;=AE207,ABS(AE242),0),0)</f>
        <v>118254.3126877897</v>
      </c>
      <c r="AF243" s="60">
        <f t="shared" ref="AF243" si="233">IF($A$64&lt;=AF207,IF($B$64&gt;=AF207,ABS(AF242),0),0)</f>
        <v>75136.089490833736</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6951.7769139036336</v>
      </c>
      <c r="C247" s="26">
        <f>INDEX(Comparison!$AM$3:$AS$33,G$14,$E$122)</f>
        <v>6950.7516447504031</v>
      </c>
      <c r="D247" s="26">
        <f>INDEX(Comparison!$AM$3:$AS$33,H$14,$E$122)</f>
        <v>6940.1985301294053</v>
      </c>
      <c r="E247" s="26">
        <f>INDEX(Comparison!$AM$3:$AS$33,I$14,$E$122)</f>
        <v>6859.1289652487367</v>
      </c>
      <c r="F247" s="26">
        <f>INDEX(Comparison!$AM$3:$AS$33,J$14,$E$122)</f>
        <v>6695.6616107202954</v>
      </c>
      <c r="G247" s="26">
        <f>INDEX(Comparison!$AM$3:$AS$33,K$14,$E$122)</f>
        <v>6579.8912612434069</v>
      </c>
      <c r="H247" s="26">
        <f>INDEX(Comparison!$AM$3:$AS$33,L$14,$E$122)</f>
        <v>6466.0632255652681</v>
      </c>
      <c r="I247" s="26">
        <f>INDEX(Comparison!$AM$3:$AS$33,M$14,$E$122)</f>
        <v>6338.9884403076148</v>
      </c>
      <c r="J247" s="26">
        <f>INDEX(Comparison!$AM$3:$AS$33,N$14,$E$122)</f>
        <v>6203.5301972004399</v>
      </c>
      <c r="K247" s="26">
        <f>INDEX(Comparison!$AM$3:$AS$33,O$14,$E$122)</f>
        <v>6050.6164561665273</v>
      </c>
      <c r="L247" s="26">
        <f>INDEX(Comparison!$AM$3:$AS$33,P$14,$E$122)</f>
        <v>5884.895018012654</v>
      </c>
      <c r="M247" s="26">
        <f>INDEX(Comparison!$AM$3:$AS$33,Q$14,$E$122)</f>
        <v>5709.3519393565812</v>
      </c>
      <c r="N247" s="26">
        <f>INDEX(Comparison!$AM$3:$AS$33,R$14,$E$122)</f>
        <v>5547.9132434192643</v>
      </c>
      <c r="O247" s="26">
        <f>INDEX(Comparison!$AM$3:$AS$33,S$14,$E$122)</f>
        <v>5364.2356794540465</v>
      </c>
      <c r="P247" s="26">
        <f>INDEX(Comparison!$AM$3:$AS$33,T$14,$E$122)</f>
        <v>5142.9380897638539</v>
      </c>
      <c r="Q247" s="26">
        <f>INDEX(Comparison!$AM$3:$AS$33,U$14,$E$122)</f>
        <v>4901.2536857987861</v>
      </c>
      <c r="R247" s="26">
        <f>INDEX(Comparison!$AM$3:$AS$33,V$14,$E$122)</f>
        <v>4661.3568218837227</v>
      </c>
      <c r="S247" s="26">
        <f>INDEX(Comparison!$AM$3:$AS$33,W$14,$E$122)</f>
        <v>4298.6774546472579</v>
      </c>
      <c r="T247" s="26">
        <f>INDEX(Comparison!$AM$3:$AS$33,X$14,$E$122)</f>
        <v>3673.7236771243274</v>
      </c>
      <c r="U247" s="26">
        <f>INDEX(Comparison!$AM$3:$AS$33,Y$14,$E$122)</f>
        <v>3055.9581241953465</v>
      </c>
      <c r="V247" s="26">
        <f>INDEX(Comparison!$AM$3:$AS$33,Z$14,$E$122)</f>
        <v>2586.4007874245467</v>
      </c>
      <c r="W247" s="26">
        <f>INDEX(Comparison!$AM$3:$AS$33,AA$14,$E$122)</f>
        <v>2247.3343211844494</v>
      </c>
      <c r="X247" s="26">
        <f>INDEX(Comparison!$AM$3:$AS$33,AB$14,$E$122)</f>
        <v>1979.307169199863</v>
      </c>
      <c r="Y247" s="26">
        <f>INDEX(Comparison!$AM$3:$AS$33,AC$14,$E$122)</f>
        <v>1753.9456058771568</v>
      </c>
      <c r="Z247" s="26">
        <f>INDEX(Comparison!$AM$3:$AS$33,AD$14,$E$122)</f>
        <v>1541.283272452644</v>
      </c>
      <c r="AA247" s="26">
        <f>INDEX(Comparison!$AM$3:$AS$33,AE$14,$E$122)</f>
        <v>1325.7320252858156</v>
      </c>
      <c r="AB247" s="26">
        <f>INDEX(Comparison!$AM$3:$AS$33,AF$14,$E$122)</f>
        <v>1090.3481138846798</v>
      </c>
      <c r="AC247" s="26">
        <f>INDEX(Comparison!$AM$3:$AS$33,AG$14,$E$122)</f>
        <v>838.64271647474698</v>
      </c>
      <c r="AD247" s="26">
        <f>INDEX(Comparison!$AM$3:$AS$33,AH$14,$E$122)</f>
        <v>600.54666630574377</v>
      </c>
      <c r="AE247" s="26">
        <f>INDEX(Comparison!$AM$3:$AS$33,AI$14,$E$122)</f>
        <v>415.97655166325364</v>
      </c>
      <c r="AF247" s="26">
        <f>INDEX(Comparison!$AM$3:$AS$33,AJ$14,$E$122)</f>
        <v>297.69240550814368</v>
      </c>
      <c r="AG247" s="26"/>
      <c r="AH247" s="26"/>
    </row>
    <row r="248" spans="1:34" x14ac:dyDescent="0.25">
      <c r="A248" s="70" t="s">
        <v>22</v>
      </c>
      <c r="B248" s="27">
        <f>($C$17+SUM(B249:B279))*$B$51</f>
        <v>6787.9635995568724</v>
      </c>
      <c r="C248" s="27">
        <f t="shared" ref="C248:AF248" si="234">($C$17+SUM(C249:C279))*$B$51</f>
        <v>6787.3774861616239</v>
      </c>
      <c r="D248" s="27">
        <f t="shared" si="234"/>
        <v>6781.5787446448958</v>
      </c>
      <c r="E248" s="27">
        <f t="shared" si="234"/>
        <v>6729.3952262105931</v>
      </c>
      <c r="F248" s="27">
        <f t="shared" si="234"/>
        <v>6517.8776867917804</v>
      </c>
      <c r="G248" s="27">
        <f t="shared" si="234"/>
        <v>6422.351692235281</v>
      </c>
      <c r="H248" s="27">
        <f t="shared" si="234"/>
        <v>6295.6657838524306</v>
      </c>
      <c r="I248" s="27">
        <f t="shared" si="234"/>
        <v>6161.1316870724331</v>
      </c>
      <c r="J248" s="27">
        <f t="shared" si="234"/>
        <v>6010.320738491544</v>
      </c>
      <c r="K248" s="27">
        <f t="shared" si="234"/>
        <v>5846.450398430864</v>
      </c>
      <c r="L248" s="27">
        <f t="shared" si="234"/>
        <v>5673.035338211901</v>
      </c>
      <c r="M248" s="27">
        <f t="shared" si="234"/>
        <v>5512.3508017026224</v>
      </c>
      <c r="N248" s="27">
        <f t="shared" si="234"/>
        <v>5329.9995933064947</v>
      </c>
      <c r="O248" s="27">
        <f t="shared" si="234"/>
        <v>5112.1800389237387</v>
      </c>
      <c r="P248" s="27">
        <f t="shared" si="234"/>
        <v>4874.7143637882555</v>
      </c>
      <c r="Q248" s="27">
        <f t="shared" si="234"/>
        <v>4666.2032593973845</v>
      </c>
      <c r="R248" s="27">
        <f t="shared" si="234"/>
        <v>4481.4269597551529</v>
      </c>
      <c r="S248" s="27">
        <f t="shared" si="234"/>
        <v>4280.4129069925157</v>
      </c>
      <c r="T248" s="27">
        <f t="shared" si="234"/>
        <v>4003.6074518280661</v>
      </c>
      <c r="U248" s="27">
        <f t="shared" si="234"/>
        <v>3481.8280782854577</v>
      </c>
      <c r="V248" s="27">
        <f t="shared" si="234"/>
        <v>2869.8779341922818</v>
      </c>
      <c r="W248" s="27">
        <f t="shared" si="234"/>
        <v>2361.4299056334053</v>
      </c>
      <c r="X248" s="27">
        <f t="shared" si="234"/>
        <v>1979.1073645992146</v>
      </c>
      <c r="Y248" s="27">
        <f t="shared" si="234"/>
        <v>1669.7989032884034</v>
      </c>
      <c r="Z248" s="27">
        <f t="shared" si="234"/>
        <v>1407.7015116219989</v>
      </c>
      <c r="AA248" s="27">
        <f t="shared" si="234"/>
        <v>1137.8824304635459</v>
      </c>
      <c r="AB248" s="27">
        <f t="shared" si="234"/>
        <v>868.02196647259234</v>
      </c>
      <c r="AC248" s="27">
        <f t="shared" si="234"/>
        <v>616.9602074753077</v>
      </c>
      <c r="AD248" s="27">
        <f t="shared" si="234"/>
        <v>425.11496724728357</v>
      </c>
      <c r="AE248" s="27">
        <f t="shared" si="234"/>
        <v>302.4279357358925</v>
      </c>
      <c r="AF248" s="27">
        <f t="shared" si="234"/>
        <v>239.17737668697831</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4.1208247812822514E-2</v>
      </c>
      <c r="C250" s="3">
        <f t="shared" si="236"/>
        <v>4.1126309598996942E-2</v>
      </c>
      <c r="D250" s="3">
        <f t="shared" si="236"/>
        <v>4.0315835117185617E-2</v>
      </c>
      <c r="E250" s="3">
        <f t="shared" si="236"/>
        <v>3.3039605900907466E-2</v>
      </c>
      <c r="F250" s="3">
        <f t="shared" si="236"/>
        <v>4.5146786020167865E-3</v>
      </c>
      <c r="G250" s="3">
        <f t="shared" si="236"/>
        <v>1.024581806616214E-11</v>
      </c>
      <c r="H250" s="3">
        <f t="shared" si="236"/>
        <v>3.713168466569543E-98</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8.4210725811246917E-3</v>
      </c>
      <c r="C251" s="3">
        <f t="shared" si="237"/>
        <v>8.4195607283896728E-3</v>
      </c>
      <c r="D251" s="3">
        <f t="shared" si="237"/>
        <v>8.4044571214361968E-3</v>
      </c>
      <c r="E251" s="3">
        <f t="shared" si="237"/>
        <v>8.2549032269541838E-3</v>
      </c>
      <c r="F251" s="3">
        <f t="shared" si="237"/>
        <v>6.8981906291589257E-3</v>
      </c>
      <c r="G251" s="3">
        <f t="shared" si="237"/>
        <v>1.145426551519761E-3</v>
      </c>
      <c r="H251" s="3">
        <f t="shared" si="237"/>
        <v>1.8251047218054776E-11</v>
      </c>
      <c r="I251" s="3">
        <f t="shared" si="237"/>
        <v>1.9252769665073126E-89</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2.097299786346438E-2</v>
      </c>
      <c r="C252" s="3">
        <f t="shared" si="238"/>
        <v>2.097265817198482E-2</v>
      </c>
      <c r="D252" s="3">
        <f t="shared" si="238"/>
        <v>2.0969261559776343E-2</v>
      </c>
      <c r="E252" s="3">
        <f t="shared" si="238"/>
        <v>2.0935325678274098E-2</v>
      </c>
      <c r="F252" s="3">
        <f t="shared" si="238"/>
        <v>2.0598972877194494E-2</v>
      </c>
      <c r="G252" s="3">
        <f t="shared" si="238"/>
        <v>1.7518786099237297E-2</v>
      </c>
      <c r="H252" s="3">
        <f t="shared" si="238"/>
        <v>3.4680747734570478E-3</v>
      </c>
      <c r="I252" s="3">
        <f t="shared" si="238"/>
        <v>3.205773817243846E-10</v>
      </c>
      <c r="J252" s="3">
        <f t="shared" si="238"/>
        <v>1.4600815991019566E-80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1.9327754303070543E-2</v>
      </c>
      <c r="C253" s="3">
        <f t="shared" si="239"/>
        <v>1.9327726063679457E-2</v>
      </c>
      <c r="D253" s="3">
        <f t="shared" si="239"/>
        <v>1.9327443672037911E-2</v>
      </c>
      <c r="E253" s="3">
        <f t="shared" si="239"/>
        <v>1.9324619982539194E-2</v>
      </c>
      <c r="F253" s="3">
        <f t="shared" si="239"/>
        <v>1.9296405766965369E-2</v>
      </c>
      <c r="G253" s="3">
        <f t="shared" si="239"/>
        <v>1.9016519339843975E-2</v>
      </c>
      <c r="H253" s="3">
        <f t="shared" si="239"/>
        <v>1.6431495578716038E-2</v>
      </c>
      <c r="I253" s="3">
        <f t="shared" si="239"/>
        <v>3.8118670320301884E-3</v>
      </c>
      <c r="J253" s="3">
        <f t="shared" si="239"/>
        <v>1.7208548053059804E-9</v>
      </c>
      <c r="K253" s="3">
        <f t="shared" si="239"/>
        <v>6.0507483193413653E-73</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2.3244088900531208E-2</v>
      </c>
      <c r="C254" s="3">
        <f t="shared" si="240"/>
        <v>2.3244085836922189E-2</v>
      </c>
      <c r="D254" s="3">
        <f t="shared" si="240"/>
        <v>2.3244055200854225E-2</v>
      </c>
      <c r="E254" s="3">
        <f t="shared" si="240"/>
        <v>2.3243748842395402E-2</v>
      </c>
      <c r="F254" s="3">
        <f t="shared" si="240"/>
        <v>2.3240685479878943E-2</v>
      </c>
      <c r="G254" s="3">
        <f t="shared" si="240"/>
        <v>2.3210074051066371E-2</v>
      </c>
      <c r="H254" s="3">
        <f t="shared" si="240"/>
        <v>2.2906168611790817E-2</v>
      </c>
      <c r="I254" s="3">
        <f t="shared" si="240"/>
        <v>2.0077596634781397E-2</v>
      </c>
      <c r="J254" s="3">
        <f t="shared" si="240"/>
        <v>5.374083887374358E-3</v>
      </c>
      <c r="K254" s="3">
        <f t="shared" si="240"/>
        <v>1.0144522408309781E-8</v>
      </c>
      <c r="L254" s="3">
        <f t="shared" si="240"/>
        <v>5.8277813673389304E-66</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2.4746587732750378E-2</v>
      </c>
      <c r="C255" s="3">
        <f t="shared" si="241"/>
        <v>2.4746587438523225E-2</v>
      </c>
      <c r="D255" s="3">
        <f t="shared" si="241"/>
        <v>2.4746584496251875E-2</v>
      </c>
      <c r="E255" s="3">
        <f t="shared" si="241"/>
        <v>2.4746555073557601E-2</v>
      </c>
      <c r="F255" s="3">
        <f t="shared" si="241"/>
        <v>2.4746260848538863E-2</v>
      </c>
      <c r="G255" s="3">
        <f t="shared" si="241"/>
        <v>2.4743318790745567E-2</v>
      </c>
      <c r="H255" s="3">
        <f t="shared" si="241"/>
        <v>2.471391744375705E-2</v>
      </c>
      <c r="I255" s="3">
        <f t="shared" si="241"/>
        <v>2.4421818635165817E-2</v>
      </c>
      <c r="J255" s="3">
        <f t="shared" si="241"/>
        <v>2.1684135016257287E-2</v>
      </c>
      <c r="K255" s="3">
        <f t="shared" si="241"/>
        <v>6.6036358000291515E-3</v>
      </c>
      <c r="L255" s="3">
        <f t="shared" si="241"/>
        <v>4.530991199574119E-8</v>
      </c>
      <c r="M255" s="3">
        <f t="shared" si="241"/>
        <v>1.0478383093984021E-59</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2.732649097745922E-2</v>
      </c>
      <c r="C256" s="3">
        <f t="shared" si="242"/>
        <v>2.7326490948150428E-2</v>
      </c>
      <c r="D256" s="3">
        <f t="shared" si="242"/>
        <v>2.732649065506253E-2</v>
      </c>
      <c r="E256" s="3">
        <f t="shared" si="242"/>
        <v>2.7326487724183723E-2</v>
      </c>
      <c r="F256" s="3">
        <f t="shared" si="242"/>
        <v>2.7326458415412948E-2</v>
      </c>
      <c r="G256" s="3">
        <f t="shared" si="242"/>
        <v>2.7326165329434101E-2</v>
      </c>
      <c r="H256" s="3">
        <f t="shared" si="242"/>
        <v>2.7323234642529882E-2</v>
      </c>
      <c r="I256" s="3">
        <f t="shared" si="242"/>
        <v>2.7293945055054739E-2</v>
      </c>
      <c r="J256" s="3">
        <f t="shared" si="242"/>
        <v>2.7002770498617216E-2</v>
      </c>
      <c r="K256" s="3">
        <f t="shared" si="242"/>
        <v>2.4256517458277171E-2</v>
      </c>
      <c r="L256" s="3">
        <f t="shared" si="242"/>
        <v>8.2990748840423879E-3</v>
      </c>
      <c r="M256" s="3">
        <f t="shared" si="242"/>
        <v>1.8240722192957264E-7</v>
      </c>
      <c r="N256" s="3">
        <f t="shared" si="242"/>
        <v>4.7991628438797672E-54</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2.1347831069973563E-2</v>
      </c>
      <c r="C257" s="3">
        <f t="shared" si="243"/>
        <v>2.1347831067908118E-2</v>
      </c>
      <c r="D257" s="3">
        <f t="shared" si="243"/>
        <v>2.1347831047253633E-2</v>
      </c>
      <c r="E257" s="3">
        <f t="shared" si="243"/>
        <v>2.1347830840708782E-2</v>
      </c>
      <c r="F257" s="3">
        <f t="shared" si="243"/>
        <v>2.1347828775260407E-2</v>
      </c>
      <c r="G257" s="3">
        <f t="shared" si="243"/>
        <v>2.1347808120787643E-2</v>
      </c>
      <c r="H257" s="3">
        <f t="shared" si="243"/>
        <v>2.1347601577159096E-2</v>
      </c>
      <c r="I257" s="3">
        <f t="shared" si="243"/>
        <v>2.1345536250779361E-2</v>
      </c>
      <c r="J257" s="3">
        <f t="shared" si="243"/>
        <v>2.1324893973623193E-2</v>
      </c>
      <c r="K257" s="3">
        <f t="shared" si="243"/>
        <v>2.1119565943306801E-2</v>
      </c>
      <c r="L257" s="3">
        <f t="shared" si="243"/>
        <v>1.9171940145793365E-2</v>
      </c>
      <c r="M257" s="3">
        <f t="shared" si="243"/>
        <v>7.2857929863782483E-3</v>
      </c>
      <c r="N257" s="3">
        <f t="shared" si="243"/>
        <v>4.5770373450970501E-7</v>
      </c>
      <c r="O257" s="3">
        <f t="shared" si="243"/>
        <v>4.3818826448787626E-49</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3.0209322623100002E-2</v>
      </c>
      <c r="C258" s="3">
        <f t="shared" si="244"/>
        <v>3.0209322622836342E-2</v>
      </c>
      <c r="D258" s="3">
        <f t="shared" si="244"/>
        <v>3.0209322620199715E-2</v>
      </c>
      <c r="E258" s="3">
        <f t="shared" si="244"/>
        <v>3.0209322593833476E-2</v>
      </c>
      <c r="F258" s="3">
        <f t="shared" si="244"/>
        <v>3.0209322330171085E-2</v>
      </c>
      <c r="G258" s="3">
        <f t="shared" si="244"/>
        <v>3.0209319693547284E-2</v>
      </c>
      <c r="H258" s="3">
        <f t="shared" si="244"/>
        <v>3.0209293327321952E-2</v>
      </c>
      <c r="I258" s="3">
        <f t="shared" si="244"/>
        <v>3.0209029666334295E-2</v>
      </c>
      <c r="J258" s="3">
        <f t="shared" si="244"/>
        <v>3.0206393183019459E-2</v>
      </c>
      <c r="K258" s="3">
        <f t="shared" si="244"/>
        <v>3.0180041001960891E-2</v>
      </c>
      <c r="L258" s="3">
        <f t="shared" si="244"/>
        <v>2.9917780324128413E-2</v>
      </c>
      <c r="M258" s="3">
        <f t="shared" si="244"/>
        <v>2.7417307577693173E-2</v>
      </c>
      <c r="N258" s="3">
        <f t="shared" si="244"/>
        <v>1.145457963451664E-2</v>
      </c>
      <c r="O258" s="3">
        <f t="shared" si="244"/>
        <v>1.855763690370646E-6</v>
      </c>
      <c r="P258" s="3">
        <f t="shared" si="244"/>
        <v>2.3118403823727361E-44</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3.3829577920914768E-2</v>
      </c>
      <c r="C259" s="3">
        <f t="shared" si="245"/>
        <v>3.3829577920888136E-2</v>
      </c>
      <c r="D259" s="3">
        <f t="shared" si="245"/>
        <v>3.3829577920621787E-2</v>
      </c>
      <c r="E259" s="3">
        <f t="shared" si="245"/>
        <v>3.3829577917958306E-2</v>
      </c>
      <c r="F259" s="3">
        <f t="shared" si="245"/>
        <v>3.3829577891323445E-2</v>
      </c>
      <c r="G259" s="3">
        <f t="shared" si="245"/>
        <v>3.3829577624974877E-2</v>
      </c>
      <c r="H259" s="3">
        <f t="shared" si="245"/>
        <v>3.3829574961489271E-2</v>
      </c>
      <c r="I259" s="3">
        <f t="shared" si="245"/>
        <v>3.3829548326644816E-2</v>
      </c>
      <c r="J259" s="3">
        <f t="shared" si="245"/>
        <v>3.3829281979353594E-2</v>
      </c>
      <c r="K259" s="3">
        <f t="shared" si="245"/>
        <v>3.382661862177417E-2</v>
      </c>
      <c r="L259" s="3">
        <f t="shared" si="245"/>
        <v>3.3799996575899924E-2</v>
      </c>
      <c r="M259" s="3">
        <f t="shared" si="245"/>
        <v>3.3534925757439785E-2</v>
      </c>
      <c r="N259" s="3">
        <f t="shared" si="245"/>
        <v>3.099590194699809E-2</v>
      </c>
      <c r="O259" s="3">
        <f t="shared" si="245"/>
        <v>1.4105015575521462E-2</v>
      </c>
      <c r="P259" s="3">
        <f t="shared" si="245"/>
        <v>5.3711401793957917E-6</v>
      </c>
      <c r="Q259" s="3">
        <f t="shared" si="245"/>
        <v>3.4434648685955268E-40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3.8784967486764105E-2</v>
      </c>
      <c r="C260" s="3">
        <f t="shared" si="246"/>
        <v>3.878496748676135E-2</v>
      </c>
      <c r="D260" s="3">
        <f t="shared" si="246"/>
        <v>3.8784967486733803E-2</v>
      </c>
      <c r="E260" s="3">
        <f t="shared" si="246"/>
        <v>3.8784967486458342E-2</v>
      </c>
      <c r="F260" s="3">
        <f t="shared" si="246"/>
        <v>3.8784967483703706E-2</v>
      </c>
      <c r="G260" s="3">
        <f t="shared" si="246"/>
        <v>3.8784967456157372E-2</v>
      </c>
      <c r="H260" s="3">
        <f t="shared" si="246"/>
        <v>3.8784967180694026E-2</v>
      </c>
      <c r="I260" s="3">
        <f t="shared" si="246"/>
        <v>3.8784964426060692E-2</v>
      </c>
      <c r="J260" s="3">
        <f t="shared" si="246"/>
        <v>3.8784936879738129E-2</v>
      </c>
      <c r="K260" s="3">
        <f t="shared" si="246"/>
        <v>3.8784661417588497E-2</v>
      </c>
      <c r="L260" s="3">
        <f t="shared" si="246"/>
        <v>3.8781906903692646E-2</v>
      </c>
      <c r="M260" s="3">
        <f t="shared" si="246"/>
        <v>3.8754372521955176E-2</v>
      </c>
      <c r="N260" s="3">
        <f t="shared" si="246"/>
        <v>3.8480101605198692E-2</v>
      </c>
      <c r="O260" s="3">
        <f t="shared" si="246"/>
        <v>3.5841915830922125E-2</v>
      </c>
      <c r="P260" s="3">
        <f t="shared" si="246"/>
        <v>1.7617377924614083E-2</v>
      </c>
      <c r="Q260" s="3">
        <f t="shared" si="246"/>
        <v>1.4502464898515956E-5</v>
      </c>
      <c r="R260" s="3">
        <f t="shared" si="246"/>
        <v>2.0722747935036519E-36</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2.3192888824780978E-2</v>
      </c>
      <c r="C261" s="3">
        <f t="shared" si="247"/>
        <v>2.3192888824780829E-2</v>
      </c>
      <c r="D261" s="3">
        <f t="shared" si="247"/>
        <v>2.319288882477934E-2</v>
      </c>
      <c r="E261" s="3">
        <f t="shared" si="247"/>
        <v>2.3192888824764481E-2</v>
      </c>
      <c r="F261" s="3">
        <f t="shared" si="247"/>
        <v>2.3192888824615888E-2</v>
      </c>
      <c r="G261" s="3">
        <f t="shared" si="247"/>
        <v>2.3192888823129944E-2</v>
      </c>
      <c r="H261" s="3">
        <f t="shared" si="247"/>
        <v>2.3192888808270525E-2</v>
      </c>
      <c r="I261" s="3">
        <f t="shared" si="247"/>
        <v>2.319288865967634E-2</v>
      </c>
      <c r="J261" s="3">
        <f t="shared" si="247"/>
        <v>2.3192887173734519E-2</v>
      </c>
      <c r="K261" s="3">
        <f t="shared" si="247"/>
        <v>2.3192872314321551E-2</v>
      </c>
      <c r="L261" s="3">
        <f t="shared" si="247"/>
        <v>2.3192723720715489E-2</v>
      </c>
      <c r="M261" s="3">
        <f t="shared" si="247"/>
        <v>2.3191237837014912E-2</v>
      </c>
      <c r="N261" s="3">
        <f t="shared" si="247"/>
        <v>2.3176384234773084E-2</v>
      </c>
      <c r="O261" s="3">
        <f t="shared" si="247"/>
        <v>2.3028370449948574E-2</v>
      </c>
      <c r="P261" s="3">
        <f t="shared" si="247"/>
        <v>2.1599239302122725E-2</v>
      </c>
      <c r="Q261" s="3">
        <f t="shared" si="247"/>
        <v>1.1381275740348919E-2</v>
      </c>
      <c r="R261" s="3">
        <f t="shared" si="247"/>
        <v>1.878087567445469E-5</v>
      </c>
      <c r="S261" s="3">
        <f t="shared" si="247"/>
        <v>2.8116726845057652E-33</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3.3182413237330906E-2</v>
      </c>
      <c r="C262" s="3">
        <f t="shared" si="248"/>
        <v>3.3182413237330892E-2</v>
      </c>
      <c r="D262" s="3">
        <f t="shared" si="248"/>
        <v>3.3182413237330698E-2</v>
      </c>
      <c r="E262" s="3">
        <f t="shared" si="248"/>
        <v>3.3182413237328783E-2</v>
      </c>
      <c r="F262" s="3">
        <f t="shared" si="248"/>
        <v>3.3182413237309603E-2</v>
      </c>
      <c r="G262" s="3">
        <f t="shared" si="248"/>
        <v>3.3182413237117826E-2</v>
      </c>
      <c r="H262" s="3">
        <f t="shared" si="248"/>
        <v>3.3182413235200034E-2</v>
      </c>
      <c r="I262" s="3">
        <f t="shared" si="248"/>
        <v>3.3182413216022111E-2</v>
      </c>
      <c r="J262" s="3">
        <f t="shared" si="248"/>
        <v>3.31824130242429E-2</v>
      </c>
      <c r="K262" s="3">
        <f t="shared" si="248"/>
        <v>3.3182411106450822E-2</v>
      </c>
      <c r="L262" s="3">
        <f t="shared" si="248"/>
        <v>3.318239192853617E-2</v>
      </c>
      <c r="M262" s="3">
        <f t="shared" si="248"/>
        <v>3.3182200149999279E-2</v>
      </c>
      <c r="N262" s="3">
        <f t="shared" si="248"/>
        <v>3.3180282425590728E-2</v>
      </c>
      <c r="O262" s="3">
        <f t="shared" si="248"/>
        <v>3.3161111276237117E-2</v>
      </c>
      <c r="P262" s="3">
        <f t="shared" si="248"/>
        <v>3.2970007954587099E-2</v>
      </c>
      <c r="Q262" s="3">
        <f t="shared" si="248"/>
        <v>3.1118511253932363E-2</v>
      </c>
      <c r="R262" s="3">
        <f t="shared" si="248"/>
        <v>1.7458881167265423E-2</v>
      </c>
      <c r="S262" s="3">
        <f t="shared" si="248"/>
        <v>5.395011593654799E-5</v>
      </c>
      <c r="T262" s="3">
        <f t="shared" si="248"/>
        <v>4.2830398526586251E-30</v>
      </c>
      <c r="U262" s="3">
        <f t="shared" si="248"/>
        <v>4.2594100044891426E-281</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2.0402015949426134E-2</v>
      </c>
      <c r="C263" s="3">
        <f t="shared" si="249"/>
        <v>2.0402015949426131E-2</v>
      </c>
      <c r="D263" s="3">
        <f t="shared" si="249"/>
        <v>2.0402015949426124E-2</v>
      </c>
      <c r="E263" s="3">
        <f t="shared" si="249"/>
        <v>2.0402015949426016E-2</v>
      </c>
      <c r="F263" s="3">
        <f t="shared" si="249"/>
        <v>2.0402015949424951E-2</v>
      </c>
      <c r="G263" s="3">
        <f t="shared" si="249"/>
        <v>2.0402015949414314E-2</v>
      </c>
      <c r="H263" s="3">
        <f t="shared" si="249"/>
        <v>2.0402015949307947E-2</v>
      </c>
      <c r="I263" s="3">
        <f t="shared" si="249"/>
        <v>2.040201594824426E-2</v>
      </c>
      <c r="J263" s="3">
        <f t="shared" si="249"/>
        <v>2.0402015937607407E-2</v>
      </c>
      <c r="K263" s="3">
        <f t="shared" si="249"/>
        <v>2.0402015831238855E-2</v>
      </c>
      <c r="L263" s="3">
        <f t="shared" si="249"/>
        <v>2.0402014767553385E-2</v>
      </c>
      <c r="M263" s="3">
        <f t="shared" si="249"/>
        <v>2.0402004130701725E-2</v>
      </c>
      <c r="N263" s="3">
        <f t="shared" si="249"/>
        <v>2.0401897762490129E-2</v>
      </c>
      <c r="O263" s="3">
        <f t="shared" si="249"/>
        <v>2.0400834110874677E-2</v>
      </c>
      <c r="P263" s="3">
        <f t="shared" si="249"/>
        <v>2.0390200644180616E-2</v>
      </c>
      <c r="Q263" s="3">
        <f t="shared" si="249"/>
        <v>2.0284170335851552E-2</v>
      </c>
      <c r="R263" s="3">
        <f t="shared" si="249"/>
        <v>1.9253724090837358E-2</v>
      </c>
      <c r="S263" s="3">
        <f t="shared" si="249"/>
        <v>1.1431143993405482E-2</v>
      </c>
      <c r="T263" s="3">
        <f t="shared" si="249"/>
        <v>6.2206993114870824E-5</v>
      </c>
      <c r="U263" s="3">
        <f t="shared" si="249"/>
        <v>1.4168841754905468E-27</v>
      </c>
      <c r="V263" s="3">
        <f t="shared" si="249"/>
        <v>5.3245848760358174E-254</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6.6904612026051358E-2</v>
      </c>
      <c r="C264" s="3">
        <f t="shared" si="250"/>
        <v>6.6904612026051358E-2</v>
      </c>
      <c r="D264" s="3">
        <f t="shared" si="250"/>
        <v>6.6904612026051358E-2</v>
      </c>
      <c r="E264" s="3">
        <f t="shared" si="250"/>
        <v>6.6904612026051316E-2</v>
      </c>
      <c r="F264" s="3">
        <f t="shared" si="250"/>
        <v>6.6904612026051011E-2</v>
      </c>
      <c r="G264" s="3">
        <f t="shared" si="250"/>
        <v>6.6904612026047861E-2</v>
      </c>
      <c r="H264" s="3">
        <f t="shared" si="250"/>
        <v>6.69046120260164E-2</v>
      </c>
      <c r="I264" s="3">
        <f t="shared" si="250"/>
        <v>6.6904612025701735E-2</v>
      </c>
      <c r="J264" s="3">
        <f t="shared" si="250"/>
        <v>6.6904612022555127E-2</v>
      </c>
      <c r="K264" s="3">
        <f t="shared" si="250"/>
        <v>6.6904611991089033E-2</v>
      </c>
      <c r="L264" s="3">
        <f t="shared" si="250"/>
        <v>6.6904611676428111E-2</v>
      </c>
      <c r="M264" s="3">
        <f t="shared" si="250"/>
        <v>6.6904608529819026E-2</v>
      </c>
      <c r="N264" s="3">
        <f t="shared" si="250"/>
        <v>6.6904577063736231E-2</v>
      </c>
      <c r="O264" s="3">
        <f t="shared" si="250"/>
        <v>6.6904262403722228E-2</v>
      </c>
      <c r="P264" s="3">
        <f t="shared" si="250"/>
        <v>6.6901115884974716E-2</v>
      </c>
      <c r="Q264" s="3">
        <f t="shared" si="250"/>
        <v>6.6869658835323087E-2</v>
      </c>
      <c r="R264" s="3">
        <f t="shared" si="250"/>
        <v>6.655590070684643E-2</v>
      </c>
      <c r="S264" s="3">
        <f t="shared" si="250"/>
        <v>6.3498160185756367E-2</v>
      </c>
      <c r="T264" s="3">
        <f t="shared" si="250"/>
        <v>3.9674084275581001E-2</v>
      </c>
      <c r="U264" s="3">
        <f t="shared" si="250"/>
        <v>3.5972001735038828E-4</v>
      </c>
      <c r="V264" s="3">
        <f t="shared" si="250"/>
        <v>1.3506460331916299E-24</v>
      </c>
      <c r="W264" s="3">
        <f t="shared" si="250"/>
        <v>7.5216126570585488E-229</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9.6702955914687194E-2</v>
      </c>
      <c r="C265" s="3">
        <f t="shared" si="251"/>
        <v>9.6702955914687194E-2</v>
      </c>
      <c r="D265" s="3">
        <f t="shared" si="251"/>
        <v>9.6702955914687194E-2</v>
      </c>
      <c r="E265" s="3">
        <f t="shared" si="251"/>
        <v>9.6702955914687194E-2</v>
      </c>
      <c r="F265" s="3">
        <f t="shared" si="251"/>
        <v>9.6702955914687153E-2</v>
      </c>
      <c r="G265" s="3">
        <f t="shared" si="251"/>
        <v>9.670295591468675E-2</v>
      </c>
      <c r="H265" s="3">
        <f t="shared" si="251"/>
        <v>9.6702955914682628E-2</v>
      </c>
      <c r="I265" s="3">
        <f t="shared" si="251"/>
        <v>9.6702955914641606E-2</v>
      </c>
      <c r="J265" s="3">
        <f t="shared" si="251"/>
        <v>9.6702955914231337E-2</v>
      </c>
      <c r="K265" s="3">
        <f t="shared" si="251"/>
        <v>9.6702955910128605E-2</v>
      </c>
      <c r="L265" s="3">
        <f t="shared" si="251"/>
        <v>9.6702955869101284E-2</v>
      </c>
      <c r="M265" s="3">
        <f t="shared" si="251"/>
        <v>9.6702955458828149E-2</v>
      </c>
      <c r="N265" s="3">
        <f t="shared" si="251"/>
        <v>9.6702951356096814E-2</v>
      </c>
      <c r="O265" s="3">
        <f t="shared" si="251"/>
        <v>9.6702910328793037E-2</v>
      </c>
      <c r="P265" s="3">
        <f t="shared" si="251"/>
        <v>9.6702500056712729E-2</v>
      </c>
      <c r="Q265" s="3">
        <f t="shared" si="251"/>
        <v>9.6698397431642533E-2</v>
      </c>
      <c r="R265" s="3">
        <f t="shared" si="251"/>
        <v>9.6657380752735181E-2</v>
      </c>
      <c r="S265" s="3">
        <f t="shared" si="251"/>
        <v>9.6248169642281542E-2</v>
      </c>
      <c r="T265" s="3">
        <f t="shared" si="251"/>
        <v>9.225014308000351E-2</v>
      </c>
      <c r="U265" s="3">
        <f t="shared" si="251"/>
        <v>6.035492854912887E-2</v>
      </c>
      <c r="V265" s="3">
        <f t="shared" si="251"/>
        <v>8.673006205258785E-4</v>
      </c>
      <c r="W265" s="3">
        <f t="shared" si="251"/>
        <v>3.2564081052614754E-22</v>
      </c>
      <c r="X265" s="3">
        <f t="shared" si="251"/>
        <v>1.8131366067812613E-206</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8.3641263972904237E-2</v>
      </c>
      <c r="C266" s="3">
        <f t="shared" si="252"/>
        <v>8.3641263972904237E-2</v>
      </c>
      <c r="D266" s="3">
        <f t="shared" si="252"/>
        <v>8.3641263972904237E-2</v>
      </c>
      <c r="E266" s="3">
        <f t="shared" si="252"/>
        <v>8.3641263972904237E-2</v>
      </c>
      <c r="F266" s="3">
        <f t="shared" si="252"/>
        <v>8.3641263972904237E-2</v>
      </c>
      <c r="G266" s="3">
        <f t="shared" si="252"/>
        <v>8.3641263972904195E-2</v>
      </c>
      <c r="H266" s="3">
        <f t="shared" si="252"/>
        <v>8.364126397290389E-2</v>
      </c>
      <c r="I266" s="3">
        <f t="shared" si="252"/>
        <v>8.3641263972900684E-2</v>
      </c>
      <c r="J266" s="3">
        <f t="shared" si="252"/>
        <v>8.3641263972868668E-2</v>
      </c>
      <c r="K266" s="3">
        <f t="shared" si="252"/>
        <v>8.3641263972548549E-2</v>
      </c>
      <c r="L266" s="3">
        <f t="shared" si="252"/>
        <v>8.3641263969347443E-2</v>
      </c>
      <c r="M266" s="3">
        <f t="shared" si="252"/>
        <v>8.3641263937336355E-2</v>
      </c>
      <c r="N266" s="3">
        <f t="shared" si="252"/>
        <v>8.3641263617225417E-2</v>
      </c>
      <c r="O266" s="3">
        <f t="shared" si="252"/>
        <v>8.3641260416116081E-2</v>
      </c>
      <c r="P266" s="3">
        <f t="shared" si="252"/>
        <v>8.3641228405029452E-2</v>
      </c>
      <c r="Q266" s="3">
        <f t="shared" si="252"/>
        <v>8.364090829483696E-2</v>
      </c>
      <c r="R266" s="3">
        <f t="shared" si="252"/>
        <v>8.363770726029289E-2</v>
      </c>
      <c r="S266" s="3">
        <f t="shared" si="252"/>
        <v>8.360570365198039E-2</v>
      </c>
      <c r="T266" s="3">
        <f t="shared" si="252"/>
        <v>8.3286340328629485E-2</v>
      </c>
      <c r="U266" s="3">
        <f t="shared" si="252"/>
        <v>8.0159040078315327E-2</v>
      </c>
      <c r="V266" s="3">
        <f t="shared" si="252"/>
        <v>5.4668831739407515E-2</v>
      </c>
      <c r="W266" s="3">
        <f t="shared" si="252"/>
        <v>1.1901799986225388E-3</v>
      </c>
      <c r="X266" s="3">
        <f t="shared" si="252"/>
        <v>2.8466966521984877E-20</v>
      </c>
      <c r="Y266" s="3">
        <f t="shared" si="252"/>
        <v>1.7443218521395567E-186</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5.9421998861156927E-2</v>
      </c>
      <c r="C267" s="3">
        <f t="shared" si="253"/>
        <v>5.9421998861156927E-2</v>
      </c>
      <c r="D267" s="3">
        <f t="shared" si="253"/>
        <v>5.9421998861156927E-2</v>
      </c>
      <c r="E267" s="3">
        <f t="shared" si="253"/>
        <v>5.9421998861156927E-2</v>
      </c>
      <c r="F267" s="3">
        <f t="shared" si="253"/>
        <v>5.9421998861156927E-2</v>
      </c>
      <c r="G267" s="3">
        <f t="shared" si="253"/>
        <v>5.9421998861156927E-2</v>
      </c>
      <c r="H267" s="3">
        <f t="shared" si="253"/>
        <v>5.9421998861156906E-2</v>
      </c>
      <c r="I267" s="3">
        <f t="shared" si="253"/>
        <v>5.9421998861156698E-2</v>
      </c>
      <c r="J267" s="3">
        <f t="shared" si="253"/>
        <v>5.9421998861154644E-2</v>
      </c>
      <c r="K267" s="3">
        <f t="shared" si="253"/>
        <v>5.9421998861134133E-2</v>
      </c>
      <c r="L267" s="3">
        <f t="shared" si="253"/>
        <v>5.9421998860928985E-2</v>
      </c>
      <c r="M267" s="3">
        <f t="shared" si="253"/>
        <v>5.9421998858877473E-2</v>
      </c>
      <c r="N267" s="3">
        <f t="shared" si="253"/>
        <v>5.9421998838362362E-2</v>
      </c>
      <c r="O267" s="3">
        <f t="shared" si="253"/>
        <v>5.94219986332113E-2</v>
      </c>
      <c r="P267" s="3">
        <f t="shared" si="253"/>
        <v>5.9421996581700678E-2</v>
      </c>
      <c r="Q267" s="3">
        <f t="shared" si="253"/>
        <v>5.9421976066598374E-2</v>
      </c>
      <c r="R267" s="3">
        <f t="shared" si="253"/>
        <v>5.9421770915964851E-2</v>
      </c>
      <c r="S267" s="3">
        <f t="shared" si="253"/>
        <v>5.9419719448584089E-2</v>
      </c>
      <c r="T267" s="3">
        <f t="shared" si="253"/>
        <v>5.9399208669721607E-2</v>
      </c>
      <c r="U267" s="3">
        <f t="shared" si="253"/>
        <v>5.919448987853327E-2</v>
      </c>
      <c r="V267" s="3">
        <f t="shared" si="253"/>
        <v>5.7185709358897337E-2</v>
      </c>
      <c r="W267" s="3">
        <f t="shared" si="253"/>
        <v>4.0490190174290855E-2</v>
      </c>
      <c r="X267" s="3">
        <f t="shared" si="253"/>
        <v>1.2822504362525809E-3</v>
      </c>
      <c r="Y267" s="3">
        <f t="shared" si="253"/>
        <v>1.300778184703959E-18</v>
      </c>
      <c r="Z267" s="3">
        <f t="shared" si="253"/>
        <v>1.5014370815326111E-168</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5.182495758409756E-2</v>
      </c>
      <c r="C268" s="3">
        <f t="shared" si="254"/>
        <v>5.182495758409756E-2</v>
      </c>
      <c r="D268" s="3">
        <f t="shared" si="254"/>
        <v>5.182495758409756E-2</v>
      </c>
      <c r="E268" s="3">
        <f t="shared" si="254"/>
        <v>5.182495758409756E-2</v>
      </c>
      <c r="F268" s="3">
        <f t="shared" si="254"/>
        <v>5.182495758409756E-2</v>
      </c>
      <c r="G268" s="3">
        <f t="shared" si="254"/>
        <v>5.182495758409756E-2</v>
      </c>
      <c r="H268" s="3">
        <f t="shared" si="254"/>
        <v>5.182495758409756E-2</v>
      </c>
      <c r="I268" s="3">
        <f t="shared" si="254"/>
        <v>5.1824957584097546E-2</v>
      </c>
      <c r="J268" s="3">
        <f t="shared" si="254"/>
        <v>5.1824957584097379E-2</v>
      </c>
      <c r="K268" s="3">
        <f t="shared" si="254"/>
        <v>5.1824957584095763E-2</v>
      </c>
      <c r="L268" s="3">
        <f t="shared" si="254"/>
        <v>5.1824957584079623E-2</v>
      </c>
      <c r="M268" s="3">
        <f t="shared" si="254"/>
        <v>5.1824957583918224E-2</v>
      </c>
      <c r="N268" s="3">
        <f t="shared" si="254"/>
        <v>5.1824957582304196E-2</v>
      </c>
      <c r="O268" s="3">
        <f t="shared" si="254"/>
        <v>5.1824957566163878E-2</v>
      </c>
      <c r="P268" s="3">
        <f t="shared" si="254"/>
        <v>5.1824957404760702E-2</v>
      </c>
      <c r="Q268" s="3">
        <f t="shared" si="254"/>
        <v>5.1824955790729002E-2</v>
      </c>
      <c r="R268" s="3">
        <f t="shared" si="254"/>
        <v>5.1824939650414771E-2</v>
      </c>
      <c r="S268" s="3">
        <f t="shared" si="254"/>
        <v>5.1824778247548928E-2</v>
      </c>
      <c r="T268" s="3">
        <f t="shared" si="254"/>
        <v>5.1823164246537129E-2</v>
      </c>
      <c r="U268" s="3">
        <f t="shared" si="254"/>
        <v>5.180702700076429E-2</v>
      </c>
      <c r="V268" s="3">
        <f t="shared" si="254"/>
        <v>5.1645930659273517E-2</v>
      </c>
      <c r="W268" s="3">
        <f t="shared" si="254"/>
        <v>5.0062263325779829E-2</v>
      </c>
      <c r="X268" s="3">
        <f t="shared" si="254"/>
        <v>3.6665212363879277E-2</v>
      </c>
      <c r="Y268" s="3">
        <f t="shared" si="254"/>
        <v>1.6281388887704189E-3</v>
      </c>
      <c r="Z268" s="3">
        <f t="shared" si="254"/>
        <v>4.8535990774292028E-17</v>
      </c>
      <c r="AA268" s="3">
        <f t="shared" si="254"/>
        <v>2.6902237099836739E-152</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2.0016819549847034E-2</v>
      </c>
      <c r="C269" s="3">
        <f t="shared" si="255"/>
        <v>2.0016819549847034E-2</v>
      </c>
      <c r="D269" s="3">
        <f t="shared" si="255"/>
        <v>2.0016819549847034E-2</v>
      </c>
      <c r="E269" s="3">
        <f t="shared" si="255"/>
        <v>2.0016819549847034E-2</v>
      </c>
      <c r="F269" s="3">
        <f t="shared" si="255"/>
        <v>2.0016819549847034E-2</v>
      </c>
      <c r="G269" s="3">
        <f t="shared" si="255"/>
        <v>2.0016819549847034E-2</v>
      </c>
      <c r="H269" s="3">
        <f t="shared" si="255"/>
        <v>2.0016819549847034E-2</v>
      </c>
      <c r="I269" s="3">
        <f t="shared" si="255"/>
        <v>2.0016819549847034E-2</v>
      </c>
      <c r="J269" s="3">
        <f t="shared" si="255"/>
        <v>2.0016819549847027E-2</v>
      </c>
      <c r="K269" s="3">
        <f t="shared" si="255"/>
        <v>2.0016819549846972E-2</v>
      </c>
      <c r="L269" s="3">
        <f t="shared" si="255"/>
        <v>2.001681954984641E-2</v>
      </c>
      <c r="M269" s="3">
        <f t="shared" si="255"/>
        <v>2.0016819549840786E-2</v>
      </c>
      <c r="N269" s="3">
        <f t="shared" si="255"/>
        <v>2.0016819549784549E-2</v>
      </c>
      <c r="O269" s="3">
        <f t="shared" si="255"/>
        <v>2.001681954922219E-2</v>
      </c>
      <c r="P269" s="3">
        <f t="shared" si="255"/>
        <v>2.0016819543598584E-2</v>
      </c>
      <c r="Q269" s="3">
        <f t="shared" si="255"/>
        <v>2.0016819487362541E-2</v>
      </c>
      <c r="R269" s="3">
        <f t="shared" si="255"/>
        <v>2.0016818925002088E-2</v>
      </c>
      <c r="S269" s="3">
        <f t="shared" si="255"/>
        <v>2.0016813301398446E-2</v>
      </c>
      <c r="T269" s="3">
        <f t="shared" si="255"/>
        <v>2.0016757065448941E-2</v>
      </c>
      <c r="U269" s="3">
        <f t="shared" si="255"/>
        <v>2.0016194714643311E-2</v>
      </c>
      <c r="V269" s="3">
        <f t="shared" si="255"/>
        <v>2.0010572075441446E-2</v>
      </c>
      <c r="W269" s="3">
        <f t="shared" si="255"/>
        <v>1.9954432478615221E-2</v>
      </c>
      <c r="X269" s="3">
        <f t="shared" si="255"/>
        <v>1.9401626480632657E-2</v>
      </c>
      <c r="Y269" s="3">
        <f t="shared" si="255"/>
        <v>1.4649598647640021E-2</v>
      </c>
      <c r="Z269" s="3">
        <f t="shared" si="255"/>
        <v>8.8247335048315351E-4</v>
      </c>
      <c r="AA269" s="3">
        <f t="shared" si="255"/>
        <v>5.5521389309747989E-16</v>
      </c>
      <c r="AB269" s="3">
        <f t="shared" si="255"/>
        <v>5.3956973621628961E-138</v>
      </c>
      <c r="AC269" s="3">
        <f t="shared" si="255"/>
        <v>0</v>
      </c>
      <c r="AD269" s="3">
        <f t="shared" si="255"/>
        <v>0</v>
      </c>
      <c r="AE269" s="3">
        <f t="shared" si="255"/>
        <v>0</v>
      </c>
      <c r="AF269" s="3">
        <f t="shared" si="255"/>
        <v>0</v>
      </c>
      <c r="AG269" s="3"/>
      <c r="AH269" s="3"/>
    </row>
    <row r="270" spans="2:34" x14ac:dyDescent="0.25">
      <c r="B270" s="3">
        <f t="shared" ref="B270:AF270" si="256">$C39*EXP(-B$246/$A39/EXP(-$E$126))</f>
        <v>3.8383243179278659E-2</v>
      </c>
      <c r="C270" s="3">
        <f t="shared" si="256"/>
        <v>3.8383243179278659E-2</v>
      </c>
      <c r="D270" s="3">
        <f t="shared" si="256"/>
        <v>3.8383243179278659E-2</v>
      </c>
      <c r="E270" s="3">
        <f t="shared" si="256"/>
        <v>3.8383243179278659E-2</v>
      </c>
      <c r="F270" s="3">
        <f t="shared" si="256"/>
        <v>3.8383243179278659E-2</v>
      </c>
      <c r="G270" s="3">
        <f t="shared" si="256"/>
        <v>3.8383243179278659E-2</v>
      </c>
      <c r="H270" s="3">
        <f t="shared" si="256"/>
        <v>3.8383243179278659E-2</v>
      </c>
      <c r="I270" s="3">
        <f t="shared" si="256"/>
        <v>3.8383243179278659E-2</v>
      </c>
      <c r="J270" s="3">
        <f t="shared" si="256"/>
        <v>3.8383243179278652E-2</v>
      </c>
      <c r="K270" s="3">
        <f t="shared" si="256"/>
        <v>3.8383243179278624E-2</v>
      </c>
      <c r="L270" s="3">
        <f t="shared" si="256"/>
        <v>3.8383243179278326E-2</v>
      </c>
      <c r="M270" s="3">
        <f t="shared" si="256"/>
        <v>3.8383243179275342E-2</v>
      </c>
      <c r="N270" s="3">
        <f t="shared" si="256"/>
        <v>3.8383243179245526E-2</v>
      </c>
      <c r="O270" s="3">
        <f t="shared" si="256"/>
        <v>3.8383243178947278E-2</v>
      </c>
      <c r="P270" s="3">
        <f t="shared" si="256"/>
        <v>3.8383243175964817E-2</v>
      </c>
      <c r="Q270" s="3">
        <f t="shared" si="256"/>
        <v>3.8383243146140243E-2</v>
      </c>
      <c r="R270" s="3">
        <f t="shared" si="256"/>
        <v>3.8383242847894516E-2</v>
      </c>
      <c r="S270" s="3">
        <f t="shared" si="256"/>
        <v>3.8383239865437367E-2</v>
      </c>
      <c r="T270" s="3">
        <f t="shared" si="256"/>
        <v>3.8383210040878621E-2</v>
      </c>
      <c r="U270" s="3">
        <f t="shared" si="256"/>
        <v>3.8382911796565784E-2</v>
      </c>
      <c r="V270" s="3">
        <f t="shared" si="256"/>
        <v>3.8379929480891993E-2</v>
      </c>
      <c r="W270" s="3">
        <f t="shared" si="256"/>
        <v>3.8350119065953515E-2</v>
      </c>
      <c r="X270" s="3">
        <f t="shared" si="256"/>
        <v>3.8053285440876154E-2</v>
      </c>
      <c r="Y270" s="3">
        <f t="shared" si="256"/>
        <v>3.5208423573901415E-2</v>
      </c>
      <c r="Z270" s="3">
        <f t="shared" si="256"/>
        <v>1.6187910548144793E-2</v>
      </c>
      <c r="AA270" s="3">
        <f t="shared" si="256"/>
        <v>6.8333387592204089E-6</v>
      </c>
      <c r="AB270" s="3">
        <f t="shared" si="256"/>
        <v>1.2275932849872109E-39</v>
      </c>
      <c r="AC270" s="3">
        <f t="shared" si="256"/>
        <v>0</v>
      </c>
      <c r="AD270" s="3">
        <f t="shared" si="256"/>
        <v>0</v>
      </c>
      <c r="AE270" s="3">
        <f t="shared" si="256"/>
        <v>0</v>
      </c>
      <c r="AF270" s="3">
        <f t="shared" si="256"/>
        <v>0</v>
      </c>
      <c r="AG270" s="3"/>
      <c r="AH270" s="3"/>
    </row>
    <row r="271" spans="2:34" x14ac:dyDescent="0.25">
      <c r="B271" s="3">
        <f t="shared" ref="B271:AF271" si="257">$C40*EXP(-B$246/$A40/EXP(-$E$126))</f>
        <v>3.6705240109076338E-2</v>
      </c>
      <c r="C271" s="3">
        <f t="shared" si="257"/>
        <v>3.6705240109076338E-2</v>
      </c>
      <c r="D271" s="3">
        <f t="shared" si="257"/>
        <v>3.6705240109076338E-2</v>
      </c>
      <c r="E271" s="3">
        <f t="shared" si="257"/>
        <v>3.6705240109076338E-2</v>
      </c>
      <c r="F271" s="3">
        <f t="shared" si="257"/>
        <v>3.6705240109076338E-2</v>
      </c>
      <c r="G271" s="3">
        <f t="shared" si="257"/>
        <v>3.6705240109076338E-2</v>
      </c>
      <c r="H271" s="3">
        <f t="shared" si="257"/>
        <v>3.6705240109076338E-2</v>
      </c>
      <c r="I271" s="3">
        <f t="shared" si="257"/>
        <v>3.6705240109076338E-2</v>
      </c>
      <c r="J271" s="3">
        <f t="shared" si="257"/>
        <v>3.6705240109076338E-2</v>
      </c>
      <c r="K271" s="3">
        <f t="shared" si="257"/>
        <v>3.6705240109076331E-2</v>
      </c>
      <c r="L271" s="3">
        <f t="shared" si="257"/>
        <v>3.6705240109076304E-2</v>
      </c>
      <c r="M271" s="3">
        <f t="shared" si="257"/>
        <v>3.6705240109076019E-2</v>
      </c>
      <c r="N271" s="3">
        <f t="shared" si="257"/>
        <v>3.6705240109073167E-2</v>
      </c>
      <c r="O271" s="3">
        <f t="shared" si="257"/>
        <v>3.6705240109044648E-2</v>
      </c>
      <c r="P271" s="3">
        <f t="shared" si="257"/>
        <v>3.6705240108759439E-2</v>
      </c>
      <c r="Q271" s="3">
        <f t="shared" si="257"/>
        <v>3.6705240105907366E-2</v>
      </c>
      <c r="R271" s="3">
        <f t="shared" si="257"/>
        <v>3.6705240077386639E-2</v>
      </c>
      <c r="S271" s="3">
        <f t="shared" si="257"/>
        <v>3.6705239792179344E-2</v>
      </c>
      <c r="T271" s="3">
        <f t="shared" si="257"/>
        <v>3.6705236940106495E-2</v>
      </c>
      <c r="U271" s="3">
        <f t="shared" si="257"/>
        <v>3.6705208419390178E-2</v>
      </c>
      <c r="V271" s="3">
        <f t="shared" si="257"/>
        <v>3.6704923213445935E-2</v>
      </c>
      <c r="W271" s="3">
        <f t="shared" si="257"/>
        <v>3.6702071275886199E-2</v>
      </c>
      <c r="X271" s="3">
        <f t="shared" si="257"/>
        <v>3.667356408505406E-2</v>
      </c>
      <c r="Y271" s="3">
        <f t="shared" si="257"/>
        <v>3.638970715743535E-2</v>
      </c>
      <c r="Z271" s="3">
        <f t="shared" si="257"/>
        <v>3.3669214326312751E-2</v>
      </c>
      <c r="AA271" s="3">
        <f t="shared" si="257"/>
        <v>1.5480222469962494E-2</v>
      </c>
      <c r="AB271" s="3">
        <f t="shared" si="257"/>
        <v>6.5346051851931232E-6</v>
      </c>
      <c r="AC271" s="3">
        <f t="shared" si="257"/>
        <v>1.1739264988965468E-39</v>
      </c>
      <c r="AD271" s="3">
        <f t="shared" si="257"/>
        <v>0</v>
      </c>
      <c r="AE271" s="3">
        <f t="shared" si="257"/>
        <v>0</v>
      </c>
      <c r="AF271" s="3">
        <f t="shared" si="257"/>
        <v>0</v>
      </c>
      <c r="AG271" s="3"/>
      <c r="AH271" s="3"/>
    </row>
    <row r="272" spans="2:34" x14ac:dyDescent="0.25">
      <c r="B272" s="3">
        <f t="shared" ref="B272:AF272" si="258">$C41*EXP(-B$246/$A41/EXP(-$E$126))</f>
        <v>4.1231231380742084E-2</v>
      </c>
      <c r="C272" s="3">
        <f t="shared" si="258"/>
        <v>4.1231231380742084E-2</v>
      </c>
      <c r="D272" s="3">
        <f t="shared" si="258"/>
        <v>4.1231231380742084E-2</v>
      </c>
      <c r="E272" s="3">
        <f t="shared" si="258"/>
        <v>4.1231231380742084E-2</v>
      </c>
      <c r="F272" s="3">
        <f t="shared" si="258"/>
        <v>4.1231231380742084E-2</v>
      </c>
      <c r="G272" s="3">
        <f t="shared" si="258"/>
        <v>4.1231231380742084E-2</v>
      </c>
      <c r="H272" s="3">
        <f t="shared" si="258"/>
        <v>4.1231231380742084E-2</v>
      </c>
      <c r="I272" s="3">
        <f t="shared" si="258"/>
        <v>4.1231231380742084E-2</v>
      </c>
      <c r="J272" s="3">
        <f t="shared" si="258"/>
        <v>4.1231231380742084E-2</v>
      </c>
      <c r="K272" s="3">
        <f t="shared" si="258"/>
        <v>4.1231231380742084E-2</v>
      </c>
      <c r="L272" s="3">
        <f t="shared" si="258"/>
        <v>4.1231231380742077E-2</v>
      </c>
      <c r="M272" s="3">
        <f t="shared" si="258"/>
        <v>4.1231231380742049E-2</v>
      </c>
      <c r="N272" s="3">
        <f t="shared" si="258"/>
        <v>4.123123138074173E-2</v>
      </c>
      <c r="O272" s="3">
        <f t="shared" si="258"/>
        <v>4.1231231380738524E-2</v>
      </c>
      <c r="P272" s="3">
        <f t="shared" si="258"/>
        <v>4.1231231380706487E-2</v>
      </c>
      <c r="Q272" s="3">
        <f t="shared" si="258"/>
        <v>4.1231231380386112E-2</v>
      </c>
      <c r="R272" s="3">
        <f t="shared" si="258"/>
        <v>4.1231231377182362E-2</v>
      </c>
      <c r="S272" s="3">
        <f t="shared" si="258"/>
        <v>4.1231231345144843E-2</v>
      </c>
      <c r="T272" s="3">
        <f t="shared" si="258"/>
        <v>4.1231231024769659E-2</v>
      </c>
      <c r="U272" s="3">
        <f t="shared" si="258"/>
        <v>4.123122782101795E-2</v>
      </c>
      <c r="V272" s="3">
        <f t="shared" si="258"/>
        <v>4.1231195783514592E-2</v>
      </c>
      <c r="W272" s="3">
        <f t="shared" si="258"/>
        <v>4.123087540985014E-2</v>
      </c>
      <c r="X272" s="3">
        <f t="shared" si="258"/>
        <v>4.1227671810117252E-2</v>
      </c>
      <c r="Y272" s="3">
        <f t="shared" si="258"/>
        <v>4.1195649500013247E-2</v>
      </c>
      <c r="Z272" s="3">
        <f t="shared" si="258"/>
        <v>4.0876791194580736E-2</v>
      </c>
      <c r="AA272" s="3">
        <f t="shared" si="258"/>
        <v>3.7820844167498646E-2</v>
      </c>
      <c r="AB272" s="3">
        <f t="shared" si="258"/>
        <v>1.7389033080498977E-2</v>
      </c>
      <c r="AC272" s="3">
        <f t="shared" si="258"/>
        <v>7.3403638709850321E-6</v>
      </c>
      <c r="AD272" s="3">
        <f t="shared" si="258"/>
        <v>1.3186791574214279E-39</v>
      </c>
      <c r="AE272" s="3">
        <f t="shared" si="258"/>
        <v>0</v>
      </c>
      <c r="AF272" s="3">
        <f t="shared" si="258"/>
        <v>0</v>
      </c>
      <c r="AG272" s="3"/>
      <c r="AH272" s="3"/>
    </row>
    <row r="273" spans="1:34" x14ac:dyDescent="0.25">
      <c r="B273" s="3">
        <f t="shared" ref="B273:AF273" si="259">$C42*EXP(-B$246/$A42/EXP(-$E$126))</f>
        <v>3.343723543516635E-2</v>
      </c>
      <c r="C273" s="3">
        <f t="shared" si="259"/>
        <v>3.343723543516635E-2</v>
      </c>
      <c r="D273" s="3">
        <f t="shared" si="259"/>
        <v>3.343723543516635E-2</v>
      </c>
      <c r="E273" s="3">
        <f t="shared" si="259"/>
        <v>3.343723543516635E-2</v>
      </c>
      <c r="F273" s="3">
        <f t="shared" si="259"/>
        <v>3.343723543516635E-2</v>
      </c>
      <c r="G273" s="3">
        <f t="shared" si="259"/>
        <v>3.343723543516635E-2</v>
      </c>
      <c r="H273" s="3">
        <f t="shared" si="259"/>
        <v>3.343723543516635E-2</v>
      </c>
      <c r="I273" s="3">
        <f t="shared" si="259"/>
        <v>3.343723543516635E-2</v>
      </c>
      <c r="J273" s="3">
        <f t="shared" si="259"/>
        <v>3.343723543516635E-2</v>
      </c>
      <c r="K273" s="3">
        <f t="shared" si="259"/>
        <v>3.343723543516635E-2</v>
      </c>
      <c r="L273" s="3">
        <f t="shared" si="259"/>
        <v>3.343723543516635E-2</v>
      </c>
      <c r="M273" s="3">
        <f t="shared" si="259"/>
        <v>3.3437235435166343E-2</v>
      </c>
      <c r="N273" s="3">
        <f t="shared" si="259"/>
        <v>3.3437235435166322E-2</v>
      </c>
      <c r="O273" s="3">
        <f t="shared" si="259"/>
        <v>3.3437235435166059E-2</v>
      </c>
      <c r="P273" s="3">
        <f t="shared" si="259"/>
        <v>3.3437235435163463E-2</v>
      </c>
      <c r="Q273" s="3">
        <f t="shared" si="259"/>
        <v>3.3437235435137484E-2</v>
      </c>
      <c r="R273" s="3">
        <f t="shared" si="259"/>
        <v>3.3437235434877671E-2</v>
      </c>
      <c r="S273" s="3">
        <f t="shared" si="259"/>
        <v>3.3437235432279527E-2</v>
      </c>
      <c r="T273" s="3">
        <f t="shared" si="259"/>
        <v>3.3437235406298102E-2</v>
      </c>
      <c r="U273" s="3">
        <f t="shared" si="259"/>
        <v>3.3437235146483876E-2</v>
      </c>
      <c r="V273" s="3">
        <f t="shared" si="259"/>
        <v>3.343723254834173E-2</v>
      </c>
      <c r="W273" s="3">
        <f t="shared" si="259"/>
        <v>3.3437206566931353E-2</v>
      </c>
      <c r="X273" s="3">
        <f t="shared" si="259"/>
        <v>3.3436946753937984E-2</v>
      </c>
      <c r="Y273" s="3">
        <f t="shared" si="259"/>
        <v>3.3434348735035292E-2</v>
      </c>
      <c r="Z273" s="3">
        <f t="shared" si="259"/>
        <v>3.3408379645918404E-2</v>
      </c>
      <c r="AA273" s="3">
        <f t="shared" si="259"/>
        <v>3.3149795561180515E-2</v>
      </c>
      <c r="AB273" s="3">
        <f t="shared" si="259"/>
        <v>3.0671518371776299E-2</v>
      </c>
      <c r="AC273" s="3">
        <f t="shared" si="259"/>
        <v>1.4101960422509104E-2</v>
      </c>
      <c r="AD273" s="3">
        <f t="shared" si="259"/>
        <v>5.9528048693824402E-6</v>
      </c>
      <c r="AE273" s="3">
        <f t="shared" si="259"/>
        <v>1.0694074363915707E-39</v>
      </c>
      <c r="AF273" s="3">
        <f t="shared" si="259"/>
        <v>0</v>
      </c>
      <c r="AG273" s="3"/>
      <c r="AH273" s="3"/>
    </row>
    <row r="274" spans="1:34" x14ac:dyDescent="0.25">
      <c r="B274" s="3">
        <f t="shared" ref="B274:AF274" si="260">$C43*EXP(-B$246/$A43/EXP(-$E$126))</f>
        <v>2.4815378940943638E-2</v>
      </c>
      <c r="C274" s="3">
        <f t="shared" si="260"/>
        <v>2.4815378940943638E-2</v>
      </c>
      <c r="D274" s="3">
        <f t="shared" si="260"/>
        <v>2.4815378940943638E-2</v>
      </c>
      <c r="E274" s="3">
        <f t="shared" si="260"/>
        <v>2.4815378940943638E-2</v>
      </c>
      <c r="F274" s="3">
        <f t="shared" si="260"/>
        <v>2.4815378940943638E-2</v>
      </c>
      <c r="G274" s="3">
        <f t="shared" si="260"/>
        <v>2.4815378940943638E-2</v>
      </c>
      <c r="H274" s="3">
        <f t="shared" si="260"/>
        <v>2.4815378940943638E-2</v>
      </c>
      <c r="I274" s="3">
        <f t="shared" si="260"/>
        <v>2.4815378940943638E-2</v>
      </c>
      <c r="J274" s="3">
        <f t="shared" si="260"/>
        <v>2.4815378940943638E-2</v>
      </c>
      <c r="K274" s="3">
        <f t="shared" si="260"/>
        <v>2.4815378940943638E-2</v>
      </c>
      <c r="L274" s="3">
        <f t="shared" si="260"/>
        <v>2.4815378940943638E-2</v>
      </c>
      <c r="M274" s="3">
        <f t="shared" si="260"/>
        <v>2.4815378940943638E-2</v>
      </c>
      <c r="N274" s="3">
        <f t="shared" si="260"/>
        <v>2.4815378940943635E-2</v>
      </c>
      <c r="O274" s="3">
        <f t="shared" si="260"/>
        <v>2.4815378940943617E-2</v>
      </c>
      <c r="P274" s="3">
        <f t="shared" si="260"/>
        <v>2.4815378940943423E-2</v>
      </c>
      <c r="Q274" s="3">
        <f t="shared" si="260"/>
        <v>2.4815378940941494E-2</v>
      </c>
      <c r="R274" s="3">
        <f t="shared" si="260"/>
        <v>2.4815378940922214E-2</v>
      </c>
      <c r="S274" s="3">
        <f t="shared" si="260"/>
        <v>2.4815378940729393E-2</v>
      </c>
      <c r="T274" s="3">
        <f t="shared" si="260"/>
        <v>2.4815378938801189E-2</v>
      </c>
      <c r="U274" s="3">
        <f t="shared" si="260"/>
        <v>2.4815378919519127E-2</v>
      </c>
      <c r="V274" s="3">
        <f t="shared" si="260"/>
        <v>2.4815378726698503E-2</v>
      </c>
      <c r="W274" s="3">
        <f t="shared" si="260"/>
        <v>2.4815376798492387E-2</v>
      </c>
      <c r="X274" s="3">
        <f t="shared" si="260"/>
        <v>2.4815357516439446E-2</v>
      </c>
      <c r="Y274" s="3">
        <f t="shared" si="260"/>
        <v>2.4815164696734098E-2</v>
      </c>
      <c r="Z274" s="3">
        <f t="shared" si="260"/>
        <v>2.4813236582082062E-2</v>
      </c>
      <c r="AA274" s="3">
        <f t="shared" si="260"/>
        <v>2.4793963673338269E-2</v>
      </c>
      <c r="AB274" s="3">
        <f t="shared" si="260"/>
        <v>2.4602056000130362E-2</v>
      </c>
      <c r="AC274" s="3">
        <f t="shared" si="260"/>
        <v>2.2762807426634876E-2</v>
      </c>
      <c r="AD274" s="3">
        <f t="shared" si="260"/>
        <v>1.0465742371951933E-2</v>
      </c>
      <c r="AE274" s="3">
        <f t="shared" si="260"/>
        <v>4.4178625018699857E-6</v>
      </c>
      <c r="AF274" s="3">
        <f t="shared" si="260"/>
        <v>7.9365863926686441E-40</v>
      </c>
      <c r="AG274" s="3"/>
      <c r="AH274" s="3"/>
    </row>
    <row r="275" spans="1:34" x14ac:dyDescent="0.25">
      <c r="B275" s="3">
        <f t="shared" ref="B275:AF275" si="261">$C44*EXP(-B$246/$A44/EXP(-$E$126))</f>
        <v>1.3266747308349527E-2</v>
      </c>
      <c r="C275" s="3">
        <f t="shared" si="261"/>
        <v>1.3266747308349527E-2</v>
      </c>
      <c r="D275" s="3">
        <f t="shared" si="261"/>
        <v>1.3266747308349527E-2</v>
      </c>
      <c r="E275" s="3">
        <f t="shared" si="261"/>
        <v>1.3266747308349527E-2</v>
      </c>
      <c r="F275" s="3">
        <f t="shared" si="261"/>
        <v>1.3266747308349527E-2</v>
      </c>
      <c r="G275" s="3">
        <f t="shared" si="261"/>
        <v>1.3266747308349527E-2</v>
      </c>
      <c r="H275" s="3">
        <f t="shared" si="261"/>
        <v>1.3266747308349527E-2</v>
      </c>
      <c r="I275" s="3">
        <f t="shared" si="261"/>
        <v>1.3266747308349527E-2</v>
      </c>
      <c r="J275" s="3">
        <f t="shared" si="261"/>
        <v>1.3266747308349527E-2</v>
      </c>
      <c r="K275" s="3">
        <f t="shared" si="261"/>
        <v>1.3266747308349527E-2</v>
      </c>
      <c r="L275" s="3">
        <f t="shared" si="261"/>
        <v>1.3266747308349527E-2</v>
      </c>
      <c r="M275" s="3">
        <f t="shared" si="261"/>
        <v>1.3266747308349527E-2</v>
      </c>
      <c r="N275" s="3">
        <f t="shared" si="261"/>
        <v>1.3266747308349527E-2</v>
      </c>
      <c r="O275" s="3">
        <f t="shared" si="261"/>
        <v>1.3266747308349525E-2</v>
      </c>
      <c r="P275" s="3">
        <f t="shared" si="261"/>
        <v>1.3266747308349515E-2</v>
      </c>
      <c r="Q275" s="3">
        <f t="shared" si="261"/>
        <v>1.3266747308349413E-2</v>
      </c>
      <c r="R275" s="3">
        <f t="shared" si="261"/>
        <v>1.326674730834838E-2</v>
      </c>
      <c r="S275" s="3">
        <f t="shared" si="261"/>
        <v>1.3266747308338074E-2</v>
      </c>
      <c r="T275" s="3">
        <f t="shared" si="261"/>
        <v>1.3266747308234988E-2</v>
      </c>
      <c r="U275" s="3">
        <f t="shared" si="261"/>
        <v>1.3266747307204134E-2</v>
      </c>
      <c r="V275" s="3">
        <f t="shared" si="261"/>
        <v>1.3266747296895597E-2</v>
      </c>
      <c r="W275" s="3">
        <f t="shared" si="261"/>
        <v>1.3266747193810231E-2</v>
      </c>
      <c r="X275" s="3">
        <f t="shared" si="261"/>
        <v>1.3266746162956606E-2</v>
      </c>
      <c r="Y275" s="3">
        <f t="shared" si="261"/>
        <v>1.3266735854424765E-2</v>
      </c>
      <c r="Z275" s="3">
        <f t="shared" si="261"/>
        <v>1.3266632769546916E-2</v>
      </c>
      <c r="AA275" s="3">
        <f t="shared" si="261"/>
        <v>1.3265601964821711E-2</v>
      </c>
      <c r="AB275" s="3">
        <f t="shared" si="261"/>
        <v>1.3255298321632972E-2</v>
      </c>
      <c r="AC275" s="3">
        <f t="shared" si="261"/>
        <v>1.3152701032546973E-2</v>
      </c>
      <c r="AD275" s="3">
        <f t="shared" si="261"/>
        <v>1.2169405709115615E-2</v>
      </c>
      <c r="AE275" s="3">
        <f t="shared" si="261"/>
        <v>5.5951738546247271E-3</v>
      </c>
      <c r="AF275" s="3">
        <f t="shared" si="261"/>
        <v>2.3618686458435837E-6</v>
      </c>
      <c r="AG275" s="3"/>
      <c r="AH275" s="3"/>
    </row>
    <row r="276" spans="1:34" x14ac:dyDescent="0.25">
      <c r="B276" s="3">
        <f t="shared" ref="B276:AF276" si="262">$C45*EXP(-B$246/$A45/EXP(-$E$126))</f>
        <v>6.4459854313467695E-3</v>
      </c>
      <c r="C276" s="3">
        <f t="shared" si="262"/>
        <v>6.4459854313467695E-3</v>
      </c>
      <c r="D276" s="3">
        <f t="shared" si="262"/>
        <v>6.4459854313467695E-3</v>
      </c>
      <c r="E276" s="3">
        <f t="shared" si="262"/>
        <v>6.4459854313467695E-3</v>
      </c>
      <c r="F276" s="3">
        <f t="shared" si="262"/>
        <v>6.4459854313467695E-3</v>
      </c>
      <c r="G276" s="3">
        <f t="shared" si="262"/>
        <v>6.4459854313467695E-3</v>
      </c>
      <c r="H276" s="3">
        <f t="shared" si="262"/>
        <v>6.4459854313467695E-3</v>
      </c>
      <c r="I276" s="3">
        <f t="shared" si="262"/>
        <v>6.4459854313467695E-3</v>
      </c>
      <c r="J276" s="3">
        <f t="shared" si="262"/>
        <v>6.4459854313467695E-3</v>
      </c>
      <c r="K276" s="3">
        <f t="shared" si="262"/>
        <v>6.4459854313467695E-3</v>
      </c>
      <c r="L276" s="3">
        <f t="shared" si="262"/>
        <v>6.4459854313467695E-3</v>
      </c>
      <c r="M276" s="3">
        <f t="shared" si="262"/>
        <v>6.4459854313467695E-3</v>
      </c>
      <c r="N276" s="3">
        <f t="shared" si="262"/>
        <v>6.4459854313467695E-3</v>
      </c>
      <c r="O276" s="3">
        <f t="shared" si="262"/>
        <v>6.4459854313467695E-3</v>
      </c>
      <c r="P276" s="3">
        <f t="shared" si="262"/>
        <v>6.4459854313467686E-3</v>
      </c>
      <c r="Q276" s="3">
        <f t="shared" si="262"/>
        <v>6.4459854313467634E-3</v>
      </c>
      <c r="R276" s="3">
        <f t="shared" si="262"/>
        <v>6.445985431346714E-3</v>
      </c>
      <c r="S276" s="3">
        <f t="shared" si="262"/>
        <v>6.4459854313462127E-3</v>
      </c>
      <c r="T276" s="3">
        <f t="shared" si="262"/>
        <v>6.4459854313412045E-3</v>
      </c>
      <c r="U276" s="3">
        <f t="shared" si="262"/>
        <v>6.4459854312911178E-3</v>
      </c>
      <c r="V276" s="3">
        <f t="shared" si="262"/>
        <v>6.4459854307902511E-3</v>
      </c>
      <c r="W276" s="3">
        <f t="shared" si="262"/>
        <v>6.4459854257815875E-3</v>
      </c>
      <c r="X276" s="3">
        <f t="shared" si="262"/>
        <v>6.4459853756949487E-3</v>
      </c>
      <c r="Y276" s="3">
        <f t="shared" si="262"/>
        <v>6.445984874828589E-3</v>
      </c>
      <c r="Z276" s="3">
        <f t="shared" si="262"/>
        <v>6.4459798661671191E-3</v>
      </c>
      <c r="AA276" s="3">
        <f t="shared" si="262"/>
        <v>6.4459297797664844E-3</v>
      </c>
      <c r="AB276" s="3">
        <f t="shared" si="262"/>
        <v>6.4454289371645409E-3</v>
      </c>
      <c r="AC276" s="3">
        <f t="shared" si="262"/>
        <v>6.4404226509708938E-3</v>
      </c>
      <c r="AD276" s="3">
        <f t="shared" si="262"/>
        <v>6.3905731576947384E-3</v>
      </c>
      <c r="AE276" s="3">
        <f t="shared" si="262"/>
        <v>5.9128142027502287E-3</v>
      </c>
      <c r="AF276" s="3">
        <f t="shared" si="262"/>
        <v>2.7185570294283568E-3</v>
      </c>
      <c r="AG276" s="3"/>
      <c r="AH276" s="3"/>
    </row>
    <row r="277" spans="1:34" x14ac:dyDescent="0.25">
      <c r="B277" s="3">
        <f t="shared" ref="B277:AF277" si="263">$C46*EXP(-B$246/$A46/EXP(-$E$126))</f>
        <v>3.3152683029349498E-3</v>
      </c>
      <c r="C277" s="3">
        <f t="shared" si="263"/>
        <v>3.3152683029349498E-3</v>
      </c>
      <c r="D277" s="3">
        <f t="shared" si="263"/>
        <v>3.3152683029349498E-3</v>
      </c>
      <c r="E277" s="3">
        <f t="shared" si="263"/>
        <v>3.3152683029349498E-3</v>
      </c>
      <c r="F277" s="3">
        <f t="shared" si="263"/>
        <v>3.3152683029349498E-3</v>
      </c>
      <c r="G277" s="3">
        <f t="shared" si="263"/>
        <v>3.3152683029349498E-3</v>
      </c>
      <c r="H277" s="3">
        <f t="shared" si="263"/>
        <v>3.3152683029349498E-3</v>
      </c>
      <c r="I277" s="3">
        <f t="shared" si="263"/>
        <v>3.3152683029349498E-3</v>
      </c>
      <c r="J277" s="3">
        <f t="shared" si="263"/>
        <v>3.3152683029349498E-3</v>
      </c>
      <c r="K277" s="3">
        <f t="shared" si="263"/>
        <v>3.3152683029349498E-3</v>
      </c>
      <c r="L277" s="3">
        <f t="shared" si="263"/>
        <v>3.3152683029349498E-3</v>
      </c>
      <c r="M277" s="3">
        <f t="shared" si="263"/>
        <v>3.3152683029349498E-3</v>
      </c>
      <c r="N277" s="3">
        <f t="shared" si="263"/>
        <v>3.3152683029349498E-3</v>
      </c>
      <c r="O277" s="3">
        <f t="shared" si="263"/>
        <v>3.3152683029349498E-3</v>
      </c>
      <c r="P277" s="3">
        <f t="shared" si="263"/>
        <v>3.3152683029349498E-3</v>
      </c>
      <c r="Q277" s="3">
        <f t="shared" si="263"/>
        <v>3.3152683029349494E-3</v>
      </c>
      <c r="R277" s="3">
        <f t="shared" si="263"/>
        <v>3.3152683029349468E-3</v>
      </c>
      <c r="S277" s="3">
        <f t="shared" si="263"/>
        <v>3.3152683029349212E-3</v>
      </c>
      <c r="T277" s="3">
        <f t="shared" si="263"/>
        <v>3.3152683029346636E-3</v>
      </c>
      <c r="U277" s="3">
        <f t="shared" si="263"/>
        <v>3.3152683029320875E-3</v>
      </c>
      <c r="V277" s="3">
        <f t="shared" si="263"/>
        <v>3.3152683029063273E-3</v>
      </c>
      <c r="W277" s="3">
        <f t="shared" si="263"/>
        <v>3.3152683026487239E-3</v>
      </c>
      <c r="X277" s="3">
        <f t="shared" si="263"/>
        <v>3.3152683000726921E-3</v>
      </c>
      <c r="Y277" s="3">
        <f t="shared" si="263"/>
        <v>3.3152682743123724E-3</v>
      </c>
      <c r="Z277" s="3">
        <f t="shared" si="263"/>
        <v>3.3152680167091888E-3</v>
      </c>
      <c r="AA277" s="3">
        <f t="shared" si="263"/>
        <v>3.3152654406784507E-3</v>
      </c>
      <c r="AB277" s="3">
        <f t="shared" si="263"/>
        <v>3.3152396804811616E-3</v>
      </c>
      <c r="AC277" s="3">
        <f t="shared" si="263"/>
        <v>3.3149820895168837E-3</v>
      </c>
      <c r="AD277" s="3">
        <f t="shared" si="263"/>
        <v>3.3124072804190368E-3</v>
      </c>
      <c r="AE277" s="3">
        <f t="shared" si="263"/>
        <v>3.2867689281863236E-3</v>
      </c>
      <c r="AF277" s="3">
        <f t="shared" si="263"/>
        <v>3.041050234490807E-3</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1.0813254106264341E-2</v>
      </c>
      <c r="C279" s="3">
        <f t="shared" si="265"/>
        <v>1.0813254106264341E-2</v>
      </c>
      <c r="D279" s="3">
        <f t="shared" si="265"/>
        <v>1.0813254106264341E-2</v>
      </c>
      <c r="E279" s="3">
        <f t="shared" si="265"/>
        <v>1.0813254106264341E-2</v>
      </c>
      <c r="F279" s="3">
        <f t="shared" si="265"/>
        <v>1.0813254106264341E-2</v>
      </c>
      <c r="G279" s="3">
        <f t="shared" si="265"/>
        <v>1.0813254106264341E-2</v>
      </c>
      <c r="H279" s="3">
        <f t="shared" si="265"/>
        <v>1.0813254106264341E-2</v>
      </c>
      <c r="I279" s="3">
        <f t="shared" si="265"/>
        <v>1.0813254106264341E-2</v>
      </c>
      <c r="J279" s="3">
        <f t="shared" si="265"/>
        <v>1.0813254106264341E-2</v>
      </c>
      <c r="K279" s="3">
        <f t="shared" si="265"/>
        <v>1.0813254106264341E-2</v>
      </c>
      <c r="L279" s="3">
        <f t="shared" si="265"/>
        <v>1.0813254106264341E-2</v>
      </c>
      <c r="M279" s="3">
        <f t="shared" si="265"/>
        <v>1.0813254106264341E-2</v>
      </c>
      <c r="N279" s="3">
        <f t="shared" si="265"/>
        <v>1.0813254106264341E-2</v>
      </c>
      <c r="O279" s="3">
        <f t="shared" si="265"/>
        <v>1.0813254106264341E-2</v>
      </c>
      <c r="P279" s="3">
        <f t="shared" si="265"/>
        <v>1.0813254106264341E-2</v>
      </c>
      <c r="Q279" s="3">
        <f t="shared" si="265"/>
        <v>1.0813254106264341E-2</v>
      </c>
      <c r="R279" s="3">
        <f t="shared" si="265"/>
        <v>1.0813254106264341E-2</v>
      </c>
      <c r="S279" s="3">
        <f t="shared" si="265"/>
        <v>1.0813254106264339E-2</v>
      </c>
      <c r="T279" s="3">
        <f t="shared" si="265"/>
        <v>1.081325410626433E-2</v>
      </c>
      <c r="U279" s="3">
        <f t="shared" si="265"/>
        <v>1.0813254106264247E-2</v>
      </c>
      <c r="V279" s="3">
        <f t="shared" si="265"/>
        <v>1.0813254106263407E-2</v>
      </c>
      <c r="W279" s="3">
        <f t="shared" si="265"/>
        <v>1.0813254106255006E-2</v>
      </c>
      <c r="X279" s="3">
        <f t="shared" si="265"/>
        <v>1.0813254106170985E-2</v>
      </c>
      <c r="Y279" s="3">
        <f t="shared" si="265"/>
        <v>1.0813254105330771E-2</v>
      </c>
      <c r="Z279" s="3">
        <f t="shared" si="265"/>
        <v>1.081325409692865E-2</v>
      </c>
      <c r="AA279" s="3">
        <f t="shared" si="265"/>
        <v>1.0813254012907432E-2</v>
      </c>
      <c r="AB279" s="3">
        <f t="shared" si="265"/>
        <v>1.0813253172695289E-2</v>
      </c>
      <c r="AC279" s="3">
        <f t="shared" si="265"/>
        <v>1.0813244770577447E-2</v>
      </c>
      <c r="AD279" s="3">
        <f t="shared" si="265"/>
        <v>1.0813160749758117E-2</v>
      </c>
      <c r="AE279" s="3">
        <f t="shared" si="265"/>
        <v>1.0812320577471082E-2</v>
      </c>
      <c r="AF279" s="3">
        <f t="shared" si="265"/>
        <v>1.0803922444196168E-2</v>
      </c>
      <c r="AG279" s="3"/>
      <c r="AH279" s="3"/>
    </row>
    <row r="280" spans="1:34" x14ac:dyDescent="0.25">
      <c r="A280" s="79">
        <f>AVERAGE(B280:AF280)</f>
        <v>3.2127903253818826E-2</v>
      </c>
      <c r="B280" s="80">
        <f>IF($D$61&lt;=B246,IF($E$61&gt;=B246,ABS((B248-B247)/B247),0),0)</f>
        <v>2.3564236363674548E-2</v>
      </c>
      <c r="C280" s="80">
        <f t="shared" ref="C280:AF280" si="266">IF($D$61&lt;=C246,IF($E$61&gt;=C246,ABS((C248-C247)/C247),0),0)</f>
        <v>2.3504531155586393E-2</v>
      </c>
      <c r="D280" s="80">
        <f t="shared" si="266"/>
        <v>2.2855223059671168E-2</v>
      </c>
      <c r="E280" s="80">
        <f t="shared" si="266"/>
        <v>1.8914025336953105E-2</v>
      </c>
      <c r="F280" s="80">
        <f t="shared" si="266"/>
        <v>2.6552107060468601E-2</v>
      </c>
      <c r="G280" s="80">
        <f t="shared" si="266"/>
        <v>2.3942579406449879E-2</v>
      </c>
      <c r="H280" s="80">
        <f t="shared" si="266"/>
        <v>2.6352578960120079E-2</v>
      </c>
      <c r="I280" s="80">
        <f t="shared" si="266"/>
        <v>2.8057592297257884E-2</v>
      </c>
      <c r="J280" s="80">
        <f t="shared" si="266"/>
        <v>3.1145082326848095E-2</v>
      </c>
      <c r="K280" s="80">
        <f t="shared" si="266"/>
        <v>3.3743017627168567E-2</v>
      </c>
      <c r="L280" s="80">
        <f t="shared" si="266"/>
        <v>3.6000587801870175E-2</v>
      </c>
      <c r="M280" s="80">
        <f t="shared" si="266"/>
        <v>3.4504991064915835E-2</v>
      </c>
      <c r="N280" s="80">
        <f t="shared" si="266"/>
        <v>3.9278489145671287E-2</v>
      </c>
      <c r="O280" s="80">
        <f t="shared" si="266"/>
        <v>4.6988174195202605E-2</v>
      </c>
      <c r="P280" s="80">
        <f t="shared" si="266"/>
        <v>5.2153792500332107E-2</v>
      </c>
      <c r="Q280" s="80">
        <f t="shared" si="266"/>
        <v>4.7957204721406722E-2</v>
      </c>
      <c r="R280" s="80">
        <f t="shared" si="266"/>
        <v>3.8600319392810924E-2</v>
      </c>
      <c r="S280" s="80">
        <f t="shared" si="266"/>
        <v>4.2488760432575958E-3</v>
      </c>
      <c r="T280" s="80">
        <f t="shared" si="266"/>
        <v>8.9795478293011169E-2</v>
      </c>
      <c r="U280" s="80">
        <f t="shared" si="266"/>
        <v>0.13935726105613619</v>
      </c>
      <c r="V280" s="80">
        <f t="shared" si="266"/>
        <v>0.10960294635929661</v>
      </c>
      <c r="W280" s="80">
        <f t="shared" si="266"/>
        <v>5.0769297373086067E-2</v>
      </c>
      <c r="X280" s="80">
        <f t="shared" si="266"/>
        <v>1.0094673720053284E-4</v>
      </c>
      <c r="Y280" s="80">
        <f t="shared" si="266"/>
        <v>4.7975662589987367E-2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26834.801957270804</v>
      </c>
      <c r="C281" s="21">
        <f t="shared" ref="C281:AF281" si="267">(C248-C247)^2</f>
        <v>26691.115694591579</v>
      </c>
      <c r="D281" s="21">
        <f t="shared" si="267"/>
        <v>25160.236347151818</v>
      </c>
      <c r="E281" s="21">
        <f t="shared" si="267"/>
        <v>16830.843044817128</v>
      </c>
      <c r="F281" s="21">
        <f t="shared" si="267"/>
        <v>31607.123607419981</v>
      </c>
      <c r="G281" s="21">
        <f t="shared" si="267"/>
        <v>24818.715803266066</v>
      </c>
      <c r="H281" s="21">
        <f t="shared" si="267"/>
        <v>29035.288142279842</v>
      </c>
      <c r="I281" s="21">
        <f t="shared" si="267"/>
        <v>31633.024671360319</v>
      </c>
      <c r="J281" s="21">
        <f t="shared" si="267"/>
        <v>37329.894934584554</v>
      </c>
      <c r="K281" s="21">
        <f t="shared" si="267"/>
        <v>41683.779131322219</v>
      </c>
      <c r="L281" s="21">
        <f t="shared" si="267"/>
        <v>44884.523925277557</v>
      </c>
      <c r="M281" s="21">
        <f t="shared" si="267"/>
        <v>38809.448236953991</v>
      </c>
      <c r="N281" s="21">
        <f t="shared" si="267"/>
        <v>47486.358905470559</v>
      </c>
      <c r="O281" s="21">
        <f t="shared" si="267"/>
        <v>63532.04592314372</v>
      </c>
      <c r="P281" s="21">
        <f t="shared" si="267"/>
        <v>71943.967176232909</v>
      </c>
      <c r="Q281" s="21">
        <f t="shared" si="267"/>
        <v>55248.702951480729</v>
      </c>
      <c r="R281" s="21">
        <f t="shared" si="267"/>
        <v>32374.755285606123</v>
      </c>
      <c r="S281" s="21">
        <f t="shared" si="267"/>
        <v>333.59370103235148</v>
      </c>
      <c r="T281" s="21">
        <f t="shared" si="267"/>
        <v>108823.30481278704</v>
      </c>
      <c r="U281" s="21">
        <f t="shared" si="267"/>
        <v>181365.21779671338</v>
      </c>
      <c r="V281" s="21">
        <f t="shared" si="267"/>
        <v>80359.292739576034</v>
      </c>
      <c r="W281" s="21">
        <f t="shared" si="267"/>
        <v>13017.802390748811</v>
      </c>
      <c r="X281" s="21">
        <f t="shared" si="267"/>
        <v>3.9921878440246285E-2</v>
      </c>
      <c r="Y281" s="21">
        <f t="shared" si="267"/>
        <v>7080.6675565601254</v>
      </c>
      <c r="Z281" s="21">
        <f t="shared" si="267"/>
        <v>17844.08682661569</v>
      </c>
      <c r="AA281" s="21">
        <f t="shared" si="267"/>
        <v>35287.470274890875</v>
      </c>
      <c r="AB281" s="21">
        <f t="shared" si="267"/>
        <v>49428.915823101255</v>
      </c>
      <c r="AC281" s="21">
        <f t="shared" si="267"/>
        <v>49143.134796286475</v>
      </c>
      <c r="AD281" s="21">
        <f t="shared" si="267"/>
        <v>30776.281034538144</v>
      </c>
      <c r="AE281" s="21">
        <f t="shared" si="267"/>
        <v>12893.288179019371</v>
      </c>
      <c r="AF281" s="21">
        <f t="shared" si="267"/>
        <v>3424.0085979418141</v>
      </c>
      <c r="AG281" s="3"/>
      <c r="AH281" s="3"/>
    </row>
    <row r="282" spans="1:34" s="3" customFormat="1" x14ac:dyDescent="0.25">
      <c r="A282" s="71">
        <f>SUM(B282:AF282)</f>
        <v>1036884.5446575263</v>
      </c>
      <c r="B282" s="21">
        <f>IF($D$61&lt;=B246,IF($E$61&gt;=B246,ABS(B281),0),0)</f>
        <v>26834.801957270804</v>
      </c>
      <c r="C282" s="21">
        <f t="shared" ref="C282:AF282" si="268">IF($D$61&lt;=C246,IF($E$61&gt;=C246,ABS(C281),0),0)</f>
        <v>26691.115694591579</v>
      </c>
      <c r="D282" s="21">
        <f t="shared" si="268"/>
        <v>25160.236347151818</v>
      </c>
      <c r="E282" s="21">
        <f t="shared" si="268"/>
        <v>16830.843044817128</v>
      </c>
      <c r="F282" s="21">
        <f t="shared" si="268"/>
        <v>31607.123607419981</v>
      </c>
      <c r="G282" s="21">
        <f t="shared" si="268"/>
        <v>24818.715803266066</v>
      </c>
      <c r="H282" s="21">
        <f t="shared" si="268"/>
        <v>29035.288142279842</v>
      </c>
      <c r="I282" s="21">
        <f t="shared" si="268"/>
        <v>31633.024671360319</v>
      </c>
      <c r="J282" s="21">
        <f t="shared" si="268"/>
        <v>37329.894934584554</v>
      </c>
      <c r="K282" s="21">
        <f t="shared" si="268"/>
        <v>41683.779131322219</v>
      </c>
      <c r="L282" s="21">
        <f t="shared" si="268"/>
        <v>44884.523925277557</v>
      </c>
      <c r="M282" s="21">
        <f t="shared" si="268"/>
        <v>38809.448236953991</v>
      </c>
      <c r="N282" s="21">
        <f t="shared" si="268"/>
        <v>47486.358905470559</v>
      </c>
      <c r="O282" s="21">
        <f t="shared" si="268"/>
        <v>63532.04592314372</v>
      </c>
      <c r="P282" s="21">
        <f t="shared" si="268"/>
        <v>71943.967176232909</v>
      </c>
      <c r="Q282" s="21">
        <f t="shared" si="268"/>
        <v>55248.702951480729</v>
      </c>
      <c r="R282" s="21">
        <f t="shared" si="268"/>
        <v>32374.755285606123</v>
      </c>
      <c r="S282" s="21">
        <f t="shared" si="268"/>
        <v>333.59370103235148</v>
      </c>
      <c r="T282" s="21">
        <f t="shared" si="268"/>
        <v>108823.30481278704</v>
      </c>
      <c r="U282" s="21">
        <f t="shared" si="268"/>
        <v>181365.21779671338</v>
      </c>
      <c r="V282" s="21">
        <f t="shared" si="268"/>
        <v>80359.292739576034</v>
      </c>
      <c r="W282" s="21">
        <f t="shared" si="268"/>
        <v>13017.802390748811</v>
      </c>
      <c r="X282" s="21">
        <f t="shared" si="268"/>
        <v>3.9921878440246285E-2</v>
      </c>
      <c r="Y282" s="21">
        <f t="shared" si="268"/>
        <v>7080.6675565601254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6840.5863197092085</v>
      </c>
      <c r="C286" s="26">
        <f>INDEX(Comparison!$AM$3:$AS$33,G$14,$F$122)</f>
        <v>6643.5965561721414</v>
      </c>
      <c r="D286" s="26">
        <f>INDEX(Comparison!$AM$3:$AS$33,H$14,$F$122)</f>
        <v>6527.1577578820725</v>
      </c>
      <c r="E286" s="26">
        <f>INDEX(Comparison!$AM$3:$AS$33,I$14,$F$122)</f>
        <v>6412.9995296962652</v>
      </c>
      <c r="F286" s="26">
        <f>INDEX(Comparison!$AM$3:$AS$33,J$14,$F$122)</f>
        <v>6286.8028992665704</v>
      </c>
      <c r="G286" s="26">
        <f>INDEX(Comparison!$AM$3:$AS$33,K$14,$F$122)</f>
        <v>6151.4165633211096</v>
      </c>
      <c r="H286" s="26">
        <f>INDEX(Comparison!$AM$3:$AS$33,L$14,$F$122)</f>
        <v>5999.0572498672</v>
      </c>
      <c r="I286" s="26">
        <f>INDEX(Comparison!$AM$3:$AS$33,M$14,$F$122)</f>
        <v>5834.1918541119712</v>
      </c>
      <c r="J286" s="26">
        <f>INDEX(Comparison!$AM$3:$AS$33,N$14,$F$122)</f>
        <v>5660.667941479277</v>
      </c>
      <c r="K286" s="26">
        <f>INDEX(Comparison!$AM$3:$AS$33,O$14,$F$122)</f>
        <v>5500.6338050295499</v>
      </c>
      <c r="L286" s="26">
        <f>INDEX(Comparison!$AM$3:$AS$33,P$14,$F$122)</f>
        <v>5316.0543139142828</v>
      </c>
      <c r="M286" s="26">
        <f>INDEX(Comparison!$AM$3:$AS$33,Q$14,$F$122)</f>
        <v>5094.9618199282804</v>
      </c>
      <c r="N286" s="26">
        <f>INDEX(Comparison!$AM$3:$AS$33,R$14,$F$122)</f>
        <v>4859.6753740182503</v>
      </c>
      <c r="O286" s="26">
        <f>INDEX(Comparison!$AM$3:$AS$33,S$14,$F$122)</f>
        <v>4653.8175879978271</v>
      </c>
      <c r="P286" s="26">
        <f>INDEX(Comparison!$AM$3:$AS$33,T$14,$F$122)</f>
        <v>4469.1753341299773</v>
      </c>
      <c r="Q286" s="26">
        <f>INDEX(Comparison!$AM$3:$AS$33,U$14,$F$122)</f>
        <v>4267.9652571239076</v>
      </c>
      <c r="R286" s="26">
        <f>INDEX(Comparison!$AM$3:$AS$33,V$14,$F$122)</f>
        <v>3976.7785402340392</v>
      </c>
      <c r="S286" s="26">
        <f>INDEX(Comparison!$AM$3:$AS$33,W$14,$F$122)</f>
        <v>3445.6591436468279</v>
      </c>
      <c r="T286" s="26">
        <f>INDEX(Comparison!$AM$3:$AS$33,X$14,$F$122)</f>
        <v>2839.3657389117534</v>
      </c>
      <c r="U286" s="26">
        <f>INDEX(Comparison!$AM$3:$AS$33,Y$14,$F$122)</f>
        <v>2338.5721090290958</v>
      </c>
      <c r="V286" s="26">
        <f>INDEX(Comparison!$AM$3:$AS$33,Z$14,$F$122)</f>
        <v>1960.3272335044344</v>
      </c>
      <c r="W286" s="26">
        <f>INDEX(Comparison!$AM$3:$AS$33,AA$14,$F$122)</f>
        <v>1656.3185875611684</v>
      </c>
      <c r="X286" s="26">
        <f>INDEX(Comparison!$AM$3:$AS$33,AB$14,$F$122)</f>
        <v>1387.2108481854204</v>
      </c>
      <c r="Y286" s="26">
        <f>INDEX(Comparison!$AM$3:$AS$33,AC$14,$F$122)</f>
        <v>1120.1049206759617</v>
      </c>
      <c r="Z286" s="26">
        <f>INDEX(Comparison!$AM$3:$AS$33,AD$14,$F$122)</f>
        <v>849.29779427462438</v>
      </c>
      <c r="AA286" s="26">
        <f>INDEX(Comparison!$AM$3:$AS$33,AE$14,$F$122)</f>
        <v>602.02056954985051</v>
      </c>
      <c r="AB286" s="26">
        <f>INDEX(Comparison!$AM$3:$AS$33,AF$14,$F$122)</f>
        <v>414.55153000594095</v>
      </c>
      <c r="AC286" s="26">
        <f>INDEX(Comparison!$AM$3:$AS$33,AG$14,$F$122)</f>
        <v>296.76424848335745</v>
      </c>
      <c r="AD286" s="26">
        <f>INDEX(Comparison!$AM$3:$AS$33,AH$14,$F$122)</f>
        <v>236.5039430342818</v>
      </c>
      <c r="AE286" s="26">
        <f>INDEX(Comparison!$AM$3:$AS$33,AI$14,$F$122)</f>
        <v>206.64782998877558</v>
      </c>
      <c r="AF286" s="26">
        <f>INDEX(Comparison!$AM$3:$AS$33,AJ$14,$F$122)</f>
        <v>191.80670583863778</v>
      </c>
      <c r="AG286" s="26"/>
      <c r="AH286" s="26"/>
    </row>
    <row r="287" spans="1:34" x14ac:dyDescent="0.25">
      <c r="A287" s="70" t="s">
        <v>22</v>
      </c>
      <c r="B287" s="27">
        <f>($C$17+SUM(B288:B318))*$B$51</f>
        <v>6780.5151247187978</v>
      </c>
      <c r="C287" s="27">
        <f t="shared" ref="C287:AF287" si="269">($C$17+SUM(C288:C318))*$B$51</f>
        <v>6720.7783833936328</v>
      </c>
      <c r="D287" s="27">
        <f t="shared" si="269"/>
        <v>6506.0756001071431</v>
      </c>
      <c r="E287" s="27">
        <f t="shared" si="269"/>
        <v>6416.0515579050407</v>
      </c>
      <c r="F287" s="27">
        <f t="shared" si="269"/>
        <v>6285.8642779175916</v>
      </c>
      <c r="G287" s="27">
        <f t="shared" si="269"/>
        <v>6150.9929438847785</v>
      </c>
      <c r="H287" s="27">
        <f t="shared" si="269"/>
        <v>5998.4535521105008</v>
      </c>
      <c r="I287" s="27">
        <f t="shared" si="269"/>
        <v>5833.663573240081</v>
      </c>
      <c r="J287" s="27">
        <f t="shared" si="269"/>
        <v>5659.8005501638663</v>
      </c>
      <c r="K287" s="27">
        <f t="shared" si="269"/>
        <v>5500.517501289376</v>
      </c>
      <c r="L287" s="27">
        <f t="shared" si="269"/>
        <v>5314.5017191184779</v>
      </c>
      <c r="M287" s="27">
        <f t="shared" si="269"/>
        <v>5095.2646109264815</v>
      </c>
      <c r="N287" s="27">
        <f t="shared" si="269"/>
        <v>4857.4246883305359</v>
      </c>
      <c r="O287" s="27">
        <f t="shared" si="269"/>
        <v>4654.7038929705977</v>
      </c>
      <c r="P287" s="27">
        <f t="shared" si="269"/>
        <v>4467.1612704644449</v>
      </c>
      <c r="Q287" s="27">
        <f t="shared" si="269"/>
        <v>4268.3623434742967</v>
      </c>
      <c r="R287" s="27">
        <f t="shared" si="269"/>
        <v>3974.653644289458</v>
      </c>
      <c r="S287" s="27">
        <f t="shared" si="269"/>
        <v>3444.1605804525188</v>
      </c>
      <c r="T287" s="27">
        <f t="shared" si="269"/>
        <v>2837.5942296862077</v>
      </c>
      <c r="U287" s="27">
        <f t="shared" si="269"/>
        <v>2337.4971713807113</v>
      </c>
      <c r="V287" s="27">
        <f t="shared" si="269"/>
        <v>1959.3399032384884</v>
      </c>
      <c r="W287" s="27">
        <f t="shared" si="269"/>
        <v>1655.6627622534079</v>
      </c>
      <c r="X287" s="27">
        <f t="shared" si="269"/>
        <v>1386.178210847718</v>
      </c>
      <c r="Y287" s="27">
        <f t="shared" si="269"/>
        <v>1119.1661388574887</v>
      </c>
      <c r="Z287" s="27">
        <f t="shared" si="269"/>
        <v>848.32922922640353</v>
      </c>
      <c r="AA287" s="27">
        <f t="shared" si="269"/>
        <v>601.26344838929174</v>
      </c>
      <c r="AB287" s="27">
        <f t="shared" si="269"/>
        <v>413.97137552315684</v>
      </c>
      <c r="AC287" s="27">
        <f t="shared" si="269"/>
        <v>296.52520919171218</v>
      </c>
      <c r="AD287" s="27">
        <f t="shared" si="269"/>
        <v>236.29713272305966</v>
      </c>
      <c r="AE287" s="27">
        <f t="shared" si="269"/>
        <v>206.66053971101172</v>
      </c>
      <c r="AF287" s="27">
        <f t="shared" si="269"/>
        <v>191.70670502754251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4.0167212928753145E-2</v>
      </c>
      <c r="C289" s="3">
        <f t="shared" si="271"/>
        <v>3.1841626205768372E-2</v>
      </c>
      <c r="D289" s="3">
        <f t="shared" si="271"/>
        <v>3.1205464575942499E-3</v>
      </c>
      <c r="E289" s="3">
        <f t="shared" si="271"/>
        <v>2.5502618874341341E-13</v>
      </c>
      <c r="F289" s="3">
        <f t="shared" si="271"/>
        <v>3.3894252520910545E-114</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8.4016575365578831E-3</v>
      </c>
      <c r="C290" s="3">
        <f t="shared" si="272"/>
        <v>8.2274467348404014E-3</v>
      </c>
      <c r="D290" s="3">
        <f t="shared" si="272"/>
        <v>6.6721549178323574E-3</v>
      </c>
      <c r="E290" s="3">
        <f t="shared" si="272"/>
        <v>8.2087408018757216E-4</v>
      </c>
      <c r="F290" s="3">
        <f t="shared" si="272"/>
        <v>6.5219994047119162E-13</v>
      </c>
      <c r="G290" s="3">
        <f t="shared" si="272"/>
        <v>6.5376682164365379E-104</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2.0968631358151947E-2</v>
      </c>
      <c r="C291" s="3">
        <f t="shared" si="273"/>
        <v>2.0929034711825868E-2</v>
      </c>
      <c r="D291" s="3">
        <f t="shared" si="273"/>
        <v>2.0537157571476266E-2</v>
      </c>
      <c r="E291" s="3">
        <f t="shared" si="273"/>
        <v>1.7000108956696302E-2</v>
      </c>
      <c r="F291" s="3">
        <f t="shared" si="273"/>
        <v>2.5678248709833365E-3</v>
      </c>
      <c r="G291" s="3">
        <f t="shared" si="273"/>
        <v>1.5874584317418064E-11</v>
      </c>
      <c r="H291" s="3">
        <f t="shared" si="273"/>
        <v>1.294410334602144E-93</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1.9327391272998443E-2</v>
      </c>
      <c r="C292" s="3">
        <f t="shared" si="274"/>
        <v>1.9324096075089878E-2</v>
      </c>
      <c r="D292" s="3">
        <f t="shared" si="274"/>
        <v>1.9291174979776615E-2</v>
      </c>
      <c r="E292" s="3">
        <f t="shared" si="274"/>
        <v>1.8965033008461168E-2</v>
      </c>
      <c r="F292" s="3">
        <f t="shared" si="274"/>
        <v>1.5992001770692803E-2</v>
      </c>
      <c r="G292" s="3">
        <f t="shared" si="274"/>
        <v>2.9066657410592345E-3</v>
      </c>
      <c r="H292" s="3">
        <f t="shared" si="274"/>
        <v>1.1437147422091147E-10</v>
      </c>
      <c r="I292" s="3">
        <f t="shared" si="274"/>
        <v>1.0175224286723466E-84</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2.3244049516149199E-2</v>
      </c>
      <c r="C293" s="3">
        <f t="shared" si="275"/>
        <v>2.3243691996156963E-2</v>
      </c>
      <c r="D293" s="3">
        <f t="shared" si="275"/>
        <v>2.3240117098669202E-2</v>
      </c>
      <c r="E293" s="3">
        <f t="shared" si="275"/>
        <v>2.3204398350050226E-2</v>
      </c>
      <c r="F293" s="3">
        <f t="shared" si="275"/>
        <v>2.2850216358304892E-2</v>
      </c>
      <c r="G293" s="3">
        <f t="shared" si="275"/>
        <v>1.9592522682511986E-2</v>
      </c>
      <c r="H293" s="3">
        <f t="shared" si="275"/>
        <v>4.2081457655550785E-3</v>
      </c>
      <c r="I293" s="3">
        <f t="shared" si="275"/>
        <v>8.792147017553712E-10</v>
      </c>
      <c r="J293" s="3">
        <f t="shared" si="275"/>
        <v>1.3935950907118589E-76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2.4746583950295498E-2</v>
      </c>
      <c r="C294" s="3">
        <f t="shared" si="276"/>
        <v>2.4746549614000874E-2</v>
      </c>
      <c r="D294" s="3">
        <f t="shared" si="276"/>
        <v>2.4746206253674956E-2</v>
      </c>
      <c r="E294" s="3">
        <f t="shared" si="276"/>
        <v>2.4742772912433215E-2</v>
      </c>
      <c r="F294" s="3">
        <f t="shared" si="276"/>
        <v>2.4708465688312285E-2</v>
      </c>
      <c r="G294" s="3">
        <f t="shared" si="276"/>
        <v>2.4367998881921819E-2</v>
      </c>
      <c r="H294" s="3">
        <f t="shared" si="276"/>
        <v>2.12109805842376E-2</v>
      </c>
      <c r="I294" s="3">
        <f t="shared" si="276"/>
        <v>5.2962630857535456E-3</v>
      </c>
      <c r="J294" s="3">
        <f t="shared" si="276"/>
        <v>4.9895064251672606E-9</v>
      </c>
      <c r="K294" s="3">
        <f t="shared" si="276"/>
        <v>2.7475015617779872E-69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2.7326490600678283E-2</v>
      </c>
      <c r="C295" s="3">
        <f t="shared" si="277"/>
        <v>2.7326487180341301E-2</v>
      </c>
      <c r="D295" s="3">
        <f t="shared" si="277"/>
        <v>2.7326452976995035E-2</v>
      </c>
      <c r="E295" s="3">
        <f t="shared" si="277"/>
        <v>2.7326110945886981E-2</v>
      </c>
      <c r="F295" s="3">
        <f t="shared" si="277"/>
        <v>2.7322690870254063E-2</v>
      </c>
      <c r="G295" s="3">
        <f t="shared" si="277"/>
        <v>2.7288513647788209E-2</v>
      </c>
      <c r="H295" s="3">
        <f t="shared" si="277"/>
        <v>2.6949083947023507E-2</v>
      </c>
      <c r="I295" s="3">
        <f t="shared" si="277"/>
        <v>2.3778544532794075E-2</v>
      </c>
      <c r="J295" s="3">
        <f t="shared" si="277"/>
        <v>6.8013931293312707E-3</v>
      </c>
      <c r="K295" s="3">
        <f t="shared" si="277"/>
        <v>2.4930097637522091E-8</v>
      </c>
      <c r="L295" s="3">
        <f t="shared" si="277"/>
        <v>1.0914026145859421E-62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2.1347831043421066E-2</v>
      </c>
      <c r="C296" s="3">
        <f t="shared" si="278"/>
        <v>2.1347830802383127E-2</v>
      </c>
      <c r="D296" s="3">
        <f t="shared" si="278"/>
        <v>2.1347828392003873E-2</v>
      </c>
      <c r="E296" s="3">
        <f t="shared" si="278"/>
        <v>2.1347804288226309E-2</v>
      </c>
      <c r="F296" s="3">
        <f t="shared" si="278"/>
        <v>2.1347563251947525E-2</v>
      </c>
      <c r="G296" s="3">
        <f t="shared" si="278"/>
        <v>2.134515303883823E-2</v>
      </c>
      <c r="H296" s="3">
        <f t="shared" si="278"/>
        <v>2.1321065869350026E-2</v>
      </c>
      <c r="I296" s="3">
        <f t="shared" si="278"/>
        <v>2.1081684103321431E-2</v>
      </c>
      <c r="J296" s="3">
        <f t="shared" si="278"/>
        <v>1.8830818463311479E-2</v>
      </c>
      <c r="K296" s="3">
        <f t="shared" si="278"/>
        <v>6.0884696965858845E-3</v>
      </c>
      <c r="L296" s="3">
        <f t="shared" si="278"/>
        <v>7.6014714870487611E-8</v>
      </c>
      <c r="M296" s="3">
        <f t="shared" si="278"/>
        <v>6.9950833030420446E-57</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3.0209322619710474E-2</v>
      </c>
      <c r="C297" s="3">
        <f t="shared" si="279"/>
        <v>3.0209322588941059E-2</v>
      </c>
      <c r="D297" s="3">
        <f t="shared" si="279"/>
        <v>3.0209322281246915E-2</v>
      </c>
      <c r="E297" s="3">
        <f t="shared" si="279"/>
        <v>3.0209319204305668E-2</v>
      </c>
      <c r="F297" s="3">
        <f t="shared" si="279"/>
        <v>3.020928843491039E-2</v>
      </c>
      <c r="G297" s="3">
        <f t="shared" si="279"/>
        <v>3.0208980742681309E-2</v>
      </c>
      <c r="H297" s="3">
        <f t="shared" si="279"/>
        <v>3.0205903992752661E-2</v>
      </c>
      <c r="I297" s="3">
        <f t="shared" si="279"/>
        <v>3.0175153723190407E-2</v>
      </c>
      <c r="J297" s="3">
        <f t="shared" si="279"/>
        <v>2.9869367524445977E-2</v>
      </c>
      <c r="K297" s="3">
        <f t="shared" si="279"/>
        <v>2.6976858919145544E-2</v>
      </c>
      <c r="L297" s="3">
        <f t="shared" si="279"/>
        <v>9.7419281345036118E-3</v>
      </c>
      <c r="M297" s="3">
        <f t="shared" si="279"/>
        <v>3.6743483637321645E-7</v>
      </c>
      <c r="N297" s="3">
        <f t="shared" si="279"/>
        <v>2.1405945072907913E-51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3.3829577920572368E-2</v>
      </c>
      <c r="C298" s="3">
        <f t="shared" si="280"/>
        <v>3.3829577917464076E-2</v>
      </c>
      <c r="D298" s="3">
        <f t="shared" si="280"/>
        <v>3.3829577886381183E-2</v>
      </c>
      <c r="E298" s="3">
        <f t="shared" si="280"/>
        <v>3.3829577575552272E-2</v>
      </c>
      <c r="F298" s="3">
        <f t="shared" si="280"/>
        <v>3.3829574467263285E-2</v>
      </c>
      <c r="G298" s="3">
        <f t="shared" si="280"/>
        <v>3.3829543384389107E-2</v>
      </c>
      <c r="H298" s="3">
        <f t="shared" si="280"/>
        <v>3.382923255721812E-2</v>
      </c>
      <c r="I298" s="3">
        <f t="shared" si="280"/>
        <v>3.3826124442577994E-2</v>
      </c>
      <c r="J298" s="3">
        <f t="shared" si="280"/>
        <v>3.3795058997812641E-2</v>
      </c>
      <c r="K298" s="3">
        <f t="shared" si="280"/>
        <v>3.3485969388932127E-2</v>
      </c>
      <c r="L298" s="3">
        <f t="shared" si="280"/>
        <v>3.0546365593903668E-2</v>
      </c>
      <c r="M298" s="3">
        <f t="shared" si="280"/>
        <v>1.2187825832409538E-2</v>
      </c>
      <c r="N298" s="3">
        <f t="shared" si="280"/>
        <v>1.2462155913226259E-6</v>
      </c>
      <c r="O298" s="3">
        <f t="shared" si="280"/>
        <v>1.5569067093950211E-46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3.8784967486728689E-2</v>
      </c>
      <c r="C299" s="3">
        <f t="shared" si="281"/>
        <v>3.8784967486407231E-2</v>
      </c>
      <c r="D299" s="3">
        <f t="shared" si="281"/>
        <v>3.8784967483192566E-2</v>
      </c>
      <c r="E299" s="3">
        <f t="shared" si="281"/>
        <v>3.8784967451045982E-2</v>
      </c>
      <c r="F299" s="3">
        <f t="shared" si="281"/>
        <v>3.8784967129580121E-2</v>
      </c>
      <c r="G299" s="3">
        <f t="shared" si="281"/>
        <v>3.8784963914921679E-2</v>
      </c>
      <c r="H299" s="3">
        <f t="shared" si="281"/>
        <v>3.8784931768351939E-2</v>
      </c>
      <c r="I299" s="3">
        <f t="shared" si="281"/>
        <v>3.8784610304119928E-2</v>
      </c>
      <c r="J299" s="3">
        <f t="shared" si="281"/>
        <v>3.8781395808339135E-2</v>
      </c>
      <c r="K299" s="3">
        <f t="shared" si="281"/>
        <v>3.8749265499970376E-2</v>
      </c>
      <c r="L299" s="3">
        <f t="shared" si="281"/>
        <v>3.8429422877577758E-2</v>
      </c>
      <c r="M299" s="3">
        <f t="shared" si="281"/>
        <v>3.5372661537484057E-2</v>
      </c>
      <c r="N299" s="3">
        <f t="shared" si="281"/>
        <v>1.5442104968694229E-2</v>
      </c>
      <c r="O299" s="3">
        <f t="shared" si="281"/>
        <v>3.8823449237835924E-6</v>
      </c>
      <c r="P299" s="3">
        <f t="shared" si="281"/>
        <v>3.9171507692003894E-42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2.3192888824779066E-2</v>
      </c>
      <c r="C300" s="3">
        <f t="shared" si="282"/>
        <v>2.3192888824761723E-2</v>
      </c>
      <c r="D300" s="3">
        <f t="shared" si="282"/>
        <v>2.3192888824588316E-2</v>
      </c>
      <c r="E300" s="3">
        <f t="shared" si="282"/>
        <v>2.3192888822854221E-2</v>
      </c>
      <c r="F300" s="3">
        <f t="shared" si="282"/>
        <v>2.3192888805513269E-2</v>
      </c>
      <c r="G300" s="3">
        <f t="shared" si="282"/>
        <v>2.3192888632103781E-2</v>
      </c>
      <c r="H300" s="3">
        <f t="shared" si="282"/>
        <v>2.3192886898008951E-2</v>
      </c>
      <c r="I300" s="3">
        <f t="shared" si="282"/>
        <v>2.3192869557067796E-2</v>
      </c>
      <c r="J300" s="3">
        <f t="shared" si="282"/>
        <v>2.3192696148369326E-2</v>
      </c>
      <c r="K300" s="3">
        <f t="shared" si="282"/>
        <v>2.319096213269297E-2</v>
      </c>
      <c r="L300" s="3">
        <f t="shared" si="282"/>
        <v>2.317362910478938E-2</v>
      </c>
      <c r="M300" s="3">
        <f t="shared" si="282"/>
        <v>2.3001009743537006E-2</v>
      </c>
      <c r="N300" s="3">
        <f t="shared" si="282"/>
        <v>2.1343979920229291E-2</v>
      </c>
      <c r="O300" s="3">
        <f t="shared" si="282"/>
        <v>1.010556083460813E-2</v>
      </c>
      <c r="P300" s="3">
        <f t="shared" si="282"/>
        <v>5.7201918186076806E-6</v>
      </c>
      <c r="Q300" s="3">
        <f t="shared" si="282"/>
        <v>1.9315782615934114E-38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3.3182413237330663E-2</v>
      </c>
      <c r="C301" s="3">
        <f t="shared" si="283"/>
        <v>3.3182413237328429E-2</v>
      </c>
      <c r="D301" s="3">
        <f t="shared" si="283"/>
        <v>3.3182413237306044E-2</v>
      </c>
      <c r="E301" s="3">
        <f t="shared" si="283"/>
        <v>3.3182413237082237E-2</v>
      </c>
      <c r="F301" s="3">
        <f t="shared" si="283"/>
        <v>3.3182413234844173E-2</v>
      </c>
      <c r="G301" s="3">
        <f t="shared" si="283"/>
        <v>3.3182413212463527E-2</v>
      </c>
      <c r="H301" s="3">
        <f t="shared" si="283"/>
        <v>3.3182412988657095E-2</v>
      </c>
      <c r="I301" s="3">
        <f t="shared" si="283"/>
        <v>3.3182410750592806E-2</v>
      </c>
      <c r="J301" s="3">
        <f t="shared" si="283"/>
        <v>3.3182388369958231E-2</v>
      </c>
      <c r="K301" s="3">
        <f t="shared" si="283"/>
        <v>3.3182164564442729E-2</v>
      </c>
      <c r="L301" s="3">
        <f t="shared" si="283"/>
        <v>3.3179926592308673E-2</v>
      </c>
      <c r="M301" s="3">
        <f t="shared" si="283"/>
        <v>3.3157555170994141E-2</v>
      </c>
      <c r="N301" s="3">
        <f t="shared" si="283"/>
        <v>3.2934668892873178E-2</v>
      </c>
      <c r="O301" s="3">
        <f t="shared" si="283"/>
        <v>3.0786570207913599E-2</v>
      </c>
      <c r="P301" s="3">
        <f t="shared" si="283"/>
        <v>1.5683441943940918E-2</v>
      </c>
      <c r="Q301" s="3">
        <f t="shared" si="283"/>
        <v>1.8460442146646084E-5</v>
      </c>
      <c r="R301" s="3">
        <f t="shared" si="283"/>
        <v>9.4243038232428097E-35</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2.040201594942612E-2</v>
      </c>
      <c r="C302" s="3">
        <f t="shared" si="284"/>
        <v>2.0402015949425995E-2</v>
      </c>
      <c r="D302" s="3">
        <f t="shared" si="284"/>
        <v>2.0402015949424753E-2</v>
      </c>
      <c r="E302" s="3">
        <f t="shared" si="284"/>
        <v>2.0402015949412343E-2</v>
      </c>
      <c r="F302" s="3">
        <f t="shared" si="284"/>
        <v>2.040201594928821E-2</v>
      </c>
      <c r="G302" s="3">
        <f t="shared" si="284"/>
        <v>2.0402015948046887E-2</v>
      </c>
      <c r="H302" s="3">
        <f t="shared" si="284"/>
        <v>2.0402015935633674E-2</v>
      </c>
      <c r="I302" s="3">
        <f t="shared" si="284"/>
        <v>2.0402015811501521E-2</v>
      </c>
      <c r="J302" s="3">
        <f t="shared" si="284"/>
        <v>2.0402014570180056E-2</v>
      </c>
      <c r="K302" s="3">
        <f t="shared" si="284"/>
        <v>2.0402002156969565E-2</v>
      </c>
      <c r="L302" s="3">
        <f t="shared" si="284"/>
        <v>2.0401878025280012E-2</v>
      </c>
      <c r="M302" s="3">
        <f t="shared" si="284"/>
        <v>2.0400636749922665E-2</v>
      </c>
      <c r="N302" s="3">
        <f t="shared" si="284"/>
        <v>2.038822814923074E-2</v>
      </c>
      <c r="O302" s="3">
        <f t="shared" si="284"/>
        <v>2.0264556497090989E-2</v>
      </c>
      <c r="P302" s="3">
        <f t="shared" si="284"/>
        <v>1.9068357647214138E-2</v>
      </c>
      <c r="Q302" s="3">
        <f t="shared" si="284"/>
        <v>1.0377079529379166E-2</v>
      </c>
      <c r="R302" s="3">
        <f t="shared" si="284"/>
        <v>2.3642516831094843E-5</v>
      </c>
      <c r="S302" s="3">
        <f t="shared" si="284"/>
        <v>8.9100332382261683E-32</v>
      </c>
      <c r="T302" s="3">
        <f t="shared" si="284"/>
        <v>5.1491494463343552E-296</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6.6904612026051344E-2</v>
      </c>
      <c r="C303" s="3">
        <f t="shared" si="285"/>
        <v>6.6904612026051316E-2</v>
      </c>
      <c r="D303" s="3">
        <f t="shared" si="285"/>
        <v>6.6904612026050955E-2</v>
      </c>
      <c r="E303" s="3">
        <f t="shared" si="285"/>
        <v>6.6904612026047278E-2</v>
      </c>
      <c r="F303" s="3">
        <f t="shared" si="285"/>
        <v>6.6904612026010557E-2</v>
      </c>
      <c r="G303" s="3">
        <f t="shared" si="285"/>
        <v>6.6904612025643351E-2</v>
      </c>
      <c r="H303" s="3">
        <f t="shared" si="285"/>
        <v>6.690461202197126E-2</v>
      </c>
      <c r="I303" s="3">
        <f t="shared" si="285"/>
        <v>6.6904611985250315E-2</v>
      </c>
      <c r="J303" s="3">
        <f t="shared" si="285"/>
        <v>6.6904611618040857E-2</v>
      </c>
      <c r="K303" s="3">
        <f t="shared" si="285"/>
        <v>6.6904607945946507E-2</v>
      </c>
      <c r="L303" s="3">
        <f t="shared" si="285"/>
        <v>6.6904571225014073E-2</v>
      </c>
      <c r="M303" s="3">
        <f t="shared" si="285"/>
        <v>6.6904204016798197E-2</v>
      </c>
      <c r="N303" s="3">
        <f t="shared" si="285"/>
        <v>6.6900532045486502E-2</v>
      </c>
      <c r="O303" s="3">
        <f t="shared" si="285"/>
        <v>6.6863823414833809E-2</v>
      </c>
      <c r="P303" s="3">
        <f t="shared" si="285"/>
        <v>6.6497843107434507E-2</v>
      </c>
      <c r="Q303" s="3">
        <f t="shared" si="285"/>
        <v>6.2946426515786899E-2</v>
      </c>
      <c r="R303" s="3">
        <f t="shared" si="285"/>
        <v>3.6358527976138227E-2</v>
      </c>
      <c r="S303" s="3">
        <f t="shared" si="285"/>
        <v>1.5029980240326463E-4</v>
      </c>
      <c r="T303" s="3">
        <f t="shared" si="285"/>
        <v>2.1901788803794148E-28</v>
      </c>
      <c r="U303" s="3">
        <f t="shared" si="285"/>
        <v>9.4556493478438997E-267</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9.6702955914687194E-2</v>
      </c>
      <c r="C304" s="3">
        <f t="shared" si="286"/>
        <v>9.6702955914687194E-2</v>
      </c>
      <c r="D304" s="3">
        <f t="shared" si="286"/>
        <v>9.6702955914687139E-2</v>
      </c>
      <c r="E304" s="3">
        <f t="shared" si="286"/>
        <v>9.6702955914686653E-2</v>
      </c>
      <c r="F304" s="3">
        <f t="shared" si="286"/>
        <v>9.6702955914681865E-2</v>
      </c>
      <c r="G304" s="3">
        <f t="shared" si="286"/>
        <v>9.6702955914634001E-2</v>
      </c>
      <c r="H304" s="3">
        <f t="shared" si="286"/>
        <v>9.6702955914155203E-2</v>
      </c>
      <c r="I304" s="3">
        <f t="shared" si="286"/>
        <v>9.6702955909367325E-2</v>
      </c>
      <c r="J304" s="3">
        <f t="shared" si="286"/>
        <v>9.6702955861488415E-2</v>
      </c>
      <c r="K304" s="3">
        <f t="shared" si="286"/>
        <v>9.6702955382699463E-2</v>
      </c>
      <c r="L304" s="3">
        <f t="shared" si="286"/>
        <v>9.6702950594809975E-2</v>
      </c>
      <c r="M304" s="3">
        <f t="shared" si="286"/>
        <v>9.6702902715928241E-2</v>
      </c>
      <c r="N304" s="3">
        <f t="shared" si="286"/>
        <v>9.6702423928414674E-2</v>
      </c>
      <c r="O304" s="3">
        <f t="shared" si="286"/>
        <v>9.6697636183656357E-2</v>
      </c>
      <c r="P304" s="3">
        <f t="shared" si="286"/>
        <v>9.6649771771426418E-2</v>
      </c>
      <c r="Q304" s="3">
        <f t="shared" si="286"/>
        <v>9.6172428799638845E-2</v>
      </c>
      <c r="R304" s="3">
        <f t="shared" si="286"/>
        <v>9.1526761769711459E-2</v>
      </c>
      <c r="S304" s="3">
        <f t="shared" si="286"/>
        <v>5.5785743830835531E-2</v>
      </c>
      <c r="T304" s="3">
        <f t="shared" si="286"/>
        <v>3.9470673593814602E-4</v>
      </c>
      <c r="U304" s="3">
        <f t="shared" si="286"/>
        <v>1.2410453045727518E-25</v>
      </c>
      <c r="V304" s="3">
        <f t="shared" si="286"/>
        <v>1.1719757181022874E-240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8.3641263972904237E-2</v>
      </c>
      <c r="C305" s="3">
        <f t="shared" si="287"/>
        <v>8.3641263972904237E-2</v>
      </c>
      <c r="D305" s="3">
        <f t="shared" si="287"/>
        <v>8.3641263972904237E-2</v>
      </c>
      <c r="E305" s="3">
        <f t="shared" si="287"/>
        <v>8.3641263972904195E-2</v>
      </c>
      <c r="F305" s="3">
        <f t="shared" si="287"/>
        <v>8.364126397290382E-2</v>
      </c>
      <c r="G305" s="3">
        <f t="shared" si="287"/>
        <v>8.3641263972900087E-2</v>
      </c>
      <c r="H305" s="3">
        <f t="shared" si="287"/>
        <v>8.3641263972862728E-2</v>
      </c>
      <c r="I305" s="3">
        <f t="shared" si="287"/>
        <v>8.3641263972489166E-2</v>
      </c>
      <c r="J305" s="3">
        <f t="shared" si="287"/>
        <v>8.3641263968753474E-2</v>
      </c>
      <c r="K305" s="3">
        <f t="shared" si="287"/>
        <v>8.3641263931396509E-2</v>
      </c>
      <c r="L305" s="3">
        <f t="shared" si="287"/>
        <v>8.3641263557826875E-2</v>
      </c>
      <c r="M305" s="3">
        <f t="shared" si="287"/>
        <v>8.3641259822130706E-2</v>
      </c>
      <c r="N305" s="3">
        <f t="shared" si="287"/>
        <v>8.3641222465178217E-2</v>
      </c>
      <c r="O305" s="3">
        <f t="shared" si="287"/>
        <v>8.3640848896570988E-2</v>
      </c>
      <c r="P305" s="3">
        <f t="shared" si="287"/>
        <v>8.3637113302263741E-2</v>
      </c>
      <c r="Q305" s="3">
        <f t="shared" si="287"/>
        <v>8.3599766534178693E-2</v>
      </c>
      <c r="R305" s="3">
        <f t="shared" si="287"/>
        <v>8.3227214837677047E-2</v>
      </c>
      <c r="S305" s="3">
        <f t="shared" si="287"/>
        <v>7.9591800518027001E-2</v>
      </c>
      <c r="T305" s="3">
        <f t="shared" si="287"/>
        <v>5.0921127254146756E-2</v>
      </c>
      <c r="U305" s="3">
        <f t="shared" si="287"/>
        <v>5.8505245643361505E-4</v>
      </c>
      <c r="V305" s="3">
        <f t="shared" si="287"/>
        <v>2.3451076681613209E-23</v>
      </c>
      <c r="W305" s="3">
        <f t="shared" si="287"/>
        <v>2.5109761227276942E-217</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5.9421998861156927E-2</v>
      </c>
      <c r="C306" s="3">
        <f t="shared" si="288"/>
        <v>5.9421998861156927E-2</v>
      </c>
      <c r="D306" s="3">
        <f t="shared" si="288"/>
        <v>5.9421998861156927E-2</v>
      </c>
      <c r="E306" s="3">
        <f t="shared" si="288"/>
        <v>5.9421998861156927E-2</v>
      </c>
      <c r="F306" s="3">
        <f t="shared" si="288"/>
        <v>5.9421998861156899E-2</v>
      </c>
      <c r="G306" s="3">
        <f t="shared" si="288"/>
        <v>5.9421998861156664E-2</v>
      </c>
      <c r="H306" s="3">
        <f t="shared" si="288"/>
        <v>5.942199886115427E-2</v>
      </c>
      <c r="I306" s="3">
        <f t="shared" si="288"/>
        <v>5.942199886113033E-2</v>
      </c>
      <c r="J306" s="3">
        <f t="shared" si="288"/>
        <v>5.9421998860890918E-2</v>
      </c>
      <c r="K306" s="3">
        <f t="shared" si="288"/>
        <v>5.9421998858496798E-2</v>
      </c>
      <c r="L306" s="3">
        <f t="shared" si="288"/>
        <v>5.9421998834555657E-2</v>
      </c>
      <c r="M306" s="3">
        <f t="shared" si="288"/>
        <v>5.9421998595144264E-2</v>
      </c>
      <c r="N306" s="3">
        <f t="shared" si="288"/>
        <v>5.9421996201030371E-2</v>
      </c>
      <c r="O306" s="3">
        <f t="shared" si="288"/>
        <v>5.9421972259896663E-2</v>
      </c>
      <c r="P306" s="3">
        <f t="shared" si="288"/>
        <v>5.9421732849090116E-2</v>
      </c>
      <c r="Q306" s="3">
        <f t="shared" si="288"/>
        <v>5.9419338794076189E-2</v>
      </c>
      <c r="R306" s="3">
        <f t="shared" si="288"/>
        <v>5.9395403548298753E-2</v>
      </c>
      <c r="S306" s="3">
        <f t="shared" si="288"/>
        <v>5.9156580736817149E-2</v>
      </c>
      <c r="T306" s="3">
        <f t="shared" si="288"/>
        <v>5.6820536127984857E-2</v>
      </c>
      <c r="U306" s="3">
        <f t="shared" si="288"/>
        <v>3.7977638967161463E-2</v>
      </c>
      <c r="V306" s="3">
        <f t="shared" si="288"/>
        <v>6.7570060157243759E-4</v>
      </c>
      <c r="W306" s="3">
        <f t="shared" si="288"/>
        <v>2.1479182377700711E-21</v>
      </c>
      <c r="X306" s="3">
        <f t="shared" si="288"/>
        <v>2.2628311343005249E-196</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5.182495758409756E-2</v>
      </c>
      <c r="C307" s="3">
        <f t="shared" si="289"/>
        <v>5.182495758409756E-2</v>
      </c>
      <c r="D307" s="3">
        <f t="shared" si="289"/>
        <v>5.182495758409756E-2</v>
      </c>
      <c r="E307" s="3">
        <f t="shared" si="289"/>
        <v>5.182495758409756E-2</v>
      </c>
      <c r="F307" s="3">
        <f t="shared" si="289"/>
        <v>5.182495758409756E-2</v>
      </c>
      <c r="G307" s="3">
        <f t="shared" si="289"/>
        <v>5.1824957584097539E-2</v>
      </c>
      <c r="H307" s="3">
        <f t="shared" si="289"/>
        <v>5.1824957584097352E-2</v>
      </c>
      <c r="I307" s="3">
        <f t="shared" si="289"/>
        <v>5.1824957584095464E-2</v>
      </c>
      <c r="J307" s="3">
        <f t="shared" si="289"/>
        <v>5.1824957584076632E-2</v>
      </c>
      <c r="K307" s="3">
        <f t="shared" si="289"/>
        <v>5.1824957583888276E-2</v>
      </c>
      <c r="L307" s="3">
        <f t="shared" si="289"/>
        <v>5.1824957582004699E-2</v>
      </c>
      <c r="M307" s="3">
        <f t="shared" si="289"/>
        <v>5.182495756316894E-2</v>
      </c>
      <c r="N307" s="3">
        <f t="shared" si="289"/>
        <v>5.182495737481136E-2</v>
      </c>
      <c r="O307" s="3">
        <f t="shared" si="289"/>
        <v>5.1824955491235572E-2</v>
      </c>
      <c r="P307" s="3">
        <f t="shared" si="289"/>
        <v>5.182493665548147E-2</v>
      </c>
      <c r="Q307" s="3">
        <f t="shared" si="289"/>
        <v>5.1824748298316979E-2</v>
      </c>
      <c r="R307" s="3">
        <f t="shared" si="289"/>
        <v>5.1822864764323663E-2</v>
      </c>
      <c r="S307" s="3">
        <f t="shared" si="289"/>
        <v>5.1804033189044467E-2</v>
      </c>
      <c r="T307" s="3">
        <f t="shared" si="289"/>
        <v>5.1616093395882454E-2</v>
      </c>
      <c r="U307" s="3">
        <f t="shared" si="289"/>
        <v>4.977379072796171E-2</v>
      </c>
      <c r="V307" s="3">
        <f t="shared" si="289"/>
        <v>3.4606412248315697E-2</v>
      </c>
      <c r="W307" s="3">
        <f t="shared" si="289"/>
        <v>9.1351392564918363E-4</v>
      </c>
      <c r="X307" s="3">
        <f t="shared" si="289"/>
        <v>1.5007250215079502E-19</v>
      </c>
      <c r="Y307" s="3">
        <f t="shared" si="289"/>
        <v>2.1486250653458392E-177</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2.0016819549847034E-2</v>
      </c>
      <c r="C308" s="3">
        <f t="shared" si="290"/>
        <v>2.0016819549847034E-2</v>
      </c>
      <c r="D308" s="3">
        <f t="shared" si="290"/>
        <v>2.0016819549847034E-2</v>
      </c>
      <c r="E308" s="3">
        <f t="shared" si="290"/>
        <v>2.0016819549847034E-2</v>
      </c>
      <c r="F308" s="3">
        <f t="shared" si="290"/>
        <v>2.0016819549847034E-2</v>
      </c>
      <c r="G308" s="3">
        <f t="shared" si="290"/>
        <v>2.0016819549847034E-2</v>
      </c>
      <c r="H308" s="3">
        <f t="shared" si="290"/>
        <v>2.0016819549847027E-2</v>
      </c>
      <c r="I308" s="3">
        <f t="shared" si="290"/>
        <v>2.0016819549846961E-2</v>
      </c>
      <c r="J308" s="3">
        <f t="shared" si="290"/>
        <v>2.0016819549846306E-2</v>
      </c>
      <c r="K308" s="3">
        <f t="shared" si="290"/>
        <v>2.0016819549839741E-2</v>
      </c>
      <c r="L308" s="3">
        <f t="shared" si="290"/>
        <v>2.0016819549774117E-2</v>
      </c>
      <c r="M308" s="3">
        <f t="shared" si="290"/>
        <v>2.001681954911784E-2</v>
      </c>
      <c r="N308" s="3">
        <f t="shared" si="290"/>
        <v>2.0016819542555089E-2</v>
      </c>
      <c r="O308" s="3">
        <f t="shared" si="290"/>
        <v>2.0016819476927596E-2</v>
      </c>
      <c r="P308" s="3">
        <f t="shared" si="290"/>
        <v>2.0016818820652673E-2</v>
      </c>
      <c r="Q308" s="3">
        <f t="shared" si="290"/>
        <v>2.001681225790463E-2</v>
      </c>
      <c r="R308" s="3">
        <f t="shared" si="290"/>
        <v>2.0016746630542526E-2</v>
      </c>
      <c r="S308" s="3">
        <f t="shared" si="290"/>
        <v>2.0016090368755533E-2</v>
      </c>
      <c r="T308" s="3">
        <f t="shared" si="290"/>
        <v>2.0009528934147047E-2</v>
      </c>
      <c r="U308" s="3">
        <f t="shared" si="290"/>
        <v>1.9944032770792982E-2</v>
      </c>
      <c r="V308" s="3">
        <f t="shared" si="290"/>
        <v>1.9300747292836727E-2</v>
      </c>
      <c r="W308" s="3">
        <f t="shared" si="290"/>
        <v>1.3905466988931288E-2</v>
      </c>
      <c r="X308" s="3">
        <f t="shared" si="290"/>
        <v>5.2396239372706343E-4</v>
      </c>
      <c r="Y308" s="3">
        <f t="shared" si="290"/>
        <v>3.023051243844179E-18</v>
      </c>
      <c r="Z308" s="3">
        <f t="shared" si="290"/>
        <v>1.2356612379016276E-160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3.8383243179278659E-2</v>
      </c>
      <c r="C309" s="3">
        <f t="shared" si="291"/>
        <v>3.8383243179278659E-2</v>
      </c>
      <c r="D309" s="3">
        <f t="shared" si="291"/>
        <v>3.8383243179278659E-2</v>
      </c>
      <c r="E309" s="3">
        <f t="shared" si="291"/>
        <v>3.8383243179278659E-2</v>
      </c>
      <c r="F309" s="3">
        <f t="shared" si="291"/>
        <v>3.8383243179278659E-2</v>
      </c>
      <c r="G309" s="3">
        <f t="shared" si="291"/>
        <v>3.8383243179278659E-2</v>
      </c>
      <c r="H309" s="3">
        <f t="shared" si="291"/>
        <v>3.8383243179278652E-2</v>
      </c>
      <c r="I309" s="3">
        <f t="shared" si="291"/>
        <v>3.8383243179278617E-2</v>
      </c>
      <c r="J309" s="3">
        <f t="shared" si="291"/>
        <v>3.838324317927827E-2</v>
      </c>
      <c r="K309" s="3">
        <f t="shared" si="291"/>
        <v>3.8383243179274787E-2</v>
      </c>
      <c r="L309" s="3">
        <f t="shared" si="291"/>
        <v>3.8383243179239988E-2</v>
      </c>
      <c r="M309" s="3">
        <f t="shared" si="291"/>
        <v>3.8383243178891933E-2</v>
      </c>
      <c r="N309" s="3">
        <f t="shared" si="291"/>
        <v>3.8383243175411405E-2</v>
      </c>
      <c r="O309" s="3">
        <f t="shared" si="291"/>
        <v>3.8383243140606114E-2</v>
      </c>
      <c r="P309" s="3">
        <f t="shared" si="291"/>
        <v>3.8383242792553202E-2</v>
      </c>
      <c r="Q309" s="3">
        <f t="shared" si="291"/>
        <v>3.838323931202426E-2</v>
      </c>
      <c r="R309" s="3">
        <f t="shared" si="291"/>
        <v>3.83832045067522E-2</v>
      </c>
      <c r="S309" s="3">
        <f t="shared" si="291"/>
        <v>3.8382856455767438E-2</v>
      </c>
      <c r="T309" s="3">
        <f t="shared" si="291"/>
        <v>3.8379376119498092E-2</v>
      </c>
      <c r="U309" s="3">
        <f t="shared" si="291"/>
        <v>3.8344590108810278E-2</v>
      </c>
      <c r="V309" s="3">
        <f t="shared" si="291"/>
        <v>3.7998459394819654E-2</v>
      </c>
      <c r="W309" s="3">
        <f t="shared" si="291"/>
        <v>3.4704427320406954E-2</v>
      </c>
      <c r="X309" s="3">
        <f t="shared" si="291"/>
        <v>1.4014377594171078E-2</v>
      </c>
      <c r="Y309" s="3">
        <f t="shared" si="291"/>
        <v>1.6160810542698695E-6</v>
      </c>
      <c r="Z309" s="3">
        <f t="shared" si="291"/>
        <v>6.7198005326589139E-46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3.6705240109076338E-2</v>
      </c>
      <c r="C310" s="3">
        <f t="shared" si="292"/>
        <v>3.6705240109076338E-2</v>
      </c>
      <c r="D310" s="3">
        <f t="shared" si="292"/>
        <v>3.6705240109076338E-2</v>
      </c>
      <c r="E310" s="3">
        <f t="shared" si="292"/>
        <v>3.6705240109076338E-2</v>
      </c>
      <c r="F310" s="3">
        <f t="shared" si="292"/>
        <v>3.6705240109076338E-2</v>
      </c>
      <c r="G310" s="3">
        <f t="shared" si="292"/>
        <v>3.6705240109076338E-2</v>
      </c>
      <c r="H310" s="3">
        <f t="shared" si="292"/>
        <v>3.6705240109076338E-2</v>
      </c>
      <c r="I310" s="3">
        <f t="shared" si="292"/>
        <v>3.6705240109076331E-2</v>
      </c>
      <c r="J310" s="3">
        <f t="shared" si="292"/>
        <v>3.6705240109076304E-2</v>
      </c>
      <c r="K310" s="3">
        <f t="shared" si="292"/>
        <v>3.6705240109075971E-2</v>
      </c>
      <c r="L310" s="3">
        <f t="shared" si="292"/>
        <v>3.670524010907264E-2</v>
      </c>
      <c r="M310" s="3">
        <f t="shared" si="292"/>
        <v>3.6705240109039354E-2</v>
      </c>
      <c r="N310" s="3">
        <f t="shared" si="292"/>
        <v>3.6705240108706516E-2</v>
      </c>
      <c r="O310" s="3">
        <f t="shared" si="292"/>
        <v>3.6705240105378151E-2</v>
      </c>
      <c r="P310" s="3">
        <f t="shared" si="292"/>
        <v>3.6705240072094442E-2</v>
      </c>
      <c r="Q310" s="3">
        <f t="shared" si="292"/>
        <v>3.6705239739257385E-2</v>
      </c>
      <c r="R310" s="3">
        <f t="shared" si="292"/>
        <v>3.6705236410886986E-2</v>
      </c>
      <c r="S310" s="3">
        <f t="shared" si="292"/>
        <v>3.6705203127199569E-2</v>
      </c>
      <c r="T310" s="3">
        <f t="shared" si="292"/>
        <v>3.6704870291985353E-2</v>
      </c>
      <c r="U310" s="3">
        <f t="shared" si="292"/>
        <v>3.6701542105833131E-2</v>
      </c>
      <c r="V310" s="3">
        <f t="shared" si="292"/>
        <v>3.6668276837737636E-2</v>
      </c>
      <c r="W310" s="3">
        <f t="shared" si="292"/>
        <v>3.6337277945673964E-2</v>
      </c>
      <c r="X310" s="3">
        <f t="shared" si="292"/>
        <v>3.3187251314167485E-2</v>
      </c>
      <c r="Y310" s="3">
        <f t="shared" si="292"/>
        <v>1.3401710016286754E-2</v>
      </c>
      <c r="Z310" s="3">
        <f t="shared" si="292"/>
        <v>1.5454307197451254E-6</v>
      </c>
      <c r="AA310" s="3">
        <f t="shared" si="292"/>
        <v>6.42603051764788E-46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4.1231231380742084E-2</v>
      </c>
      <c r="C311" s="3">
        <f t="shared" si="293"/>
        <v>4.1231231380742084E-2</v>
      </c>
      <c r="D311" s="3">
        <f t="shared" si="293"/>
        <v>4.1231231380742084E-2</v>
      </c>
      <c r="E311" s="3">
        <f t="shared" si="293"/>
        <v>4.1231231380742084E-2</v>
      </c>
      <c r="F311" s="3">
        <f t="shared" si="293"/>
        <v>4.1231231380742084E-2</v>
      </c>
      <c r="G311" s="3">
        <f t="shared" si="293"/>
        <v>4.1231231380742084E-2</v>
      </c>
      <c r="H311" s="3">
        <f t="shared" si="293"/>
        <v>4.1231231380742084E-2</v>
      </c>
      <c r="I311" s="3">
        <f t="shared" si="293"/>
        <v>4.1231231380742084E-2</v>
      </c>
      <c r="J311" s="3">
        <f t="shared" si="293"/>
        <v>4.1231231380742077E-2</v>
      </c>
      <c r="K311" s="3">
        <f t="shared" si="293"/>
        <v>4.1231231380742042E-2</v>
      </c>
      <c r="L311" s="3">
        <f t="shared" si="293"/>
        <v>4.1231231380741667E-2</v>
      </c>
      <c r="M311" s="3">
        <f t="shared" si="293"/>
        <v>4.1231231380737927E-2</v>
      </c>
      <c r="N311" s="3">
        <f t="shared" si="293"/>
        <v>4.1231231380700541E-2</v>
      </c>
      <c r="O311" s="3">
        <f t="shared" si="293"/>
        <v>4.1231231380326666E-2</v>
      </c>
      <c r="P311" s="3">
        <f t="shared" si="293"/>
        <v>4.1231231376587886E-2</v>
      </c>
      <c r="Q311" s="3">
        <f t="shared" si="293"/>
        <v>4.1231231339200085E-2</v>
      </c>
      <c r="R311" s="3">
        <f t="shared" si="293"/>
        <v>4.1231230965322087E-2</v>
      </c>
      <c r="S311" s="3">
        <f t="shared" si="293"/>
        <v>4.1231227226542287E-2</v>
      </c>
      <c r="T311" s="3">
        <f t="shared" si="293"/>
        <v>4.123118983876297E-2</v>
      </c>
      <c r="U311" s="3">
        <f t="shared" si="293"/>
        <v>4.1230815962834406E-2</v>
      </c>
      <c r="V311" s="3">
        <f t="shared" si="293"/>
        <v>4.1227077390006306E-2</v>
      </c>
      <c r="W311" s="3">
        <f t="shared" si="293"/>
        <v>4.1189710301227929E-2</v>
      </c>
      <c r="X311" s="3">
        <f t="shared" si="293"/>
        <v>4.0817897125101289E-2</v>
      </c>
      <c r="Y311" s="3">
        <f t="shared" si="293"/>
        <v>3.7279452028074749E-2</v>
      </c>
      <c r="Z311" s="3">
        <f t="shared" si="293"/>
        <v>1.5054226724496775E-2</v>
      </c>
      <c r="AA311" s="3">
        <f t="shared" si="293"/>
        <v>1.7359922288850954E-6</v>
      </c>
      <c r="AB311" s="3">
        <f t="shared" si="293"/>
        <v>7.218401251306156E-46</v>
      </c>
      <c r="AC311" s="3">
        <f t="shared" si="293"/>
        <v>0</v>
      </c>
      <c r="AD311" s="3">
        <f t="shared" si="293"/>
        <v>0</v>
      </c>
      <c r="AE311" s="3">
        <f t="shared" si="293"/>
        <v>0</v>
      </c>
      <c r="AF311" s="3">
        <f t="shared" si="293"/>
        <v>0</v>
      </c>
      <c r="AG311" s="3"/>
      <c r="AH311" s="3"/>
    </row>
    <row r="312" spans="1:34" x14ac:dyDescent="0.25">
      <c r="B312" s="3">
        <f t="shared" ref="B312:AF312" si="294">$C42*EXP(-B$285/$A42/EXP(-$F$126))</f>
        <v>3.343723543516635E-2</v>
      </c>
      <c r="C312" s="3">
        <f t="shared" si="294"/>
        <v>3.343723543516635E-2</v>
      </c>
      <c r="D312" s="3">
        <f t="shared" si="294"/>
        <v>3.343723543516635E-2</v>
      </c>
      <c r="E312" s="3">
        <f t="shared" si="294"/>
        <v>3.343723543516635E-2</v>
      </c>
      <c r="F312" s="3">
        <f t="shared" si="294"/>
        <v>3.343723543516635E-2</v>
      </c>
      <c r="G312" s="3">
        <f t="shared" si="294"/>
        <v>3.343723543516635E-2</v>
      </c>
      <c r="H312" s="3">
        <f t="shared" si="294"/>
        <v>3.343723543516635E-2</v>
      </c>
      <c r="I312" s="3">
        <f t="shared" si="294"/>
        <v>3.343723543516635E-2</v>
      </c>
      <c r="J312" s="3">
        <f t="shared" si="294"/>
        <v>3.343723543516635E-2</v>
      </c>
      <c r="K312" s="3">
        <f t="shared" si="294"/>
        <v>3.3437235435166343E-2</v>
      </c>
      <c r="L312" s="3">
        <f t="shared" si="294"/>
        <v>3.3437235435166315E-2</v>
      </c>
      <c r="M312" s="3">
        <f t="shared" si="294"/>
        <v>3.343723543516601E-2</v>
      </c>
      <c r="N312" s="3">
        <f t="shared" si="294"/>
        <v>3.3437235435162978E-2</v>
      </c>
      <c r="O312" s="3">
        <f t="shared" si="294"/>
        <v>3.3437235435132662E-2</v>
      </c>
      <c r="P312" s="3">
        <f t="shared" si="294"/>
        <v>3.343723543482946E-2</v>
      </c>
      <c r="Q312" s="3">
        <f t="shared" si="294"/>
        <v>3.3437235431797427E-2</v>
      </c>
      <c r="R312" s="3">
        <f t="shared" si="294"/>
        <v>3.343723540147709E-2</v>
      </c>
      <c r="S312" s="3">
        <f t="shared" si="294"/>
        <v>3.343723509827376E-2</v>
      </c>
      <c r="T312" s="3">
        <f t="shared" si="294"/>
        <v>3.3437232066240614E-2</v>
      </c>
      <c r="U312" s="3">
        <f t="shared" si="294"/>
        <v>3.3437201745924246E-2</v>
      </c>
      <c r="V312" s="3">
        <f t="shared" si="294"/>
        <v>3.3436898544272772E-2</v>
      </c>
      <c r="W312" s="3">
        <f t="shared" si="294"/>
        <v>3.3433866678969255E-2</v>
      </c>
      <c r="X312" s="3">
        <f t="shared" si="294"/>
        <v>3.3403563141986052E-2</v>
      </c>
      <c r="Y312" s="3">
        <f t="shared" si="294"/>
        <v>3.3102034318040957E-2</v>
      </c>
      <c r="Z312" s="3">
        <f t="shared" si="294"/>
        <v>3.0232466327429146E-2</v>
      </c>
      <c r="AA312" s="3">
        <f t="shared" si="294"/>
        <v>1.220850569882524E-2</v>
      </c>
      <c r="AB312" s="3">
        <f t="shared" si="294"/>
        <v>1.407835248354045E-6</v>
      </c>
      <c r="AC312" s="3">
        <f t="shared" si="294"/>
        <v>5.8538970101716925E-46</v>
      </c>
      <c r="AD312" s="3">
        <f t="shared" si="294"/>
        <v>0</v>
      </c>
      <c r="AE312" s="3">
        <f t="shared" si="294"/>
        <v>0</v>
      </c>
      <c r="AF312" s="3">
        <f t="shared" si="294"/>
        <v>0</v>
      </c>
      <c r="AG312" s="3"/>
      <c r="AH312" s="3"/>
    </row>
    <row r="313" spans="1:34" x14ac:dyDescent="0.25">
      <c r="B313" s="3">
        <f t="shared" ref="B313:AF313" si="295">$C43*EXP(-B$285/$A43/EXP(-$F$126))</f>
        <v>2.4815378940943638E-2</v>
      </c>
      <c r="C313" s="3">
        <f t="shared" si="295"/>
        <v>2.4815378940943638E-2</v>
      </c>
      <c r="D313" s="3">
        <f t="shared" si="295"/>
        <v>2.4815378940943638E-2</v>
      </c>
      <c r="E313" s="3">
        <f t="shared" si="295"/>
        <v>2.4815378940943638E-2</v>
      </c>
      <c r="F313" s="3">
        <f t="shared" si="295"/>
        <v>2.4815378940943638E-2</v>
      </c>
      <c r="G313" s="3">
        <f t="shared" si="295"/>
        <v>2.4815378940943638E-2</v>
      </c>
      <c r="H313" s="3">
        <f t="shared" si="295"/>
        <v>2.4815378940943638E-2</v>
      </c>
      <c r="I313" s="3">
        <f t="shared" si="295"/>
        <v>2.4815378940943638E-2</v>
      </c>
      <c r="J313" s="3">
        <f t="shared" si="295"/>
        <v>2.4815378940943638E-2</v>
      </c>
      <c r="K313" s="3">
        <f t="shared" si="295"/>
        <v>2.4815378940943638E-2</v>
      </c>
      <c r="L313" s="3">
        <f t="shared" si="295"/>
        <v>2.4815378940943635E-2</v>
      </c>
      <c r="M313" s="3">
        <f t="shared" si="295"/>
        <v>2.4815378940943614E-2</v>
      </c>
      <c r="N313" s="3">
        <f t="shared" si="295"/>
        <v>2.4815378940943388E-2</v>
      </c>
      <c r="O313" s="3">
        <f t="shared" si="295"/>
        <v>2.4815378940941137E-2</v>
      </c>
      <c r="P313" s="3">
        <f t="shared" si="295"/>
        <v>2.4815378940918637E-2</v>
      </c>
      <c r="Q313" s="3">
        <f t="shared" si="295"/>
        <v>2.4815378940693612E-2</v>
      </c>
      <c r="R313" s="3">
        <f t="shared" si="295"/>
        <v>2.4815378938443395E-2</v>
      </c>
      <c r="S313" s="3">
        <f t="shared" si="295"/>
        <v>2.4815378915941221E-2</v>
      </c>
      <c r="T313" s="3">
        <f t="shared" si="295"/>
        <v>2.4815378690919463E-2</v>
      </c>
      <c r="U313" s="3">
        <f t="shared" si="295"/>
        <v>2.4815376440701985E-2</v>
      </c>
      <c r="V313" s="3">
        <f t="shared" si="295"/>
        <v>2.4815353938538443E-2</v>
      </c>
      <c r="W313" s="3">
        <f t="shared" si="295"/>
        <v>2.4815128918025266E-2</v>
      </c>
      <c r="X313" s="3">
        <f t="shared" si="295"/>
        <v>2.4812878825114609E-2</v>
      </c>
      <c r="Y313" s="3">
        <f t="shared" si="295"/>
        <v>2.4790389114356454E-2</v>
      </c>
      <c r="Z313" s="3">
        <f t="shared" si="295"/>
        <v>2.4566610086861101E-2</v>
      </c>
      <c r="AA313" s="3">
        <f t="shared" si="295"/>
        <v>2.2436965809842242E-2</v>
      </c>
      <c r="AB313" s="3">
        <f t="shared" si="295"/>
        <v>9.0605186486318445E-3</v>
      </c>
      <c r="AC313" s="3">
        <f t="shared" si="295"/>
        <v>1.0448221786176898E-6</v>
      </c>
      <c r="AD313" s="3">
        <f t="shared" si="295"/>
        <v>4.3444582274253693E-46</v>
      </c>
      <c r="AE313" s="3">
        <f t="shared" si="295"/>
        <v>0</v>
      </c>
      <c r="AF313" s="3">
        <f t="shared" si="295"/>
        <v>0</v>
      </c>
      <c r="AG313" s="3"/>
      <c r="AH313" s="3"/>
    </row>
    <row r="314" spans="1:34" x14ac:dyDescent="0.25">
      <c r="B314" s="3">
        <f t="shared" ref="B314:AF314" si="296">$C44*EXP(-B$285/$A44/EXP(-$F$126))</f>
        <v>1.3266747308349527E-2</v>
      </c>
      <c r="C314" s="3">
        <f t="shared" si="296"/>
        <v>1.3266747308349527E-2</v>
      </c>
      <c r="D314" s="3">
        <f t="shared" si="296"/>
        <v>1.3266747308349527E-2</v>
      </c>
      <c r="E314" s="3">
        <f t="shared" si="296"/>
        <v>1.3266747308349527E-2</v>
      </c>
      <c r="F314" s="3">
        <f t="shared" si="296"/>
        <v>1.3266747308349527E-2</v>
      </c>
      <c r="G314" s="3">
        <f t="shared" si="296"/>
        <v>1.3266747308349527E-2</v>
      </c>
      <c r="H314" s="3">
        <f t="shared" si="296"/>
        <v>1.3266747308349527E-2</v>
      </c>
      <c r="I314" s="3">
        <f t="shared" si="296"/>
        <v>1.3266747308349527E-2</v>
      </c>
      <c r="J314" s="3">
        <f t="shared" si="296"/>
        <v>1.3266747308349527E-2</v>
      </c>
      <c r="K314" s="3">
        <f t="shared" si="296"/>
        <v>1.3266747308349527E-2</v>
      </c>
      <c r="L314" s="3">
        <f t="shared" si="296"/>
        <v>1.3266747308349527E-2</v>
      </c>
      <c r="M314" s="3">
        <f t="shared" si="296"/>
        <v>1.3266747308349525E-2</v>
      </c>
      <c r="N314" s="3">
        <f t="shared" si="296"/>
        <v>1.3266747308349513E-2</v>
      </c>
      <c r="O314" s="3">
        <f t="shared" si="296"/>
        <v>1.3266747308349394E-2</v>
      </c>
      <c r="P314" s="3">
        <f t="shared" si="296"/>
        <v>1.326674730834819E-2</v>
      </c>
      <c r="Q314" s="3">
        <f t="shared" si="296"/>
        <v>1.3266747308336161E-2</v>
      </c>
      <c r="R314" s="3">
        <f t="shared" si="296"/>
        <v>1.326674730821586E-2</v>
      </c>
      <c r="S314" s="3">
        <f t="shared" si="296"/>
        <v>1.3266747307012853E-2</v>
      </c>
      <c r="T314" s="3">
        <f t="shared" si="296"/>
        <v>1.3266747294982785E-2</v>
      </c>
      <c r="U314" s="3">
        <f t="shared" si="296"/>
        <v>1.3266747174682111E-2</v>
      </c>
      <c r="V314" s="3">
        <f t="shared" si="296"/>
        <v>1.3266745971675429E-2</v>
      </c>
      <c r="W314" s="3">
        <f t="shared" si="296"/>
        <v>1.3266733941614622E-2</v>
      </c>
      <c r="X314" s="3">
        <f t="shared" si="296"/>
        <v>1.3266613641606527E-2</v>
      </c>
      <c r="Y314" s="3">
        <f t="shared" si="296"/>
        <v>1.3265410701520984E-2</v>
      </c>
      <c r="Z314" s="3">
        <f t="shared" si="296"/>
        <v>1.3253387298196119E-2</v>
      </c>
      <c r="AA314" s="3">
        <f t="shared" si="296"/>
        <v>1.3133751010644183E-2</v>
      </c>
      <c r="AB314" s="3">
        <f t="shared" si="296"/>
        <v>1.1995204928107206E-2</v>
      </c>
      <c r="AC314" s="3">
        <f t="shared" si="296"/>
        <v>4.8439160119235448E-3</v>
      </c>
      <c r="AD314" s="3">
        <f t="shared" si="296"/>
        <v>5.5858070347697974E-7</v>
      </c>
      <c r="AE314" s="3">
        <f t="shared" si="296"/>
        <v>2.3226254022595535E-46</v>
      </c>
      <c r="AF314" s="3">
        <f t="shared" si="296"/>
        <v>0</v>
      </c>
      <c r="AG314" s="3"/>
      <c r="AH314" s="3"/>
    </row>
    <row r="315" spans="1:34" x14ac:dyDescent="0.25">
      <c r="B315" s="3">
        <f t="shared" ref="B315:AF315" si="297">$C45*EXP(-B$285/$A45/EXP(-$F$126))</f>
        <v>6.4459854313467695E-3</v>
      </c>
      <c r="C315" s="3">
        <f t="shared" si="297"/>
        <v>6.4459854313467695E-3</v>
      </c>
      <c r="D315" s="3">
        <f t="shared" si="297"/>
        <v>6.4459854313467695E-3</v>
      </c>
      <c r="E315" s="3">
        <f t="shared" si="297"/>
        <v>6.4459854313467695E-3</v>
      </c>
      <c r="F315" s="3">
        <f t="shared" si="297"/>
        <v>6.4459854313467695E-3</v>
      </c>
      <c r="G315" s="3">
        <f t="shared" si="297"/>
        <v>6.4459854313467695E-3</v>
      </c>
      <c r="H315" s="3">
        <f t="shared" si="297"/>
        <v>6.4459854313467695E-3</v>
      </c>
      <c r="I315" s="3">
        <f t="shared" si="297"/>
        <v>6.4459854313467695E-3</v>
      </c>
      <c r="J315" s="3">
        <f t="shared" si="297"/>
        <v>6.4459854313467695E-3</v>
      </c>
      <c r="K315" s="3">
        <f t="shared" si="297"/>
        <v>6.4459854313467695E-3</v>
      </c>
      <c r="L315" s="3">
        <f t="shared" si="297"/>
        <v>6.4459854313467695E-3</v>
      </c>
      <c r="M315" s="3">
        <f t="shared" si="297"/>
        <v>6.4459854313467695E-3</v>
      </c>
      <c r="N315" s="3">
        <f t="shared" si="297"/>
        <v>6.4459854313467686E-3</v>
      </c>
      <c r="O315" s="3">
        <f t="shared" si="297"/>
        <v>6.4459854313467634E-3</v>
      </c>
      <c r="P315" s="3">
        <f t="shared" si="297"/>
        <v>6.4459854313467044E-3</v>
      </c>
      <c r="Q315" s="3">
        <f t="shared" si="297"/>
        <v>6.4459854313461198E-3</v>
      </c>
      <c r="R315" s="3">
        <f t="shared" si="297"/>
        <v>6.4459854313402747E-3</v>
      </c>
      <c r="S315" s="3">
        <f t="shared" si="297"/>
        <v>6.4459854312818241E-3</v>
      </c>
      <c r="T315" s="3">
        <f t="shared" si="297"/>
        <v>6.4459854306973124E-3</v>
      </c>
      <c r="U315" s="3">
        <f t="shared" si="297"/>
        <v>6.4459854248521999E-3</v>
      </c>
      <c r="V315" s="3">
        <f t="shared" si="297"/>
        <v>6.4459853664010679E-3</v>
      </c>
      <c r="W315" s="3">
        <f t="shared" si="297"/>
        <v>6.4459847818897813E-3</v>
      </c>
      <c r="X315" s="3">
        <f t="shared" si="297"/>
        <v>6.4459789367798306E-3</v>
      </c>
      <c r="Y315" s="3">
        <f t="shared" si="297"/>
        <v>6.44592048597184E-3</v>
      </c>
      <c r="Z315" s="3">
        <f t="shared" si="297"/>
        <v>6.4453360070422299E-3</v>
      </c>
      <c r="AA315" s="3">
        <f t="shared" si="297"/>
        <v>6.4394941317983635E-3</v>
      </c>
      <c r="AB315" s="3">
        <f t="shared" si="297"/>
        <v>6.3813658092565706E-3</v>
      </c>
      <c r="AC315" s="3">
        <f t="shared" si="297"/>
        <v>5.8281743381013622E-3</v>
      </c>
      <c r="AD315" s="3">
        <f t="shared" si="297"/>
        <v>2.353539365589301E-3</v>
      </c>
      <c r="AE315" s="3">
        <f t="shared" si="297"/>
        <v>2.7140059225956423E-7</v>
      </c>
      <c r="AF315" s="3">
        <f t="shared" si="297"/>
        <v>1.1285064196571016E-46</v>
      </c>
      <c r="AG315" s="3"/>
      <c r="AH315" s="3"/>
    </row>
    <row r="316" spans="1:34" x14ac:dyDescent="0.25">
      <c r="B316" s="3">
        <f t="shared" ref="B316:AF316" si="298">$C46*EXP(-B$285/$A46/EXP(-$F$126))</f>
        <v>3.3152683029349498E-3</v>
      </c>
      <c r="C316" s="3">
        <f t="shared" si="298"/>
        <v>3.3152683029349498E-3</v>
      </c>
      <c r="D316" s="3">
        <f t="shared" si="298"/>
        <v>3.3152683029349498E-3</v>
      </c>
      <c r="E316" s="3">
        <f t="shared" si="298"/>
        <v>3.3152683029349498E-3</v>
      </c>
      <c r="F316" s="3">
        <f t="shared" si="298"/>
        <v>3.3152683029349498E-3</v>
      </c>
      <c r="G316" s="3">
        <f t="shared" si="298"/>
        <v>3.3152683029349498E-3</v>
      </c>
      <c r="H316" s="3">
        <f t="shared" si="298"/>
        <v>3.3152683029349498E-3</v>
      </c>
      <c r="I316" s="3">
        <f t="shared" si="298"/>
        <v>3.3152683029349498E-3</v>
      </c>
      <c r="J316" s="3">
        <f t="shared" si="298"/>
        <v>3.3152683029349498E-3</v>
      </c>
      <c r="K316" s="3">
        <f t="shared" si="298"/>
        <v>3.3152683029349498E-3</v>
      </c>
      <c r="L316" s="3">
        <f t="shared" si="298"/>
        <v>3.3152683029349498E-3</v>
      </c>
      <c r="M316" s="3">
        <f t="shared" si="298"/>
        <v>3.3152683029349498E-3</v>
      </c>
      <c r="N316" s="3">
        <f t="shared" si="298"/>
        <v>3.3152683029349498E-3</v>
      </c>
      <c r="O316" s="3">
        <f t="shared" si="298"/>
        <v>3.3152683029349494E-3</v>
      </c>
      <c r="P316" s="3">
        <f t="shared" si="298"/>
        <v>3.3152683029349463E-3</v>
      </c>
      <c r="Q316" s="3">
        <f t="shared" si="298"/>
        <v>3.3152683029349164E-3</v>
      </c>
      <c r="R316" s="3">
        <f t="shared" si="298"/>
        <v>3.3152683029346154E-3</v>
      </c>
      <c r="S316" s="3">
        <f t="shared" si="298"/>
        <v>3.3152683029316096E-3</v>
      </c>
      <c r="T316" s="3">
        <f t="shared" si="298"/>
        <v>3.3152683029015473E-3</v>
      </c>
      <c r="U316" s="3">
        <f t="shared" si="298"/>
        <v>3.315268302600924E-3</v>
      </c>
      <c r="V316" s="3">
        <f t="shared" si="298"/>
        <v>3.3152682995946938E-3</v>
      </c>
      <c r="W316" s="3">
        <f t="shared" si="298"/>
        <v>3.3152682695323883E-3</v>
      </c>
      <c r="X316" s="3">
        <f t="shared" si="298"/>
        <v>3.3152679689093471E-3</v>
      </c>
      <c r="Y316" s="3">
        <f t="shared" si="298"/>
        <v>3.3152649626804389E-3</v>
      </c>
      <c r="Z316" s="3">
        <f t="shared" si="298"/>
        <v>3.3152349005412863E-3</v>
      </c>
      <c r="AA316" s="3">
        <f t="shared" si="298"/>
        <v>3.3149342941422018E-3</v>
      </c>
      <c r="AB316" s="3">
        <f t="shared" si="298"/>
        <v>3.31192972889272E-3</v>
      </c>
      <c r="AC316" s="3">
        <f t="shared" si="298"/>
        <v>3.2820334489091453E-3</v>
      </c>
      <c r="AD316" s="3">
        <f t="shared" si="298"/>
        <v>2.9975186653577899E-3</v>
      </c>
      <c r="AE316" s="3">
        <f t="shared" si="298"/>
        <v>1.2104610755872634E-3</v>
      </c>
      <c r="AF316" s="3">
        <f t="shared" si="298"/>
        <v>1.3958545058764063E-7</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1.0813254106264341E-2</v>
      </c>
      <c r="C318" s="3">
        <f t="shared" si="300"/>
        <v>1.0813254106264341E-2</v>
      </c>
      <c r="D318" s="3">
        <f t="shared" si="300"/>
        <v>1.0813254106264341E-2</v>
      </c>
      <c r="E318" s="3">
        <f t="shared" si="300"/>
        <v>1.0813254106264341E-2</v>
      </c>
      <c r="F318" s="3">
        <f t="shared" si="300"/>
        <v>1.0813254106264341E-2</v>
      </c>
      <c r="G318" s="3">
        <f t="shared" si="300"/>
        <v>1.0813254106264341E-2</v>
      </c>
      <c r="H318" s="3">
        <f t="shared" si="300"/>
        <v>1.0813254106264341E-2</v>
      </c>
      <c r="I318" s="3">
        <f t="shared" si="300"/>
        <v>1.0813254106264341E-2</v>
      </c>
      <c r="J318" s="3">
        <f t="shared" si="300"/>
        <v>1.0813254106264341E-2</v>
      </c>
      <c r="K318" s="3">
        <f t="shared" si="300"/>
        <v>1.0813254106264341E-2</v>
      </c>
      <c r="L318" s="3">
        <f t="shared" si="300"/>
        <v>1.0813254106264341E-2</v>
      </c>
      <c r="M318" s="3">
        <f t="shared" si="300"/>
        <v>1.0813254106264341E-2</v>
      </c>
      <c r="N318" s="3">
        <f t="shared" si="300"/>
        <v>1.0813254106264341E-2</v>
      </c>
      <c r="O318" s="3">
        <f t="shared" si="300"/>
        <v>1.0813254106264341E-2</v>
      </c>
      <c r="P318" s="3">
        <f t="shared" si="300"/>
        <v>1.0813254106264341E-2</v>
      </c>
      <c r="Q318" s="3">
        <f t="shared" si="300"/>
        <v>1.0813254106264339E-2</v>
      </c>
      <c r="R318" s="3">
        <f t="shared" si="300"/>
        <v>1.081325410626433E-2</v>
      </c>
      <c r="S318" s="3">
        <f t="shared" si="300"/>
        <v>1.0813254106264231E-2</v>
      </c>
      <c r="T318" s="3">
        <f t="shared" si="300"/>
        <v>1.0813254106263251E-2</v>
      </c>
      <c r="U318" s="3">
        <f t="shared" si="300"/>
        <v>1.0813254106253447E-2</v>
      </c>
      <c r="V318" s="3">
        <f t="shared" si="300"/>
        <v>1.0813254106155393E-2</v>
      </c>
      <c r="W318" s="3">
        <f t="shared" si="300"/>
        <v>1.0813254105174865E-2</v>
      </c>
      <c r="X318" s="3">
        <f t="shared" si="300"/>
        <v>1.0813254095369585E-2</v>
      </c>
      <c r="Y318" s="3">
        <f t="shared" si="300"/>
        <v>1.0813253997316781E-2</v>
      </c>
      <c r="Z318" s="3">
        <f t="shared" si="300"/>
        <v>1.0813253016788801E-2</v>
      </c>
      <c r="AA318" s="3">
        <f t="shared" si="300"/>
        <v>1.08132432115139E-2</v>
      </c>
      <c r="AB318" s="3">
        <f t="shared" si="300"/>
        <v>1.0813145159253893E-2</v>
      </c>
      <c r="AC318" s="3">
        <f t="shared" si="300"/>
        <v>1.0812164685553951E-2</v>
      </c>
      <c r="AD318" s="3">
        <f t="shared" si="300"/>
        <v>1.0802364836928507E-2</v>
      </c>
      <c r="AE318" s="3">
        <f t="shared" si="300"/>
        <v>1.0704853551941942E-2</v>
      </c>
      <c r="AF318" s="3">
        <f t="shared" si="300"/>
        <v>9.7768651146845405E-3</v>
      </c>
      <c r="AG318" s="3"/>
      <c r="AH318" s="3"/>
    </row>
    <row r="319" spans="1:34" x14ac:dyDescent="0.25">
      <c r="A319" s="79">
        <f>AVERAGE(B319:AF319)</f>
        <v>1.188149874261937E-3</v>
      </c>
      <c r="B319" s="80">
        <f>IF($A$64&lt;=B285,IF($B$64&gt;=B285,ABS((B287-B286)/B286),0),0)</f>
        <v>8.7815856979002842E-3</v>
      </c>
      <c r="C319" s="80">
        <f t="shared" ref="C319:AF319" si="301">IF($A$64&lt;=C285,IF($B$64&gt;=C285,ABS((C287-C286)/C286),0),0)</f>
        <v>1.161747655338684E-2</v>
      </c>
      <c r="D319" s="80">
        <f t="shared" si="301"/>
        <v>3.2299139314460284E-3</v>
      </c>
      <c r="E319" s="80">
        <f t="shared" si="301"/>
        <v>4.7591274483066014E-4</v>
      </c>
      <c r="F319" s="80">
        <f t="shared" si="301"/>
        <v>1.4930026660901275E-4</v>
      </c>
      <c r="G319" s="80">
        <f t="shared" si="301"/>
        <v>6.8865347025438251E-5</v>
      </c>
      <c r="H319" s="80">
        <f t="shared" si="301"/>
        <v>1.0063210460485472E-4</v>
      </c>
      <c r="I319" s="80">
        <f t="shared" si="301"/>
        <v>9.0549108616978194E-5</v>
      </c>
      <c r="J319" s="80">
        <f t="shared" si="301"/>
        <v>1.5323126605869104E-4</v>
      </c>
      <c r="K319" s="80">
        <f t="shared" si="301"/>
        <v>2.1143698034855318E-5</v>
      </c>
      <c r="L319" s="80">
        <f t="shared" si="301"/>
        <v>2.9205773758577547E-4</v>
      </c>
      <c r="M319" s="80">
        <f t="shared" si="301"/>
        <v>5.9429493076231127E-5</v>
      </c>
      <c r="N319" s="80">
        <f t="shared" si="301"/>
        <v>4.6313498628888913E-4</v>
      </c>
      <c r="O319" s="80">
        <f t="shared" si="301"/>
        <v>1.9044686561338532E-4</v>
      </c>
      <c r="P319" s="80">
        <f t="shared" si="301"/>
        <v>4.5065666816682581E-4</v>
      </c>
      <c r="Q319" s="80">
        <f t="shared" si="301"/>
        <v>9.3038796350636949E-5</v>
      </c>
      <c r="R319" s="80">
        <f t="shared" si="301"/>
        <v>5.3432594324351269E-4</v>
      </c>
      <c r="S319" s="80">
        <f t="shared" si="301"/>
        <v>4.349133596316916E-4</v>
      </c>
      <c r="T319" s="80">
        <f t="shared" si="301"/>
        <v>6.2391019278295234E-4</v>
      </c>
      <c r="U319" s="80">
        <f t="shared" si="301"/>
        <v>4.5965554974091843E-4</v>
      </c>
      <c r="V319" s="80">
        <f t="shared" si="301"/>
        <v>5.0365584330577709E-4</v>
      </c>
      <c r="W319" s="80">
        <f t="shared" si="301"/>
        <v>3.959536001622825E-4</v>
      </c>
      <c r="X319" s="80">
        <f t="shared" si="301"/>
        <v>7.4439825715984242E-4</v>
      </c>
      <c r="Y319" s="80">
        <f t="shared" si="301"/>
        <v>8.3811953786119679E-4</v>
      </c>
      <c r="Z319" s="80">
        <f t="shared" si="301"/>
        <v>1.1404304294091491E-3</v>
      </c>
      <c r="AA319" s="80">
        <f t="shared" si="301"/>
        <v>1.2576333747614152E-3</v>
      </c>
      <c r="AB319" s="80">
        <f t="shared" si="301"/>
        <v>1.3994749525488319E-3</v>
      </c>
      <c r="AC319" s="80">
        <f t="shared" si="301"/>
        <v>8.054854749751807E-4</v>
      </c>
      <c r="AD319" s="80">
        <f t="shared" si="301"/>
        <v>8.7444762471535018E-4</v>
      </c>
      <c r="AE319" s="80">
        <f t="shared" si="301"/>
        <v>6.1504261800517733E-5</v>
      </c>
      <c r="AF319" s="80">
        <f t="shared" si="301"/>
        <v>5.2136243442603512E-4</v>
      </c>
    </row>
    <row r="320" spans="1:34" x14ac:dyDescent="0.25">
      <c r="B320" s="21">
        <f>(B287-B286)^2</f>
        <v>3608.5484675759471</v>
      </c>
      <c r="C320" s="21">
        <f t="shared" ref="C320:AF320" si="302">(C287-C286)^2</f>
        <v>5957.0344532481513</v>
      </c>
      <c r="D320" s="21">
        <f t="shared" si="302"/>
        <v>444.45737644701313</v>
      </c>
      <c r="E320" s="21">
        <f t="shared" si="302"/>
        <v>9.3148761871612784</v>
      </c>
      <c r="F320" s="21">
        <f t="shared" si="302"/>
        <v>0.88101003675880729</v>
      </c>
      <c r="G320" s="21">
        <f t="shared" si="302"/>
        <v>0.1794534268375102</v>
      </c>
      <c r="H320" s="21">
        <f t="shared" si="302"/>
        <v>0.3644509814435839</v>
      </c>
      <c r="I320" s="21">
        <f t="shared" si="302"/>
        <v>0.27908067960514837</v>
      </c>
      <c r="J320" s="21">
        <f t="shared" si="302"/>
        <v>0.75236769404992876</v>
      </c>
      <c r="K320" s="21">
        <f t="shared" si="302"/>
        <v>1.3526559978429208E-2</v>
      </c>
      <c r="L320" s="21">
        <f t="shared" si="302"/>
        <v>2.4105505999604819</v>
      </c>
      <c r="M320" s="21">
        <f t="shared" si="302"/>
        <v>9.168238859161229E-2</v>
      </c>
      <c r="N320" s="21">
        <f t="shared" si="302"/>
        <v>5.0655860648824174</v>
      </c>
      <c r="O320" s="21">
        <f t="shared" si="302"/>
        <v>0.78553650475794923</v>
      </c>
      <c r="P320" s="21">
        <f t="shared" si="302"/>
        <v>4.0564524488177103</v>
      </c>
      <c r="Q320" s="21">
        <f t="shared" si="302"/>
        <v>0.15767756966537089</v>
      </c>
      <c r="R320" s="21">
        <f t="shared" si="302"/>
        <v>4.5151827752972578</v>
      </c>
      <c r="S320" s="21">
        <f t="shared" si="302"/>
        <v>2.2456916473378916</v>
      </c>
      <c r="T320" s="21">
        <f t="shared" si="302"/>
        <v>3.1382449361936748</v>
      </c>
      <c r="U320" s="21">
        <f t="shared" si="302"/>
        <v>1.1554909479145024</v>
      </c>
      <c r="V320" s="21">
        <f t="shared" si="302"/>
        <v>0.97482105405291386</v>
      </c>
      <c r="W320" s="21">
        <f t="shared" si="302"/>
        <v>0.43010683429922192</v>
      </c>
      <c r="X320" s="21">
        <f t="shared" si="302"/>
        <v>1.0663398712172116</v>
      </c>
      <c r="Y320" s="21">
        <f t="shared" si="302"/>
        <v>0.88131130269545299</v>
      </c>
      <c r="Z320" s="21">
        <f t="shared" si="302"/>
        <v>0.93811825263506332</v>
      </c>
      <c r="AA320" s="21">
        <f t="shared" si="302"/>
        <v>0.57323245176585536</v>
      </c>
      <c r="AB320" s="21">
        <f t="shared" si="302"/>
        <v>0.33657922389449801</v>
      </c>
      <c r="AC320" s="21">
        <f t="shared" si="302"/>
        <v>5.7139782950272312E-2</v>
      </c>
      <c r="AD320" s="21">
        <f t="shared" si="302"/>
        <v>4.2770504827799323E-2</v>
      </c>
      <c r="AE320" s="21">
        <f t="shared" si="302"/>
        <v>1.6153703931979426E-4</v>
      </c>
      <c r="AF320" s="21">
        <f t="shared" si="302"/>
        <v>1.0000162219711993E-2</v>
      </c>
      <c r="AG320" s="3"/>
      <c r="AH320" s="3"/>
    </row>
    <row r="321" spans="1:34" x14ac:dyDescent="0.25">
      <c r="A321" s="71">
        <f>SUM(B321:AF321)</f>
        <v>10050.757739697963</v>
      </c>
      <c r="B321" s="60">
        <f>IF($A$64&lt;=B285,IF($B$64&gt;=B285,ABS(B320),0),0)</f>
        <v>3608.5484675759471</v>
      </c>
      <c r="C321" s="60">
        <f t="shared" ref="C321" si="303">IF($A$64&lt;=C285,IF($B$64&gt;=C285,ABS(C320),0),0)</f>
        <v>5957.0344532481513</v>
      </c>
      <c r="D321" s="60">
        <f t="shared" ref="D321" si="304">IF($A$64&lt;=D285,IF($B$64&gt;=D285,ABS(D320),0),0)</f>
        <v>444.45737644701313</v>
      </c>
      <c r="E321" s="60">
        <f t="shared" ref="E321" si="305">IF($A$64&lt;=E285,IF($B$64&gt;=E285,ABS(E320),0),0)</f>
        <v>9.3148761871612784</v>
      </c>
      <c r="F321" s="60">
        <f t="shared" ref="F321" si="306">IF($A$64&lt;=F285,IF($B$64&gt;=F285,ABS(F320),0),0)</f>
        <v>0.88101003675880729</v>
      </c>
      <c r="G321" s="60">
        <f t="shared" ref="G321" si="307">IF($A$64&lt;=G285,IF($B$64&gt;=G285,ABS(G320),0),0)</f>
        <v>0.1794534268375102</v>
      </c>
      <c r="H321" s="60">
        <f t="shared" ref="H321" si="308">IF($A$64&lt;=H285,IF($B$64&gt;=H285,ABS(H320),0),0)</f>
        <v>0.3644509814435839</v>
      </c>
      <c r="I321" s="60">
        <f t="shared" ref="I321" si="309">IF($A$64&lt;=I285,IF($B$64&gt;=I285,ABS(I320),0),0)</f>
        <v>0.27908067960514837</v>
      </c>
      <c r="J321" s="60">
        <f t="shared" ref="J321" si="310">IF($A$64&lt;=J285,IF($B$64&gt;=J285,ABS(J320),0),0)</f>
        <v>0.75236769404992876</v>
      </c>
      <c r="K321" s="60">
        <f t="shared" ref="K321" si="311">IF($A$64&lt;=K285,IF($B$64&gt;=K285,ABS(K320),0),0)</f>
        <v>1.3526559978429208E-2</v>
      </c>
      <c r="L321" s="60">
        <f t="shared" ref="L321" si="312">IF($A$64&lt;=L285,IF($B$64&gt;=L285,ABS(L320),0),0)</f>
        <v>2.4105505999604819</v>
      </c>
      <c r="M321" s="60">
        <f t="shared" ref="M321" si="313">IF($A$64&lt;=M285,IF($B$64&gt;=M285,ABS(M320),0),0)</f>
        <v>9.168238859161229E-2</v>
      </c>
      <c r="N321" s="60">
        <f t="shared" ref="N321" si="314">IF($A$64&lt;=N285,IF($B$64&gt;=N285,ABS(N320),0),0)</f>
        <v>5.0655860648824174</v>
      </c>
      <c r="O321" s="60">
        <f t="shared" ref="O321" si="315">IF($A$64&lt;=O285,IF($B$64&gt;=O285,ABS(O320),0),0)</f>
        <v>0.78553650475794923</v>
      </c>
      <c r="P321" s="60">
        <f t="shared" ref="P321" si="316">IF($A$64&lt;=P285,IF($B$64&gt;=P285,ABS(P320),0),0)</f>
        <v>4.0564524488177103</v>
      </c>
      <c r="Q321" s="60">
        <f t="shared" ref="Q321" si="317">IF($A$64&lt;=Q285,IF($B$64&gt;=Q285,ABS(Q320),0),0)</f>
        <v>0.15767756966537089</v>
      </c>
      <c r="R321" s="60">
        <f t="shared" ref="R321" si="318">IF($A$64&lt;=R285,IF($B$64&gt;=R285,ABS(R320),0),0)</f>
        <v>4.5151827752972578</v>
      </c>
      <c r="S321" s="60">
        <f t="shared" ref="S321" si="319">IF($A$64&lt;=S285,IF($B$64&gt;=S285,ABS(S320),0),0)</f>
        <v>2.2456916473378916</v>
      </c>
      <c r="T321" s="60">
        <f t="shared" ref="T321" si="320">IF($A$64&lt;=T285,IF($B$64&gt;=T285,ABS(T320),0),0)</f>
        <v>3.1382449361936748</v>
      </c>
      <c r="U321" s="60">
        <f t="shared" ref="U321" si="321">IF($A$64&lt;=U285,IF($B$64&gt;=U285,ABS(U320),0),0)</f>
        <v>1.1554909479145024</v>
      </c>
      <c r="V321" s="60">
        <f t="shared" ref="V321" si="322">IF($A$64&lt;=V285,IF($B$64&gt;=V285,ABS(V320),0),0)</f>
        <v>0.97482105405291386</v>
      </c>
      <c r="W321" s="60">
        <f t="shared" ref="W321" si="323">IF($A$64&lt;=W285,IF($B$64&gt;=W285,ABS(W320),0),0)</f>
        <v>0.43010683429922192</v>
      </c>
      <c r="X321" s="60">
        <f t="shared" ref="X321" si="324">IF($A$64&lt;=X285,IF($B$64&gt;=X285,ABS(X320),0),0)</f>
        <v>1.0663398712172116</v>
      </c>
      <c r="Y321" s="60">
        <f t="shared" ref="Y321" si="325">IF($A$64&lt;=Y285,IF($B$64&gt;=Y285,ABS(Y320),0),0)</f>
        <v>0.88131130269545299</v>
      </c>
      <c r="Z321" s="60">
        <f t="shared" ref="Z321" si="326">IF($A$64&lt;=Z285,IF($B$64&gt;=Z285,ABS(Z320),0),0)</f>
        <v>0.93811825263506332</v>
      </c>
      <c r="AA321" s="60">
        <f t="shared" ref="AA321" si="327">IF($A$64&lt;=AA285,IF($B$64&gt;=AA285,ABS(AA320),0),0)</f>
        <v>0.57323245176585536</v>
      </c>
      <c r="AB321" s="60">
        <f t="shared" ref="AB321" si="328">IF($A$64&lt;=AB285,IF($B$64&gt;=AB285,ABS(AB320),0),0)</f>
        <v>0.33657922389449801</v>
      </c>
      <c r="AC321" s="60">
        <f t="shared" ref="AC321" si="329">IF($A$64&lt;=AC285,IF($B$64&gt;=AC285,ABS(AC320),0),0)</f>
        <v>5.7139782950272312E-2</v>
      </c>
      <c r="AD321" s="60">
        <f t="shared" ref="AD321" si="330">IF($A$64&lt;=AD285,IF($B$64&gt;=AD285,ABS(AD320),0),0)</f>
        <v>4.2770504827799323E-2</v>
      </c>
      <c r="AE321" s="60">
        <f t="shared" ref="AE321" si="331">IF($A$64&lt;=AE285,IF($B$64&gt;=AE285,ABS(AE320),0),0)</f>
        <v>1.6153703931979426E-4</v>
      </c>
      <c r="AF321" s="60">
        <f t="shared" ref="AF321" si="332">IF($A$64&lt;=AF285,IF($B$64&gt;=AF285,ABS(AF320),0),0)</f>
        <v>1.0000162219711993E-2</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5776.5900052436255</v>
      </c>
      <c r="C325" s="26">
        <f>INDEX(Comparison!$AM$3:$AS$33,G$14,$G$122)</f>
        <v>5571.6920956359099</v>
      </c>
      <c r="D325" s="26">
        <f>INDEX(Comparison!$AM$3:$AS$33,H$14,$G$122)</f>
        <v>5400.7646013667554</v>
      </c>
      <c r="E325" s="26">
        <f>INDEX(Comparison!$AM$3:$AS$33,I$14,$G$122)</f>
        <v>5215.0678795321228</v>
      </c>
      <c r="F325" s="26">
        <f>INDEX(Comparison!$AM$3:$AS$33,J$14,$G$122)</f>
        <v>4985.425095489265</v>
      </c>
      <c r="G325" s="26">
        <f>INDEX(Comparison!$AM$3:$AS$33,K$14,$G$122)</f>
        <v>4758.3350912889036</v>
      </c>
      <c r="H325" s="26">
        <f>INDEX(Comparison!$AM$3:$AS$33,L$14,$G$122)</f>
        <v>4565.5114420012915</v>
      </c>
      <c r="I325" s="26">
        <f>INDEX(Comparison!$AM$3:$AS$33,M$14,$G$122)</f>
        <v>4384.874474223483</v>
      </c>
      <c r="J325" s="26">
        <f>INDEX(Comparison!$AM$3:$AS$33,N$14,$G$122)</f>
        <v>4203.1654341512503</v>
      </c>
      <c r="K325" s="26">
        <f>INDEX(Comparison!$AM$3:$AS$33,O$14,$G$122)</f>
        <v>4026.8171479490911</v>
      </c>
      <c r="L325" s="26">
        <f>INDEX(Comparison!$AM$3:$AS$33,P$14,$G$122)</f>
        <v>3842.8247437350828</v>
      </c>
      <c r="M325" s="26">
        <f>INDEX(Comparison!$AM$3:$AS$33,Q$14,$G$122)</f>
        <v>3637.9090125528774</v>
      </c>
      <c r="N325" s="26">
        <f>INDEX(Comparison!$AM$3:$AS$33,R$14,$G$122)</f>
        <v>3407.0475124340101</v>
      </c>
      <c r="O325" s="26">
        <f>INDEX(Comparison!$AM$3:$AS$33,S$14,$G$122)</f>
        <v>3145.7192687287707</v>
      </c>
      <c r="P325" s="26">
        <f>INDEX(Comparison!$AM$3:$AS$33,T$14,$G$122)</f>
        <v>2837.9758401657195</v>
      </c>
      <c r="Q325" s="26">
        <f>INDEX(Comparison!$AM$3:$AS$33,U$14,$G$122)</f>
        <v>2426.1662837806571</v>
      </c>
      <c r="R325" s="26">
        <f>INDEX(Comparison!$AM$3:$AS$33,V$14,$G$122)</f>
        <v>1854.808278855141</v>
      </c>
      <c r="S325" s="26">
        <f>INDEX(Comparison!$AM$3:$AS$33,W$14,$G$122)</f>
        <v>1269.173844412863</v>
      </c>
      <c r="T325" s="26">
        <f>INDEX(Comparison!$AM$3:$AS$33,X$14,$G$122)</f>
        <v>808.20803145416335</v>
      </c>
      <c r="U325" s="26">
        <f>INDEX(Comparison!$AM$3:$AS$33,Y$14,$G$122)</f>
        <v>509.02880387480866</v>
      </c>
      <c r="V325" s="26">
        <f>INDEX(Comparison!$AM$3:$AS$33,Z$14,$G$122)</f>
        <v>344.05387649356049</v>
      </c>
      <c r="W325" s="26">
        <f>INDEX(Comparison!$AM$3:$AS$33,AA$14,$G$122)</f>
        <v>262.73242624087396</v>
      </c>
      <c r="X325" s="26">
        <f>INDEX(Comparison!$AM$3:$AS$33,AB$14,$G$122)</f>
        <v>222.939887660718</v>
      </c>
      <c r="Y325" s="26">
        <f>INDEX(Comparison!$AM$3:$AS$33,AC$14,$G$122)</f>
        <v>201.32214117210117</v>
      </c>
      <c r="Z325" s="26">
        <f>INDEX(Comparison!$AM$3:$AS$33,AD$14,$G$122)</f>
        <v>188.02569432355588</v>
      </c>
      <c r="AA325" s="26">
        <f>INDEX(Comparison!$AM$3:$AS$33,AE$14,$G$122)</f>
        <v>181.14617749166206</v>
      </c>
      <c r="AB325" s="26">
        <f>INDEX(Comparison!$AM$3:$AS$33,AF$14,$G$122)</f>
        <v>171.73287142228415</v>
      </c>
      <c r="AC325" s="26">
        <f>INDEX(Comparison!$AM$3:$AS$33,AG$14,$G$122)</f>
        <v>164.88164851800227</v>
      </c>
      <c r="AD325" s="26">
        <f>INDEX(Comparison!$AM$3:$AS$33,AH$14,$G$122)</f>
        <v>164.50146393142782</v>
      </c>
      <c r="AE325" s="26">
        <f>INDEX(Comparison!$AM$3:$AS$33,AI$14,$G$122)</f>
        <v>163.00727748318997</v>
      </c>
      <c r="AF325" s="26">
        <f>INDEX(Comparison!$AM$3:$AS$33,AJ$14,$G$122)</f>
        <v>162.92272722143832</v>
      </c>
      <c r="AG325" s="26"/>
      <c r="AH325" s="26"/>
    </row>
    <row r="326" spans="1:34" x14ac:dyDescent="0.25">
      <c r="A326" s="77" t="s">
        <v>22</v>
      </c>
      <c r="B326" s="27">
        <f>($C$17+SUM(B327:B357))*$B$51</f>
        <v>6097.3123188504915</v>
      </c>
      <c r="C326" s="27">
        <f t="shared" ref="C326:AF326" si="333">($C$17+SUM(C327:C357))*$B$51</f>
        <v>5937.2793655990699</v>
      </c>
      <c r="D326" s="27">
        <f t="shared" si="333"/>
        <v>5766.7169411969071</v>
      </c>
      <c r="E326" s="27">
        <f t="shared" si="333"/>
        <v>5592.4521316290929</v>
      </c>
      <c r="F326" s="27">
        <f t="shared" si="333"/>
        <v>5431.9695051059316</v>
      </c>
      <c r="G326" s="27">
        <f t="shared" si="333"/>
        <v>5225.7809719802126</v>
      </c>
      <c r="H326" s="27">
        <f t="shared" si="333"/>
        <v>4995.6091434943564</v>
      </c>
      <c r="I326" s="27">
        <f t="shared" si="333"/>
        <v>4757.5596235187268</v>
      </c>
      <c r="J326" s="27">
        <f t="shared" si="333"/>
        <v>4580.6052100226334</v>
      </c>
      <c r="K326" s="27">
        <f t="shared" si="333"/>
        <v>4376.6506324827105</v>
      </c>
      <c r="L326" s="27">
        <f t="shared" si="333"/>
        <v>4179.0464139323585</v>
      </c>
      <c r="M326" s="27">
        <f t="shared" si="333"/>
        <v>3770.0083123143036</v>
      </c>
      <c r="N326" s="27">
        <f t="shared" si="333"/>
        <v>3185.0298548424935</v>
      </c>
      <c r="O326" s="27">
        <f t="shared" si="333"/>
        <v>2623.1691449646114</v>
      </c>
      <c r="P326" s="27">
        <f t="shared" si="333"/>
        <v>2184.3324464743141</v>
      </c>
      <c r="Q326" s="27">
        <f t="shared" si="333"/>
        <v>1835.0877556522917</v>
      </c>
      <c r="R326" s="27">
        <f t="shared" si="333"/>
        <v>1571.4924572107411</v>
      </c>
      <c r="S326" s="27">
        <f t="shared" si="333"/>
        <v>1270.4299408698562</v>
      </c>
      <c r="T326" s="27">
        <f t="shared" si="333"/>
        <v>1007.3210670565453</v>
      </c>
      <c r="U326" s="27">
        <f t="shared" si="333"/>
        <v>735.33845754688821</v>
      </c>
      <c r="V326" s="27">
        <f t="shared" si="333"/>
        <v>512.37075070890262</v>
      </c>
      <c r="W326" s="27">
        <f t="shared" si="333"/>
        <v>352.83552757123408</v>
      </c>
      <c r="X326" s="27">
        <f t="shared" si="333"/>
        <v>264.42169267916171</v>
      </c>
      <c r="Y326" s="27">
        <f t="shared" si="333"/>
        <v>220.5966677577473</v>
      </c>
      <c r="Z326" s="27">
        <f t="shared" si="333"/>
        <v>199.02606364444026</v>
      </c>
      <c r="AA326" s="27">
        <f t="shared" si="333"/>
        <v>182.31069901156368</v>
      </c>
      <c r="AB326" s="27">
        <f t="shared" si="333"/>
        <v>129.63658416125847</v>
      </c>
      <c r="AC326" s="27">
        <f t="shared" si="333"/>
        <v>123.34189230358594</v>
      </c>
      <c r="AD326" s="27">
        <f t="shared" si="333"/>
        <v>123.34189230237673</v>
      </c>
      <c r="AE326" s="27">
        <f t="shared" si="333"/>
        <v>123.34189230237673</v>
      </c>
      <c r="AF326" s="27">
        <f t="shared" si="333"/>
        <v>123.34189230237673</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2.8664801858877964E-252</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6.5700681274710627E-25</v>
      </c>
      <c r="C330" s="3">
        <f t="shared" si="337"/>
        <v>1.9087413494646411E-227</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1.8035376148979617E-4</v>
      </c>
      <c r="C331" s="3">
        <f t="shared" si="338"/>
        <v>9.6742842715869417E-23</v>
      </c>
      <c r="D331" s="3">
        <f t="shared" si="338"/>
        <v>1.9078984119670204E-205</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1.5247005988109585E-2</v>
      </c>
      <c r="C332" s="3">
        <f t="shared" si="339"/>
        <v>3.4279375489692978E-4</v>
      </c>
      <c r="D332" s="3">
        <f t="shared" si="339"/>
        <v>1.131139595134371E-20</v>
      </c>
      <c r="E332" s="3">
        <f t="shared" si="339"/>
        <v>1.7312079682027376E-185</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2.3822956516632091E-2</v>
      </c>
      <c r="C333" s="3">
        <f t="shared" si="340"/>
        <v>1.6916817578116822E-2</v>
      </c>
      <c r="D333" s="3">
        <f t="shared" si="340"/>
        <v>5.5150410215154728E-4</v>
      </c>
      <c r="E333" s="3">
        <f t="shared" si="340"/>
        <v>7.4791037361199348E-19</v>
      </c>
      <c r="F333" s="3">
        <f t="shared" si="340"/>
        <v>1.5734670603166502E-167</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2.7232885234363721E-2</v>
      </c>
      <c r="C334" s="3">
        <f t="shared" si="341"/>
        <v>2.6404731417088895E-2</v>
      </c>
      <c r="D334" s="3">
        <f t="shared" si="341"/>
        <v>1.9389327170325835E-2</v>
      </c>
      <c r="E334" s="3">
        <f t="shared" si="341"/>
        <v>8.8383782653458725E-4</v>
      </c>
      <c r="F334" s="3">
        <f t="shared" si="341"/>
        <v>3.4235055925318409E-17</v>
      </c>
      <c r="G334" s="3">
        <f t="shared" si="341"/>
        <v>2.6028887862592243E-151</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2.1341224186362692E-2</v>
      </c>
      <c r="C335" s="3">
        <f t="shared" si="342"/>
        <v>2.128185416951784E-2</v>
      </c>
      <c r="D335" s="3">
        <f t="shared" si="342"/>
        <v>2.0697162619839695E-2</v>
      </c>
      <c r="E335" s="3">
        <f t="shared" si="342"/>
        <v>1.5664780090574978E-2</v>
      </c>
      <c r="F335" s="3">
        <f t="shared" si="342"/>
        <v>9.661825888440652E-4</v>
      </c>
      <c r="G335" s="3">
        <f t="shared" si="342"/>
        <v>7.6985379069245321E-16</v>
      </c>
      <c r="H335" s="3">
        <f t="shared" si="342"/>
        <v>7.9414299255969232E-137</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3.0208479110398315E-2</v>
      </c>
      <c r="C336" s="3">
        <f t="shared" si="343"/>
        <v>3.0200888555615969E-2</v>
      </c>
      <c r="D336" s="3">
        <f t="shared" si="343"/>
        <v>3.0125087830054992E-2</v>
      </c>
      <c r="E336" s="3">
        <f t="shared" si="343"/>
        <v>2.9377465986101893E-2</v>
      </c>
      <c r="F336" s="3">
        <f t="shared" si="343"/>
        <v>2.2849380792399475E-2</v>
      </c>
      <c r="G336" s="3">
        <f t="shared" si="343"/>
        <v>1.8512943180757633E-3</v>
      </c>
      <c r="H336" s="3">
        <f t="shared" si="343"/>
        <v>2.2567621874250625E-14</v>
      </c>
      <c r="I336" s="3">
        <f t="shared" si="343"/>
        <v>1.6352685313313017E-123</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3.3829492709195899E-2</v>
      </c>
      <c r="C337" s="3">
        <f t="shared" si="344"/>
        <v>3.3828725813357947E-2</v>
      </c>
      <c r="D337" s="3">
        <f t="shared" si="344"/>
        <v>3.3821057811094124E-2</v>
      </c>
      <c r="E337" s="3">
        <f t="shared" si="344"/>
        <v>3.3744473319873292E-2</v>
      </c>
      <c r="F337" s="3">
        <f t="shared" si="344"/>
        <v>3.2988101903235638E-2</v>
      </c>
      <c r="G337" s="3">
        <f t="shared" si="344"/>
        <v>2.6296870099783518E-2</v>
      </c>
      <c r="H337" s="3">
        <f t="shared" si="344"/>
        <v>2.7250306853036175E-3</v>
      </c>
      <c r="I337" s="3">
        <f t="shared" si="344"/>
        <v>3.8908524051033864E-13</v>
      </c>
      <c r="J337" s="3">
        <f t="shared" si="344"/>
        <v>1.3701823001502048E-111</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3.8784958673977243E-2</v>
      </c>
      <c r="C338" s="3">
        <f t="shared" si="345"/>
        <v>3.8784879358982824E-2</v>
      </c>
      <c r="D338" s="3">
        <f t="shared" si="345"/>
        <v>3.8784086217959556E-2</v>
      </c>
      <c r="E338" s="3">
        <f t="shared" si="345"/>
        <v>3.8776155699746524E-2</v>
      </c>
      <c r="F338" s="3">
        <f t="shared" si="345"/>
        <v>3.8696939652124861E-2</v>
      </c>
      <c r="G338" s="3">
        <f t="shared" si="345"/>
        <v>3.7913625550626225E-2</v>
      </c>
      <c r="H338" s="3">
        <f t="shared" si="345"/>
        <v>3.090169343258516E-2</v>
      </c>
      <c r="I338" s="3">
        <f t="shared" si="345"/>
        <v>3.9980839730418454E-3</v>
      </c>
      <c r="J338" s="3">
        <f t="shared" si="345"/>
        <v>5.2547036682984694E-12</v>
      </c>
      <c r="K338" s="3">
        <f t="shared" si="345"/>
        <v>8.0818616338285859E-101</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2.3192888349389582E-2</v>
      </c>
      <c r="C339" s="3">
        <f t="shared" si="346"/>
        <v>2.3192884070867305E-2</v>
      </c>
      <c r="D339" s="3">
        <f t="shared" si="346"/>
        <v>2.3192841285687986E-2</v>
      </c>
      <c r="E339" s="3">
        <f t="shared" si="346"/>
        <v>2.3192413438235797E-2</v>
      </c>
      <c r="F339" s="3">
        <f t="shared" si="346"/>
        <v>2.3188135397786747E-2</v>
      </c>
      <c r="G339" s="3">
        <f t="shared" si="346"/>
        <v>2.3145398370965426E-2</v>
      </c>
      <c r="H339" s="3">
        <f t="shared" si="346"/>
        <v>2.2722336407348876E-2</v>
      </c>
      <c r="I339" s="3">
        <f t="shared" si="346"/>
        <v>1.8894536275937165E-2</v>
      </c>
      <c r="J339" s="3">
        <f t="shared" si="346"/>
        <v>2.9865429181625941E-3</v>
      </c>
      <c r="K339" s="3">
        <f t="shared" si="346"/>
        <v>2.9073276979787681E-11</v>
      </c>
      <c r="L339" s="3">
        <f t="shared" si="346"/>
        <v>2.22201119308343E-91</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3.3182413175975756E-2</v>
      </c>
      <c r="C340" s="3">
        <f t="shared" si="347"/>
        <v>3.3182412623779377E-2</v>
      </c>
      <c r="D340" s="3">
        <f t="shared" si="347"/>
        <v>3.3182407101816101E-2</v>
      </c>
      <c r="E340" s="3">
        <f t="shared" si="347"/>
        <v>3.3182351882233861E-2</v>
      </c>
      <c r="F340" s="3">
        <f t="shared" si="347"/>
        <v>3.3181799691465466E-2</v>
      </c>
      <c r="G340" s="3">
        <f t="shared" si="347"/>
        <v>3.3176278289154627E-2</v>
      </c>
      <c r="H340" s="3">
        <f t="shared" si="347"/>
        <v>3.3121114772253615E-2</v>
      </c>
      <c r="I340" s="3">
        <f t="shared" si="347"/>
        <v>3.257449926395338E-2</v>
      </c>
      <c r="J340" s="3">
        <f t="shared" si="347"/>
        <v>2.7580731277892109E-2</v>
      </c>
      <c r="K340" s="3">
        <f t="shared" si="347"/>
        <v>5.222591547851551E-3</v>
      </c>
      <c r="L340" s="3">
        <f t="shared" si="347"/>
        <v>3.095201362963996E-10</v>
      </c>
      <c r="M340" s="3">
        <f t="shared" si="347"/>
        <v>1.654692780095338E-82</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2.0402015946023127E-2</v>
      </c>
      <c r="C341" s="3">
        <f t="shared" si="348"/>
        <v>2.040201591539607E-2</v>
      </c>
      <c r="D341" s="3">
        <f t="shared" si="348"/>
        <v>2.0402015609125506E-2</v>
      </c>
      <c r="E341" s="3">
        <f t="shared" si="348"/>
        <v>2.0402012546420101E-2</v>
      </c>
      <c r="F341" s="3">
        <f t="shared" si="348"/>
        <v>2.0401981919391358E-2</v>
      </c>
      <c r="G341" s="3">
        <f t="shared" si="348"/>
        <v>2.040167565163262E-2</v>
      </c>
      <c r="H341" s="3">
        <f t="shared" si="348"/>
        <v>2.0398613226901282E-2</v>
      </c>
      <c r="I341" s="3">
        <f t="shared" si="348"/>
        <v>2.0368014251153092E-2</v>
      </c>
      <c r="J341" s="3">
        <f t="shared" si="348"/>
        <v>2.0064537669643681E-2</v>
      </c>
      <c r="K341" s="3">
        <f t="shared" si="348"/>
        <v>1.7267673419515479E-2</v>
      </c>
      <c r="L341" s="3">
        <f t="shared" si="348"/>
        <v>3.8484027700964158E-3</v>
      </c>
      <c r="M341" s="3">
        <f t="shared" si="348"/>
        <v>1.1634492424147444E-9</v>
      </c>
      <c r="N341" s="3">
        <f t="shared" si="348"/>
        <v>7.4202180365813718E-75</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6.6904612025044677E-2</v>
      </c>
      <c r="C342" s="3">
        <f t="shared" si="349"/>
        <v>6.6904612015984535E-2</v>
      </c>
      <c r="D342" s="3">
        <f t="shared" si="349"/>
        <v>6.6904611925383162E-2</v>
      </c>
      <c r="E342" s="3">
        <f t="shared" si="349"/>
        <v>6.6904611019369328E-2</v>
      </c>
      <c r="F342" s="3">
        <f t="shared" si="349"/>
        <v>6.690460195923173E-2</v>
      </c>
      <c r="G342" s="3">
        <f t="shared" si="349"/>
        <v>6.6904511357923233E-2</v>
      </c>
      <c r="H342" s="3">
        <f t="shared" si="349"/>
        <v>6.6903605351586307E-2</v>
      </c>
      <c r="I342" s="3">
        <f t="shared" si="349"/>
        <v>6.6894545962981347E-2</v>
      </c>
      <c r="J342" s="3">
        <f t="shared" si="349"/>
        <v>6.6804019519567451E-2</v>
      </c>
      <c r="K342" s="3">
        <f t="shared" si="349"/>
        <v>6.5905465678976455E-2</v>
      </c>
      <c r="L342" s="3">
        <f t="shared" si="349"/>
        <v>5.7558546843928464E-2</v>
      </c>
      <c r="M342" s="3">
        <f t="shared" si="349"/>
        <v>1.4859140873116194E-2</v>
      </c>
      <c r="N342" s="3">
        <f t="shared" si="349"/>
        <v>1.9535858066089469E-8</v>
      </c>
      <c r="O342" s="3">
        <f t="shared" si="349"/>
        <v>3.014535508602197E-67</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9.6702955914555938E-2</v>
      </c>
      <c r="C343" s="3">
        <f t="shared" si="350"/>
        <v>9.6702955913374619E-2</v>
      </c>
      <c r="D343" s="3">
        <f t="shared" si="350"/>
        <v>9.6702955901561485E-2</v>
      </c>
      <c r="E343" s="3">
        <f t="shared" si="350"/>
        <v>9.6702955783430147E-2</v>
      </c>
      <c r="F343" s="3">
        <f t="shared" si="350"/>
        <v>9.6702954602116808E-2</v>
      </c>
      <c r="G343" s="3">
        <f t="shared" si="350"/>
        <v>9.6702942788984156E-2</v>
      </c>
      <c r="H343" s="3">
        <f t="shared" si="350"/>
        <v>9.6702824657737066E-2</v>
      </c>
      <c r="I343" s="3">
        <f t="shared" si="350"/>
        <v>9.6701643353202971E-2</v>
      </c>
      <c r="J343" s="3">
        <f t="shared" si="350"/>
        <v>9.6689831101516341E-2</v>
      </c>
      <c r="K343" s="3">
        <f t="shared" si="350"/>
        <v>9.6571787914216209E-2</v>
      </c>
      <c r="L343" s="3">
        <f t="shared" si="350"/>
        <v>9.5399253258672614E-2</v>
      </c>
      <c r="M343" s="3">
        <f t="shared" si="350"/>
        <v>8.4429070588658783E-2</v>
      </c>
      <c r="N343" s="3">
        <f t="shared" si="350"/>
        <v>2.4886415107987652E-2</v>
      </c>
      <c r="O343" s="3">
        <f t="shared" si="350"/>
        <v>1.2321559119687879E-7</v>
      </c>
      <c r="P343" s="3">
        <f t="shared" si="350"/>
        <v>1.0906839126247778E-60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8.3641263972893995E-2</v>
      </c>
      <c r="C344" s="3">
        <f t="shared" si="351"/>
        <v>8.3641263972801819E-2</v>
      </c>
      <c r="D344" s="3">
        <f t="shared" si="351"/>
        <v>8.3641263971880112E-2</v>
      </c>
      <c r="E344" s="3">
        <f t="shared" si="351"/>
        <v>8.3641263962663054E-2</v>
      </c>
      <c r="F344" s="3">
        <f t="shared" si="351"/>
        <v>8.3641263870492435E-2</v>
      </c>
      <c r="G344" s="3">
        <f t="shared" si="351"/>
        <v>8.3641262948786169E-2</v>
      </c>
      <c r="H344" s="3">
        <f t="shared" si="351"/>
        <v>8.3641253731724083E-2</v>
      </c>
      <c r="I344" s="3">
        <f t="shared" si="351"/>
        <v>8.364116156115918E-2</v>
      </c>
      <c r="J344" s="3">
        <f t="shared" si="351"/>
        <v>8.3640239861096324E-2</v>
      </c>
      <c r="K344" s="3">
        <f t="shared" si="351"/>
        <v>8.3631023419076342E-2</v>
      </c>
      <c r="L344" s="3">
        <f t="shared" si="351"/>
        <v>8.3538914836953387E-2</v>
      </c>
      <c r="M344" s="3">
        <f t="shared" si="351"/>
        <v>8.2623390123446758E-2</v>
      </c>
      <c r="N344" s="3">
        <f t="shared" si="351"/>
        <v>7.4002232369473148E-2</v>
      </c>
      <c r="O344" s="3">
        <f t="shared" si="351"/>
        <v>2.4584587457318841E-2</v>
      </c>
      <c r="P344" s="3">
        <f t="shared" si="351"/>
        <v>4.025723708385307E-7</v>
      </c>
      <c r="Q344" s="3">
        <f t="shared" si="351"/>
        <v>5.5802591484204234E-55</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5.9421998861156275E-2</v>
      </c>
      <c r="C345" s="3">
        <f t="shared" si="352"/>
        <v>5.9421998861150363E-2</v>
      </c>
      <c r="D345" s="3">
        <f t="shared" si="352"/>
        <v>5.9421998861091292E-2</v>
      </c>
      <c r="E345" s="3">
        <f t="shared" si="352"/>
        <v>5.9421998860500598E-2</v>
      </c>
      <c r="F345" s="3">
        <f t="shared" si="352"/>
        <v>5.9421998854593608E-2</v>
      </c>
      <c r="G345" s="3">
        <f t="shared" si="352"/>
        <v>5.9421998795523769E-2</v>
      </c>
      <c r="H345" s="3">
        <f t="shared" si="352"/>
        <v>5.9421998204825369E-2</v>
      </c>
      <c r="I345" s="3">
        <f t="shared" si="352"/>
        <v>5.9421992297841619E-2</v>
      </c>
      <c r="J345" s="3">
        <f t="shared" si="352"/>
        <v>5.9421933228036454E-2</v>
      </c>
      <c r="K345" s="3">
        <f t="shared" si="352"/>
        <v>5.9421342533214405E-2</v>
      </c>
      <c r="L345" s="3">
        <f t="shared" si="352"/>
        <v>5.9415435907939448E-2</v>
      </c>
      <c r="M345" s="3">
        <f t="shared" si="352"/>
        <v>5.9356401937868696E-2</v>
      </c>
      <c r="N345" s="3">
        <f t="shared" si="352"/>
        <v>5.8769278662746983E-2</v>
      </c>
      <c r="O345" s="3">
        <f t="shared" si="352"/>
        <v>5.3208166246189167E-2</v>
      </c>
      <c r="P345" s="3">
        <f t="shared" si="352"/>
        <v>1.969053913288242E-2</v>
      </c>
      <c r="Q345" s="3">
        <f t="shared" si="352"/>
        <v>9.485293288549782E-7</v>
      </c>
      <c r="R345" s="3">
        <f t="shared" si="352"/>
        <v>6.3823751716687629E-50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5.1824957584097511E-2</v>
      </c>
      <c r="C346" s="3">
        <f t="shared" si="353"/>
        <v>5.1824957584097039E-2</v>
      </c>
      <c r="D346" s="3">
        <f t="shared" si="353"/>
        <v>5.1824957584092397E-2</v>
      </c>
      <c r="E346" s="3">
        <f t="shared" si="353"/>
        <v>5.1824957584045921E-2</v>
      </c>
      <c r="F346" s="3">
        <f t="shared" si="353"/>
        <v>5.1824957583581195E-2</v>
      </c>
      <c r="G346" s="3">
        <f t="shared" si="353"/>
        <v>5.1824957578933857E-2</v>
      </c>
      <c r="H346" s="3">
        <f t="shared" si="353"/>
        <v>5.182495753246049E-2</v>
      </c>
      <c r="I346" s="3">
        <f t="shared" si="353"/>
        <v>5.1824957067726871E-2</v>
      </c>
      <c r="J346" s="3">
        <f t="shared" si="353"/>
        <v>5.1824952420390924E-2</v>
      </c>
      <c r="K346" s="3">
        <f t="shared" si="353"/>
        <v>5.1824905947054377E-2</v>
      </c>
      <c r="L346" s="3">
        <f t="shared" si="353"/>
        <v>5.1824441215980933E-2</v>
      </c>
      <c r="M346" s="3">
        <f t="shared" si="353"/>
        <v>5.1819794134447185E-2</v>
      </c>
      <c r="N346" s="3">
        <f t="shared" si="353"/>
        <v>5.1773346231575076E-2</v>
      </c>
      <c r="O346" s="3">
        <f t="shared" si="353"/>
        <v>5.1311150865405393E-2</v>
      </c>
      <c r="P346" s="3">
        <f t="shared" si="353"/>
        <v>4.6910164762524111E-2</v>
      </c>
      <c r="Q346" s="3">
        <f t="shared" si="353"/>
        <v>1.9134582262391016E-2</v>
      </c>
      <c r="R346" s="3">
        <f t="shared" si="353"/>
        <v>2.4397158942458741E-6</v>
      </c>
      <c r="S346" s="3">
        <f t="shared" si="353"/>
        <v>2.7703966764795987E-45</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2.0016819549847031E-2</v>
      </c>
      <c r="C347" s="3">
        <f t="shared" si="354"/>
        <v>2.0016819549847017E-2</v>
      </c>
      <c r="D347" s="3">
        <f t="shared" si="354"/>
        <v>2.0016819549846854E-2</v>
      </c>
      <c r="E347" s="3">
        <f t="shared" si="354"/>
        <v>2.0016819549845234E-2</v>
      </c>
      <c r="F347" s="3">
        <f t="shared" si="354"/>
        <v>2.0016819549829042E-2</v>
      </c>
      <c r="G347" s="3">
        <f t="shared" si="354"/>
        <v>2.0016819549667119E-2</v>
      </c>
      <c r="H347" s="3">
        <f t="shared" si="354"/>
        <v>2.0016819548047897E-2</v>
      </c>
      <c r="I347" s="3">
        <f t="shared" si="354"/>
        <v>2.0016819531855662E-2</v>
      </c>
      <c r="J347" s="3">
        <f t="shared" si="354"/>
        <v>2.0016819369933311E-2</v>
      </c>
      <c r="K347" s="3">
        <f t="shared" si="354"/>
        <v>2.0016817750709879E-2</v>
      </c>
      <c r="L347" s="3">
        <f t="shared" si="354"/>
        <v>2.0016801558482761E-2</v>
      </c>
      <c r="M347" s="3">
        <f t="shared" si="354"/>
        <v>2.0016639636932006E-2</v>
      </c>
      <c r="N347" s="3">
        <f t="shared" si="354"/>
        <v>2.0015020493463296E-2</v>
      </c>
      <c r="O347" s="3">
        <f t="shared" si="354"/>
        <v>1.9998836260505571E-2</v>
      </c>
      <c r="P347" s="3">
        <f t="shared" si="354"/>
        <v>1.9837711953011455E-2</v>
      </c>
      <c r="Q347" s="3">
        <f t="shared" si="354"/>
        <v>1.8296167724703737E-2</v>
      </c>
      <c r="R347" s="3">
        <f t="shared" si="354"/>
        <v>8.1478994762611036E-3</v>
      </c>
      <c r="S347" s="3">
        <f t="shared" si="354"/>
        <v>2.4997752078570696E-6</v>
      </c>
      <c r="T347" s="3">
        <f t="shared" si="354"/>
        <v>1.846944727267397E-41</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3.8383243179278659E-2</v>
      </c>
      <c r="C348" s="3">
        <f t="shared" si="355"/>
        <v>3.8383243179278652E-2</v>
      </c>
      <c r="D348" s="3">
        <f t="shared" si="355"/>
        <v>3.8383243179278562E-2</v>
      </c>
      <c r="E348" s="3">
        <f t="shared" si="355"/>
        <v>3.8383243179277701E-2</v>
      </c>
      <c r="F348" s="3">
        <f t="shared" si="355"/>
        <v>3.8383243179269118E-2</v>
      </c>
      <c r="G348" s="3">
        <f t="shared" si="355"/>
        <v>3.8383243179183242E-2</v>
      </c>
      <c r="H348" s="3">
        <f t="shared" si="355"/>
        <v>3.8383243178324492E-2</v>
      </c>
      <c r="I348" s="3">
        <f t="shared" si="355"/>
        <v>3.8383243169737E-2</v>
      </c>
      <c r="J348" s="3">
        <f t="shared" si="355"/>
        <v>3.8383243083862102E-2</v>
      </c>
      <c r="K348" s="3">
        <f t="shared" si="355"/>
        <v>3.8383242225113086E-2</v>
      </c>
      <c r="L348" s="3">
        <f t="shared" si="355"/>
        <v>3.8383233637624019E-2</v>
      </c>
      <c r="M348" s="3">
        <f t="shared" si="355"/>
        <v>3.8383147762838993E-2</v>
      </c>
      <c r="N348" s="3">
        <f t="shared" si="355"/>
        <v>3.8382289025555703E-2</v>
      </c>
      <c r="O348" s="3">
        <f t="shared" si="355"/>
        <v>3.837370270933E-2</v>
      </c>
      <c r="P348" s="3">
        <f t="shared" si="355"/>
        <v>3.8287945120385261E-2</v>
      </c>
      <c r="Q348" s="3">
        <f t="shared" si="355"/>
        <v>3.7440839688934205E-2</v>
      </c>
      <c r="R348" s="3">
        <f t="shared" si="355"/>
        <v>2.9935105543849216E-2</v>
      </c>
      <c r="S348" s="3">
        <f t="shared" si="355"/>
        <v>3.1954566435793488E-3</v>
      </c>
      <c r="T348" s="3">
        <f t="shared" si="355"/>
        <v>6.1383872890793625E-13</v>
      </c>
      <c r="U348" s="3">
        <f t="shared" si="355"/>
        <v>4.2001795030521867E-110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3.6705240109076338E-2</v>
      </c>
      <c r="C349" s="3">
        <f t="shared" si="356"/>
        <v>3.6705240109076338E-2</v>
      </c>
      <c r="D349" s="3">
        <f t="shared" si="356"/>
        <v>3.6705240109076331E-2</v>
      </c>
      <c r="E349" s="3">
        <f t="shared" si="356"/>
        <v>3.6705240109076248E-2</v>
      </c>
      <c r="F349" s="3">
        <f t="shared" si="356"/>
        <v>3.6705240109075422E-2</v>
      </c>
      <c r="G349" s="3">
        <f t="shared" si="356"/>
        <v>3.6705240109067214E-2</v>
      </c>
      <c r="H349" s="3">
        <f t="shared" si="356"/>
        <v>3.6705240108985092E-2</v>
      </c>
      <c r="I349" s="3">
        <f t="shared" si="356"/>
        <v>3.6705240108163888E-2</v>
      </c>
      <c r="J349" s="3">
        <f t="shared" si="356"/>
        <v>3.6705240099951811E-2</v>
      </c>
      <c r="K349" s="3">
        <f t="shared" si="356"/>
        <v>3.6705240017831112E-2</v>
      </c>
      <c r="L349" s="3">
        <f t="shared" si="356"/>
        <v>3.6705239196624093E-2</v>
      </c>
      <c r="M349" s="3">
        <f t="shared" si="356"/>
        <v>3.6705230984554915E-2</v>
      </c>
      <c r="N349" s="3">
        <f t="shared" si="356"/>
        <v>3.6705148863964199E-2</v>
      </c>
      <c r="O349" s="3">
        <f t="shared" si="356"/>
        <v>3.6704327668161993E-2</v>
      </c>
      <c r="P349" s="3">
        <f t="shared" si="356"/>
        <v>3.669611672055538E-2</v>
      </c>
      <c r="Q349" s="3">
        <f t="shared" si="356"/>
        <v>3.6614108202445282E-2</v>
      </c>
      <c r="R349" s="3">
        <f t="shared" si="356"/>
        <v>3.5804035741556946E-2</v>
      </c>
      <c r="S349" s="3">
        <f t="shared" si="356"/>
        <v>2.8626430329126165E-2</v>
      </c>
      <c r="T349" s="3">
        <f t="shared" si="356"/>
        <v>3.0557606300460464E-3</v>
      </c>
      <c r="U349" s="3">
        <f t="shared" si="356"/>
        <v>5.8700349596772789E-13</v>
      </c>
      <c r="V349" s="3">
        <f t="shared" si="356"/>
        <v>4.0165599462418527E-110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4.1231231380742084E-2</v>
      </c>
      <c r="C350" s="3">
        <f t="shared" si="357"/>
        <v>4.1231231380742084E-2</v>
      </c>
      <c r="D350" s="3">
        <f t="shared" si="357"/>
        <v>4.1231231380742084E-2</v>
      </c>
      <c r="E350" s="3">
        <f t="shared" si="357"/>
        <v>4.1231231380742077E-2</v>
      </c>
      <c r="F350" s="3">
        <f t="shared" si="357"/>
        <v>4.123123138074198E-2</v>
      </c>
      <c r="G350" s="3">
        <f t="shared" si="357"/>
        <v>4.1231231380741057E-2</v>
      </c>
      <c r="H350" s="3">
        <f t="shared" si="357"/>
        <v>4.1231231380731835E-2</v>
      </c>
      <c r="I350" s="3">
        <f t="shared" si="357"/>
        <v>4.1231231380639589E-2</v>
      </c>
      <c r="J350" s="3">
        <f t="shared" si="357"/>
        <v>4.1231231379717119E-2</v>
      </c>
      <c r="K350" s="3">
        <f t="shared" si="357"/>
        <v>4.1231231370492449E-2</v>
      </c>
      <c r="L350" s="3">
        <f t="shared" si="357"/>
        <v>4.1231231278245739E-2</v>
      </c>
      <c r="M350" s="3">
        <f t="shared" si="357"/>
        <v>4.1231230355778629E-2</v>
      </c>
      <c r="N350" s="3">
        <f t="shared" si="357"/>
        <v>4.1231221131108713E-2</v>
      </c>
      <c r="O350" s="3">
        <f t="shared" si="357"/>
        <v>4.1231128884523016E-2</v>
      </c>
      <c r="P350" s="3">
        <f t="shared" si="357"/>
        <v>4.1230206430017097E-2</v>
      </c>
      <c r="Q350" s="3">
        <f t="shared" si="357"/>
        <v>4.1220983019964005E-2</v>
      </c>
      <c r="R350" s="3">
        <f t="shared" si="357"/>
        <v>4.1128862326151858E-2</v>
      </c>
      <c r="S350" s="3">
        <f t="shared" si="357"/>
        <v>4.0218902740795683E-2</v>
      </c>
      <c r="T350" s="3">
        <f t="shared" si="357"/>
        <v>3.2156252594926701E-2</v>
      </c>
      <c r="U350" s="3">
        <f t="shared" si="357"/>
        <v>3.4325554936347007E-3</v>
      </c>
      <c r="V350" s="3">
        <f t="shared" si="357"/>
        <v>6.5938478788387199E-13</v>
      </c>
      <c r="W350" s="3">
        <f t="shared" si="357"/>
        <v>4.5118275212472439E-110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3.343723543516635E-2</v>
      </c>
      <c r="C351" s="3">
        <f t="shared" si="358"/>
        <v>3.343723543516635E-2</v>
      </c>
      <c r="D351" s="3">
        <f t="shared" si="358"/>
        <v>3.343723543516635E-2</v>
      </c>
      <c r="E351" s="3">
        <f t="shared" si="358"/>
        <v>3.343723543516635E-2</v>
      </c>
      <c r="F351" s="3">
        <f t="shared" si="358"/>
        <v>3.3437235435166343E-2</v>
      </c>
      <c r="G351" s="3">
        <f t="shared" si="358"/>
        <v>3.3437235435166267E-2</v>
      </c>
      <c r="H351" s="3">
        <f t="shared" si="358"/>
        <v>3.3437235435165517E-2</v>
      </c>
      <c r="I351" s="3">
        <f t="shared" si="358"/>
        <v>3.3437235435158037E-2</v>
      </c>
      <c r="J351" s="3">
        <f t="shared" si="358"/>
        <v>3.3437235435083229E-2</v>
      </c>
      <c r="K351" s="3">
        <f t="shared" si="358"/>
        <v>3.343723543433514E-2</v>
      </c>
      <c r="L351" s="3">
        <f t="shared" si="358"/>
        <v>3.3437235426854214E-2</v>
      </c>
      <c r="M351" s="3">
        <f t="shared" si="358"/>
        <v>3.3437235352045028E-2</v>
      </c>
      <c r="N351" s="3">
        <f t="shared" si="358"/>
        <v>3.3437234603953134E-2</v>
      </c>
      <c r="O351" s="3">
        <f t="shared" si="358"/>
        <v>3.3437227123035165E-2</v>
      </c>
      <c r="P351" s="3">
        <f t="shared" si="358"/>
        <v>3.3437152313947477E-2</v>
      </c>
      <c r="Q351" s="3">
        <f t="shared" si="358"/>
        <v>3.3436404232275889E-2</v>
      </c>
      <c r="R351" s="3">
        <f t="shared" si="358"/>
        <v>3.342892433601443E-2</v>
      </c>
      <c r="S351" s="3">
        <f t="shared" si="358"/>
        <v>3.3354217342691735E-2</v>
      </c>
      <c r="T351" s="3">
        <f t="shared" si="358"/>
        <v>3.2616268659785015E-2</v>
      </c>
      <c r="U351" s="3">
        <f t="shared" si="358"/>
        <v>2.6077712275928908E-2</v>
      </c>
      <c r="V351" s="3">
        <f t="shared" si="358"/>
        <v>2.78369484348084E-3</v>
      </c>
      <c r="W351" s="3">
        <f t="shared" si="358"/>
        <v>5.3474038141723399E-13</v>
      </c>
      <c r="X351" s="3">
        <f t="shared" si="358"/>
        <v>3.6589506065848634E-110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2.4815378940943638E-2</v>
      </c>
      <c r="C352" s="3">
        <f t="shared" si="359"/>
        <v>2.4815378940943638E-2</v>
      </c>
      <c r="D352" s="3">
        <f t="shared" si="359"/>
        <v>2.4815378940943638E-2</v>
      </c>
      <c r="E352" s="3">
        <f t="shared" si="359"/>
        <v>2.4815378940943638E-2</v>
      </c>
      <c r="F352" s="3">
        <f t="shared" si="359"/>
        <v>2.4815378940943638E-2</v>
      </c>
      <c r="G352" s="3">
        <f t="shared" si="359"/>
        <v>2.4815378940943631E-2</v>
      </c>
      <c r="H352" s="3">
        <f t="shared" si="359"/>
        <v>2.4815378940943579E-2</v>
      </c>
      <c r="I352" s="3">
        <f t="shared" si="359"/>
        <v>2.481537894094302E-2</v>
      </c>
      <c r="J352" s="3">
        <f t="shared" si="359"/>
        <v>2.4815378940937469E-2</v>
      </c>
      <c r="K352" s="3">
        <f t="shared" si="359"/>
        <v>2.4815378940881948E-2</v>
      </c>
      <c r="L352" s="3">
        <f t="shared" si="359"/>
        <v>2.4815378940326756E-2</v>
      </c>
      <c r="M352" s="3">
        <f t="shared" si="359"/>
        <v>2.4815378934774805E-2</v>
      </c>
      <c r="N352" s="3">
        <f t="shared" si="359"/>
        <v>2.4815378879255313E-2</v>
      </c>
      <c r="O352" s="3">
        <f t="shared" si="359"/>
        <v>2.4815378324060375E-2</v>
      </c>
      <c r="P352" s="3">
        <f t="shared" si="359"/>
        <v>2.4815372772111721E-2</v>
      </c>
      <c r="Q352" s="3">
        <f t="shared" si="359"/>
        <v>2.481531725269347E-2</v>
      </c>
      <c r="R352" s="3">
        <f t="shared" si="359"/>
        <v>2.4814762065342676E-2</v>
      </c>
      <c r="S352" s="3">
        <f t="shared" si="359"/>
        <v>2.480921087494815E-2</v>
      </c>
      <c r="T352" s="3">
        <f t="shared" si="359"/>
        <v>2.4753767225833206E-2</v>
      </c>
      <c r="U352" s="3">
        <f t="shared" si="359"/>
        <v>2.4206100052785728E-2</v>
      </c>
      <c r="V352" s="3">
        <f t="shared" si="359"/>
        <v>1.9353523209023459E-2</v>
      </c>
      <c r="W352" s="3">
        <f t="shared" si="359"/>
        <v>2.06591368867407E-3</v>
      </c>
      <c r="X352" s="3">
        <f t="shared" si="359"/>
        <v>3.9685652917158941E-13</v>
      </c>
      <c r="Y352" s="3">
        <f t="shared" si="359"/>
        <v>2.7154830429882174E-110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1.3266747308349527E-2</v>
      </c>
      <c r="C353" s="3">
        <f t="shared" si="360"/>
        <v>1.3266747308349527E-2</v>
      </c>
      <c r="D353" s="3">
        <f t="shared" si="360"/>
        <v>1.3266747308349527E-2</v>
      </c>
      <c r="E353" s="3">
        <f t="shared" si="360"/>
        <v>1.3266747308349527E-2</v>
      </c>
      <c r="F353" s="3">
        <f t="shared" si="360"/>
        <v>1.3266747308349527E-2</v>
      </c>
      <c r="G353" s="3">
        <f t="shared" si="360"/>
        <v>1.3266747308349527E-2</v>
      </c>
      <c r="H353" s="3">
        <f t="shared" si="360"/>
        <v>1.3266747308349524E-2</v>
      </c>
      <c r="I353" s="3">
        <f t="shared" si="360"/>
        <v>1.3266747308349494E-2</v>
      </c>
      <c r="J353" s="3">
        <f t="shared" si="360"/>
        <v>1.3266747308349197E-2</v>
      </c>
      <c r="K353" s="3">
        <f t="shared" si="360"/>
        <v>1.3266747308346229E-2</v>
      </c>
      <c r="L353" s="3">
        <f t="shared" si="360"/>
        <v>1.3266747308316547E-2</v>
      </c>
      <c r="M353" s="3">
        <f t="shared" si="360"/>
        <v>1.326674730801973E-2</v>
      </c>
      <c r="N353" s="3">
        <f t="shared" si="360"/>
        <v>1.3266747305051558E-2</v>
      </c>
      <c r="O353" s="3">
        <f t="shared" si="360"/>
        <v>1.326674727536984E-2</v>
      </c>
      <c r="P353" s="3">
        <f t="shared" si="360"/>
        <v>1.3266746978552655E-2</v>
      </c>
      <c r="Q353" s="3">
        <f t="shared" si="360"/>
        <v>1.3266744010381181E-2</v>
      </c>
      <c r="R353" s="3">
        <f t="shared" si="360"/>
        <v>1.3266714328702961E-2</v>
      </c>
      <c r="S353" s="3">
        <f t="shared" si="360"/>
        <v>1.3266417515573115E-2</v>
      </c>
      <c r="T353" s="3">
        <f t="shared" si="360"/>
        <v>1.3263449749479357E-2</v>
      </c>
      <c r="U353" s="3">
        <f t="shared" si="360"/>
        <v>1.3233808578800027E-2</v>
      </c>
      <c r="V353" s="3">
        <f t="shared" si="360"/>
        <v>1.2941015871052534E-2</v>
      </c>
      <c r="W353" s="3">
        <f t="shared" si="360"/>
        <v>1.0346741129822477E-2</v>
      </c>
      <c r="X353" s="3">
        <f t="shared" si="360"/>
        <v>1.1044745652978103E-3</v>
      </c>
      <c r="Y353" s="3">
        <f t="shared" si="360"/>
        <v>2.121666287151169E-13</v>
      </c>
      <c r="Z353" s="3">
        <f t="shared" si="360"/>
        <v>1.4517460094874051E-110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6.4459854313467695E-3</v>
      </c>
      <c r="C354" s="3">
        <f t="shared" si="361"/>
        <v>6.4459854313467695E-3</v>
      </c>
      <c r="D354" s="3">
        <f t="shared" si="361"/>
        <v>6.4459854313467695E-3</v>
      </c>
      <c r="E354" s="3">
        <f t="shared" si="361"/>
        <v>6.4459854313467695E-3</v>
      </c>
      <c r="F354" s="3">
        <f t="shared" si="361"/>
        <v>6.4459854313467695E-3</v>
      </c>
      <c r="G354" s="3">
        <f t="shared" si="361"/>
        <v>6.4459854313467695E-3</v>
      </c>
      <c r="H354" s="3">
        <f t="shared" si="361"/>
        <v>6.4459854313467695E-3</v>
      </c>
      <c r="I354" s="3">
        <f t="shared" si="361"/>
        <v>6.4459854313467678E-3</v>
      </c>
      <c r="J354" s="3">
        <f t="shared" si="361"/>
        <v>6.4459854313467539E-3</v>
      </c>
      <c r="K354" s="3">
        <f t="shared" si="361"/>
        <v>6.445985431346609E-3</v>
      </c>
      <c r="L354" s="3">
        <f t="shared" si="361"/>
        <v>6.4459854313451675E-3</v>
      </c>
      <c r="M354" s="3">
        <f t="shared" si="361"/>
        <v>6.445985431330745E-3</v>
      </c>
      <c r="N354" s="3">
        <f t="shared" si="361"/>
        <v>6.4459854311865296E-3</v>
      </c>
      <c r="O354" s="3">
        <f t="shared" si="361"/>
        <v>6.4459854297443673E-3</v>
      </c>
      <c r="P354" s="3">
        <f t="shared" si="361"/>
        <v>6.4459854153227523E-3</v>
      </c>
      <c r="Q354" s="3">
        <f t="shared" si="361"/>
        <v>6.4459852711066003E-3</v>
      </c>
      <c r="R354" s="3">
        <f t="shared" si="361"/>
        <v>6.4459838289452603E-3</v>
      </c>
      <c r="S354" s="3">
        <f t="shared" si="361"/>
        <v>6.4459694073496013E-3</v>
      </c>
      <c r="T354" s="3">
        <f t="shared" si="361"/>
        <v>6.4458251931676057E-3</v>
      </c>
      <c r="U354" s="3">
        <f t="shared" si="361"/>
        <v>6.4443832287916078E-3</v>
      </c>
      <c r="V354" s="3">
        <f t="shared" si="361"/>
        <v>6.4299813147484586E-3</v>
      </c>
      <c r="W354" s="3">
        <f t="shared" si="361"/>
        <v>6.2877205567285106E-3</v>
      </c>
      <c r="X354" s="3">
        <f t="shared" si="361"/>
        <v>5.0272264206598057E-3</v>
      </c>
      <c r="Y354" s="3">
        <f t="shared" si="361"/>
        <v>5.3663696094686879E-4</v>
      </c>
      <c r="Z354" s="3">
        <f t="shared" si="361"/>
        <v>1.0308653401839341E-13</v>
      </c>
      <c r="AA354" s="3">
        <f t="shared" si="361"/>
        <v>7.0536759385491098E-111</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3.3152683029349498E-3</v>
      </c>
      <c r="C355" s="3">
        <f t="shared" si="362"/>
        <v>3.3152683029349498E-3</v>
      </c>
      <c r="D355" s="3">
        <f t="shared" si="362"/>
        <v>3.3152683029349498E-3</v>
      </c>
      <c r="E355" s="3">
        <f t="shared" si="362"/>
        <v>3.3152683029349498E-3</v>
      </c>
      <c r="F355" s="3">
        <f t="shared" si="362"/>
        <v>3.3152683029349498E-3</v>
      </c>
      <c r="G355" s="3">
        <f t="shared" si="362"/>
        <v>3.3152683029349498E-3</v>
      </c>
      <c r="H355" s="3">
        <f t="shared" si="362"/>
        <v>3.3152683029349498E-3</v>
      </c>
      <c r="I355" s="3">
        <f t="shared" si="362"/>
        <v>3.3152683029349498E-3</v>
      </c>
      <c r="J355" s="3">
        <f t="shared" si="362"/>
        <v>3.3152683029349489E-3</v>
      </c>
      <c r="K355" s="3">
        <f t="shared" si="362"/>
        <v>3.3152683029349416E-3</v>
      </c>
      <c r="L355" s="3">
        <f t="shared" si="362"/>
        <v>3.3152683029348674E-3</v>
      </c>
      <c r="M355" s="3">
        <f t="shared" si="362"/>
        <v>3.3152683029341258E-3</v>
      </c>
      <c r="N355" s="3">
        <f t="shared" si="362"/>
        <v>3.3152683029267086E-3</v>
      </c>
      <c r="O355" s="3">
        <f t="shared" si="362"/>
        <v>3.3152683028525357E-3</v>
      </c>
      <c r="P355" s="3">
        <f t="shared" si="362"/>
        <v>3.31526830211081E-3</v>
      </c>
      <c r="Q355" s="3">
        <f t="shared" si="362"/>
        <v>3.3152682946935544E-3</v>
      </c>
      <c r="R355" s="3">
        <f t="shared" si="362"/>
        <v>3.3152682205209948E-3</v>
      </c>
      <c r="S355" s="3">
        <f t="shared" si="362"/>
        <v>3.3152674787954931E-3</v>
      </c>
      <c r="T355" s="3">
        <f t="shared" si="362"/>
        <v>3.3152600615496005E-3</v>
      </c>
      <c r="U355" s="3">
        <f t="shared" si="362"/>
        <v>3.3151858900033727E-3</v>
      </c>
      <c r="V355" s="3">
        <f t="shared" si="362"/>
        <v>3.3144442658032216E-3</v>
      </c>
      <c r="W355" s="3">
        <f t="shared" si="362"/>
        <v>3.3070371424646153E-3</v>
      </c>
      <c r="X355" s="3">
        <f t="shared" si="362"/>
        <v>3.2338702718847519E-3</v>
      </c>
      <c r="Y355" s="3">
        <f t="shared" si="362"/>
        <v>2.5855789749447814E-3</v>
      </c>
      <c r="Z355" s="3">
        <f t="shared" si="362"/>
        <v>2.760005472799813E-4</v>
      </c>
      <c r="AA355" s="3">
        <f t="shared" si="362"/>
        <v>5.3018971626685902E-14</v>
      </c>
      <c r="AB355" s="3">
        <f t="shared" si="362"/>
        <v>3.6278127692511663E-111</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1.0813254106264341E-2</v>
      </c>
      <c r="C357" s="3">
        <f t="shared" si="364"/>
        <v>1.0813254106264341E-2</v>
      </c>
      <c r="D357" s="3">
        <f t="shared" si="364"/>
        <v>1.0813254106264341E-2</v>
      </c>
      <c r="E357" s="3">
        <f t="shared" si="364"/>
        <v>1.0813254106264341E-2</v>
      </c>
      <c r="F357" s="3">
        <f t="shared" si="364"/>
        <v>1.0813254106264341E-2</v>
      </c>
      <c r="G357" s="3">
        <f t="shared" si="364"/>
        <v>1.0813254106264341E-2</v>
      </c>
      <c r="H357" s="3">
        <f t="shared" si="364"/>
        <v>1.0813254106264341E-2</v>
      </c>
      <c r="I357" s="3">
        <f t="shared" si="364"/>
        <v>1.0813254106264341E-2</v>
      </c>
      <c r="J357" s="3">
        <f t="shared" si="364"/>
        <v>1.0813254106264341E-2</v>
      </c>
      <c r="K357" s="3">
        <f t="shared" si="364"/>
        <v>1.0813254106264341E-2</v>
      </c>
      <c r="L357" s="3">
        <f t="shared" si="364"/>
        <v>1.0813254106264339E-2</v>
      </c>
      <c r="M357" s="3">
        <f t="shared" si="364"/>
        <v>1.0813254106264315E-2</v>
      </c>
      <c r="N357" s="3">
        <f t="shared" si="364"/>
        <v>1.0813254106264072E-2</v>
      </c>
      <c r="O357" s="3">
        <f t="shared" si="364"/>
        <v>1.0813254106261654E-2</v>
      </c>
      <c r="P357" s="3">
        <f t="shared" si="364"/>
        <v>1.0813254106237459E-2</v>
      </c>
      <c r="Q357" s="3">
        <f t="shared" si="364"/>
        <v>1.0813254105995535E-2</v>
      </c>
      <c r="R357" s="3">
        <f t="shared" si="364"/>
        <v>1.0813254103576283E-2</v>
      </c>
      <c r="S357" s="3">
        <f t="shared" si="364"/>
        <v>1.081325407938377E-2</v>
      </c>
      <c r="T357" s="3">
        <f t="shared" si="364"/>
        <v>1.0813253837458634E-2</v>
      </c>
      <c r="U357" s="3">
        <f t="shared" si="364"/>
        <v>1.0813251418207583E-2</v>
      </c>
      <c r="V357" s="3">
        <f t="shared" si="364"/>
        <v>1.0813227225726831E-2</v>
      </c>
      <c r="W357" s="3">
        <f t="shared" si="364"/>
        <v>1.081298530389622E-2</v>
      </c>
      <c r="X357" s="3">
        <f t="shared" si="364"/>
        <v>1.0810566383255471E-2</v>
      </c>
      <c r="Y357" s="3">
        <f t="shared" si="364"/>
        <v>1.078640691876028E-2</v>
      </c>
      <c r="Z357" s="3">
        <f t="shared" si="364"/>
        <v>1.0547761991277394E-2</v>
      </c>
      <c r="AA357" s="3">
        <f t="shared" si="364"/>
        <v>8.4332608745847828E-3</v>
      </c>
      <c r="AB357" s="3">
        <f t="shared" si="364"/>
        <v>9.0021795477740626E-4</v>
      </c>
      <c r="AC357" s="3">
        <f t="shared" si="364"/>
        <v>1.7292947667150637E-13</v>
      </c>
      <c r="AD357" s="3">
        <f t="shared" si="364"/>
        <v>1.1832665636484113E-110</v>
      </c>
      <c r="AE357" s="3">
        <f t="shared" si="364"/>
        <v>0</v>
      </c>
      <c r="AF357" s="3">
        <f t="shared" si="364"/>
        <v>0</v>
      </c>
      <c r="AG357" s="3"/>
      <c r="AH357" s="3"/>
    </row>
    <row r="358" spans="1:34" x14ac:dyDescent="0.25">
      <c r="A358" s="79">
        <f>AVERAGE(B358:AF358)</f>
        <v>0.15777789726921898</v>
      </c>
      <c r="B358" s="80">
        <f>IF($A$64&lt;=B324,IF($B$64&gt;=B324,ABS((B326-B325)/B325),0),0)</f>
        <v>5.5521044996396568E-2</v>
      </c>
      <c r="C358" s="80">
        <f t="shared" ref="C358:AF358" si="365">IF($A$64&lt;=C324,IF($B$64&gt;=C324,ABS((C326-C325)/C325),0),0)</f>
        <v>6.5615124398117813E-2</v>
      </c>
      <c r="D358" s="80">
        <f t="shared" si="365"/>
        <v>6.7759357580136195E-2</v>
      </c>
      <c r="E358" s="80">
        <f t="shared" si="365"/>
        <v>7.2364207104208919E-2</v>
      </c>
      <c r="F358" s="80">
        <f t="shared" si="365"/>
        <v>8.9569976694804432E-2</v>
      </c>
      <c r="G358" s="80">
        <f t="shared" si="365"/>
        <v>9.8237276636330917E-2</v>
      </c>
      <c r="H358" s="80">
        <f t="shared" si="365"/>
        <v>9.4205809569613455E-2</v>
      </c>
      <c r="I358" s="80">
        <f t="shared" si="365"/>
        <v>8.4993345074317661E-2</v>
      </c>
      <c r="J358" s="80">
        <f t="shared" si="365"/>
        <v>8.9798934109192374E-2</v>
      </c>
      <c r="K358" s="80">
        <f t="shared" si="365"/>
        <v>8.6875929966622412E-2</v>
      </c>
      <c r="L358" s="80">
        <f t="shared" si="365"/>
        <v>8.7493365588793601E-2</v>
      </c>
      <c r="M358" s="80">
        <f t="shared" si="365"/>
        <v>3.6311875669679389E-2</v>
      </c>
      <c r="N358" s="80">
        <f t="shared" si="365"/>
        <v>6.5164238767221119E-2</v>
      </c>
      <c r="O358" s="80">
        <f t="shared" si="365"/>
        <v>0.16611467175687583</v>
      </c>
      <c r="P358" s="80">
        <f t="shared" si="365"/>
        <v>0.23032028125131498</v>
      </c>
      <c r="Q358" s="80">
        <f t="shared" si="365"/>
        <v>0.24362655275519574</v>
      </c>
      <c r="R358" s="80">
        <f t="shared" si="365"/>
        <v>0.15274668809397018</v>
      </c>
      <c r="S358" s="80">
        <f t="shared" si="365"/>
        <v>9.896961417246023E-4</v>
      </c>
      <c r="T358" s="80">
        <f t="shared" si="365"/>
        <v>0.24636359433861235</v>
      </c>
      <c r="U358" s="80">
        <f t="shared" si="365"/>
        <v>0.4445910564380135</v>
      </c>
      <c r="V358" s="80">
        <f t="shared" si="365"/>
        <v>0.48921661900964641</v>
      </c>
      <c r="W358" s="80">
        <f t="shared" si="365"/>
        <v>0.34294625379721227</v>
      </c>
      <c r="X358" s="80">
        <f t="shared" si="365"/>
        <v>0.18606721952588837</v>
      </c>
      <c r="Y358" s="80">
        <f t="shared" si="365"/>
        <v>9.5739725762052225E-2</v>
      </c>
      <c r="Z358" s="80">
        <f t="shared" si="365"/>
        <v>5.8504606832909041E-2</v>
      </c>
      <c r="AA358" s="80">
        <f t="shared" si="365"/>
        <v>6.4286287241983224E-3</v>
      </c>
      <c r="AB358" s="80">
        <f t="shared" si="365"/>
        <v>0.24512655563484187</v>
      </c>
      <c r="AC358" s="80">
        <f t="shared" si="365"/>
        <v>0.25193680793336376</v>
      </c>
      <c r="AD358" s="80">
        <f t="shared" si="365"/>
        <v>0.25020793520845741</v>
      </c>
      <c r="AE358" s="80">
        <f t="shared" si="365"/>
        <v>0.24333505714125986</v>
      </c>
      <c r="AF358" s="80">
        <f t="shared" si="365"/>
        <v>0.24294237884481784</v>
      </c>
    </row>
    <row r="359" spans="1:34" x14ac:dyDescent="0.25">
      <c r="B359" s="21">
        <f>(B326-B325)^2</f>
        <v>102862.80244534092</v>
      </c>
      <c r="C359" s="21">
        <f t="shared" ref="C359:AF359" si="366">(C326-C325)^2</f>
        <v>133654.05195911642</v>
      </c>
      <c r="D359" s="21">
        <f t="shared" si="366"/>
        <v>133921.11502716283</v>
      </c>
      <c r="E359" s="21">
        <f t="shared" si="366"/>
        <v>142418.87373078952</v>
      </c>
      <c r="F359" s="21">
        <f t="shared" si="366"/>
        <v>199401.90975989733</v>
      </c>
      <c r="G359" s="21">
        <f t="shared" si="366"/>
        <v>218505.65137527345</v>
      </c>
      <c r="H359" s="21">
        <f t="shared" si="366"/>
        <v>184984.03282961762</v>
      </c>
      <c r="I359" s="21">
        <f t="shared" si="366"/>
        <v>138894.22050521811</v>
      </c>
      <c r="J359" s="21">
        <f t="shared" si="366"/>
        <v>142460.78440983989</v>
      </c>
      <c r="K359" s="21">
        <f t="shared" si="366"/>
        <v>122383.46690093413</v>
      </c>
      <c r="L359" s="21">
        <f t="shared" si="366"/>
        <v>113045.0115102456</v>
      </c>
      <c r="M359" s="21">
        <f t="shared" si="366"/>
        <v>17450.22499745914</v>
      </c>
      <c r="N359" s="21">
        <f t="shared" si="366"/>
        <v>49291.840282423902</v>
      </c>
      <c r="O359" s="21">
        <f t="shared" si="366"/>
        <v>273058.63184593816</v>
      </c>
      <c r="P359" s="21">
        <f t="shared" si="366"/>
        <v>427249.68611641764</v>
      </c>
      <c r="Q359" s="21">
        <f t="shared" si="366"/>
        <v>349373.82641439483</v>
      </c>
      <c r="R359" s="21">
        <f t="shared" si="366"/>
        <v>80267.854794041399</v>
      </c>
      <c r="S359" s="21">
        <f t="shared" si="366"/>
        <v>1.5777783092708477</v>
      </c>
      <c r="T359" s="21">
        <f t="shared" si="366"/>
        <v>39646.000946795422</v>
      </c>
      <c r="U359" s="21">
        <f t="shared" si="366"/>
        <v>51216.059345176589</v>
      </c>
      <c r="V359" s="21">
        <f t="shared" si="366"/>
        <v>28330.570145623304</v>
      </c>
      <c r="W359" s="21">
        <f t="shared" si="366"/>
        <v>8118.5688693491429</v>
      </c>
      <c r="X359" s="21">
        <f t="shared" si="366"/>
        <v>1720.7401475881816</v>
      </c>
      <c r="Y359" s="21">
        <f t="shared" si="366"/>
        <v>371.50737510077943</v>
      </c>
      <c r="Z359" s="21">
        <f t="shared" si="366"/>
        <v>121.00812519585415</v>
      </c>
      <c r="AA359" s="21">
        <f t="shared" si="366"/>
        <v>1.3561103703139938</v>
      </c>
      <c r="AB359" s="21">
        <f t="shared" si="366"/>
        <v>1772.0974011627929</v>
      </c>
      <c r="AC359" s="21">
        <f t="shared" si="366"/>
        <v>1725.5513463531399</v>
      </c>
      <c r="AD359" s="21">
        <f t="shared" si="366"/>
        <v>1694.110336686987</v>
      </c>
      <c r="AE359" s="21">
        <f t="shared" si="366"/>
        <v>1573.3427815422779</v>
      </c>
      <c r="AF359" s="21">
        <f t="shared" si="366"/>
        <v>1566.6424928900051</v>
      </c>
      <c r="AG359" s="3"/>
      <c r="AH359" s="3"/>
    </row>
    <row r="360" spans="1:34" x14ac:dyDescent="0.25">
      <c r="A360" s="71">
        <f>SUM(B360:AF360)</f>
        <v>2967083.1181062544</v>
      </c>
      <c r="B360" s="60">
        <f>IF($A$64&lt;=B324,IF($B$64&gt;=B324,ABS(B359),0),0)</f>
        <v>102862.80244534092</v>
      </c>
      <c r="C360" s="60">
        <f t="shared" ref="C360:AF360" si="367">IF($A$64&lt;=C324,IF($B$64&gt;=C324,ABS(C359),0),0)</f>
        <v>133654.05195911642</v>
      </c>
      <c r="D360" s="60">
        <f t="shared" si="367"/>
        <v>133921.11502716283</v>
      </c>
      <c r="E360" s="60">
        <f t="shared" si="367"/>
        <v>142418.87373078952</v>
      </c>
      <c r="F360" s="60">
        <f t="shared" si="367"/>
        <v>199401.90975989733</v>
      </c>
      <c r="G360" s="60">
        <f t="shared" si="367"/>
        <v>218505.65137527345</v>
      </c>
      <c r="H360" s="60">
        <f t="shared" si="367"/>
        <v>184984.03282961762</v>
      </c>
      <c r="I360" s="60">
        <f t="shared" si="367"/>
        <v>138894.22050521811</v>
      </c>
      <c r="J360" s="60">
        <f t="shared" si="367"/>
        <v>142460.78440983989</v>
      </c>
      <c r="K360" s="60">
        <f t="shared" si="367"/>
        <v>122383.46690093413</v>
      </c>
      <c r="L360" s="60">
        <f t="shared" si="367"/>
        <v>113045.0115102456</v>
      </c>
      <c r="M360" s="60">
        <f t="shared" si="367"/>
        <v>17450.22499745914</v>
      </c>
      <c r="N360" s="60">
        <f t="shared" si="367"/>
        <v>49291.840282423902</v>
      </c>
      <c r="O360" s="60">
        <f t="shared" si="367"/>
        <v>273058.63184593816</v>
      </c>
      <c r="P360" s="60">
        <f t="shared" si="367"/>
        <v>427249.68611641764</v>
      </c>
      <c r="Q360" s="60">
        <f t="shared" si="367"/>
        <v>349373.82641439483</v>
      </c>
      <c r="R360" s="60">
        <f t="shared" si="367"/>
        <v>80267.854794041399</v>
      </c>
      <c r="S360" s="60">
        <f t="shared" si="367"/>
        <v>1.5777783092708477</v>
      </c>
      <c r="T360" s="60">
        <f t="shared" si="367"/>
        <v>39646.000946795422</v>
      </c>
      <c r="U360" s="60">
        <f t="shared" si="367"/>
        <v>51216.059345176589</v>
      </c>
      <c r="V360" s="60">
        <f t="shared" si="367"/>
        <v>28330.570145623304</v>
      </c>
      <c r="W360" s="60">
        <f t="shared" si="367"/>
        <v>8118.5688693491429</v>
      </c>
      <c r="X360" s="60">
        <f t="shared" si="367"/>
        <v>1720.7401475881816</v>
      </c>
      <c r="Y360" s="60">
        <f t="shared" si="367"/>
        <v>371.50737510077943</v>
      </c>
      <c r="Z360" s="60">
        <f t="shared" si="367"/>
        <v>121.00812519585415</v>
      </c>
      <c r="AA360" s="60">
        <f t="shared" si="367"/>
        <v>1.3561103703139938</v>
      </c>
      <c r="AB360" s="60">
        <f t="shared" si="367"/>
        <v>1772.0974011627929</v>
      </c>
      <c r="AC360" s="60">
        <f t="shared" si="367"/>
        <v>1725.5513463531399</v>
      </c>
      <c r="AD360" s="60">
        <f t="shared" si="367"/>
        <v>1694.110336686987</v>
      </c>
      <c r="AE360" s="60">
        <f t="shared" si="367"/>
        <v>1573.3427815422779</v>
      </c>
      <c r="AF360" s="60">
        <f t="shared" si="367"/>
        <v>1566.6424928900051</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4536.230397827354</v>
      </c>
      <c r="C364" s="26">
        <f>INDEX(Comparison!$AM$3:$AS$33,G$14,$H$122)</f>
        <v>4303.1205029931816</v>
      </c>
      <c r="D364" s="26">
        <f>INDEX(Comparison!$AM$3:$AS$33,H$14,$H$122)</f>
        <v>4127.6064584710148</v>
      </c>
      <c r="E364" s="26">
        <f>INDEX(Comparison!$AM$3:$AS$33,I$14,$H$122)</f>
        <v>3945.604356178083</v>
      </c>
      <c r="F364" s="26">
        <f>INDEX(Comparison!$AM$3:$AS$33,J$14,$H$122)</f>
        <v>3766.6240058114313</v>
      </c>
      <c r="G364" s="26">
        <f>INDEX(Comparison!$AM$3:$AS$33,K$14,$H$122)</f>
        <v>3551.9419942460731</v>
      </c>
      <c r="H364" s="26">
        <f>INDEX(Comparison!$AM$3:$AS$33,L$14,$H$122)</f>
        <v>3318.4500658255338</v>
      </c>
      <c r="I364" s="26">
        <f>INDEX(Comparison!$AM$3:$AS$33,M$14,$H$122)</f>
        <v>3050.6755206683788</v>
      </c>
      <c r="J364" s="26">
        <f>INDEX(Comparison!$AM$3:$AS$33,N$14,$H$122)</f>
        <v>2745.1346410108995</v>
      </c>
      <c r="K364" s="26">
        <f>INDEX(Comparison!$AM$3:$AS$33,O$14,$H$122)</f>
        <v>2379.9691784471511</v>
      </c>
      <c r="L364" s="26">
        <f>INDEX(Comparison!$AM$3:$AS$33,P$14,$H$122)</f>
        <v>1948.7143373862357</v>
      </c>
      <c r="M364" s="26">
        <f>INDEX(Comparison!$AM$3:$AS$33,Q$14,$H$122)</f>
        <v>1482.8611668944652</v>
      </c>
      <c r="N364" s="26">
        <f>INDEX(Comparison!$AM$3:$AS$33,R$14,$H$122)</f>
        <v>1064.7698916660522</v>
      </c>
      <c r="O364" s="26">
        <f>INDEX(Comparison!$AM$3:$AS$33,S$14,$H$122)</f>
        <v>756.04671038027936</v>
      </c>
      <c r="P364" s="26">
        <f>INDEX(Comparison!$AM$3:$AS$33,T$14,$H$122)</f>
        <v>574.27764486440731</v>
      </c>
      <c r="Q364" s="26">
        <f>INDEX(Comparison!$AM$3:$AS$33,U$14,$H$122)</f>
        <v>472.36033693576201</v>
      </c>
      <c r="R364" s="26">
        <f>INDEX(Comparison!$AM$3:$AS$33,V$14,$H$122)</f>
        <v>404.76609252146119</v>
      </c>
      <c r="S364" s="26">
        <f>INDEX(Comparison!$AM$3:$AS$33,W$14,$H$122)</f>
        <v>332.62382454066642</v>
      </c>
      <c r="T364" s="26">
        <f>INDEX(Comparison!$AM$3:$AS$33,X$14,$H$122)</f>
        <v>270.11210763785351</v>
      </c>
      <c r="U364" s="26">
        <f>INDEX(Comparison!$AM$3:$AS$33,Y$14,$H$122)</f>
        <v>230.23496622900356</v>
      </c>
      <c r="V364" s="26">
        <f>INDEX(Comparison!$AM$3:$AS$33,Z$14,$H$122)</f>
        <v>198.97748766430533</v>
      </c>
      <c r="W364" s="26">
        <f>INDEX(Comparison!$AM$3:$AS$33,AA$14,$H$122)</f>
        <v>182.67861803771595</v>
      </c>
      <c r="X364" s="26">
        <f>INDEX(Comparison!$AM$3:$AS$33,AB$14,$H$122)</f>
        <v>174.62746722417066</v>
      </c>
      <c r="Y364" s="26">
        <f>INDEX(Comparison!$AM$3:$AS$33,AC$14,$H$122)</f>
        <v>169.86894542912563</v>
      </c>
      <c r="Z364" s="26">
        <f>INDEX(Comparison!$AM$3:$AS$33,AD$14,$H$122)</f>
        <v>166.84170745231376</v>
      </c>
      <c r="AA364" s="26">
        <f>INDEX(Comparison!$AM$3:$AS$33,AE$14,$H$122)</f>
        <v>166.12540478353452</v>
      </c>
      <c r="AB364" s="26">
        <f>INDEX(Comparison!$AM$3:$AS$33,AF$14,$H$122)</f>
        <v>165.25800429032441</v>
      </c>
      <c r="AC364" s="26">
        <f>INDEX(Comparison!$AM$3:$AS$33,AG$14,$H$122)</f>
        <v>162.97529182821398</v>
      </c>
      <c r="AD364" s="26">
        <f>INDEX(Comparison!$AM$3:$AS$33,AH$14,$H$122)</f>
        <v>162.91152498499585</v>
      </c>
      <c r="AE364" s="26">
        <f>INDEX(Comparison!$AM$3:$AS$33,AI$14,$H$122)</f>
        <v>161.92883558935978</v>
      </c>
      <c r="AF364" s="26">
        <f>INDEX(Comparison!$AM$3:$AS$33,AJ$14,$H$122)</f>
        <v>161.56401350859798</v>
      </c>
      <c r="AG364" s="26"/>
      <c r="AH364" s="26"/>
    </row>
    <row r="365" spans="1:34" x14ac:dyDescent="0.25">
      <c r="A365" s="70" t="s">
        <v>22</v>
      </c>
      <c r="B365" s="27">
        <f>($C$17+SUM(B366:B396))*$B$51</f>
        <v>5033.5520791695244</v>
      </c>
      <c r="C365" s="27">
        <f t="shared" ref="C365:AF365" si="368">($C$17+SUM(C366:C396))*$B$51</f>
        <v>4794.688589718543</v>
      </c>
      <c r="D365" s="27">
        <f t="shared" si="368"/>
        <v>4610.3427180057097</v>
      </c>
      <c r="E365" s="27">
        <f t="shared" si="368"/>
        <v>4412.3693312698069</v>
      </c>
      <c r="F365" s="27">
        <f t="shared" si="368"/>
        <v>4218.120648502012</v>
      </c>
      <c r="G365" s="27">
        <f t="shared" si="368"/>
        <v>3856.2430945027122</v>
      </c>
      <c r="H365" s="27">
        <f t="shared" si="368"/>
        <v>3293.5275325387788</v>
      </c>
      <c r="I365" s="27">
        <f t="shared" si="368"/>
        <v>2713.3441399053713</v>
      </c>
      <c r="J365" s="27">
        <f t="shared" si="368"/>
        <v>2249.1881578935236</v>
      </c>
      <c r="K365" s="27">
        <f t="shared" si="368"/>
        <v>1887.635555756757</v>
      </c>
      <c r="L365" s="27">
        <f t="shared" si="368"/>
        <v>1607.8203859814432</v>
      </c>
      <c r="M365" s="27">
        <f t="shared" si="368"/>
        <v>1313.3003818400405</v>
      </c>
      <c r="N365" s="27">
        <f t="shared" si="368"/>
        <v>1050.3283185608334</v>
      </c>
      <c r="O365" s="27">
        <f t="shared" si="368"/>
        <v>777.47043449526393</v>
      </c>
      <c r="P365" s="27">
        <f t="shared" si="368"/>
        <v>545.1911297227249</v>
      </c>
      <c r="Q365" s="27">
        <f t="shared" si="368"/>
        <v>374.83303110861044</v>
      </c>
      <c r="R365" s="27">
        <f t="shared" si="368"/>
        <v>275.8979106947728</v>
      </c>
      <c r="S365" s="27">
        <f t="shared" si="368"/>
        <v>226.22144820310109</v>
      </c>
      <c r="T365" s="27">
        <f t="shared" si="368"/>
        <v>201.72183552457099</v>
      </c>
      <c r="U365" s="27">
        <f t="shared" si="368"/>
        <v>186.88343787386967</v>
      </c>
      <c r="V365" s="27">
        <f t="shared" si="368"/>
        <v>136.62588960970237</v>
      </c>
      <c r="W365" s="27">
        <f t="shared" si="368"/>
        <v>123.34189442092746</v>
      </c>
      <c r="X365" s="27">
        <f t="shared" si="368"/>
        <v>123.34189230237673</v>
      </c>
      <c r="Y365" s="27">
        <f t="shared" si="368"/>
        <v>123.34189230237673</v>
      </c>
      <c r="Z365" s="27">
        <f t="shared" si="368"/>
        <v>123.34189230237673</v>
      </c>
      <c r="AA365" s="27">
        <f t="shared" si="368"/>
        <v>123.34189230237673</v>
      </c>
      <c r="AB365" s="27">
        <f t="shared" si="368"/>
        <v>123.34189230237673</v>
      </c>
      <c r="AC365" s="27">
        <f t="shared" si="368"/>
        <v>123.34189230237673</v>
      </c>
      <c r="AD365" s="27">
        <f t="shared" si="368"/>
        <v>123.34189230237673</v>
      </c>
      <c r="AE365" s="27">
        <f t="shared" si="368"/>
        <v>123.34189230237673</v>
      </c>
      <c r="AF365" s="27">
        <f t="shared" si="368"/>
        <v>123.34189230237673</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1.9385080379142139E-96</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9.9261424465890206E-11</v>
      </c>
      <c r="C375" s="3">
        <f t="shared" si="378"/>
        <v>4.4313509626890497E-87</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5.8080037603774805E-3</v>
      </c>
      <c r="C376" s="3">
        <f t="shared" si="379"/>
        <v>7.5266145403979751E-10</v>
      </c>
      <c r="D376" s="3">
        <f t="shared" si="379"/>
        <v>1.0053737406645185E-78</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3.3084893364094578E-2</v>
      </c>
      <c r="C377" s="3">
        <f t="shared" si="380"/>
        <v>7.9127329109553897E-3</v>
      </c>
      <c r="D377" s="3">
        <f t="shared" si="380"/>
        <v>4.8450044593109413E-9</v>
      </c>
      <c r="E377" s="3">
        <f t="shared" si="380"/>
        <v>3.5889790701557868E-71</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2.2862695534765477E-2</v>
      </c>
      <c r="C378" s="3">
        <f t="shared" si="381"/>
        <v>2.009466232037764E-2</v>
      </c>
      <c r="D378" s="3">
        <f t="shared" si="381"/>
        <v>5.5285788666371719E-3</v>
      </c>
      <c r="E378" s="3">
        <f t="shared" si="381"/>
        <v>1.3738568300792721E-8</v>
      </c>
      <c r="F378" s="3">
        <f t="shared" si="381"/>
        <v>1.2337329270642589E-64</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3.3139519183759639E-2</v>
      </c>
      <c r="C379" s="3">
        <f t="shared" si="382"/>
        <v>3.2755959281769192E-2</v>
      </c>
      <c r="D379" s="3">
        <f t="shared" si="382"/>
        <v>2.9156240116775266E-2</v>
      </c>
      <c r="E379" s="3">
        <f t="shared" si="382"/>
        <v>9.1021392335206112E-3</v>
      </c>
      <c r="F379" s="3">
        <f t="shared" si="382"/>
        <v>8.0031883478624686E-8</v>
      </c>
      <c r="G379" s="3">
        <f t="shared" si="382"/>
        <v>2.210337896960241E-58</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2.039963547066883E-2</v>
      </c>
      <c r="C380" s="3">
        <f t="shared" si="383"/>
        <v>2.0378223656757281E-2</v>
      </c>
      <c r="D380" s="3">
        <f t="shared" si="383"/>
        <v>2.0165337715336525E-2</v>
      </c>
      <c r="E380" s="3">
        <f t="shared" si="383"/>
        <v>1.8155041753171505E-2</v>
      </c>
      <c r="F380" s="3">
        <f t="shared" si="383"/>
        <v>6.3520626926208863E-3</v>
      </c>
      <c r="G380" s="3">
        <f t="shared" si="383"/>
        <v>1.7461840342729899E-7</v>
      </c>
      <c r="H380" s="3">
        <f t="shared" si="383"/>
        <v>4.3037039216024951E-53</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6.6903907792151301E-2</v>
      </c>
      <c r="C381" s="3">
        <f t="shared" si="384"/>
        <v>6.6897570020614E-2</v>
      </c>
      <c r="D381" s="3">
        <f t="shared" si="384"/>
        <v>6.6834225316413295E-2</v>
      </c>
      <c r="E381" s="3">
        <f t="shared" si="384"/>
        <v>6.6204067849973874E-2</v>
      </c>
      <c r="F381" s="3">
        <f t="shared" si="384"/>
        <v>6.0220206650615733E-2</v>
      </c>
      <c r="G381" s="3">
        <f t="shared" si="384"/>
        <v>2.3351667892839021E-2</v>
      </c>
      <c r="H381" s="3">
        <f t="shared" si="384"/>
        <v>1.7950417143559911E-6</v>
      </c>
      <c r="I381" s="3">
        <f t="shared" si="384"/>
        <v>1.2931263012716013E-47</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9.670286409214969E-2</v>
      </c>
      <c r="C382" s="3">
        <f t="shared" si="385"/>
        <v>9.6702037693235654E-2</v>
      </c>
      <c r="D382" s="3">
        <f t="shared" si="385"/>
        <v>9.6693774092506471E-2</v>
      </c>
      <c r="E382" s="3">
        <f t="shared" si="385"/>
        <v>9.6611176914051564E-2</v>
      </c>
      <c r="F382" s="3">
        <f t="shared" si="385"/>
        <v>9.578907576375828E-2</v>
      </c>
      <c r="G382" s="3">
        <f t="shared" si="385"/>
        <v>8.7943163711252631E-2</v>
      </c>
      <c r="H382" s="3">
        <f t="shared" si="385"/>
        <v>3.7416495378057087E-2</v>
      </c>
      <c r="I382" s="3">
        <f t="shared" si="385"/>
        <v>7.2723257488191042E-6</v>
      </c>
      <c r="J382" s="3">
        <f t="shared" si="385"/>
        <v>5.5946831495978683E-43</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8.3641256808552389E-2</v>
      </c>
      <c r="C383" s="3">
        <f t="shared" si="386"/>
        <v>8.3641192329413319E-2</v>
      </c>
      <c r="D383" s="3">
        <f t="shared" si="386"/>
        <v>8.3640547540756588E-2</v>
      </c>
      <c r="E383" s="3">
        <f t="shared" si="386"/>
        <v>8.3634099927569594E-2</v>
      </c>
      <c r="F383" s="3">
        <f t="shared" si="386"/>
        <v>8.3569651125933078E-2</v>
      </c>
      <c r="G383" s="3">
        <f t="shared" si="386"/>
        <v>8.2927888353456242E-2</v>
      </c>
      <c r="H383" s="3">
        <f t="shared" si="386"/>
        <v>7.6775169403423354E-2</v>
      </c>
      <c r="I383" s="3">
        <f t="shared" si="386"/>
        <v>3.5515877484788613E-2</v>
      </c>
      <c r="J383" s="3">
        <f t="shared" si="386"/>
        <v>1.5938234310878523E-5</v>
      </c>
      <c r="K383" s="3">
        <f t="shared" si="386"/>
        <v>5.2797916781241544E-39</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5.9421998402011587E-2</v>
      </c>
      <c r="C384" s="3">
        <f t="shared" si="387"/>
        <v>5.9421994269703654E-2</v>
      </c>
      <c r="D384" s="3">
        <f t="shared" si="387"/>
        <v>5.9421952946640162E-2</v>
      </c>
      <c r="E384" s="3">
        <f t="shared" si="387"/>
        <v>5.9421539717585778E-2</v>
      </c>
      <c r="F384" s="3">
        <f t="shared" si="387"/>
        <v>5.941740758508976E-2</v>
      </c>
      <c r="G384" s="3">
        <f t="shared" si="387"/>
        <v>5.9376102060841859E-2</v>
      </c>
      <c r="H384" s="3">
        <f t="shared" si="387"/>
        <v>5.8964622831559101E-2</v>
      </c>
      <c r="I384" s="3">
        <f t="shared" si="387"/>
        <v>5.5003451036604402E-2</v>
      </c>
      <c r="J384" s="3">
        <f t="shared" si="387"/>
        <v>2.7439366416403658E-2</v>
      </c>
      <c r="K384" s="3">
        <f t="shared" si="387"/>
        <v>2.6194823791803084E-5</v>
      </c>
      <c r="L384" s="3">
        <f t="shared" si="387"/>
        <v>1.6467569442269583E-35</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5.1824957547974171E-2</v>
      </c>
      <c r="C385" s="3">
        <f t="shared" si="388"/>
        <v>5.1824957222863684E-2</v>
      </c>
      <c r="D385" s="3">
        <f t="shared" si="388"/>
        <v>5.1824953971758889E-2</v>
      </c>
      <c r="E385" s="3">
        <f t="shared" si="388"/>
        <v>5.1824921460722206E-2</v>
      </c>
      <c r="F385" s="3">
        <f t="shared" si="388"/>
        <v>5.182459635147707E-2</v>
      </c>
      <c r="G385" s="3">
        <f t="shared" si="388"/>
        <v>5.1821345371195163E-2</v>
      </c>
      <c r="H385" s="3">
        <f t="shared" si="388"/>
        <v>5.1788846782715683E-2</v>
      </c>
      <c r="I385" s="3">
        <f t="shared" si="388"/>
        <v>5.1464979733284962E-2</v>
      </c>
      <c r="J385" s="3">
        <f t="shared" si="388"/>
        <v>4.8335638848732196E-2</v>
      </c>
      <c r="K385" s="3">
        <f t="shared" si="388"/>
        <v>2.5812141201590286E-2</v>
      </c>
      <c r="L385" s="3">
        <f t="shared" si="388"/>
        <v>4.8684389012068032E-5</v>
      </c>
      <c r="M385" s="3">
        <f t="shared" si="388"/>
        <v>2.7736179675997367E-32</v>
      </c>
      <c r="N385" s="3">
        <f t="shared" si="388"/>
        <v>9.991157896550961E-305</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2.0016819548588426E-2</v>
      </c>
      <c r="C386" s="3">
        <f t="shared" si="389"/>
        <v>2.0016819537260932E-2</v>
      </c>
      <c r="D386" s="3">
        <f t="shared" si="389"/>
        <v>2.0016819423986032E-2</v>
      </c>
      <c r="E386" s="3">
        <f t="shared" si="389"/>
        <v>2.0016818291237054E-2</v>
      </c>
      <c r="F386" s="3">
        <f t="shared" si="389"/>
        <v>2.0016806963750793E-2</v>
      </c>
      <c r="G386" s="3">
        <f t="shared" si="389"/>
        <v>2.0016693689240739E-2</v>
      </c>
      <c r="H386" s="3">
        <f t="shared" si="389"/>
        <v>2.0015560979395549E-2</v>
      </c>
      <c r="I386" s="3">
        <f t="shared" si="389"/>
        <v>2.0004237405739513E-2</v>
      </c>
      <c r="J386" s="3">
        <f t="shared" si="389"/>
        <v>1.9891353411851512E-2</v>
      </c>
      <c r="K386" s="3">
        <f t="shared" si="389"/>
        <v>1.8796962268080423E-2</v>
      </c>
      <c r="L386" s="3">
        <f t="shared" si="389"/>
        <v>1.067384839220629E-2</v>
      </c>
      <c r="M386" s="3">
        <f t="shared" si="389"/>
        <v>3.7209568421146228E-5</v>
      </c>
      <c r="N386" s="3">
        <f t="shared" si="389"/>
        <v>9.8625827912041312E-30</v>
      </c>
      <c r="O386" s="3">
        <f t="shared" si="389"/>
        <v>1.6879164765009535E-275</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3.8383243178611158E-2</v>
      </c>
      <c r="C387" s="3">
        <f t="shared" si="390"/>
        <v>3.8383243172603665E-2</v>
      </c>
      <c r="D387" s="3">
        <f t="shared" si="390"/>
        <v>3.8383243112528755E-2</v>
      </c>
      <c r="E387" s="3">
        <f t="shared" si="390"/>
        <v>3.8383242511779631E-2</v>
      </c>
      <c r="F387" s="3">
        <f t="shared" si="390"/>
        <v>3.8383236504288924E-2</v>
      </c>
      <c r="G387" s="3">
        <f t="shared" si="390"/>
        <v>3.8383176429433515E-2</v>
      </c>
      <c r="H387" s="3">
        <f t="shared" si="390"/>
        <v>3.8382575686050857E-2</v>
      </c>
      <c r="I387" s="3">
        <f t="shared" si="390"/>
        <v>3.8376568769330016E-2</v>
      </c>
      <c r="J387" s="3">
        <f t="shared" si="390"/>
        <v>3.831655128276476E-2</v>
      </c>
      <c r="K387" s="3">
        <f t="shared" si="390"/>
        <v>3.7721514678075635E-2</v>
      </c>
      <c r="L387" s="3">
        <f t="shared" si="390"/>
        <v>3.2256424367728131E-2</v>
      </c>
      <c r="M387" s="3">
        <f t="shared" si="390"/>
        <v>6.743529056007661E-3</v>
      </c>
      <c r="N387" s="3">
        <f t="shared" si="390"/>
        <v>1.0754675806074696E-9</v>
      </c>
      <c r="O387" s="3">
        <f t="shared" si="390"/>
        <v>1.1447172459680141E-77</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3.6705240109012507E-2</v>
      </c>
      <c r="C388" s="3">
        <f t="shared" si="391"/>
        <v>3.6705240108438016E-2</v>
      </c>
      <c r="D388" s="3">
        <f t="shared" si="391"/>
        <v>3.670524010269316E-2</v>
      </c>
      <c r="E388" s="3">
        <f t="shared" si="391"/>
        <v>3.6705240045244544E-2</v>
      </c>
      <c r="F388" s="3">
        <f t="shared" si="391"/>
        <v>3.6705239470758412E-2</v>
      </c>
      <c r="G388" s="3">
        <f t="shared" si="391"/>
        <v>3.6705233725897617E-2</v>
      </c>
      <c r="H388" s="3">
        <f t="shared" si="391"/>
        <v>3.6705176277339095E-2</v>
      </c>
      <c r="I388" s="3">
        <f t="shared" si="391"/>
        <v>3.6704601796699161E-2</v>
      </c>
      <c r="J388" s="3">
        <f t="shared" si="391"/>
        <v>3.6698857484799202E-2</v>
      </c>
      <c r="K388" s="3">
        <f t="shared" si="391"/>
        <v>3.6641463787116295E-2</v>
      </c>
      <c r="L388" s="3">
        <f t="shared" si="391"/>
        <v>3.6072440441517535E-2</v>
      </c>
      <c r="M388" s="3">
        <f t="shared" si="391"/>
        <v>3.0846267886943383E-2</v>
      </c>
      <c r="N388" s="3">
        <f t="shared" si="391"/>
        <v>6.4487216993930384E-3</v>
      </c>
      <c r="O388" s="3">
        <f t="shared" si="391"/>
        <v>1.0284512851440201E-9</v>
      </c>
      <c r="P388" s="3">
        <f t="shared" si="391"/>
        <v>1.0946735577815807E-77</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4.1231231380734916E-2</v>
      </c>
      <c r="C389" s="3">
        <f t="shared" si="392"/>
        <v>4.1231231380670377E-2</v>
      </c>
      <c r="D389" s="3">
        <f t="shared" si="392"/>
        <v>4.1231231380025053E-2</v>
      </c>
      <c r="E389" s="3">
        <f t="shared" si="392"/>
        <v>4.1231231373571819E-2</v>
      </c>
      <c r="F389" s="3">
        <f t="shared" si="392"/>
        <v>4.1231231309039426E-2</v>
      </c>
      <c r="G389" s="3">
        <f t="shared" si="392"/>
        <v>4.1231230663715472E-2</v>
      </c>
      <c r="H389" s="3">
        <f t="shared" si="392"/>
        <v>4.1231224210476536E-2</v>
      </c>
      <c r="I389" s="3">
        <f t="shared" si="392"/>
        <v>4.1231159678142677E-2</v>
      </c>
      <c r="J389" s="3">
        <f t="shared" si="392"/>
        <v>4.1230514360359204E-2</v>
      </c>
      <c r="K389" s="3">
        <f t="shared" si="392"/>
        <v>4.1224061737998842E-2</v>
      </c>
      <c r="L389" s="3">
        <f t="shared" si="392"/>
        <v>4.1159591029676874E-2</v>
      </c>
      <c r="M389" s="3">
        <f t="shared" si="392"/>
        <v>4.0520403459899199E-2</v>
      </c>
      <c r="N389" s="3">
        <f t="shared" si="392"/>
        <v>3.4649810345864583E-2</v>
      </c>
      <c r="O389" s="3">
        <f t="shared" si="392"/>
        <v>7.2438904011402627E-3</v>
      </c>
      <c r="P389" s="3">
        <f t="shared" si="392"/>
        <v>1.1552659177703912E-9</v>
      </c>
      <c r="Q389" s="3">
        <f t="shared" si="392"/>
        <v>1.2296538209025838E-77</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3.3437235435165767E-2</v>
      </c>
      <c r="C390" s="3">
        <f t="shared" si="393"/>
        <v>3.3437235435160535E-2</v>
      </c>
      <c r="D390" s="3">
        <f t="shared" si="393"/>
        <v>3.3437235435108202E-2</v>
      </c>
      <c r="E390" s="3">
        <f t="shared" si="393"/>
        <v>3.3437235434584864E-2</v>
      </c>
      <c r="F390" s="3">
        <f t="shared" si="393"/>
        <v>3.3437235429351488E-2</v>
      </c>
      <c r="G390" s="3">
        <f t="shared" si="393"/>
        <v>3.3437235377017739E-2</v>
      </c>
      <c r="H390" s="3">
        <f t="shared" si="393"/>
        <v>3.3437234853680255E-2</v>
      </c>
      <c r="I390" s="3">
        <f t="shared" si="393"/>
        <v>3.3437229620305882E-2</v>
      </c>
      <c r="J390" s="3">
        <f t="shared" si="393"/>
        <v>3.3437177286607181E-2</v>
      </c>
      <c r="K390" s="3">
        <f t="shared" si="393"/>
        <v>3.343665395412513E-2</v>
      </c>
      <c r="L390" s="3">
        <f t="shared" si="393"/>
        <v>3.343142107977691E-2</v>
      </c>
      <c r="M390" s="3">
        <f t="shared" si="393"/>
        <v>3.3379137357446936E-2</v>
      </c>
      <c r="N390" s="3">
        <f t="shared" si="393"/>
        <v>3.2860776286429534E-2</v>
      </c>
      <c r="O390" s="3">
        <f t="shared" si="393"/>
        <v>2.8099909401679488E-2</v>
      </c>
      <c r="P390" s="3">
        <f t="shared" si="393"/>
        <v>5.8745679112217957E-3</v>
      </c>
      <c r="Q390" s="3">
        <f t="shared" si="393"/>
        <v>9.3688442447912286E-10</v>
      </c>
      <c r="R390" s="3">
        <f t="shared" si="393"/>
        <v>9.972106807480838E-78</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2.4815378940943593E-2</v>
      </c>
      <c r="C391" s="3">
        <f t="shared" si="394"/>
        <v>2.4815378940943204E-2</v>
      </c>
      <c r="D391" s="3">
        <f t="shared" si="394"/>
        <v>2.4815378940939322E-2</v>
      </c>
      <c r="E391" s="3">
        <f t="shared" si="394"/>
        <v>2.4815378940900482E-2</v>
      </c>
      <c r="F391" s="3">
        <f t="shared" si="394"/>
        <v>2.4815378940512087E-2</v>
      </c>
      <c r="G391" s="3">
        <f t="shared" si="394"/>
        <v>2.4815378936628149E-2</v>
      </c>
      <c r="H391" s="3">
        <f t="shared" si="394"/>
        <v>2.4815378897788763E-2</v>
      </c>
      <c r="I391" s="3">
        <f t="shared" si="394"/>
        <v>2.4815378509394869E-2</v>
      </c>
      <c r="J391" s="3">
        <f t="shared" si="394"/>
        <v>2.4815374625456306E-2</v>
      </c>
      <c r="K391" s="3">
        <f t="shared" si="394"/>
        <v>2.4815335786104072E-2</v>
      </c>
      <c r="L391" s="3">
        <f t="shared" si="394"/>
        <v>2.4814947395925123E-2</v>
      </c>
      <c r="M391" s="3">
        <f t="shared" si="394"/>
        <v>2.4811063828452773E-2</v>
      </c>
      <c r="N391" s="3">
        <f t="shared" si="394"/>
        <v>2.4772261566089394E-2</v>
      </c>
      <c r="O391" s="3">
        <f t="shared" si="394"/>
        <v>2.4387560910125422E-2</v>
      </c>
      <c r="P391" s="3">
        <f t="shared" si="394"/>
        <v>2.0854292854471213E-2</v>
      </c>
      <c r="Q391" s="3">
        <f t="shared" si="394"/>
        <v>4.3597990962482023E-3</v>
      </c>
      <c r="R391" s="3">
        <f t="shared" si="394"/>
        <v>6.9530694492960144E-10</v>
      </c>
      <c r="S391" s="3">
        <f t="shared" si="394"/>
        <v>7.4007795814046964E-78</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1.3266747308349524E-2</v>
      </c>
      <c r="C392" s="3">
        <f t="shared" si="395"/>
        <v>1.3266747308349503E-2</v>
      </c>
      <c r="D392" s="3">
        <f t="shared" si="395"/>
        <v>1.3266747308349296E-2</v>
      </c>
      <c r="E392" s="3">
        <f t="shared" si="395"/>
        <v>1.326674730834722E-2</v>
      </c>
      <c r="F392" s="3">
        <f t="shared" si="395"/>
        <v>1.3266747308326455E-2</v>
      </c>
      <c r="G392" s="3">
        <f t="shared" si="395"/>
        <v>1.3266747308118812E-2</v>
      </c>
      <c r="H392" s="3">
        <f t="shared" si="395"/>
        <v>1.326674730604239E-2</v>
      </c>
      <c r="I392" s="3">
        <f t="shared" si="395"/>
        <v>1.3266747285278154E-2</v>
      </c>
      <c r="J392" s="3">
        <f t="shared" si="395"/>
        <v>1.3266747077635805E-2</v>
      </c>
      <c r="K392" s="3">
        <f t="shared" si="395"/>
        <v>1.3266745001212485E-2</v>
      </c>
      <c r="L392" s="3">
        <f t="shared" si="395"/>
        <v>1.326672423699716E-2</v>
      </c>
      <c r="M392" s="3">
        <f t="shared" si="395"/>
        <v>1.3266516596631346E-2</v>
      </c>
      <c r="N392" s="3">
        <f t="shared" si="395"/>
        <v>1.3264440371705133E-2</v>
      </c>
      <c r="O392" s="3">
        <f t="shared" si="395"/>
        <v>1.3243695985290873E-2</v>
      </c>
      <c r="P392" s="3">
        <f t="shared" si="395"/>
        <v>1.3038028104732759E-2</v>
      </c>
      <c r="Q392" s="3">
        <f t="shared" si="395"/>
        <v>1.1149079538660797E-2</v>
      </c>
      <c r="R392" s="3">
        <f t="shared" si="395"/>
        <v>2.3308269062804038E-3</v>
      </c>
      <c r="S392" s="3">
        <f t="shared" si="395"/>
        <v>3.7172358165773592E-10</v>
      </c>
      <c r="T392" s="3">
        <f t="shared" si="395"/>
        <v>3.9565896948400702E-78</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6.4459854313467695E-3</v>
      </c>
      <c r="C393" s="3">
        <f t="shared" si="396"/>
        <v>6.4459854313467678E-3</v>
      </c>
      <c r="D393" s="3">
        <f t="shared" si="396"/>
        <v>6.4459854313467582E-3</v>
      </c>
      <c r="E393" s="3">
        <f t="shared" si="396"/>
        <v>6.4459854313466567E-3</v>
      </c>
      <c r="F393" s="3">
        <f t="shared" si="396"/>
        <v>6.4459854313456489E-3</v>
      </c>
      <c r="G393" s="3">
        <f t="shared" si="396"/>
        <v>6.4459854313355597E-3</v>
      </c>
      <c r="H393" s="3">
        <f t="shared" si="396"/>
        <v>6.4459854312346708E-3</v>
      </c>
      <c r="I393" s="3">
        <f t="shared" si="396"/>
        <v>6.4459854302257886E-3</v>
      </c>
      <c r="J393" s="3">
        <f t="shared" si="396"/>
        <v>6.4459854201369586E-3</v>
      </c>
      <c r="K393" s="3">
        <f t="shared" si="396"/>
        <v>6.4459853192486601E-3</v>
      </c>
      <c r="L393" s="3">
        <f t="shared" si="396"/>
        <v>6.4459843103657627E-3</v>
      </c>
      <c r="M393" s="3">
        <f t="shared" si="396"/>
        <v>6.4459742215454688E-3</v>
      </c>
      <c r="N393" s="3">
        <f t="shared" si="396"/>
        <v>6.4458733342110004E-3</v>
      </c>
      <c r="O393" s="3">
        <f t="shared" si="396"/>
        <v>6.44486454770776E-3</v>
      </c>
      <c r="P393" s="3">
        <f t="shared" si="396"/>
        <v>6.4347853617927322E-3</v>
      </c>
      <c r="Q393" s="3">
        <f t="shared" si="396"/>
        <v>6.334856409280068E-3</v>
      </c>
      <c r="R393" s="3">
        <f t="shared" si="396"/>
        <v>5.4170628722161572E-3</v>
      </c>
      <c r="S393" s="3">
        <f t="shared" si="396"/>
        <v>1.1324913282563826E-3</v>
      </c>
      <c r="T393" s="3">
        <f t="shared" si="396"/>
        <v>1.8061132364719028E-10</v>
      </c>
      <c r="U393" s="3">
        <f t="shared" si="396"/>
        <v>1.9224093847558734E-78</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3.3152683029349498E-3</v>
      </c>
      <c r="C394" s="3">
        <f t="shared" si="397"/>
        <v>3.3152683029349498E-3</v>
      </c>
      <c r="D394" s="3">
        <f t="shared" si="397"/>
        <v>3.3152683029349489E-3</v>
      </c>
      <c r="E394" s="3">
        <f t="shared" si="397"/>
        <v>3.3152683029349437E-3</v>
      </c>
      <c r="F394" s="3">
        <f t="shared" si="397"/>
        <v>3.3152683029348921E-3</v>
      </c>
      <c r="G394" s="3">
        <f t="shared" si="397"/>
        <v>3.3152683029343735E-3</v>
      </c>
      <c r="H394" s="3">
        <f t="shared" si="397"/>
        <v>3.3152683029291845E-3</v>
      </c>
      <c r="I394" s="3">
        <f t="shared" si="397"/>
        <v>3.3152683028772958E-3</v>
      </c>
      <c r="J394" s="3">
        <f t="shared" si="397"/>
        <v>3.3152683023584123E-3</v>
      </c>
      <c r="K394" s="3">
        <f t="shared" si="397"/>
        <v>3.3152682971695738E-3</v>
      </c>
      <c r="L394" s="3">
        <f t="shared" si="397"/>
        <v>3.3152682452811878E-3</v>
      </c>
      <c r="M394" s="3">
        <f t="shared" si="397"/>
        <v>3.3152677263973761E-3</v>
      </c>
      <c r="N394" s="3">
        <f t="shared" si="397"/>
        <v>3.3152625375637229E-3</v>
      </c>
      <c r="O394" s="3">
        <f t="shared" si="397"/>
        <v>3.3152106496738584E-3</v>
      </c>
      <c r="P394" s="3">
        <f t="shared" si="397"/>
        <v>3.3146918154390867E-3</v>
      </c>
      <c r="Q394" s="3">
        <f t="shared" si="397"/>
        <v>3.3095079368933825E-3</v>
      </c>
      <c r="R394" s="3">
        <f t="shared" si="397"/>
        <v>3.258112957438471E-3</v>
      </c>
      <c r="S394" s="3">
        <f t="shared" si="397"/>
        <v>2.7860777884990938E-3</v>
      </c>
      <c r="T394" s="3">
        <f t="shared" si="397"/>
        <v>5.8245750690948247E-4</v>
      </c>
      <c r="U394" s="3">
        <f t="shared" si="397"/>
        <v>9.2891149509401318E-11</v>
      </c>
      <c r="V394" s="3">
        <f t="shared" si="397"/>
        <v>9.887243721576705E-79</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1.0813254106264341E-2</v>
      </c>
      <c r="C396" s="3">
        <f t="shared" si="399"/>
        <v>1.0813254106264341E-2</v>
      </c>
      <c r="D396" s="3">
        <f t="shared" si="399"/>
        <v>1.0813254106264341E-2</v>
      </c>
      <c r="E396" s="3">
        <f t="shared" si="399"/>
        <v>1.0813254106264341E-2</v>
      </c>
      <c r="F396" s="3">
        <f t="shared" si="399"/>
        <v>1.0813254106264339E-2</v>
      </c>
      <c r="G396" s="3">
        <f t="shared" si="399"/>
        <v>1.0813254106264322E-2</v>
      </c>
      <c r="H396" s="3">
        <f t="shared" si="399"/>
        <v>1.0813254106264152E-2</v>
      </c>
      <c r="I396" s="3">
        <f t="shared" si="399"/>
        <v>1.081325410626246E-2</v>
      </c>
      <c r="J396" s="3">
        <f t="shared" si="399"/>
        <v>1.0813254106245536E-2</v>
      </c>
      <c r="K396" s="3">
        <f t="shared" si="399"/>
        <v>1.0813254106076293E-2</v>
      </c>
      <c r="L396" s="3">
        <f t="shared" si="399"/>
        <v>1.0813254104383874E-2</v>
      </c>
      <c r="M396" s="3">
        <f t="shared" si="399"/>
        <v>1.0813254087459685E-2</v>
      </c>
      <c r="N396" s="3">
        <f t="shared" si="399"/>
        <v>1.0813253918217787E-2</v>
      </c>
      <c r="O396" s="3">
        <f t="shared" si="399"/>
        <v>1.0813252225798955E-2</v>
      </c>
      <c r="P396" s="3">
        <f t="shared" si="399"/>
        <v>1.08132353016252E-2</v>
      </c>
      <c r="Q396" s="3">
        <f t="shared" si="399"/>
        <v>1.0813066061344511E-2</v>
      </c>
      <c r="R396" s="3">
        <f t="shared" si="399"/>
        <v>1.0811373804215684E-2</v>
      </c>
      <c r="S396" s="3">
        <f t="shared" si="399"/>
        <v>1.0794465792299699E-2</v>
      </c>
      <c r="T396" s="3">
        <f t="shared" si="399"/>
        <v>1.0626833214224436E-2</v>
      </c>
      <c r="U396" s="3">
        <f t="shared" si="399"/>
        <v>9.0872183889880546E-3</v>
      </c>
      <c r="V396" s="3">
        <f t="shared" si="399"/>
        <v>1.8997741518349241E-3</v>
      </c>
      <c r="W396" s="3">
        <f t="shared" si="399"/>
        <v>3.0297867686272069E-10</v>
      </c>
      <c r="X396" s="3">
        <f t="shared" si="399"/>
        <v>3.2248756059148258E-78</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0.18635271079937002</v>
      </c>
      <c r="B397" s="80">
        <f>IF($A$64&lt;=B363,IF($B$64&gt;=B363,ABS((B365-B364)/B364),0),0)</f>
        <v>0.10963325001753983</v>
      </c>
      <c r="C397" s="80">
        <f t="shared" ref="C397:AF397" si="400">IF($A$64&lt;=C363,IF($B$64&gt;=C363,ABS((C365-C364)/C364),0),0)</f>
        <v>0.11423525936199892</v>
      </c>
      <c r="D397" s="80">
        <f t="shared" si="400"/>
        <v>0.116953073019833</v>
      </c>
      <c r="E397" s="80">
        <f t="shared" si="400"/>
        <v>0.11829999486919077</v>
      </c>
      <c r="F397" s="80">
        <f t="shared" si="400"/>
        <v>0.11986772292482013</v>
      </c>
      <c r="G397" s="80">
        <f t="shared" si="400"/>
        <v>8.5671753860166663E-2</v>
      </c>
      <c r="H397" s="80">
        <f t="shared" si="400"/>
        <v>7.5102932972881632E-3</v>
      </c>
      <c r="I397" s="80">
        <f t="shared" si="400"/>
        <v>0.11057596210333796</v>
      </c>
      <c r="J397" s="80">
        <f t="shared" si="400"/>
        <v>0.18066380996698325</v>
      </c>
      <c r="K397" s="80">
        <f t="shared" si="400"/>
        <v>0.20686554563350482</v>
      </c>
      <c r="L397" s="80">
        <f t="shared" si="400"/>
        <v>0.17493274661386513</v>
      </c>
      <c r="M397" s="80">
        <f t="shared" si="400"/>
        <v>0.11434703992520989</v>
      </c>
      <c r="N397" s="80">
        <f t="shared" si="400"/>
        <v>1.3563093038461109E-2</v>
      </c>
      <c r="O397" s="80">
        <f t="shared" si="400"/>
        <v>2.8336508605676991E-2</v>
      </c>
      <c r="P397" s="80">
        <f t="shared" si="400"/>
        <v>5.0648872373484137E-2</v>
      </c>
      <c r="Q397" s="80">
        <f t="shared" si="400"/>
        <v>0.20646802494006744</v>
      </c>
      <c r="R397" s="80">
        <f t="shared" si="400"/>
        <v>0.31837691992408096</v>
      </c>
      <c r="S397" s="80">
        <f t="shared" si="400"/>
        <v>0.31988801909935538</v>
      </c>
      <c r="T397" s="80">
        <f t="shared" si="400"/>
        <v>0.25319217532068267</v>
      </c>
      <c r="U397" s="80">
        <f t="shared" si="400"/>
        <v>0.1882925476750314</v>
      </c>
      <c r="V397" s="80">
        <f t="shared" si="400"/>
        <v>0.3133600629222752</v>
      </c>
      <c r="W397" s="80">
        <f t="shared" si="400"/>
        <v>0.32481482646500964</v>
      </c>
      <c r="X397" s="80">
        <f t="shared" si="400"/>
        <v>0.29368561393585479</v>
      </c>
      <c r="Y397" s="80">
        <f t="shared" si="400"/>
        <v>0.27389969961379057</v>
      </c>
      <c r="Z397" s="80">
        <f t="shared" si="400"/>
        <v>0.26072506577751264</v>
      </c>
      <c r="AA397" s="80">
        <f t="shared" si="400"/>
        <v>0.25753744610528267</v>
      </c>
      <c r="AB397" s="80">
        <f t="shared" si="400"/>
        <v>0.25364043434961048</v>
      </c>
      <c r="AC397" s="80">
        <f t="shared" si="400"/>
        <v>0.24318655350292789</v>
      </c>
      <c r="AD397" s="80">
        <f t="shared" si="400"/>
        <v>0.24289032151815826</v>
      </c>
      <c r="AE397" s="80">
        <f t="shared" si="400"/>
        <v>0.23829568801962386</v>
      </c>
      <c r="AF397" s="80">
        <f t="shared" si="400"/>
        <v>0.23657570999984581</v>
      </c>
    </row>
    <row r="398" spans="1:34" x14ac:dyDescent="0.25">
      <c r="B398" s="21">
        <f>(B365-B364)^2</f>
        <v>247328.85473300333</v>
      </c>
      <c r="C398" s="21">
        <f t="shared" ref="C398:AF398" si="401">(C365-C364)^2</f>
        <v>241639.18388683238</v>
      </c>
      <c r="D398" s="21">
        <f t="shared" si="401"/>
        <v>233034.29626954833</v>
      </c>
      <c r="E398" s="21">
        <f t="shared" si="401"/>
        <v>217869.54197237769</v>
      </c>
      <c r="F398" s="21">
        <f t="shared" si="401"/>
        <v>203849.21836086595</v>
      </c>
      <c r="G398" s="21">
        <f t="shared" si="401"/>
        <v>92599.159617401107</v>
      </c>
      <c r="H398" s="21">
        <f t="shared" si="401"/>
        <v>621.13266542940949</v>
      </c>
      <c r="I398" s="21">
        <f t="shared" si="401"/>
        <v>113792.46044747713</v>
      </c>
      <c r="J398" s="21">
        <f t="shared" si="401"/>
        <v>245962.91411649363</v>
      </c>
      <c r="K398" s="21">
        <f t="shared" si="401"/>
        <v>242392.39603144737</v>
      </c>
      <c r="L398" s="21">
        <f t="shared" si="401"/>
        <v>116208.686104373</v>
      </c>
      <c r="M398" s="21">
        <f t="shared" si="401"/>
        <v>28750.859828272827</v>
      </c>
      <c r="N398" s="21">
        <f t="shared" si="401"/>
        <v>208.55903375337962</v>
      </c>
      <c r="O398" s="21">
        <f t="shared" si="401"/>
        <v>458.9759549549712</v>
      </c>
      <c r="P398" s="21">
        <f t="shared" si="401"/>
        <v>846.02536308732022</v>
      </c>
      <c r="Q398" s="21">
        <f t="shared" si="401"/>
        <v>9511.5753819027523</v>
      </c>
      <c r="R398" s="21">
        <f t="shared" si="401"/>
        <v>16607.008287316417</v>
      </c>
      <c r="S398" s="21">
        <f t="shared" si="401"/>
        <v>11321.465690280882</v>
      </c>
      <c r="T398" s="21">
        <f t="shared" si="401"/>
        <v>4677.2293197288291</v>
      </c>
      <c r="U398" s="21">
        <f t="shared" si="401"/>
        <v>1879.355010725978</v>
      </c>
      <c r="V398" s="21">
        <f t="shared" si="401"/>
        <v>3887.7217799627674</v>
      </c>
      <c r="W398" s="21">
        <f t="shared" si="401"/>
        <v>3520.8467695751451</v>
      </c>
      <c r="X398" s="21">
        <f t="shared" si="401"/>
        <v>2630.2101950589376</v>
      </c>
      <c r="Y398" s="21">
        <f t="shared" si="401"/>
        <v>2164.7666726593143</v>
      </c>
      <c r="Z398" s="21">
        <f t="shared" si="401"/>
        <v>1892.2339180786903</v>
      </c>
      <c r="AA398" s="21">
        <f t="shared" si="401"/>
        <v>1830.4289402253839</v>
      </c>
      <c r="AB398" s="21">
        <f t="shared" si="401"/>
        <v>1756.9604441861707</v>
      </c>
      <c r="AC398" s="21">
        <f t="shared" si="401"/>
        <v>1570.8063579746363</v>
      </c>
      <c r="AD398" s="21">
        <f t="shared" si="401"/>
        <v>1565.755830637399</v>
      </c>
      <c r="AE398" s="21">
        <f t="shared" si="401"/>
        <v>1488.9521922328458</v>
      </c>
      <c r="AF398" s="21">
        <f t="shared" si="401"/>
        <v>1460.9305495030678</v>
      </c>
      <c r="AG398" s="3"/>
      <c r="AH398" s="3"/>
    </row>
    <row r="399" spans="1:34" x14ac:dyDescent="0.25">
      <c r="A399" s="71">
        <f>SUM(B399:AF399)</f>
        <v>2053328.5117253675</v>
      </c>
      <c r="B399" s="60">
        <f>IF($A$64&lt;=B363,IF($B$64&gt;=B363,ABS(B398),0),0)</f>
        <v>247328.85473300333</v>
      </c>
      <c r="C399" s="60">
        <f t="shared" ref="C399" si="402">IF($A$64&lt;=C363,IF($B$64&gt;=C363,ABS(C398),0),0)</f>
        <v>241639.18388683238</v>
      </c>
      <c r="D399" s="60">
        <f t="shared" ref="D399" si="403">IF($A$64&lt;=D363,IF($B$64&gt;=D363,ABS(D398),0),0)</f>
        <v>233034.29626954833</v>
      </c>
      <c r="E399" s="60">
        <f t="shared" ref="E399" si="404">IF($A$64&lt;=E363,IF($B$64&gt;=E363,ABS(E398),0),0)</f>
        <v>217869.54197237769</v>
      </c>
      <c r="F399" s="60">
        <f t="shared" ref="F399" si="405">IF($A$64&lt;=F363,IF($B$64&gt;=F363,ABS(F398),0),0)</f>
        <v>203849.21836086595</v>
      </c>
      <c r="G399" s="60">
        <f t="shared" ref="G399" si="406">IF($A$64&lt;=G363,IF($B$64&gt;=G363,ABS(G398),0),0)</f>
        <v>92599.159617401107</v>
      </c>
      <c r="H399" s="60">
        <f t="shared" ref="H399" si="407">IF($A$64&lt;=H363,IF($B$64&gt;=H363,ABS(H398),0),0)</f>
        <v>621.13266542940949</v>
      </c>
      <c r="I399" s="60">
        <f t="shared" ref="I399" si="408">IF($A$64&lt;=I363,IF($B$64&gt;=I363,ABS(I398),0),0)</f>
        <v>113792.46044747713</v>
      </c>
      <c r="J399" s="60">
        <f t="shared" ref="J399" si="409">IF($A$64&lt;=J363,IF($B$64&gt;=J363,ABS(J398),0),0)</f>
        <v>245962.91411649363</v>
      </c>
      <c r="K399" s="60">
        <f t="shared" ref="K399" si="410">IF($A$64&lt;=K363,IF($B$64&gt;=K363,ABS(K398),0),0)</f>
        <v>242392.39603144737</v>
      </c>
      <c r="L399" s="60">
        <f t="shared" ref="L399" si="411">IF($A$64&lt;=L363,IF($B$64&gt;=L363,ABS(L398),0),0)</f>
        <v>116208.686104373</v>
      </c>
      <c r="M399" s="60">
        <f t="shared" ref="M399" si="412">IF($A$64&lt;=M363,IF($B$64&gt;=M363,ABS(M398),0),0)</f>
        <v>28750.859828272827</v>
      </c>
      <c r="N399" s="60">
        <f t="shared" ref="N399" si="413">IF($A$64&lt;=N363,IF($B$64&gt;=N363,ABS(N398),0),0)</f>
        <v>208.55903375337962</v>
      </c>
      <c r="O399" s="60">
        <f t="shared" ref="O399" si="414">IF($A$64&lt;=O363,IF($B$64&gt;=O363,ABS(O398),0),0)</f>
        <v>458.9759549549712</v>
      </c>
      <c r="P399" s="60">
        <f t="shared" ref="P399" si="415">IF($A$64&lt;=P363,IF($B$64&gt;=P363,ABS(P398),0),0)</f>
        <v>846.02536308732022</v>
      </c>
      <c r="Q399" s="60">
        <f t="shared" ref="Q399" si="416">IF($A$64&lt;=Q363,IF($B$64&gt;=Q363,ABS(Q398),0),0)</f>
        <v>9511.5753819027523</v>
      </c>
      <c r="R399" s="60">
        <f t="shared" ref="R399" si="417">IF($A$64&lt;=R363,IF($B$64&gt;=R363,ABS(R398),0),0)</f>
        <v>16607.008287316417</v>
      </c>
      <c r="S399" s="60">
        <f t="shared" ref="S399" si="418">IF($A$64&lt;=S363,IF($B$64&gt;=S363,ABS(S398),0),0)</f>
        <v>11321.465690280882</v>
      </c>
      <c r="T399" s="60">
        <f t="shared" ref="T399" si="419">IF($A$64&lt;=T363,IF($B$64&gt;=T363,ABS(T398),0),0)</f>
        <v>4677.2293197288291</v>
      </c>
      <c r="U399" s="60">
        <f t="shared" ref="U399" si="420">IF($A$64&lt;=U363,IF($B$64&gt;=U363,ABS(U398),0),0)</f>
        <v>1879.355010725978</v>
      </c>
      <c r="V399" s="60">
        <f t="shared" ref="V399" si="421">IF($A$64&lt;=V363,IF($B$64&gt;=V363,ABS(V398),0),0)</f>
        <v>3887.7217799627674</v>
      </c>
      <c r="W399" s="60">
        <f t="shared" ref="W399" si="422">IF($A$64&lt;=W363,IF($B$64&gt;=W363,ABS(W398),0),0)</f>
        <v>3520.8467695751451</v>
      </c>
      <c r="X399" s="60">
        <f t="shared" ref="X399" si="423">IF($A$64&lt;=X363,IF($B$64&gt;=X363,ABS(X398),0),0)</f>
        <v>2630.2101950589376</v>
      </c>
      <c r="Y399" s="60">
        <f t="shared" ref="Y399" si="424">IF($A$64&lt;=Y363,IF($B$64&gt;=Y363,ABS(Y398),0),0)</f>
        <v>2164.7666726593143</v>
      </c>
      <c r="Z399" s="60">
        <f t="shared" ref="Z399" si="425">IF($A$64&lt;=Z363,IF($B$64&gt;=Z363,ABS(Z398),0),0)</f>
        <v>1892.2339180786903</v>
      </c>
      <c r="AA399" s="60">
        <f t="shared" ref="AA399" si="426">IF($A$64&lt;=AA363,IF($B$64&gt;=AA363,ABS(AA398),0),0)</f>
        <v>1830.4289402253839</v>
      </c>
      <c r="AB399" s="60">
        <f t="shared" ref="AB399" si="427">IF($A$64&lt;=AB363,IF($B$64&gt;=AB363,ABS(AB398),0),0)</f>
        <v>1756.9604441861707</v>
      </c>
      <c r="AC399" s="60">
        <f t="shared" ref="AC399" si="428">IF($A$64&lt;=AC363,IF($B$64&gt;=AC363,ABS(AC398),0),0)</f>
        <v>1570.8063579746363</v>
      </c>
      <c r="AD399" s="60">
        <f t="shared" ref="AD399" si="429">IF($A$64&lt;=AD363,IF($B$64&gt;=AD363,ABS(AD398),0),0)</f>
        <v>1565.755830637399</v>
      </c>
      <c r="AE399" s="60">
        <f t="shared" ref="AE399" si="430">IF($A$64&lt;=AE363,IF($B$64&gt;=AE363,ABS(AE398),0),0)</f>
        <v>1488.9521922328458</v>
      </c>
      <c r="AF399" s="60">
        <f t="shared" ref="AF399" si="431">IF($A$64&lt;=AF363,IF($B$64&gt;=AF363,ABS(AF398),0),0)</f>
        <v>1460.9305495030678</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28" t="s">
        <v>162</v>
      </c>
      <c r="K402" s="128"/>
      <c r="L402" s="128"/>
      <c r="M402" s="128"/>
      <c r="N402" s="128"/>
      <c r="O402" s="128"/>
      <c r="P402" s="128"/>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-21.791567045586209</v>
      </c>
      <c r="C403" s="107">
        <f t="shared" ref="C403:H403" si="432">IF(C125=$B$2,0,C126)</f>
        <v>-13.119481726760494</v>
      </c>
      <c r="D403" s="107">
        <f t="shared" si="432"/>
        <v>-8.6916102244209963</v>
      </c>
      <c r="E403" s="107">
        <f t="shared" si="432"/>
        <v>-4.7520980113111246</v>
      </c>
      <c r="F403" s="107">
        <f t="shared" si="432"/>
        <v>0</v>
      </c>
      <c r="G403" s="107">
        <f t="shared" si="432"/>
        <v>12.423556606236367</v>
      </c>
      <c r="H403" s="107">
        <f t="shared" si="432"/>
        <v>25.881767880905638</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3.4359171254774338E-25</v>
      </c>
      <c r="C404" s="3">
        <f t="shared" ref="C404:H419" si="433">$A404/EXP(-C$403)</f>
        <v>2.0057716131801753E-21</v>
      </c>
      <c r="D404" s="3">
        <f t="shared" si="433"/>
        <v>1.679893078357828E-19</v>
      </c>
      <c r="E404" s="3">
        <f t="shared" si="433"/>
        <v>8.6335628762884951E-18</v>
      </c>
      <c r="F404" s="3">
        <f t="shared" si="433"/>
        <v>1.0000000000000001E-15</v>
      </c>
      <c r="G404" s="3">
        <f t="shared" si="433"/>
        <v>2.4858909867597949E-10</v>
      </c>
      <c r="H404" s="3">
        <f t="shared" si="433"/>
        <v>1.7390376021061691E-4</v>
      </c>
      <c r="I404" s="109">
        <f>Comparison!AL3</f>
        <v>1.0000000000000001E-15</v>
      </c>
      <c r="J404" s="3">
        <f>Comparison!AM3</f>
        <v>7093.1154116431162</v>
      </c>
      <c r="K404" s="3">
        <f>Comparison!AN3</f>
        <v>7031.9211529245395</v>
      </c>
      <c r="L404" s="3">
        <f>Comparison!AO3</f>
        <v>6992.3964680806075</v>
      </c>
      <c r="M404" s="3">
        <f>Comparison!AP3</f>
        <v>6951.7769139036336</v>
      </c>
      <c r="N404" s="3">
        <f>Comparison!AQ3</f>
        <v>6840.5863197092085</v>
      </c>
      <c r="O404" s="3">
        <f>Comparison!AR3</f>
        <v>5776.5900052436255</v>
      </c>
      <c r="P404" s="3">
        <f>Comparison!AS3</f>
        <v>4536.230397827354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3.4359171254774337E-24</v>
      </c>
      <c r="C405" s="3">
        <f t="shared" si="433"/>
        <v>2.0057716131801753E-20</v>
      </c>
      <c r="D405" s="3">
        <f t="shared" si="433"/>
        <v>1.6798930783578279E-18</v>
      </c>
      <c r="E405" s="3">
        <f t="shared" si="433"/>
        <v>8.6335628762884945E-17</v>
      </c>
      <c r="F405" s="3">
        <f t="shared" si="433"/>
        <v>1E-14</v>
      </c>
      <c r="G405" s="3">
        <f t="shared" si="433"/>
        <v>2.4858909867597946E-9</v>
      </c>
      <c r="H405" s="3">
        <f t="shared" si="433"/>
        <v>1.7390376021061691E-3</v>
      </c>
      <c r="I405" s="109">
        <f>Comparison!AL4</f>
        <v>1E-14</v>
      </c>
      <c r="J405" s="3">
        <f>Comparison!AM4</f>
        <v>7093.186769557813</v>
      </c>
      <c r="K405" s="3">
        <f>Comparison!AN4</f>
        <v>7031.9907762783369</v>
      </c>
      <c r="L405" s="3">
        <f>Comparison!AO4</f>
        <v>6992.459052459466</v>
      </c>
      <c r="M405" s="3">
        <f>Comparison!AP4</f>
        <v>6950.7516447504031</v>
      </c>
      <c r="N405" s="3">
        <f>Comparison!AQ4</f>
        <v>6643.5965561721414</v>
      </c>
      <c r="O405" s="3">
        <f>Comparison!AR4</f>
        <v>5571.6920956359099</v>
      </c>
      <c r="P405" s="3">
        <f>Comparison!AS4</f>
        <v>4303.1205029931816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3.4359171254774335E-23</v>
      </c>
      <c r="C406" s="3">
        <f t="shared" si="433"/>
        <v>2.0057716131801753E-19</v>
      </c>
      <c r="D406" s="3">
        <f t="shared" si="433"/>
        <v>1.6798930783578278E-17</v>
      </c>
      <c r="E406" s="3">
        <f t="shared" si="433"/>
        <v>8.6335628762884945E-16</v>
      </c>
      <c r="F406" s="3">
        <f t="shared" si="433"/>
        <v>1E-13</v>
      </c>
      <c r="G406" s="3">
        <f t="shared" si="433"/>
        <v>2.4858909867597946E-8</v>
      </c>
      <c r="H406" s="3">
        <f t="shared" si="433"/>
        <v>1.7390376021061693E-2</v>
      </c>
      <c r="I406" s="109">
        <f>Comparison!AL5</f>
        <v>1E-13</v>
      </c>
      <c r="J406" s="3">
        <f>Comparison!AM5</f>
        <v>7093.1496241627792</v>
      </c>
      <c r="K406" s="3">
        <f>Comparison!AN5</f>
        <v>7031.9539299810422</v>
      </c>
      <c r="L406" s="3">
        <f>Comparison!AO5</f>
        <v>6992.3628853177524</v>
      </c>
      <c r="M406" s="3">
        <f>Comparison!AP5</f>
        <v>6940.1985301294053</v>
      </c>
      <c r="N406" s="3">
        <f>Comparison!AQ5</f>
        <v>6527.1577578820725</v>
      </c>
      <c r="O406" s="3">
        <f>Comparison!AR5</f>
        <v>5400.7646013667554</v>
      </c>
      <c r="P406" s="3">
        <f>Comparison!AS5</f>
        <v>4127.6064584710148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3.4359171254774334E-22</v>
      </c>
      <c r="C407" s="3">
        <f t="shared" si="433"/>
        <v>2.0057716131801754E-18</v>
      </c>
      <c r="D407" s="3">
        <f t="shared" si="433"/>
        <v>1.6798930783578278E-16</v>
      </c>
      <c r="E407" s="3">
        <f t="shared" si="433"/>
        <v>8.6335628762884939E-15</v>
      </c>
      <c r="F407" s="3">
        <f t="shared" si="433"/>
        <v>9.9999999999999998E-13</v>
      </c>
      <c r="G407" s="3">
        <f t="shared" si="433"/>
        <v>2.4858909867597945E-7</v>
      </c>
      <c r="H407" s="3">
        <f t="shared" si="433"/>
        <v>0.1739037602106169</v>
      </c>
      <c r="I407" s="109">
        <f>Comparison!AL6</f>
        <v>9.9999999999999998E-13</v>
      </c>
      <c r="J407" s="3">
        <f>Comparison!AM6</f>
        <v>7093.139849123485</v>
      </c>
      <c r="K407" s="3">
        <f>Comparison!AN6</f>
        <v>7031.9433621725511</v>
      </c>
      <c r="L407" s="3">
        <f>Comparison!AO6</f>
        <v>6991.7590094248426</v>
      </c>
      <c r="M407" s="3">
        <f>Comparison!AP6</f>
        <v>6859.1289652487367</v>
      </c>
      <c r="N407" s="3">
        <f>Comparison!AQ6</f>
        <v>6412.9995296962652</v>
      </c>
      <c r="O407" s="3">
        <f>Comparison!AR6</f>
        <v>5215.0678795321228</v>
      </c>
      <c r="P407" s="3">
        <f>Comparison!AS6</f>
        <v>3945.604356178083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3.4359171254774333E-21</v>
      </c>
      <c r="C408" s="3">
        <f t="shared" si="433"/>
        <v>2.0057716131801751E-17</v>
      </c>
      <c r="D408" s="3">
        <f t="shared" si="433"/>
        <v>1.6798930783578277E-15</v>
      </c>
      <c r="E408" s="3">
        <f t="shared" si="433"/>
        <v>8.6335628762884933E-14</v>
      </c>
      <c r="F408" s="3">
        <f t="shared" si="433"/>
        <v>9.9999999999999994E-12</v>
      </c>
      <c r="G408" s="3">
        <f t="shared" si="433"/>
        <v>2.4858909867597944E-6</v>
      </c>
      <c r="H408" s="3">
        <f t="shared" si="433"/>
        <v>1.7390376021061691</v>
      </c>
      <c r="I408" s="109">
        <f>Comparison!AL7</f>
        <v>9.9999999999999994E-12</v>
      </c>
      <c r="J408" s="3">
        <f>Comparison!AM7</f>
        <v>7093.1370316171597</v>
      </c>
      <c r="K408" s="3">
        <f>Comparison!AN7</f>
        <v>7031.9306469370567</v>
      </c>
      <c r="L408" s="3">
        <f>Comparison!AO7</f>
        <v>6985.9675385002447</v>
      </c>
      <c r="M408" s="3">
        <f>Comparison!AP7</f>
        <v>6695.6616107202954</v>
      </c>
      <c r="N408" s="3">
        <f>Comparison!AQ7</f>
        <v>6286.8028992665704</v>
      </c>
      <c r="O408" s="3">
        <f>Comparison!AR7</f>
        <v>4985.425095489265</v>
      </c>
      <c r="P408" s="3">
        <f>Comparison!AS7</f>
        <v>3766.6240058114313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3.4359171254774336E-20</v>
      </c>
      <c r="C409" s="3">
        <f t="shared" si="433"/>
        <v>2.0057716131801753E-16</v>
      </c>
      <c r="D409" s="3">
        <f t="shared" si="433"/>
        <v>1.6798930783578278E-14</v>
      </c>
      <c r="E409" s="3">
        <f t="shared" si="433"/>
        <v>8.6335628762884948E-13</v>
      </c>
      <c r="F409" s="3">
        <f t="shared" si="433"/>
        <v>1E-10</v>
      </c>
      <c r="G409" s="3">
        <f t="shared" si="433"/>
        <v>2.4858909867597946E-5</v>
      </c>
      <c r="H409" s="3">
        <f t="shared" si="433"/>
        <v>17.390376021061691</v>
      </c>
      <c r="I409" s="109">
        <f>Comparison!AL8</f>
        <v>1E-10</v>
      </c>
      <c r="J409" s="3">
        <f>Comparison!AM8</f>
        <v>7093.1361691156708</v>
      </c>
      <c r="K409" s="3">
        <f>Comparison!AN8</f>
        <v>7031.8305090006179</v>
      </c>
      <c r="L409" s="3">
        <f>Comparison!AO8</f>
        <v>6936.0316435873456</v>
      </c>
      <c r="M409" s="3">
        <f>Comparison!AP8</f>
        <v>6579.8912612434069</v>
      </c>
      <c r="N409" s="3">
        <f>Comparison!AQ8</f>
        <v>6151.4165633211096</v>
      </c>
      <c r="O409" s="3">
        <f>Comparison!AR8</f>
        <v>4758.3350912889036</v>
      </c>
      <c r="P409" s="3">
        <f>Comparison!AS8</f>
        <v>3551.9419942460731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3.4359171254774339E-19</v>
      </c>
      <c r="C410" s="3">
        <f t="shared" si="433"/>
        <v>2.0057716131801752E-15</v>
      </c>
      <c r="D410" s="3">
        <f t="shared" si="433"/>
        <v>1.6798930783578278E-13</v>
      </c>
      <c r="E410" s="3">
        <f t="shared" si="433"/>
        <v>8.6335628762884948E-12</v>
      </c>
      <c r="F410" s="3">
        <f t="shared" si="433"/>
        <v>1.0000000000000001E-9</v>
      </c>
      <c r="G410" s="3">
        <f t="shared" si="433"/>
        <v>2.4858909867597946E-4</v>
      </c>
      <c r="H410" s="3">
        <f t="shared" si="433"/>
        <v>173.90376021061692</v>
      </c>
      <c r="I410" s="109">
        <f>Comparison!AL9</f>
        <v>1.0000000000000001E-9</v>
      </c>
      <c r="J410" s="3">
        <f>Comparison!AM9</f>
        <v>7093.1358816152215</v>
      </c>
      <c r="K410" s="3">
        <f>Comparison!AN9</f>
        <v>7030.8436925650376</v>
      </c>
      <c r="L410" s="3">
        <f>Comparison!AO9</f>
        <v>6767.3497232459458</v>
      </c>
      <c r="M410" s="3">
        <f>Comparison!AP9</f>
        <v>6466.0632255652681</v>
      </c>
      <c r="N410" s="3">
        <f>Comparison!AQ9</f>
        <v>5999.0572498672</v>
      </c>
      <c r="O410" s="3">
        <f>Comparison!AR9</f>
        <v>4565.5114420012915</v>
      </c>
      <c r="P410" s="3">
        <f>Comparison!AS9</f>
        <v>3318.4500658255338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3.4359171254774337E-18</v>
      </c>
      <c r="C411" s="3">
        <f t="shared" si="433"/>
        <v>2.0057716131801753E-14</v>
      </c>
      <c r="D411" s="3">
        <f t="shared" si="433"/>
        <v>1.6798930783578278E-12</v>
      </c>
      <c r="E411" s="3">
        <f t="shared" si="433"/>
        <v>8.6335628762884942E-11</v>
      </c>
      <c r="F411" s="3">
        <f t="shared" si="433"/>
        <v>1E-8</v>
      </c>
      <c r="G411" s="3">
        <f t="shared" si="433"/>
        <v>2.4858909867597947E-3</v>
      </c>
      <c r="H411" s="3">
        <f t="shared" si="433"/>
        <v>1739.0376021061691</v>
      </c>
      <c r="I411" s="109">
        <f>Comparison!AL10</f>
        <v>1E-8</v>
      </c>
      <c r="J411" s="3">
        <f>Comparison!AM10</f>
        <v>7093.135709114963</v>
      </c>
      <c r="K411" s="3">
        <f>Comparison!AN10</f>
        <v>7021.3347469085647</v>
      </c>
      <c r="L411" s="3">
        <f>Comparison!AO10</f>
        <v>6644.5309370841214</v>
      </c>
      <c r="M411" s="3">
        <f>Comparison!AP10</f>
        <v>6338.9884403076148</v>
      </c>
      <c r="N411" s="3">
        <f>Comparison!AQ10</f>
        <v>5834.1918541119712</v>
      </c>
      <c r="O411" s="3">
        <f>Comparison!AR10</f>
        <v>4384.874474223483</v>
      </c>
      <c r="P411" s="3">
        <f>Comparison!AS10</f>
        <v>3050.6755206683788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3.4359171254774334E-17</v>
      </c>
      <c r="C412" s="3">
        <f t="shared" si="433"/>
        <v>2.0057716131801751E-13</v>
      </c>
      <c r="D412" s="3">
        <f t="shared" si="433"/>
        <v>1.6798930783578277E-11</v>
      </c>
      <c r="E412" s="3">
        <f t="shared" si="433"/>
        <v>8.6335628762884937E-10</v>
      </c>
      <c r="F412" s="3">
        <f t="shared" si="433"/>
        <v>9.9999999999999995E-8</v>
      </c>
      <c r="G412" s="3">
        <f t="shared" si="433"/>
        <v>2.4858909867597943E-2</v>
      </c>
      <c r="H412" s="3">
        <f t="shared" si="433"/>
        <v>17390.376021061689</v>
      </c>
      <c r="I412" s="109">
        <f>Comparison!AL11</f>
        <v>9.9999999999999995E-8</v>
      </c>
      <c r="J412" s="3">
        <f>Comparison!AM11</f>
        <v>7093.1355366147118</v>
      </c>
      <c r="K412" s="3">
        <f>Comparison!AN11</f>
        <v>6946.0273669032786</v>
      </c>
      <c r="L412" s="3">
        <f>Comparison!AO11</f>
        <v>6532.7504586905397</v>
      </c>
      <c r="M412" s="3">
        <f>Comparison!AP11</f>
        <v>6203.5301972004399</v>
      </c>
      <c r="N412" s="3">
        <f>Comparison!AQ11</f>
        <v>5660.667941479277</v>
      </c>
      <c r="O412" s="3">
        <f>Comparison!AR11</f>
        <v>4203.1654341512503</v>
      </c>
      <c r="P412" s="3">
        <f>Comparison!AS11</f>
        <v>2745.1346410108995</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3.4359171254774331E-16</v>
      </c>
      <c r="C413" s="3">
        <f t="shared" si="433"/>
        <v>2.0057716131801751E-12</v>
      </c>
      <c r="D413" s="3">
        <f t="shared" si="433"/>
        <v>1.6798930783578277E-10</v>
      </c>
      <c r="E413" s="3">
        <f t="shared" si="433"/>
        <v>8.6335628762884932E-9</v>
      </c>
      <c r="F413" s="3">
        <f t="shared" si="433"/>
        <v>9.9999999999999995E-7</v>
      </c>
      <c r="G413" s="3">
        <f t="shared" si="433"/>
        <v>0.24858909867597945</v>
      </c>
      <c r="H413" s="3">
        <f t="shared" si="433"/>
        <v>173903.76021061689</v>
      </c>
      <c r="I413" s="109">
        <f>Comparison!AL12</f>
        <v>9.9999999999999995E-7</v>
      </c>
      <c r="J413" s="3">
        <f>Comparison!AM12</f>
        <v>7093.1340991129555</v>
      </c>
      <c r="K413" s="3">
        <f>Comparison!AN12</f>
        <v>6777.7782322116691</v>
      </c>
      <c r="L413" s="3">
        <f>Comparison!AO12</f>
        <v>6406.2589516029093</v>
      </c>
      <c r="M413" s="3">
        <f>Comparison!AP12</f>
        <v>6050.6164561665273</v>
      </c>
      <c r="N413" s="3">
        <f>Comparison!AQ12</f>
        <v>5500.6338050295499</v>
      </c>
      <c r="O413" s="3">
        <f>Comparison!AR12</f>
        <v>4026.8171479490911</v>
      </c>
      <c r="P413" s="3">
        <f>Comparison!AS12</f>
        <v>2379.9691784471511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3.4359171254774338E-15</v>
      </c>
      <c r="C414" s="3">
        <f t="shared" si="433"/>
        <v>2.0057716131801753E-11</v>
      </c>
      <c r="D414" s="3">
        <f t="shared" si="433"/>
        <v>1.6798930783578281E-9</v>
      </c>
      <c r="E414" s="3">
        <f t="shared" si="433"/>
        <v>8.6335628762884949E-8</v>
      </c>
      <c r="F414" s="3">
        <f t="shared" si="433"/>
        <v>1.0000000000000001E-5</v>
      </c>
      <c r="G414" s="3">
        <f t="shared" si="433"/>
        <v>2.4858909867597947</v>
      </c>
      <c r="H414" s="3">
        <f t="shared" si="433"/>
        <v>1739037.6021061693</v>
      </c>
      <c r="I414" s="109">
        <f>Comparison!AL13</f>
        <v>1.0000000000000001E-5</v>
      </c>
      <c r="J414" s="3">
        <f>Comparison!AM13</f>
        <v>7093.1198391270691</v>
      </c>
      <c r="K414" s="3">
        <f>Comparison!AN13</f>
        <v>6659.4311503256295</v>
      </c>
      <c r="L414" s="3">
        <f>Comparison!AO13</f>
        <v>6273.617616065887</v>
      </c>
      <c r="M414" s="3">
        <f>Comparison!AP13</f>
        <v>5884.895018012654</v>
      </c>
      <c r="N414" s="3">
        <f>Comparison!AQ13</f>
        <v>5316.0543139142828</v>
      </c>
      <c r="O414" s="3">
        <f>Comparison!AR13</f>
        <v>3842.8247437350828</v>
      </c>
      <c r="P414" s="3">
        <f>Comparison!AS13</f>
        <v>1948.7143373862357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3.4359171254774338E-14</v>
      </c>
      <c r="C415" s="3">
        <f t="shared" si="433"/>
        <v>2.0057716131801753E-10</v>
      </c>
      <c r="D415" s="3">
        <f t="shared" si="433"/>
        <v>1.6798930783578279E-8</v>
      </c>
      <c r="E415" s="3">
        <f t="shared" si="433"/>
        <v>8.6335628762884944E-7</v>
      </c>
      <c r="F415" s="3">
        <f t="shared" si="433"/>
        <v>1E-4</v>
      </c>
      <c r="G415" s="3">
        <f t="shared" si="433"/>
        <v>24.858909867597948</v>
      </c>
      <c r="H415" s="3">
        <f t="shared" si="433"/>
        <v>17390376.021061692</v>
      </c>
      <c r="I415" s="109">
        <f>Comparison!AL14</f>
        <v>1E-4</v>
      </c>
      <c r="J415" s="3">
        <f>Comparison!AM14</f>
        <v>7092.9771274266232</v>
      </c>
      <c r="K415" s="3">
        <f>Comparison!AN14</f>
        <v>6544.645454565718</v>
      </c>
      <c r="L415" s="3">
        <f>Comparison!AO14</f>
        <v>6123.1895749079549</v>
      </c>
      <c r="M415" s="3">
        <f>Comparison!AP14</f>
        <v>5709.3519393565812</v>
      </c>
      <c r="N415" s="3">
        <f>Comparison!AQ14</f>
        <v>5094.9618199282804</v>
      </c>
      <c r="O415" s="3">
        <f>Comparison!AR14</f>
        <v>3637.9090125528774</v>
      </c>
      <c r="P415" s="3">
        <f>Comparison!AS14</f>
        <v>1482.8611668944652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3.4359171254774336E-13</v>
      </c>
      <c r="C416" s="3">
        <f t="shared" si="433"/>
        <v>2.0057716131801754E-9</v>
      </c>
      <c r="D416" s="3">
        <f t="shared" si="433"/>
        <v>1.679893078357828E-7</v>
      </c>
      <c r="E416" s="3">
        <f t="shared" si="433"/>
        <v>8.6335628762884937E-6</v>
      </c>
      <c r="F416" s="3">
        <f t="shared" si="433"/>
        <v>1E-3</v>
      </c>
      <c r="G416" s="3">
        <f t="shared" si="433"/>
        <v>248.58909867597944</v>
      </c>
      <c r="H416" s="3">
        <f t="shared" si="433"/>
        <v>173903760.21061692</v>
      </c>
      <c r="I416" s="109">
        <f>Comparison!AL15</f>
        <v>1E-3</v>
      </c>
      <c r="J416" s="3">
        <f>Comparison!AM15</f>
        <v>7091.5625107943715</v>
      </c>
      <c r="K416" s="3">
        <f>Comparison!AN15</f>
        <v>6415.8365900058752</v>
      </c>
      <c r="L416" s="3">
        <f>Comparison!AO15</f>
        <v>5959.0875608576071</v>
      </c>
      <c r="M416" s="3">
        <f>Comparison!AP15</f>
        <v>5547.9132434192643</v>
      </c>
      <c r="N416" s="3">
        <f>Comparison!AQ15</f>
        <v>4859.6753740182503</v>
      </c>
      <c r="O416" s="3">
        <f>Comparison!AR15</f>
        <v>3407.0475124340101</v>
      </c>
      <c r="P416" s="3">
        <f>Comparison!AS15</f>
        <v>1064.7698916660522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3.4359171254774336E-12</v>
      </c>
      <c r="C417" s="3">
        <f t="shared" si="433"/>
        <v>2.0057716131801753E-8</v>
      </c>
      <c r="D417" s="3">
        <f t="shared" si="433"/>
        <v>1.6798930783578279E-6</v>
      </c>
      <c r="E417" s="3">
        <f t="shared" si="433"/>
        <v>8.6335628762884944E-5</v>
      </c>
      <c r="F417" s="3">
        <f t="shared" si="433"/>
        <v>0.01</v>
      </c>
      <c r="G417" s="3">
        <f t="shared" si="433"/>
        <v>2485.8909867597945</v>
      </c>
      <c r="H417" s="3">
        <f t="shared" si="433"/>
        <v>1739037602.1061692</v>
      </c>
      <c r="I417" s="109">
        <f>Comparison!AL16</f>
        <v>0.01</v>
      </c>
      <c r="J417" s="3">
        <f>Comparison!AM16</f>
        <v>7078.0585854387473</v>
      </c>
      <c r="K417" s="3">
        <f>Comparison!AN16</f>
        <v>6279.1797519689544</v>
      </c>
      <c r="L417" s="3">
        <f>Comparison!AO16</f>
        <v>5781.2083401997561</v>
      </c>
      <c r="M417" s="3">
        <f>Comparison!AP16</f>
        <v>5364.2356794540465</v>
      </c>
      <c r="N417" s="3">
        <f>Comparison!AQ16</f>
        <v>4653.8175879978271</v>
      </c>
      <c r="O417" s="3">
        <f>Comparison!AR16</f>
        <v>3145.7192687287707</v>
      </c>
      <c r="P417" s="3">
        <f>Comparison!AS16</f>
        <v>756.04671038027936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3.4359171254774334E-11</v>
      </c>
      <c r="C418" s="3">
        <f t="shared" si="433"/>
        <v>2.0057716131801753E-7</v>
      </c>
      <c r="D418" s="3">
        <f t="shared" si="433"/>
        <v>1.6798930783578278E-5</v>
      </c>
      <c r="E418" s="3">
        <f t="shared" si="433"/>
        <v>8.6335628762884947E-4</v>
      </c>
      <c r="F418" s="3">
        <f t="shared" si="433"/>
        <v>0.1</v>
      </c>
      <c r="G418" s="3">
        <f t="shared" si="433"/>
        <v>24858.909867597948</v>
      </c>
      <c r="H418" s="3">
        <f t="shared" si="433"/>
        <v>17390376021.061691</v>
      </c>
      <c r="I418" s="109">
        <f>Comparison!AL17</f>
        <v>0.1</v>
      </c>
      <c r="J418" s="3">
        <f>Comparison!AM17</f>
        <v>6980.1771345591078</v>
      </c>
      <c r="K418" s="3">
        <f>Comparison!AN17</f>
        <v>6124.6018825038309</v>
      </c>
      <c r="L418" s="3">
        <f>Comparison!AO17</f>
        <v>5618.3452185734377</v>
      </c>
      <c r="M418" s="3">
        <f>Comparison!AP17</f>
        <v>5142.9380897638539</v>
      </c>
      <c r="N418" s="3">
        <f>Comparison!AQ17</f>
        <v>4469.1753341299773</v>
      </c>
      <c r="O418" s="3">
        <f>Comparison!AR17</f>
        <v>2837.9758401657195</v>
      </c>
      <c r="P418" s="3">
        <f>Comparison!AS17</f>
        <v>574.27764486440731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3.4359171254774334E-10</v>
      </c>
      <c r="C419" s="3">
        <f t="shared" si="433"/>
        <v>2.0057716131801751E-6</v>
      </c>
      <c r="D419" s="3">
        <f t="shared" si="433"/>
        <v>1.6798930783578278E-4</v>
      </c>
      <c r="E419" s="3">
        <f t="shared" si="433"/>
        <v>8.633562876288494E-3</v>
      </c>
      <c r="F419" s="3">
        <f t="shared" si="433"/>
        <v>1</v>
      </c>
      <c r="G419" s="3">
        <f t="shared" si="433"/>
        <v>248589.09867597945</v>
      </c>
      <c r="H419" s="3">
        <f t="shared" si="433"/>
        <v>173903760210.61691</v>
      </c>
      <c r="I419" s="109">
        <f>Comparison!AL18</f>
        <v>1</v>
      </c>
      <c r="J419" s="3">
        <f>Comparison!AM18</f>
        <v>6817.7458366168885</v>
      </c>
      <c r="K419" s="3">
        <f>Comparison!AN18</f>
        <v>5956.8287989294422</v>
      </c>
      <c r="L419" s="3">
        <f>Comparison!AO18</f>
        <v>5440.9922001853329</v>
      </c>
      <c r="M419" s="3">
        <f>Comparison!AP18</f>
        <v>4901.2536857987861</v>
      </c>
      <c r="N419" s="3">
        <f>Comparison!AQ18</f>
        <v>4267.9652571239076</v>
      </c>
      <c r="O419" s="3">
        <f>Comparison!AR18</f>
        <v>2426.1662837806571</v>
      </c>
      <c r="P419" s="3">
        <f>Comparison!AS18</f>
        <v>472.36033693576201</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3.4359171254774335E-9</v>
      </c>
      <c r="C420" s="3">
        <f t="shared" si="434"/>
        <v>2.0057716131801752E-5</v>
      </c>
      <c r="D420" s="3">
        <f t="shared" si="434"/>
        <v>1.6798930783578278E-3</v>
      </c>
      <c r="E420" s="3">
        <f t="shared" si="434"/>
        <v>8.6335628762884947E-2</v>
      </c>
      <c r="F420" s="3">
        <f t="shared" si="434"/>
        <v>10</v>
      </c>
      <c r="G420" s="3">
        <f t="shared" si="434"/>
        <v>2485890.9867597944</v>
      </c>
      <c r="H420" s="3">
        <f t="shared" si="434"/>
        <v>1739037602106.1692</v>
      </c>
      <c r="I420" s="109">
        <f>Comparison!AL19</f>
        <v>10</v>
      </c>
      <c r="J420" s="3">
        <f>Comparison!AM19</f>
        <v>6700.2000319833087</v>
      </c>
      <c r="K420" s="3">
        <f>Comparison!AN19</f>
        <v>5777.56401011038</v>
      </c>
      <c r="L420" s="3">
        <f>Comparison!AO19</f>
        <v>5221.4874412485688</v>
      </c>
      <c r="M420" s="3">
        <f>Comparison!AP19</f>
        <v>4661.3568218837227</v>
      </c>
      <c r="N420" s="3">
        <f>Comparison!AQ19</f>
        <v>3976.7785402340392</v>
      </c>
      <c r="O420" s="3">
        <f>Comparison!AR19</f>
        <v>1854.808278855141</v>
      </c>
      <c r="P420" s="3">
        <f>Comparison!AS19</f>
        <v>404.76609252146119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3.4359171254774337E-8</v>
      </c>
      <c r="C421" s="3">
        <f t="shared" si="434"/>
        <v>2.0057716131801753E-4</v>
      </c>
      <c r="D421" s="3">
        <f t="shared" si="434"/>
        <v>1.6798930783578279E-2</v>
      </c>
      <c r="E421" s="3">
        <f t="shared" si="434"/>
        <v>0.86335628762884942</v>
      </c>
      <c r="F421" s="3">
        <f t="shared" si="434"/>
        <v>100</v>
      </c>
      <c r="G421" s="3">
        <f t="shared" si="434"/>
        <v>24858909.867597945</v>
      </c>
      <c r="H421" s="3">
        <f t="shared" si="434"/>
        <v>17390376021061.691</v>
      </c>
      <c r="I421" s="109">
        <f>Comparison!AL20</f>
        <v>100</v>
      </c>
      <c r="J421" s="3">
        <f>Comparison!AM20</f>
        <v>6581.4875752007347</v>
      </c>
      <c r="K421" s="3">
        <f>Comparison!AN20</f>
        <v>5602.1564627366897</v>
      </c>
      <c r="L421" s="3">
        <f>Comparison!AO20</f>
        <v>4926.1795387850607</v>
      </c>
      <c r="M421" s="3">
        <f>Comparison!AP20</f>
        <v>4298.6774546472579</v>
      </c>
      <c r="N421" s="3">
        <f>Comparison!AQ20</f>
        <v>3445.6591436468279</v>
      </c>
      <c r="O421" s="3">
        <f>Comparison!AR20</f>
        <v>1269.173844412863</v>
      </c>
      <c r="P421" s="3">
        <f>Comparison!AS20</f>
        <v>332.62382454066642</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3.4359171254774337E-7</v>
      </c>
      <c r="C422" s="3">
        <f t="shared" si="434"/>
        <v>2.0057716131801754E-3</v>
      </c>
      <c r="D422" s="3">
        <f t="shared" si="434"/>
        <v>0.16798930783578278</v>
      </c>
      <c r="E422" s="3">
        <f t="shared" si="434"/>
        <v>8.6335628762884937</v>
      </c>
      <c r="F422" s="3">
        <f t="shared" si="434"/>
        <v>1000</v>
      </c>
      <c r="G422" s="3">
        <f t="shared" si="434"/>
        <v>248589098.67597944</v>
      </c>
      <c r="H422" s="3">
        <f t="shared" si="434"/>
        <v>173903760210616.91</v>
      </c>
      <c r="I422" s="109">
        <f>Comparison!AL21</f>
        <v>1000</v>
      </c>
      <c r="J422" s="3">
        <f>Comparison!AM21</f>
        <v>6449.3747740231202</v>
      </c>
      <c r="K422" s="3">
        <f>Comparison!AN21</f>
        <v>5348.811853446321</v>
      </c>
      <c r="L422" s="3">
        <f>Comparison!AO21</f>
        <v>4442.9821588725517</v>
      </c>
      <c r="M422" s="3">
        <f>Comparison!AP21</f>
        <v>3673.7236771243274</v>
      </c>
      <c r="N422" s="3">
        <f>Comparison!AQ21</f>
        <v>2839.3657389117534</v>
      </c>
      <c r="O422" s="3">
        <f>Comparison!AR21</f>
        <v>808.20803145416335</v>
      </c>
      <c r="P422" s="3">
        <f>Comparison!AS21</f>
        <v>270.11210763785351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3.4359171254774333E-6</v>
      </c>
      <c r="C423" s="3">
        <f t="shared" si="434"/>
        <v>2.0057716131801753E-2</v>
      </c>
      <c r="D423" s="3">
        <f t="shared" si="434"/>
        <v>1.6798930783578279</v>
      </c>
      <c r="E423" s="3">
        <f t="shared" si="434"/>
        <v>86.335628762884937</v>
      </c>
      <c r="F423" s="3">
        <f t="shared" si="434"/>
        <v>10000</v>
      </c>
      <c r="G423" s="3">
        <f t="shared" si="434"/>
        <v>2485890986.7597947</v>
      </c>
      <c r="H423" s="3">
        <f t="shared" si="434"/>
        <v>1739037602106169</v>
      </c>
      <c r="I423" s="109">
        <f>Comparison!AL22</f>
        <v>10000</v>
      </c>
      <c r="J423" s="3">
        <f>Comparison!AM22</f>
        <v>6289.3605252793404</v>
      </c>
      <c r="K423" s="3">
        <f>Comparison!AN22</f>
        <v>4793.3449045957559</v>
      </c>
      <c r="L423" s="3">
        <f>Comparison!AO22</f>
        <v>3752.7744100380223</v>
      </c>
      <c r="M423" s="3">
        <f>Comparison!AP22</f>
        <v>3055.9581241953465</v>
      </c>
      <c r="N423" s="3">
        <f>Comparison!AQ22</f>
        <v>2338.5721090290958</v>
      </c>
      <c r="O423" s="3">
        <f>Comparison!AR22</f>
        <v>509.02880387480866</v>
      </c>
      <c r="P423" s="3">
        <f>Comparison!AS22</f>
        <v>230.23496622900356</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3.4359171254774333E-5</v>
      </c>
      <c r="C424" s="3">
        <f t="shared" si="434"/>
        <v>0.20057716131801753</v>
      </c>
      <c r="D424" s="3">
        <f t="shared" si="434"/>
        <v>16.798930783578278</v>
      </c>
      <c r="E424" s="3">
        <f t="shared" si="434"/>
        <v>863.35628762884937</v>
      </c>
      <c r="F424" s="3">
        <f t="shared" si="434"/>
        <v>100000</v>
      </c>
      <c r="G424" s="3">
        <f t="shared" si="434"/>
        <v>24858909867.597946</v>
      </c>
      <c r="H424" s="3">
        <f t="shared" si="434"/>
        <v>1.7390376021061692E+16</v>
      </c>
      <c r="I424" s="109">
        <f>Comparison!AL23</f>
        <v>100000</v>
      </c>
      <c r="J424" s="3">
        <f>Comparison!AM23</f>
        <v>6015.8011652173718</v>
      </c>
      <c r="K424" s="3">
        <f>Comparison!AN23</f>
        <v>4005.8829435497059</v>
      </c>
      <c r="L424" s="3">
        <f>Comparison!AO23</f>
        <v>3130.6377978974938</v>
      </c>
      <c r="M424" s="3">
        <f>Comparison!AP23</f>
        <v>2586.4007874245467</v>
      </c>
      <c r="N424" s="3">
        <f>Comparison!AQ23</f>
        <v>1960.3272335044344</v>
      </c>
      <c r="O424" s="3">
        <f>Comparison!AR23</f>
        <v>344.05387649356049</v>
      </c>
      <c r="P424" s="3">
        <f>Comparison!AS23</f>
        <v>198.97748766430533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3.4359171254774333E-4</v>
      </c>
      <c r="C425" s="3">
        <f t="shared" si="434"/>
        <v>2.0057716131801753</v>
      </c>
      <c r="D425" s="3">
        <f t="shared" si="434"/>
        <v>167.9893078357828</v>
      </c>
      <c r="E425" s="3">
        <f t="shared" si="434"/>
        <v>8633.5628762884935</v>
      </c>
      <c r="F425" s="3">
        <f t="shared" si="434"/>
        <v>1000000</v>
      </c>
      <c r="G425" s="3">
        <f t="shared" si="434"/>
        <v>248589098675.97946</v>
      </c>
      <c r="H425" s="3">
        <f t="shared" si="434"/>
        <v>1.739037602106169E+17</v>
      </c>
      <c r="I425" s="109">
        <f>Comparison!AL24</f>
        <v>1000000</v>
      </c>
      <c r="J425" s="3">
        <f>Comparison!AM24</f>
        <v>5393.4478275395559</v>
      </c>
      <c r="K425" s="3">
        <f>Comparison!AN24</f>
        <v>3346.4776601581179</v>
      </c>
      <c r="L425" s="3">
        <f>Comparison!AO24</f>
        <v>2685.7977977575347</v>
      </c>
      <c r="M425" s="3">
        <f>Comparison!AP24</f>
        <v>2247.3343211844494</v>
      </c>
      <c r="N425" s="3">
        <f>Comparison!AQ24</f>
        <v>1656.3185875611684</v>
      </c>
      <c r="O425" s="3">
        <f>Comparison!AR24</f>
        <v>262.73242624087396</v>
      </c>
      <c r="P425" s="3">
        <f>Comparison!AS24</f>
        <v>182.67861803771595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3.4359171254774333E-3</v>
      </c>
      <c r="C426" s="3">
        <f t="shared" si="434"/>
        <v>20.057716131801751</v>
      </c>
      <c r="D426" s="3">
        <f t="shared" si="434"/>
        <v>1679.8930783578278</v>
      </c>
      <c r="E426" s="3">
        <f t="shared" si="434"/>
        <v>86335.628762884939</v>
      </c>
      <c r="F426" s="3">
        <f t="shared" si="434"/>
        <v>10000000</v>
      </c>
      <c r="G426" s="3">
        <f t="shared" si="434"/>
        <v>2485890986759.7944</v>
      </c>
      <c r="H426" s="3">
        <f t="shared" si="434"/>
        <v>1.7390376021061691E+18</v>
      </c>
      <c r="I426" s="109">
        <f>Comparison!AL25</f>
        <v>10000000</v>
      </c>
      <c r="J426" s="3">
        <f>Comparison!AM25</f>
        <v>4577.424969740212</v>
      </c>
      <c r="K426" s="3">
        <f>Comparison!AN25</f>
        <v>2892.1899665732253</v>
      </c>
      <c r="L426" s="3">
        <f>Comparison!AO25</f>
        <v>2368.346654493816</v>
      </c>
      <c r="M426" s="3">
        <f>Comparison!AP25</f>
        <v>1979.307169199863</v>
      </c>
      <c r="N426" s="3">
        <f>Comparison!AQ25</f>
        <v>1387.2108481854204</v>
      </c>
      <c r="O426" s="3">
        <f>Comparison!AR25</f>
        <v>222.939887660718</v>
      </c>
      <c r="P426" s="3">
        <f>Comparison!AS25</f>
        <v>174.62746722417066</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3.4359171254774334E-2</v>
      </c>
      <c r="C427" s="3">
        <f t="shared" si="434"/>
        <v>200.57716131801752</v>
      </c>
      <c r="D427" s="3">
        <f t="shared" si="434"/>
        <v>16798.930783578278</v>
      </c>
      <c r="E427" s="3">
        <f t="shared" si="434"/>
        <v>863356.28762884939</v>
      </c>
      <c r="F427" s="3">
        <f t="shared" si="434"/>
        <v>100000000</v>
      </c>
      <c r="G427" s="3">
        <f t="shared" si="434"/>
        <v>24858909867597.945</v>
      </c>
      <c r="H427" s="3">
        <f t="shared" si="434"/>
        <v>1.7390376021061691E+19</v>
      </c>
      <c r="I427" s="109">
        <f>Comparison!AL26</f>
        <v>100000000</v>
      </c>
      <c r="J427" s="3">
        <f>Comparison!AM26</f>
        <v>3914.6236771373719</v>
      </c>
      <c r="K427" s="3">
        <f>Comparison!AN26</f>
        <v>2569.6224142495339</v>
      </c>
      <c r="L427" s="3">
        <f>Comparison!AO26</f>
        <v>2132.4244867059297</v>
      </c>
      <c r="M427" s="3">
        <f>Comparison!AP26</f>
        <v>1753.9456058771568</v>
      </c>
      <c r="N427" s="3">
        <f>Comparison!AQ26</f>
        <v>1120.1049206759617</v>
      </c>
      <c r="O427" s="3">
        <f>Comparison!AR26</f>
        <v>201.32214117210117</v>
      </c>
      <c r="P427" s="3">
        <f>Comparison!AS26</f>
        <v>169.86894542912563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0.34359171254774334</v>
      </c>
      <c r="C428" s="3">
        <f t="shared" si="434"/>
        <v>2005.7716131801753</v>
      </c>
      <c r="D428" s="3">
        <f t="shared" si="434"/>
        <v>167989.30783578279</v>
      </c>
      <c r="E428" s="3">
        <f t="shared" si="434"/>
        <v>8633562.8762884941</v>
      </c>
      <c r="F428" s="3">
        <f t="shared" si="434"/>
        <v>1000000000</v>
      </c>
      <c r="G428" s="3">
        <f t="shared" si="434"/>
        <v>248589098675979.44</v>
      </c>
      <c r="H428" s="3">
        <f t="shared" si="434"/>
        <v>1.7390376021061691E+20</v>
      </c>
      <c r="I428" s="109">
        <f>Comparison!AL27</f>
        <v>1000000000</v>
      </c>
      <c r="J428" s="3">
        <f>Comparison!AM27</f>
        <v>3439.215903424868</v>
      </c>
      <c r="K428" s="3">
        <f>Comparison!AN27</f>
        <v>2337.0503651981739</v>
      </c>
      <c r="L428" s="3">
        <f>Comparison!AO27</f>
        <v>1927.1689592855932</v>
      </c>
      <c r="M428" s="3">
        <f>Comparison!AP27</f>
        <v>1541.283272452644</v>
      </c>
      <c r="N428" s="3">
        <f>Comparison!AQ27</f>
        <v>849.29779427462438</v>
      </c>
      <c r="O428" s="3">
        <f>Comparison!AR27</f>
        <v>188.02569432355588</v>
      </c>
      <c r="P428" s="3">
        <f>Comparison!AS27</f>
        <v>166.84170745231376</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3.4359171254774337</v>
      </c>
      <c r="C429" s="3">
        <f t="shared" si="434"/>
        <v>20057.716131801753</v>
      </c>
      <c r="D429" s="3">
        <f t="shared" si="434"/>
        <v>1679893.0783578278</v>
      </c>
      <c r="E429" s="3">
        <f t="shared" si="434"/>
        <v>86335628.762884945</v>
      </c>
      <c r="F429" s="3">
        <f t="shared" si="434"/>
        <v>10000000000</v>
      </c>
      <c r="G429" s="3">
        <f t="shared" si="434"/>
        <v>2485890986759794.5</v>
      </c>
      <c r="H429" s="3">
        <f t="shared" si="434"/>
        <v>1.7390376021061691E+21</v>
      </c>
      <c r="I429" s="109">
        <f>Comparison!AL28</f>
        <v>10000000000</v>
      </c>
      <c r="J429" s="3">
        <f>Comparison!AM28</f>
        <v>3078.9760704970804</v>
      </c>
      <c r="K429" s="3">
        <f>Comparison!AN28</f>
        <v>2151.250620328482</v>
      </c>
      <c r="L429" s="3">
        <f>Comparison!AO28</f>
        <v>1740.579877269425</v>
      </c>
      <c r="M429" s="3">
        <f>Comparison!AP28</f>
        <v>1325.7320252858156</v>
      </c>
      <c r="N429" s="3">
        <f>Comparison!AQ28</f>
        <v>602.02056954985051</v>
      </c>
      <c r="O429" s="3">
        <f>Comparison!AR28</f>
        <v>181.14617749166206</v>
      </c>
      <c r="P429" s="3">
        <f>Comparison!AS28</f>
        <v>166.12540478353452</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34.359171254774331</v>
      </c>
      <c r="C430" s="3">
        <f t="shared" si="434"/>
        <v>200577.16131801752</v>
      </c>
      <c r="D430" s="3">
        <f t="shared" si="434"/>
        <v>16798930.78357828</v>
      </c>
      <c r="E430" s="3">
        <f t="shared" si="434"/>
        <v>863356287.62884939</v>
      </c>
      <c r="F430" s="3">
        <f t="shared" si="434"/>
        <v>100000000000</v>
      </c>
      <c r="G430" s="3">
        <f t="shared" si="434"/>
        <v>2.4858909867597944E+16</v>
      </c>
      <c r="H430" s="3">
        <f t="shared" si="434"/>
        <v>1.7390376021061691E+22</v>
      </c>
      <c r="I430" s="109">
        <f>Comparison!AL29</f>
        <v>100000000000</v>
      </c>
      <c r="J430" s="3">
        <f>Comparison!AM29</f>
        <v>2798.5736498484516</v>
      </c>
      <c r="K430" s="3">
        <f>Comparison!AN29</f>
        <v>1990.2744047049448</v>
      </c>
      <c r="L430" s="3">
        <f>Comparison!AO29</f>
        <v>1552.3921804639763</v>
      </c>
      <c r="M430" s="3">
        <f>Comparison!AP29</f>
        <v>1090.3481138846798</v>
      </c>
      <c r="N430" s="3">
        <f>Comparison!AQ29</f>
        <v>414.55153000594095</v>
      </c>
      <c r="O430" s="3">
        <f>Comparison!AR29</f>
        <v>171.73287142228415</v>
      </c>
      <c r="P430" s="3">
        <f>Comparison!AS29</f>
        <v>165.25800429032441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343.59171254774333</v>
      </c>
      <c r="C431" s="3">
        <f t="shared" si="434"/>
        <v>2005771.6131801752</v>
      </c>
      <c r="D431" s="3">
        <f t="shared" si="434"/>
        <v>167989307.8357828</v>
      </c>
      <c r="E431" s="3">
        <f t="shared" si="434"/>
        <v>8633562876.2884941</v>
      </c>
      <c r="F431" s="3">
        <f t="shared" si="434"/>
        <v>1000000000000</v>
      </c>
      <c r="G431" s="3">
        <f t="shared" si="434"/>
        <v>2.4858909867597946E+17</v>
      </c>
      <c r="H431" s="3">
        <f t="shared" si="434"/>
        <v>1.7390376021061692E+23</v>
      </c>
      <c r="I431" s="109">
        <f>Comparison!AL30</f>
        <v>1000000000000</v>
      </c>
      <c r="J431" s="3">
        <f>Comparison!AM30</f>
        <v>2590.4913778751102</v>
      </c>
      <c r="K431" s="3">
        <f>Comparison!AN30</f>
        <v>1828.3308494849296</v>
      </c>
      <c r="L431" s="3">
        <f>Comparison!AO30</f>
        <v>1355.3669215252155</v>
      </c>
      <c r="M431" s="3">
        <f>Comparison!AP30</f>
        <v>838.64271647474698</v>
      </c>
      <c r="N431" s="3">
        <f>Comparison!AQ30</f>
        <v>296.76424848335745</v>
      </c>
      <c r="O431" s="3">
        <f>Comparison!AR30</f>
        <v>164.88164851800227</v>
      </c>
      <c r="P431" s="3">
        <f>Comparison!AS30</f>
        <v>162.97529182821398</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3435.9171254774333</v>
      </c>
      <c r="C432" s="3">
        <f t="shared" si="434"/>
        <v>20057716.131801751</v>
      </c>
      <c r="D432" s="3">
        <f t="shared" si="434"/>
        <v>1679893078.3578279</v>
      </c>
      <c r="E432" s="3">
        <f t="shared" si="434"/>
        <v>86335628762.884949</v>
      </c>
      <c r="F432" s="3">
        <f t="shared" si="434"/>
        <v>10000000000000</v>
      </c>
      <c r="G432" s="3">
        <f t="shared" si="434"/>
        <v>2.4858909867597947E+18</v>
      </c>
      <c r="H432" s="3">
        <f t="shared" si="434"/>
        <v>1.7390376021061691E+24</v>
      </c>
      <c r="I432" s="109">
        <f>Comparison!AL31</f>
        <v>10000000000000</v>
      </c>
      <c r="J432" s="3">
        <f>Comparison!AM31</f>
        <v>2428.2171958860131</v>
      </c>
      <c r="K432" s="3">
        <f>Comparison!AN31</f>
        <v>1665.1765081389453</v>
      </c>
      <c r="L432" s="3">
        <f>Comparison!AO31</f>
        <v>1134.9160288600715</v>
      </c>
      <c r="M432" s="3">
        <f>Comparison!AP31</f>
        <v>600.54666630574377</v>
      </c>
      <c r="N432" s="3">
        <f>Comparison!AQ31</f>
        <v>236.5039430342818</v>
      </c>
      <c r="O432" s="3">
        <f>Comparison!AR31</f>
        <v>164.50146393142782</v>
      </c>
      <c r="P432" s="3">
        <f>Comparison!AS31</f>
        <v>162.91152498499585</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34359.171254774337</v>
      </c>
      <c r="C433" s="3">
        <f t="shared" si="434"/>
        <v>200577161.31801751</v>
      </c>
      <c r="D433" s="3">
        <f t="shared" si="434"/>
        <v>16798930783.578279</v>
      </c>
      <c r="E433" s="3">
        <f t="shared" si="434"/>
        <v>863356287628.84937</v>
      </c>
      <c r="F433" s="3">
        <f t="shared" si="434"/>
        <v>100000000000000</v>
      </c>
      <c r="G433" s="3">
        <f t="shared" si="434"/>
        <v>2.4858909867597947E+19</v>
      </c>
      <c r="H433" s="3">
        <f t="shared" si="434"/>
        <v>1.7390376021061692E+25</v>
      </c>
      <c r="I433" s="109">
        <f>Comparison!AL32</f>
        <v>100000000000000</v>
      </c>
      <c r="J433" s="3">
        <f>Comparison!AM32</f>
        <v>2284.9023004500814</v>
      </c>
      <c r="K433" s="3">
        <f>Comparison!AN32</f>
        <v>1489.3314845424752</v>
      </c>
      <c r="L433" s="3">
        <f>Comparison!AO32</f>
        <v>892.49692017162795</v>
      </c>
      <c r="M433" s="3">
        <f>Comparison!AP32</f>
        <v>415.97655166325364</v>
      </c>
      <c r="N433" s="3">
        <f>Comparison!AQ32</f>
        <v>206.64782998877558</v>
      </c>
      <c r="O433" s="3">
        <f>Comparison!AR32</f>
        <v>163.00727748318997</v>
      </c>
      <c r="P433" s="3">
        <f>Comparison!AS32</f>
        <v>161.92883558935978</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343591.71254774334</v>
      </c>
      <c r="C434" s="3">
        <f t="shared" si="434"/>
        <v>2005771613.1801753</v>
      </c>
      <c r="D434" s="3">
        <f t="shared" si="434"/>
        <v>167989307835.78278</v>
      </c>
      <c r="E434" s="3">
        <f t="shared" si="434"/>
        <v>8633562876288.4941</v>
      </c>
      <c r="F434" s="3">
        <f t="shared" si="434"/>
        <v>1000000000000000</v>
      </c>
      <c r="G434" s="3">
        <f t="shared" si="434"/>
        <v>2.4858909867597945E+20</v>
      </c>
      <c r="H434" s="3">
        <f t="shared" si="434"/>
        <v>1.739037602106169E+26</v>
      </c>
      <c r="I434" s="109">
        <f>Comparison!AL33</f>
        <v>1000000000000000</v>
      </c>
      <c r="J434" s="3">
        <f>Comparison!AM33</f>
        <v>2162.351794570352</v>
      </c>
      <c r="K434" s="3">
        <f>Comparison!AN33</f>
        <v>1297.0734642842888</v>
      </c>
      <c r="L434" s="3">
        <f>Comparison!AO33</f>
        <v>651.2901745739025</v>
      </c>
      <c r="M434" s="3">
        <f>Comparison!AP33</f>
        <v>297.69240550814368</v>
      </c>
      <c r="N434" s="3">
        <f>Comparison!AQ33</f>
        <v>191.80670583863778</v>
      </c>
      <c r="O434" s="3">
        <f>Comparison!AR33</f>
        <v>162.92272722143832</v>
      </c>
      <c r="P434" s="3">
        <f>Comparison!AS33</f>
        <v>161.56401350859798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t="s">
        <v>163</v>
      </c>
      <c r="B436" s="113">
        <f>'Universal Mastercurve'!D1</f>
        <v>5</v>
      </c>
      <c r="C436" s="73"/>
      <c r="D436" s="112">
        <f>B436*2+1</f>
        <v>11</v>
      </c>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14"/>
      <c r="B437" s="115"/>
      <c r="C437" s="115"/>
      <c r="D437" s="115"/>
      <c r="E437" s="115"/>
      <c r="F437" s="115"/>
      <c r="G437" s="115"/>
      <c r="H437" s="115"/>
      <c r="I437" s="115"/>
      <c r="J437" s="115"/>
      <c r="K437" s="115"/>
      <c r="L437" s="115"/>
      <c r="M437" s="115"/>
      <c r="N437" s="115"/>
      <c r="O437" s="115"/>
      <c r="P437" s="115"/>
      <c r="Q437" s="91"/>
      <c r="R437" s="91"/>
      <c r="S437" s="91"/>
      <c r="T437" s="91"/>
      <c r="U437" s="91"/>
      <c r="V437" s="91"/>
      <c r="W437" s="91"/>
      <c r="X437" s="91"/>
      <c r="Y437" s="91"/>
      <c r="Z437" s="91"/>
      <c r="AA437" s="91"/>
      <c r="AB437" s="91"/>
      <c r="AC437" s="91"/>
      <c r="AD437" s="91"/>
      <c r="AE437" s="91"/>
      <c r="AF437" s="91"/>
      <c r="AG437" s="3"/>
      <c r="AH437" s="3"/>
    </row>
    <row r="438" spans="1:34" x14ac:dyDescent="0.25">
      <c r="A438" s="92">
        <f>INDEX($A$404:$P$434,ROW(A404)-ROW($A$403)+15-$B$436,COLUMN(A404))</f>
        <v>1.0000000000000001E-5</v>
      </c>
      <c r="B438" s="92">
        <f t="shared" ref="B438:P438" si="435">INDEX($A$404:$P$434,ROW(B404)-ROW($A$403)+15-$B$436,COLUMN(B404))</f>
        <v>3.4359171254774338E-15</v>
      </c>
      <c r="C438" s="92">
        <f t="shared" si="435"/>
        <v>2.0057716131801753E-11</v>
      </c>
      <c r="D438" s="92">
        <f t="shared" si="435"/>
        <v>1.6798930783578281E-9</v>
      </c>
      <c r="E438" s="92">
        <f t="shared" si="435"/>
        <v>8.6335628762884949E-8</v>
      </c>
      <c r="F438" s="92">
        <f t="shared" si="435"/>
        <v>1.0000000000000001E-5</v>
      </c>
      <c r="G438" s="92">
        <f t="shared" si="435"/>
        <v>2.4858909867597947</v>
      </c>
      <c r="H438" s="92">
        <f t="shared" si="435"/>
        <v>1739037.6021061693</v>
      </c>
      <c r="I438" s="92">
        <f t="shared" si="435"/>
        <v>1.0000000000000001E-5</v>
      </c>
      <c r="J438" s="92">
        <f t="shared" si="435"/>
        <v>7093.1198391270691</v>
      </c>
      <c r="K438" s="92">
        <f t="shared" si="435"/>
        <v>6659.4311503256295</v>
      </c>
      <c r="L438" s="92">
        <f t="shared" si="435"/>
        <v>6273.617616065887</v>
      </c>
      <c r="M438" s="92">
        <f t="shared" si="435"/>
        <v>5884.895018012654</v>
      </c>
      <c r="N438" s="92">
        <f t="shared" si="435"/>
        <v>5316.0543139142828</v>
      </c>
      <c r="O438" s="92">
        <f t="shared" si="435"/>
        <v>3842.8247437350828</v>
      </c>
      <c r="P438" s="92">
        <f t="shared" si="435"/>
        <v>1948.7143373862357</v>
      </c>
      <c r="Q438" s="92"/>
      <c r="R438" s="92"/>
      <c r="S438" s="92"/>
      <c r="T438" s="92"/>
      <c r="U438" s="92"/>
      <c r="V438" s="72"/>
      <c r="W438" s="72"/>
      <c r="X438" s="72"/>
      <c r="Y438" s="72"/>
      <c r="Z438" s="72"/>
      <c r="AA438" s="72"/>
      <c r="AB438" s="72"/>
      <c r="AC438" s="72"/>
      <c r="AD438" s="72"/>
      <c r="AE438" s="72"/>
      <c r="AF438" s="72"/>
      <c r="AG438" s="3"/>
      <c r="AH438" s="3"/>
    </row>
    <row r="439" spans="1:34" x14ac:dyDescent="0.25">
      <c r="A439" s="92">
        <f t="shared" ref="A439:P468" si="436">INDEX($A$404:$P$434,ROW(A405)-ROW($A$403)+15-$B$436,COLUMN(A405))</f>
        <v>1E-4</v>
      </c>
      <c r="B439" s="92">
        <f t="shared" si="436"/>
        <v>3.4359171254774338E-14</v>
      </c>
      <c r="C439" s="92">
        <f t="shared" si="436"/>
        <v>2.0057716131801753E-10</v>
      </c>
      <c r="D439" s="92">
        <f t="shared" si="436"/>
        <v>1.6798930783578279E-8</v>
      </c>
      <c r="E439" s="92">
        <f t="shared" si="436"/>
        <v>8.6335628762884944E-7</v>
      </c>
      <c r="F439" s="92">
        <f t="shared" si="436"/>
        <v>1E-4</v>
      </c>
      <c r="G439" s="92">
        <f t="shared" si="436"/>
        <v>24.858909867597948</v>
      </c>
      <c r="H439" s="92">
        <f t="shared" si="436"/>
        <v>17390376.021061692</v>
      </c>
      <c r="I439" s="92">
        <f t="shared" si="436"/>
        <v>1E-4</v>
      </c>
      <c r="J439" s="92">
        <f t="shared" si="436"/>
        <v>7092.9771274266232</v>
      </c>
      <c r="K439" s="92">
        <f t="shared" si="436"/>
        <v>6544.645454565718</v>
      </c>
      <c r="L439" s="92">
        <f t="shared" si="436"/>
        <v>6123.1895749079549</v>
      </c>
      <c r="M439" s="92">
        <f t="shared" si="436"/>
        <v>5709.3519393565812</v>
      </c>
      <c r="N439" s="92">
        <f t="shared" si="436"/>
        <v>5094.9618199282804</v>
      </c>
      <c r="O439" s="92">
        <f t="shared" si="436"/>
        <v>3637.9090125528774</v>
      </c>
      <c r="P439" s="92">
        <f t="shared" si="436"/>
        <v>1482.8611668944652</v>
      </c>
      <c r="Q439" s="92"/>
      <c r="R439" s="92"/>
      <c r="S439" s="92"/>
      <c r="T439" s="92"/>
      <c r="U439" s="92"/>
      <c r="V439" s="15"/>
      <c r="W439" s="15"/>
      <c r="X439" s="15"/>
      <c r="Y439" s="15"/>
      <c r="Z439" s="15"/>
      <c r="AA439" s="15"/>
      <c r="AB439" s="15"/>
      <c r="AC439" s="15"/>
      <c r="AD439" s="15"/>
      <c r="AE439" s="15"/>
      <c r="AF439" s="15"/>
      <c r="AG439" s="38"/>
      <c r="AH439" s="38"/>
    </row>
    <row r="440" spans="1:34" x14ac:dyDescent="0.25">
      <c r="A440" s="92">
        <f t="shared" si="436"/>
        <v>1E-3</v>
      </c>
      <c r="B440" s="92">
        <f t="shared" si="436"/>
        <v>3.4359171254774336E-13</v>
      </c>
      <c r="C440" s="92">
        <f t="shared" si="436"/>
        <v>2.0057716131801754E-9</v>
      </c>
      <c r="D440" s="92">
        <f t="shared" si="436"/>
        <v>1.679893078357828E-7</v>
      </c>
      <c r="E440" s="92">
        <f t="shared" si="436"/>
        <v>8.6335628762884937E-6</v>
      </c>
      <c r="F440" s="92">
        <f t="shared" si="436"/>
        <v>1E-3</v>
      </c>
      <c r="G440" s="92">
        <f t="shared" si="436"/>
        <v>248.58909867597944</v>
      </c>
      <c r="H440" s="92">
        <f t="shared" si="436"/>
        <v>173903760.21061692</v>
      </c>
      <c r="I440" s="92">
        <f t="shared" si="436"/>
        <v>1E-3</v>
      </c>
      <c r="J440" s="92">
        <f t="shared" si="436"/>
        <v>7091.5625107943715</v>
      </c>
      <c r="K440" s="92">
        <f t="shared" si="436"/>
        <v>6415.8365900058752</v>
      </c>
      <c r="L440" s="92">
        <f t="shared" si="436"/>
        <v>5959.0875608576071</v>
      </c>
      <c r="M440" s="92">
        <f t="shared" si="436"/>
        <v>5547.9132434192643</v>
      </c>
      <c r="N440" s="92">
        <f t="shared" si="436"/>
        <v>4859.6753740182503</v>
      </c>
      <c r="O440" s="92">
        <f t="shared" si="436"/>
        <v>3407.0475124340101</v>
      </c>
      <c r="P440" s="92">
        <f t="shared" si="436"/>
        <v>1064.7698916660522</v>
      </c>
      <c r="Q440" s="92"/>
      <c r="R440" s="92"/>
      <c r="S440" s="92"/>
      <c r="T440" s="92"/>
      <c r="U440" s="92"/>
      <c r="V440" s="15"/>
      <c r="W440" s="15"/>
      <c r="X440" s="15"/>
      <c r="Y440" s="15"/>
      <c r="Z440" s="15"/>
      <c r="AA440" s="15"/>
      <c r="AB440" s="15"/>
      <c r="AC440" s="15"/>
      <c r="AD440" s="15"/>
      <c r="AE440" s="15"/>
      <c r="AF440" s="15"/>
    </row>
    <row r="441" spans="1:34" x14ac:dyDescent="0.25">
      <c r="A441" s="92">
        <f t="shared" si="436"/>
        <v>0.01</v>
      </c>
      <c r="B441" s="92">
        <f t="shared" si="436"/>
        <v>3.4359171254774336E-12</v>
      </c>
      <c r="C441" s="92">
        <f t="shared" si="436"/>
        <v>2.0057716131801753E-8</v>
      </c>
      <c r="D441" s="92">
        <f t="shared" si="436"/>
        <v>1.6798930783578279E-6</v>
      </c>
      <c r="E441" s="92">
        <f t="shared" si="436"/>
        <v>8.6335628762884944E-5</v>
      </c>
      <c r="F441" s="92">
        <f t="shared" si="436"/>
        <v>0.01</v>
      </c>
      <c r="G441" s="92">
        <f t="shared" si="436"/>
        <v>2485.8909867597945</v>
      </c>
      <c r="H441" s="92">
        <f t="shared" si="436"/>
        <v>1739037602.1061692</v>
      </c>
      <c r="I441" s="92">
        <f t="shared" si="436"/>
        <v>0.01</v>
      </c>
      <c r="J441" s="92">
        <f t="shared" si="436"/>
        <v>7078.0585854387473</v>
      </c>
      <c r="K441" s="92">
        <f t="shared" si="436"/>
        <v>6279.1797519689544</v>
      </c>
      <c r="L441" s="92">
        <f t="shared" si="436"/>
        <v>5781.2083401997561</v>
      </c>
      <c r="M441" s="92">
        <f t="shared" si="436"/>
        <v>5364.2356794540465</v>
      </c>
      <c r="N441" s="92">
        <f t="shared" si="436"/>
        <v>4653.8175879978271</v>
      </c>
      <c r="O441" s="92">
        <f t="shared" si="436"/>
        <v>3145.7192687287707</v>
      </c>
      <c r="P441" s="92">
        <f t="shared" si="436"/>
        <v>756.04671038027936</v>
      </c>
      <c r="Q441" s="92"/>
      <c r="R441" s="92"/>
      <c r="S441" s="92"/>
      <c r="T441" s="92"/>
      <c r="U441" s="92"/>
      <c r="V441" s="22"/>
      <c r="W441" s="22"/>
      <c r="X441" s="22"/>
      <c r="Y441" s="22"/>
      <c r="Z441" s="22"/>
      <c r="AA441" s="22"/>
      <c r="AB441" s="22"/>
      <c r="AC441" s="22"/>
      <c r="AD441" s="22"/>
      <c r="AE441" s="22"/>
      <c r="AF441" s="22"/>
      <c r="AG441" s="22"/>
      <c r="AH441" s="22"/>
    </row>
    <row r="442" spans="1:34" x14ac:dyDescent="0.25">
      <c r="A442" s="92">
        <f t="shared" si="436"/>
        <v>0.1</v>
      </c>
      <c r="B442" s="92">
        <f t="shared" si="436"/>
        <v>3.4359171254774334E-11</v>
      </c>
      <c r="C442" s="92">
        <f t="shared" si="436"/>
        <v>2.0057716131801753E-7</v>
      </c>
      <c r="D442" s="92">
        <f t="shared" si="436"/>
        <v>1.6798930783578278E-5</v>
      </c>
      <c r="E442" s="92">
        <f t="shared" si="436"/>
        <v>8.6335628762884947E-4</v>
      </c>
      <c r="F442" s="92">
        <f t="shared" si="436"/>
        <v>0.1</v>
      </c>
      <c r="G442" s="92">
        <f t="shared" si="436"/>
        <v>24858.909867597948</v>
      </c>
      <c r="H442" s="92">
        <f t="shared" si="436"/>
        <v>17390376021.061691</v>
      </c>
      <c r="I442" s="92">
        <f t="shared" si="436"/>
        <v>0.1</v>
      </c>
      <c r="J442" s="92">
        <f t="shared" si="436"/>
        <v>6980.1771345591078</v>
      </c>
      <c r="K442" s="92">
        <f t="shared" si="436"/>
        <v>6124.6018825038309</v>
      </c>
      <c r="L442" s="92">
        <f t="shared" si="436"/>
        <v>5618.3452185734377</v>
      </c>
      <c r="M442" s="92">
        <f t="shared" si="436"/>
        <v>5142.9380897638539</v>
      </c>
      <c r="N442" s="92">
        <f t="shared" si="436"/>
        <v>4469.1753341299773</v>
      </c>
      <c r="O442" s="92">
        <f t="shared" si="436"/>
        <v>2837.9758401657195</v>
      </c>
      <c r="P442" s="92">
        <f t="shared" si="436"/>
        <v>574.27764486440731</v>
      </c>
      <c r="Q442" s="92"/>
      <c r="R442" s="92"/>
      <c r="S442" s="92"/>
      <c r="T442" s="92"/>
      <c r="U442" s="92"/>
      <c r="V442" s="22"/>
      <c r="W442" s="22"/>
      <c r="X442" s="22"/>
      <c r="Y442" s="22"/>
      <c r="Z442" s="22"/>
      <c r="AA442" s="22"/>
      <c r="AB442" s="22"/>
      <c r="AC442" s="22"/>
      <c r="AD442" s="22"/>
      <c r="AE442" s="22"/>
      <c r="AF442" s="22"/>
      <c r="AG442" s="26"/>
      <c r="AH442" s="26"/>
    </row>
    <row r="443" spans="1:34" x14ac:dyDescent="0.25">
      <c r="A443" s="92">
        <f t="shared" si="436"/>
        <v>1</v>
      </c>
      <c r="B443" s="92">
        <f t="shared" si="436"/>
        <v>3.4359171254774334E-10</v>
      </c>
      <c r="C443" s="92">
        <f t="shared" si="436"/>
        <v>2.0057716131801751E-6</v>
      </c>
      <c r="D443" s="92">
        <f t="shared" si="436"/>
        <v>1.6798930783578278E-4</v>
      </c>
      <c r="E443" s="92">
        <f t="shared" si="436"/>
        <v>8.633562876288494E-3</v>
      </c>
      <c r="F443" s="92">
        <f t="shared" si="436"/>
        <v>1</v>
      </c>
      <c r="G443" s="92">
        <f t="shared" si="436"/>
        <v>248589.09867597945</v>
      </c>
      <c r="H443" s="92">
        <f t="shared" si="436"/>
        <v>173903760210.61691</v>
      </c>
      <c r="I443" s="92">
        <f t="shared" si="436"/>
        <v>1</v>
      </c>
      <c r="J443" s="92">
        <f t="shared" si="436"/>
        <v>6817.7458366168885</v>
      </c>
      <c r="K443" s="92">
        <f t="shared" si="436"/>
        <v>5956.8287989294422</v>
      </c>
      <c r="L443" s="92">
        <f t="shared" si="436"/>
        <v>5440.9922001853329</v>
      </c>
      <c r="M443" s="92">
        <f t="shared" si="436"/>
        <v>4901.2536857987861</v>
      </c>
      <c r="N443" s="92">
        <f t="shared" si="436"/>
        <v>4267.9652571239076</v>
      </c>
      <c r="O443" s="92">
        <f t="shared" si="436"/>
        <v>2426.1662837806571</v>
      </c>
      <c r="P443" s="92">
        <f t="shared" si="436"/>
        <v>472.36033693576201</v>
      </c>
      <c r="Q443" s="92"/>
      <c r="R443" s="92"/>
      <c r="S443" s="92"/>
      <c r="T443" s="92"/>
      <c r="U443" s="92"/>
      <c r="V443" s="22"/>
      <c r="W443" s="22"/>
      <c r="X443" s="22"/>
      <c r="Y443" s="22"/>
      <c r="Z443" s="22"/>
      <c r="AA443" s="22"/>
      <c r="AB443" s="22"/>
      <c r="AC443" s="22"/>
      <c r="AD443" s="22"/>
      <c r="AE443" s="22"/>
      <c r="AF443" s="22"/>
      <c r="AG443" s="27"/>
      <c r="AH443" s="27"/>
    </row>
    <row r="444" spans="1:34" x14ac:dyDescent="0.25">
      <c r="A444" s="92">
        <f t="shared" si="436"/>
        <v>10</v>
      </c>
      <c r="B444" s="92">
        <f t="shared" si="436"/>
        <v>3.4359171254774335E-9</v>
      </c>
      <c r="C444" s="92">
        <f t="shared" si="436"/>
        <v>2.0057716131801752E-5</v>
      </c>
      <c r="D444" s="92">
        <f t="shared" si="436"/>
        <v>1.6798930783578278E-3</v>
      </c>
      <c r="E444" s="92">
        <f t="shared" si="436"/>
        <v>8.6335628762884947E-2</v>
      </c>
      <c r="F444" s="92">
        <f t="shared" si="436"/>
        <v>10</v>
      </c>
      <c r="G444" s="92">
        <f t="shared" si="436"/>
        <v>2485890.9867597944</v>
      </c>
      <c r="H444" s="92">
        <f t="shared" si="436"/>
        <v>1739037602106.1692</v>
      </c>
      <c r="I444" s="92">
        <f t="shared" si="436"/>
        <v>10</v>
      </c>
      <c r="J444" s="92">
        <f t="shared" si="436"/>
        <v>6700.2000319833087</v>
      </c>
      <c r="K444" s="92">
        <f t="shared" si="436"/>
        <v>5777.56401011038</v>
      </c>
      <c r="L444" s="92">
        <f t="shared" si="436"/>
        <v>5221.4874412485688</v>
      </c>
      <c r="M444" s="92">
        <f t="shared" si="436"/>
        <v>4661.3568218837227</v>
      </c>
      <c r="N444" s="92">
        <f t="shared" si="436"/>
        <v>3976.7785402340392</v>
      </c>
      <c r="O444" s="92">
        <f t="shared" si="436"/>
        <v>1854.808278855141</v>
      </c>
      <c r="P444" s="92">
        <f t="shared" si="436"/>
        <v>404.76609252146119</v>
      </c>
      <c r="Q444" s="92"/>
      <c r="R444" s="92"/>
      <c r="S444" s="92"/>
      <c r="T444" s="92"/>
      <c r="U444" s="92"/>
      <c r="V444" s="42"/>
      <c r="W444" s="42"/>
      <c r="X444" s="42"/>
      <c r="Y444" s="42"/>
      <c r="Z444" s="42"/>
      <c r="AA444" s="42"/>
      <c r="AB444" s="42"/>
      <c r="AC444" s="42"/>
      <c r="AD444" s="42"/>
      <c r="AE444" s="42"/>
      <c r="AF444" s="42"/>
      <c r="AG444" s="3"/>
      <c r="AH444" s="3"/>
    </row>
    <row r="445" spans="1:34" x14ac:dyDescent="0.25">
      <c r="A445" s="92">
        <f t="shared" si="436"/>
        <v>100</v>
      </c>
      <c r="B445" s="92">
        <f t="shared" si="436"/>
        <v>3.4359171254774337E-8</v>
      </c>
      <c r="C445" s="92">
        <f t="shared" si="436"/>
        <v>2.0057716131801753E-4</v>
      </c>
      <c r="D445" s="92">
        <f t="shared" si="436"/>
        <v>1.6798930783578279E-2</v>
      </c>
      <c r="E445" s="92">
        <f t="shared" si="436"/>
        <v>0.86335628762884942</v>
      </c>
      <c r="F445" s="92">
        <f t="shared" si="436"/>
        <v>100</v>
      </c>
      <c r="G445" s="92">
        <f t="shared" si="436"/>
        <v>24858909.867597945</v>
      </c>
      <c r="H445" s="92">
        <f t="shared" si="436"/>
        <v>17390376021061.691</v>
      </c>
      <c r="I445" s="92">
        <f t="shared" si="436"/>
        <v>100</v>
      </c>
      <c r="J445" s="92">
        <f t="shared" si="436"/>
        <v>6581.4875752007347</v>
      </c>
      <c r="K445" s="92">
        <f t="shared" si="436"/>
        <v>5602.1564627366897</v>
      </c>
      <c r="L445" s="92">
        <f t="shared" si="436"/>
        <v>4926.1795387850607</v>
      </c>
      <c r="M445" s="92">
        <f t="shared" si="436"/>
        <v>4298.6774546472579</v>
      </c>
      <c r="N445" s="92">
        <f t="shared" si="436"/>
        <v>3445.6591436468279</v>
      </c>
      <c r="O445" s="92">
        <f t="shared" si="436"/>
        <v>1269.173844412863</v>
      </c>
      <c r="P445" s="92">
        <f t="shared" si="436"/>
        <v>332.62382454066642</v>
      </c>
      <c r="Q445" s="92"/>
      <c r="R445" s="92"/>
      <c r="S445" s="92"/>
      <c r="T445" s="92"/>
      <c r="U445" s="92"/>
      <c r="V445" s="42"/>
      <c r="W445" s="42"/>
      <c r="X445" s="42"/>
      <c r="Y445" s="42"/>
      <c r="Z445" s="42"/>
      <c r="AA445" s="42"/>
      <c r="AB445" s="42"/>
      <c r="AC445" s="42"/>
      <c r="AD445" s="42"/>
      <c r="AE445" s="42"/>
      <c r="AF445" s="42"/>
      <c r="AG445" s="3"/>
      <c r="AH445" s="3"/>
    </row>
    <row r="446" spans="1:34" x14ac:dyDescent="0.25">
      <c r="A446" s="92">
        <f t="shared" si="436"/>
        <v>1000</v>
      </c>
      <c r="B446" s="92">
        <f t="shared" si="436"/>
        <v>3.4359171254774337E-7</v>
      </c>
      <c r="C446" s="92">
        <f t="shared" si="436"/>
        <v>2.0057716131801754E-3</v>
      </c>
      <c r="D446" s="92">
        <f t="shared" si="436"/>
        <v>0.16798930783578278</v>
      </c>
      <c r="E446" s="92">
        <f t="shared" si="436"/>
        <v>8.6335628762884937</v>
      </c>
      <c r="F446" s="92">
        <f t="shared" si="436"/>
        <v>1000</v>
      </c>
      <c r="G446" s="92">
        <f t="shared" si="436"/>
        <v>248589098.67597944</v>
      </c>
      <c r="H446" s="92">
        <f t="shared" si="436"/>
        <v>173903760210616.91</v>
      </c>
      <c r="I446" s="92">
        <f t="shared" si="436"/>
        <v>1000</v>
      </c>
      <c r="J446" s="92">
        <f t="shared" si="436"/>
        <v>6449.3747740231202</v>
      </c>
      <c r="K446" s="92">
        <f t="shared" si="436"/>
        <v>5348.811853446321</v>
      </c>
      <c r="L446" s="92">
        <f t="shared" si="436"/>
        <v>4442.9821588725517</v>
      </c>
      <c r="M446" s="92">
        <f t="shared" si="436"/>
        <v>3673.7236771243274</v>
      </c>
      <c r="N446" s="92">
        <f t="shared" si="436"/>
        <v>2839.3657389117534</v>
      </c>
      <c r="O446" s="92">
        <f t="shared" si="436"/>
        <v>808.20803145416335</v>
      </c>
      <c r="P446" s="92">
        <f t="shared" si="436"/>
        <v>270.11210763785351</v>
      </c>
      <c r="Q446" s="92"/>
      <c r="R446" s="92"/>
      <c r="S446" s="92"/>
      <c r="T446" s="92"/>
      <c r="U446" s="92"/>
      <c r="V446" s="42"/>
      <c r="W446" s="42"/>
      <c r="X446" s="42"/>
      <c r="Y446" s="42"/>
      <c r="Z446" s="42"/>
      <c r="AA446" s="42"/>
      <c r="AB446" s="42"/>
      <c r="AC446" s="42"/>
      <c r="AD446" s="42"/>
      <c r="AE446" s="42"/>
      <c r="AF446" s="42"/>
      <c r="AG446" s="3"/>
      <c r="AH446" s="3"/>
    </row>
    <row r="447" spans="1:34" x14ac:dyDescent="0.25">
      <c r="A447" s="92">
        <f t="shared" si="436"/>
        <v>10000</v>
      </c>
      <c r="B447" s="92">
        <f t="shared" si="436"/>
        <v>3.4359171254774333E-6</v>
      </c>
      <c r="C447" s="92">
        <f t="shared" si="436"/>
        <v>2.0057716131801753E-2</v>
      </c>
      <c r="D447" s="92">
        <f t="shared" si="436"/>
        <v>1.6798930783578279</v>
      </c>
      <c r="E447" s="92">
        <f t="shared" si="436"/>
        <v>86.335628762884937</v>
      </c>
      <c r="F447" s="92">
        <f t="shared" si="436"/>
        <v>10000</v>
      </c>
      <c r="G447" s="92">
        <f t="shared" si="436"/>
        <v>2485890986.7597947</v>
      </c>
      <c r="H447" s="92">
        <f t="shared" si="436"/>
        <v>1739037602106169</v>
      </c>
      <c r="I447" s="92">
        <f t="shared" si="436"/>
        <v>10000</v>
      </c>
      <c r="J447" s="92">
        <f t="shared" si="436"/>
        <v>6289.3605252793404</v>
      </c>
      <c r="K447" s="92">
        <f t="shared" si="436"/>
        <v>4793.3449045957559</v>
      </c>
      <c r="L447" s="92">
        <f t="shared" si="436"/>
        <v>3752.7744100380223</v>
      </c>
      <c r="M447" s="92">
        <f t="shared" si="436"/>
        <v>3055.9581241953465</v>
      </c>
      <c r="N447" s="92">
        <f t="shared" si="436"/>
        <v>2338.5721090290958</v>
      </c>
      <c r="O447" s="92">
        <f t="shared" si="436"/>
        <v>509.02880387480866</v>
      </c>
      <c r="P447" s="92">
        <f t="shared" si="436"/>
        <v>230.23496622900356</v>
      </c>
      <c r="Q447" s="92"/>
      <c r="R447" s="92"/>
      <c r="S447" s="92"/>
      <c r="T447" s="92"/>
      <c r="U447" s="92"/>
      <c r="V447" s="42"/>
      <c r="W447" s="42"/>
      <c r="X447" s="42"/>
      <c r="Y447" s="42"/>
      <c r="Z447" s="42"/>
      <c r="AA447" s="42"/>
      <c r="AB447" s="42"/>
      <c r="AC447" s="42"/>
      <c r="AD447" s="42"/>
      <c r="AE447" s="42"/>
      <c r="AF447" s="42"/>
      <c r="AG447" s="3"/>
      <c r="AH447" s="3"/>
    </row>
    <row r="448" spans="1:34" x14ac:dyDescent="0.25">
      <c r="A448" s="92">
        <f t="shared" si="436"/>
        <v>100000</v>
      </c>
      <c r="B448" s="92">
        <f t="shared" si="436"/>
        <v>3.4359171254774333E-5</v>
      </c>
      <c r="C448" s="92">
        <f t="shared" si="436"/>
        <v>0.20057716131801753</v>
      </c>
      <c r="D448" s="92">
        <f t="shared" si="436"/>
        <v>16.798930783578278</v>
      </c>
      <c r="E448" s="92">
        <f t="shared" si="436"/>
        <v>863.35628762884937</v>
      </c>
      <c r="F448" s="92">
        <f t="shared" si="436"/>
        <v>100000</v>
      </c>
      <c r="G448" s="92">
        <f t="shared" si="436"/>
        <v>24858909867.597946</v>
      </c>
      <c r="H448" s="92">
        <f t="shared" si="436"/>
        <v>1.7390376021061692E+16</v>
      </c>
      <c r="I448" s="92">
        <f t="shared" si="436"/>
        <v>100000</v>
      </c>
      <c r="J448" s="92">
        <f t="shared" si="436"/>
        <v>6015.8011652173718</v>
      </c>
      <c r="K448" s="92">
        <f t="shared" si="436"/>
        <v>4005.8829435497059</v>
      </c>
      <c r="L448" s="92">
        <f t="shared" si="436"/>
        <v>3130.6377978974938</v>
      </c>
      <c r="M448" s="92">
        <f t="shared" si="436"/>
        <v>2586.4007874245467</v>
      </c>
      <c r="N448" s="92">
        <f t="shared" si="436"/>
        <v>1960.3272335044344</v>
      </c>
      <c r="O448" s="92">
        <f t="shared" si="436"/>
        <v>344.05387649356049</v>
      </c>
      <c r="P448" s="92">
        <f t="shared" si="436"/>
        <v>198.97748766430533</v>
      </c>
      <c r="Q448" s="92"/>
      <c r="R448" s="92"/>
      <c r="S448" s="92"/>
      <c r="T448" s="92"/>
      <c r="U448" s="92"/>
      <c r="V448" s="42"/>
      <c r="W448" s="42"/>
      <c r="X448" s="42"/>
      <c r="Y448" s="42"/>
      <c r="Z448" s="42"/>
      <c r="AA448" s="42"/>
      <c r="AB448" s="42"/>
      <c r="AC448" s="42"/>
      <c r="AD448" s="42"/>
      <c r="AE448" s="42"/>
      <c r="AF448" s="42"/>
      <c r="AG448" s="3"/>
      <c r="AH448" s="3"/>
    </row>
    <row r="449" spans="1:34" x14ac:dyDescent="0.25">
      <c r="A449" s="92">
        <f t="shared" si="436"/>
        <v>1000000</v>
      </c>
      <c r="B449" s="92">
        <f t="shared" si="436"/>
        <v>3.4359171254774333E-4</v>
      </c>
      <c r="C449" s="92">
        <f t="shared" si="436"/>
        <v>2.0057716131801753</v>
      </c>
      <c r="D449" s="92">
        <f t="shared" si="436"/>
        <v>167.9893078357828</v>
      </c>
      <c r="E449" s="92">
        <f t="shared" si="436"/>
        <v>8633.5628762884935</v>
      </c>
      <c r="F449" s="92">
        <f t="shared" si="436"/>
        <v>1000000</v>
      </c>
      <c r="G449" s="92">
        <f t="shared" si="436"/>
        <v>248589098675.97946</v>
      </c>
      <c r="H449" s="92">
        <f t="shared" si="436"/>
        <v>1.739037602106169E+17</v>
      </c>
      <c r="I449" s="92">
        <f t="shared" si="436"/>
        <v>1000000</v>
      </c>
      <c r="J449" s="92">
        <f t="shared" si="436"/>
        <v>5393.4478275395559</v>
      </c>
      <c r="K449" s="92">
        <f t="shared" si="436"/>
        <v>3346.4776601581179</v>
      </c>
      <c r="L449" s="92">
        <f t="shared" si="436"/>
        <v>2685.7977977575347</v>
      </c>
      <c r="M449" s="92">
        <f t="shared" si="436"/>
        <v>2247.3343211844494</v>
      </c>
      <c r="N449" s="92">
        <f t="shared" si="436"/>
        <v>1656.3185875611684</v>
      </c>
      <c r="O449" s="92">
        <f t="shared" si="436"/>
        <v>262.73242624087396</v>
      </c>
      <c r="P449" s="92">
        <f t="shared" si="436"/>
        <v>182.67861803771595</v>
      </c>
      <c r="Q449" s="92"/>
      <c r="R449" s="92"/>
      <c r="S449" s="92"/>
      <c r="T449" s="92"/>
      <c r="U449" s="92"/>
      <c r="V449" s="42"/>
      <c r="W449" s="42"/>
      <c r="X449" s="42"/>
      <c r="Y449" s="42"/>
      <c r="Z449" s="42"/>
      <c r="AA449" s="42"/>
      <c r="AB449" s="42"/>
      <c r="AC449" s="42"/>
      <c r="AD449" s="42"/>
      <c r="AE449" s="42"/>
      <c r="AF449" s="42"/>
      <c r="AG449" s="3"/>
      <c r="AH449" s="3"/>
    </row>
    <row r="450" spans="1:34" x14ac:dyDescent="0.25">
      <c r="A450" s="92">
        <f t="shared" si="436"/>
        <v>10000000</v>
      </c>
      <c r="B450" s="92">
        <f t="shared" si="436"/>
        <v>3.4359171254774333E-3</v>
      </c>
      <c r="C450" s="92">
        <f t="shared" si="436"/>
        <v>20.057716131801751</v>
      </c>
      <c r="D450" s="92">
        <f t="shared" si="436"/>
        <v>1679.8930783578278</v>
      </c>
      <c r="E450" s="92">
        <f t="shared" si="436"/>
        <v>86335.628762884939</v>
      </c>
      <c r="F450" s="92">
        <f t="shared" si="436"/>
        <v>10000000</v>
      </c>
      <c r="G450" s="92">
        <f t="shared" si="436"/>
        <v>2485890986759.7944</v>
      </c>
      <c r="H450" s="92">
        <f t="shared" si="436"/>
        <v>1.7390376021061691E+18</v>
      </c>
      <c r="I450" s="92">
        <f t="shared" si="436"/>
        <v>10000000</v>
      </c>
      <c r="J450" s="92">
        <f t="shared" si="436"/>
        <v>4577.424969740212</v>
      </c>
      <c r="K450" s="92">
        <f t="shared" si="436"/>
        <v>2892.1899665732253</v>
      </c>
      <c r="L450" s="92">
        <f t="shared" si="436"/>
        <v>2368.346654493816</v>
      </c>
      <c r="M450" s="92">
        <f t="shared" si="436"/>
        <v>1979.307169199863</v>
      </c>
      <c r="N450" s="92">
        <f t="shared" si="436"/>
        <v>1387.2108481854204</v>
      </c>
      <c r="O450" s="92">
        <f t="shared" si="436"/>
        <v>222.939887660718</v>
      </c>
      <c r="P450" s="92">
        <f t="shared" si="436"/>
        <v>174.62746722417066</v>
      </c>
      <c r="Q450" s="92"/>
      <c r="R450" s="92"/>
      <c r="S450" s="92"/>
      <c r="T450" s="92"/>
      <c r="U450" s="92"/>
      <c r="V450" s="42"/>
      <c r="W450" s="42"/>
      <c r="X450" s="42"/>
      <c r="Y450" s="42"/>
      <c r="Z450" s="42"/>
      <c r="AA450" s="42"/>
      <c r="AB450" s="42"/>
      <c r="AC450" s="42"/>
      <c r="AD450" s="42"/>
      <c r="AE450" s="42"/>
      <c r="AF450" s="42"/>
      <c r="AG450" s="3"/>
      <c r="AH450" s="3"/>
    </row>
    <row r="451" spans="1:34" x14ac:dyDescent="0.25">
      <c r="A451" s="92">
        <f t="shared" si="436"/>
        <v>100000000</v>
      </c>
      <c r="B451" s="92">
        <f t="shared" si="436"/>
        <v>3.4359171254774334E-2</v>
      </c>
      <c r="C451" s="92">
        <f t="shared" si="436"/>
        <v>200.57716131801752</v>
      </c>
      <c r="D451" s="92">
        <f t="shared" si="436"/>
        <v>16798.930783578278</v>
      </c>
      <c r="E451" s="92">
        <f t="shared" si="436"/>
        <v>863356.28762884939</v>
      </c>
      <c r="F451" s="92">
        <f t="shared" si="436"/>
        <v>100000000</v>
      </c>
      <c r="G451" s="92">
        <f t="shared" si="436"/>
        <v>24858909867597.945</v>
      </c>
      <c r="H451" s="92">
        <f t="shared" si="436"/>
        <v>1.7390376021061691E+19</v>
      </c>
      <c r="I451" s="92">
        <f t="shared" si="436"/>
        <v>100000000</v>
      </c>
      <c r="J451" s="92">
        <f t="shared" si="436"/>
        <v>3914.6236771373719</v>
      </c>
      <c r="K451" s="92">
        <f t="shared" si="436"/>
        <v>2569.6224142495339</v>
      </c>
      <c r="L451" s="92">
        <f t="shared" si="436"/>
        <v>2132.4244867059297</v>
      </c>
      <c r="M451" s="92">
        <f t="shared" si="436"/>
        <v>1753.9456058771568</v>
      </c>
      <c r="N451" s="92">
        <f t="shared" si="436"/>
        <v>1120.1049206759617</v>
      </c>
      <c r="O451" s="92">
        <f t="shared" si="436"/>
        <v>201.32214117210117</v>
      </c>
      <c r="P451" s="92">
        <f t="shared" si="436"/>
        <v>169.86894542912563</v>
      </c>
      <c r="Q451" s="92"/>
      <c r="R451" s="92"/>
      <c r="S451" s="92"/>
      <c r="T451" s="92"/>
      <c r="U451" s="92"/>
      <c r="V451" s="42"/>
      <c r="W451" s="42"/>
      <c r="X451" s="42"/>
      <c r="Y451" s="42"/>
      <c r="Z451" s="42"/>
      <c r="AA451" s="42"/>
      <c r="AB451" s="42"/>
      <c r="AC451" s="42"/>
      <c r="AD451" s="42"/>
      <c r="AE451" s="42"/>
      <c r="AF451" s="42"/>
      <c r="AG451" s="3"/>
      <c r="AH451" s="3"/>
    </row>
    <row r="452" spans="1:34" x14ac:dyDescent="0.25">
      <c r="A452" s="92">
        <f t="shared" si="436"/>
        <v>1000000000</v>
      </c>
      <c r="B452" s="92">
        <f t="shared" si="436"/>
        <v>0.34359171254774334</v>
      </c>
      <c r="C452" s="92">
        <f t="shared" si="436"/>
        <v>2005.7716131801753</v>
      </c>
      <c r="D452" s="92">
        <f t="shared" si="436"/>
        <v>167989.30783578279</v>
      </c>
      <c r="E452" s="92">
        <f t="shared" si="436"/>
        <v>8633562.8762884941</v>
      </c>
      <c r="F452" s="92">
        <f t="shared" si="436"/>
        <v>1000000000</v>
      </c>
      <c r="G452" s="92">
        <f t="shared" si="436"/>
        <v>248589098675979.44</v>
      </c>
      <c r="H452" s="92">
        <f t="shared" si="436"/>
        <v>1.7390376021061691E+20</v>
      </c>
      <c r="I452" s="92">
        <f t="shared" si="436"/>
        <v>1000000000</v>
      </c>
      <c r="J452" s="92">
        <f t="shared" si="436"/>
        <v>3439.215903424868</v>
      </c>
      <c r="K452" s="92">
        <f t="shared" si="436"/>
        <v>2337.0503651981739</v>
      </c>
      <c r="L452" s="92">
        <f t="shared" si="436"/>
        <v>1927.1689592855932</v>
      </c>
      <c r="M452" s="92">
        <f t="shared" si="436"/>
        <v>1541.283272452644</v>
      </c>
      <c r="N452" s="92">
        <f t="shared" si="436"/>
        <v>849.29779427462438</v>
      </c>
      <c r="O452" s="92">
        <f t="shared" si="436"/>
        <v>188.02569432355588</v>
      </c>
      <c r="P452" s="92">
        <f t="shared" si="436"/>
        <v>166.84170745231376</v>
      </c>
      <c r="Q452" s="92"/>
      <c r="R452" s="92"/>
      <c r="S452" s="92"/>
      <c r="T452" s="92"/>
      <c r="U452" s="92"/>
      <c r="V452" s="42"/>
      <c r="W452" s="42"/>
      <c r="X452" s="42"/>
      <c r="Y452" s="42"/>
      <c r="Z452" s="42"/>
      <c r="AA452" s="42"/>
      <c r="AB452" s="42"/>
      <c r="AC452" s="42"/>
      <c r="AD452" s="42"/>
      <c r="AE452" s="42"/>
      <c r="AF452" s="42"/>
      <c r="AG452" s="3"/>
      <c r="AH452" s="3"/>
    </row>
    <row r="453" spans="1:34" x14ac:dyDescent="0.25">
      <c r="A453" s="92">
        <f t="shared" si="436"/>
        <v>10000000000</v>
      </c>
      <c r="B453" s="92">
        <f t="shared" si="436"/>
        <v>3.4359171254774337</v>
      </c>
      <c r="C453" s="92">
        <f t="shared" si="436"/>
        <v>20057.716131801753</v>
      </c>
      <c r="D453" s="92">
        <f t="shared" si="436"/>
        <v>1679893.0783578278</v>
      </c>
      <c r="E453" s="92">
        <f t="shared" si="436"/>
        <v>86335628.762884945</v>
      </c>
      <c r="F453" s="92">
        <f t="shared" si="436"/>
        <v>10000000000</v>
      </c>
      <c r="G453" s="92">
        <f t="shared" si="436"/>
        <v>2485890986759794.5</v>
      </c>
      <c r="H453" s="92">
        <f t="shared" si="436"/>
        <v>1.7390376021061691E+21</v>
      </c>
      <c r="I453" s="92">
        <f t="shared" si="436"/>
        <v>10000000000</v>
      </c>
      <c r="J453" s="92">
        <f t="shared" si="436"/>
        <v>3078.9760704970804</v>
      </c>
      <c r="K453" s="92">
        <f t="shared" si="436"/>
        <v>2151.250620328482</v>
      </c>
      <c r="L453" s="92">
        <f t="shared" si="436"/>
        <v>1740.579877269425</v>
      </c>
      <c r="M453" s="92">
        <f t="shared" si="436"/>
        <v>1325.7320252858156</v>
      </c>
      <c r="N453" s="92">
        <f t="shared" si="436"/>
        <v>602.02056954985051</v>
      </c>
      <c r="O453" s="92">
        <f t="shared" si="436"/>
        <v>181.14617749166206</v>
      </c>
      <c r="P453" s="92">
        <f t="shared" si="436"/>
        <v>166.12540478353452</v>
      </c>
      <c r="Q453" s="92"/>
      <c r="R453" s="92"/>
      <c r="S453" s="92"/>
      <c r="T453" s="92"/>
      <c r="U453" s="92"/>
      <c r="V453" s="42"/>
      <c r="W453" s="42"/>
      <c r="X453" s="42"/>
      <c r="Y453" s="42"/>
      <c r="Z453" s="42"/>
      <c r="AA453" s="42"/>
      <c r="AB453" s="42"/>
      <c r="AC453" s="42"/>
      <c r="AD453" s="42"/>
      <c r="AE453" s="42"/>
      <c r="AF453" s="42"/>
      <c r="AG453" s="3"/>
      <c r="AH453" s="3"/>
    </row>
    <row r="454" spans="1:34" x14ac:dyDescent="0.25">
      <c r="A454" s="92">
        <f t="shared" si="436"/>
        <v>100000000000</v>
      </c>
      <c r="B454" s="92">
        <f t="shared" ref="B454:P468" si="437">INDEX($A$404:$P$434,ROW(B420)-ROW($A$403)+15-$B$436,COLUMN(B420))</f>
        <v>34.359171254774331</v>
      </c>
      <c r="C454" s="92">
        <f t="shared" si="437"/>
        <v>200577.16131801752</v>
      </c>
      <c r="D454" s="92">
        <f t="shared" si="437"/>
        <v>16798930.78357828</v>
      </c>
      <c r="E454" s="92">
        <f t="shared" si="437"/>
        <v>863356287.62884939</v>
      </c>
      <c r="F454" s="92">
        <f t="shared" si="437"/>
        <v>100000000000</v>
      </c>
      <c r="G454" s="92">
        <f t="shared" si="437"/>
        <v>2.4858909867597944E+16</v>
      </c>
      <c r="H454" s="92">
        <f t="shared" si="437"/>
        <v>1.7390376021061691E+22</v>
      </c>
      <c r="I454" s="92">
        <f t="shared" si="437"/>
        <v>100000000000</v>
      </c>
      <c r="J454" s="92">
        <f t="shared" si="437"/>
        <v>2798.5736498484516</v>
      </c>
      <c r="K454" s="92">
        <f t="shared" si="437"/>
        <v>1990.2744047049448</v>
      </c>
      <c r="L454" s="92">
        <f t="shared" si="437"/>
        <v>1552.3921804639763</v>
      </c>
      <c r="M454" s="92">
        <f t="shared" si="437"/>
        <v>1090.3481138846798</v>
      </c>
      <c r="N454" s="92">
        <f t="shared" si="437"/>
        <v>414.55153000594095</v>
      </c>
      <c r="O454" s="92">
        <f t="shared" si="437"/>
        <v>171.73287142228415</v>
      </c>
      <c r="P454" s="92">
        <f t="shared" si="437"/>
        <v>165.25800429032441</v>
      </c>
      <c r="Q454" s="92"/>
      <c r="R454" s="92"/>
      <c r="S454" s="92"/>
      <c r="T454" s="92"/>
      <c r="U454" s="92"/>
      <c r="V454" s="42"/>
      <c r="W454" s="42"/>
      <c r="X454" s="42"/>
      <c r="Y454" s="42"/>
      <c r="Z454" s="42"/>
      <c r="AA454" s="42"/>
      <c r="AB454" s="42"/>
      <c r="AC454" s="42"/>
      <c r="AD454" s="42"/>
      <c r="AE454" s="42"/>
      <c r="AF454" s="42"/>
      <c r="AG454" s="3"/>
      <c r="AH454" s="3"/>
    </row>
    <row r="455" spans="1:34" x14ac:dyDescent="0.25">
      <c r="A455" s="92">
        <f t="shared" si="436"/>
        <v>1000000000000</v>
      </c>
      <c r="B455" s="92">
        <f t="shared" si="437"/>
        <v>343.59171254774333</v>
      </c>
      <c r="C455" s="92">
        <f t="shared" si="437"/>
        <v>2005771.6131801752</v>
      </c>
      <c r="D455" s="92">
        <f t="shared" si="437"/>
        <v>167989307.8357828</v>
      </c>
      <c r="E455" s="92">
        <f t="shared" si="437"/>
        <v>8633562876.2884941</v>
      </c>
      <c r="F455" s="92">
        <f t="shared" si="437"/>
        <v>1000000000000</v>
      </c>
      <c r="G455" s="92">
        <f t="shared" si="437"/>
        <v>2.4858909867597946E+17</v>
      </c>
      <c r="H455" s="92">
        <f t="shared" si="437"/>
        <v>1.7390376021061692E+23</v>
      </c>
      <c r="I455" s="92">
        <f t="shared" si="437"/>
        <v>1000000000000</v>
      </c>
      <c r="J455" s="92">
        <f t="shared" si="437"/>
        <v>2590.4913778751102</v>
      </c>
      <c r="K455" s="92">
        <f t="shared" si="437"/>
        <v>1828.3308494849296</v>
      </c>
      <c r="L455" s="92">
        <f t="shared" si="437"/>
        <v>1355.3669215252155</v>
      </c>
      <c r="M455" s="92">
        <f t="shared" si="437"/>
        <v>838.64271647474698</v>
      </c>
      <c r="N455" s="92">
        <f t="shared" si="437"/>
        <v>296.76424848335745</v>
      </c>
      <c r="O455" s="92">
        <f t="shared" si="437"/>
        <v>164.88164851800227</v>
      </c>
      <c r="P455" s="92">
        <f t="shared" si="437"/>
        <v>162.97529182821398</v>
      </c>
      <c r="Q455" s="92"/>
      <c r="R455" s="92"/>
      <c r="S455" s="92"/>
      <c r="T455" s="92"/>
      <c r="U455" s="92"/>
      <c r="V455" s="42"/>
      <c r="W455" s="42"/>
      <c r="X455" s="42"/>
      <c r="Y455" s="42"/>
      <c r="Z455" s="42"/>
      <c r="AA455" s="42"/>
      <c r="AB455" s="42"/>
      <c r="AC455" s="42"/>
      <c r="AD455" s="42"/>
      <c r="AE455" s="42"/>
      <c r="AF455" s="42"/>
      <c r="AG455" s="3"/>
      <c r="AH455" s="3"/>
    </row>
    <row r="456" spans="1:34" x14ac:dyDescent="0.25">
      <c r="A456" s="92">
        <f t="shared" si="436"/>
        <v>10000000000000</v>
      </c>
      <c r="B456" s="92">
        <f t="shared" si="437"/>
        <v>3435.9171254774333</v>
      </c>
      <c r="C456" s="92">
        <f t="shared" si="437"/>
        <v>20057716.131801751</v>
      </c>
      <c r="D456" s="92">
        <f t="shared" si="437"/>
        <v>1679893078.3578279</v>
      </c>
      <c r="E456" s="92">
        <f t="shared" si="437"/>
        <v>86335628762.884949</v>
      </c>
      <c r="F456" s="92">
        <f t="shared" si="437"/>
        <v>10000000000000</v>
      </c>
      <c r="G456" s="92">
        <f t="shared" si="437"/>
        <v>2.4858909867597947E+18</v>
      </c>
      <c r="H456" s="92">
        <f t="shared" si="437"/>
        <v>1.7390376021061691E+24</v>
      </c>
      <c r="I456" s="92">
        <f t="shared" si="437"/>
        <v>10000000000000</v>
      </c>
      <c r="J456" s="92">
        <f t="shared" si="437"/>
        <v>2428.2171958860131</v>
      </c>
      <c r="K456" s="92">
        <f t="shared" si="437"/>
        <v>1665.1765081389453</v>
      </c>
      <c r="L456" s="92">
        <f t="shared" si="437"/>
        <v>1134.9160288600715</v>
      </c>
      <c r="M456" s="92">
        <f t="shared" si="437"/>
        <v>600.54666630574377</v>
      </c>
      <c r="N456" s="92">
        <f t="shared" si="437"/>
        <v>236.5039430342818</v>
      </c>
      <c r="O456" s="92">
        <f t="shared" si="437"/>
        <v>164.50146393142782</v>
      </c>
      <c r="P456" s="92">
        <f t="shared" si="437"/>
        <v>162.91152498499585</v>
      </c>
      <c r="Q456" s="92"/>
      <c r="R456" s="92"/>
      <c r="S456" s="92"/>
      <c r="T456" s="92"/>
      <c r="U456" s="92"/>
      <c r="V456" s="42"/>
      <c r="W456" s="42"/>
      <c r="X456" s="42"/>
      <c r="Y456" s="42"/>
      <c r="Z456" s="42"/>
      <c r="AA456" s="42"/>
      <c r="AB456" s="42"/>
      <c r="AC456" s="42"/>
      <c r="AD456" s="42"/>
      <c r="AE456" s="42"/>
      <c r="AF456" s="42"/>
      <c r="AG456" s="3"/>
      <c r="AH456" s="3"/>
    </row>
    <row r="457" spans="1:34" x14ac:dyDescent="0.25">
      <c r="A457" s="92">
        <f t="shared" si="436"/>
        <v>100000000000000</v>
      </c>
      <c r="B457" s="92">
        <f t="shared" si="437"/>
        <v>34359.171254774337</v>
      </c>
      <c r="C457" s="92">
        <f t="shared" si="437"/>
        <v>200577161.31801751</v>
      </c>
      <c r="D457" s="92">
        <f t="shared" si="437"/>
        <v>16798930783.578279</v>
      </c>
      <c r="E457" s="92">
        <f t="shared" si="437"/>
        <v>863356287628.84937</v>
      </c>
      <c r="F457" s="92">
        <f t="shared" si="437"/>
        <v>100000000000000</v>
      </c>
      <c r="G457" s="92">
        <f t="shared" si="437"/>
        <v>2.4858909867597947E+19</v>
      </c>
      <c r="H457" s="92">
        <f t="shared" si="437"/>
        <v>1.7390376021061692E+25</v>
      </c>
      <c r="I457" s="92">
        <f t="shared" si="437"/>
        <v>100000000000000</v>
      </c>
      <c r="J457" s="92">
        <f t="shared" si="437"/>
        <v>2284.9023004500814</v>
      </c>
      <c r="K457" s="92">
        <f t="shared" si="437"/>
        <v>1489.3314845424752</v>
      </c>
      <c r="L457" s="92">
        <f t="shared" si="437"/>
        <v>892.49692017162795</v>
      </c>
      <c r="M457" s="92">
        <f t="shared" si="437"/>
        <v>415.97655166325364</v>
      </c>
      <c r="N457" s="92">
        <f t="shared" si="437"/>
        <v>206.64782998877558</v>
      </c>
      <c r="O457" s="92">
        <f t="shared" si="437"/>
        <v>163.00727748318997</v>
      </c>
      <c r="P457" s="92">
        <f t="shared" si="437"/>
        <v>161.92883558935978</v>
      </c>
      <c r="Q457" s="92"/>
      <c r="R457" s="92"/>
      <c r="S457" s="92"/>
      <c r="T457" s="92"/>
      <c r="U457" s="92"/>
      <c r="V457" s="42"/>
      <c r="W457" s="42"/>
      <c r="X457" s="42"/>
      <c r="Y457" s="42"/>
      <c r="Z457" s="42"/>
      <c r="AA457" s="42"/>
      <c r="AB457" s="42"/>
      <c r="AC457" s="42"/>
      <c r="AD457" s="42"/>
      <c r="AE457" s="42"/>
      <c r="AF457" s="42"/>
      <c r="AG457" s="3"/>
      <c r="AH457" s="3"/>
    </row>
    <row r="458" spans="1:34" x14ac:dyDescent="0.25">
      <c r="A458" s="92">
        <f t="shared" si="436"/>
        <v>1000000000000000</v>
      </c>
      <c r="B458" s="92">
        <f t="shared" si="437"/>
        <v>343591.71254774334</v>
      </c>
      <c r="C458" s="92">
        <f t="shared" si="437"/>
        <v>2005771613.1801753</v>
      </c>
      <c r="D458" s="92">
        <f t="shared" si="437"/>
        <v>167989307835.78278</v>
      </c>
      <c r="E458" s="92">
        <f t="shared" si="437"/>
        <v>8633562876288.4941</v>
      </c>
      <c r="F458" s="92">
        <f t="shared" si="437"/>
        <v>1000000000000000</v>
      </c>
      <c r="G458" s="92">
        <f t="shared" si="437"/>
        <v>2.4858909867597945E+20</v>
      </c>
      <c r="H458" s="92">
        <f t="shared" si="437"/>
        <v>1.739037602106169E+26</v>
      </c>
      <c r="I458" s="92">
        <f t="shared" si="437"/>
        <v>1000000000000000</v>
      </c>
      <c r="J458" s="92">
        <f t="shared" si="437"/>
        <v>2162.351794570352</v>
      </c>
      <c r="K458" s="92">
        <f t="shared" si="437"/>
        <v>1297.0734642842888</v>
      </c>
      <c r="L458" s="92">
        <f t="shared" si="437"/>
        <v>651.2901745739025</v>
      </c>
      <c r="M458" s="92">
        <f t="shared" si="437"/>
        <v>297.69240550814368</v>
      </c>
      <c r="N458" s="92">
        <f t="shared" si="437"/>
        <v>191.80670583863778</v>
      </c>
      <c r="O458" s="92">
        <f t="shared" si="437"/>
        <v>162.92272722143832</v>
      </c>
      <c r="P458" s="92">
        <f t="shared" si="437"/>
        <v>161.56401350859798</v>
      </c>
      <c r="Q458" s="92"/>
      <c r="R458" s="92"/>
      <c r="S458" s="92"/>
      <c r="T458" s="92"/>
      <c r="U458" s="92"/>
      <c r="V458" s="42"/>
      <c r="W458" s="42"/>
      <c r="X458" s="42"/>
      <c r="Y458" s="42"/>
      <c r="Z458" s="42"/>
      <c r="AA458" s="42"/>
      <c r="AB458" s="42"/>
      <c r="AC458" s="42"/>
      <c r="AD458" s="42"/>
      <c r="AE458" s="42"/>
      <c r="AF458" s="42"/>
      <c r="AG458" s="3"/>
      <c r="AH458" s="3"/>
    </row>
    <row r="459" spans="1:34" x14ac:dyDescent="0.25">
      <c r="A459" s="92" t="e">
        <f t="shared" si="436"/>
        <v>#REF!</v>
      </c>
      <c r="B459" s="92" t="e">
        <f t="shared" si="437"/>
        <v>#REF!</v>
      </c>
      <c r="C459" s="92" t="e">
        <f t="shared" si="437"/>
        <v>#REF!</v>
      </c>
      <c r="D459" s="92" t="e">
        <f t="shared" si="437"/>
        <v>#REF!</v>
      </c>
      <c r="E459" s="92" t="e">
        <f t="shared" si="437"/>
        <v>#REF!</v>
      </c>
      <c r="F459" s="92" t="e">
        <f t="shared" si="437"/>
        <v>#REF!</v>
      </c>
      <c r="G459" s="92" t="e">
        <f t="shared" si="437"/>
        <v>#REF!</v>
      </c>
      <c r="H459" s="92" t="e">
        <f t="shared" si="437"/>
        <v>#REF!</v>
      </c>
      <c r="I459" s="92" t="e">
        <f t="shared" si="437"/>
        <v>#REF!</v>
      </c>
      <c r="J459" s="92" t="e">
        <f t="shared" si="437"/>
        <v>#REF!</v>
      </c>
      <c r="K459" s="92" t="e">
        <f t="shared" si="437"/>
        <v>#REF!</v>
      </c>
      <c r="L459" s="92" t="e">
        <f t="shared" si="437"/>
        <v>#REF!</v>
      </c>
      <c r="M459" s="92" t="e">
        <f t="shared" si="437"/>
        <v>#REF!</v>
      </c>
      <c r="N459" s="92" t="e">
        <f t="shared" si="437"/>
        <v>#REF!</v>
      </c>
      <c r="O459" s="92" t="e">
        <f t="shared" si="437"/>
        <v>#REF!</v>
      </c>
      <c r="P459" s="92" t="e">
        <f t="shared" si="437"/>
        <v>#REF!</v>
      </c>
      <c r="Q459" s="92"/>
      <c r="R459" s="92"/>
      <c r="S459" s="92"/>
      <c r="T459" s="92"/>
      <c r="U459" s="92"/>
      <c r="V459" s="42"/>
      <c r="W459" s="42"/>
      <c r="X459" s="42"/>
      <c r="Y459" s="42"/>
      <c r="Z459" s="42"/>
      <c r="AA459" s="42"/>
      <c r="AB459" s="42"/>
      <c r="AC459" s="42"/>
      <c r="AD459" s="42"/>
      <c r="AE459" s="42"/>
      <c r="AF459" s="42"/>
      <c r="AG459" s="3"/>
      <c r="AH459" s="3"/>
    </row>
    <row r="460" spans="1:34" x14ac:dyDescent="0.25">
      <c r="A460" s="92" t="e">
        <f t="shared" si="436"/>
        <v>#REF!</v>
      </c>
      <c r="B460" s="92" t="e">
        <f t="shared" si="437"/>
        <v>#REF!</v>
      </c>
      <c r="C460" s="92" t="e">
        <f t="shared" si="437"/>
        <v>#REF!</v>
      </c>
      <c r="D460" s="92" t="e">
        <f t="shared" si="437"/>
        <v>#REF!</v>
      </c>
      <c r="E460" s="92" t="e">
        <f t="shared" si="437"/>
        <v>#REF!</v>
      </c>
      <c r="F460" s="92" t="e">
        <f t="shared" si="437"/>
        <v>#REF!</v>
      </c>
      <c r="G460" s="92" t="e">
        <f t="shared" si="437"/>
        <v>#REF!</v>
      </c>
      <c r="H460" s="92" t="e">
        <f t="shared" si="437"/>
        <v>#REF!</v>
      </c>
      <c r="I460" s="92" t="e">
        <f t="shared" si="437"/>
        <v>#REF!</v>
      </c>
      <c r="J460" s="92" t="e">
        <f t="shared" si="437"/>
        <v>#REF!</v>
      </c>
      <c r="K460" s="92" t="e">
        <f t="shared" si="437"/>
        <v>#REF!</v>
      </c>
      <c r="L460" s="92" t="e">
        <f t="shared" si="437"/>
        <v>#REF!</v>
      </c>
      <c r="M460" s="92" t="e">
        <f t="shared" si="437"/>
        <v>#REF!</v>
      </c>
      <c r="N460" s="92" t="e">
        <f t="shared" si="437"/>
        <v>#REF!</v>
      </c>
      <c r="O460" s="92" t="e">
        <f t="shared" si="437"/>
        <v>#REF!</v>
      </c>
      <c r="P460" s="92" t="e">
        <f t="shared" si="437"/>
        <v>#REF!</v>
      </c>
      <c r="Q460" s="92"/>
      <c r="R460" s="92"/>
      <c r="S460" s="92"/>
      <c r="T460" s="92"/>
      <c r="U460" s="92"/>
      <c r="V460" s="42"/>
      <c r="W460" s="42"/>
      <c r="X460" s="42"/>
      <c r="Y460" s="42"/>
      <c r="Z460" s="42"/>
      <c r="AA460" s="42"/>
      <c r="AB460" s="42"/>
      <c r="AC460" s="42"/>
      <c r="AD460" s="42"/>
      <c r="AE460" s="42"/>
      <c r="AF460" s="42"/>
      <c r="AG460" s="3"/>
      <c r="AH460" s="3"/>
    </row>
    <row r="461" spans="1:34" x14ac:dyDescent="0.25">
      <c r="A461" s="92" t="e">
        <f t="shared" si="436"/>
        <v>#REF!</v>
      </c>
      <c r="B461" s="92" t="e">
        <f t="shared" si="437"/>
        <v>#REF!</v>
      </c>
      <c r="C461" s="92" t="e">
        <f t="shared" si="437"/>
        <v>#REF!</v>
      </c>
      <c r="D461" s="92" t="e">
        <f t="shared" si="437"/>
        <v>#REF!</v>
      </c>
      <c r="E461" s="92" t="e">
        <f t="shared" si="437"/>
        <v>#REF!</v>
      </c>
      <c r="F461" s="92" t="e">
        <f t="shared" si="437"/>
        <v>#REF!</v>
      </c>
      <c r="G461" s="92" t="e">
        <f t="shared" si="437"/>
        <v>#REF!</v>
      </c>
      <c r="H461" s="92" t="e">
        <f t="shared" si="437"/>
        <v>#REF!</v>
      </c>
      <c r="I461" s="92" t="e">
        <f t="shared" si="437"/>
        <v>#REF!</v>
      </c>
      <c r="J461" s="92" t="e">
        <f t="shared" si="437"/>
        <v>#REF!</v>
      </c>
      <c r="K461" s="92" t="e">
        <f t="shared" si="437"/>
        <v>#REF!</v>
      </c>
      <c r="L461" s="92" t="e">
        <f t="shared" si="437"/>
        <v>#REF!</v>
      </c>
      <c r="M461" s="92" t="e">
        <f t="shared" si="437"/>
        <v>#REF!</v>
      </c>
      <c r="N461" s="92" t="e">
        <f t="shared" si="437"/>
        <v>#REF!</v>
      </c>
      <c r="O461" s="92" t="e">
        <f t="shared" si="437"/>
        <v>#REF!</v>
      </c>
      <c r="P461" s="92" t="e">
        <f t="shared" si="437"/>
        <v>#REF!</v>
      </c>
      <c r="Q461" s="92"/>
      <c r="R461" s="92"/>
      <c r="S461" s="92"/>
      <c r="T461" s="92"/>
      <c r="U461" s="92"/>
      <c r="V461" s="42"/>
      <c r="W461" s="42"/>
      <c r="X461" s="42"/>
      <c r="Y461" s="42"/>
      <c r="Z461" s="42"/>
      <c r="AA461" s="42"/>
      <c r="AB461" s="42"/>
      <c r="AC461" s="42"/>
      <c r="AD461" s="42"/>
      <c r="AE461" s="42"/>
      <c r="AF461" s="42"/>
      <c r="AG461" s="3"/>
      <c r="AH461" s="3"/>
    </row>
    <row r="462" spans="1:34" x14ac:dyDescent="0.25">
      <c r="A462" s="92" t="e">
        <f t="shared" si="436"/>
        <v>#REF!</v>
      </c>
      <c r="B462" s="92" t="e">
        <f t="shared" si="437"/>
        <v>#REF!</v>
      </c>
      <c r="C462" s="92" t="e">
        <f t="shared" si="437"/>
        <v>#REF!</v>
      </c>
      <c r="D462" s="92" t="e">
        <f t="shared" si="437"/>
        <v>#REF!</v>
      </c>
      <c r="E462" s="92" t="e">
        <f t="shared" si="437"/>
        <v>#REF!</v>
      </c>
      <c r="F462" s="92" t="e">
        <f t="shared" si="437"/>
        <v>#REF!</v>
      </c>
      <c r="G462" s="92" t="e">
        <f t="shared" si="437"/>
        <v>#REF!</v>
      </c>
      <c r="H462" s="92" t="e">
        <f t="shared" si="437"/>
        <v>#REF!</v>
      </c>
      <c r="I462" s="92" t="e">
        <f t="shared" si="437"/>
        <v>#REF!</v>
      </c>
      <c r="J462" s="92" t="e">
        <f t="shared" si="437"/>
        <v>#REF!</v>
      </c>
      <c r="K462" s="92" t="e">
        <f t="shared" si="437"/>
        <v>#REF!</v>
      </c>
      <c r="L462" s="92" t="e">
        <f t="shared" si="437"/>
        <v>#REF!</v>
      </c>
      <c r="M462" s="92" t="e">
        <f t="shared" si="437"/>
        <v>#REF!</v>
      </c>
      <c r="N462" s="92" t="e">
        <f t="shared" si="437"/>
        <v>#REF!</v>
      </c>
      <c r="O462" s="92" t="e">
        <f t="shared" si="437"/>
        <v>#REF!</v>
      </c>
      <c r="P462" s="92" t="e">
        <f t="shared" si="437"/>
        <v>#REF!</v>
      </c>
      <c r="Q462" s="92"/>
      <c r="R462" s="92"/>
      <c r="S462" s="92"/>
      <c r="T462" s="92"/>
      <c r="U462" s="92"/>
      <c r="V462" s="42"/>
      <c r="W462" s="42"/>
      <c r="X462" s="42"/>
      <c r="Y462" s="42"/>
      <c r="Z462" s="42"/>
      <c r="AA462" s="42"/>
      <c r="AB462" s="42"/>
      <c r="AC462" s="42"/>
      <c r="AD462" s="42"/>
      <c r="AE462" s="42"/>
      <c r="AF462" s="42"/>
      <c r="AG462" s="3"/>
      <c r="AH462" s="3"/>
    </row>
    <row r="463" spans="1:34" x14ac:dyDescent="0.25">
      <c r="A463" s="92" t="e">
        <f t="shared" si="436"/>
        <v>#REF!</v>
      </c>
      <c r="B463" s="92" t="e">
        <f t="shared" si="437"/>
        <v>#REF!</v>
      </c>
      <c r="C463" s="92" t="e">
        <f t="shared" si="437"/>
        <v>#REF!</v>
      </c>
      <c r="D463" s="92" t="e">
        <f t="shared" si="437"/>
        <v>#REF!</v>
      </c>
      <c r="E463" s="92" t="e">
        <f t="shared" si="437"/>
        <v>#REF!</v>
      </c>
      <c r="F463" s="92" t="e">
        <f t="shared" si="437"/>
        <v>#REF!</v>
      </c>
      <c r="G463" s="92" t="e">
        <f t="shared" si="437"/>
        <v>#REF!</v>
      </c>
      <c r="H463" s="92" t="e">
        <f t="shared" si="437"/>
        <v>#REF!</v>
      </c>
      <c r="I463" s="92" t="e">
        <f t="shared" si="437"/>
        <v>#REF!</v>
      </c>
      <c r="J463" s="92" t="e">
        <f t="shared" si="437"/>
        <v>#REF!</v>
      </c>
      <c r="K463" s="92" t="e">
        <f t="shared" si="437"/>
        <v>#REF!</v>
      </c>
      <c r="L463" s="92" t="e">
        <f t="shared" si="437"/>
        <v>#REF!</v>
      </c>
      <c r="M463" s="92" t="e">
        <f t="shared" si="437"/>
        <v>#REF!</v>
      </c>
      <c r="N463" s="92" t="e">
        <f t="shared" si="437"/>
        <v>#REF!</v>
      </c>
      <c r="O463" s="92" t="e">
        <f t="shared" si="437"/>
        <v>#REF!</v>
      </c>
      <c r="P463" s="92" t="e">
        <f t="shared" si="437"/>
        <v>#REF!</v>
      </c>
      <c r="Q463" s="92"/>
      <c r="R463" s="92"/>
      <c r="S463" s="92"/>
      <c r="T463" s="92"/>
      <c r="U463" s="92"/>
      <c r="V463" s="42"/>
      <c r="W463" s="42"/>
      <c r="X463" s="42"/>
      <c r="Y463" s="42"/>
      <c r="Z463" s="42"/>
      <c r="AA463" s="42"/>
      <c r="AB463" s="42"/>
      <c r="AC463" s="42"/>
      <c r="AD463" s="42"/>
      <c r="AE463" s="42"/>
      <c r="AF463" s="42"/>
      <c r="AG463" s="3"/>
      <c r="AH463" s="3"/>
    </row>
    <row r="464" spans="1:34" x14ac:dyDescent="0.25">
      <c r="A464" s="92" t="e">
        <f t="shared" si="436"/>
        <v>#REF!</v>
      </c>
      <c r="B464" s="92" t="e">
        <f t="shared" si="437"/>
        <v>#REF!</v>
      </c>
      <c r="C464" s="92" t="e">
        <f t="shared" si="437"/>
        <v>#REF!</v>
      </c>
      <c r="D464" s="92" t="e">
        <f t="shared" si="437"/>
        <v>#REF!</v>
      </c>
      <c r="E464" s="92" t="e">
        <f t="shared" si="437"/>
        <v>#REF!</v>
      </c>
      <c r="F464" s="92" t="e">
        <f t="shared" si="437"/>
        <v>#REF!</v>
      </c>
      <c r="G464" s="92" t="e">
        <f t="shared" si="437"/>
        <v>#REF!</v>
      </c>
      <c r="H464" s="92" t="e">
        <f t="shared" si="437"/>
        <v>#REF!</v>
      </c>
      <c r="I464" s="92" t="e">
        <f t="shared" si="437"/>
        <v>#REF!</v>
      </c>
      <c r="J464" s="92" t="e">
        <f t="shared" si="437"/>
        <v>#REF!</v>
      </c>
      <c r="K464" s="92" t="e">
        <f t="shared" si="437"/>
        <v>#REF!</v>
      </c>
      <c r="L464" s="92" t="e">
        <f t="shared" si="437"/>
        <v>#REF!</v>
      </c>
      <c r="M464" s="92" t="e">
        <f t="shared" si="437"/>
        <v>#REF!</v>
      </c>
      <c r="N464" s="92" t="e">
        <f t="shared" si="437"/>
        <v>#REF!</v>
      </c>
      <c r="O464" s="92" t="e">
        <f t="shared" si="437"/>
        <v>#REF!</v>
      </c>
      <c r="P464" s="92" t="e">
        <f t="shared" si="437"/>
        <v>#REF!</v>
      </c>
      <c r="Q464" s="92"/>
      <c r="R464" s="92"/>
      <c r="S464" s="92"/>
      <c r="T464" s="92"/>
      <c r="U464" s="92"/>
      <c r="V464" s="42"/>
      <c r="W464" s="42"/>
      <c r="X464" s="42"/>
      <c r="Y464" s="42"/>
      <c r="Z464" s="42"/>
      <c r="AA464" s="42"/>
      <c r="AB464" s="42"/>
      <c r="AC464" s="42"/>
      <c r="AD464" s="42"/>
      <c r="AE464" s="42"/>
      <c r="AF464" s="42"/>
      <c r="AG464" s="3"/>
      <c r="AH464" s="3"/>
    </row>
    <row r="465" spans="1:34" x14ac:dyDescent="0.25">
      <c r="A465" s="92" t="e">
        <f t="shared" si="436"/>
        <v>#REF!</v>
      </c>
      <c r="B465" s="92" t="e">
        <f t="shared" si="437"/>
        <v>#REF!</v>
      </c>
      <c r="C465" s="92" t="e">
        <f t="shared" si="437"/>
        <v>#REF!</v>
      </c>
      <c r="D465" s="92" t="e">
        <f t="shared" si="437"/>
        <v>#REF!</v>
      </c>
      <c r="E465" s="92" t="e">
        <f t="shared" si="437"/>
        <v>#REF!</v>
      </c>
      <c r="F465" s="92" t="e">
        <f t="shared" si="437"/>
        <v>#REF!</v>
      </c>
      <c r="G465" s="92" t="e">
        <f t="shared" si="437"/>
        <v>#REF!</v>
      </c>
      <c r="H465" s="92" t="e">
        <f t="shared" si="437"/>
        <v>#REF!</v>
      </c>
      <c r="I465" s="92" t="e">
        <f t="shared" si="437"/>
        <v>#REF!</v>
      </c>
      <c r="J465" s="92" t="e">
        <f t="shared" si="437"/>
        <v>#REF!</v>
      </c>
      <c r="K465" s="92" t="e">
        <f t="shared" si="437"/>
        <v>#REF!</v>
      </c>
      <c r="L465" s="92" t="e">
        <f t="shared" si="437"/>
        <v>#REF!</v>
      </c>
      <c r="M465" s="92" t="e">
        <f t="shared" si="437"/>
        <v>#REF!</v>
      </c>
      <c r="N465" s="92" t="e">
        <f t="shared" si="437"/>
        <v>#REF!</v>
      </c>
      <c r="O465" s="92" t="e">
        <f t="shared" si="437"/>
        <v>#REF!</v>
      </c>
      <c r="P465" s="92" t="e">
        <f t="shared" si="437"/>
        <v>#REF!</v>
      </c>
      <c r="Q465" s="92"/>
      <c r="R465" s="92"/>
      <c r="S465" s="92"/>
      <c r="T465" s="92"/>
      <c r="U465" s="92"/>
      <c r="V465" s="42"/>
      <c r="W465" s="42"/>
      <c r="X465" s="42"/>
      <c r="Y465" s="42"/>
      <c r="Z465" s="42"/>
      <c r="AA465" s="42"/>
      <c r="AB465" s="42"/>
      <c r="AC465" s="42"/>
      <c r="AD465" s="42"/>
      <c r="AE465" s="42"/>
      <c r="AF465" s="42"/>
      <c r="AG465" s="3"/>
      <c r="AH465" s="3"/>
    </row>
    <row r="466" spans="1:34" x14ac:dyDescent="0.25">
      <c r="A466" s="92" t="e">
        <f t="shared" si="436"/>
        <v>#REF!</v>
      </c>
      <c r="B466" s="92" t="e">
        <f t="shared" si="437"/>
        <v>#REF!</v>
      </c>
      <c r="C466" s="92" t="e">
        <f t="shared" si="437"/>
        <v>#REF!</v>
      </c>
      <c r="D466" s="92" t="e">
        <f t="shared" si="437"/>
        <v>#REF!</v>
      </c>
      <c r="E466" s="92" t="e">
        <f t="shared" si="437"/>
        <v>#REF!</v>
      </c>
      <c r="F466" s="92" t="e">
        <f t="shared" si="437"/>
        <v>#REF!</v>
      </c>
      <c r="G466" s="92" t="e">
        <f t="shared" si="437"/>
        <v>#REF!</v>
      </c>
      <c r="H466" s="92" t="e">
        <f t="shared" si="437"/>
        <v>#REF!</v>
      </c>
      <c r="I466" s="92" t="e">
        <f t="shared" si="437"/>
        <v>#REF!</v>
      </c>
      <c r="J466" s="92" t="e">
        <f t="shared" si="437"/>
        <v>#REF!</v>
      </c>
      <c r="K466" s="92" t="e">
        <f t="shared" si="437"/>
        <v>#REF!</v>
      </c>
      <c r="L466" s="92" t="e">
        <f t="shared" si="437"/>
        <v>#REF!</v>
      </c>
      <c r="M466" s="92" t="e">
        <f t="shared" si="437"/>
        <v>#REF!</v>
      </c>
      <c r="N466" s="92" t="e">
        <f t="shared" si="437"/>
        <v>#REF!</v>
      </c>
      <c r="O466" s="92" t="e">
        <f t="shared" si="437"/>
        <v>#REF!</v>
      </c>
      <c r="P466" s="92" t="e">
        <f t="shared" si="437"/>
        <v>#REF!</v>
      </c>
      <c r="Q466" s="92"/>
      <c r="R466" s="92"/>
      <c r="S466" s="92"/>
      <c r="T466" s="92"/>
      <c r="U466" s="92"/>
      <c r="V466" s="42"/>
      <c r="W466" s="42"/>
      <c r="X466" s="42"/>
      <c r="Y466" s="42"/>
      <c r="Z466" s="42"/>
      <c r="AA466" s="42"/>
      <c r="AB466" s="42"/>
      <c r="AC466" s="42"/>
      <c r="AD466" s="42"/>
      <c r="AE466" s="42"/>
      <c r="AF466" s="42"/>
      <c r="AG466" s="3"/>
      <c r="AH466" s="3"/>
    </row>
    <row r="467" spans="1:34" x14ac:dyDescent="0.25">
      <c r="A467" s="92" t="e">
        <f t="shared" si="436"/>
        <v>#REF!</v>
      </c>
      <c r="B467" s="92" t="e">
        <f t="shared" si="437"/>
        <v>#REF!</v>
      </c>
      <c r="C467" s="92" t="e">
        <f t="shared" si="437"/>
        <v>#REF!</v>
      </c>
      <c r="D467" s="92" t="e">
        <f t="shared" si="437"/>
        <v>#REF!</v>
      </c>
      <c r="E467" s="92" t="e">
        <f t="shared" si="437"/>
        <v>#REF!</v>
      </c>
      <c r="F467" s="92" t="e">
        <f t="shared" si="437"/>
        <v>#REF!</v>
      </c>
      <c r="G467" s="92" t="e">
        <f t="shared" si="437"/>
        <v>#REF!</v>
      </c>
      <c r="H467" s="92" t="e">
        <f t="shared" si="437"/>
        <v>#REF!</v>
      </c>
      <c r="I467" s="92" t="e">
        <f t="shared" si="437"/>
        <v>#REF!</v>
      </c>
      <c r="J467" s="92" t="e">
        <f t="shared" si="437"/>
        <v>#REF!</v>
      </c>
      <c r="K467" s="92" t="e">
        <f t="shared" si="437"/>
        <v>#REF!</v>
      </c>
      <c r="L467" s="92" t="e">
        <f t="shared" si="437"/>
        <v>#REF!</v>
      </c>
      <c r="M467" s="92" t="e">
        <f t="shared" si="437"/>
        <v>#REF!</v>
      </c>
      <c r="N467" s="92" t="e">
        <f t="shared" si="437"/>
        <v>#REF!</v>
      </c>
      <c r="O467" s="92" t="e">
        <f t="shared" si="437"/>
        <v>#REF!</v>
      </c>
      <c r="P467" s="92" t="e">
        <f t="shared" si="437"/>
        <v>#REF!</v>
      </c>
      <c r="Q467" s="92"/>
      <c r="R467" s="92"/>
      <c r="S467" s="92"/>
      <c r="T467" s="92"/>
      <c r="U467" s="92"/>
      <c r="V467" s="42"/>
      <c r="W467" s="42"/>
      <c r="X467" s="42"/>
      <c r="Y467" s="42"/>
      <c r="Z467" s="42"/>
      <c r="AA467" s="42"/>
      <c r="AB467" s="42"/>
      <c r="AC467" s="42"/>
      <c r="AD467" s="42"/>
      <c r="AE467" s="42"/>
      <c r="AF467" s="42"/>
      <c r="AG467" s="3"/>
      <c r="AH467" s="3"/>
    </row>
    <row r="468" spans="1:34" x14ac:dyDescent="0.25">
      <c r="A468" s="92" t="e">
        <f t="shared" si="436"/>
        <v>#REF!</v>
      </c>
      <c r="B468" s="92" t="e">
        <f t="shared" si="437"/>
        <v>#REF!</v>
      </c>
      <c r="C468" s="92" t="e">
        <f t="shared" si="437"/>
        <v>#REF!</v>
      </c>
      <c r="D468" s="92" t="e">
        <f t="shared" si="437"/>
        <v>#REF!</v>
      </c>
      <c r="E468" s="92" t="e">
        <f t="shared" si="437"/>
        <v>#REF!</v>
      </c>
      <c r="F468" s="92" t="e">
        <f t="shared" si="437"/>
        <v>#REF!</v>
      </c>
      <c r="G468" s="92" t="e">
        <f t="shared" si="437"/>
        <v>#REF!</v>
      </c>
      <c r="H468" s="92" t="e">
        <f t="shared" si="437"/>
        <v>#REF!</v>
      </c>
      <c r="I468" s="92" t="e">
        <f t="shared" si="437"/>
        <v>#REF!</v>
      </c>
      <c r="J468" s="92" t="e">
        <f t="shared" si="437"/>
        <v>#REF!</v>
      </c>
      <c r="K468" s="92" t="e">
        <f t="shared" si="437"/>
        <v>#REF!</v>
      </c>
      <c r="L468" s="92" t="e">
        <f t="shared" si="437"/>
        <v>#REF!</v>
      </c>
      <c r="M468" s="92" t="e">
        <f t="shared" si="437"/>
        <v>#REF!</v>
      </c>
      <c r="N468" s="92" t="e">
        <f t="shared" si="437"/>
        <v>#REF!</v>
      </c>
      <c r="O468" s="92" t="e">
        <f t="shared" si="437"/>
        <v>#REF!</v>
      </c>
      <c r="P468" s="92" t="e">
        <f t="shared" si="437"/>
        <v>#REF!</v>
      </c>
      <c r="Q468" s="92"/>
      <c r="R468" s="92"/>
      <c r="S468" s="92"/>
      <c r="T468" s="92"/>
      <c r="U468" s="92"/>
      <c r="V468" s="42"/>
      <c r="W468" s="42"/>
      <c r="X468" s="42"/>
      <c r="Y468" s="42"/>
      <c r="Z468" s="42"/>
      <c r="AA468" s="42"/>
      <c r="AB468" s="42"/>
      <c r="AC468" s="42"/>
      <c r="AD468" s="42"/>
      <c r="AE468" s="42"/>
      <c r="AF468" s="42"/>
      <c r="AG468" s="3"/>
      <c r="AH468" s="3"/>
    </row>
    <row r="469" spans="1:34" x14ac:dyDescent="0.25">
      <c r="A469" s="116"/>
      <c r="B469" s="20"/>
      <c r="C469" s="20"/>
      <c r="D469" s="20"/>
      <c r="E469" s="20"/>
      <c r="F469" s="20"/>
      <c r="G469" s="20"/>
      <c r="H469" s="20"/>
      <c r="I469" s="20"/>
      <c r="J469" s="20"/>
      <c r="K469" s="20"/>
      <c r="L469" s="20"/>
      <c r="M469" s="20"/>
      <c r="N469" s="20"/>
      <c r="O469" s="20"/>
      <c r="P469" s="20"/>
      <c r="Q469" s="42"/>
      <c r="R469" s="42"/>
      <c r="S469" s="42"/>
      <c r="T469" s="42"/>
      <c r="U469" s="42"/>
      <c r="V469" s="42"/>
      <c r="W469" s="42"/>
      <c r="X469" s="42"/>
      <c r="Y469" s="42"/>
      <c r="Z469" s="42"/>
      <c r="AA469" s="42"/>
      <c r="AB469" s="42"/>
      <c r="AC469" s="42"/>
      <c r="AD469" s="42"/>
      <c r="AE469" s="42"/>
      <c r="AF469" s="42"/>
      <c r="AG469" s="3"/>
      <c r="AH469" s="3"/>
    </row>
    <row r="470" spans="1:34" x14ac:dyDescent="0.25">
      <c r="A470" s="92"/>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92"/>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92"/>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92"/>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92"/>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2"/>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34"/>
      <c r="B532" s="134"/>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29"/>
      <c r="B534" s="129"/>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8">AF570+10</f>
        <v>10</v>
      </c>
      <c r="AH570" s="11">
        <f t="shared" si="438"/>
        <v>20</v>
      </c>
      <c r="AI570" s="11">
        <f t="shared" si="438"/>
        <v>30</v>
      </c>
      <c r="AJ570" s="11">
        <f t="shared" si="438"/>
        <v>40</v>
      </c>
      <c r="AK570" s="11">
        <f t="shared" si="438"/>
        <v>50</v>
      </c>
      <c r="AL570" s="11">
        <f t="shared" si="438"/>
        <v>60</v>
      </c>
      <c r="AM570" s="11">
        <f t="shared" si="438"/>
        <v>70</v>
      </c>
      <c r="AN570" s="11">
        <f t="shared" si="438"/>
        <v>80</v>
      </c>
      <c r="AO570" s="11">
        <f t="shared" si="438"/>
        <v>90</v>
      </c>
      <c r="AP570" s="11">
        <f t="shared" si="438"/>
        <v>100</v>
      </c>
      <c r="AQ570" s="11">
        <f t="shared" si="438"/>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9">AG570-$B$521</f>
        <v>10</v>
      </c>
      <c r="AH571" s="40">
        <f t="shared" si="439"/>
        <v>20</v>
      </c>
      <c r="AI571" s="40">
        <f t="shared" si="439"/>
        <v>30</v>
      </c>
      <c r="AJ571" s="40">
        <f t="shared" si="439"/>
        <v>40</v>
      </c>
      <c r="AK571" s="40">
        <f t="shared" si="439"/>
        <v>50</v>
      </c>
      <c r="AL571" s="40">
        <f t="shared" si="439"/>
        <v>60</v>
      </c>
      <c r="AM571" s="40">
        <f t="shared" si="439"/>
        <v>70</v>
      </c>
      <c r="AN571" s="40">
        <f t="shared" si="439"/>
        <v>80</v>
      </c>
      <c r="AO571" s="40">
        <f t="shared" si="439"/>
        <v>90</v>
      </c>
      <c r="AP571" s="40">
        <f t="shared" si="439"/>
        <v>100</v>
      </c>
      <c r="AQ571" s="40">
        <f t="shared" si="439"/>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40">$B572*AG$571^$A572</f>
        <v>0</v>
      </c>
      <c r="AH572" s="41">
        <f t="shared" si="440"/>
        <v>0</v>
      </c>
      <c r="AI572" s="41">
        <f t="shared" si="440"/>
        <v>0</v>
      </c>
      <c r="AJ572" s="41">
        <f t="shared" si="440"/>
        <v>0</v>
      </c>
      <c r="AK572" s="41">
        <f t="shared" si="440"/>
        <v>0</v>
      </c>
      <c r="AL572" s="41">
        <f t="shared" si="440"/>
        <v>0</v>
      </c>
      <c r="AM572" s="41">
        <f t="shared" si="440"/>
        <v>0</v>
      </c>
      <c r="AN572" s="41">
        <f t="shared" si="440"/>
        <v>0</v>
      </c>
      <c r="AO572" s="41">
        <f t="shared" si="440"/>
        <v>0</v>
      </c>
      <c r="AP572" s="41">
        <f t="shared" si="440"/>
        <v>0</v>
      </c>
      <c r="AQ572" s="41">
        <f t="shared" si="440"/>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40"/>
        <v>0</v>
      </c>
      <c r="AH573" s="41">
        <f t="shared" si="440"/>
        <v>0</v>
      </c>
      <c r="AI573" s="41">
        <f t="shared" si="440"/>
        <v>0</v>
      </c>
      <c r="AJ573" s="41">
        <f t="shared" si="440"/>
        <v>0</v>
      </c>
      <c r="AK573" s="41">
        <f t="shared" si="440"/>
        <v>0</v>
      </c>
      <c r="AL573" s="41">
        <f t="shared" si="440"/>
        <v>0</v>
      </c>
      <c r="AM573" s="41">
        <f t="shared" si="440"/>
        <v>0</v>
      </c>
      <c r="AN573" s="41">
        <f t="shared" si="440"/>
        <v>0</v>
      </c>
      <c r="AO573" s="41">
        <f t="shared" si="440"/>
        <v>0</v>
      </c>
      <c r="AP573" s="41">
        <f t="shared" si="440"/>
        <v>0</v>
      </c>
      <c r="AQ573" s="41">
        <f t="shared" si="440"/>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40"/>
        <v>0</v>
      </c>
      <c r="AH574" s="41">
        <f t="shared" si="440"/>
        <v>0</v>
      </c>
      <c r="AI574" s="41">
        <f t="shared" si="440"/>
        <v>0</v>
      </c>
      <c r="AJ574" s="41">
        <f t="shared" si="440"/>
        <v>0</v>
      </c>
      <c r="AK574" s="41">
        <f t="shared" si="440"/>
        <v>0</v>
      </c>
      <c r="AL574" s="41">
        <f t="shared" si="440"/>
        <v>0</v>
      </c>
      <c r="AM574" s="41">
        <f t="shared" si="440"/>
        <v>0</v>
      </c>
      <c r="AN574" s="41">
        <f t="shared" si="440"/>
        <v>0</v>
      </c>
      <c r="AO574" s="41">
        <f t="shared" si="440"/>
        <v>0</v>
      </c>
      <c r="AP574" s="41">
        <f t="shared" si="440"/>
        <v>0</v>
      </c>
      <c r="AQ574" s="41">
        <f t="shared" si="440"/>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40"/>
        <v>0</v>
      </c>
      <c r="AH575" s="41">
        <f t="shared" si="440"/>
        <v>0</v>
      </c>
      <c r="AI575" s="41">
        <f t="shared" si="440"/>
        <v>0</v>
      </c>
      <c r="AJ575" s="41">
        <f t="shared" si="440"/>
        <v>0</v>
      </c>
      <c r="AK575" s="41">
        <f t="shared" si="440"/>
        <v>0</v>
      </c>
      <c r="AL575" s="41">
        <f t="shared" si="440"/>
        <v>0</v>
      </c>
      <c r="AM575" s="41">
        <f t="shared" si="440"/>
        <v>0</v>
      </c>
      <c r="AN575" s="41">
        <f t="shared" si="440"/>
        <v>0</v>
      </c>
      <c r="AO575" s="41">
        <f t="shared" si="440"/>
        <v>0</v>
      </c>
      <c r="AP575" s="41">
        <f t="shared" si="440"/>
        <v>0</v>
      </c>
      <c r="AQ575" s="41">
        <f t="shared" si="440"/>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40"/>
        <v>0</v>
      </c>
      <c r="AH576" s="41">
        <f t="shared" si="440"/>
        <v>0</v>
      </c>
      <c r="AI576" s="41">
        <f t="shared" si="440"/>
        <v>0</v>
      </c>
      <c r="AJ576" s="41">
        <f t="shared" si="440"/>
        <v>0</v>
      </c>
      <c r="AK576" s="41">
        <f t="shared" si="440"/>
        <v>0</v>
      </c>
      <c r="AL576" s="41">
        <f t="shared" si="440"/>
        <v>0</v>
      </c>
      <c r="AM576" s="41">
        <f t="shared" si="440"/>
        <v>0</v>
      </c>
      <c r="AN576" s="41">
        <f t="shared" si="440"/>
        <v>0</v>
      </c>
      <c r="AO576" s="41">
        <f t="shared" si="440"/>
        <v>0</v>
      </c>
      <c r="AP576" s="41">
        <f t="shared" si="440"/>
        <v>0</v>
      </c>
      <c r="AQ576" s="41">
        <f t="shared" si="440"/>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40"/>
        <v>0</v>
      </c>
      <c r="AH577" s="41">
        <f t="shared" si="440"/>
        <v>0</v>
      </c>
      <c r="AI577" s="41">
        <f t="shared" si="440"/>
        <v>0</v>
      </c>
      <c r="AJ577" s="41">
        <f t="shared" si="440"/>
        <v>0</v>
      </c>
      <c r="AK577" s="41">
        <f t="shared" si="440"/>
        <v>0</v>
      </c>
      <c r="AL577" s="41">
        <f t="shared" si="440"/>
        <v>0</v>
      </c>
      <c r="AM577" s="41">
        <f t="shared" si="440"/>
        <v>0</v>
      </c>
      <c r="AN577" s="41">
        <f t="shared" si="440"/>
        <v>0</v>
      </c>
      <c r="AO577" s="41">
        <f t="shared" si="440"/>
        <v>0</v>
      </c>
      <c r="AP577" s="41">
        <f t="shared" si="440"/>
        <v>0</v>
      </c>
      <c r="AQ577" s="41">
        <f t="shared" si="440"/>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40"/>
        <v>0</v>
      </c>
      <c r="AH578" s="41">
        <f t="shared" si="440"/>
        <v>0</v>
      </c>
      <c r="AI578" s="41">
        <f t="shared" si="440"/>
        <v>0</v>
      </c>
      <c r="AJ578" s="41">
        <f t="shared" si="440"/>
        <v>0</v>
      </c>
      <c r="AK578" s="41">
        <f t="shared" si="440"/>
        <v>0</v>
      </c>
      <c r="AL578" s="41">
        <f t="shared" si="440"/>
        <v>0</v>
      </c>
      <c r="AM578" s="41">
        <f t="shared" si="440"/>
        <v>0</v>
      </c>
      <c r="AN578" s="41">
        <f t="shared" si="440"/>
        <v>0</v>
      </c>
      <c r="AO578" s="41">
        <f t="shared" si="440"/>
        <v>0</v>
      </c>
      <c r="AP578" s="41">
        <f t="shared" si="440"/>
        <v>0</v>
      </c>
      <c r="AQ578" s="41">
        <f t="shared" si="440"/>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40"/>
        <v>0</v>
      </c>
      <c r="AH579" s="41">
        <f t="shared" si="440"/>
        <v>0</v>
      </c>
      <c r="AI579" s="41">
        <f t="shared" si="440"/>
        <v>0</v>
      </c>
      <c r="AJ579" s="41">
        <f t="shared" si="440"/>
        <v>0</v>
      </c>
      <c r="AK579" s="41">
        <f t="shared" si="440"/>
        <v>0</v>
      </c>
      <c r="AL579" s="41">
        <f t="shared" si="440"/>
        <v>0</v>
      </c>
      <c r="AM579" s="41">
        <f t="shared" si="440"/>
        <v>0</v>
      </c>
      <c r="AN579" s="41">
        <f t="shared" si="440"/>
        <v>0</v>
      </c>
      <c r="AO579" s="41">
        <f t="shared" si="440"/>
        <v>0</v>
      </c>
      <c r="AP579" s="41">
        <f t="shared" si="440"/>
        <v>0</v>
      </c>
      <c r="AQ579" s="41">
        <f t="shared" si="440"/>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40"/>
        <v>0</v>
      </c>
      <c r="AH580" s="41">
        <f t="shared" si="440"/>
        <v>0</v>
      </c>
      <c r="AI580" s="41">
        <f t="shared" si="440"/>
        <v>0</v>
      </c>
      <c r="AJ580" s="41">
        <f t="shared" si="440"/>
        <v>0</v>
      </c>
      <c r="AK580" s="41">
        <f t="shared" si="440"/>
        <v>0</v>
      </c>
      <c r="AL580" s="41">
        <f t="shared" si="440"/>
        <v>0</v>
      </c>
      <c r="AM580" s="41">
        <f t="shared" si="440"/>
        <v>0</v>
      </c>
      <c r="AN580" s="41">
        <f t="shared" si="440"/>
        <v>0</v>
      </c>
      <c r="AO580" s="41">
        <f t="shared" si="440"/>
        <v>0</v>
      </c>
      <c r="AP580" s="41">
        <f t="shared" si="440"/>
        <v>0</v>
      </c>
      <c r="AQ580" s="41">
        <f t="shared" si="440"/>
        <v>0</v>
      </c>
      <c r="AR580" s="41"/>
      <c r="AS580" s="41"/>
      <c r="AT580" s="41"/>
      <c r="AU580" s="41"/>
    </row>
    <row r="581" spans="1:47" x14ac:dyDescent="0.25">
      <c r="A581" s="134"/>
      <c r="B581" s="134"/>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41">SUM(AG572:AG580)</f>
        <v>0</v>
      </c>
      <c r="AH581" s="41">
        <f t="shared" si="441"/>
        <v>0</v>
      </c>
      <c r="AI581" s="41">
        <f t="shared" si="441"/>
        <v>0</v>
      </c>
      <c r="AJ581" s="41">
        <f t="shared" si="441"/>
        <v>0</v>
      </c>
      <c r="AK581" s="41">
        <f t="shared" si="441"/>
        <v>0</v>
      </c>
      <c r="AL581" s="41">
        <f t="shared" si="441"/>
        <v>0</v>
      </c>
      <c r="AM581" s="41">
        <f t="shared" si="441"/>
        <v>0</v>
      </c>
      <c r="AN581" s="41">
        <f t="shared" si="441"/>
        <v>0</v>
      </c>
      <c r="AO581" s="41">
        <f t="shared" si="441"/>
        <v>0</v>
      </c>
      <c r="AP581" s="41">
        <f t="shared" si="441"/>
        <v>0</v>
      </c>
      <c r="AQ581" s="41">
        <f t="shared" si="441"/>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42">AF585+10</f>
        <v>10</v>
      </c>
      <c r="AH585" s="11">
        <f t="shared" si="442"/>
        <v>20</v>
      </c>
      <c r="AI585" s="11">
        <f t="shared" si="442"/>
        <v>30</v>
      </c>
      <c r="AJ585" s="11">
        <f t="shared" si="442"/>
        <v>40</v>
      </c>
      <c r="AK585" s="11">
        <f t="shared" si="442"/>
        <v>50</v>
      </c>
      <c r="AL585" s="11">
        <f t="shared" si="442"/>
        <v>60</v>
      </c>
      <c r="AM585" s="11">
        <f t="shared" si="442"/>
        <v>70</v>
      </c>
      <c r="AN585" s="11">
        <f t="shared" si="442"/>
        <v>80</v>
      </c>
      <c r="AO585" s="11">
        <f t="shared" si="442"/>
        <v>90</v>
      </c>
      <c r="AP585" s="11">
        <f t="shared" si="442"/>
        <v>100</v>
      </c>
      <c r="AQ585" s="11">
        <f t="shared" si="442"/>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3">AG585-$B$521</f>
        <v>10</v>
      </c>
      <c r="AH586" s="40">
        <f t="shared" si="443"/>
        <v>20</v>
      </c>
      <c r="AI586" s="40">
        <f t="shared" si="443"/>
        <v>30</v>
      </c>
      <c r="AJ586" s="40">
        <f t="shared" si="443"/>
        <v>40</v>
      </c>
      <c r="AK586" s="40">
        <f t="shared" si="443"/>
        <v>50</v>
      </c>
      <c r="AL586" s="40">
        <f t="shared" si="443"/>
        <v>60</v>
      </c>
      <c r="AM586" s="40">
        <f t="shared" si="443"/>
        <v>70</v>
      </c>
      <c r="AN586" s="40">
        <f t="shared" si="443"/>
        <v>80</v>
      </c>
      <c r="AO586" s="40">
        <f t="shared" si="443"/>
        <v>90</v>
      </c>
      <c r="AP586" s="40">
        <f t="shared" si="443"/>
        <v>100</v>
      </c>
      <c r="AQ586" s="40">
        <f t="shared" si="443"/>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4">$B587*AG$571^$A587</f>
        <v>0</v>
      </c>
      <c r="AH587" s="41">
        <f t="shared" si="444"/>
        <v>0</v>
      </c>
      <c r="AI587" s="41">
        <f t="shared" si="444"/>
        <v>0</v>
      </c>
      <c r="AJ587" s="41">
        <f t="shared" si="444"/>
        <v>0</v>
      </c>
      <c r="AK587" s="41">
        <f t="shared" si="444"/>
        <v>0</v>
      </c>
      <c r="AL587" s="41">
        <f t="shared" si="444"/>
        <v>0</v>
      </c>
      <c r="AM587" s="41">
        <f t="shared" si="444"/>
        <v>0</v>
      </c>
      <c r="AN587" s="41">
        <f t="shared" si="444"/>
        <v>0</v>
      </c>
      <c r="AO587" s="41">
        <f t="shared" si="444"/>
        <v>0</v>
      </c>
      <c r="AP587" s="41">
        <f t="shared" si="444"/>
        <v>0</v>
      </c>
      <c r="AQ587" s="41">
        <f t="shared" si="444"/>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4"/>
        <v>0</v>
      </c>
      <c r="AH588" s="41">
        <f t="shared" si="444"/>
        <v>0</v>
      </c>
      <c r="AI588" s="41">
        <f t="shared" si="444"/>
        <v>0</v>
      </c>
      <c r="AJ588" s="41">
        <f t="shared" si="444"/>
        <v>0</v>
      </c>
      <c r="AK588" s="41">
        <f t="shared" si="444"/>
        <v>0</v>
      </c>
      <c r="AL588" s="41">
        <f t="shared" si="444"/>
        <v>0</v>
      </c>
      <c r="AM588" s="41">
        <f t="shared" si="444"/>
        <v>0</v>
      </c>
      <c r="AN588" s="41">
        <f t="shared" si="444"/>
        <v>0</v>
      </c>
      <c r="AO588" s="41">
        <f t="shared" si="444"/>
        <v>0</v>
      </c>
      <c r="AP588" s="41">
        <f t="shared" si="444"/>
        <v>0</v>
      </c>
      <c r="AQ588" s="41">
        <f t="shared" si="444"/>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4"/>
        <v>0</v>
      </c>
      <c r="AH589" s="41">
        <f t="shared" si="444"/>
        <v>0</v>
      </c>
      <c r="AI589" s="41">
        <f t="shared" si="444"/>
        <v>0</v>
      </c>
      <c r="AJ589" s="41">
        <f t="shared" si="444"/>
        <v>0</v>
      </c>
      <c r="AK589" s="41">
        <f t="shared" si="444"/>
        <v>0</v>
      </c>
      <c r="AL589" s="41">
        <f t="shared" si="444"/>
        <v>0</v>
      </c>
      <c r="AM589" s="41">
        <f t="shared" si="444"/>
        <v>0</v>
      </c>
      <c r="AN589" s="41">
        <f t="shared" si="444"/>
        <v>0</v>
      </c>
      <c r="AO589" s="41">
        <f t="shared" si="444"/>
        <v>0</v>
      </c>
      <c r="AP589" s="41">
        <f t="shared" si="444"/>
        <v>0</v>
      </c>
      <c r="AQ589" s="41">
        <f t="shared" si="444"/>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4"/>
        <v>0</v>
      </c>
      <c r="AH590" s="41">
        <f t="shared" si="444"/>
        <v>0</v>
      </c>
      <c r="AI590" s="41">
        <f t="shared" si="444"/>
        <v>0</v>
      </c>
      <c r="AJ590" s="41">
        <f t="shared" si="444"/>
        <v>0</v>
      </c>
      <c r="AK590" s="41">
        <f t="shared" si="444"/>
        <v>0</v>
      </c>
      <c r="AL590" s="41">
        <f t="shared" si="444"/>
        <v>0</v>
      </c>
      <c r="AM590" s="41">
        <f t="shared" si="444"/>
        <v>0</v>
      </c>
      <c r="AN590" s="41">
        <f t="shared" si="444"/>
        <v>0</v>
      </c>
      <c r="AO590" s="41">
        <f t="shared" si="444"/>
        <v>0</v>
      </c>
      <c r="AP590" s="41">
        <f t="shared" si="444"/>
        <v>0</v>
      </c>
      <c r="AQ590" s="41">
        <f t="shared" si="444"/>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4"/>
        <v>0</v>
      </c>
      <c r="AH591" s="41">
        <f t="shared" si="444"/>
        <v>0</v>
      </c>
      <c r="AI591" s="41">
        <f t="shared" si="444"/>
        <v>0</v>
      </c>
      <c r="AJ591" s="41">
        <f t="shared" si="444"/>
        <v>0</v>
      </c>
      <c r="AK591" s="41">
        <f t="shared" si="444"/>
        <v>0</v>
      </c>
      <c r="AL591" s="41">
        <f t="shared" si="444"/>
        <v>0</v>
      </c>
      <c r="AM591" s="41">
        <f t="shared" si="444"/>
        <v>0</v>
      </c>
      <c r="AN591" s="41">
        <f t="shared" si="444"/>
        <v>0</v>
      </c>
      <c r="AO591" s="41">
        <f t="shared" si="444"/>
        <v>0</v>
      </c>
      <c r="AP591" s="41">
        <f t="shared" si="444"/>
        <v>0</v>
      </c>
      <c r="AQ591" s="41">
        <f t="shared" si="444"/>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4"/>
        <v>0</v>
      </c>
      <c r="AH592" s="41">
        <f t="shared" si="444"/>
        <v>0</v>
      </c>
      <c r="AI592" s="41">
        <f t="shared" si="444"/>
        <v>0</v>
      </c>
      <c r="AJ592" s="41">
        <f t="shared" si="444"/>
        <v>0</v>
      </c>
      <c r="AK592" s="41">
        <f t="shared" si="444"/>
        <v>0</v>
      </c>
      <c r="AL592" s="41">
        <f t="shared" si="444"/>
        <v>0</v>
      </c>
      <c r="AM592" s="41">
        <f t="shared" si="444"/>
        <v>0</v>
      </c>
      <c r="AN592" s="41">
        <f t="shared" si="444"/>
        <v>0</v>
      </c>
      <c r="AO592" s="41">
        <f t="shared" si="444"/>
        <v>0</v>
      </c>
      <c r="AP592" s="41">
        <f t="shared" si="444"/>
        <v>0</v>
      </c>
      <c r="AQ592" s="41">
        <f t="shared" si="444"/>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4"/>
        <v>0</v>
      </c>
      <c r="AH593" s="41">
        <f t="shared" si="444"/>
        <v>0</v>
      </c>
      <c r="AI593" s="41">
        <f t="shared" si="444"/>
        <v>0</v>
      </c>
      <c r="AJ593" s="41">
        <f t="shared" si="444"/>
        <v>0</v>
      </c>
      <c r="AK593" s="41">
        <f t="shared" si="444"/>
        <v>0</v>
      </c>
      <c r="AL593" s="41">
        <f t="shared" si="444"/>
        <v>0</v>
      </c>
      <c r="AM593" s="41">
        <f t="shared" si="444"/>
        <v>0</v>
      </c>
      <c r="AN593" s="41">
        <f t="shared" si="444"/>
        <v>0</v>
      </c>
      <c r="AO593" s="41">
        <f t="shared" si="444"/>
        <v>0</v>
      </c>
      <c r="AP593" s="41">
        <f t="shared" si="444"/>
        <v>0</v>
      </c>
      <c r="AQ593" s="41">
        <f t="shared" si="444"/>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4"/>
        <v>0</v>
      </c>
      <c r="AH594" s="41">
        <f t="shared" si="444"/>
        <v>0</v>
      </c>
      <c r="AI594" s="41">
        <f t="shared" si="444"/>
        <v>0</v>
      </c>
      <c r="AJ594" s="41">
        <f t="shared" si="444"/>
        <v>0</v>
      </c>
      <c r="AK594" s="41">
        <f t="shared" si="444"/>
        <v>0</v>
      </c>
      <c r="AL594" s="41">
        <f t="shared" si="444"/>
        <v>0</v>
      </c>
      <c r="AM594" s="41">
        <f t="shared" si="444"/>
        <v>0</v>
      </c>
      <c r="AN594" s="41">
        <f t="shared" si="444"/>
        <v>0</v>
      </c>
      <c r="AO594" s="41">
        <f t="shared" si="444"/>
        <v>0</v>
      </c>
      <c r="AP594" s="41">
        <f t="shared" si="444"/>
        <v>0</v>
      </c>
      <c r="AQ594" s="41">
        <f t="shared" si="444"/>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4"/>
        <v>0</v>
      </c>
      <c r="AH595" s="41">
        <f t="shared" si="444"/>
        <v>0</v>
      </c>
      <c r="AI595" s="41">
        <f t="shared" si="444"/>
        <v>0</v>
      </c>
      <c r="AJ595" s="41">
        <f t="shared" si="444"/>
        <v>0</v>
      </c>
      <c r="AK595" s="41">
        <f t="shared" si="444"/>
        <v>0</v>
      </c>
      <c r="AL595" s="41">
        <f t="shared" si="444"/>
        <v>0</v>
      </c>
      <c r="AM595" s="41">
        <f t="shared" si="444"/>
        <v>0</v>
      </c>
      <c r="AN595" s="41">
        <f t="shared" si="444"/>
        <v>0</v>
      </c>
      <c r="AO595" s="41">
        <f t="shared" si="444"/>
        <v>0</v>
      </c>
      <c r="AP595" s="41">
        <f t="shared" si="444"/>
        <v>0</v>
      </c>
      <c r="AQ595" s="41">
        <f t="shared" si="444"/>
        <v>0</v>
      </c>
    </row>
    <row r="596" spans="1:43" x14ac:dyDescent="0.25">
      <c r="A596" s="134"/>
      <c r="B596" s="134"/>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5">SUM(AG587:AG595)</f>
        <v>0</v>
      </c>
      <c r="AH596" s="41">
        <f t="shared" si="445"/>
        <v>0</v>
      </c>
      <c r="AI596" s="41">
        <f t="shared" si="445"/>
        <v>0</v>
      </c>
      <c r="AJ596" s="41">
        <f t="shared" si="445"/>
        <v>0</v>
      </c>
      <c r="AK596" s="41">
        <f t="shared" si="445"/>
        <v>0</v>
      </c>
      <c r="AL596" s="41">
        <f t="shared" si="445"/>
        <v>0</v>
      </c>
      <c r="AM596" s="41">
        <f t="shared" si="445"/>
        <v>0</v>
      </c>
      <c r="AN596" s="41">
        <f t="shared" si="445"/>
        <v>0</v>
      </c>
      <c r="AO596" s="41">
        <f t="shared" si="445"/>
        <v>0</v>
      </c>
      <c r="AP596" s="41">
        <f t="shared" si="445"/>
        <v>0</v>
      </c>
      <c r="AQ596" s="41">
        <f t="shared" si="445"/>
        <v>0</v>
      </c>
    </row>
    <row r="597" spans="1:43" x14ac:dyDescent="0.25">
      <c r="A597" s="129"/>
      <c r="B597" s="129"/>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6">(AG581-AG596)^2</f>
        <v>0</v>
      </c>
      <c r="AH597" s="41">
        <f t="shared" si="446"/>
        <v>0</v>
      </c>
      <c r="AI597" s="41">
        <f t="shared" si="446"/>
        <v>0</v>
      </c>
      <c r="AJ597" s="41">
        <f t="shared" si="446"/>
        <v>0</v>
      </c>
      <c r="AK597" s="41">
        <f t="shared" si="446"/>
        <v>0</v>
      </c>
      <c r="AL597" s="41">
        <f t="shared" si="446"/>
        <v>0</v>
      </c>
      <c r="AM597" s="41">
        <f t="shared" si="446"/>
        <v>0</v>
      </c>
      <c r="AN597" s="41">
        <f t="shared" si="446"/>
        <v>0</v>
      </c>
      <c r="AO597" s="41">
        <f t="shared" si="446"/>
        <v>0</v>
      </c>
      <c r="AP597" s="41">
        <f t="shared" si="446"/>
        <v>0</v>
      </c>
      <c r="AQ597" s="41">
        <f t="shared" si="446"/>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29"/>
      <c r="B626" s="129"/>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29"/>
      <c r="B627" s="129"/>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34"/>
      <c r="B650" s="134"/>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29"/>
      <c r="B651" s="129"/>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29"/>
      <c r="B652" s="129"/>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29"/>
      <c r="B653" s="129"/>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29"/>
      <c r="B654" s="129"/>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J152"/>
  <sheetViews>
    <sheetView tabSelected="1" topLeftCell="A128" zoomScale="110" zoomScaleNormal="110" workbookViewId="0">
      <selection activeCell="B110" sqref="B110"/>
    </sheetView>
  </sheetViews>
  <sheetFormatPr baseColWidth="10" defaultRowHeight="15" x14ac:dyDescent="0.25"/>
  <sheetData>
    <row r="1" spans="1:17" x14ac:dyDescent="0.25">
      <c r="A1">
        <f>'Mastercurve bestimmen'!D436</f>
        <v>11</v>
      </c>
      <c r="C1" t="str">
        <f>'Mastercurve bestimmen'!A436</f>
        <v>Intervall: +-</v>
      </c>
      <c r="D1" s="102">
        <v>5</v>
      </c>
    </row>
    <row r="3" spans="1:17" x14ac:dyDescent="0.25">
      <c r="A3" s="117"/>
      <c r="B3" s="117"/>
      <c r="C3" s="117"/>
      <c r="D3" s="117"/>
      <c r="E3" s="117"/>
      <c r="F3" s="117"/>
      <c r="G3" s="117"/>
      <c r="H3" s="117"/>
      <c r="I3" s="118"/>
      <c r="J3" s="118"/>
      <c r="K3" s="118"/>
      <c r="L3" s="118"/>
      <c r="M3" s="118"/>
      <c r="N3" s="118"/>
      <c r="O3" s="118"/>
      <c r="P3" s="118"/>
    </row>
    <row r="4" spans="1:17" x14ac:dyDescent="0.25">
      <c r="A4" s="10">
        <f>LOG10('Mastercurve bestimmen'!A438)</f>
        <v>-5</v>
      </c>
      <c r="B4" s="10">
        <f>LOG10('Mastercurve bestimmen'!B438)</f>
        <v>-14.463957319922839</v>
      </c>
      <c r="C4" s="10">
        <f>LOG10('Mastercurve bestimmen'!C438)</f>
        <v>-10.697718519362628</v>
      </c>
      <c r="D4" s="10">
        <f>LOG10('Mastercurve bestimmen'!D438)</f>
        <v>-8.7747183593199232</v>
      </c>
      <c r="E4" s="10">
        <f>LOG10('Mastercurve bestimmen'!E438)</f>
        <v>-7.0638099437758379</v>
      </c>
      <c r="F4" s="10">
        <f>LOG10('Mastercurve bestimmen'!F438)</f>
        <v>-5</v>
      </c>
      <c r="G4" s="10">
        <f>LOG10('Mastercurve bestimmen'!G438)</f>
        <v>0.3954820797011448</v>
      </c>
      <c r="H4" s="10">
        <f>LOG10('Mastercurve bestimmen'!H438)</f>
        <v>6.2403089725781378</v>
      </c>
      <c r="I4" s="3">
        <f>'Mastercurve bestimmen'!I438</f>
        <v>1.0000000000000001E-5</v>
      </c>
      <c r="J4" s="3">
        <f>'Mastercurve bestimmen'!J438</f>
        <v>7093.1198391270691</v>
      </c>
      <c r="K4" s="3">
        <f>'Mastercurve bestimmen'!K438</f>
        <v>6659.4311503256295</v>
      </c>
      <c r="L4" s="3">
        <f>'Mastercurve bestimmen'!L438</f>
        <v>6273.617616065887</v>
      </c>
      <c r="M4" s="3">
        <f>'Mastercurve bestimmen'!M438</f>
        <v>5884.895018012654</v>
      </c>
      <c r="N4" s="3">
        <f>'Mastercurve bestimmen'!N438</f>
        <v>5316.0543139142828</v>
      </c>
      <c r="O4" s="3">
        <f>'Mastercurve bestimmen'!O438</f>
        <v>3842.8247437350828</v>
      </c>
      <c r="P4" s="3">
        <f>'Mastercurve bestimmen'!P438</f>
        <v>1948.7143373862357</v>
      </c>
      <c r="Q4" s="3"/>
    </row>
    <row r="5" spans="1:17" x14ac:dyDescent="0.25">
      <c r="A5" s="10">
        <f>LOG10('Mastercurve bestimmen'!A439)</f>
        <v>-4</v>
      </c>
      <c r="B5" s="10">
        <f>LOG10('Mastercurve bestimmen'!B439)</f>
        <v>-13.463957319922839</v>
      </c>
      <c r="C5" s="10">
        <f>LOG10('Mastercurve bestimmen'!C439)</f>
        <v>-9.6977185193626276</v>
      </c>
      <c r="D5" s="10">
        <f>LOG10('Mastercurve bestimmen'!D439)</f>
        <v>-7.7747183593199232</v>
      </c>
      <c r="E5" s="10">
        <f>LOG10('Mastercurve bestimmen'!E439)</f>
        <v>-6.0638099437758379</v>
      </c>
      <c r="F5" s="10">
        <f>LOG10('Mastercurve bestimmen'!F439)</f>
        <v>-4</v>
      </c>
      <c r="G5" s="10">
        <f>LOG10('Mastercurve bestimmen'!G439)</f>
        <v>1.3954820797011449</v>
      </c>
      <c r="H5" s="10">
        <f>LOG10('Mastercurve bestimmen'!H439)</f>
        <v>7.2403089725781378</v>
      </c>
      <c r="I5" s="3">
        <f>'Mastercurve bestimmen'!I439</f>
        <v>1E-4</v>
      </c>
      <c r="J5" s="3">
        <f>'Mastercurve bestimmen'!J439</f>
        <v>7092.9771274266232</v>
      </c>
      <c r="K5" s="3">
        <f>'Mastercurve bestimmen'!K439</f>
        <v>6544.645454565718</v>
      </c>
      <c r="L5" s="3">
        <f>'Mastercurve bestimmen'!L439</f>
        <v>6123.1895749079549</v>
      </c>
      <c r="M5" s="3">
        <f>'Mastercurve bestimmen'!M439</f>
        <v>5709.3519393565812</v>
      </c>
      <c r="N5" s="3">
        <f>'Mastercurve bestimmen'!N439</f>
        <v>5094.9618199282804</v>
      </c>
      <c r="O5" s="3">
        <f>'Mastercurve bestimmen'!O439</f>
        <v>3637.9090125528774</v>
      </c>
      <c r="P5" s="3">
        <f>'Mastercurve bestimmen'!P439</f>
        <v>1482.8611668944652</v>
      </c>
    </row>
    <row r="6" spans="1:17" x14ac:dyDescent="0.25">
      <c r="A6" s="10">
        <f>LOG10('Mastercurve bestimmen'!A440)</f>
        <v>-3</v>
      </c>
      <c r="B6" s="10">
        <f>LOG10('Mastercurve bestimmen'!B440)</f>
        <v>-12.463957319922839</v>
      </c>
      <c r="C6" s="10">
        <f>LOG10('Mastercurve bestimmen'!C440)</f>
        <v>-8.6977185193626276</v>
      </c>
      <c r="D6" s="10">
        <f>LOG10('Mastercurve bestimmen'!D440)</f>
        <v>-6.7747183593199232</v>
      </c>
      <c r="E6" s="10">
        <f>LOG10('Mastercurve bestimmen'!E440)</f>
        <v>-5.0638099437758379</v>
      </c>
      <c r="F6" s="10">
        <f>LOG10('Mastercurve bestimmen'!F440)</f>
        <v>-3</v>
      </c>
      <c r="G6" s="10">
        <f>LOG10('Mastercurve bestimmen'!G440)</f>
        <v>2.3954820797011447</v>
      </c>
      <c r="H6" s="10">
        <f>LOG10('Mastercurve bestimmen'!H440)</f>
        <v>8.2403089725781378</v>
      </c>
      <c r="I6" s="3">
        <f>'Mastercurve bestimmen'!I440</f>
        <v>1E-3</v>
      </c>
      <c r="J6" s="3">
        <f>'Mastercurve bestimmen'!J440</f>
        <v>7091.5625107943715</v>
      </c>
      <c r="K6" s="3">
        <f>'Mastercurve bestimmen'!K440</f>
        <v>6415.8365900058752</v>
      </c>
      <c r="L6" s="3">
        <f>'Mastercurve bestimmen'!L440</f>
        <v>5959.0875608576071</v>
      </c>
      <c r="M6" s="3">
        <f>'Mastercurve bestimmen'!M440</f>
        <v>5547.9132434192643</v>
      </c>
      <c r="N6" s="3">
        <f>'Mastercurve bestimmen'!N440</f>
        <v>4859.6753740182503</v>
      </c>
      <c r="O6" s="3">
        <f>'Mastercurve bestimmen'!O440</f>
        <v>3407.0475124340101</v>
      </c>
      <c r="P6" s="3">
        <f>'Mastercurve bestimmen'!P440</f>
        <v>1064.7698916660522</v>
      </c>
    </row>
    <row r="7" spans="1:17" x14ac:dyDescent="0.25">
      <c r="A7" s="10">
        <f>LOG10('Mastercurve bestimmen'!A441)</f>
        <v>-2</v>
      </c>
      <c r="B7" s="10">
        <f>LOG10('Mastercurve bestimmen'!B441)</f>
        <v>-11.463957319922839</v>
      </c>
      <c r="C7" s="10">
        <f>LOG10('Mastercurve bestimmen'!C441)</f>
        <v>-7.6977185193626285</v>
      </c>
      <c r="D7" s="10">
        <f>LOG10('Mastercurve bestimmen'!D441)</f>
        <v>-5.7747183593199232</v>
      </c>
      <c r="E7" s="10">
        <f>LOG10('Mastercurve bestimmen'!E441)</f>
        <v>-4.0638099437758379</v>
      </c>
      <c r="F7" s="10">
        <f>LOG10('Mastercurve bestimmen'!F441)</f>
        <v>-2</v>
      </c>
      <c r="G7" s="10">
        <f>LOG10('Mastercurve bestimmen'!G441)</f>
        <v>3.3954820797011447</v>
      </c>
      <c r="H7" s="10">
        <f>LOG10('Mastercurve bestimmen'!H441)</f>
        <v>9.2403089725781378</v>
      </c>
      <c r="I7" s="3">
        <f>'Mastercurve bestimmen'!I441</f>
        <v>0.01</v>
      </c>
      <c r="J7" s="3">
        <f>'Mastercurve bestimmen'!J441</f>
        <v>7078.0585854387473</v>
      </c>
      <c r="K7" s="3">
        <f>'Mastercurve bestimmen'!K441</f>
        <v>6279.1797519689544</v>
      </c>
      <c r="L7" s="3">
        <f>'Mastercurve bestimmen'!L441</f>
        <v>5781.2083401997561</v>
      </c>
      <c r="M7" s="3">
        <f>'Mastercurve bestimmen'!M441</f>
        <v>5364.2356794540465</v>
      </c>
      <c r="N7" s="3">
        <f>'Mastercurve bestimmen'!N441</f>
        <v>4653.8175879978271</v>
      </c>
      <c r="O7" s="3">
        <f>'Mastercurve bestimmen'!O441</f>
        <v>3145.7192687287707</v>
      </c>
      <c r="P7" s="3">
        <f>'Mastercurve bestimmen'!P441</f>
        <v>756.04671038027936</v>
      </c>
    </row>
    <row r="8" spans="1:17" x14ac:dyDescent="0.25">
      <c r="A8" s="10">
        <f>LOG10('Mastercurve bestimmen'!A442)</f>
        <v>-1</v>
      </c>
      <c r="B8" s="10">
        <f>LOG10('Mastercurve bestimmen'!B442)</f>
        <v>-10.463957319922839</v>
      </c>
      <c r="C8" s="10">
        <f>LOG10('Mastercurve bestimmen'!C442)</f>
        <v>-6.6977185193626285</v>
      </c>
      <c r="D8" s="10">
        <f>LOG10('Mastercurve bestimmen'!D442)</f>
        <v>-4.7747183593199232</v>
      </c>
      <c r="E8" s="10">
        <f>LOG10('Mastercurve bestimmen'!E442)</f>
        <v>-3.0638099437758384</v>
      </c>
      <c r="F8" s="10">
        <f>LOG10('Mastercurve bestimmen'!F442)</f>
        <v>-1</v>
      </c>
      <c r="G8" s="10">
        <f>LOG10('Mastercurve bestimmen'!G442)</f>
        <v>4.3954820797011447</v>
      </c>
      <c r="H8" s="10">
        <f>LOG10('Mastercurve bestimmen'!H442)</f>
        <v>10.240308972578138</v>
      </c>
      <c r="I8" s="3">
        <f>'Mastercurve bestimmen'!I442</f>
        <v>0.1</v>
      </c>
      <c r="J8" s="3">
        <f>'Mastercurve bestimmen'!J442</f>
        <v>6980.1771345591078</v>
      </c>
      <c r="K8" s="3">
        <f>'Mastercurve bestimmen'!K442</f>
        <v>6124.6018825038309</v>
      </c>
      <c r="L8" s="3">
        <f>'Mastercurve bestimmen'!L442</f>
        <v>5618.3452185734377</v>
      </c>
      <c r="M8" s="3">
        <f>'Mastercurve bestimmen'!M442</f>
        <v>5142.9380897638539</v>
      </c>
      <c r="N8" s="3">
        <f>'Mastercurve bestimmen'!N442</f>
        <v>4469.1753341299773</v>
      </c>
      <c r="O8" s="3">
        <f>'Mastercurve bestimmen'!O442</f>
        <v>2837.9758401657195</v>
      </c>
      <c r="P8" s="3">
        <f>'Mastercurve bestimmen'!P442</f>
        <v>574.27764486440731</v>
      </c>
    </row>
    <row r="9" spans="1:17" x14ac:dyDescent="0.25">
      <c r="A9" s="10">
        <f>LOG10('Mastercurve bestimmen'!A443)</f>
        <v>0</v>
      </c>
      <c r="B9" s="10">
        <f>LOG10('Mastercurve bestimmen'!B443)</f>
        <v>-9.4639573199228391</v>
      </c>
      <c r="C9" s="10">
        <f>LOG10('Mastercurve bestimmen'!C443)</f>
        <v>-5.6977185193626285</v>
      </c>
      <c r="D9" s="10">
        <f>LOG10('Mastercurve bestimmen'!D443)</f>
        <v>-3.7747183593199227</v>
      </c>
      <c r="E9" s="10">
        <f>LOG10('Mastercurve bestimmen'!E443)</f>
        <v>-2.0638099437758384</v>
      </c>
      <c r="F9" s="10">
        <f>LOG10('Mastercurve bestimmen'!F443)</f>
        <v>0</v>
      </c>
      <c r="G9" s="10">
        <f>LOG10('Mastercurve bestimmen'!G443)</f>
        <v>5.3954820797011447</v>
      </c>
      <c r="H9" s="10">
        <f>LOG10('Mastercurve bestimmen'!H443)</f>
        <v>11.240308972578138</v>
      </c>
      <c r="I9" s="3">
        <f>'Mastercurve bestimmen'!I443</f>
        <v>1</v>
      </c>
      <c r="J9" s="3">
        <f>'Mastercurve bestimmen'!J443</f>
        <v>6817.7458366168885</v>
      </c>
      <c r="K9" s="3">
        <f>'Mastercurve bestimmen'!K443</f>
        <v>5956.8287989294422</v>
      </c>
      <c r="L9" s="3">
        <f>'Mastercurve bestimmen'!L443</f>
        <v>5440.9922001853329</v>
      </c>
      <c r="M9" s="3">
        <f>'Mastercurve bestimmen'!M443</f>
        <v>4901.2536857987861</v>
      </c>
      <c r="N9" s="3">
        <f>'Mastercurve bestimmen'!N443</f>
        <v>4267.9652571239076</v>
      </c>
      <c r="O9" s="3">
        <f>'Mastercurve bestimmen'!O443</f>
        <v>2426.1662837806571</v>
      </c>
      <c r="P9" s="3">
        <f>'Mastercurve bestimmen'!P443</f>
        <v>472.36033693576201</v>
      </c>
    </row>
    <row r="10" spans="1:17" x14ac:dyDescent="0.25">
      <c r="A10" s="10">
        <f>LOG10('Mastercurve bestimmen'!A444)</f>
        <v>1</v>
      </c>
      <c r="B10" s="10">
        <f>LOG10('Mastercurve bestimmen'!B444)</f>
        <v>-8.4639573199228391</v>
      </c>
      <c r="C10" s="10">
        <f>LOG10('Mastercurve bestimmen'!C444)</f>
        <v>-4.6977185193626285</v>
      </c>
      <c r="D10" s="10">
        <f>LOG10('Mastercurve bestimmen'!D444)</f>
        <v>-2.7747183593199227</v>
      </c>
      <c r="E10" s="10">
        <f>LOG10('Mastercurve bestimmen'!E444)</f>
        <v>-1.0638099437758382</v>
      </c>
      <c r="F10" s="10">
        <f>LOG10('Mastercurve bestimmen'!F444)</f>
        <v>1</v>
      </c>
      <c r="G10" s="10">
        <f>LOG10('Mastercurve bestimmen'!G444)</f>
        <v>6.3954820797011447</v>
      </c>
      <c r="H10" s="10">
        <f>LOG10('Mastercurve bestimmen'!H444)</f>
        <v>12.240308972578138</v>
      </c>
      <c r="I10" s="3">
        <f>'Mastercurve bestimmen'!I444</f>
        <v>10</v>
      </c>
      <c r="J10" s="3">
        <f>'Mastercurve bestimmen'!J444</f>
        <v>6700.2000319833087</v>
      </c>
      <c r="K10" s="3">
        <f>'Mastercurve bestimmen'!K444</f>
        <v>5777.56401011038</v>
      </c>
      <c r="L10" s="3">
        <f>'Mastercurve bestimmen'!L444</f>
        <v>5221.4874412485688</v>
      </c>
      <c r="M10" s="3">
        <f>'Mastercurve bestimmen'!M444</f>
        <v>4661.3568218837227</v>
      </c>
      <c r="N10" s="3">
        <f>'Mastercurve bestimmen'!N444</f>
        <v>3976.7785402340392</v>
      </c>
      <c r="O10" s="3">
        <f>'Mastercurve bestimmen'!O444</f>
        <v>1854.808278855141</v>
      </c>
      <c r="P10" s="3">
        <f>'Mastercurve bestimmen'!P444</f>
        <v>404.76609252146119</v>
      </c>
    </row>
    <row r="11" spans="1:17" x14ac:dyDescent="0.25">
      <c r="A11" s="10">
        <f>LOG10('Mastercurve bestimmen'!A445)</f>
        <v>2</v>
      </c>
      <c r="B11" s="10">
        <f>LOG10('Mastercurve bestimmen'!B445)</f>
        <v>-7.4639573199228391</v>
      </c>
      <c r="C11" s="10">
        <f>LOG10('Mastercurve bestimmen'!C445)</f>
        <v>-3.6977185193626285</v>
      </c>
      <c r="D11" s="10">
        <f>LOG10('Mastercurve bestimmen'!D445)</f>
        <v>-1.7747183593199229</v>
      </c>
      <c r="E11" s="10">
        <f>LOG10('Mastercurve bestimmen'!E445)</f>
        <v>-6.3809943775838235E-2</v>
      </c>
      <c r="F11" s="10">
        <f>LOG10('Mastercurve bestimmen'!F445)</f>
        <v>2</v>
      </c>
      <c r="G11" s="10">
        <f>LOG10('Mastercurve bestimmen'!G445)</f>
        <v>7.3954820797011447</v>
      </c>
      <c r="H11" s="10">
        <f>LOG10('Mastercurve bestimmen'!H445)</f>
        <v>13.240308972578138</v>
      </c>
      <c r="I11" s="3">
        <f>'Mastercurve bestimmen'!I445</f>
        <v>100</v>
      </c>
      <c r="J11" s="3">
        <f>'Mastercurve bestimmen'!J445</f>
        <v>6581.4875752007347</v>
      </c>
      <c r="K11" s="3">
        <f>'Mastercurve bestimmen'!K445</f>
        <v>5602.1564627366897</v>
      </c>
      <c r="L11" s="3">
        <f>'Mastercurve bestimmen'!L445</f>
        <v>4926.1795387850607</v>
      </c>
      <c r="M11" s="3">
        <f>'Mastercurve bestimmen'!M445</f>
        <v>4298.6774546472579</v>
      </c>
      <c r="N11" s="3">
        <f>'Mastercurve bestimmen'!N445</f>
        <v>3445.6591436468279</v>
      </c>
      <c r="O11" s="3">
        <f>'Mastercurve bestimmen'!O445</f>
        <v>1269.173844412863</v>
      </c>
      <c r="P11" s="3">
        <f>'Mastercurve bestimmen'!P445</f>
        <v>332.62382454066642</v>
      </c>
    </row>
    <row r="12" spans="1:17" x14ac:dyDescent="0.25">
      <c r="A12" s="10">
        <f>LOG10('Mastercurve bestimmen'!A446)</f>
        <v>3</v>
      </c>
      <c r="B12" s="10">
        <f>LOG10('Mastercurve bestimmen'!B446)</f>
        <v>-6.4639573199228391</v>
      </c>
      <c r="C12" s="10">
        <f>LOG10('Mastercurve bestimmen'!C446)</f>
        <v>-2.6977185193626285</v>
      </c>
      <c r="D12" s="10">
        <f>LOG10('Mastercurve bestimmen'!D446)</f>
        <v>-0.77471835931992294</v>
      </c>
      <c r="E12" s="10">
        <f>LOG10('Mastercurve bestimmen'!E446)</f>
        <v>0.93619005622416174</v>
      </c>
      <c r="F12" s="10">
        <f>LOG10('Mastercurve bestimmen'!F446)</f>
        <v>3</v>
      </c>
      <c r="G12" s="10">
        <f>LOG10('Mastercurve bestimmen'!G446)</f>
        <v>8.3954820797011447</v>
      </c>
      <c r="H12" s="10">
        <f>LOG10('Mastercurve bestimmen'!H446)</f>
        <v>14.240308972578138</v>
      </c>
      <c r="I12" s="3">
        <f>'Mastercurve bestimmen'!I446</f>
        <v>1000</v>
      </c>
      <c r="J12" s="3">
        <f>'Mastercurve bestimmen'!J446</f>
        <v>6449.3747740231202</v>
      </c>
      <c r="K12" s="3">
        <f>'Mastercurve bestimmen'!K446</f>
        <v>5348.811853446321</v>
      </c>
      <c r="L12" s="3">
        <f>'Mastercurve bestimmen'!L446</f>
        <v>4442.9821588725517</v>
      </c>
      <c r="M12" s="3">
        <f>'Mastercurve bestimmen'!M446</f>
        <v>3673.7236771243274</v>
      </c>
      <c r="N12" s="3">
        <f>'Mastercurve bestimmen'!N446</f>
        <v>2839.3657389117534</v>
      </c>
      <c r="O12" s="3">
        <f>'Mastercurve bestimmen'!O446</f>
        <v>808.20803145416335</v>
      </c>
      <c r="P12" s="3">
        <f>'Mastercurve bestimmen'!P446</f>
        <v>270.11210763785351</v>
      </c>
    </row>
    <row r="13" spans="1:17" x14ac:dyDescent="0.25">
      <c r="A13" s="10">
        <f>LOG10('Mastercurve bestimmen'!A447)</f>
        <v>4</v>
      </c>
      <c r="B13" s="10">
        <f>LOG10('Mastercurve bestimmen'!B447)</f>
        <v>-5.4639573199228391</v>
      </c>
      <c r="C13" s="10">
        <f>LOG10('Mastercurve bestimmen'!C447)</f>
        <v>-1.6977185193626283</v>
      </c>
      <c r="D13" s="10">
        <f>LOG10('Mastercurve bestimmen'!D447)</f>
        <v>0.22528164068007708</v>
      </c>
      <c r="E13" s="10">
        <f>LOG10('Mastercurve bestimmen'!E447)</f>
        <v>1.9361900562241618</v>
      </c>
      <c r="F13" s="10">
        <f>LOG10('Mastercurve bestimmen'!F447)</f>
        <v>4</v>
      </c>
      <c r="G13" s="10">
        <f>LOG10('Mastercurve bestimmen'!G447)</f>
        <v>9.3954820797011447</v>
      </c>
      <c r="H13" s="10">
        <f>LOG10('Mastercurve bestimmen'!H447)</f>
        <v>15.240308972578138</v>
      </c>
      <c r="I13" s="3">
        <f>'Mastercurve bestimmen'!I447</f>
        <v>10000</v>
      </c>
      <c r="J13" s="3">
        <f>'Mastercurve bestimmen'!J447</f>
        <v>6289.3605252793404</v>
      </c>
      <c r="K13" s="3">
        <f>'Mastercurve bestimmen'!K447</f>
        <v>4793.3449045957559</v>
      </c>
      <c r="L13" s="3">
        <f>'Mastercurve bestimmen'!L447</f>
        <v>3752.7744100380223</v>
      </c>
      <c r="M13" s="3">
        <f>'Mastercurve bestimmen'!M447</f>
        <v>3055.9581241953465</v>
      </c>
      <c r="N13" s="3">
        <f>'Mastercurve bestimmen'!N447</f>
        <v>2338.5721090290958</v>
      </c>
      <c r="O13" s="3">
        <f>'Mastercurve bestimmen'!O447</f>
        <v>509.02880387480866</v>
      </c>
      <c r="P13" s="3">
        <f>'Mastercurve bestimmen'!P447</f>
        <v>230.23496622900356</v>
      </c>
    </row>
    <row r="14" spans="1:17" x14ac:dyDescent="0.25">
      <c r="A14" s="10">
        <f>LOG10('Mastercurve bestimmen'!A448)</f>
        <v>5</v>
      </c>
      <c r="B14" s="10">
        <f>LOG10('Mastercurve bestimmen'!B448)</f>
        <v>-4.4639573199228391</v>
      </c>
      <c r="C14" s="10">
        <f>LOG10('Mastercurve bestimmen'!C448)</f>
        <v>-0.69771851936262841</v>
      </c>
      <c r="D14" s="10">
        <f>LOG10('Mastercurve bestimmen'!D448)</f>
        <v>1.2252816406800771</v>
      </c>
      <c r="E14" s="10">
        <f>LOG10('Mastercurve bestimmen'!E448)</f>
        <v>2.9361900562241616</v>
      </c>
      <c r="F14" s="10">
        <f>LOG10('Mastercurve bestimmen'!F448)</f>
        <v>5</v>
      </c>
      <c r="G14" s="10">
        <f>LOG10('Mastercurve bestimmen'!G448)</f>
        <v>10.395482079701145</v>
      </c>
      <c r="H14" s="10">
        <f>LOG10('Mastercurve bestimmen'!H448)</f>
        <v>16.240308972578138</v>
      </c>
      <c r="I14" s="3">
        <f>'Mastercurve bestimmen'!I448</f>
        <v>100000</v>
      </c>
      <c r="J14" s="3">
        <f>'Mastercurve bestimmen'!J448</f>
        <v>6015.8011652173718</v>
      </c>
      <c r="K14" s="3">
        <f>'Mastercurve bestimmen'!K448</f>
        <v>4005.8829435497059</v>
      </c>
      <c r="L14" s="3">
        <f>'Mastercurve bestimmen'!L448</f>
        <v>3130.6377978974938</v>
      </c>
      <c r="M14" s="3">
        <f>'Mastercurve bestimmen'!M448</f>
        <v>2586.4007874245467</v>
      </c>
      <c r="N14" s="3">
        <f>'Mastercurve bestimmen'!N448</f>
        <v>1960.3272335044344</v>
      </c>
      <c r="O14" s="3">
        <f>'Mastercurve bestimmen'!O448</f>
        <v>344.05387649356049</v>
      </c>
      <c r="P14" s="3">
        <f>'Mastercurve bestimmen'!P448</f>
        <v>198.97748766430533</v>
      </c>
    </row>
    <row r="15" spans="1:17" x14ac:dyDescent="0.25">
      <c r="A15" s="10">
        <f>LOG10('Mastercurve bestimmen'!A449)</f>
        <v>6</v>
      </c>
      <c r="B15" s="10">
        <f>LOG10('Mastercurve bestimmen'!B449)</f>
        <v>-3.4639573199228386</v>
      </c>
      <c r="C15" s="10">
        <f>LOG10('Mastercurve bestimmen'!C449)</f>
        <v>0.30228148063737159</v>
      </c>
      <c r="D15" s="10">
        <f>LOG10('Mastercurve bestimmen'!D449)</f>
        <v>2.2252816406800773</v>
      </c>
      <c r="E15" s="10">
        <f>LOG10('Mastercurve bestimmen'!E449)</f>
        <v>3.9361900562241616</v>
      </c>
      <c r="F15" s="10">
        <f>LOG10('Mastercurve bestimmen'!F449)</f>
        <v>6</v>
      </c>
      <c r="G15" s="10">
        <f>LOG10('Mastercurve bestimmen'!G449)</f>
        <v>11.395482079701145</v>
      </c>
      <c r="H15" s="10">
        <f>LOG10('Mastercurve bestimmen'!H449)</f>
        <v>17.240308972578138</v>
      </c>
      <c r="I15" s="3">
        <f>'Mastercurve bestimmen'!I449</f>
        <v>1000000</v>
      </c>
      <c r="J15" s="3">
        <f>'Mastercurve bestimmen'!J449</f>
        <v>5393.4478275395559</v>
      </c>
      <c r="K15" s="3">
        <f>'Mastercurve bestimmen'!K449</f>
        <v>3346.4776601581179</v>
      </c>
      <c r="L15" s="3">
        <f>'Mastercurve bestimmen'!L449</f>
        <v>2685.7977977575347</v>
      </c>
      <c r="M15" s="3">
        <f>'Mastercurve bestimmen'!M449</f>
        <v>2247.3343211844494</v>
      </c>
      <c r="N15" s="3">
        <f>'Mastercurve bestimmen'!N449</f>
        <v>1656.3185875611684</v>
      </c>
      <c r="O15" s="3">
        <f>'Mastercurve bestimmen'!O449</f>
        <v>262.73242624087396</v>
      </c>
      <c r="P15" s="3">
        <f>'Mastercurve bestimmen'!P449</f>
        <v>182.67861803771595</v>
      </c>
    </row>
    <row r="16" spans="1:17" x14ac:dyDescent="0.25">
      <c r="A16" s="10">
        <f>LOG10('Mastercurve bestimmen'!A450)</f>
        <v>7</v>
      </c>
      <c r="B16" s="10">
        <f>LOG10('Mastercurve bestimmen'!B450)</f>
        <v>-2.4639573199228386</v>
      </c>
      <c r="C16" s="10">
        <f>LOG10('Mastercurve bestimmen'!C450)</f>
        <v>1.3022814806373715</v>
      </c>
      <c r="D16" s="10">
        <f>LOG10('Mastercurve bestimmen'!D450)</f>
        <v>3.2252816406800773</v>
      </c>
      <c r="E16" s="10">
        <f>LOG10('Mastercurve bestimmen'!E450)</f>
        <v>4.9361900562241621</v>
      </c>
      <c r="F16" s="10">
        <f>LOG10('Mastercurve bestimmen'!F450)</f>
        <v>7</v>
      </c>
      <c r="G16" s="10">
        <f>LOG10('Mastercurve bestimmen'!G450)</f>
        <v>12.395482079701145</v>
      </c>
      <c r="H16" s="10">
        <f>LOG10('Mastercurve bestimmen'!H450)</f>
        <v>18.240308972578138</v>
      </c>
      <c r="I16" s="3">
        <f>'Mastercurve bestimmen'!I450</f>
        <v>10000000</v>
      </c>
      <c r="J16" s="3">
        <f>'Mastercurve bestimmen'!J450</f>
        <v>4577.424969740212</v>
      </c>
      <c r="K16" s="3">
        <f>'Mastercurve bestimmen'!K450</f>
        <v>2892.1899665732253</v>
      </c>
      <c r="L16" s="3">
        <f>'Mastercurve bestimmen'!L450</f>
        <v>2368.346654493816</v>
      </c>
      <c r="M16" s="3">
        <f>'Mastercurve bestimmen'!M450</f>
        <v>1979.307169199863</v>
      </c>
      <c r="N16" s="3">
        <f>'Mastercurve bestimmen'!N450</f>
        <v>1387.2108481854204</v>
      </c>
      <c r="O16" s="3">
        <f>'Mastercurve bestimmen'!O450</f>
        <v>222.939887660718</v>
      </c>
      <c r="P16" s="3">
        <f>'Mastercurve bestimmen'!P450</f>
        <v>174.62746722417066</v>
      </c>
    </row>
    <row r="17" spans="1:16" x14ac:dyDescent="0.25">
      <c r="A17" s="10">
        <f>LOG10('Mastercurve bestimmen'!A451)</f>
        <v>8</v>
      </c>
      <c r="B17" s="10">
        <f>LOG10('Mastercurve bestimmen'!B451)</f>
        <v>-1.4639573199228388</v>
      </c>
      <c r="C17" s="10">
        <f>LOG10('Mastercurve bestimmen'!C451)</f>
        <v>2.3022814806373715</v>
      </c>
      <c r="D17" s="10">
        <f>LOG10('Mastercurve bestimmen'!D451)</f>
        <v>4.2252816406800768</v>
      </c>
      <c r="E17" s="10">
        <f>LOG10('Mastercurve bestimmen'!E451)</f>
        <v>5.9361900562241621</v>
      </c>
      <c r="F17" s="10">
        <f>LOG10('Mastercurve bestimmen'!F451)</f>
        <v>8</v>
      </c>
      <c r="G17" s="10">
        <f>LOG10('Mastercurve bestimmen'!G451)</f>
        <v>13.395482079701145</v>
      </c>
      <c r="H17" s="10">
        <f>LOG10('Mastercurve bestimmen'!H451)</f>
        <v>19.240308972578138</v>
      </c>
      <c r="I17" s="3">
        <f>'Mastercurve bestimmen'!I451</f>
        <v>100000000</v>
      </c>
      <c r="J17" s="3">
        <f>'Mastercurve bestimmen'!J451</f>
        <v>3914.6236771373719</v>
      </c>
      <c r="K17" s="3">
        <f>'Mastercurve bestimmen'!K451</f>
        <v>2569.6224142495339</v>
      </c>
      <c r="L17" s="3">
        <f>'Mastercurve bestimmen'!L451</f>
        <v>2132.4244867059297</v>
      </c>
      <c r="M17" s="3">
        <f>'Mastercurve bestimmen'!M451</f>
        <v>1753.9456058771568</v>
      </c>
      <c r="N17" s="3">
        <f>'Mastercurve bestimmen'!N451</f>
        <v>1120.1049206759617</v>
      </c>
      <c r="O17" s="3">
        <f>'Mastercurve bestimmen'!O451</f>
        <v>201.32214117210117</v>
      </c>
      <c r="P17" s="3">
        <f>'Mastercurve bestimmen'!P451</f>
        <v>169.86894542912563</v>
      </c>
    </row>
    <row r="18" spans="1:16" x14ac:dyDescent="0.25">
      <c r="A18" s="10">
        <f>LOG10('Mastercurve bestimmen'!A452)</f>
        <v>9</v>
      </c>
      <c r="B18" s="10">
        <f>LOG10('Mastercurve bestimmen'!B452)</f>
        <v>-0.46395731992283878</v>
      </c>
      <c r="C18" s="10">
        <f>LOG10('Mastercurve bestimmen'!C452)</f>
        <v>3.3022814806373715</v>
      </c>
      <c r="D18" s="10">
        <f>LOG10('Mastercurve bestimmen'!D452)</f>
        <v>5.2252816406800768</v>
      </c>
      <c r="E18" s="10">
        <f>LOG10('Mastercurve bestimmen'!E452)</f>
        <v>6.9361900562241621</v>
      </c>
      <c r="F18" s="10">
        <f>LOG10('Mastercurve bestimmen'!F452)</f>
        <v>9</v>
      </c>
      <c r="G18" s="10">
        <f>LOG10('Mastercurve bestimmen'!G452)</f>
        <v>14.395482079701145</v>
      </c>
      <c r="H18" s="10">
        <f>LOG10('Mastercurve bestimmen'!H452)</f>
        <v>20.240308972578138</v>
      </c>
      <c r="I18" s="3">
        <f>'Mastercurve bestimmen'!I452</f>
        <v>1000000000</v>
      </c>
      <c r="J18" s="3">
        <f>'Mastercurve bestimmen'!J452</f>
        <v>3439.215903424868</v>
      </c>
      <c r="K18" s="3">
        <f>'Mastercurve bestimmen'!K452</f>
        <v>2337.0503651981739</v>
      </c>
      <c r="L18" s="3">
        <f>'Mastercurve bestimmen'!L452</f>
        <v>1927.1689592855932</v>
      </c>
      <c r="M18" s="3">
        <f>'Mastercurve bestimmen'!M452</f>
        <v>1541.283272452644</v>
      </c>
      <c r="N18" s="3">
        <f>'Mastercurve bestimmen'!N452</f>
        <v>849.29779427462438</v>
      </c>
      <c r="O18" s="3">
        <f>'Mastercurve bestimmen'!O452</f>
        <v>188.02569432355588</v>
      </c>
      <c r="P18" s="3">
        <f>'Mastercurve bestimmen'!P452</f>
        <v>166.84170745231376</v>
      </c>
    </row>
    <row r="19" spans="1:16" x14ac:dyDescent="0.25">
      <c r="A19" s="10">
        <f>LOG10('Mastercurve bestimmen'!A453)</f>
        <v>10</v>
      </c>
      <c r="B19" s="10">
        <f>LOG10('Mastercurve bestimmen'!B453)</f>
        <v>0.53604268007716127</v>
      </c>
      <c r="C19" s="10">
        <f>LOG10('Mastercurve bestimmen'!C453)</f>
        <v>4.3022814806373715</v>
      </c>
      <c r="D19" s="10">
        <f>LOG10('Mastercurve bestimmen'!D453)</f>
        <v>6.2252816406800768</v>
      </c>
      <c r="E19" s="10">
        <f>LOG10('Mastercurve bestimmen'!E453)</f>
        <v>7.9361900562241621</v>
      </c>
      <c r="F19" s="10">
        <f>LOG10('Mastercurve bestimmen'!F453)</f>
        <v>10</v>
      </c>
      <c r="G19" s="10">
        <f>LOG10('Mastercurve bestimmen'!G453)</f>
        <v>15.395482079701145</v>
      </c>
      <c r="H19" s="10">
        <f>LOG10('Mastercurve bestimmen'!H453)</f>
        <v>21.240308972578138</v>
      </c>
      <c r="I19" s="3">
        <f>'Mastercurve bestimmen'!I453</f>
        <v>10000000000</v>
      </c>
      <c r="J19" s="3">
        <f>'Mastercurve bestimmen'!J453</f>
        <v>3078.9760704970804</v>
      </c>
      <c r="K19" s="3">
        <f>'Mastercurve bestimmen'!K453</f>
        <v>2151.250620328482</v>
      </c>
      <c r="L19" s="3">
        <f>'Mastercurve bestimmen'!L453</f>
        <v>1740.579877269425</v>
      </c>
      <c r="M19" s="3">
        <f>'Mastercurve bestimmen'!M453</f>
        <v>1325.7320252858156</v>
      </c>
      <c r="N19" s="3">
        <f>'Mastercurve bestimmen'!N453</f>
        <v>602.02056954985051</v>
      </c>
      <c r="O19" s="3">
        <f>'Mastercurve bestimmen'!O453</f>
        <v>181.14617749166206</v>
      </c>
      <c r="P19" s="3">
        <f>'Mastercurve bestimmen'!P453</f>
        <v>166.12540478353452</v>
      </c>
    </row>
    <row r="20" spans="1:16" x14ac:dyDescent="0.25">
      <c r="A20" s="10">
        <f>LOG10('Mastercurve bestimmen'!A454)</f>
        <v>11</v>
      </c>
      <c r="B20" s="10">
        <f>LOG10('Mastercurve bestimmen'!B454)</f>
        <v>1.5360426800771612</v>
      </c>
      <c r="C20" s="10">
        <f>LOG10('Mastercurve bestimmen'!C454)</f>
        <v>5.3022814806373715</v>
      </c>
      <c r="D20" s="10">
        <f>LOG10('Mastercurve bestimmen'!D454)</f>
        <v>7.2252816406800768</v>
      </c>
      <c r="E20" s="10">
        <f>LOG10('Mastercurve bestimmen'!E454)</f>
        <v>8.9361900562241612</v>
      </c>
      <c r="F20" s="10">
        <f>LOG10('Mastercurve bestimmen'!F454)</f>
        <v>11</v>
      </c>
      <c r="G20" s="10">
        <f>LOG10('Mastercurve bestimmen'!G454)</f>
        <v>16.395482079701146</v>
      </c>
      <c r="H20" s="10">
        <f>LOG10('Mastercurve bestimmen'!H454)</f>
        <v>22.240308972578138</v>
      </c>
      <c r="I20" s="3">
        <f>'Mastercurve bestimmen'!I454</f>
        <v>100000000000</v>
      </c>
      <c r="J20" s="3">
        <f>'Mastercurve bestimmen'!J454</f>
        <v>2798.5736498484516</v>
      </c>
      <c r="K20" s="3">
        <f>'Mastercurve bestimmen'!K454</f>
        <v>1990.2744047049448</v>
      </c>
      <c r="L20" s="3">
        <f>'Mastercurve bestimmen'!L454</f>
        <v>1552.3921804639763</v>
      </c>
      <c r="M20" s="3">
        <f>'Mastercurve bestimmen'!M454</f>
        <v>1090.3481138846798</v>
      </c>
      <c r="N20" s="3">
        <f>'Mastercurve bestimmen'!N454</f>
        <v>414.55153000594095</v>
      </c>
      <c r="O20" s="3">
        <f>'Mastercurve bestimmen'!O454</f>
        <v>171.73287142228415</v>
      </c>
      <c r="P20" s="3">
        <f>'Mastercurve bestimmen'!P454</f>
        <v>165.25800429032441</v>
      </c>
    </row>
    <row r="21" spans="1:16" x14ac:dyDescent="0.25">
      <c r="A21" s="10">
        <f>LOG10('Mastercurve bestimmen'!A455)</f>
        <v>12</v>
      </c>
      <c r="B21" s="10">
        <f>LOG10('Mastercurve bestimmen'!B455)</f>
        <v>2.5360426800771614</v>
      </c>
      <c r="C21" s="10">
        <f>LOG10('Mastercurve bestimmen'!C455)</f>
        <v>6.3022814806373715</v>
      </c>
      <c r="D21" s="10">
        <f>LOG10('Mastercurve bestimmen'!D455)</f>
        <v>8.2252816406800768</v>
      </c>
      <c r="E21" s="10">
        <f>LOG10('Mastercurve bestimmen'!E455)</f>
        <v>9.9361900562241612</v>
      </c>
      <c r="F21" s="10">
        <f>LOG10('Mastercurve bestimmen'!F455)</f>
        <v>12</v>
      </c>
      <c r="G21" s="10">
        <f>LOG10('Mastercurve bestimmen'!G455)</f>
        <v>17.395482079701146</v>
      </c>
      <c r="H21" s="10">
        <f>LOG10('Mastercurve bestimmen'!H455)</f>
        <v>23.240308972578138</v>
      </c>
      <c r="I21" s="3">
        <f>'Mastercurve bestimmen'!I455</f>
        <v>1000000000000</v>
      </c>
      <c r="J21" s="3">
        <f>'Mastercurve bestimmen'!J455</f>
        <v>2590.4913778751102</v>
      </c>
      <c r="K21" s="3">
        <f>'Mastercurve bestimmen'!K455</f>
        <v>1828.3308494849296</v>
      </c>
      <c r="L21" s="3">
        <f>'Mastercurve bestimmen'!L455</f>
        <v>1355.3669215252155</v>
      </c>
      <c r="M21" s="3">
        <f>'Mastercurve bestimmen'!M455</f>
        <v>838.64271647474698</v>
      </c>
      <c r="N21" s="3">
        <f>'Mastercurve bestimmen'!N455</f>
        <v>296.76424848335745</v>
      </c>
      <c r="O21" s="3">
        <f>'Mastercurve bestimmen'!O455</f>
        <v>164.88164851800227</v>
      </c>
      <c r="P21" s="3">
        <f>'Mastercurve bestimmen'!P455</f>
        <v>162.97529182821398</v>
      </c>
    </row>
    <row r="22" spans="1:16" x14ac:dyDescent="0.25">
      <c r="A22" s="10">
        <f>LOG10('Mastercurve bestimmen'!A456)</f>
        <v>13</v>
      </c>
      <c r="B22" s="10">
        <f>LOG10('Mastercurve bestimmen'!B456)</f>
        <v>3.5360426800771614</v>
      </c>
      <c r="C22" s="10">
        <f>LOG10('Mastercurve bestimmen'!C456)</f>
        <v>7.3022814806373715</v>
      </c>
      <c r="D22" s="10">
        <f>LOG10('Mastercurve bestimmen'!D456)</f>
        <v>9.2252816406800768</v>
      </c>
      <c r="E22" s="10">
        <f>LOG10('Mastercurve bestimmen'!E456)</f>
        <v>10.936190056224161</v>
      </c>
      <c r="F22" s="10">
        <f>LOG10('Mastercurve bestimmen'!F456)</f>
        <v>13</v>
      </c>
      <c r="G22" s="10">
        <f>LOG10('Mastercurve bestimmen'!G456)</f>
        <v>18.395482079701146</v>
      </c>
      <c r="H22" s="10">
        <f>LOG10('Mastercurve bestimmen'!H456)</f>
        <v>24.240308972578138</v>
      </c>
      <c r="I22" s="3">
        <f>'Mastercurve bestimmen'!I456</f>
        <v>10000000000000</v>
      </c>
      <c r="J22" s="3">
        <f>'Mastercurve bestimmen'!J456</f>
        <v>2428.2171958860131</v>
      </c>
      <c r="K22" s="3">
        <f>'Mastercurve bestimmen'!K456</f>
        <v>1665.1765081389453</v>
      </c>
      <c r="L22" s="3">
        <f>'Mastercurve bestimmen'!L456</f>
        <v>1134.9160288600715</v>
      </c>
      <c r="M22" s="3">
        <f>'Mastercurve bestimmen'!M456</f>
        <v>600.54666630574377</v>
      </c>
      <c r="N22" s="3">
        <f>'Mastercurve bestimmen'!N456</f>
        <v>236.5039430342818</v>
      </c>
      <c r="O22" s="3">
        <f>'Mastercurve bestimmen'!O456</f>
        <v>164.50146393142782</v>
      </c>
      <c r="P22" s="3">
        <f>'Mastercurve bestimmen'!P456</f>
        <v>162.91152498499585</v>
      </c>
    </row>
    <row r="23" spans="1:16" x14ac:dyDescent="0.25">
      <c r="A23" s="10">
        <f>LOG10('Mastercurve bestimmen'!A457)</f>
        <v>14</v>
      </c>
      <c r="B23" s="10">
        <f>LOG10('Mastercurve bestimmen'!B457)</f>
        <v>4.5360426800771609</v>
      </c>
      <c r="C23" s="10">
        <f>LOG10('Mastercurve bestimmen'!C457)</f>
        <v>8.3022814806373724</v>
      </c>
      <c r="D23" s="10">
        <f>LOG10('Mastercurve bestimmen'!D457)</f>
        <v>10.225281640680077</v>
      </c>
      <c r="E23" s="10">
        <f>LOG10('Mastercurve bestimmen'!E457)</f>
        <v>11.936190056224161</v>
      </c>
      <c r="F23" s="10">
        <f>LOG10('Mastercurve bestimmen'!F457)</f>
        <v>14</v>
      </c>
      <c r="G23" s="10">
        <f>LOG10('Mastercurve bestimmen'!G457)</f>
        <v>19.395482079701146</v>
      </c>
      <c r="H23" s="10">
        <f>LOG10('Mastercurve bestimmen'!H457)</f>
        <v>25.240308972578138</v>
      </c>
      <c r="I23" s="3">
        <f>'Mastercurve bestimmen'!I457</f>
        <v>100000000000000</v>
      </c>
      <c r="J23" s="3">
        <f>'Mastercurve bestimmen'!J457</f>
        <v>2284.9023004500814</v>
      </c>
      <c r="K23" s="3">
        <f>'Mastercurve bestimmen'!K457</f>
        <v>1489.3314845424752</v>
      </c>
      <c r="L23" s="3">
        <f>'Mastercurve bestimmen'!L457</f>
        <v>892.49692017162795</v>
      </c>
      <c r="M23" s="3">
        <f>'Mastercurve bestimmen'!M457</f>
        <v>415.97655166325364</v>
      </c>
      <c r="N23" s="3">
        <f>'Mastercurve bestimmen'!N457</f>
        <v>206.64782998877558</v>
      </c>
      <c r="O23" s="3">
        <f>'Mastercurve bestimmen'!O457</f>
        <v>163.00727748318997</v>
      </c>
      <c r="P23" s="3">
        <f>'Mastercurve bestimmen'!P457</f>
        <v>161.92883558935978</v>
      </c>
    </row>
    <row r="24" spans="1:16" x14ac:dyDescent="0.25">
      <c r="A24" s="10">
        <f>LOG10('Mastercurve bestimmen'!A458)</f>
        <v>15</v>
      </c>
      <c r="B24" s="10">
        <f>LOG10('Mastercurve bestimmen'!B458)</f>
        <v>5.5360426800771609</v>
      </c>
      <c r="C24" s="10">
        <f>LOG10('Mastercurve bestimmen'!C458)</f>
        <v>9.3022814806373724</v>
      </c>
      <c r="D24" s="10">
        <f>LOG10('Mastercurve bestimmen'!D458)</f>
        <v>11.225281640680077</v>
      </c>
      <c r="E24" s="10">
        <f>LOG10('Mastercurve bestimmen'!E458)</f>
        <v>12.936190056224161</v>
      </c>
      <c r="F24" s="10">
        <f>LOG10('Mastercurve bestimmen'!F458)</f>
        <v>15</v>
      </c>
      <c r="G24" s="10">
        <f>LOG10('Mastercurve bestimmen'!G458)</f>
        <v>20.395482079701146</v>
      </c>
      <c r="H24" s="10">
        <f>LOG10('Mastercurve bestimmen'!H458)</f>
        <v>26.240308972578138</v>
      </c>
      <c r="I24" s="3">
        <f>'Mastercurve bestimmen'!I458</f>
        <v>1000000000000000</v>
      </c>
      <c r="J24" s="3">
        <f>'Mastercurve bestimmen'!J458</f>
        <v>2162.351794570352</v>
      </c>
      <c r="K24" s="3">
        <f>'Mastercurve bestimmen'!K458</f>
        <v>1297.0734642842888</v>
      </c>
      <c r="L24" s="3">
        <f>'Mastercurve bestimmen'!L458</f>
        <v>651.2901745739025</v>
      </c>
      <c r="M24" s="3">
        <f>'Mastercurve bestimmen'!M458</f>
        <v>297.69240550814368</v>
      </c>
      <c r="N24" s="3">
        <f>'Mastercurve bestimmen'!N458</f>
        <v>191.80670583863778</v>
      </c>
      <c r="O24" s="3">
        <f>'Mastercurve bestimmen'!O458</f>
        <v>162.92272722143832</v>
      </c>
      <c r="P24" s="3">
        <f>'Mastercurve bestimmen'!P458</f>
        <v>161.56401350859798</v>
      </c>
    </row>
    <row r="25" spans="1:16" x14ac:dyDescent="0.25">
      <c r="A25" s="10" t="e">
        <f>LOG10('Mastercurve bestimmen'!A459)</f>
        <v>#REF!</v>
      </c>
      <c r="B25" s="10" t="e">
        <f>LOG10('Mastercurve bestimmen'!B459)</f>
        <v>#REF!</v>
      </c>
      <c r="C25" s="10" t="e">
        <f>LOG10('Mastercurve bestimmen'!C459)</f>
        <v>#REF!</v>
      </c>
      <c r="D25" s="10" t="e">
        <f>LOG10('Mastercurve bestimmen'!D459)</f>
        <v>#REF!</v>
      </c>
      <c r="E25" s="10" t="e">
        <f>LOG10('Mastercurve bestimmen'!E459)</f>
        <v>#REF!</v>
      </c>
      <c r="F25" s="10" t="e">
        <f>LOG10('Mastercurve bestimmen'!F459)</f>
        <v>#REF!</v>
      </c>
      <c r="G25" s="10" t="e">
        <f>LOG10('Mastercurve bestimmen'!G459)</f>
        <v>#REF!</v>
      </c>
      <c r="H25" s="10" t="e">
        <f>LOG10('Mastercurve bestimmen'!H459)</f>
        <v>#REF!</v>
      </c>
      <c r="I25" s="3" t="e">
        <f>'Mastercurve bestimmen'!I459</f>
        <v>#REF!</v>
      </c>
      <c r="J25" s="3" t="e">
        <f>'Mastercurve bestimmen'!J459</f>
        <v>#REF!</v>
      </c>
      <c r="K25" s="3" t="e">
        <f>'Mastercurve bestimmen'!K459</f>
        <v>#REF!</v>
      </c>
      <c r="L25" s="3" t="e">
        <f>'Mastercurve bestimmen'!L459</f>
        <v>#REF!</v>
      </c>
      <c r="M25" s="3" t="e">
        <f>'Mastercurve bestimmen'!M459</f>
        <v>#REF!</v>
      </c>
      <c r="N25" s="3" t="e">
        <f>'Mastercurve bestimmen'!N459</f>
        <v>#REF!</v>
      </c>
      <c r="O25" s="3" t="e">
        <f>'Mastercurve bestimmen'!O459</f>
        <v>#REF!</v>
      </c>
      <c r="P25" s="3" t="e">
        <f>'Mastercurve bestimmen'!P459</f>
        <v>#REF!</v>
      </c>
    </row>
    <row r="26" spans="1:16" x14ac:dyDescent="0.25">
      <c r="A26" s="10" t="e">
        <f>LOG10('Mastercurve bestimmen'!A460)</f>
        <v>#REF!</v>
      </c>
      <c r="B26" s="10" t="e">
        <f>LOG10('Mastercurve bestimmen'!B460)</f>
        <v>#REF!</v>
      </c>
      <c r="C26" s="10" t="e">
        <f>LOG10('Mastercurve bestimmen'!C460)</f>
        <v>#REF!</v>
      </c>
      <c r="D26" s="10" t="e">
        <f>LOG10('Mastercurve bestimmen'!D460)</f>
        <v>#REF!</v>
      </c>
      <c r="E26" s="10" t="e">
        <f>LOG10('Mastercurve bestimmen'!E460)</f>
        <v>#REF!</v>
      </c>
      <c r="F26" s="10" t="e">
        <f>LOG10('Mastercurve bestimmen'!F460)</f>
        <v>#REF!</v>
      </c>
      <c r="G26" s="10" t="e">
        <f>LOG10('Mastercurve bestimmen'!G460)</f>
        <v>#REF!</v>
      </c>
      <c r="H26" s="10" t="e">
        <f>LOG10('Mastercurve bestimmen'!H460)</f>
        <v>#REF!</v>
      </c>
      <c r="I26" s="3" t="e">
        <f>'Mastercurve bestimmen'!I460</f>
        <v>#REF!</v>
      </c>
      <c r="J26" s="3" t="e">
        <f>'Mastercurve bestimmen'!J460</f>
        <v>#REF!</v>
      </c>
      <c r="K26" s="3" t="e">
        <f>'Mastercurve bestimmen'!K460</f>
        <v>#REF!</v>
      </c>
      <c r="L26" s="3" t="e">
        <f>'Mastercurve bestimmen'!L460</f>
        <v>#REF!</v>
      </c>
      <c r="M26" s="3" t="e">
        <f>'Mastercurve bestimmen'!M460</f>
        <v>#REF!</v>
      </c>
      <c r="N26" s="3" t="e">
        <f>'Mastercurve bestimmen'!N460</f>
        <v>#REF!</v>
      </c>
      <c r="O26" s="3" t="e">
        <f>'Mastercurve bestimmen'!O460</f>
        <v>#REF!</v>
      </c>
      <c r="P26" s="3" t="e">
        <f>'Mastercurve bestimmen'!P460</f>
        <v>#REF!</v>
      </c>
    </row>
    <row r="27" spans="1:16" x14ac:dyDescent="0.25">
      <c r="A27" s="10" t="e">
        <f>LOG10('Mastercurve bestimmen'!A461)</f>
        <v>#REF!</v>
      </c>
      <c r="B27" s="10" t="e">
        <f>LOG10('Mastercurve bestimmen'!B461)</f>
        <v>#REF!</v>
      </c>
      <c r="C27" s="10" t="e">
        <f>LOG10('Mastercurve bestimmen'!C461)</f>
        <v>#REF!</v>
      </c>
      <c r="D27" s="10" t="e">
        <f>LOG10('Mastercurve bestimmen'!D461)</f>
        <v>#REF!</v>
      </c>
      <c r="E27" s="10" t="e">
        <f>LOG10('Mastercurve bestimmen'!E461)</f>
        <v>#REF!</v>
      </c>
      <c r="F27" s="10" t="e">
        <f>LOG10('Mastercurve bestimmen'!F461)</f>
        <v>#REF!</v>
      </c>
      <c r="G27" s="10" t="e">
        <f>LOG10('Mastercurve bestimmen'!G461)</f>
        <v>#REF!</v>
      </c>
      <c r="H27" s="10" t="e">
        <f>LOG10('Mastercurve bestimmen'!H461)</f>
        <v>#REF!</v>
      </c>
      <c r="I27" s="3" t="e">
        <f>'Mastercurve bestimmen'!I461</f>
        <v>#REF!</v>
      </c>
      <c r="J27" s="3" t="e">
        <f>'Mastercurve bestimmen'!J461</f>
        <v>#REF!</v>
      </c>
      <c r="K27" s="3" t="e">
        <f>'Mastercurve bestimmen'!K461</f>
        <v>#REF!</v>
      </c>
      <c r="L27" s="3" t="e">
        <f>'Mastercurve bestimmen'!L461</f>
        <v>#REF!</v>
      </c>
      <c r="M27" s="3" t="e">
        <f>'Mastercurve bestimmen'!M461</f>
        <v>#REF!</v>
      </c>
      <c r="N27" s="3" t="e">
        <f>'Mastercurve bestimmen'!N461</f>
        <v>#REF!</v>
      </c>
      <c r="O27" s="3" t="e">
        <f>'Mastercurve bestimmen'!O461</f>
        <v>#REF!</v>
      </c>
      <c r="P27" s="3" t="e">
        <f>'Mastercurve bestimmen'!P461</f>
        <v>#REF!</v>
      </c>
    </row>
    <row r="28" spans="1:16" x14ac:dyDescent="0.25">
      <c r="A28" s="10" t="e">
        <f>LOG10('Mastercurve bestimmen'!A462)</f>
        <v>#REF!</v>
      </c>
      <c r="B28" s="10" t="e">
        <f>LOG10('Mastercurve bestimmen'!B462)</f>
        <v>#REF!</v>
      </c>
      <c r="C28" s="10" t="e">
        <f>LOG10('Mastercurve bestimmen'!C462)</f>
        <v>#REF!</v>
      </c>
      <c r="D28" s="10" t="e">
        <f>LOG10('Mastercurve bestimmen'!D462)</f>
        <v>#REF!</v>
      </c>
      <c r="E28" s="10" t="e">
        <f>LOG10('Mastercurve bestimmen'!E462)</f>
        <v>#REF!</v>
      </c>
      <c r="F28" s="10" t="e">
        <f>LOG10('Mastercurve bestimmen'!F462)</f>
        <v>#REF!</v>
      </c>
      <c r="G28" s="10" t="e">
        <f>LOG10('Mastercurve bestimmen'!G462)</f>
        <v>#REF!</v>
      </c>
      <c r="H28" s="10" t="e">
        <f>LOG10('Mastercurve bestimmen'!H462)</f>
        <v>#REF!</v>
      </c>
      <c r="I28" s="3" t="e">
        <f>'Mastercurve bestimmen'!I462</f>
        <v>#REF!</v>
      </c>
      <c r="J28" s="3" t="e">
        <f>'Mastercurve bestimmen'!J462</f>
        <v>#REF!</v>
      </c>
      <c r="K28" s="3" t="e">
        <f>'Mastercurve bestimmen'!K462</f>
        <v>#REF!</v>
      </c>
      <c r="L28" s="3" t="e">
        <f>'Mastercurve bestimmen'!L462</f>
        <v>#REF!</v>
      </c>
      <c r="M28" s="3" t="e">
        <f>'Mastercurve bestimmen'!M462</f>
        <v>#REF!</v>
      </c>
      <c r="N28" s="3" t="e">
        <f>'Mastercurve bestimmen'!N462</f>
        <v>#REF!</v>
      </c>
      <c r="O28" s="3" t="e">
        <f>'Mastercurve bestimmen'!O462</f>
        <v>#REF!</v>
      </c>
      <c r="P28" s="3" t="e">
        <f>'Mastercurve bestimmen'!P462</f>
        <v>#REF!</v>
      </c>
    </row>
    <row r="29" spans="1:16" x14ac:dyDescent="0.25">
      <c r="A29" s="10" t="e">
        <f>LOG10('Mastercurve bestimmen'!A463)</f>
        <v>#REF!</v>
      </c>
      <c r="B29" s="10" t="e">
        <f>LOG10('Mastercurve bestimmen'!B463)</f>
        <v>#REF!</v>
      </c>
      <c r="C29" s="10" t="e">
        <f>LOG10('Mastercurve bestimmen'!C463)</f>
        <v>#REF!</v>
      </c>
      <c r="D29" s="10" t="e">
        <f>LOG10('Mastercurve bestimmen'!D463)</f>
        <v>#REF!</v>
      </c>
      <c r="E29" s="10" t="e">
        <f>LOG10('Mastercurve bestimmen'!E463)</f>
        <v>#REF!</v>
      </c>
      <c r="F29" s="10" t="e">
        <f>LOG10('Mastercurve bestimmen'!F463)</f>
        <v>#REF!</v>
      </c>
      <c r="G29" s="10" t="e">
        <f>LOG10('Mastercurve bestimmen'!G463)</f>
        <v>#REF!</v>
      </c>
      <c r="H29" s="10" t="e">
        <f>LOG10('Mastercurve bestimmen'!H463)</f>
        <v>#REF!</v>
      </c>
      <c r="I29" s="3" t="e">
        <f>'Mastercurve bestimmen'!I463</f>
        <v>#REF!</v>
      </c>
      <c r="J29" s="3" t="e">
        <f>'Mastercurve bestimmen'!J463</f>
        <v>#REF!</v>
      </c>
      <c r="K29" s="3" t="e">
        <f>'Mastercurve bestimmen'!K463</f>
        <v>#REF!</v>
      </c>
      <c r="L29" s="3" t="e">
        <f>'Mastercurve bestimmen'!L463</f>
        <v>#REF!</v>
      </c>
      <c r="M29" s="3" t="e">
        <f>'Mastercurve bestimmen'!M463</f>
        <v>#REF!</v>
      </c>
      <c r="N29" s="3" t="e">
        <f>'Mastercurve bestimmen'!N463</f>
        <v>#REF!</v>
      </c>
      <c r="O29" s="3" t="e">
        <f>'Mastercurve bestimmen'!O463</f>
        <v>#REF!</v>
      </c>
      <c r="P29" s="3" t="e">
        <f>'Mastercurve bestimmen'!P463</f>
        <v>#REF!</v>
      </c>
    </row>
    <row r="30" spans="1:16" x14ac:dyDescent="0.25">
      <c r="A30" s="10" t="e">
        <f>LOG10('Mastercurve bestimmen'!A464)</f>
        <v>#REF!</v>
      </c>
      <c r="B30" s="10" t="e">
        <f>LOG10('Mastercurve bestimmen'!B464)</f>
        <v>#REF!</v>
      </c>
      <c r="C30" s="10" t="e">
        <f>LOG10('Mastercurve bestimmen'!C464)</f>
        <v>#REF!</v>
      </c>
      <c r="D30" s="10" t="e">
        <f>LOG10('Mastercurve bestimmen'!D464)</f>
        <v>#REF!</v>
      </c>
      <c r="E30" s="10" t="e">
        <f>LOG10('Mastercurve bestimmen'!E464)</f>
        <v>#REF!</v>
      </c>
      <c r="F30" s="10" t="e">
        <f>LOG10('Mastercurve bestimmen'!F464)</f>
        <v>#REF!</v>
      </c>
      <c r="G30" s="10" t="e">
        <f>LOG10('Mastercurve bestimmen'!G464)</f>
        <v>#REF!</v>
      </c>
      <c r="H30" s="10" t="e">
        <f>LOG10('Mastercurve bestimmen'!H464)</f>
        <v>#REF!</v>
      </c>
      <c r="I30" s="3" t="e">
        <f>'Mastercurve bestimmen'!I464</f>
        <v>#REF!</v>
      </c>
      <c r="J30" s="3" t="e">
        <f>'Mastercurve bestimmen'!J464</f>
        <v>#REF!</v>
      </c>
      <c r="K30" s="3" t="e">
        <f>'Mastercurve bestimmen'!K464</f>
        <v>#REF!</v>
      </c>
      <c r="L30" s="3" t="e">
        <f>'Mastercurve bestimmen'!L464</f>
        <v>#REF!</v>
      </c>
      <c r="M30" s="3" t="e">
        <f>'Mastercurve bestimmen'!M464</f>
        <v>#REF!</v>
      </c>
      <c r="N30" s="3" t="e">
        <f>'Mastercurve bestimmen'!N464</f>
        <v>#REF!</v>
      </c>
      <c r="O30" s="3" t="e">
        <f>'Mastercurve bestimmen'!O464</f>
        <v>#REF!</v>
      </c>
      <c r="P30" s="3" t="e">
        <f>'Mastercurve bestimmen'!P464</f>
        <v>#REF!</v>
      </c>
    </row>
    <row r="31" spans="1:16" x14ac:dyDescent="0.25">
      <c r="A31" s="10" t="e">
        <f>LOG10('Mastercurve bestimmen'!A465)</f>
        <v>#REF!</v>
      </c>
      <c r="B31" s="10" t="e">
        <f>LOG10('Mastercurve bestimmen'!B465)</f>
        <v>#REF!</v>
      </c>
      <c r="C31" s="10" t="e">
        <f>LOG10('Mastercurve bestimmen'!C465)</f>
        <v>#REF!</v>
      </c>
      <c r="D31" s="10" t="e">
        <f>LOG10('Mastercurve bestimmen'!D465)</f>
        <v>#REF!</v>
      </c>
      <c r="E31" s="10" t="e">
        <f>LOG10('Mastercurve bestimmen'!E465)</f>
        <v>#REF!</v>
      </c>
      <c r="F31" s="10" t="e">
        <f>LOG10('Mastercurve bestimmen'!F465)</f>
        <v>#REF!</v>
      </c>
      <c r="G31" s="10" t="e">
        <f>LOG10('Mastercurve bestimmen'!G465)</f>
        <v>#REF!</v>
      </c>
      <c r="H31" s="10" t="e">
        <f>LOG10('Mastercurve bestimmen'!H465)</f>
        <v>#REF!</v>
      </c>
      <c r="I31" s="3" t="e">
        <f>'Mastercurve bestimmen'!I465</f>
        <v>#REF!</v>
      </c>
      <c r="J31" s="3" t="e">
        <f>'Mastercurve bestimmen'!J465</f>
        <v>#REF!</v>
      </c>
      <c r="K31" s="3" t="e">
        <f>'Mastercurve bestimmen'!K465</f>
        <v>#REF!</v>
      </c>
      <c r="L31" s="3" t="e">
        <f>'Mastercurve bestimmen'!L465</f>
        <v>#REF!</v>
      </c>
      <c r="M31" s="3" t="e">
        <f>'Mastercurve bestimmen'!M465</f>
        <v>#REF!</v>
      </c>
      <c r="N31" s="3" t="e">
        <f>'Mastercurve bestimmen'!N465</f>
        <v>#REF!</v>
      </c>
      <c r="O31" s="3" t="e">
        <f>'Mastercurve bestimmen'!O465</f>
        <v>#REF!</v>
      </c>
      <c r="P31" s="3" t="e">
        <f>'Mastercurve bestimmen'!P465</f>
        <v>#REF!</v>
      </c>
    </row>
    <row r="32" spans="1:16" x14ac:dyDescent="0.25">
      <c r="A32" s="10" t="e">
        <f>LOG10('Mastercurve bestimmen'!A466)</f>
        <v>#REF!</v>
      </c>
      <c r="B32" s="10" t="e">
        <f>LOG10('Mastercurve bestimmen'!B466)</f>
        <v>#REF!</v>
      </c>
      <c r="C32" s="10" t="e">
        <f>LOG10('Mastercurve bestimmen'!C466)</f>
        <v>#REF!</v>
      </c>
      <c r="D32" s="10" t="e">
        <f>LOG10('Mastercurve bestimmen'!D466)</f>
        <v>#REF!</v>
      </c>
      <c r="E32" s="10" t="e">
        <f>LOG10('Mastercurve bestimmen'!E466)</f>
        <v>#REF!</v>
      </c>
      <c r="F32" s="10" t="e">
        <f>LOG10('Mastercurve bestimmen'!F466)</f>
        <v>#REF!</v>
      </c>
      <c r="G32" s="10" t="e">
        <f>LOG10('Mastercurve bestimmen'!G466)</f>
        <v>#REF!</v>
      </c>
      <c r="H32" s="10" t="e">
        <f>LOG10('Mastercurve bestimmen'!H466)</f>
        <v>#REF!</v>
      </c>
      <c r="I32" s="3" t="e">
        <f>'Mastercurve bestimmen'!I466</f>
        <v>#REF!</v>
      </c>
      <c r="J32" s="3" t="e">
        <f>'Mastercurve bestimmen'!J466</f>
        <v>#REF!</v>
      </c>
      <c r="K32" s="3" t="e">
        <f>'Mastercurve bestimmen'!K466</f>
        <v>#REF!</v>
      </c>
      <c r="L32" s="3" t="e">
        <f>'Mastercurve bestimmen'!L466</f>
        <v>#REF!</v>
      </c>
      <c r="M32" s="3" t="e">
        <f>'Mastercurve bestimmen'!M466</f>
        <v>#REF!</v>
      </c>
      <c r="N32" s="3" t="e">
        <f>'Mastercurve bestimmen'!N466</f>
        <v>#REF!</v>
      </c>
      <c r="O32" s="3" t="e">
        <f>'Mastercurve bestimmen'!O466</f>
        <v>#REF!</v>
      </c>
      <c r="P32" s="3" t="e">
        <f>'Mastercurve bestimmen'!P466</f>
        <v>#REF!</v>
      </c>
    </row>
    <row r="33" spans="1:16" x14ac:dyDescent="0.25">
      <c r="A33" s="10" t="e">
        <f>LOG10('Mastercurve bestimmen'!A467)</f>
        <v>#REF!</v>
      </c>
      <c r="B33" s="10" t="e">
        <f>LOG10('Mastercurve bestimmen'!B467)</f>
        <v>#REF!</v>
      </c>
      <c r="C33" s="10" t="e">
        <f>LOG10('Mastercurve bestimmen'!C467)</f>
        <v>#REF!</v>
      </c>
      <c r="D33" s="10" t="e">
        <f>LOG10('Mastercurve bestimmen'!D467)</f>
        <v>#REF!</v>
      </c>
      <c r="E33" s="10" t="e">
        <f>LOG10('Mastercurve bestimmen'!E467)</f>
        <v>#REF!</v>
      </c>
      <c r="F33" s="10" t="e">
        <f>LOG10('Mastercurve bestimmen'!F467)</f>
        <v>#REF!</v>
      </c>
      <c r="G33" s="10" t="e">
        <f>LOG10('Mastercurve bestimmen'!G467)</f>
        <v>#REF!</v>
      </c>
      <c r="H33" s="10" t="e">
        <f>LOG10('Mastercurve bestimmen'!H467)</f>
        <v>#REF!</v>
      </c>
      <c r="I33" s="3" t="e">
        <f>'Mastercurve bestimmen'!I467</f>
        <v>#REF!</v>
      </c>
      <c r="J33" s="3" t="e">
        <f>'Mastercurve bestimmen'!J467</f>
        <v>#REF!</v>
      </c>
      <c r="K33" s="3" t="e">
        <f>'Mastercurve bestimmen'!K467</f>
        <v>#REF!</v>
      </c>
      <c r="L33" s="3" t="e">
        <f>'Mastercurve bestimmen'!L467</f>
        <v>#REF!</v>
      </c>
      <c r="M33" s="3" t="e">
        <f>'Mastercurve bestimmen'!M467</f>
        <v>#REF!</v>
      </c>
      <c r="N33" s="3" t="e">
        <f>'Mastercurve bestimmen'!N467</f>
        <v>#REF!</v>
      </c>
      <c r="O33" s="3" t="e">
        <f>'Mastercurve bestimmen'!O467</f>
        <v>#REF!</v>
      </c>
      <c r="P33" s="3" t="e">
        <f>'Mastercurve bestimmen'!P467</f>
        <v>#REF!</v>
      </c>
    </row>
    <row r="34" spans="1:16" x14ac:dyDescent="0.25">
      <c r="A34" s="10" t="e">
        <f>LOG10('Mastercurve bestimmen'!A468)</f>
        <v>#REF!</v>
      </c>
      <c r="B34" s="10" t="e">
        <f>LOG10('Mastercurve bestimmen'!B468)</f>
        <v>#REF!</v>
      </c>
      <c r="C34" s="10" t="e">
        <f>LOG10('Mastercurve bestimmen'!C468)</f>
        <v>#REF!</v>
      </c>
      <c r="D34" s="10" t="e">
        <f>LOG10('Mastercurve bestimmen'!D468)</f>
        <v>#REF!</v>
      </c>
      <c r="E34" s="10" t="e">
        <f>LOG10('Mastercurve bestimmen'!E468)</f>
        <v>#REF!</v>
      </c>
      <c r="F34" s="10" t="e">
        <f>LOG10('Mastercurve bestimmen'!F468)</f>
        <v>#REF!</v>
      </c>
      <c r="G34" s="10" t="e">
        <f>LOG10('Mastercurve bestimmen'!G468)</f>
        <v>#REF!</v>
      </c>
      <c r="H34" s="10" t="e">
        <f>LOG10('Mastercurve bestimmen'!H468)</f>
        <v>#REF!</v>
      </c>
      <c r="I34" s="3" t="e">
        <f>'Mastercurve bestimmen'!I468</f>
        <v>#REF!</v>
      </c>
      <c r="J34" s="3" t="e">
        <f>'Mastercurve bestimmen'!J468</f>
        <v>#REF!</v>
      </c>
      <c r="K34" s="3" t="e">
        <f>'Mastercurve bestimmen'!K468</f>
        <v>#REF!</v>
      </c>
      <c r="L34" s="3" t="e">
        <f>'Mastercurve bestimmen'!L468</f>
        <v>#REF!</v>
      </c>
      <c r="M34" s="3" t="e">
        <f>'Mastercurve bestimmen'!M468</f>
        <v>#REF!</v>
      </c>
      <c r="N34" s="3" t="e">
        <f>'Mastercurve bestimmen'!N468</f>
        <v>#REF!</v>
      </c>
      <c r="O34" s="3" t="e">
        <f>'Mastercurve bestimmen'!O468</f>
        <v>#REF!</v>
      </c>
      <c r="P34" s="3" t="e">
        <f>'Mastercurve bestimmen'!P468</f>
        <v>#REF!</v>
      </c>
    </row>
    <row r="35" spans="1:16" x14ac:dyDescent="0.25">
      <c r="A35" s="3"/>
      <c r="B35" s="3"/>
      <c r="C35" s="3"/>
      <c r="D35" s="3"/>
      <c r="E35" s="3"/>
      <c r="F35" s="3"/>
      <c r="G35" s="3"/>
      <c r="H35" s="3"/>
      <c r="I35" s="3"/>
      <c r="J35" s="3"/>
      <c r="K35" s="3"/>
      <c r="L35" s="3"/>
      <c r="M35" s="3"/>
      <c r="N35" s="3"/>
      <c r="O35" s="3"/>
      <c r="P35" s="3"/>
    </row>
    <row r="36" spans="1:16" x14ac:dyDescent="0.25">
      <c r="A36" s="3" t="s">
        <v>164</v>
      </c>
      <c r="B36" s="3"/>
      <c r="C36" s="3"/>
      <c r="D36" s="3"/>
      <c r="E36" s="3"/>
      <c r="F36" s="3"/>
      <c r="G36" s="3"/>
      <c r="H36" s="3"/>
      <c r="I36" s="3"/>
      <c r="J36" s="3"/>
      <c r="K36" s="3"/>
      <c r="L36" s="3"/>
      <c r="M36" s="3"/>
      <c r="N36" s="3"/>
      <c r="O36" s="3"/>
      <c r="P36" s="3"/>
    </row>
    <row r="37" spans="1:16" x14ac:dyDescent="0.25">
      <c r="A37" s="119">
        <f>-15</f>
        <v>-15</v>
      </c>
      <c r="B37" s="3"/>
      <c r="C37" s="3">
        <v>6173.3644014198289</v>
      </c>
      <c r="D37" s="3">
        <v>4255.4550075344032</v>
      </c>
      <c r="E37" s="3">
        <v>3264.4154549966838</v>
      </c>
      <c r="F37" s="3">
        <v>3021.9718138839303</v>
      </c>
      <c r="G37" s="3">
        <v>1960.3272335044344</v>
      </c>
      <c r="H37" s="3">
        <v>400.41440914505898</v>
      </c>
      <c r="I37" s="3"/>
      <c r="J37" s="3"/>
      <c r="K37" s="3"/>
      <c r="L37" s="3"/>
      <c r="M37" s="3"/>
      <c r="N37" s="3"/>
      <c r="O37" s="3"/>
      <c r="P37" s="3"/>
    </row>
    <row r="38" spans="1:16" x14ac:dyDescent="0.25">
      <c r="A38" s="120">
        <f>A37+1</f>
        <v>-14</v>
      </c>
      <c r="B38" s="3">
        <v>7093.4858608209797</v>
      </c>
      <c r="C38" s="3">
        <v>6173.3644014198289</v>
      </c>
      <c r="D38" s="3">
        <v>4255.4550075344032</v>
      </c>
      <c r="E38" s="3">
        <v>3264.4154549966838</v>
      </c>
      <c r="F38" s="3">
        <v>3021.9718138839303</v>
      </c>
      <c r="G38" s="3">
        <v>1960.3272335044344</v>
      </c>
      <c r="H38" s="3">
        <v>400.41440914505898</v>
      </c>
      <c r="I38" s="3"/>
      <c r="J38" s="3"/>
      <c r="K38" s="3"/>
      <c r="L38" s="3"/>
      <c r="M38" s="3"/>
      <c r="N38" s="3"/>
      <c r="O38" s="3"/>
      <c r="P38" s="3"/>
    </row>
    <row r="39" spans="1:16" x14ac:dyDescent="0.25">
      <c r="A39" s="120">
        <f t="shared" ref="A39:A67" si="0">A38+1</f>
        <v>-13</v>
      </c>
      <c r="B39" s="3">
        <v>7092.1673772219492</v>
      </c>
      <c r="C39" s="3">
        <v>6173.3644014198289</v>
      </c>
      <c r="D39" s="3">
        <v>4255.4550075344032</v>
      </c>
      <c r="E39" s="3">
        <v>3264.4154549966838</v>
      </c>
      <c r="F39" s="3">
        <v>3021.9718138839303</v>
      </c>
      <c r="G39" s="3">
        <v>1960.3272335044344</v>
      </c>
      <c r="H39" s="3">
        <v>400.41440914505898</v>
      </c>
      <c r="I39" s="3"/>
      <c r="J39" s="3"/>
      <c r="K39" s="3"/>
      <c r="L39" s="3"/>
      <c r="M39" s="3"/>
      <c r="N39" s="3"/>
      <c r="O39" s="3"/>
      <c r="P39" s="3"/>
    </row>
    <row r="40" spans="1:16" x14ac:dyDescent="0.25">
      <c r="A40" s="120">
        <f t="shared" si="0"/>
        <v>-12</v>
      </c>
      <c r="B40" s="3">
        <v>7091.0575491365025</v>
      </c>
      <c r="C40" s="3">
        <v>6173.3644014198289</v>
      </c>
      <c r="D40" s="3">
        <v>4255.4550075344032</v>
      </c>
      <c r="E40" s="3">
        <v>3264.4154549966838</v>
      </c>
      <c r="F40" s="3">
        <v>3021.9718138839303</v>
      </c>
      <c r="G40" s="3">
        <v>1960.3272335044344</v>
      </c>
      <c r="H40" s="3">
        <v>400.41440914505898</v>
      </c>
      <c r="I40" s="3"/>
      <c r="J40" s="3"/>
      <c r="K40" s="3"/>
      <c r="L40" s="3"/>
      <c r="M40" s="3"/>
      <c r="N40" s="3"/>
      <c r="O40" s="3"/>
      <c r="P40" s="3"/>
    </row>
    <row r="41" spans="1:16" x14ac:dyDescent="0.25">
      <c r="A41" s="120">
        <f t="shared" si="0"/>
        <v>-11</v>
      </c>
      <c r="B41" s="3">
        <v>7045.0971706629016</v>
      </c>
      <c r="C41" s="3">
        <v>6173.3644014198289</v>
      </c>
      <c r="D41" s="3">
        <v>4255.4550075344032</v>
      </c>
      <c r="E41" s="3">
        <v>3264.4154549966838</v>
      </c>
      <c r="F41" s="3">
        <v>3021.9718138839303</v>
      </c>
      <c r="G41" s="3">
        <v>1960.3272335044344</v>
      </c>
      <c r="H41" s="3">
        <v>400.41440914505898</v>
      </c>
      <c r="I41" s="3"/>
      <c r="J41" s="3"/>
      <c r="K41" s="3"/>
      <c r="L41" s="3"/>
      <c r="M41" s="3"/>
      <c r="N41" s="3"/>
      <c r="O41" s="3"/>
      <c r="P41" s="3"/>
    </row>
    <row r="42" spans="1:16" x14ac:dyDescent="0.25">
      <c r="A42" s="120">
        <f t="shared" si="0"/>
        <v>-10</v>
      </c>
      <c r="B42" s="3">
        <v>6904.9853534792564</v>
      </c>
      <c r="C42" s="3">
        <v>6592.4502932221758</v>
      </c>
      <c r="D42" s="3">
        <v>4255.4550075344032</v>
      </c>
      <c r="E42" s="3">
        <v>3264.4154549966838</v>
      </c>
      <c r="F42" s="3">
        <v>3021.9718138839303</v>
      </c>
      <c r="G42" s="3">
        <v>1960.3272335044344</v>
      </c>
      <c r="H42" s="3">
        <v>400.41440914505898</v>
      </c>
      <c r="I42" s="3"/>
      <c r="J42" s="3"/>
      <c r="K42" s="3"/>
      <c r="L42" s="3"/>
      <c r="M42" s="3"/>
      <c r="N42" s="3"/>
      <c r="O42" s="3"/>
      <c r="P42" s="3"/>
    </row>
    <row r="43" spans="1:16" x14ac:dyDescent="0.25">
      <c r="A43" s="120">
        <f t="shared" si="0"/>
        <v>-9</v>
      </c>
      <c r="B43" s="3">
        <v>6758.3973411489715</v>
      </c>
      <c r="C43" s="3">
        <v>6461.6736407930621</v>
      </c>
      <c r="D43" s="3">
        <v>4255.4550075344032</v>
      </c>
      <c r="E43" s="3">
        <v>3264.4154549966838</v>
      </c>
      <c r="F43" s="3">
        <v>3021.9718138839303</v>
      </c>
      <c r="G43" s="3">
        <v>1960.3272335044344</v>
      </c>
      <c r="H43" s="3">
        <v>400.41440914505898</v>
      </c>
      <c r="I43" s="3"/>
      <c r="J43" s="3"/>
      <c r="K43" s="3"/>
      <c r="L43" s="3"/>
      <c r="M43" s="3"/>
      <c r="N43" s="3"/>
      <c r="O43" s="3"/>
      <c r="P43" s="3"/>
    </row>
    <row r="44" spans="1:16" x14ac:dyDescent="0.25">
      <c r="A44" s="120">
        <f t="shared" si="0"/>
        <v>-8</v>
      </c>
      <c r="B44" s="3">
        <v>6647.4799672407953</v>
      </c>
      <c r="C44" s="3">
        <v>6320.3872447581107</v>
      </c>
      <c r="D44" s="3">
        <v>6170.877168405882</v>
      </c>
      <c r="E44" s="3">
        <v>3264.4154549966838</v>
      </c>
      <c r="F44" s="3">
        <v>3021.9718138839303</v>
      </c>
      <c r="G44" s="3">
        <v>1960.3272335044344</v>
      </c>
      <c r="H44" s="3">
        <v>400.41440914505898</v>
      </c>
      <c r="I44" s="3"/>
      <c r="J44" s="3"/>
      <c r="K44" s="3"/>
      <c r="L44" s="3"/>
      <c r="M44" s="3"/>
      <c r="N44" s="3"/>
      <c r="O44" s="3"/>
      <c r="P44" s="3"/>
    </row>
    <row r="45" spans="1:16" x14ac:dyDescent="0.25">
      <c r="A45" s="120">
        <f t="shared" si="0"/>
        <v>-7</v>
      </c>
      <c r="B45" s="3">
        <v>6520.8999161504562</v>
      </c>
      <c r="C45" s="3">
        <v>6173.4051072185248</v>
      </c>
      <c r="D45" s="3">
        <v>6003.4003784667293</v>
      </c>
      <c r="E45" s="3">
        <v>5876.5182395736783</v>
      </c>
      <c r="F45" s="3">
        <v>3021.9718138839303</v>
      </c>
      <c r="G45" s="3">
        <v>1960.3272335044344</v>
      </c>
      <c r="H45" s="3">
        <v>400.41440914505898</v>
      </c>
      <c r="I45" s="3"/>
      <c r="J45" s="3"/>
      <c r="K45" s="3"/>
      <c r="L45" s="3"/>
      <c r="M45" s="3"/>
      <c r="N45" s="3"/>
      <c r="O45" s="3"/>
      <c r="P45" s="3"/>
    </row>
    <row r="46" spans="1:16" x14ac:dyDescent="0.25">
      <c r="A46" s="120">
        <f t="shared" si="0"/>
        <v>-6</v>
      </c>
      <c r="B46" s="3">
        <v>6385.2270801599589</v>
      </c>
      <c r="C46" s="3">
        <v>6008.9829448408391</v>
      </c>
      <c r="D46" s="3">
        <v>5818.9753830415148</v>
      </c>
      <c r="E46" s="3">
        <v>5703.6719879451384</v>
      </c>
      <c r="F46" s="3">
        <v>3021.9718138839303</v>
      </c>
      <c r="G46" s="3">
        <v>1960.3272335044344</v>
      </c>
      <c r="H46" s="3">
        <v>400.41440914505898</v>
      </c>
      <c r="I46" s="3"/>
      <c r="J46" s="3"/>
      <c r="K46" s="3"/>
      <c r="L46" s="3"/>
      <c r="M46" s="3"/>
      <c r="N46" s="3"/>
      <c r="O46" s="3"/>
      <c r="P46" s="3"/>
    </row>
    <row r="47" spans="1:16" x14ac:dyDescent="0.25">
      <c r="A47" s="120">
        <f t="shared" si="0"/>
        <v>-5</v>
      </c>
      <c r="B47" s="3">
        <v>6173.3644014198289</v>
      </c>
      <c r="C47" s="3">
        <v>5831.6563829123788</v>
      </c>
      <c r="D47" s="3">
        <v>5655.2102874133761</v>
      </c>
      <c r="E47" s="3">
        <v>5535.9139518760012</v>
      </c>
      <c r="F47" s="3">
        <v>5316.0543139142828</v>
      </c>
      <c r="G47" s="3">
        <v>1960.3272335044344</v>
      </c>
      <c r="H47" s="3">
        <v>400.41440914505898</v>
      </c>
      <c r="I47" s="3"/>
      <c r="J47" s="3"/>
      <c r="K47" s="3"/>
      <c r="L47" s="3"/>
      <c r="M47" s="3"/>
      <c r="N47" s="3"/>
      <c r="O47" s="3"/>
      <c r="P47" s="3"/>
    </row>
    <row r="48" spans="1:16" x14ac:dyDescent="0.25">
      <c r="A48" s="120">
        <f t="shared" si="0"/>
        <v>-4</v>
      </c>
      <c r="B48" s="3">
        <v>6173.3644014198289</v>
      </c>
      <c r="C48" s="3">
        <v>5655.8988696207061</v>
      </c>
      <c r="D48" s="3">
        <v>5483.8294222235336</v>
      </c>
      <c r="E48" s="3">
        <v>5351.5716027613016</v>
      </c>
      <c r="F48" s="3">
        <v>5094.9618199282804</v>
      </c>
      <c r="G48" s="3">
        <v>1960.3272335044344</v>
      </c>
      <c r="H48" s="3">
        <v>400.41440914505898</v>
      </c>
      <c r="I48" s="3"/>
      <c r="J48" s="3"/>
      <c r="K48" s="3"/>
      <c r="L48" s="3"/>
      <c r="M48" s="3"/>
      <c r="N48" s="3"/>
      <c r="O48" s="3"/>
      <c r="P48" s="3"/>
    </row>
    <row r="49" spans="1:16" x14ac:dyDescent="0.25">
      <c r="A49" s="120">
        <f t="shared" si="0"/>
        <v>-3</v>
      </c>
      <c r="B49" s="3">
        <v>6173.3644014198289</v>
      </c>
      <c r="C49" s="3">
        <v>5449.4562937914216</v>
      </c>
      <c r="D49" s="3">
        <v>5275.3862358697006</v>
      </c>
      <c r="E49" s="3">
        <v>5127.6143067942894</v>
      </c>
      <c r="F49" s="3">
        <v>4859.6753740182503</v>
      </c>
      <c r="G49" s="3">
        <v>1960.3272335044344</v>
      </c>
      <c r="H49" s="3">
        <v>400.41440914505898</v>
      </c>
      <c r="I49" s="3"/>
      <c r="J49" s="3"/>
      <c r="K49" s="3"/>
      <c r="L49" s="3"/>
      <c r="M49" s="3"/>
      <c r="N49" s="3"/>
      <c r="O49" s="3"/>
      <c r="P49" s="3"/>
    </row>
    <row r="50" spans="1:16" x14ac:dyDescent="0.25">
      <c r="A50" s="120">
        <f t="shared" si="0"/>
        <v>-2</v>
      </c>
      <c r="B50" s="3">
        <v>6173.3644014198289</v>
      </c>
      <c r="C50" s="3">
        <v>4993.8646911081605</v>
      </c>
      <c r="D50" s="3">
        <v>5004.5239710498154</v>
      </c>
      <c r="E50" s="3">
        <v>4886.3410631371407</v>
      </c>
      <c r="F50" s="3">
        <v>4653.8175879978271</v>
      </c>
      <c r="G50" s="3">
        <v>1960.3272335044344</v>
      </c>
      <c r="H50" s="3">
        <v>400.41440914505898</v>
      </c>
      <c r="I50" s="3"/>
      <c r="J50" s="3"/>
      <c r="K50" s="3"/>
      <c r="L50" s="3"/>
      <c r="M50" s="3"/>
      <c r="N50" s="3"/>
      <c r="O50" s="3"/>
      <c r="P50" s="3"/>
    </row>
    <row r="51" spans="1:16" x14ac:dyDescent="0.25">
      <c r="A51" s="120">
        <f t="shared" si="0"/>
        <v>-1</v>
      </c>
      <c r="B51" s="3">
        <v>6173.3644014198289</v>
      </c>
      <c r="C51" s="3">
        <v>4255.4550075344032</v>
      </c>
      <c r="D51" s="3">
        <v>4574.5288133888662</v>
      </c>
      <c r="E51" s="3">
        <v>4644.1315444171159</v>
      </c>
      <c r="F51" s="3">
        <v>4469.1753341299773</v>
      </c>
      <c r="G51" s="3">
        <v>1960.3272335044344</v>
      </c>
      <c r="H51" s="3">
        <v>400.41440914505898</v>
      </c>
      <c r="I51" s="3"/>
      <c r="J51" s="3"/>
      <c r="K51" s="3"/>
      <c r="L51" s="3"/>
      <c r="M51" s="3"/>
      <c r="N51" s="3"/>
      <c r="O51" s="3"/>
      <c r="P51" s="3"/>
    </row>
    <row r="52" spans="1:16" x14ac:dyDescent="0.25">
      <c r="A52" s="120">
        <f t="shared" si="0"/>
        <v>0</v>
      </c>
      <c r="B52" s="3">
        <v>6173.3644014198289</v>
      </c>
      <c r="C52" s="3">
        <v>4255.4550075344032</v>
      </c>
      <c r="D52" s="3">
        <v>3909.9834178051133</v>
      </c>
      <c r="E52" s="3">
        <v>4265.604074878318</v>
      </c>
      <c r="F52" s="3">
        <v>4267.9652571239076</v>
      </c>
      <c r="G52" s="3">
        <v>1960.3272335044344</v>
      </c>
      <c r="H52" s="3">
        <v>400.41440914505898</v>
      </c>
      <c r="I52" s="3"/>
      <c r="J52" s="3"/>
      <c r="K52" s="3"/>
      <c r="L52" s="3"/>
      <c r="M52" s="3"/>
      <c r="N52" s="3"/>
      <c r="O52" s="3"/>
      <c r="P52" s="3"/>
    </row>
    <row r="53" spans="1:16" x14ac:dyDescent="0.25">
      <c r="A53" s="120">
        <f t="shared" si="0"/>
        <v>1</v>
      </c>
      <c r="B53" s="3">
        <v>6173.3644014198289</v>
      </c>
      <c r="C53" s="3">
        <v>4255.4550075344032</v>
      </c>
      <c r="D53" s="3">
        <v>3264.4154549966838</v>
      </c>
      <c r="E53" s="3">
        <v>3631.0463227546511</v>
      </c>
      <c r="F53" s="3">
        <v>3976.7785402340392</v>
      </c>
      <c r="G53" s="3">
        <v>3743.1712808219754</v>
      </c>
      <c r="H53" s="3">
        <v>400.41440914505898</v>
      </c>
      <c r="I53" s="3"/>
      <c r="J53" s="3"/>
      <c r="K53" s="3"/>
      <c r="L53" s="3"/>
      <c r="M53" s="3"/>
      <c r="N53" s="3"/>
      <c r="O53" s="3"/>
      <c r="P53" s="3"/>
    </row>
    <row r="54" spans="1:16" x14ac:dyDescent="0.25">
      <c r="A54" s="120">
        <f t="shared" si="0"/>
        <v>2</v>
      </c>
      <c r="B54" s="3">
        <v>6173.3644014198289</v>
      </c>
      <c r="C54" s="3">
        <v>4255.4550075344032</v>
      </c>
      <c r="D54" s="3">
        <v>3264.4154549966838</v>
      </c>
      <c r="E54" s="3">
        <v>3021.9718138839303</v>
      </c>
      <c r="F54" s="3">
        <v>3445.6591436468279</v>
      </c>
      <c r="G54" s="3">
        <v>3515.2511650339729</v>
      </c>
      <c r="H54" s="3">
        <v>400.41440914505898</v>
      </c>
      <c r="I54" s="3"/>
      <c r="J54" s="3"/>
      <c r="K54" s="3"/>
      <c r="L54" s="3"/>
      <c r="M54" s="3"/>
      <c r="N54" s="3"/>
      <c r="O54" s="3"/>
      <c r="P54" s="3"/>
    </row>
    <row r="55" spans="1:16" x14ac:dyDescent="0.25">
      <c r="A55" s="120">
        <f t="shared" si="0"/>
        <v>3</v>
      </c>
      <c r="B55" s="3">
        <v>6173.3644014198289</v>
      </c>
      <c r="C55" s="3">
        <v>4255.4550075344032</v>
      </c>
      <c r="D55" s="3">
        <v>3264.4154549966838</v>
      </c>
      <c r="E55" s="3">
        <v>3021.9718138839303</v>
      </c>
      <c r="F55" s="3">
        <v>2839.3657389117534</v>
      </c>
      <c r="G55" s="3">
        <v>3249.5700351923178</v>
      </c>
      <c r="H55" s="3">
        <v>400.41440914505898</v>
      </c>
      <c r="I55" s="3"/>
      <c r="J55" s="3"/>
      <c r="K55" s="3"/>
      <c r="L55" s="3"/>
      <c r="M55" s="3"/>
      <c r="N55" s="3"/>
      <c r="O55" s="3"/>
      <c r="P55" s="3"/>
    </row>
    <row r="56" spans="1:16" x14ac:dyDescent="0.25">
      <c r="A56" s="120">
        <f t="shared" si="0"/>
        <v>4</v>
      </c>
      <c r="B56" s="3">
        <v>6173.3644014198289</v>
      </c>
      <c r="C56" s="3">
        <v>4255.4550075344032</v>
      </c>
      <c r="D56" s="3">
        <v>3264.4154549966838</v>
      </c>
      <c r="E56" s="3">
        <v>3021.9718138839303</v>
      </c>
      <c r="F56" s="3">
        <v>2338.5721090290958</v>
      </c>
      <c r="G56" s="3">
        <v>2968.7497199447748</v>
      </c>
      <c r="H56" s="3">
        <v>400.41440914505898</v>
      </c>
      <c r="I56" s="3"/>
      <c r="J56" s="3"/>
      <c r="K56" s="3"/>
      <c r="L56" s="3"/>
      <c r="M56" s="3"/>
      <c r="N56" s="3"/>
      <c r="O56" s="3"/>
      <c r="P56" s="3"/>
    </row>
    <row r="57" spans="1:16" x14ac:dyDescent="0.25">
      <c r="A57" s="120">
        <f t="shared" si="0"/>
        <v>5</v>
      </c>
      <c r="B57" s="3">
        <v>6173.3644014198289</v>
      </c>
      <c r="C57" s="3">
        <v>4255.4550075344032</v>
      </c>
      <c r="D57" s="3">
        <v>3264.4154549966838</v>
      </c>
      <c r="E57" s="3">
        <v>3021.9718138839303</v>
      </c>
      <c r="F57" s="3">
        <v>1960.3272335044344</v>
      </c>
      <c r="G57" s="3">
        <v>2607.6672523307684</v>
      </c>
      <c r="H57" s="3">
        <v>400.41440914505898</v>
      </c>
      <c r="I57" s="3"/>
      <c r="J57" s="3"/>
      <c r="K57" s="3"/>
      <c r="L57" s="3"/>
      <c r="M57" s="3"/>
      <c r="N57" s="3"/>
      <c r="O57" s="3"/>
      <c r="P57" s="3"/>
    </row>
    <row r="58" spans="1:16" x14ac:dyDescent="0.25">
      <c r="A58" s="120">
        <f t="shared" si="0"/>
        <v>6</v>
      </c>
      <c r="B58" s="3">
        <v>6173.3644014198289</v>
      </c>
      <c r="C58" s="3">
        <v>4255.4550075344032</v>
      </c>
      <c r="D58" s="3">
        <v>3264.4154549966838</v>
      </c>
      <c r="E58" s="3">
        <v>3021.9718138839303</v>
      </c>
      <c r="F58" s="3">
        <v>1960.3272335044344</v>
      </c>
      <c r="G58" s="3">
        <v>2093.0748437326852</v>
      </c>
      <c r="H58" s="3">
        <v>400.41440914505898</v>
      </c>
      <c r="I58" s="3"/>
      <c r="J58" s="3"/>
      <c r="K58" s="3"/>
      <c r="L58" s="3"/>
      <c r="M58" s="3"/>
      <c r="N58" s="3"/>
      <c r="O58" s="3"/>
      <c r="P58" s="3"/>
    </row>
    <row r="59" spans="1:16" x14ac:dyDescent="0.25">
      <c r="A59" s="120">
        <f t="shared" si="0"/>
        <v>7</v>
      </c>
      <c r="B59" s="3">
        <v>6173.3644014198289</v>
      </c>
      <c r="C59" s="3">
        <v>4255.4550075344032</v>
      </c>
      <c r="D59" s="3">
        <v>3264.4154549966838</v>
      </c>
      <c r="E59" s="3">
        <v>3021.9718138839303</v>
      </c>
      <c r="F59" s="3">
        <v>1960.3272335044344</v>
      </c>
      <c r="G59" s="3">
        <v>1491.6312668298178</v>
      </c>
      <c r="H59" s="3">
        <v>1637.5777796791931</v>
      </c>
      <c r="I59" s="3"/>
      <c r="J59" s="3"/>
      <c r="K59" s="3"/>
      <c r="L59" s="3"/>
      <c r="M59" s="3"/>
      <c r="N59" s="3"/>
      <c r="O59" s="3"/>
      <c r="P59" s="3"/>
    </row>
    <row r="60" spans="1:16" x14ac:dyDescent="0.25">
      <c r="A60" s="120">
        <f t="shared" si="0"/>
        <v>8</v>
      </c>
      <c r="B60" s="3">
        <v>6173.3644014198289</v>
      </c>
      <c r="C60" s="3">
        <v>4255.4550075344032</v>
      </c>
      <c r="D60" s="3">
        <v>3264.4154549966838</v>
      </c>
      <c r="E60" s="3">
        <v>3021.9718138839303</v>
      </c>
      <c r="F60" s="3">
        <v>1960.3272335044344</v>
      </c>
      <c r="G60" s="3">
        <v>971.74893642400525</v>
      </c>
      <c r="H60" s="3">
        <v>1177.0058376350325</v>
      </c>
      <c r="I60" s="3"/>
      <c r="J60" s="3"/>
      <c r="K60" s="3"/>
      <c r="L60" s="3"/>
      <c r="M60" s="3"/>
      <c r="N60" s="3"/>
      <c r="O60" s="3"/>
      <c r="P60" s="3"/>
    </row>
    <row r="61" spans="1:16" x14ac:dyDescent="0.25">
      <c r="A61" s="120">
        <f t="shared" si="0"/>
        <v>9</v>
      </c>
      <c r="B61" s="3">
        <v>6173.3644014198289</v>
      </c>
      <c r="C61" s="3">
        <v>4255.4550075344032</v>
      </c>
      <c r="D61" s="3">
        <v>3264.4154549966838</v>
      </c>
      <c r="E61" s="3">
        <v>3021.9718138839303</v>
      </c>
      <c r="F61" s="3">
        <v>1960.3272335044344</v>
      </c>
      <c r="G61" s="3">
        <v>607.89623934575093</v>
      </c>
      <c r="H61" s="3">
        <v>812.89778014864009</v>
      </c>
      <c r="I61" s="3"/>
      <c r="J61" s="3"/>
      <c r="K61" s="3"/>
      <c r="L61" s="3"/>
      <c r="M61" s="3"/>
      <c r="N61" s="3"/>
      <c r="O61" s="3"/>
      <c r="P61" s="3"/>
    </row>
    <row r="62" spans="1:16" x14ac:dyDescent="0.25">
      <c r="A62" s="120">
        <f t="shared" si="0"/>
        <v>10</v>
      </c>
      <c r="B62" s="3">
        <v>6173.3644014198289</v>
      </c>
      <c r="C62" s="3">
        <v>4255.4550075344032</v>
      </c>
      <c r="D62" s="3">
        <v>3264.4154549966838</v>
      </c>
      <c r="E62" s="3">
        <v>3021.9718138839303</v>
      </c>
      <c r="F62" s="3">
        <v>1960.3272335044344</v>
      </c>
      <c r="G62" s="3">
        <v>400.41440914505898</v>
      </c>
      <c r="H62" s="3">
        <v>609.99662623443839</v>
      </c>
      <c r="I62" s="3"/>
      <c r="J62" s="3"/>
      <c r="K62" s="3"/>
      <c r="L62" s="3"/>
      <c r="M62" s="3"/>
      <c r="N62" s="3"/>
      <c r="O62" s="3"/>
      <c r="P62" s="3"/>
    </row>
    <row r="63" spans="1:16" x14ac:dyDescent="0.25">
      <c r="A63" s="120">
        <f t="shared" si="0"/>
        <v>11</v>
      </c>
      <c r="B63" s="3">
        <v>6173.3644014198289</v>
      </c>
      <c r="C63" s="3">
        <v>4255.4550075344032</v>
      </c>
      <c r="D63" s="3">
        <v>3264.4154549966838</v>
      </c>
      <c r="E63" s="3">
        <v>3021.9718138839303</v>
      </c>
      <c r="F63" s="3">
        <v>1960.3272335044344</v>
      </c>
      <c r="G63" s="3">
        <v>400.41440914505898</v>
      </c>
      <c r="H63" s="3">
        <v>491.63807981787494</v>
      </c>
      <c r="I63" s="3"/>
      <c r="J63" s="3"/>
      <c r="K63" s="3"/>
      <c r="L63" s="3"/>
      <c r="M63" s="3"/>
      <c r="N63" s="3"/>
      <c r="O63" s="3"/>
      <c r="P63" s="3"/>
    </row>
    <row r="64" spans="1:16" x14ac:dyDescent="0.25">
      <c r="A64" s="120">
        <f t="shared" si="0"/>
        <v>12</v>
      </c>
      <c r="B64" s="3">
        <v>6173.3644014198289</v>
      </c>
      <c r="C64" s="3">
        <v>4255.4550075344032</v>
      </c>
      <c r="D64" s="3">
        <v>3264.4154549966838</v>
      </c>
      <c r="E64" s="3">
        <v>3021.9718138839303</v>
      </c>
      <c r="F64" s="3">
        <v>1960.3272335044344</v>
      </c>
      <c r="G64" s="3">
        <v>400.41440914505898</v>
      </c>
      <c r="H64" s="3">
        <v>420.71970940966855</v>
      </c>
      <c r="I64" s="3"/>
      <c r="J64" s="3"/>
      <c r="K64" s="3"/>
      <c r="L64" s="3"/>
      <c r="M64" s="3"/>
      <c r="N64" s="3"/>
      <c r="O64" s="3"/>
      <c r="P64" s="3"/>
    </row>
    <row r="65" spans="1:16" x14ac:dyDescent="0.25">
      <c r="A65" s="120">
        <f t="shared" si="0"/>
        <v>13</v>
      </c>
      <c r="B65" s="3">
        <v>6173.3644014198289</v>
      </c>
      <c r="C65" s="3">
        <v>4255.4550075344032</v>
      </c>
      <c r="D65" s="3">
        <v>3264.4154549966838</v>
      </c>
      <c r="E65" s="3">
        <v>3021.9718138839303</v>
      </c>
      <c r="F65" s="3">
        <v>1960.3272335044344</v>
      </c>
      <c r="G65" s="3">
        <v>400.41440914505898</v>
      </c>
      <c r="H65" s="3">
        <v>350.02293592389253</v>
      </c>
      <c r="I65" s="3"/>
      <c r="J65" s="3"/>
      <c r="K65" s="3"/>
      <c r="L65" s="3"/>
      <c r="M65" s="3"/>
      <c r="N65" s="3"/>
      <c r="O65" s="3"/>
      <c r="P65" s="3"/>
    </row>
    <row r="66" spans="1:16" x14ac:dyDescent="0.25">
      <c r="A66" s="120">
        <f t="shared" si="0"/>
        <v>14</v>
      </c>
      <c r="B66" s="3">
        <v>6173.3644014198289</v>
      </c>
      <c r="C66" s="3">
        <v>4255.4550075344032</v>
      </c>
      <c r="D66" s="3">
        <v>3264.4154549966838</v>
      </c>
      <c r="E66" s="3">
        <v>3021.9718138839303</v>
      </c>
      <c r="F66" s="3">
        <v>1960.3272335044344</v>
      </c>
      <c r="G66" s="3">
        <v>400.41440914505898</v>
      </c>
      <c r="H66" s="3">
        <v>283.10941172214928</v>
      </c>
      <c r="I66" s="3"/>
      <c r="J66" s="3"/>
      <c r="K66" s="3"/>
      <c r="L66" s="3"/>
      <c r="M66" s="3"/>
      <c r="N66" s="3"/>
      <c r="O66" s="3"/>
      <c r="P66" s="3"/>
    </row>
    <row r="67" spans="1:16" x14ac:dyDescent="0.25">
      <c r="A67" s="120">
        <f t="shared" si="0"/>
        <v>15</v>
      </c>
      <c r="B67" s="3">
        <v>6173.3644014198289</v>
      </c>
      <c r="C67" s="3">
        <v>4255.4550075344032</v>
      </c>
      <c r="D67" s="3">
        <v>3264.4154549966838</v>
      </c>
      <c r="E67" s="3">
        <v>3021.9718138839303</v>
      </c>
      <c r="F67" s="3">
        <v>1960.3272335044344</v>
      </c>
      <c r="G67" s="3">
        <v>400.41440914505898</v>
      </c>
      <c r="H67" s="3">
        <v>238.40239143762301</v>
      </c>
      <c r="I67" s="3"/>
      <c r="J67" s="3"/>
      <c r="K67" s="3"/>
      <c r="L67" s="3"/>
      <c r="M67" s="3"/>
      <c r="N67" s="3"/>
      <c r="O67" s="3"/>
      <c r="P67" s="3"/>
    </row>
    <row r="68" spans="1:16" x14ac:dyDescent="0.25">
      <c r="A68" s="3"/>
      <c r="B68" s="3"/>
      <c r="C68" s="3"/>
      <c r="D68" s="3"/>
      <c r="E68" s="3"/>
      <c r="F68" s="3"/>
      <c r="G68" s="3"/>
      <c r="H68" s="3"/>
      <c r="I68" s="3"/>
      <c r="J68" s="3"/>
      <c r="K68" s="3"/>
      <c r="L68" s="3"/>
      <c r="M68" s="3"/>
      <c r="N68" s="3"/>
      <c r="O68" s="3"/>
      <c r="P68" s="3"/>
    </row>
    <row r="69" spans="1:16" x14ac:dyDescent="0.25">
      <c r="A69" s="121"/>
      <c r="B69" s="121"/>
      <c r="C69" s="121"/>
      <c r="D69" s="121"/>
      <c r="E69" s="121"/>
      <c r="F69" s="121"/>
      <c r="G69" s="121"/>
      <c r="H69" s="121"/>
      <c r="I69" s="121"/>
      <c r="J69" s="121"/>
      <c r="K69" s="3"/>
      <c r="L69" s="3"/>
      <c r="M69" s="3"/>
      <c r="N69" s="3"/>
      <c r="O69" s="3"/>
      <c r="P69" s="3"/>
    </row>
    <row r="70" spans="1:16" x14ac:dyDescent="0.25">
      <c r="A70" s="3"/>
      <c r="B70" s="3"/>
      <c r="C70" s="3"/>
      <c r="D70" s="3"/>
      <c r="E70" s="3"/>
      <c r="F70" s="3"/>
      <c r="G70" s="3"/>
      <c r="H70" s="3"/>
      <c r="I70" s="3"/>
      <c r="J70" s="3"/>
      <c r="K70" s="3"/>
      <c r="L70" s="3"/>
      <c r="M70" s="3"/>
      <c r="N70" s="3"/>
      <c r="O70" s="3"/>
      <c r="P70" s="3"/>
    </row>
    <row r="71" spans="1:16" x14ac:dyDescent="0.25">
      <c r="A71" s="121" t="s">
        <v>17</v>
      </c>
      <c r="B71" s="3"/>
      <c r="C71" s="3"/>
      <c r="D71" s="3"/>
      <c r="E71" s="3"/>
      <c r="F71" s="3"/>
      <c r="G71" s="3"/>
      <c r="H71" s="3"/>
      <c r="I71" s="3"/>
      <c r="J71" s="3"/>
      <c r="K71" s="3"/>
      <c r="L71" s="3"/>
      <c r="M71" s="3"/>
      <c r="N71" s="3"/>
      <c r="O71" s="3"/>
      <c r="P71" s="3"/>
    </row>
    <row r="72" spans="1:16" x14ac:dyDescent="0.25">
      <c r="A72" s="121">
        <f>10^A37</f>
        <v>1.0000000000000001E-15</v>
      </c>
      <c r="B72" s="122" t="str">
        <f t="shared" ref="B72:H79" si="1">IF($A72&gt;=10^B$4,IF($A72&lt;=10^INDEX($B$4:$H$34,$A$1,COLUMN(B4)-1),B37,"nv"),"nv")</f>
        <v>nv</v>
      </c>
      <c r="C72" s="122" t="str">
        <f t="shared" si="1"/>
        <v>nv</v>
      </c>
      <c r="D72" s="122" t="str">
        <f t="shared" si="1"/>
        <v>nv</v>
      </c>
      <c r="E72" s="122" t="str">
        <f t="shared" si="1"/>
        <v>nv</v>
      </c>
      <c r="F72" s="122" t="str">
        <f t="shared" si="1"/>
        <v>nv</v>
      </c>
      <c r="G72" s="122" t="str">
        <f t="shared" si="1"/>
        <v>nv</v>
      </c>
      <c r="H72" s="122" t="str">
        <f t="shared" si="1"/>
        <v>nv</v>
      </c>
      <c r="I72" s="122"/>
      <c r="J72" s="122">
        <f>IF(ISERROR(AVERAGE(B72:H72)),IF(J71&gt;0,J71,J73),AVERAGE(B72:H72))</f>
        <v>7093.4858608209797</v>
      </c>
      <c r="K72" s="3"/>
      <c r="L72" s="3"/>
      <c r="M72" s="3"/>
      <c r="N72" s="3"/>
      <c r="O72" s="3"/>
      <c r="P72" s="3"/>
    </row>
    <row r="73" spans="1:16" x14ac:dyDescent="0.25">
      <c r="A73" s="121">
        <f t="shared" ref="A73:A102" si="2">10^A38</f>
        <v>1E-14</v>
      </c>
      <c r="B73" s="122">
        <f t="shared" si="1"/>
        <v>7093.4858608209797</v>
      </c>
      <c r="C73" s="122" t="str">
        <f t="shared" si="1"/>
        <v>nv</v>
      </c>
      <c r="D73" s="122" t="str">
        <f t="shared" si="1"/>
        <v>nv</v>
      </c>
      <c r="E73" s="122" t="str">
        <f t="shared" si="1"/>
        <v>nv</v>
      </c>
      <c r="F73" s="122" t="str">
        <f t="shared" si="1"/>
        <v>nv</v>
      </c>
      <c r="G73" s="122" t="str">
        <f t="shared" si="1"/>
        <v>nv</v>
      </c>
      <c r="H73" s="122" t="str">
        <f t="shared" si="1"/>
        <v>nv</v>
      </c>
      <c r="I73" s="122"/>
      <c r="J73" s="122">
        <f t="shared" ref="J73:J102" si="3">IF(ISERROR(AVERAGE(B73:H73)),IF(J72&gt;0,J72,J74),AVERAGE(B73:H73))</f>
        <v>7093.4858608209797</v>
      </c>
      <c r="K73" s="3"/>
      <c r="L73" s="3"/>
      <c r="M73" s="3"/>
      <c r="N73" s="3"/>
      <c r="O73" s="3"/>
      <c r="P73" s="3"/>
    </row>
    <row r="74" spans="1:16" x14ac:dyDescent="0.25">
      <c r="A74" s="121">
        <f t="shared" si="2"/>
        <v>1E-13</v>
      </c>
      <c r="B74" s="122">
        <f t="shared" si="1"/>
        <v>7092.1673772219492</v>
      </c>
      <c r="C74" s="122" t="str">
        <f t="shared" si="1"/>
        <v>nv</v>
      </c>
      <c r="D74" s="122" t="str">
        <f t="shared" si="1"/>
        <v>nv</v>
      </c>
      <c r="E74" s="122" t="str">
        <f t="shared" si="1"/>
        <v>nv</v>
      </c>
      <c r="F74" s="122" t="str">
        <f t="shared" si="1"/>
        <v>nv</v>
      </c>
      <c r="G74" s="122" t="str">
        <f t="shared" si="1"/>
        <v>nv</v>
      </c>
      <c r="H74" s="122" t="str">
        <f t="shared" si="1"/>
        <v>nv</v>
      </c>
      <c r="I74" s="122"/>
      <c r="J74" s="122">
        <f t="shared" si="3"/>
        <v>7092.1673772219492</v>
      </c>
      <c r="K74" s="3"/>
      <c r="L74" s="3"/>
      <c r="M74" s="3"/>
      <c r="N74" s="3"/>
      <c r="O74" s="3"/>
      <c r="P74" s="3"/>
    </row>
    <row r="75" spans="1:16" x14ac:dyDescent="0.25">
      <c r="A75" s="121">
        <f t="shared" si="2"/>
        <v>9.9999999999999998E-13</v>
      </c>
      <c r="B75" s="122">
        <f t="shared" si="1"/>
        <v>7091.0575491365025</v>
      </c>
      <c r="C75" s="122" t="str">
        <f t="shared" si="1"/>
        <v>nv</v>
      </c>
      <c r="D75" s="122" t="str">
        <f t="shared" si="1"/>
        <v>nv</v>
      </c>
      <c r="E75" s="122" t="str">
        <f t="shared" si="1"/>
        <v>nv</v>
      </c>
      <c r="F75" s="122" t="str">
        <f t="shared" si="1"/>
        <v>nv</v>
      </c>
      <c r="G75" s="122" t="str">
        <f t="shared" si="1"/>
        <v>nv</v>
      </c>
      <c r="H75" s="122" t="str">
        <f t="shared" si="1"/>
        <v>nv</v>
      </c>
      <c r="I75" s="122"/>
      <c r="J75" s="122">
        <f t="shared" si="3"/>
        <v>7091.0575491365025</v>
      </c>
      <c r="K75" s="3"/>
      <c r="L75" s="3"/>
      <c r="M75" s="3"/>
      <c r="N75" s="3"/>
      <c r="O75" s="3"/>
      <c r="P75" s="3"/>
    </row>
    <row r="76" spans="1:16" x14ac:dyDescent="0.25">
      <c r="A76" s="121">
        <f t="shared" si="2"/>
        <v>9.9999999999999994E-12</v>
      </c>
      <c r="B76" s="122">
        <f t="shared" si="1"/>
        <v>7045.0971706629016</v>
      </c>
      <c r="C76" s="122" t="str">
        <f t="shared" si="1"/>
        <v>nv</v>
      </c>
      <c r="D76" s="122" t="str">
        <f t="shared" si="1"/>
        <v>nv</v>
      </c>
      <c r="E76" s="122" t="str">
        <f t="shared" si="1"/>
        <v>nv</v>
      </c>
      <c r="F76" s="122" t="str">
        <f t="shared" si="1"/>
        <v>nv</v>
      </c>
      <c r="G76" s="122" t="str">
        <f t="shared" si="1"/>
        <v>nv</v>
      </c>
      <c r="H76" s="122" t="str">
        <f t="shared" si="1"/>
        <v>nv</v>
      </c>
      <c r="I76" s="122"/>
      <c r="J76" s="122">
        <f t="shared" si="3"/>
        <v>7045.0971706629016</v>
      </c>
      <c r="K76" s="3"/>
      <c r="L76" s="3"/>
      <c r="M76" s="3"/>
      <c r="N76" s="3"/>
      <c r="O76" s="3"/>
      <c r="P76" s="3"/>
    </row>
    <row r="77" spans="1:16" x14ac:dyDescent="0.25">
      <c r="A77" s="121">
        <f t="shared" si="2"/>
        <v>1E-10</v>
      </c>
      <c r="B77" s="122">
        <f t="shared" si="1"/>
        <v>6904.9853534792564</v>
      </c>
      <c r="C77" s="122">
        <f t="shared" si="1"/>
        <v>6592.4502932221758</v>
      </c>
      <c r="D77" s="122" t="str">
        <f t="shared" si="1"/>
        <v>nv</v>
      </c>
      <c r="E77" s="122" t="str">
        <f t="shared" si="1"/>
        <v>nv</v>
      </c>
      <c r="F77" s="122" t="str">
        <f t="shared" si="1"/>
        <v>nv</v>
      </c>
      <c r="G77" s="122" t="str">
        <f t="shared" si="1"/>
        <v>nv</v>
      </c>
      <c r="H77" s="122" t="str">
        <f t="shared" si="1"/>
        <v>nv</v>
      </c>
      <c r="I77" s="122"/>
      <c r="J77" s="122">
        <f t="shared" si="3"/>
        <v>6748.7178233507166</v>
      </c>
      <c r="K77" s="3"/>
      <c r="L77" s="3"/>
      <c r="M77" s="3"/>
      <c r="N77" s="3"/>
      <c r="O77" s="3"/>
      <c r="P77" s="3"/>
    </row>
    <row r="78" spans="1:16" x14ac:dyDescent="0.25">
      <c r="A78" s="121">
        <f t="shared" si="2"/>
        <v>1.0000000000000001E-9</v>
      </c>
      <c r="B78" s="122">
        <f t="shared" si="1"/>
        <v>6758.3973411489715</v>
      </c>
      <c r="C78" s="122">
        <f t="shared" si="1"/>
        <v>6461.6736407930621</v>
      </c>
      <c r="D78" s="122" t="str">
        <f t="shared" si="1"/>
        <v>nv</v>
      </c>
      <c r="E78" s="122" t="str">
        <f t="shared" si="1"/>
        <v>nv</v>
      </c>
      <c r="F78" s="122" t="str">
        <f t="shared" si="1"/>
        <v>nv</v>
      </c>
      <c r="G78" s="122" t="str">
        <f t="shared" si="1"/>
        <v>nv</v>
      </c>
      <c r="H78" s="122" t="str">
        <f t="shared" si="1"/>
        <v>nv</v>
      </c>
      <c r="I78" s="122"/>
      <c r="J78" s="122">
        <f t="shared" si="3"/>
        <v>6610.0354909710168</v>
      </c>
    </row>
    <row r="79" spans="1:16" x14ac:dyDescent="0.25">
      <c r="A79" s="121">
        <f t="shared" si="2"/>
        <v>1E-8</v>
      </c>
      <c r="B79" s="122">
        <f t="shared" si="1"/>
        <v>6647.4799672407953</v>
      </c>
      <c r="C79" s="122">
        <f t="shared" si="1"/>
        <v>6320.3872447581107</v>
      </c>
      <c r="D79" s="122">
        <f t="shared" si="1"/>
        <v>6170.877168405882</v>
      </c>
      <c r="E79" s="122" t="str">
        <f t="shared" si="1"/>
        <v>nv</v>
      </c>
      <c r="F79" s="122" t="str">
        <f t="shared" si="1"/>
        <v>nv</v>
      </c>
      <c r="G79" s="122" t="str">
        <f t="shared" si="1"/>
        <v>nv</v>
      </c>
      <c r="H79" s="122" t="str">
        <f t="shared" si="1"/>
        <v>nv</v>
      </c>
      <c r="I79" s="122"/>
      <c r="J79" s="122">
        <f t="shared" si="3"/>
        <v>6379.5814601349293</v>
      </c>
    </row>
    <row r="80" spans="1:16" x14ac:dyDescent="0.25">
      <c r="A80" s="121">
        <f t="shared" si="2"/>
        <v>9.9999999999999995E-8</v>
      </c>
      <c r="B80" s="122">
        <f>IF($A80&gt;=10^B$4,IF($A80&lt;=10^INDEX($B$4:$H$34,$A$1,COLUMN(B12)-1),B45,"nv"),"nv")</f>
        <v>6520.8999161504562</v>
      </c>
      <c r="C80" s="122">
        <f t="shared" ref="C80:H80" si="4">IF($A80&gt;=10^C$4,IF($A80&lt;=10^INDEX($B$4:$H$34,$A$1,COLUMN(C12)-1),C45,"nv"),"nv")</f>
        <v>6173.4051072185248</v>
      </c>
      <c r="D80" s="122">
        <f t="shared" si="4"/>
        <v>6003.4003784667293</v>
      </c>
      <c r="E80" s="122">
        <f t="shared" si="4"/>
        <v>5876.5182395736783</v>
      </c>
      <c r="F80" s="122" t="str">
        <f t="shared" si="4"/>
        <v>nv</v>
      </c>
      <c r="G80" s="122" t="str">
        <f t="shared" si="4"/>
        <v>nv</v>
      </c>
      <c r="H80" s="122" t="str">
        <f t="shared" si="4"/>
        <v>nv</v>
      </c>
      <c r="I80" s="122"/>
      <c r="J80" s="122">
        <f t="shared" si="3"/>
        <v>6143.5559103523465</v>
      </c>
    </row>
    <row r="81" spans="1:10" x14ac:dyDescent="0.25">
      <c r="A81" s="121">
        <f t="shared" si="2"/>
        <v>9.9999999999999995E-7</v>
      </c>
      <c r="B81" s="122">
        <f t="shared" ref="B81:H102" si="5">IF($A81&gt;=10^B$4,IF($A81&lt;=10^INDEX($B$4:$H$34,$A$1,COLUMN(B13)-1),B46,"nv"),"nv")</f>
        <v>6385.2270801599589</v>
      </c>
      <c r="C81" s="122">
        <f t="shared" si="5"/>
        <v>6008.9829448408391</v>
      </c>
      <c r="D81" s="122">
        <f t="shared" si="5"/>
        <v>5818.9753830415148</v>
      </c>
      <c r="E81" s="122">
        <f t="shared" si="5"/>
        <v>5703.6719879451384</v>
      </c>
      <c r="F81" s="122" t="str">
        <f t="shared" si="5"/>
        <v>nv</v>
      </c>
      <c r="G81" s="122" t="str">
        <f t="shared" si="5"/>
        <v>nv</v>
      </c>
      <c r="H81" s="122" t="str">
        <f t="shared" si="5"/>
        <v>nv</v>
      </c>
      <c r="I81" s="122"/>
      <c r="J81" s="122">
        <f t="shared" si="3"/>
        <v>5979.2143489968621</v>
      </c>
    </row>
    <row r="82" spans="1:10" x14ac:dyDescent="0.25">
      <c r="A82" s="121">
        <f t="shared" si="2"/>
        <v>1.0000000000000001E-5</v>
      </c>
      <c r="B82" s="122">
        <f t="shared" si="5"/>
        <v>6173.3644014198289</v>
      </c>
      <c r="C82" s="122">
        <f t="shared" si="5"/>
        <v>5831.6563829123788</v>
      </c>
      <c r="D82" s="122">
        <f t="shared" si="5"/>
        <v>5655.2102874133761</v>
      </c>
      <c r="E82" s="122">
        <f t="shared" si="5"/>
        <v>5535.9139518760012</v>
      </c>
      <c r="F82" s="122">
        <f t="shared" si="5"/>
        <v>5316.0543139142828</v>
      </c>
      <c r="G82" s="122" t="str">
        <f t="shared" si="5"/>
        <v>nv</v>
      </c>
      <c r="H82" s="122" t="str">
        <f t="shared" si="5"/>
        <v>nv</v>
      </c>
      <c r="I82" s="122"/>
      <c r="J82" s="122">
        <f t="shared" si="3"/>
        <v>5702.4398675071734</v>
      </c>
    </row>
    <row r="83" spans="1:10" x14ac:dyDescent="0.25">
      <c r="A83" s="121">
        <f t="shared" si="2"/>
        <v>1E-4</v>
      </c>
      <c r="B83" s="122" t="str">
        <f t="shared" si="5"/>
        <v>nv</v>
      </c>
      <c r="C83" s="122">
        <f t="shared" si="5"/>
        <v>5655.8988696207061</v>
      </c>
      <c r="D83" s="122">
        <f t="shared" si="5"/>
        <v>5483.8294222235336</v>
      </c>
      <c r="E83" s="122">
        <f t="shared" si="5"/>
        <v>5351.5716027613016</v>
      </c>
      <c r="F83" s="122">
        <f t="shared" si="5"/>
        <v>5094.9618199282804</v>
      </c>
      <c r="G83" s="122" t="str">
        <f t="shared" si="5"/>
        <v>nv</v>
      </c>
      <c r="H83" s="122" t="str">
        <f t="shared" si="5"/>
        <v>nv</v>
      </c>
      <c r="I83" s="122"/>
      <c r="J83" s="122">
        <f t="shared" si="3"/>
        <v>5396.5654286334557</v>
      </c>
    </row>
    <row r="84" spans="1:10" x14ac:dyDescent="0.25">
      <c r="A84" s="121">
        <f t="shared" si="2"/>
        <v>1E-3</v>
      </c>
      <c r="B84" s="122" t="str">
        <f t="shared" si="5"/>
        <v>nv</v>
      </c>
      <c r="C84" s="122">
        <f t="shared" si="5"/>
        <v>5449.4562937914216</v>
      </c>
      <c r="D84" s="122">
        <f t="shared" si="5"/>
        <v>5275.3862358697006</v>
      </c>
      <c r="E84" s="122">
        <f t="shared" si="5"/>
        <v>5127.6143067942894</v>
      </c>
      <c r="F84" s="122">
        <f t="shared" si="5"/>
        <v>4859.6753740182503</v>
      </c>
      <c r="G84" s="122" t="str">
        <f t="shared" si="5"/>
        <v>nv</v>
      </c>
      <c r="H84" s="122" t="str">
        <f t="shared" si="5"/>
        <v>nv</v>
      </c>
      <c r="I84" s="122"/>
      <c r="J84" s="122">
        <f t="shared" si="3"/>
        <v>5178.0330526184152</v>
      </c>
    </row>
    <row r="85" spans="1:10" x14ac:dyDescent="0.25">
      <c r="A85" s="121">
        <f t="shared" si="2"/>
        <v>0.01</v>
      </c>
      <c r="B85" s="122" t="str">
        <f t="shared" si="5"/>
        <v>nv</v>
      </c>
      <c r="C85" s="122">
        <f t="shared" si="5"/>
        <v>4993.8646911081605</v>
      </c>
      <c r="D85" s="122">
        <f t="shared" si="5"/>
        <v>5004.5239710498154</v>
      </c>
      <c r="E85" s="122">
        <f t="shared" si="5"/>
        <v>4886.3410631371407</v>
      </c>
      <c r="F85" s="122">
        <f t="shared" si="5"/>
        <v>4653.8175879978271</v>
      </c>
      <c r="G85" s="122" t="str">
        <f t="shared" si="5"/>
        <v>nv</v>
      </c>
      <c r="H85" s="122" t="str">
        <f t="shared" si="5"/>
        <v>nv</v>
      </c>
      <c r="I85" s="122"/>
      <c r="J85" s="122">
        <f t="shared" si="3"/>
        <v>4884.6368283232359</v>
      </c>
    </row>
    <row r="86" spans="1:10" x14ac:dyDescent="0.25">
      <c r="A86" s="121">
        <f t="shared" si="2"/>
        <v>0.1</v>
      </c>
      <c r="B86" s="122" t="str">
        <f t="shared" si="5"/>
        <v>nv</v>
      </c>
      <c r="C86" s="122">
        <f t="shared" si="5"/>
        <v>4255.4550075344032</v>
      </c>
      <c r="D86" s="122">
        <f t="shared" si="5"/>
        <v>4574.5288133888662</v>
      </c>
      <c r="E86" s="122">
        <f t="shared" si="5"/>
        <v>4644.1315444171159</v>
      </c>
      <c r="F86" s="122">
        <f t="shared" si="5"/>
        <v>4469.1753341299773</v>
      </c>
      <c r="G86" s="122" t="str">
        <f t="shared" si="5"/>
        <v>nv</v>
      </c>
      <c r="H86" s="122" t="str">
        <f t="shared" si="5"/>
        <v>nv</v>
      </c>
      <c r="I86" s="122"/>
      <c r="J86" s="122">
        <f t="shared" si="3"/>
        <v>4485.8226748675906</v>
      </c>
    </row>
    <row r="87" spans="1:10" x14ac:dyDescent="0.25">
      <c r="A87" s="121">
        <f t="shared" si="2"/>
        <v>1</v>
      </c>
      <c r="B87" s="122" t="str">
        <f t="shared" si="5"/>
        <v>nv</v>
      </c>
      <c r="C87" s="122" t="str">
        <f t="shared" si="5"/>
        <v>nv</v>
      </c>
      <c r="D87" s="122">
        <f t="shared" si="5"/>
        <v>3909.9834178051133</v>
      </c>
      <c r="E87" s="122">
        <f t="shared" si="5"/>
        <v>4265.604074878318</v>
      </c>
      <c r="F87" s="122">
        <f t="shared" si="5"/>
        <v>4267.9652571239076</v>
      </c>
      <c r="G87" s="122" t="str">
        <f t="shared" si="5"/>
        <v>nv</v>
      </c>
      <c r="H87" s="122" t="str">
        <f t="shared" si="5"/>
        <v>nv</v>
      </c>
      <c r="I87" s="122"/>
      <c r="J87" s="122">
        <f t="shared" si="3"/>
        <v>4147.850916602446</v>
      </c>
    </row>
    <row r="88" spans="1:10" x14ac:dyDescent="0.25">
      <c r="A88" s="121">
        <f t="shared" si="2"/>
        <v>10</v>
      </c>
      <c r="B88" s="122" t="str">
        <f t="shared" si="5"/>
        <v>nv</v>
      </c>
      <c r="C88" s="122" t="str">
        <f t="shared" si="5"/>
        <v>nv</v>
      </c>
      <c r="D88" s="122">
        <f t="shared" si="5"/>
        <v>3264.4154549966838</v>
      </c>
      <c r="E88" s="122">
        <f t="shared" si="5"/>
        <v>3631.0463227546511</v>
      </c>
      <c r="F88" s="122">
        <f t="shared" si="5"/>
        <v>3976.7785402340392</v>
      </c>
      <c r="G88" s="122">
        <f t="shared" si="5"/>
        <v>3743.1712808219754</v>
      </c>
      <c r="H88" s="122" t="str">
        <f t="shared" si="5"/>
        <v>nv</v>
      </c>
      <c r="I88" s="122"/>
      <c r="J88" s="122">
        <f t="shared" si="3"/>
        <v>3653.8528997018375</v>
      </c>
    </row>
    <row r="89" spans="1:10" x14ac:dyDescent="0.25">
      <c r="A89" s="121">
        <f t="shared" si="2"/>
        <v>100</v>
      </c>
      <c r="B89" s="122" t="str">
        <f t="shared" si="5"/>
        <v>nv</v>
      </c>
      <c r="C89" s="122" t="str">
        <f t="shared" si="5"/>
        <v>nv</v>
      </c>
      <c r="D89" s="122" t="str">
        <f t="shared" si="5"/>
        <v>nv</v>
      </c>
      <c r="E89" s="122">
        <f t="shared" si="5"/>
        <v>3021.9718138839303</v>
      </c>
      <c r="F89" s="122">
        <f t="shared" si="5"/>
        <v>3445.6591436468279</v>
      </c>
      <c r="G89" s="122">
        <f t="shared" si="5"/>
        <v>3515.2511650339729</v>
      </c>
      <c r="H89" s="122" t="str">
        <f t="shared" si="5"/>
        <v>nv</v>
      </c>
      <c r="I89" s="122"/>
      <c r="J89" s="122">
        <f t="shared" si="3"/>
        <v>3327.6273741882437</v>
      </c>
    </row>
    <row r="90" spans="1:10" x14ac:dyDescent="0.25">
      <c r="A90" s="121">
        <f t="shared" si="2"/>
        <v>1000</v>
      </c>
      <c r="B90" s="122" t="str">
        <f t="shared" si="5"/>
        <v>nv</v>
      </c>
      <c r="C90" s="122" t="str">
        <f t="shared" si="5"/>
        <v>nv</v>
      </c>
      <c r="D90" s="122" t="str">
        <f t="shared" si="5"/>
        <v>nv</v>
      </c>
      <c r="E90" s="122" t="str">
        <f t="shared" si="5"/>
        <v>nv</v>
      </c>
      <c r="F90" s="122">
        <f t="shared" si="5"/>
        <v>2839.3657389117534</v>
      </c>
      <c r="G90" s="122">
        <f t="shared" si="5"/>
        <v>3249.5700351923178</v>
      </c>
      <c r="H90" s="122" t="str">
        <f t="shared" si="5"/>
        <v>nv</v>
      </c>
      <c r="I90" s="122"/>
      <c r="J90" s="122">
        <f t="shared" si="3"/>
        <v>3044.4678870520356</v>
      </c>
    </row>
    <row r="91" spans="1:10" x14ac:dyDescent="0.25">
      <c r="A91" s="121">
        <f t="shared" si="2"/>
        <v>10000</v>
      </c>
      <c r="B91" s="122" t="str">
        <f t="shared" si="5"/>
        <v>nv</v>
      </c>
      <c r="C91" s="122" t="str">
        <f t="shared" si="5"/>
        <v>nv</v>
      </c>
      <c r="D91" s="122" t="str">
        <f t="shared" si="5"/>
        <v>nv</v>
      </c>
      <c r="E91" s="122" t="str">
        <f t="shared" si="5"/>
        <v>nv</v>
      </c>
      <c r="F91" s="122">
        <f t="shared" si="5"/>
        <v>2338.5721090290958</v>
      </c>
      <c r="G91" s="122">
        <f t="shared" si="5"/>
        <v>2968.7497199447748</v>
      </c>
      <c r="H91" s="122" t="str">
        <f t="shared" si="5"/>
        <v>nv</v>
      </c>
      <c r="I91" s="122"/>
      <c r="J91" s="122">
        <f t="shared" si="3"/>
        <v>2653.6609144869353</v>
      </c>
    </row>
    <row r="92" spans="1:10" x14ac:dyDescent="0.25">
      <c r="A92" s="121">
        <f t="shared" si="2"/>
        <v>100000</v>
      </c>
      <c r="B92" s="122" t="str">
        <f t="shared" si="5"/>
        <v>nv</v>
      </c>
      <c r="C92" s="122" t="str">
        <f t="shared" si="5"/>
        <v>nv</v>
      </c>
      <c r="D92" s="122" t="str">
        <f t="shared" si="5"/>
        <v>nv</v>
      </c>
      <c r="E92" s="122" t="str">
        <f t="shared" si="5"/>
        <v>nv</v>
      </c>
      <c r="F92" s="122">
        <f t="shared" si="5"/>
        <v>1960.3272335044344</v>
      </c>
      <c r="G92" s="122">
        <f t="shared" si="5"/>
        <v>2607.6672523307684</v>
      </c>
      <c r="H92" s="122" t="str">
        <f t="shared" si="5"/>
        <v>nv</v>
      </c>
      <c r="I92" s="122"/>
      <c r="J92" s="122">
        <f t="shared" si="3"/>
        <v>2283.9972429176014</v>
      </c>
    </row>
    <row r="93" spans="1:10" x14ac:dyDescent="0.25">
      <c r="A93" s="121">
        <f t="shared" si="2"/>
        <v>1000000</v>
      </c>
      <c r="B93" s="122" t="str">
        <f t="shared" si="5"/>
        <v>nv</v>
      </c>
      <c r="C93" s="122" t="str">
        <f t="shared" si="5"/>
        <v>nv</v>
      </c>
      <c r="D93" s="122" t="str">
        <f t="shared" si="5"/>
        <v>nv</v>
      </c>
      <c r="E93" s="122" t="str">
        <f t="shared" si="5"/>
        <v>nv</v>
      </c>
      <c r="F93" s="122" t="str">
        <f t="shared" si="5"/>
        <v>nv</v>
      </c>
      <c r="G93" s="122">
        <f t="shared" si="5"/>
        <v>2093.0748437326852</v>
      </c>
      <c r="H93" s="122" t="str">
        <f t="shared" si="5"/>
        <v>nv</v>
      </c>
      <c r="I93" s="122"/>
      <c r="J93" s="122">
        <f t="shared" si="3"/>
        <v>2093.0748437326852</v>
      </c>
    </row>
    <row r="94" spans="1:10" x14ac:dyDescent="0.25">
      <c r="A94" s="121">
        <f t="shared" si="2"/>
        <v>10000000</v>
      </c>
      <c r="B94" s="122" t="str">
        <f t="shared" si="5"/>
        <v>nv</v>
      </c>
      <c r="C94" s="122" t="str">
        <f t="shared" si="5"/>
        <v>nv</v>
      </c>
      <c r="D94" s="122" t="str">
        <f t="shared" si="5"/>
        <v>nv</v>
      </c>
      <c r="E94" s="122" t="str">
        <f t="shared" si="5"/>
        <v>nv</v>
      </c>
      <c r="F94" s="122" t="str">
        <f t="shared" si="5"/>
        <v>nv</v>
      </c>
      <c r="G94" s="122">
        <f t="shared" si="5"/>
        <v>1491.6312668298178</v>
      </c>
      <c r="H94" s="122">
        <f t="shared" si="5"/>
        <v>1637.5777796791931</v>
      </c>
      <c r="I94" s="122"/>
      <c r="J94" s="122">
        <f t="shared" si="3"/>
        <v>1564.6045232545055</v>
      </c>
    </row>
    <row r="95" spans="1:10" x14ac:dyDescent="0.25">
      <c r="A95" s="121">
        <f t="shared" si="2"/>
        <v>100000000</v>
      </c>
      <c r="B95" s="122" t="str">
        <f t="shared" si="5"/>
        <v>nv</v>
      </c>
      <c r="C95" s="122" t="str">
        <f t="shared" si="5"/>
        <v>nv</v>
      </c>
      <c r="D95" s="122" t="str">
        <f t="shared" si="5"/>
        <v>nv</v>
      </c>
      <c r="E95" s="122" t="str">
        <f t="shared" si="5"/>
        <v>nv</v>
      </c>
      <c r="F95" s="122" t="str">
        <f t="shared" si="5"/>
        <v>nv</v>
      </c>
      <c r="G95" s="122">
        <f t="shared" si="5"/>
        <v>971.74893642400525</v>
      </c>
      <c r="H95" s="122">
        <f t="shared" si="5"/>
        <v>1177.0058376350325</v>
      </c>
      <c r="I95" s="122"/>
      <c r="J95" s="122">
        <f t="shared" si="3"/>
        <v>1074.377387029519</v>
      </c>
    </row>
    <row r="96" spans="1:10" x14ac:dyDescent="0.25">
      <c r="A96" s="121">
        <f t="shared" si="2"/>
        <v>1000000000</v>
      </c>
      <c r="B96" s="122" t="str">
        <f t="shared" si="5"/>
        <v>nv</v>
      </c>
      <c r="C96" s="122" t="str">
        <f t="shared" si="5"/>
        <v>nv</v>
      </c>
      <c r="D96" s="122" t="str">
        <f t="shared" si="5"/>
        <v>nv</v>
      </c>
      <c r="E96" s="122" t="str">
        <f t="shared" si="5"/>
        <v>nv</v>
      </c>
      <c r="F96" s="122" t="str">
        <f t="shared" si="5"/>
        <v>nv</v>
      </c>
      <c r="G96" s="122">
        <f t="shared" si="5"/>
        <v>607.89623934575093</v>
      </c>
      <c r="H96" s="122">
        <f t="shared" si="5"/>
        <v>812.89778014864009</v>
      </c>
      <c r="I96" s="122"/>
      <c r="J96" s="122">
        <f t="shared" si="3"/>
        <v>710.39700974719551</v>
      </c>
    </row>
    <row r="97" spans="1:36" x14ac:dyDescent="0.25">
      <c r="A97" s="121">
        <f t="shared" si="2"/>
        <v>10000000000</v>
      </c>
      <c r="B97" s="122" t="str">
        <f t="shared" si="5"/>
        <v>nv</v>
      </c>
      <c r="C97" s="122" t="str">
        <f t="shared" si="5"/>
        <v>nv</v>
      </c>
      <c r="D97" s="122" t="str">
        <f t="shared" si="5"/>
        <v>nv</v>
      </c>
      <c r="E97" s="122" t="str">
        <f t="shared" si="5"/>
        <v>nv</v>
      </c>
      <c r="F97" s="122" t="str">
        <f t="shared" si="5"/>
        <v>nv</v>
      </c>
      <c r="G97" s="122">
        <f t="shared" si="5"/>
        <v>400.41440914505898</v>
      </c>
      <c r="H97" s="122">
        <f t="shared" si="5"/>
        <v>609.99662623443839</v>
      </c>
      <c r="I97" s="122"/>
      <c r="J97" s="122">
        <f t="shared" si="3"/>
        <v>505.20551768974872</v>
      </c>
    </row>
    <row r="98" spans="1:36" x14ac:dyDescent="0.25">
      <c r="A98" s="121">
        <f t="shared" si="2"/>
        <v>100000000000</v>
      </c>
      <c r="B98" s="122" t="str">
        <f t="shared" si="5"/>
        <v>nv</v>
      </c>
      <c r="C98" s="122" t="str">
        <f t="shared" si="5"/>
        <v>nv</v>
      </c>
      <c r="D98" s="122" t="str">
        <f t="shared" si="5"/>
        <v>nv</v>
      </c>
      <c r="E98" s="122" t="str">
        <f t="shared" si="5"/>
        <v>nv</v>
      </c>
      <c r="F98" s="122" t="str">
        <f t="shared" si="5"/>
        <v>nv</v>
      </c>
      <c r="G98" s="122" t="str">
        <f t="shared" si="5"/>
        <v>nv</v>
      </c>
      <c r="H98" s="122">
        <f t="shared" si="5"/>
        <v>491.63807981787494</v>
      </c>
      <c r="I98" s="122"/>
      <c r="J98" s="122">
        <f t="shared" si="3"/>
        <v>491.63807981787494</v>
      </c>
    </row>
    <row r="99" spans="1:36" x14ac:dyDescent="0.25">
      <c r="A99" s="121">
        <f t="shared" si="2"/>
        <v>1000000000000</v>
      </c>
      <c r="B99" s="122" t="str">
        <f t="shared" si="5"/>
        <v>nv</v>
      </c>
      <c r="C99" s="122" t="str">
        <f t="shared" si="5"/>
        <v>nv</v>
      </c>
      <c r="D99" s="122" t="str">
        <f t="shared" si="5"/>
        <v>nv</v>
      </c>
      <c r="E99" s="122" t="str">
        <f t="shared" si="5"/>
        <v>nv</v>
      </c>
      <c r="F99" s="122" t="str">
        <f t="shared" si="5"/>
        <v>nv</v>
      </c>
      <c r="G99" s="122" t="str">
        <f t="shared" si="5"/>
        <v>nv</v>
      </c>
      <c r="H99" s="122">
        <f t="shared" si="5"/>
        <v>420.71970940966855</v>
      </c>
      <c r="I99" s="122"/>
      <c r="J99" s="122">
        <f t="shared" si="3"/>
        <v>420.71970940966855</v>
      </c>
    </row>
    <row r="100" spans="1:36" x14ac:dyDescent="0.25">
      <c r="A100" s="121">
        <f t="shared" si="2"/>
        <v>10000000000000</v>
      </c>
      <c r="B100" s="122" t="str">
        <f t="shared" si="5"/>
        <v>nv</v>
      </c>
      <c r="C100" s="122" t="str">
        <f t="shared" si="5"/>
        <v>nv</v>
      </c>
      <c r="D100" s="122" t="str">
        <f t="shared" si="5"/>
        <v>nv</v>
      </c>
      <c r="E100" s="122" t="str">
        <f t="shared" si="5"/>
        <v>nv</v>
      </c>
      <c r="F100" s="122" t="str">
        <f t="shared" si="5"/>
        <v>nv</v>
      </c>
      <c r="G100" s="122" t="str">
        <f t="shared" si="5"/>
        <v>nv</v>
      </c>
      <c r="H100" s="122">
        <f t="shared" si="5"/>
        <v>350.02293592389253</v>
      </c>
      <c r="I100" s="122"/>
      <c r="J100" s="122">
        <f t="shared" si="3"/>
        <v>350.02293592389253</v>
      </c>
    </row>
    <row r="101" spans="1:36" x14ac:dyDescent="0.25">
      <c r="A101" s="121">
        <f t="shared" si="2"/>
        <v>100000000000000</v>
      </c>
      <c r="B101" s="122" t="str">
        <f t="shared" si="5"/>
        <v>nv</v>
      </c>
      <c r="C101" s="122" t="str">
        <f t="shared" si="5"/>
        <v>nv</v>
      </c>
      <c r="D101" s="122" t="str">
        <f t="shared" si="5"/>
        <v>nv</v>
      </c>
      <c r="E101" s="122" t="str">
        <f t="shared" si="5"/>
        <v>nv</v>
      </c>
      <c r="F101" s="122" t="str">
        <f t="shared" si="5"/>
        <v>nv</v>
      </c>
      <c r="G101" s="122" t="str">
        <f t="shared" si="5"/>
        <v>nv</v>
      </c>
      <c r="H101" s="122">
        <f t="shared" si="5"/>
        <v>283.10941172214928</v>
      </c>
      <c r="I101" s="122"/>
      <c r="J101" s="122">
        <f t="shared" si="3"/>
        <v>283.10941172214928</v>
      </c>
    </row>
    <row r="102" spans="1:36" x14ac:dyDescent="0.25">
      <c r="A102" s="121">
        <f t="shared" si="2"/>
        <v>1000000000000000</v>
      </c>
      <c r="B102" s="122" t="str">
        <f t="shared" si="5"/>
        <v>nv</v>
      </c>
      <c r="C102" s="122" t="str">
        <f t="shared" si="5"/>
        <v>nv</v>
      </c>
      <c r="D102" s="122" t="str">
        <f t="shared" si="5"/>
        <v>nv</v>
      </c>
      <c r="E102" s="122" t="str">
        <f t="shared" si="5"/>
        <v>nv</v>
      </c>
      <c r="F102" s="122" t="str">
        <f t="shared" si="5"/>
        <v>nv</v>
      </c>
      <c r="G102" s="122" t="str">
        <f t="shared" si="5"/>
        <v>nv</v>
      </c>
      <c r="H102" s="122">
        <f t="shared" si="5"/>
        <v>238.40239143762301</v>
      </c>
      <c r="I102" s="122"/>
      <c r="J102" s="122">
        <f t="shared" si="3"/>
        <v>238.40239143762301</v>
      </c>
    </row>
    <row r="103" spans="1:36" x14ac:dyDescent="0.25">
      <c r="A103" s="3"/>
    </row>
    <row r="104" spans="1:36" x14ac:dyDescent="0.25">
      <c r="A104" s="3"/>
    </row>
    <row r="105" spans="1:36" x14ac:dyDescent="0.25">
      <c r="A105" s="3"/>
    </row>
    <row r="106" spans="1:36" x14ac:dyDescent="0.25">
      <c r="A106" s="3"/>
    </row>
    <row r="107" spans="1:36" x14ac:dyDescent="0.25">
      <c r="A107" s="3"/>
    </row>
    <row r="108" spans="1:36" x14ac:dyDescent="0.25">
      <c r="A108" s="130" t="s">
        <v>26</v>
      </c>
      <c r="B108" s="130"/>
      <c r="C108" s="130"/>
      <c r="D108" s="111"/>
      <c r="E108" s="111" t="s">
        <v>17</v>
      </c>
      <c r="F108" s="22">
        <f>INDEX($A$72:$A$102,COLUMN(A72),1)</f>
        <v>1.0000000000000001E-15</v>
      </c>
      <c r="G108" s="22">
        <f t="shared" ref="G108:AJ108" si="6">INDEX($A$72:$A$102,COLUMN(B72),1)</f>
        <v>1E-14</v>
      </c>
      <c r="H108" s="22">
        <f t="shared" si="6"/>
        <v>1E-13</v>
      </c>
      <c r="I108" s="22">
        <f t="shared" si="6"/>
        <v>9.9999999999999998E-13</v>
      </c>
      <c r="J108" s="22">
        <f t="shared" si="6"/>
        <v>9.9999999999999994E-12</v>
      </c>
      <c r="K108" s="22">
        <f t="shared" si="6"/>
        <v>1E-10</v>
      </c>
      <c r="L108" s="22">
        <f t="shared" si="6"/>
        <v>1.0000000000000001E-9</v>
      </c>
      <c r="M108" s="22">
        <f t="shared" si="6"/>
        <v>1E-8</v>
      </c>
      <c r="N108" s="22">
        <f t="shared" si="6"/>
        <v>9.9999999999999995E-8</v>
      </c>
      <c r="O108" s="22">
        <f t="shared" si="6"/>
        <v>9.9999999999999995E-7</v>
      </c>
      <c r="P108" s="22">
        <f t="shared" si="6"/>
        <v>1.0000000000000001E-5</v>
      </c>
      <c r="Q108" s="22">
        <f t="shared" si="6"/>
        <v>1E-4</v>
      </c>
      <c r="R108" s="22">
        <f t="shared" si="6"/>
        <v>1E-3</v>
      </c>
      <c r="S108" s="22">
        <f t="shared" si="6"/>
        <v>0.01</v>
      </c>
      <c r="T108" s="22">
        <f t="shared" si="6"/>
        <v>0.1</v>
      </c>
      <c r="U108" s="22">
        <f t="shared" si="6"/>
        <v>1</v>
      </c>
      <c r="V108" s="22">
        <f t="shared" si="6"/>
        <v>10</v>
      </c>
      <c r="W108" s="22">
        <f t="shared" si="6"/>
        <v>100</v>
      </c>
      <c r="X108" s="22">
        <f t="shared" si="6"/>
        <v>1000</v>
      </c>
      <c r="Y108" s="22">
        <f t="shared" si="6"/>
        <v>10000</v>
      </c>
      <c r="Z108" s="22">
        <f t="shared" si="6"/>
        <v>100000</v>
      </c>
      <c r="AA108" s="22">
        <f t="shared" si="6"/>
        <v>1000000</v>
      </c>
      <c r="AB108" s="22">
        <f t="shared" si="6"/>
        <v>10000000</v>
      </c>
      <c r="AC108" s="22">
        <f t="shared" si="6"/>
        <v>100000000</v>
      </c>
      <c r="AD108" s="22">
        <f t="shared" si="6"/>
        <v>1000000000</v>
      </c>
      <c r="AE108" s="22">
        <f t="shared" si="6"/>
        <v>10000000000</v>
      </c>
      <c r="AF108" s="22">
        <f t="shared" si="6"/>
        <v>100000000000</v>
      </c>
      <c r="AG108" s="22">
        <f t="shared" si="6"/>
        <v>1000000000000</v>
      </c>
      <c r="AH108" s="22">
        <f t="shared" si="6"/>
        <v>10000000000000</v>
      </c>
      <c r="AI108" s="22">
        <f t="shared" si="6"/>
        <v>100000000000000</v>
      </c>
      <c r="AJ108" s="22">
        <f t="shared" si="6"/>
        <v>1000000000000000</v>
      </c>
    </row>
    <row r="109" spans="1:36" x14ac:dyDescent="0.25">
      <c r="A109" s="11" t="s">
        <v>18</v>
      </c>
      <c r="B109" s="24" t="s">
        <v>19</v>
      </c>
      <c r="C109" s="24"/>
      <c r="D109" s="111"/>
      <c r="E109" s="25" t="s">
        <v>23</v>
      </c>
      <c r="F109" s="26">
        <f>INDEX($J$72:$J$102,COLUMN(A72),1)</f>
        <v>7093.4858608209797</v>
      </c>
      <c r="G109" s="26">
        <f t="shared" ref="G109:AJ109" si="7">INDEX($J$72:$J$102,COLUMN(B72),1)</f>
        <v>7093.4858608209797</v>
      </c>
      <c r="H109" s="26">
        <f t="shared" si="7"/>
        <v>7092.1673772219492</v>
      </c>
      <c r="I109" s="26">
        <f t="shared" si="7"/>
        <v>7091.0575491365025</v>
      </c>
      <c r="J109" s="26">
        <f t="shared" si="7"/>
        <v>7045.0971706629016</v>
      </c>
      <c r="K109" s="26">
        <f t="shared" si="7"/>
        <v>6748.7178233507166</v>
      </c>
      <c r="L109" s="26">
        <f t="shared" si="7"/>
        <v>6610.0354909710168</v>
      </c>
      <c r="M109" s="26">
        <f t="shared" si="7"/>
        <v>6379.5814601349293</v>
      </c>
      <c r="N109" s="26">
        <f t="shared" si="7"/>
        <v>6143.5559103523465</v>
      </c>
      <c r="O109" s="26">
        <f t="shared" si="7"/>
        <v>5979.2143489968621</v>
      </c>
      <c r="P109" s="26">
        <f t="shared" si="7"/>
        <v>5702.4398675071734</v>
      </c>
      <c r="Q109" s="26">
        <f t="shared" si="7"/>
        <v>5396.5654286334557</v>
      </c>
      <c r="R109" s="26">
        <f t="shared" si="7"/>
        <v>5178.0330526184152</v>
      </c>
      <c r="S109" s="26">
        <f t="shared" si="7"/>
        <v>4884.6368283232359</v>
      </c>
      <c r="T109" s="26">
        <f t="shared" si="7"/>
        <v>4485.8226748675906</v>
      </c>
      <c r="U109" s="26">
        <f t="shared" si="7"/>
        <v>4147.850916602446</v>
      </c>
      <c r="V109" s="26">
        <f t="shared" si="7"/>
        <v>3653.8528997018375</v>
      </c>
      <c r="W109" s="26">
        <f t="shared" si="7"/>
        <v>3327.6273741882437</v>
      </c>
      <c r="X109" s="26">
        <f t="shared" si="7"/>
        <v>3044.4678870520356</v>
      </c>
      <c r="Y109" s="26">
        <f t="shared" si="7"/>
        <v>2653.6609144869353</v>
      </c>
      <c r="Z109" s="26">
        <f t="shared" si="7"/>
        <v>2283.9972429176014</v>
      </c>
      <c r="AA109" s="26">
        <f t="shared" si="7"/>
        <v>2093.0748437326852</v>
      </c>
      <c r="AB109" s="26">
        <f t="shared" si="7"/>
        <v>1564.6045232545055</v>
      </c>
      <c r="AC109" s="26">
        <f t="shared" si="7"/>
        <v>1074.377387029519</v>
      </c>
      <c r="AD109" s="26">
        <f t="shared" si="7"/>
        <v>710.39700974719551</v>
      </c>
      <c r="AE109" s="26">
        <f t="shared" si="7"/>
        <v>505.20551768974872</v>
      </c>
      <c r="AF109" s="26">
        <f t="shared" si="7"/>
        <v>491.63807981787494</v>
      </c>
      <c r="AG109" s="26">
        <f t="shared" si="7"/>
        <v>420.71970940966855</v>
      </c>
      <c r="AH109" s="26">
        <f t="shared" si="7"/>
        <v>350.02293592389253</v>
      </c>
      <c r="AI109" s="26">
        <f t="shared" si="7"/>
        <v>283.10941172214928</v>
      </c>
      <c r="AJ109" s="26">
        <f t="shared" si="7"/>
        <v>238.40239143762301</v>
      </c>
    </row>
    <row r="110" spans="1:36" x14ac:dyDescent="0.25">
      <c r="A110" s="14" t="s">
        <v>20</v>
      </c>
      <c r="B110" s="107">
        <v>2.9026913797146704E-2</v>
      </c>
      <c r="C110" s="18">
        <f>ABS(B110/$B$142)</f>
        <v>2.1582034473120737E-2</v>
      </c>
      <c r="D110" s="111"/>
      <c r="E110" s="77" t="s">
        <v>22</v>
      </c>
      <c r="F110" s="27">
        <f>($C$110+SUM(F111:F141))*$B$144</f>
        <v>6992.4041437247624</v>
      </c>
      <c r="G110" s="27">
        <f t="shared" ref="G110:AJ110" si="8">($C$110+SUM(G111:G141))*$B$144</f>
        <v>6992.3631408793399</v>
      </c>
      <c r="H110" s="27">
        <f t="shared" si="8"/>
        <v>6991.9534717403785</v>
      </c>
      <c r="I110" s="27">
        <f t="shared" si="8"/>
        <v>6987.8924889542232</v>
      </c>
      <c r="J110" s="27">
        <f t="shared" si="8"/>
        <v>6950.6407020667702</v>
      </c>
      <c r="K110" s="27">
        <f t="shared" si="8"/>
        <v>6773.3087553704008</v>
      </c>
      <c r="L110" s="27">
        <f t="shared" si="8"/>
        <v>6607.4612879269143</v>
      </c>
      <c r="M110" s="27">
        <f t="shared" si="8"/>
        <v>6379.1088488874739</v>
      </c>
      <c r="N110" s="27">
        <f t="shared" si="8"/>
        <v>6145.3600909812503</v>
      </c>
      <c r="O110" s="27">
        <f t="shared" si="8"/>
        <v>5975.4883363895542</v>
      </c>
      <c r="P110" s="27">
        <f t="shared" si="8"/>
        <v>5708.7901823683796</v>
      </c>
      <c r="Q110" s="27">
        <f t="shared" si="8"/>
        <v>5387.3913835889243</v>
      </c>
      <c r="R110" s="27">
        <f t="shared" si="8"/>
        <v>5189.3145956986436</v>
      </c>
      <c r="S110" s="27">
        <f t="shared" si="8"/>
        <v>4872.7734087703375</v>
      </c>
      <c r="T110" s="27">
        <f t="shared" si="8"/>
        <v>4496.4795246891763</v>
      </c>
      <c r="U110" s="27">
        <f t="shared" si="8"/>
        <v>4139.6091288352909</v>
      </c>
      <c r="V110" s="27">
        <f t="shared" si="8"/>
        <v>3659.3481753719152</v>
      </c>
      <c r="W110" s="27">
        <f t="shared" si="8"/>
        <v>3324.46169726783</v>
      </c>
      <c r="X110" s="27">
        <f t="shared" si="8"/>
        <v>3046.0400846540397</v>
      </c>
      <c r="Y110" s="27">
        <f t="shared" si="8"/>
        <v>2652.9914630783715</v>
      </c>
      <c r="Z110" s="27">
        <f t="shared" si="8"/>
        <v>2284.259278821552</v>
      </c>
      <c r="AA110" s="27">
        <f t="shared" si="8"/>
        <v>2092.9902309842319</v>
      </c>
      <c r="AB110" s="27">
        <f t="shared" si="8"/>
        <v>1564.6050391358976</v>
      </c>
      <c r="AC110" s="27">
        <f t="shared" si="8"/>
        <v>1074.3379335405093</v>
      </c>
      <c r="AD110" s="27">
        <f t="shared" si="8"/>
        <v>710.4541531151973</v>
      </c>
      <c r="AE110" s="27">
        <f t="shared" si="8"/>
        <v>505.23107276590031</v>
      </c>
      <c r="AF110" s="27">
        <f t="shared" si="8"/>
        <v>491.62781067621296</v>
      </c>
      <c r="AG110" s="27">
        <f t="shared" si="8"/>
        <v>420.69855137211994</v>
      </c>
      <c r="AH110" s="27">
        <f t="shared" si="8"/>
        <v>349.94926620567145</v>
      </c>
      <c r="AI110" s="27">
        <f t="shared" si="8"/>
        <v>283.3418674310139</v>
      </c>
      <c r="AJ110" s="27">
        <f t="shared" si="8"/>
        <v>238.22276788750165</v>
      </c>
    </row>
    <row r="111" spans="1:36" x14ac:dyDescent="0.25">
      <c r="A111" s="3">
        <f>0.000000000000001/10^5</f>
        <v>1.0000000000000001E-20</v>
      </c>
      <c r="B111" s="107">
        <v>0</v>
      </c>
      <c r="C111" s="18">
        <f t="shared" ref="C111:C141" si="9">ABS(B111/$B$142)</f>
        <v>0</v>
      </c>
      <c r="D111" s="17"/>
      <c r="E111" s="11"/>
      <c r="F111" s="3">
        <f>$C111*EXP(-F$108/$A111)</f>
        <v>0</v>
      </c>
      <c r="G111" s="3">
        <f t="shared" ref="G111:AJ119" si="10">$C111*EXP(-G$108/$A111)</f>
        <v>0</v>
      </c>
      <c r="H111" s="3">
        <f t="shared" si="10"/>
        <v>0</v>
      </c>
      <c r="I111" s="3">
        <f t="shared" si="10"/>
        <v>0</v>
      </c>
      <c r="J111" s="3">
        <f t="shared" si="10"/>
        <v>0</v>
      </c>
      <c r="K111" s="3">
        <f t="shared" si="10"/>
        <v>0</v>
      </c>
      <c r="L111" s="3">
        <f t="shared" si="10"/>
        <v>0</v>
      </c>
      <c r="M111" s="3">
        <f t="shared" si="10"/>
        <v>0</v>
      </c>
      <c r="N111" s="3">
        <f t="shared" si="10"/>
        <v>0</v>
      </c>
      <c r="O111" s="3">
        <f t="shared" si="10"/>
        <v>0</v>
      </c>
      <c r="P111" s="3">
        <f t="shared" si="10"/>
        <v>0</v>
      </c>
      <c r="Q111" s="3">
        <f t="shared" si="10"/>
        <v>0</v>
      </c>
      <c r="R111" s="3">
        <f t="shared" si="10"/>
        <v>0</v>
      </c>
      <c r="S111" s="3">
        <f t="shared" si="10"/>
        <v>0</v>
      </c>
      <c r="T111" s="3">
        <f t="shared" si="10"/>
        <v>0</v>
      </c>
      <c r="U111" s="3">
        <f t="shared" si="10"/>
        <v>0</v>
      </c>
      <c r="V111" s="3">
        <f t="shared" si="10"/>
        <v>0</v>
      </c>
      <c r="W111" s="3">
        <f t="shared" si="10"/>
        <v>0</v>
      </c>
      <c r="X111" s="3">
        <f t="shared" si="10"/>
        <v>0</v>
      </c>
      <c r="Y111" s="3">
        <f t="shared" si="10"/>
        <v>0</v>
      </c>
      <c r="Z111" s="3">
        <f t="shared" si="10"/>
        <v>0</v>
      </c>
      <c r="AA111" s="3">
        <f t="shared" si="10"/>
        <v>0</v>
      </c>
      <c r="AB111" s="3">
        <f t="shared" si="10"/>
        <v>0</v>
      </c>
      <c r="AC111" s="3">
        <f t="shared" si="10"/>
        <v>0</v>
      </c>
      <c r="AD111" s="3">
        <f t="shared" si="10"/>
        <v>0</v>
      </c>
      <c r="AE111" s="3">
        <f t="shared" si="10"/>
        <v>0</v>
      </c>
      <c r="AF111" s="3">
        <f t="shared" si="10"/>
        <v>0</v>
      </c>
      <c r="AG111" s="3">
        <f t="shared" si="10"/>
        <v>0</v>
      </c>
      <c r="AH111" s="3">
        <f t="shared" si="10"/>
        <v>0</v>
      </c>
      <c r="AI111" s="3">
        <f t="shared" si="10"/>
        <v>0</v>
      </c>
      <c r="AJ111" s="3">
        <f t="shared" si="10"/>
        <v>0</v>
      </c>
    </row>
    <row r="112" spans="1:36" x14ac:dyDescent="0.25">
      <c r="A112" s="3">
        <v>3.9038946506297401E-14</v>
      </c>
      <c r="B112" s="107">
        <v>0</v>
      </c>
      <c r="C112" s="18">
        <f t="shared" si="9"/>
        <v>0</v>
      </c>
      <c r="D112" s="17"/>
      <c r="E112" s="11"/>
      <c r="F112" s="3">
        <f t="shared" ref="F112:U141" si="11">$C112*EXP(-F$108/$A112)</f>
        <v>0</v>
      </c>
      <c r="G112" s="3">
        <f t="shared" si="11"/>
        <v>0</v>
      </c>
      <c r="H112" s="3">
        <f t="shared" si="11"/>
        <v>0</v>
      </c>
      <c r="I112" s="3">
        <f t="shared" si="11"/>
        <v>0</v>
      </c>
      <c r="J112" s="3">
        <f t="shared" si="11"/>
        <v>0</v>
      </c>
      <c r="K112" s="3">
        <f t="shared" si="11"/>
        <v>0</v>
      </c>
      <c r="L112" s="3">
        <f t="shared" si="11"/>
        <v>0</v>
      </c>
      <c r="M112" s="3">
        <f t="shared" si="11"/>
        <v>0</v>
      </c>
      <c r="N112" s="3">
        <f t="shared" si="11"/>
        <v>0</v>
      </c>
      <c r="O112" s="3">
        <f t="shared" si="11"/>
        <v>0</v>
      </c>
      <c r="P112" s="3">
        <f t="shared" si="11"/>
        <v>0</v>
      </c>
      <c r="Q112" s="3">
        <f t="shared" si="11"/>
        <v>0</v>
      </c>
      <c r="R112" s="3">
        <f t="shared" si="11"/>
        <v>0</v>
      </c>
      <c r="S112" s="3">
        <f t="shared" si="11"/>
        <v>0</v>
      </c>
      <c r="T112" s="3">
        <f t="shared" si="11"/>
        <v>0</v>
      </c>
      <c r="U112" s="3">
        <f t="shared" si="11"/>
        <v>0</v>
      </c>
      <c r="V112" s="3">
        <f t="shared" si="10"/>
        <v>0</v>
      </c>
      <c r="W112" s="3">
        <f t="shared" si="10"/>
        <v>0</v>
      </c>
      <c r="X112" s="3">
        <f t="shared" si="10"/>
        <v>0</v>
      </c>
      <c r="Y112" s="3">
        <f t="shared" si="10"/>
        <v>0</v>
      </c>
      <c r="Z112" s="3">
        <f t="shared" si="10"/>
        <v>0</v>
      </c>
      <c r="AA112" s="3">
        <f t="shared" si="10"/>
        <v>0</v>
      </c>
      <c r="AB112" s="3">
        <f t="shared" si="10"/>
        <v>0</v>
      </c>
      <c r="AC112" s="3">
        <f t="shared" si="10"/>
        <v>0</v>
      </c>
      <c r="AD112" s="3">
        <f t="shared" si="10"/>
        <v>0</v>
      </c>
      <c r="AE112" s="3">
        <f t="shared" si="10"/>
        <v>0</v>
      </c>
      <c r="AF112" s="3">
        <f t="shared" si="10"/>
        <v>0</v>
      </c>
      <c r="AG112" s="3">
        <f t="shared" si="10"/>
        <v>0</v>
      </c>
      <c r="AH112" s="3">
        <f t="shared" si="10"/>
        <v>0</v>
      </c>
      <c r="AI112" s="3">
        <f t="shared" si="10"/>
        <v>0</v>
      </c>
      <c r="AJ112" s="3">
        <f t="shared" si="10"/>
        <v>0</v>
      </c>
    </row>
    <row r="113" spans="1:36" x14ac:dyDescent="0.25">
      <c r="A113" s="3">
        <v>4.3276437088188502E-13</v>
      </c>
      <c r="B113" s="107">
        <v>0</v>
      </c>
      <c r="C113" s="18">
        <f t="shared" si="9"/>
        <v>0</v>
      </c>
      <c r="D113" s="17"/>
      <c r="E113" s="11"/>
      <c r="F113" s="3">
        <f t="shared" si="11"/>
        <v>0</v>
      </c>
      <c r="G113" s="3">
        <f t="shared" si="10"/>
        <v>0</v>
      </c>
      <c r="H113" s="3">
        <f t="shared" si="10"/>
        <v>0</v>
      </c>
      <c r="I113" s="3">
        <f t="shared" si="10"/>
        <v>0</v>
      </c>
      <c r="J113" s="3">
        <f t="shared" si="10"/>
        <v>0</v>
      </c>
      <c r="K113" s="3">
        <f t="shared" si="10"/>
        <v>0</v>
      </c>
      <c r="L113" s="3">
        <f t="shared" si="10"/>
        <v>0</v>
      </c>
      <c r="M113" s="3">
        <f t="shared" si="10"/>
        <v>0</v>
      </c>
      <c r="N113" s="3">
        <f t="shared" si="10"/>
        <v>0</v>
      </c>
      <c r="O113" s="3">
        <f t="shared" si="10"/>
        <v>0</v>
      </c>
      <c r="P113" s="3">
        <f t="shared" si="10"/>
        <v>0</v>
      </c>
      <c r="Q113" s="3">
        <f t="shared" si="10"/>
        <v>0</v>
      </c>
      <c r="R113" s="3">
        <f t="shared" si="10"/>
        <v>0</v>
      </c>
      <c r="S113" s="3">
        <f t="shared" si="10"/>
        <v>0</v>
      </c>
      <c r="T113" s="3">
        <f t="shared" si="10"/>
        <v>0</v>
      </c>
      <c r="U113" s="3">
        <f t="shared" si="10"/>
        <v>0</v>
      </c>
      <c r="V113" s="3">
        <f t="shared" si="10"/>
        <v>0</v>
      </c>
      <c r="W113" s="3">
        <f t="shared" si="10"/>
        <v>0</v>
      </c>
      <c r="X113" s="3">
        <f t="shared" si="10"/>
        <v>0</v>
      </c>
      <c r="Y113" s="3">
        <f t="shared" si="10"/>
        <v>0</v>
      </c>
      <c r="Z113" s="3">
        <f t="shared" si="10"/>
        <v>0</v>
      </c>
      <c r="AA113" s="3">
        <f t="shared" si="10"/>
        <v>0</v>
      </c>
      <c r="AB113" s="3">
        <f t="shared" si="10"/>
        <v>0</v>
      </c>
      <c r="AC113" s="3">
        <f t="shared" si="10"/>
        <v>0</v>
      </c>
      <c r="AD113" s="3">
        <f t="shared" si="10"/>
        <v>0</v>
      </c>
      <c r="AE113" s="3">
        <f t="shared" si="10"/>
        <v>0</v>
      </c>
      <c r="AF113" s="3">
        <f t="shared" si="10"/>
        <v>0</v>
      </c>
      <c r="AG113" s="3">
        <f t="shared" si="10"/>
        <v>0</v>
      </c>
      <c r="AH113" s="3">
        <f t="shared" si="10"/>
        <v>0</v>
      </c>
      <c r="AI113" s="3">
        <f t="shared" si="10"/>
        <v>0</v>
      </c>
      <c r="AJ113" s="3">
        <f t="shared" si="10"/>
        <v>0</v>
      </c>
    </row>
    <row r="114" spans="1:36" x14ac:dyDescent="0.25">
      <c r="A114" s="3">
        <v>4.7973886968128502E-12</v>
      </c>
      <c r="B114" s="107">
        <v>0</v>
      </c>
      <c r="C114" s="18">
        <f t="shared" si="9"/>
        <v>0</v>
      </c>
      <c r="D114" s="17"/>
      <c r="E114" s="11"/>
      <c r="F114" s="3">
        <f t="shared" si="11"/>
        <v>0</v>
      </c>
      <c r="G114" s="3">
        <f t="shared" si="10"/>
        <v>0</v>
      </c>
      <c r="H114" s="3">
        <f t="shared" si="10"/>
        <v>0</v>
      </c>
      <c r="I114" s="3">
        <f t="shared" si="10"/>
        <v>0</v>
      </c>
      <c r="J114" s="3">
        <f t="shared" si="10"/>
        <v>0</v>
      </c>
      <c r="K114" s="3">
        <f t="shared" si="10"/>
        <v>0</v>
      </c>
      <c r="L114" s="3">
        <f t="shared" si="10"/>
        <v>0</v>
      </c>
      <c r="M114" s="3">
        <f t="shared" si="10"/>
        <v>0</v>
      </c>
      <c r="N114" s="3">
        <f t="shared" si="10"/>
        <v>0</v>
      </c>
      <c r="O114" s="3">
        <f t="shared" si="10"/>
        <v>0</v>
      </c>
      <c r="P114" s="3">
        <f t="shared" si="10"/>
        <v>0</v>
      </c>
      <c r="Q114" s="3">
        <f t="shared" si="10"/>
        <v>0</v>
      </c>
      <c r="R114" s="3">
        <f t="shared" si="10"/>
        <v>0</v>
      </c>
      <c r="S114" s="3">
        <f t="shared" si="10"/>
        <v>0</v>
      </c>
      <c r="T114" s="3">
        <f t="shared" si="10"/>
        <v>0</v>
      </c>
      <c r="U114" s="3">
        <f t="shared" si="10"/>
        <v>0</v>
      </c>
      <c r="V114" s="3">
        <f t="shared" si="10"/>
        <v>0</v>
      </c>
      <c r="W114" s="3">
        <f t="shared" si="10"/>
        <v>0</v>
      </c>
      <c r="X114" s="3">
        <f t="shared" si="10"/>
        <v>0</v>
      </c>
      <c r="Y114" s="3">
        <f t="shared" si="10"/>
        <v>0</v>
      </c>
      <c r="Z114" s="3">
        <f t="shared" si="10"/>
        <v>0</v>
      </c>
      <c r="AA114" s="3">
        <f t="shared" si="10"/>
        <v>0</v>
      </c>
      <c r="AB114" s="3">
        <f t="shared" si="10"/>
        <v>0</v>
      </c>
      <c r="AC114" s="3">
        <f t="shared" si="10"/>
        <v>0</v>
      </c>
      <c r="AD114" s="3">
        <f t="shared" si="10"/>
        <v>0</v>
      </c>
      <c r="AE114" s="3">
        <f t="shared" si="10"/>
        <v>0</v>
      </c>
      <c r="AF114" s="3">
        <f t="shared" si="10"/>
        <v>0</v>
      </c>
      <c r="AG114" s="3">
        <f t="shared" si="10"/>
        <v>0</v>
      </c>
      <c r="AH114" s="3">
        <f t="shared" si="10"/>
        <v>0</v>
      </c>
      <c r="AI114" s="3">
        <f t="shared" si="10"/>
        <v>0</v>
      </c>
      <c r="AJ114" s="3">
        <f t="shared" si="10"/>
        <v>0</v>
      </c>
    </row>
    <row r="115" spans="1:36" x14ac:dyDescent="0.25">
      <c r="A115" s="3">
        <v>5.31812225239524E-11</v>
      </c>
      <c r="B115" s="107">
        <v>4.3679858871014145E-2</v>
      </c>
      <c r="C115" s="18">
        <f t="shared" si="9"/>
        <v>3.247676368639444E-2</v>
      </c>
      <c r="D115" s="17"/>
      <c r="E115" s="11"/>
      <c r="F115" s="3">
        <f t="shared" si="11"/>
        <v>3.2476153011107067E-2</v>
      </c>
      <c r="G115" s="3">
        <f t="shared" si="10"/>
        <v>3.2470657450220951E-2</v>
      </c>
      <c r="H115" s="3">
        <f t="shared" si="10"/>
        <v>3.2415752962638114E-2</v>
      </c>
      <c r="I115" s="3">
        <f t="shared" si="10"/>
        <v>3.1871788348885696E-2</v>
      </c>
      <c r="J115" s="3">
        <f t="shared" si="10"/>
        <v>2.6909747350631941E-2</v>
      </c>
      <c r="K115" s="3">
        <f t="shared" si="10"/>
        <v>4.9538345287482759E-3</v>
      </c>
      <c r="L115" s="3">
        <f t="shared" si="10"/>
        <v>2.2144213092253891E-10</v>
      </c>
      <c r="M115" s="3">
        <f t="shared" si="10"/>
        <v>7.0542007182734825E-84</v>
      </c>
      <c r="N115" s="3">
        <f t="shared" si="10"/>
        <v>0</v>
      </c>
      <c r="O115" s="3">
        <f t="shared" si="10"/>
        <v>0</v>
      </c>
      <c r="P115" s="3">
        <f t="shared" si="10"/>
        <v>0</v>
      </c>
      <c r="Q115" s="3">
        <f t="shared" si="10"/>
        <v>0</v>
      </c>
      <c r="R115" s="3">
        <f t="shared" si="10"/>
        <v>0</v>
      </c>
      <c r="S115" s="3">
        <f t="shared" si="10"/>
        <v>0</v>
      </c>
      <c r="T115" s="3">
        <f t="shared" si="10"/>
        <v>0</v>
      </c>
      <c r="U115" s="3">
        <f t="shared" si="10"/>
        <v>0</v>
      </c>
      <c r="V115" s="3">
        <f t="shared" si="10"/>
        <v>0</v>
      </c>
      <c r="W115" s="3">
        <f t="shared" si="10"/>
        <v>0</v>
      </c>
      <c r="X115" s="3">
        <f t="shared" si="10"/>
        <v>0</v>
      </c>
      <c r="Y115" s="3">
        <f t="shared" si="10"/>
        <v>0</v>
      </c>
      <c r="Z115" s="3">
        <f t="shared" si="10"/>
        <v>0</v>
      </c>
      <c r="AA115" s="3">
        <f t="shared" si="10"/>
        <v>0</v>
      </c>
      <c r="AB115" s="3">
        <f t="shared" si="10"/>
        <v>0</v>
      </c>
      <c r="AC115" s="3">
        <f t="shared" si="10"/>
        <v>0</v>
      </c>
      <c r="AD115" s="3">
        <f t="shared" si="10"/>
        <v>0</v>
      </c>
      <c r="AE115" s="3">
        <f t="shared" si="10"/>
        <v>0</v>
      </c>
      <c r="AF115" s="3">
        <f t="shared" si="10"/>
        <v>0</v>
      </c>
      <c r="AG115" s="3">
        <f t="shared" si="10"/>
        <v>0</v>
      </c>
      <c r="AH115" s="3">
        <f t="shared" si="10"/>
        <v>0</v>
      </c>
      <c r="AI115" s="3">
        <f t="shared" si="10"/>
        <v>0</v>
      </c>
      <c r="AJ115" s="3">
        <f t="shared" si="10"/>
        <v>0</v>
      </c>
    </row>
    <row r="116" spans="1:36" x14ac:dyDescent="0.25">
      <c r="A116" s="3">
        <v>5.8953789402578301E-10</v>
      </c>
      <c r="B116" s="107">
        <v>2.7408208466213835E-2</v>
      </c>
      <c r="C116" s="18">
        <f t="shared" si="9"/>
        <v>2.0378497834738891E-2</v>
      </c>
      <c r="D116" s="17"/>
      <c r="E116" s="11"/>
      <c r="F116" s="3">
        <f t="shared" si="11"/>
        <v>2.0378463267867519E-2</v>
      </c>
      <c r="G116" s="3">
        <f t="shared" si="10"/>
        <v>2.0378152168663687E-2</v>
      </c>
      <c r="H116" s="3">
        <f t="shared" si="10"/>
        <v>2.0375041437822948E-2</v>
      </c>
      <c r="I116" s="3">
        <f t="shared" si="10"/>
        <v>2.0343960234427017E-2</v>
      </c>
      <c r="J116" s="3">
        <f t="shared" si="10"/>
        <v>2.0035744016238897E-2</v>
      </c>
      <c r="K116" s="3">
        <f t="shared" si="10"/>
        <v>1.7199080736819854E-2</v>
      </c>
      <c r="L116" s="3">
        <f t="shared" si="10"/>
        <v>3.7368257204730936E-3</v>
      </c>
      <c r="M116" s="3">
        <f t="shared" si="10"/>
        <v>8.7594921333146408E-10</v>
      </c>
      <c r="N116" s="3">
        <f t="shared" si="10"/>
        <v>4.3877286429938809E-76</v>
      </c>
      <c r="O116" s="3">
        <f t="shared" si="10"/>
        <v>0</v>
      </c>
      <c r="P116" s="3">
        <f t="shared" si="10"/>
        <v>0</v>
      </c>
      <c r="Q116" s="3">
        <f t="shared" si="10"/>
        <v>0</v>
      </c>
      <c r="R116" s="3">
        <f t="shared" si="10"/>
        <v>0</v>
      </c>
      <c r="S116" s="3">
        <f t="shared" si="10"/>
        <v>0</v>
      </c>
      <c r="T116" s="3">
        <f t="shared" si="10"/>
        <v>0</v>
      </c>
      <c r="U116" s="3">
        <f t="shared" si="10"/>
        <v>0</v>
      </c>
      <c r="V116" s="3">
        <f t="shared" si="10"/>
        <v>0</v>
      </c>
      <c r="W116" s="3">
        <f t="shared" si="10"/>
        <v>0</v>
      </c>
      <c r="X116" s="3">
        <f t="shared" si="10"/>
        <v>0</v>
      </c>
      <c r="Y116" s="3">
        <f t="shared" si="10"/>
        <v>0</v>
      </c>
      <c r="Z116" s="3">
        <f t="shared" si="10"/>
        <v>0</v>
      </c>
      <c r="AA116" s="3">
        <f t="shared" si="10"/>
        <v>0</v>
      </c>
      <c r="AB116" s="3">
        <f t="shared" si="10"/>
        <v>0</v>
      </c>
      <c r="AC116" s="3">
        <f t="shared" si="10"/>
        <v>0</v>
      </c>
      <c r="AD116" s="3">
        <f t="shared" si="10"/>
        <v>0</v>
      </c>
      <c r="AE116" s="3">
        <f t="shared" si="10"/>
        <v>0</v>
      </c>
      <c r="AF116" s="3">
        <f t="shared" si="10"/>
        <v>0</v>
      </c>
      <c r="AG116" s="3">
        <f t="shared" si="10"/>
        <v>0</v>
      </c>
      <c r="AH116" s="3">
        <f t="shared" si="10"/>
        <v>0</v>
      </c>
      <c r="AI116" s="3">
        <f t="shared" si="10"/>
        <v>0</v>
      </c>
      <c r="AJ116" s="3">
        <f t="shared" si="10"/>
        <v>0</v>
      </c>
    </row>
    <row r="117" spans="1:36" x14ac:dyDescent="0.25">
      <c r="A117" s="3">
        <v>6.5352940755699598E-9</v>
      </c>
      <c r="B117" s="107">
        <v>5.118820363025358E-2</v>
      </c>
      <c r="C117" s="18">
        <f t="shared" si="9"/>
        <v>3.8059353573918403E-2</v>
      </c>
      <c r="D117" s="17"/>
      <c r="E117" s="11"/>
      <c r="F117" s="3">
        <f t="shared" si="11"/>
        <v>3.8059347750255351E-2</v>
      </c>
      <c r="G117" s="3">
        <f t="shared" si="10"/>
        <v>3.805929533732795E-2</v>
      </c>
      <c r="H117" s="3">
        <f t="shared" si="10"/>
        <v>3.8058771212023862E-2</v>
      </c>
      <c r="I117" s="3">
        <f t="shared" si="10"/>
        <v>3.8053530355949841E-2</v>
      </c>
      <c r="J117" s="3">
        <f t="shared" si="10"/>
        <v>3.8001161471676627E-2</v>
      </c>
      <c r="K117" s="3">
        <f t="shared" si="10"/>
        <v>3.7481420133115083E-2</v>
      </c>
      <c r="L117" s="3">
        <f t="shared" si="10"/>
        <v>3.2659362720485391E-2</v>
      </c>
      <c r="M117" s="3">
        <f t="shared" si="10"/>
        <v>8.2399465081853564E-3</v>
      </c>
      <c r="N117" s="3">
        <f t="shared" si="10"/>
        <v>8.6117468475858279E-9</v>
      </c>
      <c r="O117" s="3">
        <f t="shared" si="10"/>
        <v>1.3389361846463596E-68</v>
      </c>
      <c r="P117" s="3">
        <f t="shared" si="10"/>
        <v>0</v>
      </c>
      <c r="Q117" s="3">
        <f t="shared" si="10"/>
        <v>0</v>
      </c>
      <c r="R117" s="3">
        <f t="shared" si="10"/>
        <v>0</v>
      </c>
      <c r="S117" s="3">
        <f t="shared" si="10"/>
        <v>0</v>
      </c>
      <c r="T117" s="3">
        <f t="shared" si="10"/>
        <v>0</v>
      </c>
      <c r="U117" s="3">
        <f t="shared" si="10"/>
        <v>0</v>
      </c>
      <c r="V117" s="3">
        <f t="shared" si="10"/>
        <v>0</v>
      </c>
      <c r="W117" s="3">
        <f t="shared" si="10"/>
        <v>0</v>
      </c>
      <c r="X117" s="3">
        <f t="shared" si="10"/>
        <v>0</v>
      </c>
      <c r="Y117" s="3">
        <f t="shared" si="10"/>
        <v>0</v>
      </c>
      <c r="Z117" s="3">
        <f t="shared" si="10"/>
        <v>0</v>
      </c>
      <c r="AA117" s="3">
        <f t="shared" si="10"/>
        <v>0</v>
      </c>
      <c r="AB117" s="3">
        <f t="shared" si="10"/>
        <v>0</v>
      </c>
      <c r="AC117" s="3">
        <f t="shared" si="10"/>
        <v>0</v>
      </c>
      <c r="AD117" s="3">
        <f t="shared" si="10"/>
        <v>0</v>
      </c>
      <c r="AE117" s="3">
        <f t="shared" si="10"/>
        <v>0</v>
      </c>
      <c r="AF117" s="3">
        <f t="shared" si="10"/>
        <v>0</v>
      </c>
      <c r="AG117" s="3">
        <f t="shared" si="10"/>
        <v>0</v>
      </c>
      <c r="AH117" s="3">
        <f t="shared" si="10"/>
        <v>0</v>
      </c>
      <c r="AI117" s="3">
        <f t="shared" si="10"/>
        <v>0</v>
      </c>
      <c r="AJ117" s="3">
        <f t="shared" si="10"/>
        <v>0</v>
      </c>
    </row>
    <row r="118" spans="1:36" x14ac:dyDescent="0.25">
      <c r="A118" s="3">
        <v>7.2446689325643296E-8</v>
      </c>
      <c r="B118" s="107">
        <v>4.9770169501161372E-2</v>
      </c>
      <c r="C118" s="18">
        <f t="shared" si="9"/>
        <v>3.7005019597113116E-2</v>
      </c>
      <c r="D118" s="17"/>
      <c r="E118" s="11"/>
      <c r="F118" s="3">
        <f t="shared" si="11"/>
        <v>3.7005019086323462E-2</v>
      </c>
      <c r="G118" s="3">
        <f t="shared" si="10"/>
        <v>3.7005014489216899E-2</v>
      </c>
      <c r="H118" s="3">
        <f t="shared" si="10"/>
        <v>3.7004968518182663E-2</v>
      </c>
      <c r="I118" s="3">
        <f t="shared" si="10"/>
        <v>3.7004508810981301E-2</v>
      </c>
      <c r="J118" s="3">
        <f t="shared" si="10"/>
        <v>3.6999912053054064E-2</v>
      </c>
      <c r="K118" s="3">
        <f t="shared" si="10"/>
        <v>3.6953975867985732E-2</v>
      </c>
      <c r="L118" s="3">
        <f t="shared" si="10"/>
        <v>3.6497739055241993E-2</v>
      </c>
      <c r="M118" s="3">
        <f t="shared" si="10"/>
        <v>3.2233975489699862E-2</v>
      </c>
      <c r="N118" s="3">
        <f t="shared" si="10"/>
        <v>9.3066411091610231E-3</v>
      </c>
      <c r="O118" s="3">
        <f t="shared" si="10"/>
        <v>3.7461392698903256E-8</v>
      </c>
      <c r="P118" s="3">
        <f t="shared" si="10"/>
        <v>4.1830537379747843E-62</v>
      </c>
      <c r="Q118" s="3">
        <f t="shared" si="10"/>
        <v>0</v>
      </c>
      <c r="R118" s="3">
        <f t="shared" si="10"/>
        <v>0</v>
      </c>
      <c r="S118" s="3">
        <f t="shared" si="10"/>
        <v>0</v>
      </c>
      <c r="T118" s="3">
        <f t="shared" si="10"/>
        <v>0</v>
      </c>
      <c r="U118" s="3">
        <f t="shared" si="10"/>
        <v>0</v>
      </c>
      <c r="V118" s="3">
        <f t="shared" si="10"/>
        <v>0</v>
      </c>
      <c r="W118" s="3">
        <f t="shared" si="10"/>
        <v>0</v>
      </c>
      <c r="X118" s="3">
        <f t="shared" si="10"/>
        <v>0</v>
      </c>
      <c r="Y118" s="3">
        <f t="shared" si="10"/>
        <v>0</v>
      </c>
      <c r="Z118" s="3">
        <f t="shared" si="10"/>
        <v>0</v>
      </c>
      <c r="AA118" s="3">
        <f t="shared" si="10"/>
        <v>0</v>
      </c>
      <c r="AB118" s="3">
        <f t="shared" si="10"/>
        <v>0</v>
      </c>
      <c r="AC118" s="3">
        <f t="shared" si="10"/>
        <v>0</v>
      </c>
      <c r="AD118" s="3">
        <f t="shared" si="10"/>
        <v>0</v>
      </c>
      <c r="AE118" s="3">
        <f t="shared" si="10"/>
        <v>0</v>
      </c>
      <c r="AF118" s="3">
        <f t="shared" si="10"/>
        <v>0</v>
      </c>
      <c r="AG118" s="3">
        <f t="shared" si="10"/>
        <v>0</v>
      </c>
      <c r="AH118" s="3">
        <f t="shared" si="10"/>
        <v>0</v>
      </c>
      <c r="AI118" s="3">
        <f t="shared" si="10"/>
        <v>0</v>
      </c>
      <c r="AJ118" s="3">
        <f t="shared" si="10"/>
        <v>0</v>
      </c>
    </row>
    <row r="119" spans="1:36" x14ac:dyDescent="0.25">
      <c r="A119" s="3">
        <v>8.03104303120212E-7</v>
      </c>
      <c r="B119" s="107">
        <v>2.1881894117361852E-2</v>
      </c>
      <c r="C119" s="18">
        <f t="shared" si="9"/>
        <v>1.6269583341805467E-2</v>
      </c>
      <c r="D119" s="17"/>
      <c r="E119" s="11"/>
      <c r="F119" s="3">
        <f t="shared" si="11"/>
        <v>1.6269583321547099E-2</v>
      </c>
      <c r="G119" s="3">
        <f t="shared" si="10"/>
        <v>1.6269583139221777E-2</v>
      </c>
      <c r="H119" s="3">
        <f t="shared" si="10"/>
        <v>1.626958131596869E-2</v>
      </c>
      <c r="I119" s="3">
        <f t="shared" si="10"/>
        <v>1.6269563083449051E-2</v>
      </c>
      <c r="J119" s="3">
        <f t="shared" si="10"/>
        <v>1.6269380759376419E-2</v>
      </c>
      <c r="K119" s="3">
        <f t="shared" si="10"/>
        <v>1.626755763102267E-2</v>
      </c>
      <c r="L119" s="3">
        <f t="shared" si="10"/>
        <v>1.6249337580081874E-2</v>
      </c>
      <c r="M119" s="3">
        <f t="shared" si="10"/>
        <v>1.6068255686775629E-2</v>
      </c>
      <c r="N119" s="3">
        <f t="shared" si="10"/>
        <v>1.4364795902905391E-2</v>
      </c>
      <c r="O119" s="3">
        <f t="shared" si="10"/>
        <v>4.6838903529876613E-3</v>
      </c>
      <c r="P119" s="3">
        <f t="shared" si="10"/>
        <v>6.3632549047509009E-8</v>
      </c>
      <c r="Q119" s="3">
        <f t="shared" si="10"/>
        <v>1.3627159233823045E-56</v>
      </c>
      <c r="R119" s="3">
        <f t="shared" si="10"/>
        <v>0</v>
      </c>
      <c r="S119" s="3">
        <f t="shared" si="10"/>
        <v>0</v>
      </c>
      <c r="T119" s="3">
        <f t="shared" si="10"/>
        <v>0</v>
      </c>
      <c r="U119" s="3">
        <f t="shared" si="10"/>
        <v>0</v>
      </c>
      <c r="V119" s="3">
        <f t="shared" si="10"/>
        <v>0</v>
      </c>
      <c r="W119" s="3">
        <f t="shared" si="10"/>
        <v>0</v>
      </c>
      <c r="X119" s="3">
        <f t="shared" si="10"/>
        <v>0</v>
      </c>
      <c r="Y119" s="3">
        <f t="shared" si="10"/>
        <v>0</v>
      </c>
      <c r="Z119" s="3">
        <f t="shared" si="10"/>
        <v>0</v>
      </c>
      <c r="AA119" s="3">
        <f t="shared" si="10"/>
        <v>0</v>
      </c>
      <c r="AB119" s="3">
        <f t="shared" si="10"/>
        <v>0</v>
      </c>
      <c r="AC119" s="3">
        <f t="shared" si="10"/>
        <v>0</v>
      </c>
      <c r="AD119" s="3">
        <f t="shared" si="10"/>
        <v>0</v>
      </c>
      <c r="AE119" s="3">
        <f t="shared" si="10"/>
        <v>0</v>
      </c>
      <c r="AF119" s="3">
        <f t="shared" si="10"/>
        <v>0</v>
      </c>
      <c r="AG119" s="3">
        <f t="shared" si="10"/>
        <v>0</v>
      </c>
      <c r="AH119" s="3">
        <f t="shared" si="10"/>
        <v>0</v>
      </c>
      <c r="AI119" s="3">
        <f t="shared" si="10"/>
        <v>0</v>
      </c>
      <c r="AJ119" s="3">
        <f t="shared" si="10"/>
        <v>0</v>
      </c>
    </row>
    <row r="120" spans="1:36" x14ac:dyDescent="0.25">
      <c r="A120" s="3">
        <v>8.9027742702096099E-6</v>
      </c>
      <c r="B120" s="107">
        <v>6.8169664103466296E-2</v>
      </c>
      <c r="C120" s="18">
        <f t="shared" si="9"/>
        <v>5.0685376026668436E-2</v>
      </c>
      <c r="D120" s="17"/>
      <c r="E120" s="11"/>
      <c r="F120" s="3">
        <f t="shared" si="11"/>
        <v>5.0685376020975226E-2</v>
      </c>
      <c r="G120" s="3">
        <f t="shared" ref="G120:AJ128" si="12">$C120*EXP(-G$108/$A120)</f>
        <v>5.0685375969736324E-2</v>
      </c>
      <c r="H120" s="3">
        <f t="shared" si="12"/>
        <v>5.0685375457347297E-2</v>
      </c>
      <c r="I120" s="3">
        <f t="shared" si="12"/>
        <v>5.0685370333457352E-2</v>
      </c>
      <c r="J120" s="3">
        <f t="shared" si="12"/>
        <v>5.0685319094586338E-2</v>
      </c>
      <c r="K120" s="3">
        <f t="shared" si="12"/>
        <v>5.0684806708725189E-2</v>
      </c>
      <c r="L120" s="3">
        <f t="shared" si="12"/>
        <v>5.0679683134993408E-2</v>
      </c>
      <c r="M120" s="3">
        <f t="shared" si="12"/>
        <v>5.0628475874999676E-2</v>
      </c>
      <c r="N120" s="3">
        <f t="shared" si="12"/>
        <v>5.0119240384534913E-2</v>
      </c>
      <c r="O120" s="3">
        <f t="shared" si="12"/>
        <v>4.5300265367197647E-2</v>
      </c>
      <c r="P120" s="3">
        <f t="shared" si="12"/>
        <v>1.6484030361657818E-2</v>
      </c>
      <c r="Q120" s="3">
        <f t="shared" si="12"/>
        <v>6.7094976095350529E-7</v>
      </c>
      <c r="R120" s="3">
        <f t="shared" si="12"/>
        <v>8.374443748551072E-51</v>
      </c>
      <c r="S120" s="3">
        <f t="shared" si="12"/>
        <v>0</v>
      </c>
      <c r="T120" s="3">
        <f t="shared" si="12"/>
        <v>0</v>
      </c>
      <c r="U120" s="3">
        <f t="shared" si="12"/>
        <v>0</v>
      </c>
      <c r="V120" s="3">
        <f t="shared" si="12"/>
        <v>0</v>
      </c>
      <c r="W120" s="3">
        <f t="shared" si="12"/>
        <v>0</v>
      </c>
      <c r="X120" s="3">
        <f t="shared" si="12"/>
        <v>0</v>
      </c>
      <c r="Y120" s="3">
        <f t="shared" si="12"/>
        <v>0</v>
      </c>
      <c r="Z120" s="3">
        <f t="shared" si="12"/>
        <v>0</v>
      </c>
      <c r="AA120" s="3">
        <f t="shared" si="12"/>
        <v>0</v>
      </c>
      <c r="AB120" s="3">
        <f t="shared" si="12"/>
        <v>0</v>
      </c>
      <c r="AC120" s="3">
        <f t="shared" si="12"/>
        <v>0</v>
      </c>
      <c r="AD120" s="3">
        <f t="shared" si="12"/>
        <v>0</v>
      </c>
      <c r="AE120" s="3">
        <f t="shared" si="12"/>
        <v>0</v>
      </c>
      <c r="AF120" s="3">
        <f t="shared" si="12"/>
        <v>0</v>
      </c>
      <c r="AG120" s="3">
        <f t="shared" si="12"/>
        <v>0</v>
      </c>
      <c r="AH120" s="3">
        <f t="shared" si="12"/>
        <v>0</v>
      </c>
      <c r="AI120" s="3">
        <f t="shared" si="12"/>
        <v>0</v>
      </c>
      <c r="AJ120" s="3">
        <f t="shared" si="12"/>
        <v>0</v>
      </c>
    </row>
    <row r="121" spans="1:36" x14ac:dyDescent="0.25">
      <c r="A121" s="3">
        <v>9.86912775817142E-5</v>
      </c>
      <c r="B121" s="107">
        <v>7.056820331515333E-2</v>
      </c>
      <c r="C121" s="18">
        <f t="shared" si="9"/>
        <v>5.2468733234862223E-2</v>
      </c>
      <c r="D121" s="17"/>
      <c r="E121" s="11"/>
      <c r="F121" s="3">
        <f t="shared" si="11"/>
        <v>5.2468733234330579E-2</v>
      </c>
      <c r="G121" s="3">
        <f t="shared" si="12"/>
        <v>5.2468733229545775E-2</v>
      </c>
      <c r="H121" s="3">
        <f t="shared" si="12"/>
        <v>5.2468733181697709E-2</v>
      </c>
      <c r="I121" s="3">
        <f t="shared" si="12"/>
        <v>5.2468732703217134E-2</v>
      </c>
      <c r="J121" s="3">
        <f t="shared" si="12"/>
        <v>5.2468727918411583E-2</v>
      </c>
      <c r="K121" s="3">
        <f t="shared" si="12"/>
        <v>5.2468680070380073E-2</v>
      </c>
      <c r="L121" s="3">
        <f t="shared" si="12"/>
        <v>5.2468201592464854E-2</v>
      </c>
      <c r="M121" s="3">
        <f t="shared" si="12"/>
        <v>5.2463417053292306E-2</v>
      </c>
      <c r="N121" s="3">
        <f t="shared" si="12"/>
        <v>5.2415595651439134E-2</v>
      </c>
      <c r="O121" s="3">
        <f t="shared" si="12"/>
        <v>5.1939772545284729E-2</v>
      </c>
      <c r="P121" s="3">
        <f t="shared" si="12"/>
        <v>4.7412758429656671E-2</v>
      </c>
      <c r="Q121" s="3">
        <f t="shared" si="12"/>
        <v>1.9047896278266228E-2</v>
      </c>
      <c r="R121" s="3">
        <f t="shared" si="12"/>
        <v>2.0862433429953187E-6</v>
      </c>
      <c r="S121" s="3">
        <f t="shared" si="12"/>
        <v>5.1825610593750073E-46</v>
      </c>
      <c r="T121" s="3">
        <f t="shared" si="12"/>
        <v>0</v>
      </c>
      <c r="U121" s="3">
        <f t="shared" si="12"/>
        <v>0</v>
      </c>
      <c r="V121" s="3">
        <f t="shared" si="12"/>
        <v>0</v>
      </c>
      <c r="W121" s="3">
        <f t="shared" si="12"/>
        <v>0</v>
      </c>
      <c r="X121" s="3">
        <f t="shared" si="12"/>
        <v>0</v>
      </c>
      <c r="Y121" s="3">
        <f t="shared" si="12"/>
        <v>0</v>
      </c>
      <c r="Z121" s="3">
        <f t="shared" si="12"/>
        <v>0</v>
      </c>
      <c r="AA121" s="3">
        <f t="shared" si="12"/>
        <v>0</v>
      </c>
      <c r="AB121" s="3">
        <f t="shared" si="12"/>
        <v>0</v>
      </c>
      <c r="AC121" s="3">
        <f t="shared" si="12"/>
        <v>0</v>
      </c>
      <c r="AD121" s="3">
        <f t="shared" si="12"/>
        <v>0</v>
      </c>
      <c r="AE121" s="3">
        <f t="shared" si="12"/>
        <v>0</v>
      </c>
      <c r="AF121" s="3">
        <f t="shared" si="12"/>
        <v>0</v>
      </c>
      <c r="AG121" s="3">
        <f t="shared" si="12"/>
        <v>0</v>
      </c>
      <c r="AH121" s="3">
        <f t="shared" si="12"/>
        <v>0</v>
      </c>
      <c r="AI121" s="3">
        <f t="shared" si="12"/>
        <v>0</v>
      </c>
      <c r="AJ121" s="3">
        <f t="shared" si="12"/>
        <v>0</v>
      </c>
    </row>
    <row r="122" spans="1:36" x14ac:dyDescent="0.25">
      <c r="A122" s="3">
        <v>1.0940374286813801E-3</v>
      </c>
      <c r="B122" s="107">
        <v>8.0837833006476342E-3</v>
      </c>
      <c r="C122" s="18">
        <f t="shared" si="9"/>
        <v>6.0104388322869007E-3</v>
      </c>
      <c r="D122" s="17"/>
      <c r="E122" s="11"/>
      <c r="F122" s="3">
        <f t="shared" si="11"/>
        <v>6.0104388322814069E-3</v>
      </c>
      <c r="G122" s="3">
        <f t="shared" si="12"/>
        <v>6.0104388322319629E-3</v>
      </c>
      <c r="H122" s="3">
        <f t="shared" si="12"/>
        <v>6.010438831737519E-3</v>
      </c>
      <c r="I122" s="3">
        <f t="shared" si="12"/>
        <v>6.0104388267930861E-3</v>
      </c>
      <c r="J122" s="3">
        <f t="shared" si="12"/>
        <v>6.0104387773487547E-3</v>
      </c>
      <c r="K122" s="3">
        <f t="shared" si="12"/>
        <v>6.0104382829054628E-3</v>
      </c>
      <c r="L122" s="3">
        <f t="shared" si="12"/>
        <v>6.0104333384747811E-3</v>
      </c>
      <c r="M122" s="3">
        <f t="shared" si="12"/>
        <v>6.0103838943916721E-3</v>
      </c>
      <c r="N122" s="3">
        <f t="shared" si="12"/>
        <v>6.0098894759310429E-3</v>
      </c>
      <c r="O122" s="3">
        <f t="shared" si="12"/>
        <v>6.0049475276896221E-3</v>
      </c>
      <c r="P122" s="3">
        <f t="shared" si="12"/>
        <v>5.955751002559526E-3</v>
      </c>
      <c r="Q122" s="3">
        <f t="shared" si="12"/>
        <v>5.4854175238017878E-3</v>
      </c>
      <c r="R122" s="3">
        <f t="shared" si="12"/>
        <v>2.4095795035048865E-3</v>
      </c>
      <c r="S122" s="3">
        <f t="shared" si="12"/>
        <v>6.4455052661268449E-7</v>
      </c>
      <c r="T122" s="3">
        <f t="shared" si="12"/>
        <v>1.2089658686097679E-42</v>
      </c>
      <c r="U122" s="3">
        <f t="shared" si="12"/>
        <v>0</v>
      </c>
      <c r="V122" s="3">
        <f t="shared" si="12"/>
        <v>0</v>
      </c>
      <c r="W122" s="3">
        <f t="shared" si="12"/>
        <v>0</v>
      </c>
      <c r="X122" s="3">
        <f t="shared" si="12"/>
        <v>0</v>
      </c>
      <c r="Y122" s="3">
        <f t="shared" si="12"/>
        <v>0</v>
      </c>
      <c r="Z122" s="3">
        <f t="shared" si="12"/>
        <v>0</v>
      </c>
      <c r="AA122" s="3">
        <f t="shared" si="12"/>
        <v>0</v>
      </c>
      <c r="AB122" s="3">
        <f t="shared" si="12"/>
        <v>0</v>
      </c>
      <c r="AC122" s="3">
        <f t="shared" si="12"/>
        <v>0</v>
      </c>
      <c r="AD122" s="3">
        <f t="shared" si="12"/>
        <v>0</v>
      </c>
      <c r="AE122" s="3">
        <f t="shared" si="12"/>
        <v>0</v>
      </c>
      <c r="AF122" s="3">
        <f t="shared" si="12"/>
        <v>0</v>
      </c>
      <c r="AG122" s="3">
        <f t="shared" si="12"/>
        <v>0</v>
      </c>
      <c r="AH122" s="3">
        <f t="shared" si="12"/>
        <v>0</v>
      </c>
      <c r="AI122" s="3">
        <f t="shared" si="12"/>
        <v>0</v>
      </c>
      <c r="AJ122" s="3">
        <f t="shared" si="12"/>
        <v>0</v>
      </c>
    </row>
    <row r="123" spans="1:36" x14ac:dyDescent="0.25">
      <c r="A123" s="3">
        <v>1.2127899493091E-2</v>
      </c>
      <c r="B123" s="107">
        <v>0.11337254072527683</v>
      </c>
      <c r="C123" s="18">
        <f t="shared" si="9"/>
        <v>8.4294530908026688E-2</v>
      </c>
      <c r="D123" s="17"/>
      <c r="E123" s="11"/>
      <c r="F123" s="3">
        <f t="shared" si="11"/>
        <v>8.4294530908019735E-2</v>
      </c>
      <c r="G123" s="3">
        <f t="shared" si="12"/>
        <v>8.4294530907957188E-2</v>
      </c>
      <c r="H123" s="3">
        <f t="shared" si="12"/>
        <v>8.4294530907331647E-2</v>
      </c>
      <c r="I123" s="3">
        <f t="shared" si="12"/>
        <v>8.429453090107622E-2</v>
      </c>
      <c r="J123" s="3">
        <f t="shared" si="12"/>
        <v>8.429453083852205E-2</v>
      </c>
      <c r="K123" s="3">
        <f t="shared" si="12"/>
        <v>8.4294530212980279E-2</v>
      </c>
      <c r="L123" s="3">
        <f t="shared" si="12"/>
        <v>8.4294523957562803E-2</v>
      </c>
      <c r="M123" s="3">
        <f t="shared" si="12"/>
        <v>8.4294461403413623E-2</v>
      </c>
      <c r="N123" s="3">
        <f t="shared" si="12"/>
        <v>8.4293835864474961E-2</v>
      </c>
      <c r="O123" s="3">
        <f t="shared" si="12"/>
        <v>8.4287580730395384E-2</v>
      </c>
      <c r="P123" s="3">
        <f t="shared" si="12"/>
        <v>8.4225054913288425E-2</v>
      </c>
      <c r="Q123" s="3">
        <f t="shared" si="12"/>
        <v>8.3602342116856285E-2</v>
      </c>
      <c r="R123" s="3">
        <f t="shared" si="12"/>
        <v>7.7622899258465203E-2</v>
      </c>
      <c r="S123" s="3">
        <f t="shared" si="12"/>
        <v>3.6957621621646931E-2</v>
      </c>
      <c r="T123" s="3">
        <f t="shared" si="12"/>
        <v>2.2123078685911639E-5</v>
      </c>
      <c r="U123" s="3">
        <f t="shared" si="12"/>
        <v>1.3069562694421614E-37</v>
      </c>
      <c r="V123" s="3">
        <f t="shared" si="12"/>
        <v>0</v>
      </c>
      <c r="W123" s="3">
        <f t="shared" si="12"/>
        <v>0</v>
      </c>
      <c r="X123" s="3">
        <f t="shared" si="12"/>
        <v>0</v>
      </c>
      <c r="Y123" s="3">
        <f t="shared" si="12"/>
        <v>0</v>
      </c>
      <c r="Z123" s="3">
        <f t="shared" si="12"/>
        <v>0</v>
      </c>
      <c r="AA123" s="3">
        <f t="shared" si="12"/>
        <v>0</v>
      </c>
      <c r="AB123" s="3">
        <f t="shared" si="12"/>
        <v>0</v>
      </c>
      <c r="AC123" s="3">
        <f t="shared" si="12"/>
        <v>0</v>
      </c>
      <c r="AD123" s="3">
        <f t="shared" si="12"/>
        <v>0</v>
      </c>
      <c r="AE123" s="3">
        <f t="shared" si="12"/>
        <v>0</v>
      </c>
      <c r="AF123" s="3">
        <f t="shared" si="12"/>
        <v>0</v>
      </c>
      <c r="AG123" s="3">
        <f t="shared" si="12"/>
        <v>0</v>
      </c>
      <c r="AH123" s="3">
        <f t="shared" si="12"/>
        <v>0</v>
      </c>
      <c r="AI123" s="3">
        <f t="shared" si="12"/>
        <v>0</v>
      </c>
      <c r="AJ123" s="3">
        <f t="shared" si="12"/>
        <v>0</v>
      </c>
    </row>
    <row r="124" spans="1:36" x14ac:dyDescent="0.25">
      <c r="A124" s="3">
        <v>0.13444324870292301</v>
      </c>
      <c r="B124" s="107">
        <v>3.4648603437007215E-2</v>
      </c>
      <c r="C124" s="18">
        <f t="shared" si="9"/>
        <v>2.576186221686735E-2</v>
      </c>
      <c r="D124" s="17"/>
      <c r="E124" s="11"/>
      <c r="F124" s="3">
        <f t="shared" si="11"/>
        <v>2.576186221686716E-2</v>
      </c>
      <c r="G124" s="3">
        <f t="shared" si="12"/>
        <v>2.5761862216865435E-2</v>
      </c>
      <c r="H124" s="3">
        <f t="shared" si="12"/>
        <v>2.5761862216848189E-2</v>
      </c>
      <c r="I124" s="3">
        <f t="shared" si="12"/>
        <v>2.5761862216675733E-2</v>
      </c>
      <c r="J124" s="3">
        <f t="shared" si="12"/>
        <v>2.5761862214951161E-2</v>
      </c>
      <c r="K124" s="3">
        <f t="shared" si="12"/>
        <v>2.5761862197705467E-2</v>
      </c>
      <c r="L124" s="3">
        <f t="shared" si="12"/>
        <v>2.5761862025248487E-2</v>
      </c>
      <c r="M124" s="3">
        <f t="shared" si="12"/>
        <v>2.5761860300678809E-2</v>
      </c>
      <c r="N124" s="3">
        <f t="shared" si="12"/>
        <v>2.5761843054988354E-2</v>
      </c>
      <c r="O124" s="3">
        <f t="shared" si="12"/>
        <v>2.5761670598718756E-2</v>
      </c>
      <c r="P124" s="3">
        <f t="shared" si="12"/>
        <v>2.5759946099517105E-2</v>
      </c>
      <c r="Q124" s="3">
        <f t="shared" si="12"/>
        <v>2.5742707455362196E-2</v>
      </c>
      <c r="R124" s="3">
        <f t="shared" si="12"/>
        <v>2.5570954230494193E-2</v>
      </c>
      <c r="S124" s="3">
        <f t="shared" si="12"/>
        <v>2.3915202936142816E-2</v>
      </c>
      <c r="T124" s="3">
        <f t="shared" si="12"/>
        <v>1.2244623238951362E-2</v>
      </c>
      <c r="U124" s="3">
        <f t="shared" si="12"/>
        <v>1.5158596333780551E-5</v>
      </c>
      <c r="V124" s="3">
        <f t="shared" si="12"/>
        <v>1.2817242531445613E-34</v>
      </c>
      <c r="W124" s="3">
        <f t="shared" si="12"/>
        <v>0</v>
      </c>
      <c r="X124" s="3">
        <f t="shared" si="12"/>
        <v>0</v>
      </c>
      <c r="Y124" s="3">
        <f t="shared" si="12"/>
        <v>0</v>
      </c>
      <c r="Z124" s="3">
        <f t="shared" si="12"/>
        <v>0</v>
      </c>
      <c r="AA124" s="3">
        <f t="shared" si="12"/>
        <v>0</v>
      </c>
      <c r="AB124" s="3">
        <f t="shared" si="12"/>
        <v>0</v>
      </c>
      <c r="AC124" s="3">
        <f t="shared" si="12"/>
        <v>0</v>
      </c>
      <c r="AD124" s="3">
        <f t="shared" si="12"/>
        <v>0</v>
      </c>
      <c r="AE124" s="3">
        <f t="shared" si="12"/>
        <v>0</v>
      </c>
      <c r="AF124" s="3">
        <f t="shared" si="12"/>
        <v>0</v>
      </c>
      <c r="AG124" s="3">
        <f t="shared" si="12"/>
        <v>0</v>
      </c>
      <c r="AH124" s="3">
        <f t="shared" si="12"/>
        <v>0</v>
      </c>
      <c r="AI124" s="3">
        <f t="shared" si="12"/>
        <v>0</v>
      </c>
      <c r="AJ124" s="3">
        <f t="shared" si="12"/>
        <v>0</v>
      </c>
    </row>
    <row r="125" spans="1:36" x14ac:dyDescent="0.25">
      <c r="A125" s="3">
        <v>1.49036419143257</v>
      </c>
      <c r="B125" s="107">
        <v>0.11218447219032623</v>
      </c>
      <c r="C125" s="18">
        <f t="shared" si="9"/>
        <v>8.3411180502367843E-2</v>
      </c>
      <c r="D125" s="17"/>
      <c r="E125" s="11"/>
      <c r="F125" s="3">
        <f t="shared" si="11"/>
        <v>8.3411180502367788E-2</v>
      </c>
      <c r="G125" s="3">
        <f t="shared" si="12"/>
        <v>8.3411180502367288E-2</v>
      </c>
      <c r="H125" s="3">
        <f t="shared" si="12"/>
        <v>8.341118050236225E-2</v>
      </c>
      <c r="I125" s="3">
        <f t="shared" si="12"/>
        <v>8.3411180502311874E-2</v>
      </c>
      <c r="J125" s="3">
        <f t="shared" si="12"/>
        <v>8.341118050180818E-2</v>
      </c>
      <c r="K125" s="3">
        <f t="shared" si="12"/>
        <v>8.3411180496771153E-2</v>
      </c>
      <c r="L125" s="3">
        <f t="shared" si="12"/>
        <v>8.3411180446400862E-2</v>
      </c>
      <c r="M125" s="3">
        <f t="shared" si="12"/>
        <v>8.341117994269806E-2</v>
      </c>
      <c r="N125" s="3">
        <f t="shared" si="12"/>
        <v>8.3411174905670196E-2</v>
      </c>
      <c r="O125" s="3">
        <f t="shared" si="12"/>
        <v>8.3411124535408221E-2</v>
      </c>
      <c r="P125" s="3">
        <f t="shared" si="12"/>
        <v>8.3410620834461519E-2</v>
      </c>
      <c r="Q125" s="3">
        <f t="shared" si="12"/>
        <v>8.3405583992286911E-2</v>
      </c>
      <c r="R125" s="3">
        <f t="shared" si="12"/>
        <v>8.3355232296050075E-2</v>
      </c>
      <c r="S125" s="3">
        <f t="shared" si="12"/>
        <v>8.2853384153558071E-2</v>
      </c>
      <c r="T125" s="3">
        <f t="shared" si="12"/>
        <v>7.7998115447889649E-2</v>
      </c>
      <c r="U125" s="3">
        <f t="shared" si="12"/>
        <v>4.2640539076430138E-2</v>
      </c>
      <c r="V125" s="3">
        <f t="shared" si="12"/>
        <v>1.016736596853068E-4</v>
      </c>
      <c r="W125" s="3">
        <f t="shared" si="12"/>
        <v>6.0404062837127804E-31</v>
      </c>
      <c r="X125" s="3">
        <f t="shared" si="12"/>
        <v>3.3085911008680474E-293</v>
      </c>
      <c r="Y125" s="3">
        <f t="shared" si="12"/>
        <v>0</v>
      </c>
      <c r="Z125" s="3">
        <f t="shared" si="12"/>
        <v>0</v>
      </c>
      <c r="AA125" s="3">
        <f t="shared" si="12"/>
        <v>0</v>
      </c>
      <c r="AB125" s="3">
        <f t="shared" si="12"/>
        <v>0</v>
      </c>
      <c r="AC125" s="3">
        <f t="shared" si="12"/>
        <v>0</v>
      </c>
      <c r="AD125" s="3">
        <f t="shared" si="12"/>
        <v>0</v>
      </c>
      <c r="AE125" s="3">
        <f t="shared" si="12"/>
        <v>0</v>
      </c>
      <c r="AF125" s="3">
        <f t="shared" si="12"/>
        <v>0</v>
      </c>
      <c r="AG125" s="3">
        <f t="shared" si="12"/>
        <v>0</v>
      </c>
      <c r="AH125" s="3">
        <f t="shared" si="12"/>
        <v>0</v>
      </c>
      <c r="AI125" s="3">
        <f t="shared" si="12"/>
        <v>0</v>
      </c>
      <c r="AJ125" s="3">
        <f t="shared" si="12"/>
        <v>0</v>
      </c>
    </row>
    <row r="126" spans="1:36" x14ac:dyDescent="0.25">
      <c r="A126" s="3">
        <v>16.521360830937301</v>
      </c>
      <c r="B126" s="107">
        <v>8.2818054133444299E-2</v>
      </c>
      <c r="C126" s="18">
        <f t="shared" si="9"/>
        <v>6.1576718482571534E-2</v>
      </c>
      <c r="D126" s="17"/>
      <c r="E126" s="11"/>
      <c r="F126" s="3">
        <f t="shared" si="11"/>
        <v>6.1576718482571527E-2</v>
      </c>
      <c r="G126" s="3">
        <f t="shared" si="12"/>
        <v>6.1576718482571499E-2</v>
      </c>
      <c r="H126" s="3">
        <f t="shared" si="12"/>
        <v>6.1576718482571159E-2</v>
      </c>
      <c r="I126" s="3">
        <f t="shared" si="12"/>
        <v>6.1576718482567808E-2</v>
      </c>
      <c r="J126" s="3">
        <f t="shared" si="12"/>
        <v>6.1576718482534265E-2</v>
      </c>
      <c r="K126" s="3">
        <f t="shared" si="12"/>
        <v>6.1576718482198818E-2</v>
      </c>
      <c r="L126" s="3">
        <f t="shared" si="12"/>
        <v>6.1576718478844439E-2</v>
      </c>
      <c r="M126" s="3">
        <f t="shared" si="12"/>
        <v>6.1576718445300556E-2</v>
      </c>
      <c r="N126" s="3">
        <f t="shared" si="12"/>
        <v>6.157671810986181E-2</v>
      </c>
      <c r="O126" s="3">
        <f t="shared" si="12"/>
        <v>6.1576714755474403E-2</v>
      </c>
      <c r="P126" s="3">
        <f t="shared" si="12"/>
        <v>6.1576681211610335E-2</v>
      </c>
      <c r="Q126" s="3">
        <f t="shared" si="12"/>
        <v>6.1576345773974715E-2</v>
      </c>
      <c r="R126" s="3">
        <f t="shared" si="12"/>
        <v>6.1572991498117791E-2</v>
      </c>
      <c r="S126" s="3">
        <f t="shared" si="12"/>
        <v>6.1539458787449826E-2</v>
      </c>
      <c r="T126" s="3">
        <f t="shared" si="12"/>
        <v>6.1205134448617818E-2</v>
      </c>
      <c r="U126" s="3">
        <f t="shared" si="12"/>
        <v>5.7960175806789936E-2</v>
      </c>
      <c r="V126" s="3">
        <f t="shared" si="12"/>
        <v>3.3616157703701396E-2</v>
      </c>
      <c r="W126" s="3">
        <f t="shared" si="12"/>
        <v>1.4478776227306515E-4</v>
      </c>
      <c r="X126" s="3">
        <f t="shared" si="12"/>
        <v>3.1810441134037737E-28</v>
      </c>
      <c r="Y126" s="3">
        <f t="shared" si="12"/>
        <v>8.3358146420909796E-265</v>
      </c>
      <c r="Z126" s="3">
        <f t="shared" si="12"/>
        <v>0</v>
      </c>
      <c r="AA126" s="3">
        <f t="shared" si="12"/>
        <v>0</v>
      </c>
      <c r="AB126" s="3">
        <f t="shared" si="12"/>
        <v>0</v>
      </c>
      <c r="AC126" s="3">
        <f t="shared" si="12"/>
        <v>0</v>
      </c>
      <c r="AD126" s="3">
        <f t="shared" si="12"/>
        <v>0</v>
      </c>
      <c r="AE126" s="3">
        <f t="shared" si="12"/>
        <v>0</v>
      </c>
      <c r="AF126" s="3">
        <f t="shared" si="12"/>
        <v>0</v>
      </c>
      <c r="AG126" s="3">
        <f t="shared" si="12"/>
        <v>0</v>
      </c>
      <c r="AH126" s="3">
        <f t="shared" si="12"/>
        <v>0</v>
      </c>
      <c r="AI126" s="3">
        <f t="shared" si="12"/>
        <v>0</v>
      </c>
      <c r="AJ126" s="3">
        <f t="shared" si="12"/>
        <v>0</v>
      </c>
    </row>
    <row r="127" spans="1:36" x14ac:dyDescent="0.25">
      <c r="A127" s="3">
        <v>183.146753843879</v>
      </c>
      <c r="B127" s="107">
        <v>4.2734727419783451E-2</v>
      </c>
      <c r="C127" s="18">
        <f t="shared" si="9"/>
        <v>3.1774041388576597E-2</v>
      </c>
      <c r="D127" s="17"/>
      <c r="E127" s="11"/>
      <c r="F127" s="3">
        <f t="shared" si="11"/>
        <v>3.1774041388576597E-2</v>
      </c>
      <c r="G127" s="3">
        <f t="shared" si="12"/>
        <v>3.1774041388576597E-2</v>
      </c>
      <c r="H127" s="3">
        <f t="shared" si="12"/>
        <v>3.1774041388576577E-2</v>
      </c>
      <c r="I127" s="3">
        <f t="shared" si="12"/>
        <v>3.1774041388576424E-2</v>
      </c>
      <c r="J127" s="3">
        <f t="shared" si="12"/>
        <v>3.1774041388574863E-2</v>
      </c>
      <c r="K127" s="3">
        <f t="shared" si="12"/>
        <v>3.177404138855925E-2</v>
      </c>
      <c r="L127" s="3">
        <f t="shared" si="12"/>
        <v>3.1774041388403111E-2</v>
      </c>
      <c r="M127" s="3">
        <f t="shared" si="12"/>
        <v>3.17740413868417E-2</v>
      </c>
      <c r="N127" s="3">
        <f t="shared" si="12"/>
        <v>3.1774041371227649E-2</v>
      </c>
      <c r="O127" s="3">
        <f t="shared" si="12"/>
        <v>3.1774041215087083E-2</v>
      </c>
      <c r="P127" s="3">
        <f t="shared" si="12"/>
        <v>3.1774039653681502E-2</v>
      </c>
      <c r="Q127" s="3">
        <f t="shared" si="12"/>
        <v>3.1774024039629895E-2</v>
      </c>
      <c r="R127" s="3">
        <f t="shared" si="12"/>
        <v>3.1773867899535832E-2</v>
      </c>
      <c r="S127" s="3">
        <f t="shared" si="12"/>
        <v>3.1772306540795242E-2</v>
      </c>
      <c r="T127" s="3">
        <f t="shared" si="12"/>
        <v>3.1756697172626969E-2</v>
      </c>
      <c r="U127" s="3">
        <f t="shared" si="12"/>
        <v>3.1601024648560946E-2</v>
      </c>
      <c r="V127" s="3">
        <f t="shared" si="12"/>
        <v>3.0085659376170193E-2</v>
      </c>
      <c r="W127" s="3">
        <f t="shared" si="12"/>
        <v>1.8405313947002587E-2</v>
      </c>
      <c r="X127" s="3">
        <f t="shared" si="12"/>
        <v>1.3513883965585963E-4</v>
      </c>
      <c r="Y127" s="3">
        <f t="shared" si="12"/>
        <v>6.1538902113552553E-26</v>
      </c>
      <c r="Z127" s="3">
        <f t="shared" si="12"/>
        <v>2.3596377046583894E-239</v>
      </c>
      <c r="AA127" s="3">
        <f t="shared" si="12"/>
        <v>0</v>
      </c>
      <c r="AB127" s="3">
        <f t="shared" si="12"/>
        <v>0</v>
      </c>
      <c r="AC127" s="3">
        <f t="shared" si="12"/>
        <v>0</v>
      </c>
      <c r="AD127" s="3">
        <f t="shared" si="12"/>
        <v>0</v>
      </c>
      <c r="AE127" s="3">
        <f t="shared" si="12"/>
        <v>0</v>
      </c>
      <c r="AF127" s="3">
        <f t="shared" si="12"/>
        <v>0</v>
      </c>
      <c r="AG127" s="3">
        <f t="shared" si="12"/>
        <v>0</v>
      </c>
      <c r="AH127" s="3">
        <f t="shared" si="12"/>
        <v>0</v>
      </c>
      <c r="AI127" s="3">
        <f t="shared" si="12"/>
        <v>0</v>
      </c>
      <c r="AJ127" s="3">
        <f t="shared" si="12"/>
        <v>0</v>
      </c>
    </row>
    <row r="128" spans="1:36" x14ac:dyDescent="0.25">
      <c r="A128" s="3">
        <v>2030.26456396616</v>
      </c>
      <c r="B128" s="107">
        <v>7.3188307381944942E-2</v>
      </c>
      <c r="C128" s="18">
        <f t="shared" si="9"/>
        <v>5.44168279130577E-2</v>
      </c>
      <c r="D128" s="17"/>
      <c r="E128" s="11"/>
      <c r="F128" s="3">
        <f t="shared" si="11"/>
        <v>5.44168279130577E-2</v>
      </c>
      <c r="G128" s="3">
        <f t="shared" si="12"/>
        <v>5.44168279130577E-2</v>
      </c>
      <c r="H128" s="3">
        <f t="shared" si="12"/>
        <v>5.44168279130577E-2</v>
      </c>
      <c r="I128" s="3">
        <f t="shared" si="12"/>
        <v>5.4416827913057679E-2</v>
      </c>
      <c r="J128" s="3">
        <f t="shared" si="12"/>
        <v>5.4416827913057436E-2</v>
      </c>
      <c r="K128" s="3">
        <f t="shared" si="12"/>
        <v>5.4416827913055014E-2</v>
      </c>
      <c r="L128" s="3">
        <f t="shared" si="12"/>
        <v>5.4416827913030902E-2</v>
      </c>
      <c r="M128" s="3">
        <f t="shared" si="12"/>
        <v>5.4416827912789671E-2</v>
      </c>
      <c r="N128" s="3">
        <f t="shared" si="12"/>
        <v>5.4416827910377413E-2</v>
      </c>
      <c r="O128" s="3">
        <f t="shared" si="12"/>
        <v>5.4416827886254869E-2</v>
      </c>
      <c r="P128" s="3">
        <f t="shared" si="12"/>
        <v>5.4416827645029441E-2</v>
      </c>
      <c r="Q128" s="3">
        <f t="shared" si="12"/>
        <v>5.4416825232775162E-2</v>
      </c>
      <c r="R128" s="3">
        <f t="shared" si="12"/>
        <v>5.4416801110238264E-2</v>
      </c>
      <c r="S128" s="3">
        <f t="shared" si="12"/>
        <v>5.4416559885457433E-2</v>
      </c>
      <c r="T128" s="3">
        <f t="shared" si="12"/>
        <v>5.4414147696461329E-2</v>
      </c>
      <c r="U128" s="3">
        <f t="shared" si="12"/>
        <v>5.4390031686760099E-2</v>
      </c>
      <c r="V128" s="3">
        <f t="shared" ref="G128:AJ136" si="13">$C128*EXP(-V$108/$A128)</f>
        <v>5.4149458652405585E-2</v>
      </c>
      <c r="W128" s="3">
        <f t="shared" si="13"/>
        <v>5.1801482996769115E-2</v>
      </c>
      <c r="X128" s="3">
        <f t="shared" si="13"/>
        <v>3.325239509335174E-2</v>
      </c>
      <c r="Y128" s="3">
        <f t="shared" si="13"/>
        <v>3.9503022023847263E-4</v>
      </c>
      <c r="Z128" s="3">
        <f t="shared" si="13"/>
        <v>2.2115879239760265E-23</v>
      </c>
      <c r="AA128" s="3">
        <f t="shared" si="13"/>
        <v>6.690261599906697E-216</v>
      </c>
      <c r="AB128" s="3">
        <f t="shared" si="13"/>
        <v>0</v>
      </c>
      <c r="AC128" s="3">
        <f t="shared" si="13"/>
        <v>0</v>
      </c>
      <c r="AD128" s="3">
        <f t="shared" si="13"/>
        <v>0</v>
      </c>
      <c r="AE128" s="3">
        <f t="shared" si="13"/>
        <v>0</v>
      </c>
      <c r="AF128" s="3">
        <f t="shared" si="13"/>
        <v>0</v>
      </c>
      <c r="AG128" s="3">
        <f t="shared" si="13"/>
        <v>0</v>
      </c>
      <c r="AH128" s="3">
        <f t="shared" si="13"/>
        <v>0</v>
      </c>
      <c r="AI128" s="3">
        <f t="shared" si="13"/>
        <v>0</v>
      </c>
      <c r="AJ128" s="3">
        <f t="shared" si="13"/>
        <v>0</v>
      </c>
    </row>
    <row r="129" spans="1:36" x14ac:dyDescent="0.25">
      <c r="A129" s="3">
        <v>22506.400540467101</v>
      </c>
      <c r="B129" s="107">
        <v>9.5109239986541083E-2</v>
      </c>
      <c r="C129" s="18">
        <f t="shared" si="9"/>
        <v>7.0715437074940254E-2</v>
      </c>
      <c r="D129" s="17"/>
      <c r="E129" s="11"/>
      <c r="F129" s="3">
        <f t="shared" si="11"/>
        <v>7.0715437074940254E-2</v>
      </c>
      <c r="G129" s="3">
        <f t="shared" si="13"/>
        <v>7.0715437074940254E-2</v>
      </c>
      <c r="H129" s="3">
        <f t="shared" si="13"/>
        <v>7.0715437074940254E-2</v>
      </c>
      <c r="I129" s="3">
        <f t="shared" si="13"/>
        <v>7.0715437074940254E-2</v>
      </c>
      <c r="J129" s="3">
        <f t="shared" si="13"/>
        <v>7.0715437074940227E-2</v>
      </c>
      <c r="K129" s="3">
        <f t="shared" si="13"/>
        <v>7.0715437074939935E-2</v>
      </c>
      <c r="L129" s="3">
        <f t="shared" si="13"/>
        <v>7.0715437074937118E-2</v>
      </c>
      <c r="M129" s="3">
        <f t="shared" si="13"/>
        <v>7.0715437074908835E-2</v>
      </c>
      <c r="N129" s="3">
        <f t="shared" si="13"/>
        <v>7.0715437074626047E-2</v>
      </c>
      <c r="O129" s="3">
        <f t="shared" si="13"/>
        <v>7.071543707179824E-2</v>
      </c>
      <c r="P129" s="3">
        <f t="shared" si="13"/>
        <v>7.071543704352011E-2</v>
      </c>
      <c r="Q129" s="3">
        <f t="shared" si="13"/>
        <v>7.0715436760738798E-2</v>
      </c>
      <c r="R129" s="3">
        <f t="shared" si="13"/>
        <v>7.0715433932925814E-2</v>
      </c>
      <c r="S129" s="3">
        <f t="shared" si="13"/>
        <v>7.0715405654802138E-2</v>
      </c>
      <c r="T129" s="3">
        <f t="shared" si="13"/>
        <v>7.0715122874187242E-2</v>
      </c>
      <c r="U129" s="3">
        <f t="shared" si="13"/>
        <v>7.0712295130231514E-2</v>
      </c>
      <c r="V129" s="3">
        <f t="shared" si="13"/>
        <v>7.0684023909071386E-2</v>
      </c>
      <c r="W129" s="3">
        <f t="shared" si="13"/>
        <v>7.0401932618108273E-2</v>
      </c>
      <c r="X129" s="3">
        <f t="shared" si="13"/>
        <v>6.7642202815071856E-2</v>
      </c>
      <c r="Y129" s="3">
        <f t="shared" si="13"/>
        <v>4.5347082670146512E-2</v>
      </c>
      <c r="Z129" s="3">
        <f t="shared" si="13"/>
        <v>8.3150613307578442E-4</v>
      </c>
      <c r="AA129" s="3">
        <f t="shared" si="13"/>
        <v>3.5729463804969393E-21</v>
      </c>
      <c r="AB129" s="3">
        <f t="shared" si="13"/>
        <v>7.6672022184274614E-195</v>
      </c>
      <c r="AC129" s="3">
        <f t="shared" si="13"/>
        <v>0</v>
      </c>
      <c r="AD129" s="3">
        <f t="shared" si="13"/>
        <v>0</v>
      </c>
      <c r="AE129" s="3">
        <f t="shared" si="13"/>
        <v>0</v>
      </c>
      <c r="AF129" s="3">
        <f t="shared" si="13"/>
        <v>0</v>
      </c>
      <c r="AG129" s="3">
        <f t="shared" si="13"/>
        <v>0</v>
      </c>
      <c r="AH129" s="3">
        <f t="shared" si="13"/>
        <v>0</v>
      </c>
      <c r="AI129" s="3">
        <f t="shared" si="13"/>
        <v>0</v>
      </c>
      <c r="AJ129" s="3">
        <f t="shared" si="13"/>
        <v>0</v>
      </c>
    </row>
    <row r="130" spans="1:36" x14ac:dyDescent="0.25">
      <c r="A130" s="3">
        <v>249493.62476110301</v>
      </c>
      <c r="B130" s="107">
        <v>3.0455477939118111E-2</v>
      </c>
      <c r="C130" s="18">
        <f t="shared" si="9"/>
        <v>2.2644197704615284E-2</v>
      </c>
      <c r="D130" s="17"/>
      <c r="E130" s="11"/>
      <c r="F130" s="3">
        <f t="shared" si="11"/>
        <v>2.2644197704615284E-2</v>
      </c>
      <c r="G130" s="3">
        <f t="shared" si="13"/>
        <v>2.2644197704615284E-2</v>
      </c>
      <c r="H130" s="3">
        <f t="shared" si="13"/>
        <v>2.2644197704615284E-2</v>
      </c>
      <c r="I130" s="3">
        <f t="shared" si="13"/>
        <v>2.2644197704615284E-2</v>
      </c>
      <c r="J130" s="3">
        <f t="shared" si="13"/>
        <v>2.2644197704615284E-2</v>
      </c>
      <c r="K130" s="3">
        <f t="shared" si="13"/>
        <v>2.2644197704615274E-2</v>
      </c>
      <c r="L130" s="3">
        <f t="shared" si="13"/>
        <v>2.2644197704615194E-2</v>
      </c>
      <c r="M130" s="3">
        <f t="shared" si="13"/>
        <v>2.2644197704614375E-2</v>
      </c>
      <c r="N130" s="3">
        <f t="shared" si="13"/>
        <v>2.2644197704606208E-2</v>
      </c>
      <c r="O130" s="3">
        <f t="shared" si="13"/>
        <v>2.2644197704524523E-2</v>
      </c>
      <c r="P130" s="3">
        <f t="shared" si="13"/>
        <v>2.2644197703707677E-2</v>
      </c>
      <c r="Q130" s="3">
        <f t="shared" si="13"/>
        <v>2.2644197695539221E-2</v>
      </c>
      <c r="R130" s="3">
        <f t="shared" si="13"/>
        <v>2.2644197613854659E-2</v>
      </c>
      <c r="S130" s="3">
        <f t="shared" si="13"/>
        <v>2.2644196797009037E-2</v>
      </c>
      <c r="T130" s="3">
        <f t="shared" si="13"/>
        <v>2.2644188628554447E-2</v>
      </c>
      <c r="U130" s="3">
        <f t="shared" si="13"/>
        <v>2.2644106944170621E-2</v>
      </c>
      <c r="V130" s="3">
        <f t="shared" si="13"/>
        <v>2.2643290116538466E-2</v>
      </c>
      <c r="W130" s="3">
        <f t="shared" si="13"/>
        <v>2.2635123460613575E-2</v>
      </c>
      <c r="X130" s="3">
        <f t="shared" si="13"/>
        <v>2.2553618724963347E-2</v>
      </c>
      <c r="Y130" s="3">
        <f t="shared" si="13"/>
        <v>2.1754539810031632E-2</v>
      </c>
      <c r="Z130" s="3">
        <f t="shared" si="13"/>
        <v>1.5166541770686989E-2</v>
      </c>
      <c r="AA130" s="3">
        <f t="shared" si="13"/>
        <v>4.1138950990561568E-4</v>
      </c>
      <c r="AB130" s="3">
        <f t="shared" si="13"/>
        <v>8.8699197645322647E-20</v>
      </c>
      <c r="AC130" s="3">
        <f t="shared" si="13"/>
        <v>1.9256815566850286E-176</v>
      </c>
      <c r="AD130" s="3">
        <f t="shared" si="13"/>
        <v>0</v>
      </c>
      <c r="AE130" s="3">
        <f t="shared" si="13"/>
        <v>0</v>
      </c>
      <c r="AF130" s="3">
        <f t="shared" si="13"/>
        <v>0</v>
      </c>
      <c r="AG130" s="3">
        <f t="shared" si="13"/>
        <v>0</v>
      </c>
      <c r="AH130" s="3">
        <f t="shared" si="13"/>
        <v>0</v>
      </c>
      <c r="AI130" s="3">
        <f t="shared" si="13"/>
        <v>0</v>
      </c>
      <c r="AJ130" s="3">
        <f t="shared" si="13"/>
        <v>0</v>
      </c>
    </row>
    <row r="131" spans="1:36" x14ac:dyDescent="0.25">
      <c r="A131" s="3">
        <v>2765749.6224023802</v>
      </c>
      <c r="B131" s="107">
        <v>0</v>
      </c>
      <c r="C131" s="18">
        <f t="shared" si="9"/>
        <v>0</v>
      </c>
      <c r="D131" s="17"/>
      <c r="E131" s="11"/>
      <c r="F131" s="3">
        <f t="shared" si="11"/>
        <v>0</v>
      </c>
      <c r="G131" s="3">
        <f t="shared" si="13"/>
        <v>0</v>
      </c>
      <c r="H131" s="3">
        <f t="shared" si="13"/>
        <v>0</v>
      </c>
      <c r="I131" s="3">
        <f t="shared" si="13"/>
        <v>0</v>
      </c>
      <c r="J131" s="3">
        <f t="shared" si="13"/>
        <v>0</v>
      </c>
      <c r="K131" s="3">
        <f t="shared" si="13"/>
        <v>0</v>
      </c>
      <c r="L131" s="3">
        <f t="shared" si="13"/>
        <v>0</v>
      </c>
      <c r="M131" s="3">
        <f t="shared" si="13"/>
        <v>0</v>
      </c>
      <c r="N131" s="3">
        <f t="shared" si="13"/>
        <v>0</v>
      </c>
      <c r="O131" s="3">
        <f t="shared" si="13"/>
        <v>0</v>
      </c>
      <c r="P131" s="3">
        <f t="shared" si="13"/>
        <v>0</v>
      </c>
      <c r="Q131" s="3">
        <f t="shared" si="13"/>
        <v>0</v>
      </c>
      <c r="R131" s="3">
        <f t="shared" si="13"/>
        <v>0</v>
      </c>
      <c r="S131" s="3">
        <f t="shared" si="13"/>
        <v>0</v>
      </c>
      <c r="T131" s="3">
        <f t="shared" si="13"/>
        <v>0</v>
      </c>
      <c r="U131" s="3">
        <f t="shared" si="13"/>
        <v>0</v>
      </c>
      <c r="V131" s="3">
        <f t="shared" si="13"/>
        <v>0</v>
      </c>
      <c r="W131" s="3">
        <f t="shared" si="13"/>
        <v>0</v>
      </c>
      <c r="X131" s="3">
        <f t="shared" si="13"/>
        <v>0</v>
      </c>
      <c r="Y131" s="3">
        <f t="shared" si="13"/>
        <v>0</v>
      </c>
      <c r="Z131" s="3">
        <f t="shared" si="13"/>
        <v>0</v>
      </c>
      <c r="AA131" s="3">
        <f t="shared" si="13"/>
        <v>0</v>
      </c>
      <c r="AB131" s="3">
        <f t="shared" si="13"/>
        <v>0</v>
      </c>
      <c r="AC131" s="3">
        <f t="shared" si="13"/>
        <v>0</v>
      </c>
      <c r="AD131" s="3">
        <f t="shared" si="13"/>
        <v>0</v>
      </c>
      <c r="AE131" s="3">
        <f t="shared" si="13"/>
        <v>0</v>
      </c>
      <c r="AF131" s="3">
        <f t="shared" si="13"/>
        <v>0</v>
      </c>
      <c r="AG131" s="3">
        <f t="shared" si="13"/>
        <v>0</v>
      </c>
      <c r="AH131" s="3">
        <f t="shared" si="13"/>
        <v>0</v>
      </c>
      <c r="AI131" s="3">
        <f t="shared" si="13"/>
        <v>0</v>
      </c>
      <c r="AJ131" s="3">
        <f t="shared" si="13"/>
        <v>0</v>
      </c>
    </row>
    <row r="132" spans="1:36" x14ac:dyDescent="0.25">
      <c r="A132" s="3">
        <f>10000000</f>
        <v>10000000</v>
      </c>
      <c r="B132" s="107">
        <v>0.18095243306546971</v>
      </c>
      <c r="C132" s="18">
        <f t="shared" si="9"/>
        <v>0.13454140098069695</v>
      </c>
      <c r="D132" s="17"/>
      <c r="E132" s="11"/>
      <c r="F132" s="3">
        <f t="shared" si="11"/>
        <v>0.13454140098069695</v>
      </c>
      <c r="G132" s="3">
        <f t="shared" si="13"/>
        <v>0.13454140098069695</v>
      </c>
      <c r="H132" s="3">
        <f t="shared" si="13"/>
        <v>0.13454140098069695</v>
      </c>
      <c r="I132" s="3">
        <f t="shared" si="13"/>
        <v>0.13454140098069695</v>
      </c>
      <c r="J132" s="3">
        <f t="shared" si="13"/>
        <v>0.13454140098069695</v>
      </c>
      <c r="K132" s="3">
        <f t="shared" si="13"/>
        <v>0.13454140098069695</v>
      </c>
      <c r="L132" s="3">
        <f t="shared" si="13"/>
        <v>0.13454140098069692</v>
      </c>
      <c r="M132" s="3">
        <f t="shared" si="13"/>
        <v>0.13454140098069681</v>
      </c>
      <c r="N132" s="3">
        <f t="shared" si="13"/>
        <v>0.13454140098069561</v>
      </c>
      <c r="O132" s="3">
        <f t="shared" si="13"/>
        <v>0.13454140098068348</v>
      </c>
      <c r="P132" s="3">
        <f t="shared" si="13"/>
        <v>0.13454140098056241</v>
      </c>
      <c r="Q132" s="3">
        <f t="shared" si="13"/>
        <v>0.13454140097935152</v>
      </c>
      <c r="R132" s="3">
        <f t="shared" si="13"/>
        <v>0.13454140096724279</v>
      </c>
      <c r="S132" s="3">
        <f t="shared" si="13"/>
        <v>0.13454140084615554</v>
      </c>
      <c r="T132" s="3">
        <f t="shared" si="13"/>
        <v>0.13454139963528294</v>
      </c>
      <c r="U132" s="3">
        <f t="shared" si="13"/>
        <v>0.13454138752655753</v>
      </c>
      <c r="V132" s="3">
        <f t="shared" si="13"/>
        <v>0.13454126643936323</v>
      </c>
      <c r="W132" s="3">
        <f t="shared" si="13"/>
        <v>0.1345400555734142</v>
      </c>
      <c r="X132" s="3">
        <f t="shared" si="13"/>
        <v>0.13452794751328345</v>
      </c>
      <c r="Y132" s="3">
        <f t="shared" si="13"/>
        <v>0.13440692682799879</v>
      </c>
      <c r="Z132" s="3">
        <f t="shared" si="13"/>
        <v>0.13320269167331916</v>
      </c>
      <c r="AA132" s="3">
        <f t="shared" si="13"/>
        <v>0.12173809388231453</v>
      </c>
      <c r="AB132" s="3">
        <f t="shared" si="13"/>
        <v>4.9495015407201734E-2</v>
      </c>
      <c r="AC132" s="3">
        <f t="shared" si="13"/>
        <v>6.1081701546699524E-6</v>
      </c>
      <c r="AD132" s="3">
        <f t="shared" si="13"/>
        <v>5.0050423356847688E-45</v>
      </c>
      <c r="AE132" s="3">
        <f t="shared" si="13"/>
        <v>0</v>
      </c>
      <c r="AF132" s="3">
        <f t="shared" si="13"/>
        <v>0</v>
      </c>
      <c r="AG132" s="3">
        <f t="shared" si="13"/>
        <v>0</v>
      </c>
      <c r="AH132" s="3">
        <f t="shared" si="13"/>
        <v>0</v>
      </c>
      <c r="AI132" s="3">
        <f t="shared" si="13"/>
        <v>0</v>
      </c>
      <c r="AJ132" s="3">
        <f t="shared" si="13"/>
        <v>0</v>
      </c>
    </row>
    <row r="133" spans="1:36" x14ac:dyDescent="0.25">
      <c r="A133" s="3">
        <f t="shared" ref="A133:A141" si="14">A132*10</f>
        <v>100000000</v>
      </c>
      <c r="B133" s="107">
        <v>3.4760960349871244E-2</v>
      </c>
      <c r="C133" s="18">
        <f t="shared" si="9"/>
        <v>2.5845401610123938E-2</v>
      </c>
      <c r="D133" s="17"/>
      <c r="E133" s="11"/>
      <c r="F133" s="3">
        <f t="shared" si="11"/>
        <v>2.5845401610123938E-2</v>
      </c>
      <c r="G133" s="3">
        <f t="shared" si="13"/>
        <v>2.5845401610123938E-2</v>
      </c>
      <c r="H133" s="3">
        <f t="shared" si="13"/>
        <v>2.5845401610123938E-2</v>
      </c>
      <c r="I133" s="3">
        <f t="shared" si="13"/>
        <v>2.5845401610123938E-2</v>
      </c>
      <c r="J133" s="3">
        <f t="shared" si="13"/>
        <v>2.5845401610123938E-2</v>
      </c>
      <c r="K133" s="3">
        <f t="shared" si="13"/>
        <v>2.5845401610123938E-2</v>
      </c>
      <c r="L133" s="3">
        <f t="shared" si="13"/>
        <v>2.5845401610123938E-2</v>
      </c>
      <c r="M133" s="3">
        <f t="shared" si="13"/>
        <v>2.5845401610123934E-2</v>
      </c>
      <c r="N133" s="3">
        <f t="shared" si="13"/>
        <v>2.5845401610123914E-2</v>
      </c>
      <c r="O133" s="3">
        <f t="shared" si="13"/>
        <v>2.5845401610123681E-2</v>
      </c>
      <c r="P133" s="3">
        <f t="shared" si="13"/>
        <v>2.5845401610121353E-2</v>
      </c>
      <c r="Q133" s="3">
        <f t="shared" si="13"/>
        <v>2.5845401610098094E-2</v>
      </c>
      <c r="R133" s="3">
        <f t="shared" si="13"/>
        <v>2.5845401609865485E-2</v>
      </c>
      <c r="S133" s="3">
        <f t="shared" si="13"/>
        <v>2.5845401607539398E-2</v>
      </c>
      <c r="T133" s="3">
        <f t="shared" si="13"/>
        <v>2.5845401584278536E-2</v>
      </c>
      <c r="U133" s="3">
        <f t="shared" si="13"/>
        <v>2.5845401351669923E-2</v>
      </c>
      <c r="V133" s="3">
        <f t="shared" si="13"/>
        <v>2.5845399025583908E-2</v>
      </c>
      <c r="W133" s="3">
        <f t="shared" si="13"/>
        <v>2.5845375764735251E-2</v>
      </c>
      <c r="X133" s="3">
        <f t="shared" si="13"/>
        <v>2.5845143157400101E-2</v>
      </c>
      <c r="Y133" s="3">
        <f t="shared" si="13"/>
        <v>2.5842817199185627E-2</v>
      </c>
      <c r="Z133" s="3">
        <f t="shared" si="13"/>
        <v>2.581956912690813E-2</v>
      </c>
      <c r="AA133" s="3">
        <f t="shared" si="13"/>
        <v>2.5588235567283686E-2</v>
      </c>
      <c r="AB133" s="3">
        <f t="shared" si="13"/>
        <v>2.3385886461006974E-2</v>
      </c>
      <c r="AC133" s="3">
        <f t="shared" si="13"/>
        <v>9.50799190118389E-3</v>
      </c>
      <c r="AD133" s="3">
        <f t="shared" si="13"/>
        <v>1.1733794177828398E-6</v>
      </c>
      <c r="AE133" s="3">
        <f t="shared" si="13"/>
        <v>9.61468576204323E-46</v>
      </c>
      <c r="AF133" s="3">
        <f t="shared" si="13"/>
        <v>0</v>
      </c>
      <c r="AG133" s="3">
        <f t="shared" si="13"/>
        <v>0</v>
      </c>
      <c r="AH133" s="3">
        <f t="shared" si="13"/>
        <v>0</v>
      </c>
      <c r="AI133" s="3">
        <f t="shared" si="13"/>
        <v>0</v>
      </c>
      <c r="AJ133" s="3">
        <f t="shared" si="13"/>
        <v>0</v>
      </c>
    </row>
    <row r="134" spans="1:36" x14ac:dyDescent="0.25">
      <c r="A134" s="3">
        <f t="shared" si="14"/>
        <v>1000000000</v>
      </c>
      <c r="B134" s="107">
        <v>0.10645983980027542</v>
      </c>
      <c r="C134" s="18">
        <f t="shared" si="9"/>
        <v>7.9154812965280069E-2</v>
      </c>
      <c r="D134" s="17"/>
      <c r="E134" s="11"/>
      <c r="F134" s="3">
        <f t="shared" si="11"/>
        <v>7.9154812965280069E-2</v>
      </c>
      <c r="G134" s="3">
        <f t="shared" si="13"/>
        <v>7.9154812965280069E-2</v>
      </c>
      <c r="H134" s="3">
        <f t="shared" si="13"/>
        <v>7.9154812965280069E-2</v>
      </c>
      <c r="I134" s="3">
        <f t="shared" si="13"/>
        <v>7.9154812965280069E-2</v>
      </c>
      <c r="J134" s="3">
        <f t="shared" si="13"/>
        <v>7.9154812965280069E-2</v>
      </c>
      <c r="K134" s="3">
        <f t="shared" si="13"/>
        <v>7.9154812965280069E-2</v>
      </c>
      <c r="L134" s="3">
        <f t="shared" si="13"/>
        <v>7.9154812965280069E-2</v>
      </c>
      <c r="M134" s="3">
        <f t="shared" si="13"/>
        <v>7.9154812965280069E-2</v>
      </c>
      <c r="N134" s="3">
        <f t="shared" si="13"/>
        <v>7.9154812965280055E-2</v>
      </c>
      <c r="O134" s="3">
        <f t="shared" si="13"/>
        <v>7.9154812965279986E-2</v>
      </c>
      <c r="P134" s="3">
        <f t="shared" si="13"/>
        <v>7.9154812965279278E-2</v>
      </c>
      <c r="Q134" s="3">
        <f t="shared" si="13"/>
        <v>7.9154812965272145E-2</v>
      </c>
      <c r="R134" s="3">
        <f t="shared" si="13"/>
        <v>7.915481296520091E-2</v>
      </c>
      <c r="S134" s="3">
        <f t="shared" si="13"/>
        <v>7.9154812964488522E-2</v>
      </c>
      <c r="T134" s="3">
        <f t="shared" si="13"/>
        <v>7.9154812957364581E-2</v>
      </c>
      <c r="U134" s="3">
        <f t="shared" si="13"/>
        <v>7.9154812886125261E-2</v>
      </c>
      <c r="V134" s="3">
        <f t="shared" si="13"/>
        <v>7.915481217373195E-2</v>
      </c>
      <c r="W134" s="3">
        <f t="shared" si="13"/>
        <v>7.9154805049799173E-2</v>
      </c>
      <c r="X134" s="3">
        <f t="shared" si="13"/>
        <v>7.9154733810506681E-2</v>
      </c>
      <c r="Y134" s="3">
        <f t="shared" si="13"/>
        <v>7.9154021421108139E-2</v>
      </c>
      <c r="Z134" s="3">
        <f t="shared" si="13"/>
        <v>7.914689787974441E-2</v>
      </c>
      <c r="AA134" s="3">
        <f t="shared" si="13"/>
        <v>7.9075697716532098E-2</v>
      </c>
      <c r="AB134" s="3">
        <f t="shared" si="13"/>
        <v>7.8367209416722025E-2</v>
      </c>
      <c r="AC134" s="3">
        <f t="shared" si="13"/>
        <v>7.1622236588623309E-2</v>
      </c>
      <c r="AD134" s="3">
        <f t="shared" si="13"/>
        <v>2.9119428359697271E-2</v>
      </c>
      <c r="AE134" s="3">
        <f t="shared" si="13"/>
        <v>3.5936229489863407E-6</v>
      </c>
      <c r="AF134" s="3">
        <f t="shared" si="13"/>
        <v>2.9446191809856101E-45</v>
      </c>
      <c r="AG134" s="3">
        <f t="shared" si="13"/>
        <v>0</v>
      </c>
      <c r="AH134" s="3">
        <f t="shared" si="13"/>
        <v>0</v>
      </c>
      <c r="AI134" s="3">
        <f t="shared" si="13"/>
        <v>0</v>
      </c>
      <c r="AJ134" s="3">
        <f t="shared" si="13"/>
        <v>0</v>
      </c>
    </row>
    <row r="135" spans="1:36" x14ac:dyDescent="0.25">
      <c r="A135" s="3">
        <f t="shared" si="14"/>
        <v>10000000000</v>
      </c>
      <c r="B135" s="107">
        <v>1.9686727433258548E-5</v>
      </c>
      <c r="C135" s="18">
        <f t="shared" si="9"/>
        <v>1.4637437279649158E-5</v>
      </c>
      <c r="D135" s="17"/>
      <c r="E135" s="11"/>
      <c r="F135" s="3">
        <f t="shared" si="11"/>
        <v>1.4637437279649158E-5</v>
      </c>
      <c r="G135" s="3">
        <f t="shared" si="13"/>
        <v>1.4637437279649158E-5</v>
      </c>
      <c r="H135" s="3">
        <f t="shared" si="13"/>
        <v>1.4637437279649158E-5</v>
      </c>
      <c r="I135" s="3">
        <f t="shared" si="13"/>
        <v>1.4637437279649158E-5</v>
      </c>
      <c r="J135" s="3">
        <f t="shared" si="13"/>
        <v>1.4637437279649158E-5</v>
      </c>
      <c r="K135" s="3">
        <f t="shared" si="13"/>
        <v>1.4637437279649158E-5</v>
      </c>
      <c r="L135" s="3">
        <f t="shared" si="13"/>
        <v>1.4637437279649158E-5</v>
      </c>
      <c r="M135" s="3">
        <f t="shared" si="13"/>
        <v>1.4637437279649158E-5</v>
      </c>
      <c r="N135" s="3">
        <f t="shared" si="13"/>
        <v>1.4637437279649158E-5</v>
      </c>
      <c r="O135" s="3">
        <f t="shared" si="13"/>
        <v>1.4637437279649157E-5</v>
      </c>
      <c r="P135" s="3">
        <f t="shared" si="13"/>
        <v>1.4637437279649143E-5</v>
      </c>
      <c r="Q135" s="3">
        <f t="shared" si="13"/>
        <v>1.4637437279649013E-5</v>
      </c>
      <c r="R135" s="3">
        <f t="shared" si="13"/>
        <v>1.4637437279647695E-5</v>
      </c>
      <c r="S135" s="3">
        <f t="shared" si="13"/>
        <v>1.4637437279634522E-5</v>
      </c>
      <c r="T135" s="3">
        <f t="shared" si="13"/>
        <v>1.4637437279502784E-5</v>
      </c>
      <c r="U135" s="3">
        <f t="shared" si="13"/>
        <v>1.4637437278185414E-5</v>
      </c>
      <c r="V135" s="3">
        <f t="shared" si="13"/>
        <v>1.4637437265011721E-5</v>
      </c>
      <c r="W135" s="3">
        <f t="shared" si="13"/>
        <v>1.4637437133274787E-5</v>
      </c>
      <c r="X135" s="3">
        <f t="shared" si="13"/>
        <v>1.4637435815905505E-5</v>
      </c>
      <c r="Y135" s="3">
        <f t="shared" si="13"/>
        <v>1.4637422642219198E-5</v>
      </c>
      <c r="Z135" s="3">
        <f t="shared" si="13"/>
        <v>1.4637290906008232E-5</v>
      </c>
      <c r="AA135" s="3">
        <f t="shared" si="13"/>
        <v>1.4635973609105941E-5</v>
      </c>
      <c r="AB135" s="3">
        <f t="shared" si="13"/>
        <v>1.4622807158649187E-5</v>
      </c>
      <c r="AC135" s="3">
        <f t="shared" si="13"/>
        <v>1.4491792345230525E-5</v>
      </c>
      <c r="AD135" s="3">
        <f t="shared" si="13"/>
        <v>1.3244500954781044E-5</v>
      </c>
      <c r="AE135" s="3">
        <f t="shared" si="13"/>
        <v>5.3848122466193694E-6</v>
      </c>
      <c r="AF135" s="3">
        <f t="shared" si="13"/>
        <v>6.6453862439884922E-10</v>
      </c>
      <c r="AG135" s="3">
        <f t="shared" si="13"/>
        <v>5.4452378774534612E-49</v>
      </c>
      <c r="AH135" s="3">
        <f t="shared" si="13"/>
        <v>0</v>
      </c>
      <c r="AI135" s="3">
        <f t="shared" si="13"/>
        <v>0</v>
      </c>
      <c r="AJ135" s="3">
        <f t="shared" si="13"/>
        <v>0</v>
      </c>
    </row>
    <row r="136" spans="1:36" x14ac:dyDescent="0.25">
      <c r="A136" s="3">
        <f t="shared" si="14"/>
        <v>100000000000</v>
      </c>
      <c r="B136" s="107">
        <v>9.9865093418652741E-4</v>
      </c>
      <c r="C136" s="18">
        <f t="shared" si="9"/>
        <v>7.4251499966029725E-4</v>
      </c>
      <c r="D136" s="17"/>
      <c r="E136" s="11"/>
      <c r="F136" s="3">
        <f t="shared" si="11"/>
        <v>7.4251499966029725E-4</v>
      </c>
      <c r="G136" s="3">
        <f t="shared" si="13"/>
        <v>7.4251499966029725E-4</v>
      </c>
      <c r="H136" s="3">
        <f t="shared" si="13"/>
        <v>7.4251499966029725E-4</v>
      </c>
      <c r="I136" s="3">
        <f t="shared" si="13"/>
        <v>7.4251499966029725E-4</v>
      </c>
      <c r="J136" s="3">
        <f t="shared" si="13"/>
        <v>7.4251499966029725E-4</v>
      </c>
      <c r="K136" s="3">
        <f t="shared" si="13"/>
        <v>7.4251499966029725E-4</v>
      </c>
      <c r="L136" s="3">
        <f t="shared" si="13"/>
        <v>7.4251499966029725E-4</v>
      </c>
      <c r="M136" s="3">
        <f t="shared" si="13"/>
        <v>7.4251499966029725E-4</v>
      </c>
      <c r="N136" s="3">
        <f t="shared" si="13"/>
        <v>7.4251499966029725E-4</v>
      </c>
      <c r="O136" s="3">
        <f t="shared" si="13"/>
        <v>7.4251499966029725E-4</v>
      </c>
      <c r="P136" s="3">
        <f t="shared" si="13"/>
        <v>7.4251499966029714E-4</v>
      </c>
      <c r="Q136" s="3">
        <f t="shared" si="13"/>
        <v>7.4251499966029649E-4</v>
      </c>
      <c r="R136" s="3">
        <f t="shared" si="13"/>
        <v>7.4251499966028988E-4</v>
      </c>
      <c r="S136" s="3">
        <f t="shared" si="13"/>
        <v>7.4251499966022298E-4</v>
      </c>
      <c r="T136" s="3">
        <f t="shared" si="13"/>
        <v>7.4251499965955479E-4</v>
      </c>
      <c r="U136" s="3">
        <f t="shared" si="13"/>
        <v>7.4251499965287209E-4</v>
      </c>
      <c r="V136" s="3">
        <f t="shared" si="13"/>
        <v>7.4251499958604577E-4</v>
      </c>
      <c r="W136" s="3">
        <f t="shared" si="13"/>
        <v>7.4251499891778226E-4</v>
      </c>
      <c r="X136" s="3">
        <f t="shared" si="13"/>
        <v>7.4251499223514734E-4</v>
      </c>
      <c r="Y136" s="3">
        <f t="shared" si="13"/>
        <v>7.4251492540880102E-4</v>
      </c>
      <c r="Z136" s="3">
        <f t="shared" si="13"/>
        <v>7.4251425714566891E-4</v>
      </c>
      <c r="AA136" s="3">
        <f t="shared" si="13"/>
        <v>7.4250757454742623E-4</v>
      </c>
      <c r="AB136" s="3">
        <f t="shared" si="13"/>
        <v>7.4244075187278249E-4</v>
      </c>
      <c r="AC136" s="3">
        <f t="shared" si="13"/>
        <v>7.4177285579441529E-4</v>
      </c>
      <c r="AD136" s="3">
        <f t="shared" si="13"/>
        <v>7.3512685196994089E-4</v>
      </c>
      <c r="AE136" s="3">
        <f t="shared" si="13"/>
        <v>6.7185535514559475E-4</v>
      </c>
      <c r="AF136" s="3">
        <f t="shared" si="13"/>
        <v>2.7315600313644383E-4</v>
      </c>
      <c r="AG136" s="3">
        <f t="shared" si="13"/>
        <v>3.3710128832168958E-8</v>
      </c>
      <c r="AH136" s="3">
        <f t="shared" si="13"/>
        <v>2.7622122120713913E-47</v>
      </c>
      <c r="AI136" s="3">
        <f t="shared" si="13"/>
        <v>0</v>
      </c>
      <c r="AJ136" s="3">
        <f t="shared" si="13"/>
        <v>0</v>
      </c>
    </row>
    <row r="137" spans="1:36" x14ac:dyDescent="0.25">
      <c r="A137" s="3">
        <f t="shared" si="14"/>
        <v>1000000000000</v>
      </c>
      <c r="B137" s="107">
        <v>2.3413215209009484E-2</v>
      </c>
      <c r="C137" s="18">
        <f t="shared" si="9"/>
        <v>1.7408148220604425E-2</v>
      </c>
      <c r="D137" s="17"/>
      <c r="E137" s="11"/>
      <c r="F137" s="3">
        <f t="shared" si="11"/>
        <v>1.7408148220604425E-2</v>
      </c>
      <c r="G137" s="3">
        <f t="shared" ref="G137:AJ141" si="15">$C137*EXP(-G$108/$A137)</f>
        <v>1.7408148220604425E-2</v>
      </c>
      <c r="H137" s="3">
        <f t="shared" si="15"/>
        <v>1.7408148220604425E-2</v>
      </c>
      <c r="I137" s="3">
        <f t="shared" si="15"/>
        <v>1.7408148220604425E-2</v>
      </c>
      <c r="J137" s="3">
        <f t="shared" si="15"/>
        <v>1.7408148220604425E-2</v>
      </c>
      <c r="K137" s="3">
        <f t="shared" si="15"/>
        <v>1.7408148220604425E-2</v>
      </c>
      <c r="L137" s="3">
        <f t="shared" si="15"/>
        <v>1.7408148220604425E-2</v>
      </c>
      <c r="M137" s="3">
        <f t="shared" si="15"/>
        <v>1.7408148220604425E-2</v>
      </c>
      <c r="N137" s="3">
        <f t="shared" si="15"/>
        <v>1.7408148220604425E-2</v>
      </c>
      <c r="O137" s="3">
        <f t="shared" si="15"/>
        <v>1.7408148220604425E-2</v>
      </c>
      <c r="P137" s="3">
        <f t="shared" si="15"/>
        <v>1.7408148220604425E-2</v>
      </c>
      <c r="Q137" s="3">
        <f t="shared" si="15"/>
        <v>1.7408148220604422E-2</v>
      </c>
      <c r="R137" s="3">
        <f t="shared" si="15"/>
        <v>1.7408148220604408E-2</v>
      </c>
      <c r="S137" s="3">
        <f t="shared" si="15"/>
        <v>1.7408148220604252E-2</v>
      </c>
      <c r="T137" s="3">
        <f t="shared" si="15"/>
        <v>1.7408148220602684E-2</v>
      </c>
      <c r="U137" s="3">
        <f t="shared" si="15"/>
        <v>1.7408148220587019E-2</v>
      </c>
      <c r="V137" s="3">
        <f t="shared" si="15"/>
        <v>1.7408148220430342E-2</v>
      </c>
      <c r="W137" s="3">
        <f t="shared" si="15"/>
        <v>1.740814821886361E-2</v>
      </c>
      <c r="X137" s="3">
        <f t="shared" si="15"/>
        <v>1.7408148203196278E-2</v>
      </c>
      <c r="Y137" s="3">
        <f t="shared" si="15"/>
        <v>1.7408148046522944E-2</v>
      </c>
      <c r="Z137" s="3">
        <f t="shared" si="15"/>
        <v>1.740814647978969E-2</v>
      </c>
      <c r="AA137" s="3">
        <f t="shared" si="15"/>
        <v>1.7408130812464909E-2</v>
      </c>
      <c r="AB137" s="3">
        <f t="shared" si="15"/>
        <v>1.7407974139992625E-2</v>
      </c>
      <c r="AC137" s="3">
        <f t="shared" si="15"/>
        <v>1.7406407492820204E-2</v>
      </c>
      <c r="AD137" s="3">
        <f t="shared" si="15"/>
        <v>1.7390748773557299E-2</v>
      </c>
      <c r="AE137" s="3">
        <f t="shared" si="15"/>
        <v>1.7234934251690287E-2</v>
      </c>
      <c r="AF137" s="3">
        <f t="shared" si="15"/>
        <v>1.5751543888718991E-2</v>
      </c>
      <c r="AG137" s="3">
        <f t="shared" si="15"/>
        <v>6.4040998392255943E-3</v>
      </c>
      <c r="AH137" s="3">
        <f t="shared" si="15"/>
        <v>7.903287065103666E-7</v>
      </c>
      <c r="AI137" s="3">
        <f t="shared" si="15"/>
        <v>6.4759633982480392E-46</v>
      </c>
      <c r="AJ137" s="3">
        <f t="shared" si="15"/>
        <v>0</v>
      </c>
    </row>
    <row r="138" spans="1:36" x14ac:dyDescent="0.25">
      <c r="A138" s="3">
        <f t="shared" si="14"/>
        <v>10000000000000</v>
      </c>
      <c r="B138" s="107">
        <v>6.2115906133962317E-3</v>
      </c>
      <c r="C138" s="18">
        <f t="shared" si="9"/>
        <v>4.6184297679076163E-3</v>
      </c>
      <c r="D138" s="17"/>
      <c r="E138" s="11"/>
      <c r="F138" s="3">
        <f t="shared" si="11"/>
        <v>4.6184297679076163E-3</v>
      </c>
      <c r="G138" s="3">
        <f t="shared" si="15"/>
        <v>4.6184297679076163E-3</v>
      </c>
      <c r="H138" s="3">
        <f t="shared" si="15"/>
        <v>4.6184297679076163E-3</v>
      </c>
      <c r="I138" s="3">
        <f t="shared" si="15"/>
        <v>4.6184297679076163E-3</v>
      </c>
      <c r="J138" s="3">
        <f t="shared" si="15"/>
        <v>4.6184297679076163E-3</v>
      </c>
      <c r="K138" s="3">
        <f t="shared" si="15"/>
        <v>4.6184297679076163E-3</v>
      </c>
      <c r="L138" s="3">
        <f t="shared" si="15"/>
        <v>4.6184297679076163E-3</v>
      </c>
      <c r="M138" s="3">
        <f t="shared" si="15"/>
        <v>4.6184297679076163E-3</v>
      </c>
      <c r="N138" s="3">
        <f t="shared" si="15"/>
        <v>4.6184297679076163E-3</v>
      </c>
      <c r="O138" s="3">
        <f t="shared" si="15"/>
        <v>4.6184297679076163E-3</v>
      </c>
      <c r="P138" s="3">
        <f t="shared" si="15"/>
        <v>4.6184297679076163E-3</v>
      </c>
      <c r="Q138" s="3">
        <f t="shared" si="15"/>
        <v>4.6184297679076163E-3</v>
      </c>
      <c r="R138" s="3">
        <f t="shared" si="15"/>
        <v>4.6184297679076154E-3</v>
      </c>
      <c r="S138" s="3">
        <f t="shared" si="15"/>
        <v>4.6184297679076119E-3</v>
      </c>
      <c r="T138" s="3">
        <f t="shared" si="15"/>
        <v>4.6184297679075703E-3</v>
      </c>
      <c r="U138" s="3">
        <f t="shared" si="15"/>
        <v>4.6184297679071539E-3</v>
      </c>
      <c r="V138" s="3">
        <f t="shared" si="15"/>
        <v>4.6184297679029976E-3</v>
      </c>
      <c r="W138" s="3">
        <f t="shared" si="15"/>
        <v>4.6184297678614318E-3</v>
      </c>
      <c r="X138" s="3">
        <f t="shared" si="15"/>
        <v>4.618429767445773E-3</v>
      </c>
      <c r="Y138" s="3">
        <f t="shared" si="15"/>
        <v>4.6184297632891865E-3</v>
      </c>
      <c r="Z138" s="3">
        <f t="shared" si="15"/>
        <v>4.6184297217233185E-3</v>
      </c>
      <c r="AA138" s="3">
        <f t="shared" si="15"/>
        <v>4.6184293060646626E-3</v>
      </c>
      <c r="AB138" s="3">
        <f t="shared" si="15"/>
        <v>4.6184251494801572E-3</v>
      </c>
      <c r="AC138" s="3">
        <f t="shared" si="15"/>
        <v>4.6183835838408578E-3</v>
      </c>
      <c r="AD138" s="3">
        <f t="shared" si="15"/>
        <v>4.6179679480222047E-3</v>
      </c>
      <c r="AE138" s="3">
        <f t="shared" si="15"/>
        <v>4.6138136465850473E-3</v>
      </c>
      <c r="AF138" s="3">
        <f t="shared" si="15"/>
        <v>4.5724756238991445E-3</v>
      </c>
      <c r="AG138" s="3">
        <f t="shared" si="15"/>
        <v>4.1789280665739436E-3</v>
      </c>
      <c r="AH138" s="3">
        <f t="shared" si="15"/>
        <v>1.6990253621074079E-3</v>
      </c>
      <c r="AI138" s="3">
        <f t="shared" si="15"/>
        <v>2.09676387075975E-7</v>
      </c>
      <c r="AJ138" s="3">
        <f t="shared" si="15"/>
        <v>1.7180909626532608E-46</v>
      </c>
    </row>
    <row r="139" spans="1:36" x14ac:dyDescent="0.25">
      <c r="A139" s="3">
        <f t="shared" si="14"/>
        <v>100000000000000</v>
      </c>
      <c r="B139" s="107">
        <v>1.9293141929618757E-2</v>
      </c>
      <c r="C139" s="18">
        <f t="shared" si="9"/>
        <v>1.4344799351723472E-2</v>
      </c>
      <c r="D139" s="17"/>
      <c r="E139" s="11"/>
      <c r="F139" s="3">
        <f t="shared" si="11"/>
        <v>1.4344799351723472E-2</v>
      </c>
      <c r="G139" s="3">
        <f t="shared" si="15"/>
        <v>1.4344799351723472E-2</v>
      </c>
      <c r="H139" s="3">
        <f t="shared" si="15"/>
        <v>1.4344799351723472E-2</v>
      </c>
      <c r="I139" s="3">
        <f t="shared" si="15"/>
        <v>1.4344799351723472E-2</v>
      </c>
      <c r="J139" s="3">
        <f t="shared" si="15"/>
        <v>1.4344799351723472E-2</v>
      </c>
      <c r="K139" s="3">
        <f t="shared" si="15"/>
        <v>1.4344799351723472E-2</v>
      </c>
      <c r="L139" s="3">
        <f t="shared" si="15"/>
        <v>1.4344799351723472E-2</v>
      </c>
      <c r="M139" s="3">
        <f t="shared" si="15"/>
        <v>1.4344799351723472E-2</v>
      </c>
      <c r="N139" s="3">
        <f t="shared" si="15"/>
        <v>1.4344799351723472E-2</v>
      </c>
      <c r="O139" s="3">
        <f t="shared" si="15"/>
        <v>1.4344799351723472E-2</v>
      </c>
      <c r="P139" s="3">
        <f t="shared" si="15"/>
        <v>1.4344799351723472E-2</v>
      </c>
      <c r="Q139" s="3">
        <f t="shared" si="15"/>
        <v>1.4344799351723472E-2</v>
      </c>
      <c r="R139" s="3">
        <f t="shared" si="15"/>
        <v>1.4344799351723472E-2</v>
      </c>
      <c r="S139" s="3">
        <f t="shared" si="15"/>
        <v>1.434479935172347E-2</v>
      </c>
      <c r="T139" s="3">
        <f t="shared" si="15"/>
        <v>1.4344799351723458E-2</v>
      </c>
      <c r="U139" s="3">
        <f t="shared" si="15"/>
        <v>1.4344799351723328E-2</v>
      </c>
      <c r="V139" s="3">
        <f t="shared" si="15"/>
        <v>1.4344799351722037E-2</v>
      </c>
      <c r="W139" s="3">
        <f t="shared" si="15"/>
        <v>1.4344799351709127E-2</v>
      </c>
      <c r="X139" s="3">
        <f t="shared" si="15"/>
        <v>1.4344799351580024E-2</v>
      </c>
      <c r="Y139" s="3">
        <f t="shared" si="15"/>
        <v>1.4344799350288992E-2</v>
      </c>
      <c r="Z139" s="3">
        <f t="shared" si="15"/>
        <v>1.4344799337378672E-2</v>
      </c>
      <c r="AA139" s="3">
        <f t="shared" si="15"/>
        <v>1.4344799208275479E-2</v>
      </c>
      <c r="AB139" s="3">
        <f t="shared" si="15"/>
        <v>1.4344797917243609E-2</v>
      </c>
      <c r="AC139" s="3">
        <f t="shared" si="15"/>
        <v>1.4344785006931293E-2</v>
      </c>
      <c r="AD139" s="3">
        <f t="shared" si="15"/>
        <v>1.4344655904447192E-2</v>
      </c>
      <c r="AE139" s="3">
        <f t="shared" si="15"/>
        <v>1.4343364943509905E-2</v>
      </c>
      <c r="AF139" s="3">
        <f t="shared" si="15"/>
        <v>1.4330461722381222E-2</v>
      </c>
      <c r="AG139" s="3">
        <f t="shared" si="15"/>
        <v>1.4202066213338997E-2</v>
      </c>
      <c r="AH139" s="3">
        <f t="shared" si="15"/>
        <v>1.2979711207657372E-2</v>
      </c>
      <c r="AI139" s="3">
        <f t="shared" si="15"/>
        <v>5.2771567692284993E-3</v>
      </c>
      <c r="AJ139" s="3">
        <f t="shared" si="15"/>
        <v>6.5125288302518387E-7</v>
      </c>
    </row>
    <row r="140" spans="1:36" x14ac:dyDescent="0.25">
      <c r="A140" s="3">
        <f t="shared" si="14"/>
        <v>1000000000000000</v>
      </c>
      <c r="B140" s="107">
        <v>0</v>
      </c>
      <c r="C140" s="18">
        <f t="shared" si="9"/>
        <v>0</v>
      </c>
      <c r="D140" s="17"/>
      <c r="E140" s="11"/>
      <c r="F140" s="3">
        <f t="shared" si="11"/>
        <v>0</v>
      </c>
      <c r="G140" s="3">
        <f t="shared" si="15"/>
        <v>0</v>
      </c>
      <c r="H140" s="3">
        <f t="shared" si="15"/>
        <v>0</v>
      </c>
      <c r="I140" s="3">
        <f t="shared" si="15"/>
        <v>0</v>
      </c>
      <c r="J140" s="3">
        <f t="shared" si="15"/>
        <v>0</v>
      </c>
      <c r="K140" s="3">
        <f t="shared" si="15"/>
        <v>0</v>
      </c>
      <c r="L140" s="3">
        <f t="shared" si="15"/>
        <v>0</v>
      </c>
      <c r="M140" s="3">
        <f t="shared" si="15"/>
        <v>0</v>
      </c>
      <c r="N140" s="3">
        <f t="shared" si="15"/>
        <v>0</v>
      </c>
      <c r="O140" s="3">
        <f t="shared" si="15"/>
        <v>0</v>
      </c>
      <c r="P140" s="3">
        <f t="shared" si="15"/>
        <v>0</v>
      </c>
      <c r="Q140" s="3">
        <f t="shared" si="15"/>
        <v>0</v>
      </c>
      <c r="R140" s="3">
        <f t="shared" si="15"/>
        <v>0</v>
      </c>
      <c r="S140" s="3">
        <f t="shared" si="15"/>
        <v>0</v>
      </c>
      <c r="T140" s="3">
        <f t="shared" si="15"/>
        <v>0</v>
      </c>
      <c r="U140" s="3">
        <f t="shared" si="15"/>
        <v>0</v>
      </c>
      <c r="V140" s="3">
        <f t="shared" si="15"/>
        <v>0</v>
      </c>
      <c r="W140" s="3">
        <f t="shared" si="15"/>
        <v>0</v>
      </c>
      <c r="X140" s="3">
        <f t="shared" si="15"/>
        <v>0</v>
      </c>
      <c r="Y140" s="3">
        <f t="shared" si="15"/>
        <v>0</v>
      </c>
      <c r="Z140" s="3">
        <f t="shared" si="15"/>
        <v>0</v>
      </c>
      <c r="AA140" s="3">
        <f t="shared" si="15"/>
        <v>0</v>
      </c>
      <c r="AB140" s="3">
        <f t="shared" si="15"/>
        <v>0</v>
      </c>
      <c r="AC140" s="3">
        <f t="shared" si="15"/>
        <v>0</v>
      </c>
      <c r="AD140" s="3">
        <f t="shared" si="15"/>
        <v>0</v>
      </c>
      <c r="AE140" s="3">
        <f t="shared" si="15"/>
        <v>0</v>
      </c>
      <c r="AF140" s="3">
        <f t="shared" si="15"/>
        <v>0</v>
      </c>
      <c r="AG140" s="3">
        <f t="shared" si="15"/>
        <v>0</v>
      </c>
      <c r="AH140" s="3">
        <f t="shared" si="15"/>
        <v>0</v>
      </c>
      <c r="AI140" s="3">
        <f t="shared" si="15"/>
        <v>0</v>
      </c>
      <c r="AJ140" s="3">
        <f t="shared" si="15"/>
        <v>0</v>
      </c>
    </row>
    <row r="141" spans="1:36" x14ac:dyDescent="0.25">
      <c r="A141" s="3">
        <f t="shared" si="14"/>
        <v>1E+16</v>
      </c>
      <c r="B141" s="107">
        <v>1.8559411963456892E-2</v>
      </c>
      <c r="C141" s="18">
        <f t="shared" si="9"/>
        <v>1.3799257874791684E-2</v>
      </c>
      <c r="D141" s="17"/>
      <c r="E141" s="11"/>
      <c r="F141" s="3">
        <f t="shared" si="11"/>
        <v>1.3799257874791684E-2</v>
      </c>
      <c r="G141" s="3">
        <f t="shared" si="15"/>
        <v>1.3799257874791684E-2</v>
      </c>
      <c r="H141" s="3">
        <f t="shared" si="15"/>
        <v>1.3799257874791684E-2</v>
      </c>
      <c r="I141" s="3">
        <f t="shared" si="15"/>
        <v>1.3799257874791684E-2</v>
      </c>
      <c r="J141" s="3">
        <f t="shared" si="15"/>
        <v>1.3799257874791684E-2</v>
      </c>
      <c r="K141" s="3">
        <f t="shared" si="15"/>
        <v>1.3799257874791684E-2</v>
      </c>
      <c r="L141" s="3">
        <f t="shared" si="15"/>
        <v>1.3799257874791684E-2</v>
      </c>
      <c r="M141" s="3">
        <f t="shared" si="15"/>
        <v>1.3799257874791684E-2</v>
      </c>
      <c r="N141" s="3">
        <f t="shared" si="15"/>
        <v>1.3799257874791684E-2</v>
      </c>
      <c r="O141" s="3">
        <f t="shared" si="15"/>
        <v>1.3799257874791684E-2</v>
      </c>
      <c r="P141" s="3">
        <f t="shared" si="15"/>
        <v>1.3799257874791684E-2</v>
      </c>
      <c r="Q141" s="3">
        <f t="shared" si="15"/>
        <v>1.3799257874791684E-2</v>
      </c>
      <c r="R141" s="3">
        <f t="shared" si="15"/>
        <v>1.3799257874791684E-2</v>
      </c>
      <c r="S141" s="3">
        <f t="shared" si="15"/>
        <v>1.3799257874791684E-2</v>
      </c>
      <c r="T141" s="3">
        <f t="shared" si="15"/>
        <v>1.3799257874791684E-2</v>
      </c>
      <c r="U141" s="3">
        <f t="shared" si="15"/>
        <v>1.3799257874791682E-2</v>
      </c>
      <c r="V141" s="3">
        <f t="shared" si="15"/>
        <v>1.379925787479167E-2</v>
      </c>
      <c r="W141" s="3">
        <f t="shared" si="15"/>
        <v>1.3799257874791547E-2</v>
      </c>
      <c r="X141" s="3">
        <f t="shared" si="15"/>
        <v>1.3799257874790303E-2</v>
      </c>
      <c r="Y141" s="3">
        <f t="shared" si="15"/>
        <v>1.3799257874777884E-2</v>
      </c>
      <c r="Z141" s="3">
        <f t="shared" si="15"/>
        <v>1.3799257874653692E-2</v>
      </c>
      <c r="AA141" s="3">
        <f t="shared" si="15"/>
        <v>1.3799257873411758E-2</v>
      </c>
      <c r="AB141" s="3">
        <f t="shared" si="15"/>
        <v>1.3799257860992427E-2</v>
      </c>
      <c r="AC141" s="3">
        <f t="shared" si="15"/>
        <v>1.3799257736799107E-2</v>
      </c>
      <c r="AD141" s="3">
        <f t="shared" si="15"/>
        <v>1.3799256494865967E-2</v>
      </c>
      <c r="AE141" s="3">
        <f t="shared" si="15"/>
        <v>1.379924407554071E-2</v>
      </c>
      <c r="AF141" s="3">
        <f t="shared" si="15"/>
        <v>1.3799119882902897E-2</v>
      </c>
      <c r="AG141" s="3">
        <f t="shared" si="15"/>
        <v>1.3797878017998194E-2</v>
      </c>
      <c r="AH141" s="3">
        <f t="shared" si="15"/>
        <v>1.3785465514246529E-2</v>
      </c>
      <c r="AI141" s="3">
        <f t="shared" si="15"/>
        <v>1.3661952964799405E-2</v>
      </c>
      <c r="AJ141" s="3">
        <f t="shared" si="15"/>
        <v>1.2486084866238889E-2</v>
      </c>
    </row>
    <row r="142" spans="1:36" x14ac:dyDescent="0.25">
      <c r="A142" s="11"/>
      <c r="B142" s="123">
        <f>SUM(B110:B141)</f>
        <v>1.3449572529085785</v>
      </c>
      <c r="C142" s="18">
        <f>SUM(C110:C141)</f>
        <v>0.99999999999999989</v>
      </c>
      <c r="D142" s="11"/>
      <c r="E142" s="11"/>
      <c r="F142" s="3">
        <f t="shared" ref="F142:AJ142" si="16">F109-F110</f>
        <v>101.08171709621729</v>
      </c>
      <c r="G142" s="3">
        <f t="shared" si="16"/>
        <v>101.12271994163984</v>
      </c>
      <c r="H142" s="3">
        <f t="shared" si="16"/>
        <v>100.21390548157069</v>
      </c>
      <c r="I142" s="3">
        <f t="shared" si="16"/>
        <v>103.16506018227938</v>
      </c>
      <c r="J142" s="3">
        <f t="shared" si="16"/>
        <v>94.456468596131344</v>
      </c>
      <c r="K142" s="3">
        <f t="shared" si="16"/>
        <v>-24.59093201968426</v>
      </c>
      <c r="L142" s="3">
        <f t="shared" si="16"/>
        <v>2.5742030441024326</v>
      </c>
      <c r="M142" s="3">
        <f t="shared" si="16"/>
        <v>0.47261124745546113</v>
      </c>
      <c r="N142" s="3">
        <f t="shared" si="16"/>
        <v>-1.8041806289038504</v>
      </c>
      <c r="O142" s="3">
        <f t="shared" si="16"/>
        <v>3.7260126073078936</v>
      </c>
      <c r="P142" s="3">
        <f t="shared" si="16"/>
        <v>-6.3503148612062432</v>
      </c>
      <c r="Q142" s="3">
        <f t="shared" si="16"/>
        <v>9.17404504453134</v>
      </c>
      <c r="R142" s="3">
        <f t="shared" si="16"/>
        <v>-11.281543080228403</v>
      </c>
      <c r="S142" s="3">
        <f t="shared" si="16"/>
        <v>11.863419552898449</v>
      </c>
      <c r="T142" s="3">
        <f t="shared" si="16"/>
        <v>-10.656849821585638</v>
      </c>
      <c r="U142" s="3">
        <f t="shared" si="16"/>
        <v>8.2417877671550741</v>
      </c>
      <c r="V142" s="3">
        <f t="shared" si="16"/>
        <v>-5.4952756700777172</v>
      </c>
      <c r="W142" s="3">
        <f t="shared" si="16"/>
        <v>3.1656769204137163</v>
      </c>
      <c r="X142" s="3">
        <f t="shared" si="16"/>
        <v>-1.5721976020040529</v>
      </c>
      <c r="Y142" s="3">
        <f t="shared" si="16"/>
        <v>0.66945140856387297</v>
      </c>
      <c r="Z142" s="3">
        <f t="shared" si="16"/>
        <v>-0.26203590395061838</v>
      </c>
      <c r="AA142" s="3">
        <f t="shared" si="16"/>
        <v>8.4612748453309905E-2</v>
      </c>
      <c r="AB142" s="3">
        <f t="shared" si="16"/>
        <v>-5.1588139217528806E-4</v>
      </c>
      <c r="AC142" s="3">
        <f t="shared" si="16"/>
        <v>3.9453489009702025E-2</v>
      </c>
      <c r="AD142" s="3">
        <f t="shared" si="16"/>
        <v>-5.7143368001788986E-2</v>
      </c>
      <c r="AE142" s="3">
        <f t="shared" si="16"/>
        <v>-2.5555076151590583E-2</v>
      </c>
      <c r="AF142" s="3">
        <f t="shared" si="16"/>
        <v>1.026914166197912E-2</v>
      </c>
      <c r="AG142" s="3">
        <f t="shared" si="16"/>
        <v>2.1158037548616448E-2</v>
      </c>
      <c r="AH142" s="3">
        <f t="shared" si="16"/>
        <v>7.3669718221083258E-2</v>
      </c>
      <c r="AI142" s="3">
        <f t="shared" si="16"/>
        <v>-0.23245570886462019</v>
      </c>
      <c r="AJ142" s="3">
        <f t="shared" si="16"/>
        <v>0.179623550121363</v>
      </c>
    </row>
    <row r="143" spans="1:36" x14ac:dyDescent="0.25">
      <c r="A143" s="11"/>
      <c r="B143" s="11"/>
      <c r="C143" s="11"/>
      <c r="D143" s="11"/>
      <c r="E143" s="11"/>
      <c r="F143" s="57">
        <f t="shared" ref="F143:AJ143" si="17">F142/F110</f>
        <v>1.4455931753734757E-2</v>
      </c>
      <c r="G143" s="57">
        <f t="shared" si="17"/>
        <v>1.4461880469343436E-2</v>
      </c>
      <c r="H143" s="57">
        <f t="shared" si="17"/>
        <v>1.4332747763069179E-2</v>
      </c>
      <c r="I143" s="57">
        <f t="shared" si="17"/>
        <v>1.4763401175011294E-2</v>
      </c>
      <c r="J143" s="57">
        <f t="shared" si="17"/>
        <v>1.3589606001076239E-2</v>
      </c>
      <c r="K143" s="57">
        <f t="shared" si="17"/>
        <v>-3.6305641611548678E-3</v>
      </c>
      <c r="L143" s="57">
        <f t="shared" si="17"/>
        <v>3.8959033309903608E-4</v>
      </c>
      <c r="M143" s="57">
        <f t="shared" si="17"/>
        <v>7.4087346469700895E-5</v>
      </c>
      <c r="N143" s="57">
        <f t="shared" si="17"/>
        <v>-2.9358420046884037E-4</v>
      </c>
      <c r="O143" s="57">
        <f t="shared" si="17"/>
        <v>6.2354947370865178E-4</v>
      </c>
      <c r="P143" s="57">
        <f t="shared" si="17"/>
        <v>-1.1123748917623939E-3</v>
      </c>
      <c r="Q143" s="57">
        <f t="shared" si="17"/>
        <v>1.7028733187043591E-3</v>
      </c>
      <c r="R143" s="57">
        <f t="shared" si="17"/>
        <v>-2.1739948257481884E-3</v>
      </c>
      <c r="S143" s="57">
        <f t="shared" si="17"/>
        <v>2.4346339461518746E-3</v>
      </c>
      <c r="T143" s="57">
        <f t="shared" si="17"/>
        <v>-2.3700429998782888E-3</v>
      </c>
      <c r="U143" s="57">
        <f t="shared" si="17"/>
        <v>1.9909579650274761E-3</v>
      </c>
      <c r="V143" s="57">
        <f t="shared" si="17"/>
        <v>-1.501708885495491E-3</v>
      </c>
      <c r="W143" s="57">
        <f t="shared" si="17"/>
        <v>9.5223744734836049E-4</v>
      </c>
      <c r="X143" s="57">
        <f t="shared" si="17"/>
        <v>-5.1614475131984961E-4</v>
      </c>
      <c r="Y143" s="57">
        <f t="shared" si="17"/>
        <v>2.5233831992323185E-4</v>
      </c>
      <c r="Z143" s="57">
        <f t="shared" si="17"/>
        <v>-1.1471373078357486E-4</v>
      </c>
      <c r="AA143" s="57">
        <f t="shared" si="17"/>
        <v>4.0426728802035847E-5</v>
      </c>
      <c r="AB143" s="57">
        <f t="shared" si="17"/>
        <v>-3.2971988410583144E-7</v>
      </c>
      <c r="AC143" s="57">
        <f t="shared" si="17"/>
        <v>3.6723537145972308E-5</v>
      </c>
      <c r="AD143" s="57">
        <f t="shared" si="17"/>
        <v>-8.0432168284507753E-5</v>
      </c>
      <c r="AE143" s="57">
        <f t="shared" si="17"/>
        <v>-5.0580966866682746E-5</v>
      </c>
      <c r="AF143" s="57">
        <f t="shared" si="17"/>
        <v>2.0888040584714596E-5</v>
      </c>
      <c r="AG143" s="57">
        <f t="shared" si="17"/>
        <v>5.0292632288865565E-5</v>
      </c>
      <c r="AH143" s="57">
        <f t="shared" si="17"/>
        <v>2.1051542419233492E-4</v>
      </c>
      <c r="AI143" s="57">
        <f t="shared" si="17"/>
        <v>-8.204072026920515E-4</v>
      </c>
      <c r="AJ143" s="57">
        <f t="shared" si="17"/>
        <v>7.540150411071894E-4</v>
      </c>
    </row>
    <row r="144" spans="1:36" x14ac:dyDescent="0.25">
      <c r="A144" s="13" t="s">
        <v>21</v>
      </c>
      <c r="B144" s="3">
        <f>STUTT!D8</f>
        <v>6992.4087</v>
      </c>
      <c r="C144" s="11"/>
      <c r="D144" s="11"/>
      <c r="E144" s="11" t="s">
        <v>24</v>
      </c>
      <c r="F144" s="20">
        <f t="shared" ref="F144:AJ144" si="18">(F109-F110)^2</f>
        <v>10217.513531119706</v>
      </c>
      <c r="G144" s="20">
        <f t="shared" si="18"/>
        <v>10225.804488395324</v>
      </c>
      <c r="H144" s="20">
        <f t="shared" si="18"/>
        <v>10042.826851869184</v>
      </c>
      <c r="I144" s="20">
        <f t="shared" si="18"/>
        <v>10643.029642413325</v>
      </c>
      <c r="J144" s="20">
        <f t="shared" si="18"/>
        <v>8922.024459651946</v>
      </c>
      <c r="K144" s="20">
        <f t="shared" si="18"/>
        <v>604.71393759673265</v>
      </c>
      <c r="L144" s="20">
        <f t="shared" si="18"/>
        <v>6.626521312266231</v>
      </c>
      <c r="M144" s="20">
        <f t="shared" si="18"/>
        <v>0.22336139122140711</v>
      </c>
      <c r="N144" s="20">
        <f t="shared" si="18"/>
        <v>3.2550677417118932</v>
      </c>
      <c r="O144" s="20">
        <f t="shared" si="18"/>
        <v>13.883169949817368</v>
      </c>
      <c r="P144" s="20">
        <f t="shared" si="18"/>
        <v>40.326498836456871</v>
      </c>
      <c r="Q144" s="20">
        <f t="shared" si="18"/>
        <v>84.163102479090028</v>
      </c>
      <c r="R144" s="20">
        <f t="shared" si="18"/>
        <v>127.27321427104935</v>
      </c>
      <c r="S144" s="20">
        <f t="shared" si="18"/>
        <v>140.74072348809324</v>
      </c>
      <c r="T144" s="20">
        <f t="shared" si="18"/>
        <v>113.56844811982984</v>
      </c>
      <c r="U144" s="20">
        <f t="shared" si="18"/>
        <v>67.927065598827028</v>
      </c>
      <c r="V144" s="20">
        <f t="shared" si="18"/>
        <v>30.198054690148105</v>
      </c>
      <c r="W144" s="20">
        <f t="shared" si="18"/>
        <v>10.02151036444007</v>
      </c>
      <c r="X144" s="20">
        <f t="shared" si="18"/>
        <v>2.4718052997472943</v>
      </c>
      <c r="Y144" s="20">
        <f t="shared" si="18"/>
        <v>0.44816518842815356</v>
      </c>
      <c r="Z144" s="20">
        <f t="shared" si="18"/>
        <v>6.8662814959217694E-2</v>
      </c>
      <c r="AA144" s="20">
        <f t="shared" si="18"/>
        <v>7.1593172008230978E-3</v>
      </c>
      <c r="AB144" s="20">
        <f t="shared" si="18"/>
        <v>2.6613361079271334E-7</v>
      </c>
      <c r="AC144" s="20">
        <f t="shared" si="18"/>
        <v>1.5565777950386785E-3</v>
      </c>
      <c r="AD144" s="20">
        <f t="shared" si="18"/>
        <v>3.2653645065878812E-3</v>
      </c>
      <c r="AE144" s="20">
        <f t="shared" si="18"/>
        <v>6.5306191711359375E-4</v>
      </c>
      <c r="AF144" s="20">
        <f t="shared" si="18"/>
        <v>1.0545527047379528E-4</v>
      </c>
      <c r="AG144" s="20">
        <f t="shared" si="18"/>
        <v>4.4766255290866355E-4</v>
      </c>
      <c r="AH144" s="20">
        <f t="shared" si="18"/>
        <v>5.4272273827738063E-3</v>
      </c>
      <c r="AI144" s="20">
        <f t="shared" si="18"/>
        <v>5.4035656583753061E-2</v>
      </c>
      <c r="AJ144" s="20">
        <f t="shared" si="18"/>
        <v>3.2264619758201801E-2</v>
      </c>
    </row>
    <row r="145" spans="1:36" x14ac:dyDescent="0.25">
      <c r="A145" s="13"/>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row>
    <row r="146" spans="1:36" x14ac:dyDescent="0.25">
      <c r="A146" s="11"/>
      <c r="B146" s="11"/>
      <c r="C146" s="11"/>
      <c r="D146" s="11"/>
      <c r="E146" s="131" t="s">
        <v>25</v>
      </c>
      <c r="F146" s="131"/>
      <c r="G146" s="104">
        <f>SUM(F144:AJ144)</f>
        <v>51297.213197801408</v>
      </c>
      <c r="H146" s="11"/>
      <c r="I146" s="3">
        <f>G146+C216</f>
        <v>51297.213197801408</v>
      </c>
      <c r="J146" s="11"/>
      <c r="K146" s="3">
        <f>SUM(Z144:AJ144)</f>
        <v>0.17357802406050285</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row>
    <row r="147" spans="1:36"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row>
    <row r="148" spans="1:36" x14ac:dyDescent="0.25">
      <c r="A148" s="11"/>
      <c r="B148" s="11"/>
      <c r="C148" s="11"/>
      <c r="D148" s="11"/>
      <c r="E148" s="30" t="s">
        <v>30</v>
      </c>
      <c r="F148" s="31">
        <f t="shared" ref="F148:AJ148" si="19">ABS(F110-F109)/F109</f>
        <v>1.424993565639086E-2</v>
      </c>
      <c r="G148" s="31">
        <f t="shared" si="19"/>
        <v>1.4255716008424691E-2</v>
      </c>
      <c r="H148" s="31">
        <f t="shared" si="19"/>
        <v>1.4130222843221329E-2</v>
      </c>
      <c r="I148" s="31">
        <f t="shared" si="19"/>
        <v>1.4548614147806779E-2</v>
      </c>
      <c r="J148" s="31">
        <f t="shared" si="19"/>
        <v>1.3407404654326939E-2</v>
      </c>
      <c r="K148" s="31">
        <f t="shared" si="19"/>
        <v>3.643793186107008E-3</v>
      </c>
      <c r="L148" s="31">
        <f t="shared" si="19"/>
        <v>3.8943861158062879E-4</v>
      </c>
      <c r="M148" s="31">
        <f t="shared" si="19"/>
        <v>7.4081857941424471E-5</v>
      </c>
      <c r="N148" s="31">
        <f t="shared" si="19"/>
        <v>2.9367041746355277E-4</v>
      </c>
      <c r="O148" s="31">
        <f t="shared" si="19"/>
        <v>6.2316090205613887E-4</v>
      </c>
      <c r="P148" s="31">
        <f t="shared" si="19"/>
        <v>1.1136136476231338E-3</v>
      </c>
      <c r="Q148" s="31">
        <f t="shared" si="19"/>
        <v>1.699978470724191E-3</v>
      </c>
      <c r="R148" s="31">
        <f t="shared" si="19"/>
        <v>2.178731376487367E-3</v>
      </c>
      <c r="S148" s="31">
        <f t="shared" si="19"/>
        <v>2.4287208998034849E-3</v>
      </c>
      <c r="T148" s="31">
        <f t="shared" si="19"/>
        <v>2.3756734481039645E-3</v>
      </c>
      <c r="U148" s="31">
        <f t="shared" si="19"/>
        <v>1.9870019277129711E-3</v>
      </c>
      <c r="V148" s="31">
        <f t="shared" si="19"/>
        <v>1.5039674067136484E-3</v>
      </c>
      <c r="W148" s="31">
        <f t="shared" si="19"/>
        <v>9.513315538179709E-4</v>
      </c>
      <c r="X148" s="31">
        <f t="shared" si="19"/>
        <v>5.1641129429892425E-4</v>
      </c>
      <c r="Y148" s="31">
        <f t="shared" si="19"/>
        <v>2.522746613590253E-4</v>
      </c>
      <c r="Z148" s="31">
        <f t="shared" si="19"/>
        <v>1.1472689153332385E-4</v>
      </c>
      <c r="AA148" s="31">
        <f t="shared" si="19"/>
        <v>4.0425094547701767E-5</v>
      </c>
      <c r="AB148" s="31">
        <f t="shared" si="19"/>
        <v>3.2971999282106926E-7</v>
      </c>
      <c r="AC148" s="31">
        <f t="shared" si="19"/>
        <v>3.6722188577316013E-5</v>
      </c>
      <c r="AD148" s="31">
        <f t="shared" si="19"/>
        <v>8.0438638138587089E-5</v>
      </c>
      <c r="AE148" s="31">
        <f t="shared" si="19"/>
        <v>5.0583525430306537E-5</v>
      </c>
      <c r="AF148" s="31">
        <f t="shared" si="19"/>
        <v>2.0887604283588603E-5</v>
      </c>
      <c r="AG148" s="31">
        <f t="shared" si="19"/>
        <v>5.0290103067204241E-5</v>
      </c>
      <c r="AH148" s="31">
        <f t="shared" si="19"/>
        <v>2.104711167759066E-4</v>
      </c>
      <c r="AI148" s="31">
        <f t="shared" si="19"/>
        <v>8.2108082331349016E-4</v>
      </c>
      <c r="AJ148" s="31">
        <f t="shared" si="19"/>
        <v>7.5344693078869868E-4</v>
      </c>
    </row>
    <row r="149" spans="1:36" x14ac:dyDescent="0.25">
      <c r="A149" s="11"/>
      <c r="B149" s="11"/>
      <c r="C149" s="11"/>
      <c r="D149" s="11"/>
      <c r="E149" s="13" t="s">
        <v>31</v>
      </c>
      <c r="F149" s="32">
        <f>AVERAGE(F148:AJ148)</f>
        <v>2.9936498583359034E-3</v>
      </c>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row>
    <row r="150" spans="1:36" x14ac:dyDescent="0.25">
      <c r="A150" s="42"/>
      <c r="B150" s="15"/>
      <c r="C150" s="15"/>
      <c r="D150" s="15"/>
      <c r="E150" s="11"/>
      <c r="F150" s="60">
        <f>AVERAGE(S148:X148)</f>
        <v>1.6271844217418275E-3</v>
      </c>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row>
    <row r="151" spans="1:36" x14ac:dyDescent="0.25">
      <c r="A151" s="11"/>
      <c r="B151" s="11"/>
      <c r="C151" s="11"/>
      <c r="D151" s="11"/>
      <c r="E151" s="11"/>
      <c r="F151" s="57"/>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row>
    <row r="152" spans="1:36"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row>
  </sheetData>
  <mergeCells count="2">
    <mergeCell ref="A108:C108"/>
    <mergeCell ref="E146:F14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-21.791567045586209</v>
      </c>
      <c r="M1" s="54">
        <v>1</v>
      </c>
      <c r="N1" s="56">
        <f>INDEX($H$217:$P$217,1,Q1)</f>
        <v>0.1938825776333612</v>
      </c>
      <c r="O1" s="11"/>
      <c r="P1" s="55">
        <v>1</v>
      </c>
      <c r="Q1" s="11">
        <v>2</v>
      </c>
    </row>
    <row r="2" spans="1:17" x14ac:dyDescent="0.25">
      <c r="A2" s="11">
        <f>'Mastercurve bestimmen'!M119</f>
        <v>0</v>
      </c>
      <c r="B2" s="11">
        <f>'Mastercurve bestimmen'!N119</f>
        <v>-13.119481726760494</v>
      </c>
      <c r="M2" s="54">
        <v>2</v>
      </c>
      <c r="N2" s="56">
        <f t="shared" ref="N2:N9" si="0">INDEX($H$217:$P$217,1,Q2)</f>
        <v>1.6081190690350618E-3</v>
      </c>
      <c r="O2" s="11"/>
      <c r="P2" s="55">
        <v>2</v>
      </c>
      <c r="Q2" s="11">
        <f>Q1+1</f>
        <v>3</v>
      </c>
    </row>
    <row r="3" spans="1:17" x14ac:dyDescent="0.25">
      <c r="A3" s="11">
        <f>'Mastercurve bestimmen'!M120</f>
        <v>25</v>
      </c>
      <c r="B3" s="11">
        <f>'Mastercurve bestimmen'!N120</f>
        <v>-8.6916102244209963</v>
      </c>
      <c r="M3" s="54">
        <v>3</v>
      </c>
      <c r="N3" s="56">
        <f t="shared" si="0"/>
        <v>1.3309866573770696E-5</v>
      </c>
      <c r="O3" s="11"/>
      <c r="P3" s="55">
        <v>3</v>
      </c>
      <c r="Q3" s="11">
        <f t="shared" ref="Q3:Q8" si="1">Q2+1</f>
        <v>4</v>
      </c>
    </row>
    <row r="4" spans="1:17" x14ac:dyDescent="0.25">
      <c r="A4" s="11">
        <f>'Mastercurve bestimmen'!M121</f>
        <v>50</v>
      </c>
      <c r="B4" s="11">
        <f>'Mastercurve bestimmen'!N121</f>
        <v>-4.7520980113111246</v>
      </c>
      <c r="M4" s="54">
        <v>4</v>
      </c>
      <c r="N4" s="56">
        <f t="shared" si="0"/>
        <v>-1.4165900034765881E-7</v>
      </c>
      <c r="O4" s="11"/>
      <c r="P4" s="55">
        <v>4</v>
      </c>
      <c r="Q4" s="11">
        <f t="shared" si="1"/>
        <v>5</v>
      </c>
    </row>
    <row r="5" spans="1:17" x14ac:dyDescent="0.25">
      <c r="A5" s="11">
        <f>'Mastercurve bestimmen'!M122</f>
        <v>80</v>
      </c>
      <c r="B5" s="11">
        <f>'Mastercurve bestimmen'!N122</f>
        <v>0</v>
      </c>
      <c r="M5" s="54">
        <v>5</v>
      </c>
      <c r="N5" s="56">
        <f t="shared" si="0"/>
        <v>-1.2446405118092772E-9</v>
      </c>
      <c r="O5" s="11"/>
      <c r="P5" s="55">
        <v>5</v>
      </c>
      <c r="Q5" s="11">
        <f t="shared" si="1"/>
        <v>6</v>
      </c>
    </row>
    <row r="6" spans="1:17" x14ac:dyDescent="0.25">
      <c r="A6" s="11">
        <f>'Mastercurve bestimmen'!M123</f>
        <v>125</v>
      </c>
      <c r="B6" s="11">
        <f>'Mastercurve bestimmen'!N123</f>
        <v>12.423556606236367</v>
      </c>
      <c r="M6" s="54">
        <v>6</v>
      </c>
      <c r="N6" s="56">
        <f t="shared" si="0"/>
        <v>5.050160649918868E-12</v>
      </c>
      <c r="O6" s="11"/>
      <c r="P6" s="55">
        <v>6</v>
      </c>
      <c r="Q6" s="11">
        <f t="shared" si="1"/>
        <v>7</v>
      </c>
    </row>
    <row r="7" spans="1:17" x14ac:dyDescent="0.25">
      <c r="A7" s="11">
        <f>'Mastercurve bestimmen'!M124</f>
        <v>160</v>
      </c>
      <c r="B7" s="11">
        <f>'Mastercurve bestimmen'!N124</f>
        <v>25.881767880905638</v>
      </c>
      <c r="M7" s="54">
        <v>7</v>
      </c>
      <c r="N7" s="56">
        <f t="shared" si="0"/>
        <v>7.1108764767926475E-14</v>
      </c>
      <c r="O7" s="11"/>
      <c r="P7" s="55">
        <v>7</v>
      </c>
      <c r="Q7" s="11">
        <f t="shared" si="1"/>
        <v>8</v>
      </c>
    </row>
    <row r="8" spans="1:17" x14ac:dyDescent="0.25">
      <c r="A8" s="11"/>
      <c r="B8" s="11"/>
      <c r="M8" s="54">
        <v>8</v>
      </c>
      <c r="N8" s="56">
        <f t="shared" si="0"/>
        <v>2.3782345376068429E-16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-21.791567045586213</v>
      </c>
      <c r="E15" s="11">
        <f>A15-'Mastercurve bestimmen'!$B$2</f>
        <v>-120</v>
      </c>
      <c r="F15" s="11">
        <f>B15</f>
        <v>-21.791567045586213</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-21.617740388904089</v>
      </c>
      <c r="E16" s="11">
        <f>A16-'Mastercurve bestimmen'!$B$2</f>
        <v>-119</v>
      </c>
      <c r="F16" s="11">
        <f t="shared" ref="F16:F79" si="4">B16</f>
        <v>-21.617740388904089</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-21.443752473399119</v>
      </c>
      <c r="E17" s="11">
        <f>A17-'Mastercurve bestimmen'!$B$2</f>
        <v>-118</v>
      </c>
      <c r="F17" s="11">
        <f t="shared" si="4"/>
        <v>-21.443752473399119</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-21.26944204024846</v>
      </c>
      <c r="E18" s="11">
        <f>A18-'Mastercurve bestimmen'!$B$2</f>
        <v>-117</v>
      </c>
      <c r="F18" s="11">
        <f t="shared" si="4"/>
        <v>-21.26944204024846</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-21.09464783062926</v>
      </c>
      <c r="E19" s="11">
        <f>A19-'Mastercurve bestimmen'!$B$2</f>
        <v>-116</v>
      </c>
      <c r="F19" s="11">
        <f t="shared" si="4"/>
        <v>-21.09464783062926</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-20.919208585718675</v>
      </c>
      <c r="E20" s="11">
        <f>A20-'Mastercurve bestimmen'!$B$2</f>
        <v>-115</v>
      </c>
      <c r="F20" s="11">
        <f t="shared" si="4"/>
        <v>-20.919208585718675</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-20.742963046693859</v>
      </c>
      <c r="E21" s="11">
        <f>A21-'Mastercurve bestimmen'!$B$2</f>
        <v>-114</v>
      </c>
      <c r="F21" s="11">
        <f t="shared" si="4"/>
        <v>-20.742963046693859</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-20.565749954731967</v>
      </c>
      <c r="E22" s="11">
        <f>A22-'Mastercurve bestimmen'!$B$2</f>
        <v>-113</v>
      </c>
      <c r="F22" s="11">
        <f t="shared" si="4"/>
        <v>-20.565749954731967</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-20.387408051010151</v>
      </c>
      <c r="E23" s="11">
        <f>A23-'Mastercurve bestimmen'!$B$2</f>
        <v>-112</v>
      </c>
      <c r="F23" s="11">
        <f t="shared" si="4"/>
        <v>-20.387408051010151</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-20.207776076705564</v>
      </c>
      <c r="E24" s="11">
        <f>A24-'Mastercurve bestimmen'!$B$2</f>
        <v>-111</v>
      </c>
      <c r="F24" s="11">
        <f t="shared" si="4"/>
        <v>-20.207776076705564</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-20.026692772995361</v>
      </c>
      <c r="E25" s="11">
        <f>A25-'Mastercurve bestimmen'!$B$2</f>
        <v>-110</v>
      </c>
      <c r="F25" s="11">
        <f t="shared" si="4"/>
        <v>-20.026692772995361</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-19.843996881056697</v>
      </c>
      <c r="E26" s="11">
        <f>A26-'Mastercurve bestimmen'!$B$2</f>
        <v>-109</v>
      </c>
      <c r="F26" s="11">
        <f t="shared" si="4"/>
        <v>-19.843996881056697</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-19.659527142066722</v>
      </c>
      <c r="E27" s="11">
        <f>A27-'Mastercurve bestimmen'!$B$2</f>
        <v>-108</v>
      </c>
      <c r="F27" s="11">
        <f t="shared" si="4"/>
        <v>-19.659527142066722</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-19.473122297202593</v>
      </c>
      <c r="E28" s="11">
        <f>A28-'Mastercurve bestimmen'!$B$2</f>
        <v>-107</v>
      </c>
      <c r="F28" s="11">
        <f t="shared" si="4"/>
        <v>-19.473122297202593</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-19.284621087641465</v>
      </c>
      <c r="E29" s="11">
        <f>A29-'Mastercurve bestimmen'!$B$2</f>
        <v>-106</v>
      </c>
      <c r="F29" s="11">
        <f t="shared" si="4"/>
        <v>-19.284621087641465</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-19.093862254560488</v>
      </c>
      <c r="E30" s="11">
        <f>A30-'Mastercurve bestimmen'!$B$2</f>
        <v>-105</v>
      </c>
      <c r="F30" s="11">
        <f t="shared" si="4"/>
        <v>-19.093862254560488</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-18.900684539136819</v>
      </c>
      <c r="E31" s="11">
        <f>A31-'Mastercurve bestimmen'!$B$2</f>
        <v>-104</v>
      </c>
      <c r="F31" s="11">
        <f t="shared" si="4"/>
        <v>-18.900684539136819</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-18.704926682547608</v>
      </c>
      <c r="E32" s="11">
        <f>A32-'Mastercurve bestimmen'!$B$2</f>
        <v>-103</v>
      </c>
      <c r="F32" s="11">
        <f t="shared" si="4"/>
        <v>-18.704926682547608</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-18.506427425970013</v>
      </c>
      <c r="E33" s="11">
        <f>A33-'Mastercurve bestimmen'!$B$2</f>
        <v>-102</v>
      </c>
      <c r="F33" s="11">
        <f t="shared" si="4"/>
        <v>-18.506427425970013</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-18.305025510581185</v>
      </c>
      <c r="E34" s="11">
        <f>A34-'Mastercurve bestimmen'!$B$2</f>
        <v>-101</v>
      </c>
      <c r="F34" s="11">
        <f t="shared" si="4"/>
        <v>-18.305025510581185</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-18.10055967755828</v>
      </c>
      <c r="E35" s="11">
        <f>A35-'Mastercurve bestimmen'!$B$2</f>
        <v>-100</v>
      </c>
      <c r="F35" s="11">
        <f t="shared" si="4"/>
        <v>-18.10055967755828</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-17.892868668078449</v>
      </c>
      <c r="E36" s="11">
        <f>A36-'Mastercurve bestimmen'!$B$2</f>
        <v>-99</v>
      </c>
      <c r="F36" s="11">
        <f t="shared" si="4"/>
        <v>-17.892868668078449</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-17.681791223318847</v>
      </c>
      <c r="E37" s="11">
        <f>A37-'Mastercurve bestimmen'!$B$2</f>
        <v>-98</v>
      </c>
      <c r="F37" s="11">
        <f t="shared" si="4"/>
        <v>-17.681791223318847</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-17.467166084456629</v>
      </c>
      <c r="E38" s="11">
        <f>A38-'Mastercurve bestimmen'!$B$2</f>
        <v>-97</v>
      </c>
      <c r="F38" s="11">
        <f t="shared" si="4"/>
        <v>-17.467166084456629</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-17.248831992668947</v>
      </c>
      <c r="E39" s="11">
        <f>A39-'Mastercurve bestimmen'!$B$2</f>
        <v>-96</v>
      </c>
      <c r="F39" s="11">
        <f t="shared" si="4"/>
        <v>-17.248831992668947</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-17.026627689132955</v>
      </c>
      <c r="E40" s="11">
        <f>A40-'Mastercurve bestimmen'!$B$2</f>
        <v>-95</v>
      </c>
      <c r="F40" s="11">
        <f t="shared" si="4"/>
        <v>-17.026627689132955</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-16.800391915025806</v>
      </c>
      <c r="E41" s="11">
        <f>A41-'Mastercurve bestimmen'!$B$2</f>
        <v>-94</v>
      </c>
      <c r="F41" s="11">
        <f t="shared" si="4"/>
        <v>-16.800391915025806</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-16.569963411524657</v>
      </c>
      <c r="E42" s="11">
        <f>A42-'Mastercurve bestimmen'!$B$2</f>
        <v>-93</v>
      </c>
      <c r="F42" s="11">
        <f t="shared" si="4"/>
        <v>-16.569963411524657</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-16.33518091980666</v>
      </c>
      <c r="E43" s="11">
        <f>A43-'Mastercurve bestimmen'!$B$2</f>
        <v>-92</v>
      </c>
      <c r="F43" s="11">
        <f t="shared" si="4"/>
        <v>-16.33518091980666</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-16.095883181048968</v>
      </c>
      <c r="E44" s="11">
        <f>A44-'Mastercurve bestimmen'!$B$2</f>
        <v>-91</v>
      </c>
      <c r="F44" s="11">
        <f t="shared" si="4"/>
        <v>-16.095883181048968</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-15.851908936428734</v>
      </c>
      <c r="E45" s="11">
        <f>A45-'Mastercurve bestimmen'!$B$2</f>
        <v>-90</v>
      </c>
      <c r="F45" s="11">
        <f t="shared" si="4"/>
        <v>-15.851908936428734</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-15.603096927123115</v>
      </c>
      <c r="E46" s="11">
        <f>A46-'Mastercurve bestimmen'!$B$2</f>
        <v>-89</v>
      </c>
      <c r="F46" s="11">
        <f t="shared" si="4"/>
        <v>-15.603096927123115</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-15.349285894309261</v>
      </c>
      <c r="E47" s="11">
        <f>A47-'Mastercurve bestimmen'!$B$2</f>
        <v>-88</v>
      </c>
      <c r="F47" s="11">
        <f t="shared" si="4"/>
        <v>-15.349285894309261</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-15.090314579164327</v>
      </c>
      <c r="E48" s="11">
        <f>A48-'Mastercurve bestimmen'!$B$2</f>
        <v>-87</v>
      </c>
      <c r="F48" s="11">
        <f t="shared" si="4"/>
        <v>-15.090314579164327</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-14.82602172286547</v>
      </c>
      <c r="E49" s="11">
        <f>A49-'Mastercurve bestimmen'!$B$2</f>
        <v>-86</v>
      </c>
      <c r="F49" s="11">
        <f t="shared" si="4"/>
        <v>-14.82602172286547</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-14.556246066589839</v>
      </c>
      <c r="E50" s="11">
        <f>A50-'Mastercurve bestimmen'!$B$2</f>
        <v>-85</v>
      </c>
      <c r="F50" s="11">
        <f t="shared" si="4"/>
        <v>-14.556246066589839</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-14.280826351514591</v>
      </c>
      <c r="E51" s="11">
        <f>A51-'Mastercurve bestimmen'!$B$2</f>
        <v>-84</v>
      </c>
      <c r="F51" s="11">
        <f t="shared" si="4"/>
        <v>-14.280826351514591</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-13.999601318816879</v>
      </c>
      <c r="E52" s="11">
        <f>A52-'Mastercurve bestimmen'!$B$2</f>
        <v>-83</v>
      </c>
      <c r="F52" s="11">
        <f t="shared" si="4"/>
        <v>-13.999601318816879</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-13.712409709673857</v>
      </c>
      <c r="E53" s="11">
        <f>A53-'Mastercurve bestimmen'!$B$2</f>
        <v>-82</v>
      </c>
      <c r="F53" s="11">
        <f t="shared" si="4"/>
        <v>-13.712409709673857</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-13.419090265262676</v>
      </c>
      <c r="E54" s="11">
        <f>A54-'Mastercurve bestimmen'!$B$2</f>
        <v>-81</v>
      </c>
      <c r="F54" s="11">
        <f t="shared" si="4"/>
        <v>-13.419090265262676</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-13.119481726760494</v>
      </c>
      <c r="E55" s="11">
        <f>A55-'Mastercurve bestimmen'!$B$2</f>
        <v>-80</v>
      </c>
      <c r="F55" s="11">
        <f t="shared" si="4"/>
        <v>-13.119481726760494</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-12.981778263690725</v>
      </c>
      <c r="E56" s="11">
        <f>A56-'Mastercurve bestimmen'!$B$2</f>
        <v>-79</v>
      </c>
      <c r="F56" s="11">
        <f t="shared" si="4"/>
        <v>-12.981778263690725</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-12.837989763456552</v>
      </c>
      <c r="E57" s="11">
        <f>A57-'Mastercurve bestimmen'!$B$2</f>
        <v>-78</v>
      </c>
      <c r="F57" s="11">
        <f t="shared" si="4"/>
        <v>-12.837989763456552</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-12.688481541807423</v>
      </c>
      <c r="E58" s="11">
        <f>A58-'Mastercurve bestimmen'!$B$2</f>
        <v>-77</v>
      </c>
      <c r="F58" s="11">
        <f t="shared" si="4"/>
        <v>-12.688481541807423</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-12.533618914492783</v>
      </c>
      <c r="E59" s="11">
        <f>A59-'Mastercurve bestimmen'!$B$2</f>
        <v>-76</v>
      </c>
      <c r="F59" s="11">
        <f t="shared" si="4"/>
        <v>-12.533618914492783</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-12.373767197262078</v>
      </c>
      <c r="E60" s="11">
        <f>A60-'Mastercurve bestimmen'!$B$2</f>
        <v>-75</v>
      </c>
      <c r="F60" s="11">
        <f t="shared" si="4"/>
        <v>-12.373767197262078</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-12.209291705864754</v>
      </c>
      <c r="E61" s="11">
        <f>A61-'Mastercurve bestimmen'!$B$2</f>
        <v>-74</v>
      </c>
      <c r="F61" s="11">
        <f t="shared" si="4"/>
        <v>-12.209291705864754</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-12.040557756050255</v>
      </c>
      <c r="E62" s="11">
        <f>A62-'Mastercurve bestimmen'!$B$2</f>
        <v>-73</v>
      </c>
      <c r="F62" s="11">
        <f t="shared" si="4"/>
        <v>-12.040557756050255</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-11.867930663568028</v>
      </c>
      <c r="E63" s="11">
        <f>A63-'Mastercurve bestimmen'!$B$2</f>
        <v>-72</v>
      </c>
      <c r="F63" s="11">
        <f t="shared" si="4"/>
        <v>-11.867930663568028</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-11.691775744167519</v>
      </c>
      <c r="E64" s="11">
        <f>A64-'Mastercurve bestimmen'!$B$2</f>
        <v>-71</v>
      </c>
      <c r="F64" s="11">
        <f t="shared" si="4"/>
        <v>-11.691775744167519</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-11.512458313598174</v>
      </c>
      <c r="E65" s="11">
        <f>A65-'Mastercurve bestimmen'!$B$2</f>
        <v>-70</v>
      </c>
      <c r="F65" s="11">
        <f t="shared" si="4"/>
        <v>-11.512458313598174</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-11.330343687609442</v>
      </c>
      <c r="E66" s="11">
        <f>A66-'Mastercurve bestimmen'!$B$2</f>
        <v>-69</v>
      </c>
      <c r="F66" s="11">
        <f t="shared" si="4"/>
        <v>-11.330343687609442</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-11.145797181950766</v>
      </c>
      <c r="E67" s="11">
        <f>A67-'Mastercurve bestimmen'!$B$2</f>
        <v>-68</v>
      </c>
      <c r="F67" s="11">
        <f t="shared" si="4"/>
        <v>-11.145797181950766</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-10.959184112371592</v>
      </c>
      <c r="E68" s="11">
        <f>A68-'Mastercurve bestimmen'!$B$2</f>
        <v>-67</v>
      </c>
      <c r="F68" s="11">
        <f t="shared" si="4"/>
        <v>-10.959184112371592</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-10.770869794621365</v>
      </c>
      <c r="E69" s="11">
        <f>A69-'Mastercurve bestimmen'!$B$2</f>
        <v>-66</v>
      </c>
      <c r="F69" s="11">
        <f t="shared" si="4"/>
        <v>-10.770869794621365</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-10.581219544449532</v>
      </c>
      <c r="E70" s="11">
        <f>A70-'Mastercurve bestimmen'!$B$2</f>
        <v>-65</v>
      </c>
      <c r="F70" s="11">
        <f t="shared" si="4"/>
        <v>-10.581219544449532</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-10.390598677605539</v>
      </c>
      <c r="E71" s="11">
        <f>A71-'Mastercurve bestimmen'!$B$2</f>
        <v>-64</v>
      </c>
      <c r="F71" s="11">
        <f t="shared" si="4"/>
        <v>-10.390598677605539</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-10.199372509838833</v>
      </c>
      <c r="E72" s="11">
        <f>A72-'Mastercurve bestimmen'!$B$2</f>
        <v>-63</v>
      </c>
      <c r="F72" s="11">
        <f t="shared" si="4"/>
        <v>-10.199372509838833</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-10.007906356898859</v>
      </c>
      <c r="E73" s="11">
        <f>A73-'Mastercurve bestimmen'!$B$2</f>
        <v>-62</v>
      </c>
      <c r="F73" s="11">
        <f t="shared" si="4"/>
        <v>-10.007906356898859</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-9.8165655345350622</v>
      </c>
      <c r="E74" s="11">
        <f>A74-'Mastercurve bestimmen'!$B$2</f>
        <v>-61</v>
      </c>
      <c r="F74" s="11">
        <f t="shared" si="4"/>
        <v>-9.8165655345350622</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-9.6257153584968904</v>
      </c>
      <c r="E75" s="11">
        <f>A75-'Mastercurve bestimmen'!$B$2</f>
        <v>-60</v>
      </c>
      <c r="F75" s="11">
        <f t="shared" si="4"/>
        <v>-9.6257153584968904</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-9.4357211445337885</v>
      </c>
      <c r="E76" s="11">
        <f>A76-'Mastercurve bestimmen'!$B$2</f>
        <v>-59</v>
      </c>
      <c r="F76" s="11">
        <f t="shared" si="4"/>
        <v>-9.4357211445337885</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-9.246948208395203</v>
      </c>
      <c r="E77" s="11">
        <f>A77-'Mastercurve bestimmen'!$B$2</f>
        <v>-58</v>
      </c>
      <c r="F77" s="11">
        <f t="shared" si="4"/>
        <v>-9.246948208395203</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-9.059761865830577</v>
      </c>
      <c r="E78" s="11">
        <f>A78-'Mastercurve bestimmen'!$B$2</f>
        <v>-57</v>
      </c>
      <c r="F78" s="11">
        <f t="shared" si="4"/>
        <v>-9.059761865830577</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-8.8745274325893604</v>
      </c>
      <c r="E79" s="11">
        <f>A79-'Mastercurve bestimmen'!$B$2</f>
        <v>-56</v>
      </c>
      <c r="F79" s="11">
        <f t="shared" si="4"/>
        <v>-8.8745274325893604</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-8.6916102244209981</v>
      </c>
      <c r="E80" s="11">
        <f>A80-'Mastercurve bestimmen'!$B$2</f>
        <v>-55</v>
      </c>
      <c r="F80" s="11">
        <f t="shared" ref="F80:F143" si="10">B80</f>
        <v>-8.6916102244209981</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-8.5112995104365545</v>
      </c>
      <c r="E81" s="11">
        <f>A81-'Mastercurve bestimmen'!$B$2</f>
        <v>-54</v>
      </c>
      <c r="F81" s="11">
        <f t="shared" si="10"/>
        <v>-8.5112995104365545</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-8.3335803731935645</v>
      </c>
      <c r="E82" s="11">
        <f>A82-'Mastercurve bestimmen'!$B$2</f>
        <v>-53</v>
      </c>
      <c r="F82" s="11">
        <f t="shared" si="10"/>
        <v>-8.3335803731935645</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-8.1583618486111948</v>
      </c>
      <c r="E83" s="11">
        <f>A83-'Mastercurve bestimmen'!$B$2</f>
        <v>-52</v>
      </c>
      <c r="F83" s="11">
        <f t="shared" si="10"/>
        <v>-8.1583618486111948</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-7.9855529726085974</v>
      </c>
      <c r="E84" s="11">
        <f>A84-'Mastercurve bestimmen'!$B$2</f>
        <v>-51</v>
      </c>
      <c r="F84" s="11">
        <f t="shared" si="10"/>
        <v>-7.9855529726085974</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-7.8150627811049338</v>
      </c>
      <c r="E85" s="11">
        <f>A85-'Mastercurve bestimmen'!$B$2</f>
        <v>-50</v>
      </c>
      <c r="F85" s="11">
        <f t="shared" si="10"/>
        <v>-7.8150627811049338</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-7.6468003100193602</v>
      </c>
      <c r="E86" s="11">
        <f>A86-'Mastercurve bestimmen'!$B$2</f>
        <v>-49</v>
      </c>
      <c r="F86" s="11">
        <f t="shared" si="10"/>
        <v>-7.6468003100193602</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-7.4806745952710365</v>
      </c>
      <c r="E87" s="11">
        <f>A87-'Mastercurve bestimmen'!$B$2</f>
        <v>-48</v>
      </c>
      <c r="F87" s="11">
        <f t="shared" si="10"/>
        <v>-7.4806745952710365</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-7.3165946727791189</v>
      </c>
      <c r="E88" s="11">
        <f>A88-'Mastercurve bestimmen'!$B$2</f>
        <v>-47</v>
      </c>
      <c r="F88" s="11">
        <f t="shared" si="10"/>
        <v>-7.3165946727791189</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-7.1544695784627672</v>
      </c>
      <c r="E89" s="11">
        <f>A89-'Mastercurve bestimmen'!$B$2</f>
        <v>-46</v>
      </c>
      <c r="F89" s="11">
        <f t="shared" si="10"/>
        <v>-7.1544695784627672</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-6.9942083482411395</v>
      </c>
      <c r="E90" s="11">
        <f>A90-'Mastercurve bestimmen'!$B$2</f>
        <v>-45</v>
      </c>
      <c r="F90" s="11">
        <f t="shared" si="10"/>
        <v>-6.9942083482411395</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-6.8357200180333928</v>
      </c>
      <c r="E91" s="11">
        <f>A91-'Mastercurve bestimmen'!$B$2</f>
        <v>-44</v>
      </c>
      <c r="F91" s="11">
        <f t="shared" si="10"/>
        <v>-6.8357200180333928</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-6.6789136237586861</v>
      </c>
      <c r="E92" s="11">
        <f>A92-'Mastercurve bestimmen'!$B$2</f>
        <v>-43</v>
      </c>
      <c r="F92" s="11">
        <f t="shared" si="10"/>
        <v>-6.6789136237586861</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-6.5236982013361775</v>
      </c>
      <c r="E93" s="11">
        <f>A93-'Mastercurve bestimmen'!$B$2</f>
        <v>-42</v>
      </c>
      <c r="F93" s="11">
        <f t="shared" si="10"/>
        <v>-6.5236982013361775</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-6.3699827866850258</v>
      </c>
      <c r="E94" s="11">
        <f>A94-'Mastercurve bestimmen'!$B$2</f>
        <v>-41</v>
      </c>
      <c r="F94" s="11">
        <f t="shared" si="10"/>
        <v>-6.3699827866850258</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-6.2176764157243873</v>
      </c>
      <c r="E95" s="11">
        <f>A95-'Mastercurve bestimmen'!$B$2</f>
        <v>-40</v>
      </c>
      <c r="F95" s="11">
        <f t="shared" si="10"/>
        <v>-6.2176764157243873</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-6.0666881243734236</v>
      </c>
      <c r="E96" s="11">
        <f>A96-'Mastercurve bestimmen'!$B$2</f>
        <v>-39</v>
      </c>
      <c r="F96" s="11">
        <f t="shared" si="10"/>
        <v>-6.0666881243734236</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-5.9169269485512901</v>
      </c>
      <c r="E97" s="11">
        <f>A97-'Mastercurve bestimmen'!$B$2</f>
        <v>-38</v>
      </c>
      <c r="F97" s="11">
        <f t="shared" si="10"/>
        <v>-5.9169269485512901</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-5.7683019241771465</v>
      </c>
      <c r="E98" s="11">
        <f>A98-'Mastercurve bestimmen'!$B$2</f>
        <v>-37</v>
      </c>
      <c r="F98" s="11">
        <f t="shared" si="10"/>
        <v>-5.7683019241771465</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-5.6207220871701491</v>
      </c>
      <c r="E99" s="11">
        <f>A99-'Mastercurve bestimmen'!$B$2</f>
        <v>-36</v>
      </c>
      <c r="F99" s="11">
        <f t="shared" si="10"/>
        <v>-5.6207220871701491</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-5.4740964734494577</v>
      </c>
      <c r="E100" s="11">
        <f>A100-'Mastercurve bestimmen'!$B$2</f>
        <v>-35</v>
      </c>
      <c r="F100" s="11">
        <f t="shared" si="10"/>
        <v>-5.4740964734494577</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-5.3283341189342304</v>
      </c>
      <c r="E101" s="11">
        <f>A101-'Mastercurve bestimmen'!$B$2</f>
        <v>-34</v>
      </c>
      <c r="F101" s="11">
        <f t="shared" si="10"/>
        <v>-5.3283341189342304</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-5.183344059543626</v>
      </c>
      <c r="E102" s="11">
        <f>A102-'Mastercurve bestimmen'!$B$2</f>
        <v>-33</v>
      </c>
      <c r="F102" s="11">
        <f t="shared" si="10"/>
        <v>-5.183344059543626</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-5.0390353311968008</v>
      </c>
      <c r="E103" s="11">
        <f>A103-'Mastercurve bestimmen'!$B$2</f>
        <v>-32</v>
      </c>
      <c r="F103" s="11">
        <f t="shared" si="10"/>
        <v>-5.0390353311968008</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-4.8953169698129138</v>
      </c>
      <c r="E104" s="11">
        <f>A104-'Mastercurve bestimmen'!$B$2</f>
        <v>-31</v>
      </c>
      <c r="F104" s="11">
        <f t="shared" si="10"/>
        <v>-4.8953169698129138</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-4.7520980113111246</v>
      </c>
      <c r="E105" s="11">
        <f>A105-'Mastercurve bestimmen'!$B$2</f>
        <v>-30</v>
      </c>
      <c r="F105" s="11">
        <f t="shared" si="10"/>
        <v>-4.7520980113111246</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-4.6092787297677953</v>
      </c>
      <c r="E106" s="11">
        <f>A106-'Mastercurve bestimmen'!$B$2</f>
        <v>-29</v>
      </c>
      <c r="F106" s="11">
        <f t="shared" si="10"/>
        <v>-4.6092787297677953</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-4.4667243518881108</v>
      </c>
      <c r="E107" s="11">
        <f>A107-'Mastercurve bestimmen'!$B$2</f>
        <v>-28</v>
      </c>
      <c r="F107" s="11">
        <f t="shared" si="10"/>
        <v>-4.4667243518881108</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-4.32429134253446</v>
      </c>
      <c r="E108" s="11">
        <f>A108-'Mastercurve bestimmen'!$B$2</f>
        <v>-27</v>
      </c>
      <c r="F108" s="11">
        <f t="shared" si="10"/>
        <v>-4.32429134253446</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-4.1818361665692363</v>
      </c>
      <c r="E109" s="11">
        <f>A109-'Mastercurve bestimmen'!$B$2</f>
        <v>-26</v>
      </c>
      <c r="F109" s="11">
        <f t="shared" si="10"/>
        <v>-4.1818361665692363</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-4.0392152888548258</v>
      </c>
      <c r="E110" s="11">
        <f>A110-'Mastercurve bestimmen'!$B$2</f>
        <v>-25</v>
      </c>
      <c r="F110" s="11">
        <f t="shared" si="10"/>
        <v>-4.0392152888548258</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-3.8962851742536202</v>
      </c>
      <c r="E111" s="11">
        <f>A111-'Mastercurve bestimmen'!$B$2</f>
        <v>-24</v>
      </c>
      <c r="F111" s="11">
        <f t="shared" si="10"/>
        <v>-3.8962851742536202</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-3.7529022876280087</v>
      </c>
      <c r="E112" s="11">
        <f>A112-'Mastercurve bestimmen'!$B$2</f>
        <v>-23</v>
      </c>
      <c r="F112" s="11">
        <f t="shared" si="10"/>
        <v>-3.7529022876280087</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-3.6089230938403829</v>
      </c>
      <c r="E113" s="11">
        <f>A113-'Mastercurve bestimmen'!$B$2</f>
        <v>-22</v>
      </c>
      <c r="F113" s="11">
        <f t="shared" si="10"/>
        <v>-3.6089230938403829</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-3.4642040577531317</v>
      </c>
      <c r="E114" s="11">
        <f>A114-'Mastercurve bestimmen'!$B$2</f>
        <v>-21</v>
      </c>
      <c r="F114" s="11">
        <f t="shared" si="10"/>
        <v>-3.4642040577531317</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-3.3186016442286439</v>
      </c>
      <c r="E115" s="11">
        <f>A115-'Mastercurve bestimmen'!$B$2</f>
        <v>-20</v>
      </c>
      <c r="F115" s="11">
        <f t="shared" si="10"/>
        <v>-3.3186016442286439</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-3.1719723181293116</v>
      </c>
      <c r="E116" s="11">
        <f>A116-'Mastercurve bestimmen'!$B$2</f>
        <v>-19</v>
      </c>
      <c r="F116" s="11">
        <f t="shared" si="10"/>
        <v>-3.1719723181293116</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-3.0241725443175236</v>
      </c>
      <c r="E117" s="11">
        <f>A117-'Mastercurve bestimmen'!$B$2</f>
        <v>-18</v>
      </c>
      <c r="F117" s="11">
        <f t="shared" si="10"/>
        <v>-3.0241725443175236</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-2.8750587876556701</v>
      </c>
      <c r="E118" s="11">
        <f>A118-'Mastercurve bestimmen'!$B$2</f>
        <v>-17</v>
      </c>
      <c r="F118" s="11">
        <f t="shared" si="10"/>
        <v>-2.8750587876556701</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-2.724487513006141</v>
      </c>
      <c r="E119" s="11">
        <f>A119-'Mastercurve bestimmen'!$B$2</f>
        <v>-16</v>
      </c>
      <c r="F119" s="11">
        <f t="shared" si="10"/>
        <v>-2.724487513006141</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-2.572315185231326</v>
      </c>
      <c r="E120" s="11">
        <f>A120-'Mastercurve bestimmen'!$B$2</f>
        <v>-15</v>
      </c>
      <c r="F120" s="11">
        <f t="shared" si="10"/>
        <v>-2.572315185231326</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-2.4183982691936152</v>
      </c>
      <c r="E121" s="11">
        <f>A121-'Mastercurve bestimmen'!$B$2</f>
        <v>-14</v>
      </c>
      <c r="F121" s="11">
        <f t="shared" si="10"/>
        <v>-2.4183982691936152</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-2.2625932297553994</v>
      </c>
      <c r="E122" s="11">
        <f>A122-'Mastercurve bestimmen'!$B$2</f>
        <v>-13</v>
      </c>
      <c r="F122" s="11">
        <f t="shared" si="10"/>
        <v>-2.2625932297553994</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-2.1047565317790671</v>
      </c>
      <c r="E123" s="11">
        <f>A123-'Mastercurve bestimmen'!$B$2</f>
        <v>-12</v>
      </c>
      <c r="F123" s="11">
        <f t="shared" si="10"/>
        <v>-2.1047565317790671</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-1.9447446401270092</v>
      </c>
      <c r="E124" s="11">
        <f>A124-'Mastercurve bestimmen'!$B$2</f>
        <v>-11</v>
      </c>
      <c r="F124" s="11">
        <f t="shared" si="10"/>
        <v>-1.9447446401270092</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-1.7824140196616154</v>
      </c>
      <c r="E125" s="11">
        <f>A125-'Mastercurve bestimmen'!$B$2</f>
        <v>-10</v>
      </c>
      <c r="F125" s="11">
        <f t="shared" si="10"/>
        <v>-1.7824140196616154</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-1.6176211352452761</v>
      </c>
      <c r="E126" s="11">
        <f>A126-'Mastercurve bestimmen'!$B$2</f>
        <v>-9</v>
      </c>
      <c r="F126" s="11">
        <f t="shared" si="10"/>
        <v>-1.6176211352452761</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-1.4502224517403808</v>
      </c>
      <c r="E127" s="11">
        <f>A127-'Mastercurve bestimmen'!$B$2</f>
        <v>-8</v>
      </c>
      <c r="F127" s="11">
        <f t="shared" si="10"/>
        <v>-1.4502224517403808</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-1.2800744340093191</v>
      </c>
      <c r="E128" s="11">
        <f>A128-'Mastercurve bestimmen'!$B$2</f>
        <v>-7</v>
      </c>
      <c r="F128" s="11">
        <f t="shared" si="10"/>
        <v>-1.2800744340093191</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-1.1070335469144821</v>
      </c>
      <c r="E129" s="11">
        <f>A129-'Mastercurve bestimmen'!$B$2</f>
        <v>-6</v>
      </c>
      <c r="F129" s="11">
        <f t="shared" si="10"/>
        <v>-1.1070335469144821</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-0.93095625531825854</v>
      </c>
      <c r="E130" s="11">
        <f>A130-'Mastercurve bestimmen'!$B$2</f>
        <v>-5</v>
      </c>
      <c r="F130" s="11">
        <f t="shared" si="10"/>
        <v>-0.93095625531825854</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-0.75169902408303912</v>
      </c>
      <c r="E131" s="11">
        <f>A131-'Mastercurve bestimmen'!$B$2</f>
        <v>-4</v>
      </c>
      <c r="F131" s="11">
        <f t="shared" si="10"/>
        <v>-0.75169902408303912</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-0.56911831807121349</v>
      </c>
      <c r="E132" s="11">
        <f>A132-'Mastercurve bestimmen'!$B$2</f>
        <v>-3</v>
      </c>
      <c r="F132" s="11">
        <f t="shared" si="10"/>
        <v>-0.56911831807121349</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-0.38307060214517191</v>
      </c>
      <c r="E133" s="11">
        <f>A133-'Mastercurve bestimmen'!$B$2</f>
        <v>-2</v>
      </c>
      <c r="F133" s="11">
        <f t="shared" si="10"/>
        <v>-0.38307060214517191</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-0.19341234116730399</v>
      </c>
      <c r="E134" s="11">
        <f>A134-'Mastercurve bestimmen'!$B$2</f>
        <v>-1</v>
      </c>
      <c r="F134" s="11">
        <f t="shared" si="10"/>
        <v>-0.19341234116730399</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1.1102230246251565E-16</v>
      </c>
      <c r="E135" s="11">
        <f>A135-'Mastercurve bestimmen'!$B$2</f>
        <v>0</v>
      </c>
      <c r="F135" s="11">
        <f t="shared" si="10"/>
        <v>1.1102230246251565E-16</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0.19728259963291028</v>
      </c>
      <c r="E136" s="11">
        <f>A136-'Mastercurve bestimmen'!$B$2</f>
        <v>1</v>
      </c>
      <c r="F136" s="11">
        <f t="shared" si="10"/>
        <v>0.19728259963291028</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0.39844220856183821</v>
      </c>
      <c r="E137" s="11">
        <f>A137-'Mastercurve bestimmen'!$B$2</f>
        <v>2</v>
      </c>
      <c r="F137" s="11">
        <f t="shared" si="10"/>
        <v>0.39844220856183821</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0.60345822075575428</v>
      </c>
      <c r="E138" s="11">
        <f>A138-'Mastercurve bestimmen'!$B$2</f>
        <v>3</v>
      </c>
      <c r="F138" s="11">
        <f t="shared" si="10"/>
        <v>0.60345822075575428</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0.81231003018362935</v>
      </c>
      <c r="E139" s="11">
        <f>A139-'Mastercurve bestimmen'!$B$2</f>
        <v>4</v>
      </c>
      <c r="F139" s="11">
        <f t="shared" si="10"/>
        <v>0.81231003018362935</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1.0249770308144348</v>
      </c>
      <c r="E140" s="11">
        <f>A140-'Mastercurve bestimmen'!$B$2</f>
        <v>5</v>
      </c>
      <c r="F140" s="11">
        <f t="shared" si="10"/>
        <v>1.0249770308144348</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1.2414386166171414</v>
      </c>
      <c r="E141" s="11">
        <f>A141-'Mastercurve bestimmen'!$B$2</f>
        <v>6</v>
      </c>
      <c r="F141" s="11">
        <f t="shared" si="10"/>
        <v>1.2414386166171414</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1.4616741815607202</v>
      </c>
      <c r="E142" s="11">
        <f>A142-'Mastercurve bestimmen'!$B$2</f>
        <v>7</v>
      </c>
      <c r="F142" s="11">
        <f t="shared" si="10"/>
        <v>1.4616741815607202</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1.6856631196141423</v>
      </c>
      <c r="E143" s="11">
        <f>A143-'Mastercurve bestimmen'!$B$2</f>
        <v>8</v>
      </c>
      <c r="F143" s="11">
        <f t="shared" si="10"/>
        <v>1.6856631196141423</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1.9133848247463785</v>
      </c>
      <c r="E144" s="11">
        <f>A144-'Mastercurve bestimmen'!$B$2</f>
        <v>9</v>
      </c>
      <c r="F144" s="11">
        <f t="shared" ref="F144:F207" si="15">B144</f>
        <v>1.9133848247463785</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2.1448186909264</v>
      </c>
      <c r="E145" s="11">
        <f>A145-'Mastercurve bestimmen'!$B$2</f>
        <v>10</v>
      </c>
      <c r="F145" s="11">
        <f t="shared" si="15"/>
        <v>2.1448186909264</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2.379944112123177</v>
      </c>
      <c r="E146" s="11">
        <f>A146-'Mastercurve bestimmen'!$B$2</f>
        <v>11</v>
      </c>
      <c r="F146" s="11">
        <f t="shared" si="15"/>
        <v>2.379944112123177</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2.6187404823056815</v>
      </c>
      <c r="E147" s="11">
        <f>A147-'Mastercurve bestimmen'!$B$2</f>
        <v>12</v>
      </c>
      <c r="F147" s="11">
        <f t="shared" si="15"/>
        <v>2.6187404823056815</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2.8611871954428842</v>
      </c>
      <c r="E148" s="11">
        <f>A148-'Mastercurve bestimmen'!$B$2</f>
        <v>13</v>
      </c>
      <c r="F148" s="11">
        <f t="shared" si="15"/>
        <v>2.8611871954428842</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3.1072636455037559</v>
      </c>
      <c r="E149" s="11">
        <f>A149-'Mastercurve bestimmen'!$B$2</f>
        <v>14</v>
      </c>
      <c r="F149" s="11">
        <f t="shared" si="15"/>
        <v>3.1072636455037559</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3.3569492264572678</v>
      </c>
      <c r="E150" s="11">
        <f>A150-'Mastercurve bestimmen'!$B$2</f>
        <v>15</v>
      </c>
      <c r="F150" s="11">
        <f t="shared" si="15"/>
        <v>3.3569492264572678</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3.6102233322723909</v>
      </c>
      <c r="E151" s="11">
        <f>A151-'Mastercurve bestimmen'!$B$2</f>
        <v>16</v>
      </c>
      <c r="F151" s="11">
        <f t="shared" si="15"/>
        <v>3.6102233322723909</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3.8670653569180962</v>
      </c>
      <c r="E152" s="11">
        <f>A152-'Mastercurve bestimmen'!$B$2</f>
        <v>17</v>
      </c>
      <c r="F152" s="11">
        <f t="shared" si="15"/>
        <v>3.8670653569180962</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4.1274546943633545</v>
      </c>
      <c r="E153" s="11">
        <f>A153-'Mastercurve bestimmen'!$B$2</f>
        <v>18</v>
      </c>
      <c r="F153" s="11">
        <f t="shared" si="15"/>
        <v>4.1274546943633545</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4.3913707385771366</v>
      </c>
      <c r="E154" s="11">
        <f>A154-'Mastercurve bestimmen'!$B$2</f>
        <v>19</v>
      </c>
      <c r="F154" s="11">
        <f t="shared" si="15"/>
        <v>4.3913707385771366</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4.658792883528414</v>
      </c>
      <c r="E155" s="11">
        <f>A155-'Mastercurve bestimmen'!$B$2</f>
        <v>20</v>
      </c>
      <c r="F155" s="11">
        <f t="shared" si="15"/>
        <v>4.658792883528414</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4.9297005231861561</v>
      </c>
      <c r="E156" s="11">
        <f>A156-'Mastercurve bestimmen'!$B$2</f>
        <v>21</v>
      </c>
      <c r="F156" s="11">
        <f t="shared" si="15"/>
        <v>4.9297005231861561</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5.2040730515193365</v>
      </c>
      <c r="E157" s="11">
        <f>A157-'Mastercurve bestimmen'!$B$2</f>
        <v>22</v>
      </c>
      <c r="F157" s="11">
        <f t="shared" si="15"/>
        <v>5.2040730515193365</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5.4818898624969243</v>
      </c>
      <c r="E158" s="11">
        <f>A158-'Mastercurve bestimmen'!$B$2</f>
        <v>23</v>
      </c>
      <c r="F158" s="11">
        <f t="shared" si="15"/>
        <v>5.4818898624969243</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5.7631303500878923</v>
      </c>
      <c r="E159" s="11">
        <f>A159-'Mastercurve bestimmen'!$B$2</f>
        <v>24</v>
      </c>
      <c r="F159" s="11">
        <f t="shared" si="15"/>
        <v>5.7631303500878923</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6.0477739082612096</v>
      </c>
      <c r="E160" s="11">
        <f>A160-'Mastercurve bestimmen'!$B$2</f>
        <v>25</v>
      </c>
      <c r="F160" s="11">
        <f t="shared" si="15"/>
        <v>6.0477739082612096</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6.3357999309858473</v>
      </c>
      <c r="E161" s="11">
        <f>A161-'Mastercurve bestimmen'!$B$2</f>
        <v>26</v>
      </c>
      <c r="F161" s="11">
        <f t="shared" si="15"/>
        <v>6.3357999309858473</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6.6271878122307779</v>
      </c>
      <c r="E162" s="11">
        <f>A162-'Mastercurve bestimmen'!$B$2</f>
        <v>27</v>
      </c>
      <c r="F162" s="11">
        <f t="shared" si="15"/>
        <v>6.6271878122307779</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6.9219169459649699</v>
      </c>
      <c r="E163" s="11">
        <f>A163-'Mastercurve bestimmen'!$B$2</f>
        <v>28</v>
      </c>
      <c r="F163" s="11">
        <f t="shared" si="15"/>
        <v>6.9219169459649699</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7.2199667261573968</v>
      </c>
      <c r="E164" s="11">
        <f>A164-'Mastercurve bestimmen'!$B$2</f>
        <v>29</v>
      </c>
      <c r="F164" s="11">
        <f t="shared" si="15"/>
        <v>7.2199667261573968</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7.5213165467770287</v>
      </c>
      <c r="E165" s="11">
        <f>A165-'Mastercurve bestimmen'!$B$2</f>
        <v>30</v>
      </c>
      <c r="F165" s="11">
        <f t="shared" si="15"/>
        <v>7.5213165467770287</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7.8259458017928365</v>
      </c>
      <c r="E166" s="11">
        <f>A166-'Mastercurve bestimmen'!$B$2</f>
        <v>31</v>
      </c>
      <c r="F166" s="11">
        <f t="shared" si="15"/>
        <v>7.8259458017928365</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8.1338338851737912</v>
      </c>
      <c r="E167" s="11">
        <f>A167-'Mastercurve bestimmen'!$B$2</f>
        <v>32</v>
      </c>
      <c r="F167" s="11">
        <f t="shared" si="15"/>
        <v>8.1338338851737912</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8.4449601908888638</v>
      </c>
      <c r="E168" s="11">
        <f>A168-'Mastercurve bestimmen'!$B$2</f>
        <v>33</v>
      </c>
      <c r="F168" s="11">
        <f t="shared" si="15"/>
        <v>8.4449601908888638</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8.7593041129070262</v>
      </c>
      <c r="E169" s="11">
        <f>A169-'Mastercurve bestimmen'!$B$2</f>
        <v>34</v>
      </c>
      <c r="F169" s="11">
        <f t="shared" si="15"/>
        <v>8.7593041129070262</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9.0768450451972456</v>
      </c>
      <c r="E170" s="11">
        <f>A170-'Mastercurve bestimmen'!$B$2</f>
        <v>35</v>
      </c>
      <c r="F170" s="11">
        <f t="shared" si="15"/>
        <v>9.0768450451972456</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9.3975623817284983</v>
      </c>
      <c r="E171" s="11">
        <f>A171-'Mastercurve bestimmen'!$B$2</f>
        <v>36</v>
      </c>
      <c r="F171" s="11">
        <f t="shared" si="15"/>
        <v>9.3975623817284983</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9.7214355164697519</v>
      </c>
      <c r="E172" s="11">
        <f>A172-'Mastercurve bestimmen'!$B$2</f>
        <v>37</v>
      </c>
      <c r="F172" s="11">
        <f t="shared" si="15"/>
        <v>9.7214355164697519</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10.048443843389979</v>
      </c>
      <c r="E173" s="11">
        <f>A173-'Mastercurve bestimmen'!$B$2</f>
        <v>38</v>
      </c>
      <c r="F173" s="11">
        <f t="shared" si="15"/>
        <v>10.048443843389979</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10.378566756458149</v>
      </c>
      <c r="E174" s="11">
        <f>A174-'Mastercurve bestimmen'!$B$2</f>
        <v>39</v>
      </c>
      <c r="F174" s="11">
        <f t="shared" si="15"/>
        <v>10.378566756458149</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10.711783649643236</v>
      </c>
      <c r="E175" s="11">
        <f>A175-'Mastercurve bestimmen'!$B$2</f>
        <v>40</v>
      </c>
      <c r="F175" s="11">
        <f t="shared" si="15"/>
        <v>10.711783649643236</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11.048073916914205</v>
      </c>
      <c r="E176" s="11">
        <f>A176-'Mastercurve bestimmen'!$B$2</f>
        <v>41</v>
      </c>
      <c r="F176" s="11">
        <f t="shared" si="15"/>
        <v>11.048073916914205</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11.387416952240034</v>
      </c>
      <c r="E177" s="11">
        <f>A177-'Mastercurve bestimmen'!$B$2</f>
        <v>42</v>
      </c>
      <c r="F177" s="11">
        <f t="shared" si="15"/>
        <v>11.387416952240034</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11.72979214958969</v>
      </c>
      <c r="E178" s="11">
        <f>A178-'Mastercurve bestimmen'!$B$2</f>
        <v>43</v>
      </c>
      <c r="F178" s="11">
        <f t="shared" si="15"/>
        <v>11.72979214958969</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12.075178902932144</v>
      </c>
      <c r="E179" s="11">
        <f>A179-'Mastercurve bestimmen'!$B$2</f>
        <v>44</v>
      </c>
      <c r="F179" s="11">
        <f t="shared" si="15"/>
        <v>12.075178902932144</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12.423556606236369</v>
      </c>
      <c r="E180" s="11">
        <f>A180-'Mastercurve bestimmen'!$B$2</f>
        <v>45</v>
      </c>
      <c r="F180" s="11">
        <f t="shared" si="15"/>
        <v>12.423556606236369</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12.774893943314929</v>
      </c>
      <c r="E181" s="11">
        <f>A181-'Mastercurve bestimmen'!$B$2</f>
        <v>46</v>
      </c>
      <c r="F181" s="11">
        <f t="shared" si="15"/>
        <v>12.774893943314929</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13.129116757354781</v>
      </c>
      <c r="E182" s="11">
        <f>A182-'Mastercurve bestimmen'!$B$2</f>
        <v>47</v>
      </c>
      <c r="F182" s="11">
        <f t="shared" si="15"/>
        <v>13.129116757354781</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13.486140181386475</v>
      </c>
      <c r="E183" s="11">
        <f>A183-'Mastercurve bestimmen'!$B$2</f>
        <v>48</v>
      </c>
      <c r="F183" s="11">
        <f t="shared" si="15"/>
        <v>13.486140181386475</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13.84587934844056</v>
      </c>
      <c r="E184" s="11">
        <f>A184-'Mastercurve bestimmen'!$B$2</f>
        <v>49</v>
      </c>
      <c r="F184" s="11">
        <f t="shared" si="15"/>
        <v>13.84587934844056</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14.208249391547588</v>
      </c>
      <c r="E185" s="11">
        <f>A185-'Mastercurve bestimmen'!$B$2</f>
        <v>50</v>
      </c>
      <c r="F185" s="11">
        <f t="shared" si="15"/>
        <v>14.208249391547588</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14.573165443738105</v>
      </c>
      <c r="E186" s="11">
        <f>A186-'Mastercurve bestimmen'!$B$2</f>
        <v>51</v>
      </c>
      <c r="F186" s="11">
        <f t="shared" si="15"/>
        <v>14.573165443738105</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14.940542638042665</v>
      </c>
      <c r="E187" s="11">
        <f>A187-'Mastercurve bestimmen'!$B$2</f>
        <v>52</v>
      </c>
      <c r="F187" s="11">
        <f t="shared" si="15"/>
        <v>14.940542638042665</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15.310296107491819</v>
      </c>
      <c r="E188" s="11">
        <f>A188-'Mastercurve bestimmen'!$B$2</f>
        <v>53</v>
      </c>
      <c r="F188" s="11">
        <f t="shared" si="15"/>
        <v>15.310296107491819</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15.682340985116117</v>
      </c>
      <c r="E189" s="11">
        <f>A189-'Mastercurve bestimmen'!$B$2</f>
        <v>54</v>
      </c>
      <c r="F189" s="11">
        <f t="shared" si="15"/>
        <v>15.682340985116117</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16.056592403946109</v>
      </c>
      <c r="E190" s="11">
        <f>A190-'Mastercurve bestimmen'!$B$2</f>
        <v>55</v>
      </c>
      <c r="F190" s="11">
        <f t="shared" si="15"/>
        <v>16.056592403946109</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16.43296549701234</v>
      </c>
      <c r="E191" s="11">
        <f>A191-'Mastercurve bestimmen'!$B$2</f>
        <v>56</v>
      </c>
      <c r="F191" s="11">
        <f t="shared" si="15"/>
        <v>16.43296549701234</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16.811375397345365</v>
      </c>
      <c r="E192" s="11">
        <f>A192-'Mastercurve bestimmen'!$B$2</f>
        <v>57</v>
      </c>
      <c r="F192" s="11">
        <f t="shared" si="15"/>
        <v>16.811375397345365</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17.191737237975737</v>
      </c>
      <c r="E193" s="11">
        <f>A193-'Mastercurve bestimmen'!$B$2</f>
        <v>58</v>
      </c>
      <c r="F193" s="11">
        <f t="shared" si="15"/>
        <v>17.191737237975737</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17.573966151934002</v>
      </c>
      <c r="E194" s="11">
        <f>A194-'Mastercurve bestimmen'!$B$2</f>
        <v>59</v>
      </c>
      <c r="F194" s="11">
        <f t="shared" si="15"/>
        <v>17.573966151934002</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17.957977272250712</v>
      </c>
      <c r="E195" s="11">
        <f>A195-'Mastercurve bestimmen'!$B$2</f>
        <v>60</v>
      </c>
      <c r="F195" s="11">
        <f t="shared" si="15"/>
        <v>17.957977272250712</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18.343685731956416</v>
      </c>
      <c r="E196" s="11">
        <f>A196-'Mastercurve bestimmen'!$B$2</f>
        <v>61</v>
      </c>
      <c r="F196" s="11">
        <f t="shared" si="15"/>
        <v>18.343685731956416</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18.731006664081665</v>
      </c>
      <c r="E197" s="11">
        <f>A197-'Mastercurve bestimmen'!$B$2</f>
        <v>62</v>
      </c>
      <c r="F197" s="11">
        <f t="shared" si="15"/>
        <v>18.731006664081665</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19.11985520165701</v>
      </c>
      <c r="E198" s="11">
        <f>A198-'Mastercurve bestimmen'!$B$2</f>
        <v>63</v>
      </c>
      <c r="F198" s="11">
        <f t="shared" si="15"/>
        <v>19.11985520165701</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19.510146477713</v>
      </c>
      <c r="E199" s="11">
        <f>A199-'Mastercurve bestimmen'!$B$2</f>
        <v>64</v>
      </c>
      <c r="F199" s="11">
        <f t="shared" si="15"/>
        <v>19.510146477713</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19.901795625280187</v>
      </c>
      <c r="E200" s="11">
        <f>A200-'Mastercurve bestimmen'!$B$2</f>
        <v>65</v>
      </c>
      <c r="F200" s="11">
        <f t="shared" si="15"/>
        <v>19.901795625280187</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20.294717777389117</v>
      </c>
      <c r="E201" s="11">
        <f>A201-'Mastercurve bestimmen'!$B$2</f>
        <v>66</v>
      </c>
      <c r="F201" s="11">
        <f t="shared" si="15"/>
        <v>20.294717777389117</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20.688828067070343</v>
      </c>
      <c r="E202" s="11">
        <f>A202-'Mastercurve bestimmen'!$B$2</f>
        <v>67</v>
      </c>
      <c r="F202" s="11">
        <f t="shared" si="15"/>
        <v>20.688828067070343</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21.084041627354416</v>
      </c>
      <c r="E203" s="11">
        <f>A203-'Mastercurve bestimmen'!$B$2</f>
        <v>68</v>
      </c>
      <c r="F203" s="11">
        <f t="shared" si="15"/>
        <v>21.084041627354416</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21.480273591271889</v>
      </c>
      <c r="E204" s="11">
        <f>A204-'Mastercurve bestimmen'!$B$2</f>
        <v>69</v>
      </c>
      <c r="F204" s="11">
        <f t="shared" si="15"/>
        <v>21.480273591271889</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21.877439091853308</v>
      </c>
      <c r="E205" s="11">
        <f>A205-'Mastercurve bestimmen'!$B$2</f>
        <v>70</v>
      </c>
      <c r="F205" s="11">
        <f t="shared" si="15"/>
        <v>21.877439091853308</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22.275453262129222</v>
      </c>
      <c r="E206" s="11">
        <f>A206-'Mastercurve bestimmen'!$B$2</f>
        <v>71</v>
      </c>
      <c r="F206" s="11">
        <f t="shared" si="15"/>
        <v>22.275453262129222</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22.674231235130186</v>
      </c>
      <c r="E207" s="11">
        <f>A207-'Mastercurve bestimmen'!$B$2</f>
        <v>72</v>
      </c>
      <c r="F207" s="11">
        <f t="shared" si="15"/>
        <v>22.674231235130186</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23.073688143886748</v>
      </c>
      <c r="E208" s="11">
        <f>A208-'Mastercurve bestimmen'!$B$2</f>
        <v>73</v>
      </c>
      <c r="F208" s="11">
        <f t="shared" ref="F208:F215" si="21">B208</f>
        <v>23.073688143886748</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23.473739121429457</v>
      </c>
      <c r="E209" s="11">
        <f>A209-'Mastercurve bestimmen'!$B$2</f>
        <v>74</v>
      </c>
      <c r="F209" s="11">
        <f t="shared" si="21"/>
        <v>23.473739121429457</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23.874299300788863</v>
      </c>
      <c r="E210" s="11">
        <f>A210-'Mastercurve bestimmen'!$B$2</f>
        <v>75</v>
      </c>
      <c r="F210" s="11">
        <f t="shared" si="21"/>
        <v>23.874299300788863</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24.275283814995522</v>
      </c>
      <c r="E211" s="11">
        <f>A211-'Mastercurve bestimmen'!$B$2</f>
        <v>76</v>
      </c>
      <c r="F211" s="11">
        <f t="shared" si="21"/>
        <v>24.275283814995522</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24.676607797079974</v>
      </c>
      <c r="E212" s="11">
        <f>A212-'Mastercurve bestimmen'!$B$2</f>
        <v>77</v>
      </c>
      <c r="F212" s="11">
        <f t="shared" si="21"/>
        <v>24.676607797079974</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25.078186380072779</v>
      </c>
      <c r="E213" s="11">
        <f>A213-'Mastercurve bestimmen'!$B$2</f>
        <v>78</v>
      </c>
      <c r="F213" s="11">
        <f t="shared" si="21"/>
        <v>25.078186380072779</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25.479934697004484</v>
      </c>
      <c r="E214" s="11">
        <f>A214-'Mastercurve bestimmen'!$B$2</f>
        <v>79</v>
      </c>
      <c r="F214" s="11">
        <f t="shared" si="21"/>
        <v>25.479934697004484</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25.881767880905638</v>
      </c>
      <c r="E215" s="11">
        <f>A215-'Mastercurve bestimmen'!$B$2</f>
        <v>80</v>
      </c>
      <c r="F215" s="11">
        <f t="shared" si="21"/>
        <v>25.881767880905638</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0.1938825776333612</v>
      </c>
      <c r="J217" s="98">
        <v>1.6081190690350618E-3</v>
      </c>
      <c r="K217" s="98">
        <v>1.3309866573770696E-5</v>
      </c>
      <c r="L217" s="98">
        <v>-1.4165900034765881E-7</v>
      </c>
      <c r="M217" s="98">
        <v>-1.2446405118092772E-9</v>
      </c>
      <c r="N217" s="98">
        <v>5.050160649918868E-12</v>
      </c>
      <c r="O217" s="98">
        <v>7.1108764767926475E-14</v>
      </c>
      <c r="P217" s="98">
        <v>2.3782345376068429E-16</v>
      </c>
    </row>
    <row r="218" spans="1:16" x14ac:dyDescent="0.25">
      <c r="G218" s="11"/>
      <c r="H218" s="11">
        <v>0</v>
      </c>
      <c r="I218" s="11">
        <v>7.6606578240466397E-4</v>
      </c>
      <c r="J218" s="11">
        <v>1.4269158736071474E-5</v>
      </c>
      <c r="K218" s="3">
        <v>7.2501015920689039E-7</v>
      </c>
      <c r="L218" s="3">
        <v>6.6014331533584962E-9</v>
      </c>
      <c r="M218" s="3">
        <v>2.0728623711572591E-10</v>
      </c>
      <c r="N218" s="3">
        <v>1.1390596549357152E-12</v>
      </c>
      <c r="O218" s="11">
        <v>1.8316742612572781E-14</v>
      </c>
      <c r="P218" s="11">
        <v>1.1138386590959981E-16</v>
      </c>
    </row>
    <row r="219" spans="1:16" x14ac:dyDescent="0.25">
      <c r="G219" s="11"/>
      <c r="H219" s="11">
        <v>0.99996372196582439</v>
      </c>
      <c r="I219" s="11">
        <v>7.9253132919623742E-2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-21.686099655080199</v>
      </c>
      <c r="G222">
        <f>F15</f>
        <v>-21.791567045586213</v>
      </c>
    </row>
    <row r="223" spans="1:16" x14ac:dyDescent="0.25">
      <c r="E223" s="11">
        <f t="shared" ref="E223:E286" si="25">E16</f>
        <v>-119</v>
      </c>
      <c r="F223" s="11">
        <f t="shared" ref="F223:F286" si="26">$H$217*0+E223*$I$217+E223^2*$J$217+E223^3*$K$217+E223^4*$L$217+E223^5*$M$217+E223^6*$N$217+E223^7*$O$217+E223^8*$P$217</f>
        <v>-21.559452889666467</v>
      </c>
      <c r="G223" s="11">
        <f t="shared" ref="G223:G286" si="27">F16</f>
        <v>-21.617740388904089</v>
      </c>
    </row>
    <row r="224" spans="1:16" x14ac:dyDescent="0.25">
      <c r="E224" s="11">
        <f t="shared" si="25"/>
        <v>-118</v>
      </c>
      <c r="F224" s="11">
        <f t="shared" si="26"/>
        <v>-21.424283517792126</v>
      </c>
      <c r="G224" s="11">
        <f t="shared" si="27"/>
        <v>-21.443752473399119</v>
      </c>
    </row>
    <row r="225" spans="5:7" x14ac:dyDescent="0.25">
      <c r="E225" s="11">
        <f t="shared" si="25"/>
        <v>-117</v>
      </c>
      <c r="F225" s="11">
        <f t="shared" si="26"/>
        <v>-21.281088614757589</v>
      </c>
      <c r="G225" s="11">
        <f t="shared" si="27"/>
        <v>-21.26944204024846</v>
      </c>
    </row>
    <row r="226" spans="5:7" x14ac:dyDescent="0.25">
      <c r="E226" s="11">
        <f t="shared" si="25"/>
        <v>-116</v>
      </c>
      <c r="F226" s="11">
        <f t="shared" si="26"/>
        <v>-21.130346390201581</v>
      </c>
      <c r="G226" s="11">
        <f t="shared" si="27"/>
        <v>-21.09464783062926</v>
      </c>
    </row>
    <row r="227" spans="5:7" x14ac:dyDescent="0.25">
      <c r="E227" s="11">
        <f t="shared" si="25"/>
        <v>-115</v>
      </c>
      <c r="F227" s="11">
        <f t="shared" si="26"/>
        <v>-20.972516883475503</v>
      </c>
      <c r="G227" s="11">
        <f t="shared" si="27"/>
        <v>-20.919208585718675</v>
      </c>
    </row>
    <row r="228" spans="5:7" x14ac:dyDescent="0.25">
      <c r="E228" s="11">
        <f t="shared" si="25"/>
        <v>-114</v>
      </c>
      <c r="F228" s="11">
        <f t="shared" si="26"/>
        <v>-20.808042631678447</v>
      </c>
      <c r="G228" s="11">
        <f t="shared" si="27"/>
        <v>-20.742963046693859</v>
      </c>
    </row>
    <row r="229" spans="5:7" x14ac:dyDescent="0.25">
      <c r="E229" s="11">
        <f t="shared" si="25"/>
        <v>-113</v>
      </c>
      <c r="F229" s="11">
        <f t="shared" si="26"/>
        <v>-20.637349311111617</v>
      </c>
      <c r="G229" s="11">
        <f t="shared" si="27"/>
        <v>-20.565749954731967</v>
      </c>
    </row>
    <row r="230" spans="5:7" x14ac:dyDescent="0.25">
      <c r="E230" s="11">
        <f t="shared" si="25"/>
        <v>-112</v>
      </c>
      <c r="F230" s="11">
        <f t="shared" si="26"/>
        <v>-20.460846352901491</v>
      </c>
      <c r="G230" s="11">
        <f t="shared" si="27"/>
        <v>-20.387408051010151</v>
      </c>
    </row>
    <row r="231" spans="5:7" x14ac:dyDescent="0.25">
      <c r="E231" s="11">
        <f t="shared" si="25"/>
        <v>-111</v>
      </c>
      <c r="F231" s="11">
        <f t="shared" si="26"/>
        <v>-20.278927533530929</v>
      </c>
      <c r="G231" s="11">
        <f t="shared" si="27"/>
        <v>-20.207776076705564</v>
      </c>
    </row>
    <row r="232" spans="5:7" x14ac:dyDescent="0.25">
      <c r="E232" s="11">
        <f t="shared" si="25"/>
        <v>-110</v>
      </c>
      <c r="F232" s="11">
        <f t="shared" si="26"/>
        <v>-20.091971541008522</v>
      </c>
      <c r="G232" s="11">
        <f t="shared" si="27"/>
        <v>-20.026692772995361</v>
      </c>
    </row>
    <row r="233" spans="5:7" x14ac:dyDescent="0.25">
      <c r="E233" s="11">
        <f t="shared" si="25"/>
        <v>-109</v>
      </c>
      <c r="F233" s="11">
        <f t="shared" si="26"/>
        <v>-19.900342517396449</v>
      </c>
      <c r="G233" s="11">
        <f t="shared" si="27"/>
        <v>-19.843996881056697</v>
      </c>
    </row>
    <row r="234" spans="5:7" x14ac:dyDescent="0.25">
      <c r="E234" s="11">
        <f t="shared" si="25"/>
        <v>-108</v>
      </c>
      <c r="F234" s="11">
        <f t="shared" si="26"/>
        <v>-19.704390578407487</v>
      </c>
      <c r="G234" s="11">
        <f t="shared" si="27"/>
        <v>-19.659527142066722</v>
      </c>
    </row>
    <row r="235" spans="5:7" x14ac:dyDescent="0.25">
      <c r="E235" s="11">
        <f t="shared" si="25"/>
        <v>-107</v>
      </c>
      <c r="F235" s="11">
        <f t="shared" si="26"/>
        <v>-19.504452310772699</v>
      </c>
      <c r="G235" s="11">
        <f t="shared" si="27"/>
        <v>-19.473122297202593</v>
      </c>
    </row>
    <row r="236" spans="5:7" x14ac:dyDescent="0.25">
      <c r="E236" s="11">
        <f t="shared" si="25"/>
        <v>-106</v>
      </c>
      <c r="F236" s="11">
        <f t="shared" si="26"/>
        <v>-19.300851248071023</v>
      </c>
      <c r="G236" s="11">
        <f t="shared" si="27"/>
        <v>-19.284621087641465</v>
      </c>
    </row>
    <row r="237" spans="5:7" x14ac:dyDescent="0.25">
      <c r="E237" s="11">
        <f t="shared" si="25"/>
        <v>-105</v>
      </c>
      <c r="F237" s="11">
        <f t="shared" si="26"/>
        <v>-19.093898325703112</v>
      </c>
      <c r="G237" s="11">
        <f t="shared" si="27"/>
        <v>-19.093862254560488</v>
      </c>
    </row>
    <row r="238" spans="5:7" x14ac:dyDescent="0.25">
      <c r="E238" s="11">
        <f t="shared" si="25"/>
        <v>-104</v>
      </c>
      <c r="F238" s="11">
        <f t="shared" si="26"/>
        <v>-18.883892315681656</v>
      </c>
      <c r="G238" s="11">
        <f t="shared" si="27"/>
        <v>-18.900684539136819</v>
      </c>
    </row>
    <row r="239" spans="5:7" x14ac:dyDescent="0.25">
      <c r="E239" s="11">
        <f t="shared" si="25"/>
        <v>-103</v>
      </c>
      <c r="F239" s="11">
        <f t="shared" si="26"/>
        <v>-18.671120241901171</v>
      </c>
      <c r="G239" s="11">
        <f t="shared" si="27"/>
        <v>-18.704926682547608</v>
      </c>
    </row>
    <row r="240" spans="5:7" x14ac:dyDescent="0.25">
      <c r="E240" s="11">
        <f t="shared" si="25"/>
        <v>-102</v>
      </c>
      <c r="F240" s="11">
        <f t="shared" si="26"/>
        <v>-18.455857776540352</v>
      </c>
      <c r="G240" s="11">
        <f t="shared" si="27"/>
        <v>-18.506427425970013</v>
      </c>
    </row>
    <row r="241" spans="5:7" x14ac:dyDescent="0.25">
      <c r="E241" s="11">
        <f t="shared" si="25"/>
        <v>-101</v>
      </c>
      <c r="F241" s="11">
        <f t="shared" si="26"/>
        <v>-18.238369618240824</v>
      </c>
      <c r="G241" s="11">
        <f t="shared" si="27"/>
        <v>-18.305025510581185</v>
      </c>
    </row>
    <row r="242" spans="5:7" x14ac:dyDescent="0.25">
      <c r="E242" s="11">
        <f t="shared" si="25"/>
        <v>-100</v>
      </c>
      <c r="F242" s="11">
        <f t="shared" si="26"/>
        <v>-18.01890985269625</v>
      </c>
      <c r="G242" s="11">
        <f t="shared" si="27"/>
        <v>-18.10055967755828</v>
      </c>
    </row>
    <row r="243" spans="5:7" x14ac:dyDescent="0.25">
      <c r="E243" s="11">
        <f t="shared" si="25"/>
        <v>-99</v>
      </c>
      <c r="F243" s="11">
        <f t="shared" si="26"/>
        <v>-17.797722296276309</v>
      </c>
      <c r="G243" s="11">
        <f t="shared" si="27"/>
        <v>-17.892868668078449</v>
      </c>
    </row>
    <row r="244" spans="5:7" x14ac:dyDescent="0.25">
      <c r="E244" s="11">
        <f t="shared" si="25"/>
        <v>-98</v>
      </c>
      <c r="F244" s="11">
        <f t="shared" si="26"/>
        <v>-17.57504082330054</v>
      </c>
      <c r="G244" s="11">
        <f t="shared" si="27"/>
        <v>-17.681791223318847</v>
      </c>
    </row>
    <row r="245" spans="5:7" x14ac:dyDescent="0.25">
      <c r="E245" s="11">
        <f t="shared" si="25"/>
        <v>-97</v>
      </c>
      <c r="F245" s="11">
        <f t="shared" si="26"/>
        <v>-17.351089677567195</v>
      </c>
      <c r="G245" s="11">
        <f t="shared" si="27"/>
        <v>-17.467166084456629</v>
      </c>
    </row>
    <row r="246" spans="5:7" x14ac:dyDescent="0.25">
      <c r="E246" s="11">
        <f t="shared" si="25"/>
        <v>-96</v>
      </c>
      <c r="F246" s="11">
        <f t="shared" si="26"/>
        <v>-17.126083768732919</v>
      </c>
      <c r="G246" s="11">
        <f t="shared" si="27"/>
        <v>-17.248831992668947</v>
      </c>
    </row>
    <row r="247" spans="5:7" x14ac:dyDescent="0.25">
      <c r="E247" s="11">
        <f t="shared" si="25"/>
        <v>-95</v>
      </c>
      <c r="F247" s="11">
        <f t="shared" si="26"/>
        <v>-16.900228954129446</v>
      </c>
      <c r="G247" s="11">
        <f t="shared" si="27"/>
        <v>-17.026627689132955</v>
      </c>
    </row>
    <row r="248" spans="5:7" x14ac:dyDescent="0.25">
      <c r="E248" s="11">
        <f t="shared" si="25"/>
        <v>-94</v>
      </c>
      <c r="F248" s="11">
        <f t="shared" si="26"/>
        <v>-16.673722306593731</v>
      </c>
      <c r="G248" s="11">
        <f t="shared" si="27"/>
        <v>-16.800391915025806</v>
      </c>
    </row>
    <row r="249" spans="5:7" x14ac:dyDescent="0.25">
      <c r="E249" s="11">
        <f t="shared" si="25"/>
        <v>-93</v>
      </c>
      <c r="F249" s="11">
        <f t="shared" si="26"/>
        <v>-16.446752368878535</v>
      </c>
      <c r="G249" s="11">
        <f t="shared" si="27"/>
        <v>-16.569963411524657</v>
      </c>
    </row>
    <row r="250" spans="5:7" x14ac:dyDescent="0.25">
      <c r="E250" s="11">
        <f t="shared" si="25"/>
        <v>-92</v>
      </c>
      <c r="F250" s="11">
        <f t="shared" si="26"/>
        <v>-16.21949939520082</v>
      </c>
      <c r="G250" s="11">
        <f t="shared" si="27"/>
        <v>-16.33518091980666</v>
      </c>
    </row>
    <row r="251" spans="5:7" x14ac:dyDescent="0.25">
      <c r="E251" s="11">
        <f t="shared" si="25"/>
        <v>-91</v>
      </c>
      <c r="F251" s="11">
        <f t="shared" si="26"/>
        <v>-15.992135580475814</v>
      </c>
      <c r="G251" s="11">
        <f t="shared" si="27"/>
        <v>-16.095883181048968</v>
      </c>
    </row>
    <row r="252" spans="5:7" x14ac:dyDescent="0.25">
      <c r="E252" s="11">
        <f t="shared" si="25"/>
        <v>-90</v>
      </c>
      <c r="F252" s="11">
        <f t="shared" si="26"/>
        <v>-15.764825277774692</v>
      </c>
      <c r="G252" s="11">
        <f t="shared" si="27"/>
        <v>-15.851908936428734</v>
      </c>
    </row>
    <row r="253" spans="5:7" x14ac:dyDescent="0.25">
      <c r="E253" s="11">
        <f t="shared" si="25"/>
        <v>-89</v>
      </c>
      <c r="F253" s="11">
        <f t="shared" si="26"/>
        <v>-15.537725204534787</v>
      </c>
      <c r="G253" s="11">
        <f t="shared" si="27"/>
        <v>-15.603096927123115</v>
      </c>
    </row>
    <row r="254" spans="5:7" x14ac:dyDescent="0.25">
      <c r="E254" s="11">
        <f t="shared" si="25"/>
        <v>-88</v>
      </c>
      <c r="F254" s="11">
        <f t="shared" si="26"/>
        <v>-15.310984638041109</v>
      </c>
      <c r="G254" s="11">
        <f t="shared" si="27"/>
        <v>-15.349285894309261</v>
      </c>
    </row>
    <row r="255" spans="5:7" x14ac:dyDescent="0.25">
      <c r="E255" s="11">
        <f t="shared" si="25"/>
        <v>-87</v>
      </c>
      <c r="F255" s="11">
        <f t="shared" si="26"/>
        <v>-15.084745600688672</v>
      </c>
      <c r="G255" s="11">
        <f t="shared" si="27"/>
        <v>-15.090314579164327</v>
      </c>
    </row>
    <row r="256" spans="5:7" x14ac:dyDescent="0.25">
      <c r="E256" s="11">
        <f t="shared" si="25"/>
        <v>-86</v>
      </c>
      <c r="F256" s="11">
        <f t="shared" si="26"/>
        <v>-14.85914303552547</v>
      </c>
      <c r="G256" s="11">
        <f t="shared" si="27"/>
        <v>-14.82602172286547</v>
      </c>
    </row>
    <row r="257" spans="5:7" x14ac:dyDescent="0.25">
      <c r="E257" s="11">
        <f t="shared" si="25"/>
        <v>-85</v>
      </c>
      <c r="F257" s="11">
        <f t="shared" si="26"/>
        <v>-14.634304972566326</v>
      </c>
      <c r="G257" s="11">
        <f t="shared" si="27"/>
        <v>-14.556246066589839</v>
      </c>
    </row>
    <row r="258" spans="5:7" x14ac:dyDescent="0.25">
      <c r="E258" s="11">
        <f t="shared" si="25"/>
        <v>-84</v>
      </c>
      <c r="F258" s="11">
        <f t="shared" si="26"/>
        <v>-14.410352686358285</v>
      </c>
      <c r="G258" s="11">
        <f t="shared" si="27"/>
        <v>-14.280826351514591</v>
      </c>
    </row>
    <row r="259" spans="5:7" x14ac:dyDescent="0.25">
      <c r="E259" s="11">
        <f t="shared" si="25"/>
        <v>-83</v>
      </c>
      <c r="F259" s="11">
        <f t="shared" si="26"/>
        <v>-14.187400845268575</v>
      </c>
      <c r="G259" s="11">
        <f t="shared" si="27"/>
        <v>-13.999601318816879</v>
      </c>
    </row>
    <row r="260" spans="5:7" x14ac:dyDescent="0.25">
      <c r="E260" s="11">
        <f t="shared" si="25"/>
        <v>-82</v>
      </c>
      <c r="F260" s="11">
        <f t="shared" si="26"/>
        <v>-13.965557652956628</v>
      </c>
      <c r="G260" s="11">
        <f t="shared" si="27"/>
        <v>-13.712409709673857</v>
      </c>
    </row>
    <row r="261" spans="5:7" x14ac:dyDescent="0.25">
      <c r="E261" s="11">
        <f t="shared" si="25"/>
        <v>-81</v>
      </c>
      <c r="F261" s="11">
        <f t="shared" si="26"/>
        <v>-13.74492498248212</v>
      </c>
      <c r="G261" s="11">
        <f t="shared" si="27"/>
        <v>-13.419090265262676</v>
      </c>
    </row>
    <row r="262" spans="5:7" x14ac:dyDescent="0.25">
      <c r="E262" s="11">
        <f t="shared" si="25"/>
        <v>-80</v>
      </c>
      <c r="F262" s="11">
        <f t="shared" si="26"/>
        <v>-13.525598503491192</v>
      </c>
      <c r="G262" s="11">
        <f t="shared" si="27"/>
        <v>-13.119481726760494</v>
      </c>
    </row>
    <row r="263" spans="5:7" x14ac:dyDescent="0.25">
      <c r="E263" s="11">
        <f t="shared" si="25"/>
        <v>-79</v>
      </c>
      <c r="F263" s="11">
        <f t="shared" si="26"/>
        <v>-13.307667802913663</v>
      </c>
      <c r="G263" s="11">
        <f t="shared" si="27"/>
        <v>-12.981778263690725</v>
      </c>
    </row>
    <row r="264" spans="5:7" x14ac:dyDescent="0.25">
      <c r="E264" s="11">
        <f t="shared" si="25"/>
        <v>-78</v>
      </c>
      <c r="F264" s="11">
        <f t="shared" si="26"/>
        <v>-13.091216499594315</v>
      </c>
      <c r="G264" s="11">
        <f t="shared" si="27"/>
        <v>-12.837989763456552</v>
      </c>
    </row>
    <row r="265" spans="5:7" x14ac:dyDescent="0.25">
      <c r="E265" s="11">
        <f t="shared" si="25"/>
        <v>-77</v>
      </c>
      <c r="F265" s="11">
        <f t="shared" si="26"/>
        <v>-12.876322353271785</v>
      </c>
      <c r="G265" s="11">
        <f t="shared" si="27"/>
        <v>-12.688481541807423</v>
      </c>
    </row>
    <row r="266" spans="5:7" x14ac:dyDescent="0.25">
      <c r="E266" s="11">
        <f t="shared" si="25"/>
        <v>-76</v>
      </c>
      <c r="F266" s="11">
        <f t="shared" si="26"/>
        <v>-12.663057368309014</v>
      </c>
      <c r="G266" s="11">
        <f t="shared" si="27"/>
        <v>-12.533618914492783</v>
      </c>
    </row>
    <row r="267" spans="5:7" x14ac:dyDescent="0.25">
      <c r="E267" s="11">
        <f t="shared" si="25"/>
        <v>-75</v>
      </c>
      <c r="F267" s="11">
        <f t="shared" si="26"/>
        <v>-12.451487892569585</v>
      </c>
      <c r="G267" s="11">
        <f t="shared" si="27"/>
        <v>-12.373767197262078</v>
      </c>
    </row>
    <row r="268" spans="5:7" x14ac:dyDescent="0.25">
      <c r="E268" s="11">
        <f t="shared" si="25"/>
        <v>-74</v>
      </c>
      <c r="F268" s="11">
        <f t="shared" si="26"/>
        <v>-12.241674711824732</v>
      </c>
      <c r="G268" s="11">
        <f t="shared" si="27"/>
        <v>-12.209291705864754</v>
      </c>
    </row>
    <row r="269" spans="5:7" x14ac:dyDescent="0.25">
      <c r="E269" s="11">
        <f t="shared" si="25"/>
        <v>-73</v>
      </c>
      <c r="F269" s="11">
        <f t="shared" si="26"/>
        <v>-12.033673140066156</v>
      </c>
      <c r="G269" s="11">
        <f t="shared" si="27"/>
        <v>-12.040557756050255</v>
      </c>
    </row>
    <row r="270" spans="5:7" x14ac:dyDescent="0.25">
      <c r="E270" s="11">
        <f t="shared" si="25"/>
        <v>-72</v>
      </c>
      <c r="F270" s="11">
        <f t="shared" si="26"/>
        <v>-11.827533106090328</v>
      </c>
      <c r="G270" s="11">
        <f t="shared" si="27"/>
        <v>-11.867930663568028</v>
      </c>
    </row>
    <row r="271" spans="5:7" x14ac:dyDescent="0.25">
      <c r="E271" s="11">
        <f t="shared" si="25"/>
        <v>-71</v>
      </c>
      <c r="F271" s="11">
        <f t="shared" si="26"/>
        <v>-11.623299236710135</v>
      </c>
      <c r="G271" s="11">
        <f t="shared" si="27"/>
        <v>-11.691775744167519</v>
      </c>
    </row>
    <row r="272" spans="5:7" x14ac:dyDescent="0.25">
      <c r="E272" s="11">
        <f t="shared" si="25"/>
        <v>-70</v>
      </c>
      <c r="F272" s="11">
        <f t="shared" si="26"/>
        <v>-11.421010936940384</v>
      </c>
      <c r="G272" s="11">
        <f t="shared" si="27"/>
        <v>-11.512458313598174</v>
      </c>
    </row>
    <row r="273" spans="5:7" x14ac:dyDescent="0.25">
      <c r="E273" s="11">
        <f t="shared" si="25"/>
        <v>-69</v>
      </c>
      <c r="F273" s="11">
        <f t="shared" si="26"/>
        <v>-11.220702467493938</v>
      </c>
      <c r="G273" s="11">
        <f t="shared" si="27"/>
        <v>-11.330343687609442</v>
      </c>
    </row>
    <row r="274" spans="5:7" x14ac:dyDescent="0.25">
      <c r="E274" s="11">
        <f t="shared" si="25"/>
        <v>-68</v>
      </c>
      <c r="F274" s="11">
        <f t="shared" si="26"/>
        <v>-11.022403019915744</v>
      </c>
      <c r="G274" s="11">
        <f t="shared" si="27"/>
        <v>-11.145797181950766</v>
      </c>
    </row>
    <row r="275" spans="5:7" x14ac:dyDescent="0.25">
      <c r="E275" s="11">
        <f t="shared" si="25"/>
        <v>-67</v>
      </c>
      <c r="F275" s="11">
        <f t="shared" si="26"/>
        <v>-10.826136789672331</v>
      </c>
      <c r="G275" s="11">
        <f t="shared" si="27"/>
        <v>-10.959184112371592</v>
      </c>
    </row>
    <row r="276" spans="5:7" x14ac:dyDescent="0.25">
      <c r="E276" s="11">
        <f t="shared" si="25"/>
        <v>-66</v>
      </c>
      <c r="F276" s="11">
        <f t="shared" si="26"/>
        <v>-10.631923047504866</v>
      </c>
      <c r="G276" s="11">
        <f t="shared" si="27"/>
        <v>-10.770869794621365</v>
      </c>
    </row>
    <row r="277" spans="5:7" x14ac:dyDescent="0.25">
      <c r="E277" s="11">
        <f t="shared" si="25"/>
        <v>-65</v>
      </c>
      <c r="F277" s="11">
        <f t="shared" si="26"/>
        <v>-10.439776209344277</v>
      </c>
      <c r="G277" s="11">
        <f t="shared" si="27"/>
        <v>-10.581219544449532</v>
      </c>
    </row>
    <row r="278" spans="5:7" x14ac:dyDescent="0.25">
      <c r="E278" s="11">
        <f t="shared" si="25"/>
        <v>-64</v>
      </c>
      <c r="F278" s="11">
        <f t="shared" si="26"/>
        <v>-10.249705905077205</v>
      </c>
      <c r="G278" s="11">
        <f t="shared" si="27"/>
        <v>-10.390598677605539</v>
      </c>
    </row>
    <row r="279" spans="5:7" x14ac:dyDescent="0.25">
      <c r="E279" s="11">
        <f t="shared" si="25"/>
        <v>-63</v>
      </c>
      <c r="F279" s="11">
        <f t="shared" si="26"/>
        <v>-10.061717046442178</v>
      </c>
      <c r="G279" s="11">
        <f t="shared" si="27"/>
        <v>-10.199372509838833</v>
      </c>
    </row>
    <row r="280" spans="5:7" x14ac:dyDescent="0.25">
      <c r="E280" s="11">
        <f t="shared" si="25"/>
        <v>-62</v>
      </c>
      <c r="F280" s="11">
        <f t="shared" si="26"/>
        <v>-9.8758098943256272</v>
      </c>
      <c r="G280" s="11">
        <f t="shared" si="27"/>
        <v>-10.007906356898859</v>
      </c>
    </row>
    <row r="281" spans="5:7" x14ac:dyDescent="0.25">
      <c r="E281" s="11">
        <f t="shared" si="25"/>
        <v>-61</v>
      </c>
      <c r="F281" s="11">
        <f t="shared" si="26"/>
        <v>-9.6919801257178779</v>
      </c>
      <c r="G281" s="11">
        <f t="shared" si="27"/>
        <v>-9.8165655345350622</v>
      </c>
    </row>
    <row r="282" spans="5:7" x14ac:dyDescent="0.25">
      <c r="E282" s="11">
        <f t="shared" si="25"/>
        <v>-60</v>
      </c>
      <c r="F282" s="11">
        <f t="shared" si="26"/>
        <v>-9.5102189005796429</v>
      </c>
      <c r="G282" s="11">
        <f t="shared" si="27"/>
        <v>-9.6257153584968904</v>
      </c>
    </row>
    <row r="283" spans="5:7" x14ac:dyDescent="0.25">
      <c r="E283" s="11">
        <f t="shared" si="25"/>
        <v>-59</v>
      </c>
      <c r="F283" s="11">
        <f t="shared" si="26"/>
        <v>-9.3305129288599051</v>
      </c>
      <c r="G283" s="11">
        <f t="shared" si="27"/>
        <v>-9.4357211445337885</v>
      </c>
    </row>
    <row r="284" spans="5:7" x14ac:dyDescent="0.25">
      <c r="E284" s="11">
        <f t="shared" si="25"/>
        <v>-58</v>
      </c>
      <c r="F284" s="11">
        <f t="shared" si="26"/>
        <v>-9.1528445378966037</v>
      </c>
      <c r="G284" s="11">
        <f t="shared" si="27"/>
        <v>-9.246948208395203</v>
      </c>
    </row>
    <row r="285" spans="5:7" x14ac:dyDescent="0.25">
      <c r="E285" s="11">
        <f t="shared" si="25"/>
        <v>-57</v>
      </c>
      <c r="F285" s="11">
        <f t="shared" si="26"/>
        <v>-8.9771917404217554</v>
      </c>
      <c r="G285" s="11">
        <f t="shared" si="27"/>
        <v>-9.059761865830577</v>
      </c>
    </row>
    <row r="286" spans="5:7" x14ac:dyDescent="0.25">
      <c r="E286" s="11">
        <f t="shared" si="25"/>
        <v>-56</v>
      </c>
      <c r="F286" s="11">
        <f t="shared" si="26"/>
        <v>-8.8035283033832883</v>
      </c>
      <c r="G286" s="11">
        <f t="shared" si="27"/>
        <v>-8.8745274325893604</v>
      </c>
    </row>
    <row r="287" spans="5:7" x14ac:dyDescent="0.25">
      <c r="E287" s="11">
        <f t="shared" ref="E287:E350" si="28">E80</f>
        <v>-55</v>
      </c>
      <c r="F287" s="11">
        <f t="shared" ref="F287:F350" si="29">$H$217*0+E287*$I$217+E287^2*$J$217+E287^3*$K$217+E287^4*$L$217+E287^5*$M$217+E287^6*$N$217+E287^7*$O$217+E287^8*$P$217</f>
        <v>-8.6318238177861115</v>
      </c>
      <c r="G287" s="11">
        <f t="shared" ref="G287:G350" si="30">F80</f>
        <v>-8.6916102244209981</v>
      </c>
    </row>
    <row r="288" spans="5:7" x14ac:dyDescent="0.25">
      <c r="E288" s="11">
        <f t="shared" si="28"/>
        <v>-54</v>
      </c>
      <c r="F288" s="11">
        <f t="shared" si="29"/>
        <v>-8.4620437697453426</v>
      </c>
      <c r="G288" s="11">
        <f t="shared" si="30"/>
        <v>-8.5112995104365545</v>
      </c>
    </row>
    <row r="289" spans="5:7" x14ac:dyDescent="0.25">
      <c r="E289" s="11">
        <f t="shared" si="28"/>
        <v>-53</v>
      </c>
      <c r="F289" s="11">
        <f t="shared" si="29"/>
        <v>-8.2941496129352199</v>
      </c>
      <c r="G289" s="11">
        <f t="shared" si="30"/>
        <v>-8.3335803731935645</v>
      </c>
    </row>
    <row r="290" spans="5:7" x14ac:dyDescent="0.25">
      <c r="E290" s="11">
        <f t="shared" si="28"/>
        <v>-52</v>
      </c>
      <c r="F290" s="11">
        <f t="shared" si="29"/>
        <v>-8.1280988426073701</v>
      </c>
      <c r="G290" s="11">
        <f t="shared" si="30"/>
        <v>-8.1583618486111948</v>
      </c>
    </row>
    <row r="291" spans="5:7" x14ac:dyDescent="0.25">
      <c r="E291" s="11">
        <f t="shared" si="28"/>
        <v>-51</v>
      </c>
      <c r="F291" s="11">
        <f t="shared" si="29"/>
        <v>-7.9638450713427131</v>
      </c>
      <c r="G291" s="11">
        <f t="shared" si="30"/>
        <v>-7.9855529726085974</v>
      </c>
    </row>
    <row r="292" spans="5:7" x14ac:dyDescent="0.25">
      <c r="E292" s="11">
        <f t="shared" si="28"/>
        <v>-50</v>
      </c>
      <c r="F292" s="11">
        <f t="shared" si="29"/>
        <v>-7.8013381066916443</v>
      </c>
      <c r="G292" s="11">
        <f t="shared" si="30"/>
        <v>-7.8150627811049338</v>
      </c>
    </row>
    <row r="293" spans="5:7" x14ac:dyDescent="0.25">
      <c r="E293" s="11">
        <f t="shared" si="28"/>
        <v>-49</v>
      </c>
      <c r="F293" s="11">
        <f t="shared" si="29"/>
        <v>-7.6405240308474669</v>
      </c>
      <c r="G293" s="11">
        <f t="shared" si="30"/>
        <v>-7.6468003100193602</v>
      </c>
    </row>
    <row r="294" spans="5:7" x14ac:dyDescent="0.25">
      <c r="E294" s="11">
        <f t="shared" si="28"/>
        <v>-48</v>
      </c>
      <c r="F294" s="11">
        <f t="shared" si="29"/>
        <v>-7.4813452824885873</v>
      </c>
      <c r="G294" s="11">
        <f t="shared" si="30"/>
        <v>-7.4806745952710365</v>
      </c>
    </row>
    <row r="295" spans="5:7" x14ac:dyDescent="0.25">
      <c r="E295" s="11">
        <f t="shared" si="28"/>
        <v>-47</v>
      </c>
      <c r="F295" s="11">
        <f t="shared" si="29"/>
        <v>-7.3237407409152935</v>
      </c>
      <c r="G295" s="11">
        <f t="shared" si="30"/>
        <v>-7.3165946727791189</v>
      </c>
    </row>
    <row r="296" spans="5:7" x14ac:dyDescent="0.25">
      <c r="E296" s="11">
        <f t="shared" si="28"/>
        <v>-46</v>
      </c>
      <c r="F296" s="11">
        <f t="shared" si="29"/>
        <v>-7.1676458125973923</v>
      </c>
      <c r="G296" s="11">
        <f t="shared" si="30"/>
        <v>-7.1544695784627672</v>
      </c>
    </row>
    <row r="297" spans="5:7" x14ac:dyDescent="0.25">
      <c r="E297" s="11">
        <f t="shared" si="28"/>
        <v>-45</v>
      </c>
      <c r="F297" s="11">
        <f t="shared" si="29"/>
        <v>-7.012992520239405</v>
      </c>
      <c r="G297" s="11">
        <f t="shared" si="30"/>
        <v>-6.9942083482411395</v>
      </c>
    </row>
    <row r="298" spans="5:7" x14ac:dyDescent="0.25">
      <c r="E298" s="11">
        <f t="shared" si="28"/>
        <v>-44</v>
      </c>
      <c r="F298" s="11">
        <f t="shared" si="29"/>
        <v>-6.8597095944603739</v>
      </c>
      <c r="G298" s="11">
        <f t="shared" si="30"/>
        <v>-6.8357200180333928</v>
      </c>
    </row>
    <row r="299" spans="5:7" x14ac:dyDescent="0.25">
      <c r="E299" s="11">
        <f t="shared" si="28"/>
        <v>-43</v>
      </c>
      <c r="F299" s="11">
        <f t="shared" si="29"/>
        <v>-6.7077225681758366</v>
      </c>
      <c r="G299" s="11">
        <f t="shared" si="30"/>
        <v>-6.6789136237586861</v>
      </c>
    </row>
    <row r="300" spans="5:7" x14ac:dyDescent="0.25">
      <c r="E300" s="11">
        <f t="shared" si="28"/>
        <v>-42</v>
      </c>
      <c r="F300" s="11">
        <f t="shared" si="29"/>
        <v>-6.5569538737598192</v>
      </c>
      <c r="G300" s="11">
        <f t="shared" si="30"/>
        <v>-6.5236982013361775</v>
      </c>
    </row>
    <row r="301" spans="5:7" x14ac:dyDescent="0.25">
      <c r="E301" s="11">
        <f t="shared" si="28"/>
        <v>-41</v>
      </c>
      <c r="F301" s="11">
        <f t="shared" si="29"/>
        <v>-6.4073229430552345</v>
      </c>
      <c r="G301" s="11">
        <f t="shared" si="30"/>
        <v>-6.3699827866850258</v>
      </c>
    </row>
    <row r="302" spans="5:7" x14ac:dyDescent="0.25">
      <c r="E302" s="11">
        <f t="shared" si="28"/>
        <v>-40</v>
      </c>
      <c r="F302" s="11">
        <f t="shared" si="29"/>
        <v>-6.2587463102913539</v>
      </c>
      <c r="G302" s="11">
        <f t="shared" si="30"/>
        <v>-6.2176764157243873</v>
      </c>
    </row>
    <row r="303" spans="5:7" x14ac:dyDescent="0.25">
      <c r="E303" s="11">
        <f t="shared" si="28"/>
        <v>-39</v>
      </c>
      <c r="F303" s="11">
        <f t="shared" si="29"/>
        <v>-6.1111377179575737</v>
      </c>
      <c r="G303" s="11">
        <f t="shared" si="30"/>
        <v>-6.0666881243734236</v>
      </c>
    </row>
    <row r="304" spans="5:7" x14ac:dyDescent="0.25">
      <c r="E304" s="11">
        <f t="shared" si="28"/>
        <v>-38</v>
      </c>
      <c r="F304" s="11">
        <f t="shared" si="29"/>
        <v>-5.9644082256729662</v>
      </c>
      <c r="G304" s="11">
        <f t="shared" si="30"/>
        <v>-5.9169269485512901</v>
      </c>
    </row>
    <row r="305" spans="5:7" x14ac:dyDescent="0.25">
      <c r="E305" s="11">
        <f t="shared" si="28"/>
        <v>-37</v>
      </c>
      <c r="F305" s="11">
        <f t="shared" si="29"/>
        <v>-5.8184663220816235</v>
      </c>
      <c r="G305" s="11">
        <f t="shared" si="30"/>
        <v>-5.7683019241771465</v>
      </c>
    </row>
    <row r="306" spans="5:7" x14ac:dyDescent="0.25">
      <c r="E306" s="11">
        <f t="shared" si="28"/>
        <v>-36</v>
      </c>
      <c r="F306" s="11">
        <f t="shared" si="29"/>
        <v>-5.673218039794155</v>
      </c>
      <c r="G306" s="11">
        <f t="shared" si="30"/>
        <v>-5.6207220871701491</v>
      </c>
    </row>
    <row r="307" spans="5:7" x14ac:dyDescent="0.25">
      <c r="E307" s="11">
        <f t="shared" si="28"/>
        <v>-35</v>
      </c>
      <c r="F307" s="11">
        <f t="shared" si="29"/>
        <v>-5.5285670733861405</v>
      </c>
      <c r="G307" s="11">
        <f t="shared" si="30"/>
        <v>-5.4740964734494577</v>
      </c>
    </row>
    <row r="308" spans="5:7" x14ac:dyDescent="0.25">
      <c r="E308" s="11">
        <f t="shared" si="28"/>
        <v>-34</v>
      </c>
      <c r="F308" s="11">
        <f t="shared" si="29"/>
        <v>-5.3844149004547299</v>
      </c>
      <c r="G308" s="11">
        <f t="shared" si="30"/>
        <v>-5.3283341189342304</v>
      </c>
    </row>
    <row r="309" spans="5:7" x14ac:dyDescent="0.25">
      <c r="E309" s="11">
        <f t="shared" si="28"/>
        <v>-33</v>
      </c>
      <c r="F309" s="11">
        <f t="shared" si="29"/>
        <v>-5.240660905725016</v>
      </c>
      <c r="G309" s="11">
        <f t="shared" si="30"/>
        <v>-5.183344059543626</v>
      </c>
    </row>
    <row r="310" spans="5:7" x14ac:dyDescent="0.25">
      <c r="E310" s="11">
        <f t="shared" si="28"/>
        <v>-32</v>
      </c>
      <c r="F310" s="11">
        <f t="shared" si="29"/>
        <v>-5.0972025081881629</v>
      </c>
      <c r="G310" s="11">
        <f t="shared" si="30"/>
        <v>-5.0390353311968008</v>
      </c>
    </row>
    <row r="311" spans="5:7" x14ac:dyDescent="0.25">
      <c r="E311" s="11">
        <f t="shared" si="28"/>
        <v>-31</v>
      </c>
      <c r="F311" s="11">
        <f t="shared" si="29"/>
        <v>-4.9539352912437913</v>
      </c>
      <c r="G311" s="11">
        <f t="shared" si="30"/>
        <v>-4.8953169698129138</v>
      </c>
    </row>
    <row r="312" spans="5:7" x14ac:dyDescent="0.25">
      <c r="E312" s="11">
        <f t="shared" si="28"/>
        <v>-30</v>
      </c>
      <c r="F312" s="11">
        <f t="shared" si="29"/>
        <v>-4.8107531358093993</v>
      </c>
      <c r="G312" s="11">
        <f t="shared" si="30"/>
        <v>-4.7520980113111246</v>
      </c>
    </row>
    <row r="313" spans="5:7" x14ac:dyDescent="0.25">
      <c r="E313" s="11">
        <f t="shared" si="28"/>
        <v>-29</v>
      </c>
      <c r="F313" s="11">
        <f t="shared" si="29"/>
        <v>-4.6675483563501201</v>
      </c>
      <c r="G313" s="11">
        <f t="shared" si="30"/>
        <v>-4.6092787297677953</v>
      </c>
    </row>
    <row r="314" spans="5:7" x14ac:dyDescent="0.25">
      <c r="E314" s="11">
        <f t="shared" si="28"/>
        <v>-28</v>
      </c>
      <c r="F314" s="11">
        <f t="shared" si="29"/>
        <v>-4.5242118397724536</v>
      </c>
      <c r="G314" s="11">
        <f t="shared" si="30"/>
        <v>-4.4667243518881108</v>
      </c>
    </row>
    <row r="315" spans="5:7" x14ac:dyDescent="0.25">
      <c r="E315" s="11">
        <f t="shared" si="28"/>
        <v>-27</v>
      </c>
      <c r="F315" s="11">
        <f t="shared" si="29"/>
        <v>-4.380633187116068</v>
      </c>
      <c r="G315" s="11">
        <f t="shared" si="30"/>
        <v>-4.32429134253446</v>
      </c>
    </row>
    <row r="316" spans="5:7" x14ac:dyDescent="0.25">
      <c r="E316" s="11">
        <f t="shared" si="28"/>
        <v>-26</v>
      </c>
      <c r="F316" s="11">
        <f t="shared" si="29"/>
        <v>-4.2367008579681524</v>
      </c>
      <c r="G316" s="11">
        <f t="shared" si="30"/>
        <v>-4.1818361665692363</v>
      </c>
    </row>
    <row r="317" spans="5:7" x14ac:dyDescent="0.25">
      <c r="E317" s="11">
        <f t="shared" si="28"/>
        <v>-25</v>
      </c>
      <c r="F317" s="11">
        <f t="shared" si="29"/>
        <v>-4.0923023175152133</v>
      </c>
      <c r="G317" s="11">
        <f t="shared" si="30"/>
        <v>-4.0392152888548258</v>
      </c>
    </row>
    <row r="318" spans="5:7" x14ac:dyDescent="0.25">
      <c r="E318" s="11">
        <f t="shared" si="28"/>
        <v>-24</v>
      </c>
      <c r="F318" s="11">
        <f t="shared" si="29"/>
        <v>-3.9473241861376538</v>
      </c>
      <c r="G318" s="11">
        <f t="shared" si="30"/>
        <v>-3.8962851742536202</v>
      </c>
    </row>
    <row r="319" spans="5:7" x14ac:dyDescent="0.25">
      <c r="E319" s="11">
        <f t="shared" si="28"/>
        <v>-23</v>
      </c>
      <c r="F319" s="11">
        <f t="shared" si="29"/>
        <v>-3.8016523914428126</v>
      </c>
      <c r="G319" s="11">
        <f t="shared" si="30"/>
        <v>-3.7529022876280087</v>
      </c>
    </row>
    <row r="320" spans="5:7" x14ac:dyDescent="0.25">
      <c r="E320" s="11">
        <f t="shared" si="28"/>
        <v>-22</v>
      </c>
      <c r="F320" s="11">
        <f t="shared" si="29"/>
        <v>-3.6551723226226311</v>
      </c>
      <c r="G320" s="11">
        <f t="shared" si="30"/>
        <v>-3.6089230938403829</v>
      </c>
    </row>
    <row r="321" spans="5:7" x14ac:dyDescent="0.25">
      <c r="E321" s="11">
        <f t="shared" si="28"/>
        <v>-21</v>
      </c>
      <c r="F321" s="11">
        <f t="shared" si="29"/>
        <v>-3.5077689870124789</v>
      </c>
      <c r="G321" s="11">
        <f t="shared" si="30"/>
        <v>-3.4642040577531317</v>
      </c>
    </row>
    <row r="322" spans="5:7" x14ac:dyDescent="0.25">
      <c r="E322" s="11">
        <f t="shared" si="28"/>
        <v>-20</v>
      </c>
      <c r="F322" s="11">
        <f t="shared" si="29"/>
        <v>-3.3593271687180923</v>
      </c>
      <c r="G322" s="11">
        <f t="shared" si="30"/>
        <v>-3.3186016442286439</v>
      </c>
    </row>
    <row r="323" spans="5:7" x14ac:dyDescent="0.25">
      <c r="E323" s="11">
        <f t="shared" si="28"/>
        <v>-19</v>
      </c>
      <c r="F323" s="11">
        <f t="shared" si="29"/>
        <v>-3.2097315891679901</v>
      </c>
      <c r="G323" s="11">
        <f t="shared" si="30"/>
        <v>-3.1719723181293116</v>
      </c>
    </row>
    <row r="324" spans="5:7" x14ac:dyDescent="0.25">
      <c r="E324" s="11">
        <f t="shared" si="28"/>
        <v>-18</v>
      </c>
      <c r="F324" s="11">
        <f t="shared" si="29"/>
        <v>-3.0588670694391458</v>
      </c>
      <c r="G324" s="11">
        <f t="shared" si="30"/>
        <v>-3.0241725443175236</v>
      </c>
    </row>
    <row r="325" spans="5:7" x14ac:dyDescent="0.25">
      <c r="E325" s="11">
        <f t="shared" si="28"/>
        <v>-17</v>
      </c>
      <c r="F325" s="11">
        <f t="shared" si="29"/>
        <v>-2.9066186941941008</v>
      </c>
      <c r="G325" s="11">
        <f t="shared" si="30"/>
        <v>-2.8750587876556701</v>
      </c>
    </row>
    <row r="326" spans="5:7" x14ac:dyDescent="0.25">
      <c r="E326" s="11">
        <f t="shared" si="28"/>
        <v>-16</v>
      </c>
      <c r="F326" s="11">
        <f t="shared" si="29"/>
        <v>-2.7528719770581227</v>
      </c>
      <c r="G326" s="11">
        <f t="shared" si="30"/>
        <v>-2.724487513006141</v>
      </c>
    </row>
    <row r="327" spans="5:7" x14ac:dyDescent="0.25">
      <c r="E327" s="11">
        <f t="shared" si="28"/>
        <v>-15</v>
      </c>
      <c r="F327" s="11">
        <f t="shared" si="29"/>
        <v>-2.5975130272554026</v>
      </c>
      <c r="G327" s="11">
        <f t="shared" si="30"/>
        <v>-2.572315185231326</v>
      </c>
    </row>
    <row r="328" spans="5:7" x14ac:dyDescent="0.25">
      <c r="E328" s="11">
        <f t="shared" si="28"/>
        <v>-14</v>
      </c>
      <c r="F328" s="11">
        <f t="shared" si="29"/>
        <v>-2.4404287173137336</v>
      </c>
      <c r="G328" s="11">
        <f t="shared" si="30"/>
        <v>-2.4183982691936152</v>
      </c>
    </row>
    <row r="329" spans="5:7" x14ac:dyDescent="0.25">
      <c r="E329" s="11">
        <f t="shared" si="28"/>
        <v>-13</v>
      </c>
      <c r="F329" s="11">
        <f t="shared" si="29"/>
        <v>-2.2815068516374835</v>
      </c>
      <c r="G329" s="11">
        <f t="shared" si="30"/>
        <v>-2.2625932297553994</v>
      </c>
    </row>
    <row r="330" spans="5:7" x14ac:dyDescent="0.25">
      <c r="E330" s="11">
        <f t="shared" si="28"/>
        <v>-12</v>
      </c>
      <c r="F330" s="11">
        <f t="shared" si="29"/>
        <v>-2.1206363357391123</v>
      </c>
      <c r="G330" s="11">
        <f t="shared" si="30"/>
        <v>-2.1047565317790671</v>
      </c>
    </row>
    <row r="331" spans="5:7" x14ac:dyDescent="0.25">
      <c r="E331" s="11">
        <f t="shared" si="28"/>
        <v>-11</v>
      </c>
      <c r="F331" s="11">
        <f t="shared" si="29"/>
        <v>-1.9577073459098802</v>
      </c>
      <c r="G331" s="11">
        <f t="shared" si="30"/>
        <v>-1.9447446401270092</v>
      </c>
    </row>
    <row r="332" spans="5:7" x14ac:dyDescent="0.25">
      <c r="E332" s="11">
        <f t="shared" si="28"/>
        <v>-10</v>
      </c>
      <c r="F332" s="11">
        <f t="shared" si="29"/>
        <v>-1.7926114991008248</v>
      </c>
      <c r="G332" s="11">
        <f t="shared" si="30"/>
        <v>-1.7824140196616154</v>
      </c>
    </row>
    <row r="333" spans="5:7" x14ac:dyDescent="0.25">
      <c r="E333" s="11">
        <f t="shared" si="28"/>
        <v>-9</v>
      </c>
      <c r="F333" s="11">
        <f t="shared" si="29"/>
        <v>-1.6252420227754607</v>
      </c>
      <c r="G333" s="11">
        <f t="shared" si="30"/>
        <v>-1.6176211352452761</v>
      </c>
    </row>
    <row r="334" spans="5:7" x14ac:dyDescent="0.25">
      <c r="E334" s="11">
        <f t="shared" si="28"/>
        <v>-8</v>
      </c>
      <c r="F334" s="11">
        <f t="shared" si="29"/>
        <v>-1.4554939244861087</v>
      </c>
      <c r="G334" s="11">
        <f t="shared" si="30"/>
        <v>-1.4502224517403808</v>
      </c>
    </row>
    <row r="335" spans="5:7" x14ac:dyDescent="0.25">
      <c r="E335" s="11">
        <f t="shared" si="28"/>
        <v>-7</v>
      </c>
      <c r="F335" s="11">
        <f t="shared" si="29"/>
        <v>-1.2832641609161368</v>
      </c>
      <c r="G335" s="11">
        <f t="shared" si="30"/>
        <v>-1.2800744340093191</v>
      </c>
    </row>
    <row r="336" spans="5:7" x14ac:dyDescent="0.25">
      <c r="E336" s="11">
        <f t="shared" si="28"/>
        <v>-6</v>
      </c>
      <c r="F336" s="11">
        <f t="shared" si="29"/>
        <v>-1.1084518061208259</v>
      </c>
      <c r="G336" s="11">
        <f t="shared" si="30"/>
        <v>-1.1070335469144821</v>
      </c>
    </row>
    <row r="337" spans="5:7" x14ac:dyDescent="0.25">
      <c r="E337" s="11">
        <f t="shared" si="28"/>
        <v>-5</v>
      </c>
      <c r="F337" s="11">
        <f t="shared" si="29"/>
        <v>-0.93095821868998097</v>
      </c>
      <c r="G337" s="11">
        <f t="shared" si="30"/>
        <v>-0.93095625531825854</v>
      </c>
    </row>
    <row r="338" spans="5:7" x14ac:dyDescent="0.25">
      <c r="E338" s="11">
        <f t="shared" si="28"/>
        <v>-4</v>
      </c>
      <c r="F338" s="11">
        <f t="shared" si="29"/>
        <v>-0.75068720754581197</v>
      </c>
      <c r="G338" s="11">
        <f t="shared" si="30"/>
        <v>-0.75169902408303912</v>
      </c>
    </row>
    <row r="339" spans="5:7" x14ac:dyDescent="0.25">
      <c r="E339" s="11">
        <f t="shared" si="28"/>
        <v>-3</v>
      </c>
      <c r="F339" s="11">
        <f t="shared" si="29"/>
        <v>-0.56754519608003096</v>
      </c>
      <c r="G339" s="11">
        <f t="shared" si="30"/>
        <v>-0.56911831807121349</v>
      </c>
    </row>
    <row r="340" spans="5:7" x14ac:dyDescent="0.25">
      <c r="E340" s="11">
        <f t="shared" si="28"/>
        <v>-2</v>
      </c>
      <c r="F340" s="11">
        <f t="shared" si="29"/>
        <v>-0.38144138432451224</v>
      </c>
      <c r="G340" s="11">
        <f t="shared" si="30"/>
        <v>-0.38307060214517191</v>
      </c>
    </row>
    <row r="341" spans="5:7" x14ac:dyDescent="0.25">
      <c r="E341" s="11">
        <f t="shared" si="28"/>
        <v>-1</v>
      </c>
      <c r="F341" s="11">
        <f t="shared" si="29"/>
        <v>-0.19228790884028044</v>
      </c>
      <c r="G341" s="11">
        <f t="shared" si="30"/>
        <v>-0.19341234116730399</v>
      </c>
    </row>
    <row r="342" spans="5:7" x14ac:dyDescent="0.25">
      <c r="E342" s="11">
        <f t="shared" si="28"/>
        <v>0</v>
      </c>
      <c r="F342" s="11">
        <f t="shared" si="29"/>
        <v>0</v>
      </c>
      <c r="G342" s="11">
        <f t="shared" si="30"/>
        <v>1.1102230246251565E-16</v>
      </c>
    </row>
    <row r="343" spans="5:7" x14ac:dyDescent="0.25">
      <c r="E343" s="11">
        <f t="shared" si="28"/>
        <v>1</v>
      </c>
      <c r="F343" s="11">
        <f t="shared" si="29"/>
        <v>0.19550386367045072</v>
      </c>
      <c r="G343" s="11">
        <f t="shared" si="30"/>
        <v>0.19728259963291028</v>
      </c>
    </row>
    <row r="344" spans="5:7" x14ac:dyDescent="0.25">
      <c r="E344" s="11">
        <f t="shared" si="28"/>
        <v>2</v>
      </c>
      <c r="F344" s="11">
        <f t="shared" si="29"/>
        <v>0.39430180443532403</v>
      </c>
      <c r="G344" s="11">
        <f t="shared" si="30"/>
        <v>0.39844220856183821</v>
      </c>
    </row>
    <row r="345" spans="5:7" x14ac:dyDescent="0.25">
      <c r="E345" s="11">
        <f t="shared" si="28"/>
        <v>3</v>
      </c>
      <c r="F345" s="11">
        <f t="shared" si="29"/>
        <v>0.59646839793086059</v>
      </c>
      <c r="G345" s="11">
        <f t="shared" si="30"/>
        <v>0.60345822075575428</v>
      </c>
    </row>
    <row r="346" spans="5:7" x14ac:dyDescent="0.25">
      <c r="E346" s="11">
        <f t="shared" si="28"/>
        <v>4</v>
      </c>
      <c r="F346" s="11">
        <f t="shared" si="29"/>
        <v>0.80207452974884386</v>
      </c>
      <c r="G346" s="11">
        <f t="shared" si="30"/>
        <v>0.81231003018362935</v>
      </c>
    </row>
    <row r="347" spans="5:7" x14ac:dyDescent="0.25">
      <c r="E347" s="11">
        <f t="shared" si="28"/>
        <v>5</v>
      </c>
      <c r="F347" s="11">
        <f t="shared" si="29"/>
        <v>1.0111872563946191</v>
      </c>
      <c r="G347" s="11">
        <f t="shared" si="30"/>
        <v>1.0249770308144348</v>
      </c>
    </row>
    <row r="348" spans="5:7" x14ac:dyDescent="0.25">
      <c r="E348" s="11">
        <f t="shared" si="28"/>
        <v>6</v>
      </c>
      <c r="F348" s="11">
        <f t="shared" si="29"/>
        <v>1.2238696710019441</v>
      </c>
      <c r="G348" s="11">
        <f t="shared" si="30"/>
        <v>1.2414386166171414</v>
      </c>
    </row>
    <row r="349" spans="5:7" x14ac:dyDescent="0.25">
      <c r="E349" s="11">
        <f t="shared" si="28"/>
        <v>7</v>
      </c>
      <c r="F349" s="11">
        <f t="shared" si="29"/>
        <v>1.4401807741966137</v>
      </c>
      <c r="G349" s="11">
        <f t="shared" si="30"/>
        <v>1.4616741815607202</v>
      </c>
    </row>
    <row r="350" spans="5:7" x14ac:dyDescent="0.25">
      <c r="E350" s="11">
        <f t="shared" si="28"/>
        <v>8</v>
      </c>
      <c r="F350" s="11">
        <f t="shared" si="29"/>
        <v>1.6601753505104062</v>
      </c>
      <c r="G350" s="11">
        <f t="shared" si="30"/>
        <v>1.6856631196141423</v>
      </c>
    </row>
    <row r="351" spans="5:7" x14ac:dyDescent="0.25">
      <c r="E351" s="11">
        <f t="shared" ref="E351:E414" si="31">E144</f>
        <v>9</v>
      </c>
      <c r="F351" s="11">
        <f t="shared" ref="F351:F414" si="32">$H$217*0+E351*$I$217+E351^2*$J$217+E351^3*$K$217+E351^4*$L$217+E351^5*$M$217+E351^6*$N$217+E351^7*$O$217+E351^8*$P$217</f>
        <v>1.8839038507564703</v>
      </c>
      <c r="G351" s="11">
        <f t="shared" ref="G351:G414" si="33">F144</f>
        <v>1.9133848247463785</v>
      </c>
    </row>
    <row r="352" spans="5:7" x14ac:dyDescent="0.25">
      <c r="E352" s="11">
        <f t="shared" si="31"/>
        <v>10</v>
      </c>
      <c r="F352" s="11">
        <f t="shared" si="32"/>
        <v>2.1114122807868747</v>
      </c>
      <c r="G352" s="11">
        <f t="shared" si="33"/>
        <v>2.1448186909264</v>
      </c>
    </row>
    <row r="353" spans="5:7" x14ac:dyDescent="0.25">
      <c r="E353" s="11">
        <f t="shared" si="31"/>
        <v>11</v>
      </c>
      <c r="F353" s="11">
        <f t="shared" si="32"/>
        <v>2.3427420970626258</v>
      </c>
      <c r="G353" s="11">
        <f t="shared" si="33"/>
        <v>2.379944112123177</v>
      </c>
    </row>
    <row r="354" spans="5:7" x14ac:dyDescent="0.25">
      <c r="E354" s="11">
        <f t="shared" si="31"/>
        <v>12</v>
      </c>
      <c r="F354" s="11">
        <f t="shared" si="32"/>
        <v>2.5779301094760516</v>
      </c>
      <c r="G354" s="11">
        <f t="shared" si="33"/>
        <v>2.6187404823056815</v>
      </c>
    </row>
    <row r="355" spans="5:7" x14ac:dyDescent="0.25">
      <c r="E355" s="11">
        <f t="shared" si="31"/>
        <v>13</v>
      </c>
      <c r="F355" s="11">
        <f t="shared" si="32"/>
        <v>2.8170083918750235</v>
      </c>
      <c r="G355" s="11">
        <f t="shared" si="33"/>
        <v>2.8611871954428842</v>
      </c>
    </row>
    <row r="356" spans="5:7" x14ac:dyDescent="0.25">
      <c r="E356" s="11">
        <f t="shared" si="31"/>
        <v>14</v>
      </c>
      <c r="F356" s="11">
        <f t="shared" si="32"/>
        <v>3.0600042007481054</v>
      </c>
      <c r="G356" s="11">
        <f t="shared" si="33"/>
        <v>3.1072636455037559</v>
      </c>
    </row>
    <row r="357" spans="5:7" x14ac:dyDescent="0.25">
      <c r="E357" s="11">
        <f t="shared" si="31"/>
        <v>15</v>
      </c>
      <c r="F357" s="11">
        <f t="shared" si="32"/>
        <v>3.3069399025392858</v>
      </c>
      <c r="G357" s="11">
        <f t="shared" si="33"/>
        <v>3.3569492264572678</v>
      </c>
    </row>
    <row r="358" spans="5:7" x14ac:dyDescent="0.25">
      <c r="E358" s="11">
        <f t="shared" si="31"/>
        <v>16</v>
      </c>
      <c r="F358" s="11">
        <f t="shared" si="32"/>
        <v>3.5578329100705353</v>
      </c>
      <c r="G358" s="11">
        <f t="shared" si="33"/>
        <v>3.6102233322723909</v>
      </c>
    </row>
    <row r="359" spans="5:7" x14ac:dyDescent="0.25">
      <c r="E359" s="11">
        <f t="shared" si="31"/>
        <v>17</v>
      </c>
      <c r="F359" s="11">
        <f t="shared" si="32"/>
        <v>3.8126956285600451</v>
      </c>
      <c r="G359" s="11">
        <f t="shared" si="33"/>
        <v>3.8670653569180962</v>
      </c>
    </row>
    <row r="360" spans="5:7" x14ac:dyDescent="0.25">
      <c r="E360" s="11">
        <f t="shared" si="31"/>
        <v>18</v>
      </c>
      <c r="F360" s="11">
        <f t="shared" si="32"/>
        <v>4.0715354117335654</v>
      </c>
      <c r="G360" s="11">
        <f t="shared" si="33"/>
        <v>4.1274546943633545</v>
      </c>
    </row>
    <row r="361" spans="5:7" x14ac:dyDescent="0.25">
      <c r="E361" s="11">
        <f t="shared" si="31"/>
        <v>19</v>
      </c>
      <c r="F361" s="11">
        <f t="shared" si="32"/>
        <v>4.3343545285358624</v>
      </c>
      <c r="G361" s="11">
        <f t="shared" si="33"/>
        <v>4.3913707385771366</v>
      </c>
    </row>
    <row r="362" spans="5:7" x14ac:dyDescent="0.25">
      <c r="E362" s="11">
        <f t="shared" si="31"/>
        <v>20</v>
      </c>
      <c r="F362" s="11">
        <f t="shared" si="32"/>
        <v>4.6011501409589126</v>
      </c>
      <c r="G362" s="11">
        <f t="shared" si="33"/>
        <v>4.658792883528414</v>
      </c>
    </row>
    <row r="363" spans="5:7" x14ac:dyDescent="0.25">
      <c r="E363" s="11">
        <f t="shared" si="31"/>
        <v>21</v>
      </c>
      <c r="F363" s="11">
        <f t="shared" si="32"/>
        <v>4.871914293513008</v>
      </c>
      <c r="G363" s="11">
        <f t="shared" si="33"/>
        <v>4.9297005231861561</v>
      </c>
    </row>
    <row r="364" spans="5:7" x14ac:dyDescent="0.25">
      <c r="E364" s="11">
        <f t="shared" si="31"/>
        <v>22</v>
      </c>
      <c r="F364" s="11">
        <f t="shared" si="32"/>
        <v>5.1466339148765776</v>
      </c>
      <c r="G364" s="11">
        <f t="shared" si="33"/>
        <v>5.2040730515193365</v>
      </c>
    </row>
    <row r="365" spans="5:7" x14ac:dyDescent="0.25">
      <c r="E365" s="11">
        <f t="shared" si="31"/>
        <v>23</v>
      </c>
      <c r="F365" s="11">
        <f t="shared" si="32"/>
        <v>5.4252908322701101</v>
      </c>
      <c r="G365" s="11">
        <f t="shared" si="33"/>
        <v>5.4818898624969243</v>
      </c>
    </row>
    <row r="366" spans="5:7" x14ac:dyDescent="0.25">
      <c r="E366" s="11">
        <f t="shared" si="31"/>
        <v>24</v>
      </c>
      <c r="F366" s="11">
        <f t="shared" si="32"/>
        <v>5.707861799109093</v>
      </c>
      <c r="G366" s="11">
        <f t="shared" si="33"/>
        <v>5.7631303500878923</v>
      </c>
    </row>
    <row r="367" spans="5:7" x14ac:dyDescent="0.25">
      <c r="E367" s="11">
        <f t="shared" si="31"/>
        <v>25</v>
      </c>
      <c r="F367" s="11">
        <f t="shared" si="32"/>
        <v>5.9943185365005771</v>
      </c>
      <c r="G367" s="11">
        <f t="shared" si="33"/>
        <v>6.0477739082612096</v>
      </c>
    </row>
    <row r="368" spans="5:7" x14ac:dyDescent="0.25">
      <c r="E368" s="11">
        <f t="shared" si="31"/>
        <v>26</v>
      </c>
      <c r="F368" s="11">
        <f t="shared" si="32"/>
        <v>6.2846277891574722</v>
      </c>
      <c r="G368" s="11">
        <f t="shared" si="33"/>
        <v>6.3357999309858473</v>
      </c>
    </row>
    <row r="369" spans="5:7" x14ac:dyDescent="0.25">
      <c r="E369" s="11">
        <f t="shared" si="31"/>
        <v>27</v>
      </c>
      <c r="F369" s="11">
        <f t="shared" si="32"/>
        <v>6.5787513963143276</v>
      </c>
      <c r="G369" s="11">
        <f t="shared" si="33"/>
        <v>6.6271878122307779</v>
      </c>
    </row>
    <row r="370" spans="5:7" x14ac:dyDescent="0.25">
      <c r="E370" s="11">
        <f t="shared" si="31"/>
        <v>28</v>
      </c>
      <c r="F370" s="11">
        <f t="shared" si="32"/>
        <v>6.8766463782378899</v>
      </c>
      <c r="G370" s="11">
        <f t="shared" si="33"/>
        <v>6.9219169459649699</v>
      </c>
    </row>
    <row r="371" spans="5:7" x14ac:dyDescent="0.25">
      <c r="E371" s="11">
        <f t="shared" si="31"/>
        <v>29</v>
      </c>
      <c r="F371" s="11">
        <f t="shared" si="32"/>
        <v>7.1782650389353675</v>
      </c>
      <c r="G371" s="11">
        <f t="shared" si="33"/>
        <v>7.2199667261573968</v>
      </c>
    </row>
    <row r="372" spans="5:7" x14ac:dyDescent="0.25">
      <c r="E372" s="11">
        <f t="shared" si="31"/>
        <v>30</v>
      </c>
      <c r="F372" s="11">
        <f t="shared" si="32"/>
        <v>7.4835550856729096</v>
      </c>
      <c r="G372" s="11">
        <f t="shared" si="33"/>
        <v>7.5213165467770287</v>
      </c>
    </row>
    <row r="373" spans="5:7" x14ac:dyDescent="0.25">
      <c r="E373" s="11">
        <f t="shared" si="31"/>
        <v>31</v>
      </c>
      <c r="F373" s="11">
        <f t="shared" si="32"/>
        <v>7.7924597659263402</v>
      </c>
      <c r="G373" s="11">
        <f t="shared" si="33"/>
        <v>7.8259458017928365</v>
      </c>
    </row>
    <row r="374" spans="5:7" x14ac:dyDescent="0.25">
      <c r="E374" s="11">
        <f t="shared" si="31"/>
        <v>32</v>
      </c>
      <c r="F374" s="11">
        <f t="shared" si="32"/>
        <v>8.1049180223958874</v>
      </c>
      <c r="G374" s="11">
        <f t="shared" si="33"/>
        <v>8.1338338851737912</v>
      </c>
    </row>
    <row r="375" spans="5:7" x14ac:dyDescent="0.25">
      <c r="E375" s="11">
        <f t="shared" si="31"/>
        <v>33</v>
      </c>
      <c r="F375" s="11">
        <f t="shared" si="32"/>
        <v>8.420864666726116</v>
      </c>
      <c r="G375" s="11">
        <f t="shared" si="33"/>
        <v>8.4449601908888638</v>
      </c>
    </row>
    <row r="376" spans="5:7" x14ac:dyDescent="0.25">
      <c r="E376" s="11">
        <f t="shared" si="31"/>
        <v>34</v>
      </c>
      <c r="F376" s="11">
        <f t="shared" si="32"/>
        <v>8.7402305725819591</v>
      </c>
      <c r="G376" s="11">
        <f t="shared" si="33"/>
        <v>8.7593041129070262</v>
      </c>
    </row>
    <row r="377" spans="5:7" x14ac:dyDescent="0.25">
      <c r="E377" s="11">
        <f t="shared" si="31"/>
        <v>35</v>
      </c>
      <c r="F377" s="11">
        <f t="shared" si="32"/>
        <v>9.0629428887412509</v>
      </c>
      <c r="G377" s="11">
        <f t="shared" si="33"/>
        <v>9.0768450451972456</v>
      </c>
    </row>
    <row r="378" spans="5:7" x14ac:dyDescent="0.25">
      <c r="E378" s="11">
        <f t="shared" si="31"/>
        <v>36</v>
      </c>
      <c r="F378" s="11">
        <f t="shared" si="32"/>
        <v>9.3889252728738395</v>
      </c>
      <c r="G378" s="11">
        <f t="shared" si="33"/>
        <v>9.3975623817284983</v>
      </c>
    </row>
    <row r="379" spans="5:7" x14ac:dyDescent="0.25">
      <c r="E379" s="11">
        <f t="shared" si="31"/>
        <v>37</v>
      </c>
      <c r="F379" s="11">
        <f t="shared" si="32"/>
        <v>9.7180981466868559</v>
      </c>
      <c r="G379" s="11">
        <f t="shared" si="33"/>
        <v>9.7214355164697519</v>
      </c>
    </row>
    <row r="380" spans="5:7" x14ac:dyDescent="0.25">
      <c r="E380" s="11">
        <f t="shared" si="31"/>
        <v>38</v>
      </c>
      <c r="F380" s="11">
        <f t="shared" si="32"/>
        <v>10.050378973125387</v>
      </c>
      <c r="G380" s="11">
        <f t="shared" si="33"/>
        <v>10.048443843389979</v>
      </c>
    </row>
    <row r="381" spans="5:7" x14ac:dyDescent="0.25">
      <c r="E381" s="11">
        <f t="shared" si="31"/>
        <v>39</v>
      </c>
      <c r="F381" s="11">
        <f t="shared" si="32"/>
        <v>10.385682556327327</v>
      </c>
      <c r="G381" s="11">
        <f t="shared" si="33"/>
        <v>10.378566756458149</v>
      </c>
    </row>
    <row r="382" spans="5:7" x14ac:dyDescent="0.25">
      <c r="E382" s="11">
        <f t="shared" si="31"/>
        <v>40</v>
      </c>
      <c r="F382" s="11">
        <f t="shared" si="32"/>
        <v>10.723921365040809</v>
      </c>
      <c r="G382" s="11">
        <f t="shared" si="33"/>
        <v>10.711783649643236</v>
      </c>
    </row>
    <row r="383" spans="5:7" x14ac:dyDescent="0.25">
      <c r="E383" s="11">
        <f t="shared" si="31"/>
        <v>41</v>
      </c>
      <c r="F383" s="11">
        <f t="shared" si="32"/>
        <v>11.065005880222152</v>
      </c>
      <c r="G383" s="11">
        <f t="shared" si="33"/>
        <v>11.048073916914205</v>
      </c>
    </row>
    <row r="384" spans="5:7" x14ac:dyDescent="0.25">
      <c r="E384" s="11">
        <f t="shared" si="31"/>
        <v>42</v>
      </c>
      <c r="F384" s="11">
        <f t="shared" si="32"/>
        <v>11.408844967542011</v>
      </c>
      <c r="G384" s="11">
        <f t="shared" si="33"/>
        <v>11.387416952240034</v>
      </c>
    </row>
    <row r="385" spans="5:7" x14ac:dyDescent="0.25">
      <c r="E385" s="11">
        <f t="shared" si="31"/>
        <v>43</v>
      </c>
      <c r="F385" s="11">
        <f t="shared" si="32"/>
        <v>11.755346275536697</v>
      </c>
      <c r="G385" s="11">
        <f t="shared" si="33"/>
        <v>11.72979214958969</v>
      </c>
    </row>
    <row r="386" spans="5:7" x14ac:dyDescent="0.25">
      <c r="E386" s="11">
        <f t="shared" si="31"/>
        <v>44</v>
      </c>
      <c r="F386" s="11">
        <f t="shared" si="32"/>
        <v>12.104416660151584</v>
      </c>
      <c r="G386" s="11">
        <f t="shared" si="33"/>
        <v>12.075178902932144</v>
      </c>
    </row>
    <row r="387" spans="5:7" x14ac:dyDescent="0.25">
      <c r="E387" s="11">
        <f t="shared" si="31"/>
        <v>45</v>
      </c>
      <c r="F387" s="11">
        <f t="shared" si="32"/>
        <v>12.455962636432851</v>
      </c>
      <c r="G387" s="11">
        <f t="shared" si="33"/>
        <v>12.423556606236369</v>
      </c>
    </row>
    <row r="388" spans="5:7" x14ac:dyDescent="0.25">
      <c r="E388" s="11">
        <f t="shared" si="31"/>
        <v>46</v>
      </c>
      <c r="F388" s="11">
        <f t="shared" si="32"/>
        <v>12.809890858133484</v>
      </c>
      <c r="G388" s="11">
        <f t="shared" si="33"/>
        <v>12.774893943314929</v>
      </c>
    </row>
    <row r="389" spans="5:7" x14ac:dyDescent="0.25">
      <c r="E389" s="11">
        <f t="shared" si="31"/>
        <v>47</v>
      </c>
      <c r="F389" s="11">
        <f t="shared" si="32"/>
        <v>13.166108626009077</v>
      </c>
      <c r="G389" s="11">
        <f t="shared" si="33"/>
        <v>13.129116757354781</v>
      </c>
    </row>
    <row r="390" spans="5:7" x14ac:dyDescent="0.25">
      <c r="E390" s="11">
        <f t="shared" si="31"/>
        <v>48</v>
      </c>
      <c r="F390" s="11">
        <f t="shared" si="32"/>
        <v>13.524524425588506</v>
      </c>
      <c r="G390" s="11">
        <f t="shared" si="33"/>
        <v>13.486140181386475</v>
      </c>
    </row>
    <row r="391" spans="5:7" x14ac:dyDescent="0.25">
      <c r="E391" s="11">
        <f t="shared" si="31"/>
        <v>49</v>
      </c>
      <c r="F391" s="11">
        <f t="shared" si="32"/>
        <v>13.885048495214201</v>
      </c>
      <c r="G391" s="11">
        <f t="shared" si="33"/>
        <v>13.84587934844056</v>
      </c>
    </row>
    <row r="392" spans="5:7" x14ac:dyDescent="0.25">
      <c r="E392" s="11">
        <f t="shared" si="31"/>
        <v>50</v>
      </c>
      <c r="F392" s="11">
        <f t="shared" si="32"/>
        <v>14.247593425156234</v>
      </c>
      <c r="G392" s="11">
        <f t="shared" si="33"/>
        <v>14.208249391547588</v>
      </c>
    </row>
    <row r="393" spans="5:7" x14ac:dyDescent="0.25">
      <c r="E393" s="11">
        <f t="shared" si="31"/>
        <v>51</v>
      </c>
      <c r="F393" s="11">
        <f t="shared" si="32"/>
        <v>14.612074788614176</v>
      </c>
      <c r="G393" s="11">
        <f t="shared" si="33"/>
        <v>14.573165443738105</v>
      </c>
    </row>
    <row r="394" spans="5:7" x14ac:dyDescent="0.25">
      <c r="E394" s="11">
        <f t="shared" si="31"/>
        <v>52</v>
      </c>
      <c r="F394" s="11">
        <f t="shared" si="32"/>
        <v>14.978411805430083</v>
      </c>
      <c r="G394" s="11">
        <f t="shared" si="33"/>
        <v>14.940542638042665</v>
      </c>
    </row>
    <row r="395" spans="5:7" x14ac:dyDescent="0.25">
      <c r="E395" s="11">
        <f t="shared" si="31"/>
        <v>53</v>
      </c>
      <c r="F395" s="11">
        <f t="shared" si="32"/>
        <v>15.34652803934574</v>
      </c>
      <c r="G395" s="11">
        <f t="shared" si="33"/>
        <v>15.310296107491819</v>
      </c>
    </row>
    <row r="396" spans="5:7" x14ac:dyDescent="0.25">
      <c r="E396" s="11">
        <f t="shared" si="31"/>
        <v>54</v>
      </c>
      <c r="F396" s="11">
        <f t="shared" si="32"/>
        <v>15.716352129646761</v>
      </c>
      <c r="G396" s="11">
        <f t="shared" si="33"/>
        <v>15.682340985116117</v>
      </c>
    </row>
    <row r="397" spans="5:7" x14ac:dyDescent="0.25">
      <c r="E397" s="11">
        <f t="shared" si="31"/>
        <v>55</v>
      </c>
      <c r="F397" s="11">
        <f t="shared" si="32"/>
        <v>16.087818558045747</v>
      </c>
      <c r="G397" s="11">
        <f t="shared" si="33"/>
        <v>16.056592403946109</v>
      </c>
    </row>
    <row r="398" spans="5:7" x14ac:dyDescent="0.25">
      <c r="E398" s="11">
        <f t="shared" si="31"/>
        <v>56</v>
      </c>
      <c r="F398" s="11">
        <f t="shared" si="32"/>
        <v>16.460868451666357</v>
      </c>
      <c r="G398" s="11">
        <f t="shared" si="33"/>
        <v>16.43296549701234</v>
      </c>
    </row>
    <row r="399" spans="5:7" x14ac:dyDescent="0.25">
      <c r="E399" s="11">
        <f t="shared" si="31"/>
        <v>57</v>
      </c>
      <c r="F399" s="11">
        <f t="shared" si="32"/>
        <v>16.835450422999678</v>
      </c>
      <c r="G399" s="11">
        <f t="shared" si="33"/>
        <v>16.811375397345365</v>
      </c>
    </row>
    <row r="400" spans="5:7" x14ac:dyDescent="0.25">
      <c r="E400" s="11">
        <f t="shared" si="31"/>
        <v>58</v>
      </c>
      <c r="F400" s="11">
        <f t="shared" si="32"/>
        <v>17.21152144771391</v>
      </c>
      <c r="G400" s="11">
        <f t="shared" si="33"/>
        <v>17.191737237975737</v>
      </c>
    </row>
    <row r="401" spans="5:7" x14ac:dyDescent="0.25">
      <c r="E401" s="11">
        <f t="shared" si="31"/>
        <v>59</v>
      </c>
      <c r="F401" s="11">
        <f t="shared" si="32"/>
        <v>17.58904778120781</v>
      </c>
      <c r="G401" s="11">
        <f t="shared" si="33"/>
        <v>17.573966151934002</v>
      </c>
    </row>
    <row r="402" spans="5:7" x14ac:dyDescent="0.25">
      <c r="E402" s="11">
        <f t="shared" si="31"/>
        <v>60</v>
      </c>
      <c r="F402" s="11">
        <f t="shared" si="32"/>
        <v>17.968005914808341</v>
      </c>
      <c r="G402" s="11">
        <f t="shared" si="33"/>
        <v>17.957977272250712</v>
      </c>
    </row>
    <row r="403" spans="5:7" x14ac:dyDescent="0.25">
      <c r="E403" s="11">
        <f t="shared" si="31"/>
        <v>61</v>
      </c>
      <c r="F403" s="11">
        <f t="shared" si="32"/>
        <v>18.348383572521964</v>
      </c>
      <c r="G403" s="11">
        <f t="shared" si="33"/>
        <v>18.343685731956416</v>
      </c>
    </row>
    <row r="404" spans="5:7" x14ac:dyDescent="0.25">
      <c r="E404" s="11">
        <f t="shared" si="31"/>
        <v>62</v>
      </c>
      <c r="F404" s="11">
        <f t="shared" si="32"/>
        <v>18.730180749259155</v>
      </c>
      <c r="G404" s="11">
        <f t="shared" si="33"/>
        <v>18.731006664081665</v>
      </c>
    </row>
    <row r="405" spans="5:7" x14ac:dyDescent="0.25">
      <c r="E405" s="11">
        <f t="shared" si="31"/>
        <v>63</v>
      </c>
      <c r="F405" s="11">
        <f t="shared" si="32"/>
        <v>19.113410791460996</v>
      </c>
      <c r="G405" s="11">
        <f t="shared" si="33"/>
        <v>19.11985520165701</v>
      </c>
    </row>
    <row r="406" spans="5:7" x14ac:dyDescent="0.25">
      <c r="E406" s="11">
        <f t="shared" si="31"/>
        <v>64</v>
      </c>
      <c r="F406" s="11">
        <f t="shared" si="32"/>
        <v>19.498101521066332</v>
      </c>
      <c r="G406" s="11">
        <f t="shared" si="33"/>
        <v>19.510146477713</v>
      </c>
    </row>
    <row r="407" spans="5:7" x14ac:dyDescent="0.25">
      <c r="E407" s="11">
        <f t="shared" si="31"/>
        <v>65</v>
      </c>
      <c r="F407" s="11">
        <f t="shared" si="32"/>
        <v>19.884296403767667</v>
      </c>
      <c r="G407" s="11">
        <f t="shared" si="33"/>
        <v>19.901795625280187</v>
      </c>
    </row>
    <row r="408" spans="5:7" x14ac:dyDescent="0.25">
      <c r="E408" s="11">
        <f t="shared" si="31"/>
        <v>66</v>
      </c>
      <c r="F408" s="11">
        <f t="shared" si="32"/>
        <v>20.272055762513482</v>
      </c>
      <c r="G408" s="11">
        <f t="shared" si="33"/>
        <v>20.294717777389117</v>
      </c>
    </row>
    <row r="409" spans="5:7" x14ac:dyDescent="0.25">
      <c r="E409" s="11">
        <f t="shared" si="31"/>
        <v>67</v>
      </c>
      <c r="F409" s="11">
        <f t="shared" si="32"/>
        <v>20.661458037224303</v>
      </c>
      <c r="G409" s="11">
        <f t="shared" si="33"/>
        <v>20.688828067070343</v>
      </c>
    </row>
    <row r="410" spans="5:7" x14ac:dyDescent="0.25">
      <c r="E410" s="11">
        <f t="shared" si="31"/>
        <v>68</v>
      </c>
      <c r="F410" s="11">
        <f t="shared" si="32"/>
        <v>21.052601091699255</v>
      </c>
      <c r="G410" s="11">
        <f t="shared" si="33"/>
        <v>21.084041627354416</v>
      </c>
    </row>
    <row r="411" spans="5:7" x14ac:dyDescent="0.25">
      <c r="E411" s="11">
        <f t="shared" si="31"/>
        <v>69</v>
      </c>
      <c r="F411" s="11">
        <f t="shared" si="32"/>
        <v>21.445603568699827</v>
      </c>
      <c r="G411" s="11">
        <f t="shared" si="33"/>
        <v>21.480273591271889</v>
      </c>
    </row>
    <row r="412" spans="5:7" x14ac:dyDescent="0.25">
      <c r="E412" s="11">
        <f t="shared" si="31"/>
        <v>70</v>
      </c>
      <c r="F412" s="11">
        <f t="shared" si="32"/>
        <v>21.840606294206633</v>
      </c>
      <c r="G412" s="11">
        <f t="shared" si="33"/>
        <v>21.877439091853308</v>
      </c>
    </row>
    <row r="413" spans="5:7" x14ac:dyDescent="0.25">
      <c r="E413" s="11">
        <f t="shared" si="31"/>
        <v>71</v>
      </c>
      <c r="F413" s="11">
        <f t="shared" si="32"/>
        <v>22.237773731855022</v>
      </c>
      <c r="G413" s="11">
        <f t="shared" si="33"/>
        <v>22.275453262129222</v>
      </c>
    </row>
    <row r="414" spans="5:7" x14ac:dyDescent="0.25">
      <c r="E414" s="11">
        <f t="shared" si="31"/>
        <v>72</v>
      </c>
      <c r="F414" s="11">
        <f t="shared" si="32"/>
        <v>22.6372954885647</v>
      </c>
      <c r="G414" s="11">
        <f t="shared" si="33"/>
        <v>22.674231235130186</v>
      </c>
    </row>
    <row r="415" spans="5:7" x14ac:dyDescent="0.25">
      <c r="E415" s="11">
        <f t="shared" ref="E415:E422" si="34">E208</f>
        <v>73</v>
      </c>
      <c r="F415" s="11">
        <f t="shared" ref="F415:F422" si="35">$H$217*0+E415*$I$217+E415^2*$J$217+E415^3*$K$217+E415^4*$L$217+E415^5*$M$217+E415^6*$N$217+E415^7*$O$217+E415^8*$P$217</f>
        <v>23.039387872388119</v>
      </c>
      <c r="G415" s="11">
        <f t="shared" ref="G415:G422" si="36">F208</f>
        <v>23.073688143886748</v>
      </c>
    </row>
    <row r="416" spans="5:7" x14ac:dyDescent="0.25">
      <c r="E416" s="11">
        <f t="shared" si="34"/>
        <v>74</v>
      </c>
      <c r="F416" s="11">
        <f t="shared" si="35"/>
        <v>23.444295503612185</v>
      </c>
      <c r="G416" s="11">
        <f t="shared" si="36"/>
        <v>23.473739121429457</v>
      </c>
    </row>
    <row r="417" spans="5:7" x14ac:dyDescent="0.25">
      <c r="E417" s="11">
        <f t="shared" si="34"/>
        <v>75</v>
      </c>
      <c r="F417" s="11">
        <f t="shared" si="35"/>
        <v>23.852292980157234</v>
      </c>
      <c r="G417" s="11">
        <f t="shared" si="36"/>
        <v>23.874299300788863</v>
      </c>
    </row>
    <row r="418" spans="5:7" x14ac:dyDescent="0.25">
      <c r="E418" s="11">
        <f t="shared" si="34"/>
        <v>76</v>
      </c>
      <c r="F418" s="11">
        <f t="shared" si="35"/>
        <v>24.263686598326789</v>
      </c>
      <c r="G418" s="11">
        <f t="shared" si="36"/>
        <v>24.275283814995522</v>
      </c>
    </row>
    <row r="419" spans="5:7" x14ac:dyDescent="0.25">
      <c r="E419" s="11">
        <f t="shared" si="34"/>
        <v>77</v>
      </c>
      <c r="F419" s="11">
        <f t="shared" si="35"/>
        <v>24.678816129971398</v>
      </c>
      <c r="G419" s="11">
        <f t="shared" si="36"/>
        <v>24.676607797079974</v>
      </c>
    </row>
    <row r="420" spans="5:7" x14ac:dyDescent="0.25">
      <c r="E420" s="11">
        <f t="shared" si="34"/>
        <v>78</v>
      </c>
      <c r="F420" s="11">
        <f t="shared" si="35"/>
        <v>25.098056657139306</v>
      </c>
      <c r="G420" s="11">
        <f t="shared" si="36"/>
        <v>25.078186380072779</v>
      </c>
    </row>
    <row r="421" spans="5:7" x14ac:dyDescent="0.25">
      <c r="E421" s="11">
        <f t="shared" si="34"/>
        <v>79</v>
      </c>
      <c r="F421" s="11">
        <f t="shared" si="35"/>
        <v>25.521820465296223</v>
      </c>
      <c r="G421" s="11">
        <f t="shared" si="36"/>
        <v>25.479934697004484</v>
      </c>
    </row>
    <row r="422" spans="5:7" x14ac:dyDescent="0.25">
      <c r="E422" s="11">
        <f t="shared" si="34"/>
        <v>80</v>
      </c>
      <c r="F422" s="11">
        <f t="shared" si="35"/>
        <v>25.950558996206247</v>
      </c>
      <c r="G422" s="11">
        <f t="shared" si="36"/>
        <v>25.881767880905638</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-1.508E-5</v>
      </c>
      <c r="C3" s="2">
        <v>1.3990000000000001E-4</v>
      </c>
      <c r="D3" s="2">
        <v>-4.2339999999999999E-4</v>
      </c>
      <c r="E3" s="2">
        <v>0</v>
      </c>
      <c r="F3" s="2">
        <v>0</v>
      </c>
      <c r="G3" s="2">
        <v>0</v>
      </c>
      <c r="H3" s="2">
        <v>3.2312172000000002E-5</v>
      </c>
      <c r="I3" s="2">
        <v>1.2647863999999999E-5</v>
      </c>
      <c r="J3" s="2">
        <v>-9.1046880999999999E-5</v>
      </c>
      <c r="K3" s="3"/>
      <c r="L3" s="3">
        <f>-B3/D3</f>
        <v>-3.5616438356164383E-2</v>
      </c>
      <c r="M3" s="3"/>
      <c r="N3" s="2">
        <f>IF('Modell einstellen'!$B$1="Voll",H3/0.35,H3/0.35*2)</f>
        <v>1.8464098285714289E-4</v>
      </c>
      <c r="O3" s="2">
        <f>IF('Modell einstellen'!$B$1="Voll",J3/0.35,J3/0.35*2)</f>
        <v>-5.2026789142857141E-4</v>
      </c>
      <c r="P3" s="3">
        <f>-N3/O3</f>
        <v>0.35489597935815076</v>
      </c>
      <c r="Q3" s="3"/>
      <c r="R3" s="3"/>
      <c r="S3" s="3"/>
      <c r="T3" s="3"/>
      <c r="U3" s="3"/>
      <c r="V3" s="3"/>
      <c r="W3" s="3"/>
    </row>
    <row r="4" spans="1:23" x14ac:dyDescent="0.25">
      <c r="A4" s="2">
        <v>1E-14</v>
      </c>
      <c r="B4" s="2">
        <v>-1.509E-5</v>
      </c>
      <c r="C4" s="2">
        <v>1.3990000000000001E-4</v>
      </c>
      <c r="D4" s="2">
        <v>-4.2339999999999999E-4</v>
      </c>
      <c r="E4" s="2">
        <v>0</v>
      </c>
      <c r="F4" s="2">
        <v>0</v>
      </c>
      <c r="G4" s="2">
        <v>0</v>
      </c>
      <c r="H4" s="2">
        <v>3.2312252999999997E-5</v>
      </c>
      <c r="I4" s="2">
        <v>1.2648872E-5</v>
      </c>
      <c r="J4" s="2">
        <v>-9.1045558999999996E-5</v>
      </c>
      <c r="K4" s="3"/>
      <c r="L4" s="3">
        <f t="shared" ref="L4:L33" si="0">-B4/D4</f>
        <v>-3.5640056683986773E-2</v>
      </c>
      <c r="M4" s="3"/>
      <c r="N4" s="2">
        <f>IF('Modell einstellen'!$B$1="Voll",H4/0.35,H4/0.35*2)</f>
        <v>1.8464144571428572E-4</v>
      </c>
      <c r="O4" s="2">
        <f>IF('Modell einstellen'!$B$1="Voll",J4/0.35,J4/0.35*2)</f>
        <v>-5.2026033714285718E-4</v>
      </c>
      <c r="P4" s="3">
        <f t="shared" ref="P4:P33" si="1">-N4/O4</f>
        <v>0.35490202218430006</v>
      </c>
      <c r="Q4" s="3"/>
      <c r="R4" s="3"/>
      <c r="S4" s="3"/>
      <c r="T4" s="3"/>
      <c r="U4" s="3"/>
      <c r="V4" s="3"/>
      <c r="W4" s="3"/>
    </row>
    <row r="5" spans="1:23" x14ac:dyDescent="0.25">
      <c r="A5" s="2">
        <v>1E-13</v>
      </c>
      <c r="B5" s="2">
        <v>-1.508E-5</v>
      </c>
      <c r="C5" s="2">
        <v>1.3990000000000001E-4</v>
      </c>
      <c r="D5" s="2">
        <v>-4.2339999999999999E-4</v>
      </c>
      <c r="E5" s="2">
        <v>0</v>
      </c>
      <c r="F5" s="2">
        <v>0</v>
      </c>
      <c r="G5" s="2">
        <v>0</v>
      </c>
      <c r="H5" s="2">
        <v>3.2312425000000001E-5</v>
      </c>
      <c r="I5" s="2">
        <v>1.2649034999999999E-5</v>
      </c>
      <c r="J5" s="2">
        <v>-9.1046032999999999E-5</v>
      </c>
      <c r="K5" s="3"/>
      <c r="L5" s="3">
        <f t="shared" si="0"/>
        <v>-3.5616438356164383E-2</v>
      </c>
      <c r="M5" s="3"/>
      <c r="N5" s="2">
        <f>IF('Modell einstellen'!$B$1="Voll",H5/0.35,H5/0.35*2)</f>
        <v>1.8464242857142859E-4</v>
      </c>
      <c r="O5" s="2">
        <f>IF('Modell einstellen'!$B$1="Voll",J5/0.35,J5/0.35*2)</f>
        <v>-5.2026304571428574E-4</v>
      </c>
      <c r="P5" s="3">
        <f t="shared" si="1"/>
        <v>0.3549020636626749</v>
      </c>
      <c r="Q5" s="3"/>
      <c r="R5" s="3"/>
      <c r="S5" s="3"/>
      <c r="T5" s="3"/>
      <c r="U5" s="3"/>
      <c r="V5" s="3"/>
      <c r="W5" s="3"/>
    </row>
    <row r="6" spans="1:23" x14ac:dyDescent="0.25">
      <c r="A6" s="2">
        <v>9.9999999999999998E-13</v>
      </c>
      <c r="B6" s="2">
        <v>-1.508E-5</v>
      </c>
      <c r="C6" s="2">
        <v>1.3990000000000001E-4</v>
      </c>
      <c r="D6" s="2">
        <v>-4.2339999999999999E-4</v>
      </c>
      <c r="E6" s="2">
        <v>0</v>
      </c>
      <c r="F6" s="2">
        <v>0</v>
      </c>
      <c r="G6" s="2">
        <v>0</v>
      </c>
      <c r="H6" s="2">
        <v>3.2312469000000001E-5</v>
      </c>
      <c r="I6" s="2">
        <v>1.2649079999999999E-5</v>
      </c>
      <c r="J6" s="2">
        <v>-9.1046158999999997E-5</v>
      </c>
      <c r="K6" s="3"/>
      <c r="L6" s="3">
        <f t="shared" si="0"/>
        <v>-3.5616438356164383E-2</v>
      </c>
      <c r="M6" s="3"/>
      <c r="N6" s="2">
        <f>IF('Modell einstellen'!$B$1="Voll",H6/0.35,H6/0.35*2)</f>
        <v>1.8464268000000002E-4</v>
      </c>
      <c r="O6" s="2">
        <f>IF('Modell einstellen'!$B$1="Voll",J6/0.35,J6/0.35*2)</f>
        <v>-5.2026376571428568E-4</v>
      </c>
      <c r="P6" s="3">
        <f t="shared" si="1"/>
        <v>0.35490205578029937</v>
      </c>
      <c r="Q6" s="3"/>
      <c r="R6" s="3"/>
      <c r="S6" s="3"/>
      <c r="T6" s="3"/>
      <c r="U6" s="3"/>
      <c r="V6" s="3"/>
      <c r="W6" s="3"/>
    </row>
    <row r="7" spans="1:23" x14ac:dyDescent="0.25">
      <c r="A7" s="2">
        <v>9.9999999999999994E-12</v>
      </c>
      <c r="B7" s="2">
        <v>-1.508E-5</v>
      </c>
      <c r="C7" s="2">
        <v>1.3990000000000001E-4</v>
      </c>
      <c r="D7" s="2">
        <v>-4.2339999999999999E-4</v>
      </c>
      <c r="E7" s="2">
        <v>0</v>
      </c>
      <c r="F7" s="2">
        <v>0</v>
      </c>
      <c r="G7" s="2">
        <v>0</v>
      </c>
      <c r="H7" s="2">
        <v>3.2312481000000001E-5</v>
      </c>
      <c r="I7" s="2">
        <v>1.2649094000000001E-5</v>
      </c>
      <c r="J7" s="2">
        <v>-9.1046195999999998E-5</v>
      </c>
      <c r="K7" s="3"/>
      <c r="L7" s="3">
        <f t="shared" si="0"/>
        <v>-3.5616438356164383E-2</v>
      </c>
      <c r="M7" s="3"/>
      <c r="N7" s="2">
        <f>IF('Modell einstellen'!$B$1="Voll",H7/0.35,H7/0.35*2)</f>
        <v>1.8464274857142858E-4</v>
      </c>
      <c r="O7" s="2">
        <f>IF('Modell einstellen'!$B$1="Voll",J7/0.35,J7/0.35*2)</f>
        <v>-5.2026397714285716E-4</v>
      </c>
      <c r="P7" s="3">
        <f t="shared" si="1"/>
        <v>0.35490204335390357</v>
      </c>
      <c r="Q7" s="3"/>
      <c r="R7" s="3"/>
      <c r="S7" s="3"/>
      <c r="T7" s="3"/>
      <c r="U7" s="3"/>
      <c r="V7" s="3"/>
      <c r="W7" s="3"/>
    </row>
    <row r="8" spans="1:23" x14ac:dyDescent="0.25">
      <c r="A8" s="2">
        <v>1E-10</v>
      </c>
      <c r="B8" s="2">
        <v>-1.508E-5</v>
      </c>
      <c r="C8" s="2">
        <v>1.3990000000000001E-4</v>
      </c>
      <c r="D8" s="2">
        <v>-4.2339999999999999E-4</v>
      </c>
      <c r="E8" s="2">
        <v>0</v>
      </c>
      <c r="F8" s="2">
        <v>0</v>
      </c>
      <c r="G8" s="2">
        <v>0</v>
      </c>
      <c r="H8" s="2">
        <v>3.2312484999999998E-5</v>
      </c>
      <c r="I8" s="2">
        <v>1.2649098E-5</v>
      </c>
      <c r="J8" s="2">
        <v>-9.1046206999999995E-5</v>
      </c>
      <c r="K8" s="3"/>
      <c r="L8" s="3">
        <f t="shared" si="0"/>
        <v>-3.5616438356164383E-2</v>
      </c>
      <c r="M8" s="3"/>
      <c r="N8" s="2">
        <f>IF('Modell einstellen'!$B$1="Voll",H8/0.35,H8/0.35*2)</f>
        <v>1.8464277142857144E-4</v>
      </c>
      <c r="O8" s="2">
        <f>IF('Modell einstellen'!$B$1="Voll",J8/0.35,J8/0.35*2)</f>
        <v>-5.2026404000000005E-4</v>
      </c>
      <c r="P8" s="3">
        <f t="shared" si="1"/>
        <v>0.35490204440916467</v>
      </c>
      <c r="Q8" s="3"/>
      <c r="R8" s="3"/>
      <c r="S8" s="3"/>
      <c r="T8" s="3"/>
      <c r="U8" s="3"/>
      <c r="V8" s="3"/>
      <c r="W8" s="3"/>
    </row>
    <row r="9" spans="1:23" x14ac:dyDescent="0.25">
      <c r="A9" s="2">
        <v>1.0000000000000001E-9</v>
      </c>
      <c r="B9" s="2">
        <v>-1.508E-5</v>
      </c>
      <c r="C9" s="2">
        <v>1.3990000000000001E-4</v>
      </c>
      <c r="D9" s="2">
        <v>-4.2339999999999999E-4</v>
      </c>
      <c r="E9" s="2">
        <v>0</v>
      </c>
      <c r="F9" s="2">
        <v>0</v>
      </c>
      <c r="G9" s="2">
        <v>0</v>
      </c>
      <c r="H9" s="2">
        <v>3.2312486000000001E-5</v>
      </c>
      <c r="I9" s="2">
        <v>1.2649098999999999E-5</v>
      </c>
      <c r="J9" s="2">
        <v>-9.1046211000000006E-5</v>
      </c>
      <c r="K9" s="3"/>
      <c r="L9" s="3">
        <f t="shared" si="0"/>
        <v>-3.5616438356164383E-2</v>
      </c>
      <c r="M9" s="3"/>
      <c r="N9" s="2">
        <f>IF('Modell einstellen'!$B$1="Voll",H9/0.35,H9/0.35*2)</f>
        <v>1.8464277714285717E-4</v>
      </c>
      <c r="O9" s="2">
        <f>IF('Modell einstellen'!$B$1="Voll",J9/0.35,J9/0.35*2)</f>
        <v>-5.2026406285714288E-4</v>
      </c>
      <c r="P9" s="3">
        <f t="shared" si="1"/>
        <v>0.35490203980042623</v>
      </c>
      <c r="Q9" s="3"/>
      <c r="R9" s="3"/>
      <c r="S9" s="3"/>
      <c r="T9" s="3"/>
      <c r="U9" s="3"/>
      <c r="V9" s="3"/>
      <c r="W9" s="3"/>
    </row>
    <row r="10" spans="1:23" x14ac:dyDescent="0.25">
      <c r="A10" s="2">
        <v>1E-8</v>
      </c>
      <c r="B10" s="2">
        <v>-1.508E-5</v>
      </c>
      <c r="C10" s="2">
        <v>1.3990000000000001E-4</v>
      </c>
      <c r="D10" s="2">
        <v>-4.2339999999999999E-4</v>
      </c>
      <c r="E10" s="2">
        <v>0</v>
      </c>
      <c r="F10" s="2">
        <v>0</v>
      </c>
      <c r="G10" s="2">
        <v>0</v>
      </c>
      <c r="H10" s="2">
        <v>3.2312486999999997E-5</v>
      </c>
      <c r="I10" s="2">
        <v>1.2649100000000001E-5</v>
      </c>
      <c r="J10" s="2">
        <v>-9.1046212999999998E-5</v>
      </c>
      <c r="K10" s="3"/>
      <c r="L10" s="3">
        <f t="shared" si="0"/>
        <v>-3.5616438356164383E-2</v>
      </c>
      <c r="M10" s="3"/>
      <c r="N10" s="2">
        <f>IF('Modell einstellen'!$B$1="Voll",H10/0.35,H10/0.35*2)</f>
        <v>1.8464278285714285E-4</v>
      </c>
      <c r="O10" s="2">
        <f>IF('Modell einstellen'!$B$1="Voll",J10/0.35,J10/0.35*2)</f>
        <v>-5.2026407428571429E-4</v>
      </c>
      <c r="P10" s="3">
        <f t="shared" si="1"/>
        <v>0.35490204298777367</v>
      </c>
      <c r="Q10" s="3"/>
      <c r="R10" s="3"/>
      <c r="S10" s="3"/>
      <c r="T10" s="3"/>
      <c r="U10" s="3"/>
      <c r="V10" s="3"/>
      <c r="W10" s="3"/>
    </row>
    <row r="11" spans="1:23" x14ac:dyDescent="0.25">
      <c r="A11" s="2">
        <v>9.9999999999999995E-8</v>
      </c>
      <c r="B11" s="2">
        <v>-1.508E-5</v>
      </c>
      <c r="C11" s="2">
        <v>1.3990000000000001E-4</v>
      </c>
      <c r="D11" s="2">
        <v>-4.2339999999999999E-4</v>
      </c>
      <c r="E11" s="2">
        <v>0</v>
      </c>
      <c r="F11" s="2">
        <v>0</v>
      </c>
      <c r="G11" s="2">
        <v>0</v>
      </c>
      <c r="H11" s="2">
        <v>3.2312488E-5</v>
      </c>
      <c r="I11" s="2">
        <v>1.2649100000000001E-5</v>
      </c>
      <c r="J11" s="2">
        <v>-9.1046215000000004E-5</v>
      </c>
      <c r="K11" s="3"/>
      <c r="L11" s="3">
        <f t="shared" si="0"/>
        <v>-3.5616438356164383E-2</v>
      </c>
      <c r="M11" s="3"/>
      <c r="N11" s="2">
        <f>IF('Modell einstellen'!$B$1="Voll",H11/0.35,H11/0.35*2)</f>
        <v>1.8464278857142859E-4</v>
      </c>
      <c r="O11" s="2">
        <f>IF('Modell einstellen'!$B$1="Voll",J11/0.35,J11/0.35*2)</f>
        <v>-5.2026408571428581E-4</v>
      </c>
      <c r="P11" s="3">
        <f t="shared" si="1"/>
        <v>0.354902046175121</v>
      </c>
      <c r="Q11" s="3"/>
      <c r="R11" s="3"/>
      <c r="S11" s="3"/>
      <c r="T11" s="3"/>
      <c r="U11" s="3"/>
      <c r="V11" s="3"/>
      <c r="W11" s="3"/>
    </row>
    <row r="12" spans="1:23" x14ac:dyDescent="0.25">
      <c r="A12" s="2">
        <v>9.9999999999999995E-7</v>
      </c>
      <c r="B12" s="2">
        <v>-1.508E-5</v>
      </c>
      <c r="C12" s="2">
        <v>1.3990000000000001E-4</v>
      </c>
      <c r="D12" s="2">
        <v>-4.2339999999999999E-4</v>
      </c>
      <c r="E12" s="2">
        <v>0</v>
      </c>
      <c r="F12" s="2">
        <v>0</v>
      </c>
      <c r="G12" s="2">
        <v>0</v>
      </c>
      <c r="H12" s="2">
        <v>3.2312498000000001E-5</v>
      </c>
      <c r="I12" s="2">
        <v>1.2649101999999999E-5</v>
      </c>
      <c r="J12" s="2">
        <v>-9.1046229999999998E-5</v>
      </c>
      <c r="K12" s="3"/>
      <c r="L12" s="3">
        <f t="shared" si="0"/>
        <v>-3.5616438356164383E-2</v>
      </c>
      <c r="M12" s="3"/>
      <c r="N12" s="2">
        <f>IF('Modell einstellen'!$B$1="Voll",H12/0.35,H12/0.35*2)</f>
        <v>1.8464284571428574E-4</v>
      </c>
      <c r="O12" s="2">
        <f>IF('Modell einstellen'!$B$1="Voll",J12/0.35,J12/0.35*2)</f>
        <v>-5.2026417142857142E-4</v>
      </c>
      <c r="P12" s="3">
        <f t="shared" si="1"/>
        <v>0.35490209753879987</v>
      </c>
      <c r="Q12" s="3"/>
      <c r="R12" s="3"/>
      <c r="S12" s="3"/>
      <c r="T12" s="3"/>
      <c r="U12" s="3"/>
      <c r="V12" s="3"/>
      <c r="W12" s="3"/>
    </row>
    <row r="13" spans="1:23" x14ac:dyDescent="0.25">
      <c r="A13" s="2">
        <v>1.0000000000000001E-5</v>
      </c>
      <c r="B13" s="2">
        <v>-1.508E-5</v>
      </c>
      <c r="C13" s="2">
        <v>1.3990000000000001E-4</v>
      </c>
      <c r="D13" s="2">
        <v>-4.2339999999999999E-4</v>
      </c>
      <c r="E13" s="2">
        <v>0</v>
      </c>
      <c r="F13" s="2">
        <v>0</v>
      </c>
      <c r="G13" s="2">
        <v>0</v>
      </c>
      <c r="H13" s="2">
        <v>3.2312596000000002E-5</v>
      </c>
      <c r="I13" s="2">
        <v>1.2649117E-5</v>
      </c>
      <c r="J13" s="2">
        <v>-9.1046379999999995E-5</v>
      </c>
      <c r="K13" s="3"/>
      <c r="L13" s="3">
        <f t="shared" si="0"/>
        <v>-3.5616438356164383E-2</v>
      </c>
      <c r="M13" s="3"/>
      <c r="N13" s="2">
        <f>IF('Modell einstellen'!$B$1="Voll",H13/0.35,H13/0.35*2)</f>
        <v>1.8464340571428575E-4</v>
      </c>
      <c r="O13" s="2">
        <f>IF('Modell einstellen'!$B$1="Voll",J13/0.35,J13/0.35*2)</f>
        <v>-5.2026502857142854E-4</v>
      </c>
      <c r="P13" s="3">
        <f t="shared" si="1"/>
        <v>0.35490258920783019</v>
      </c>
      <c r="Q13" s="3"/>
      <c r="R13" s="3"/>
      <c r="S13" s="3"/>
      <c r="T13" s="3"/>
      <c r="U13" s="3"/>
      <c r="V13" s="3"/>
      <c r="W13" s="3"/>
    </row>
    <row r="14" spans="1:23" x14ac:dyDescent="0.25">
      <c r="A14" s="2">
        <v>1E-4</v>
      </c>
      <c r="B14" s="2">
        <v>-1.509E-5</v>
      </c>
      <c r="C14" s="2">
        <v>1.3990000000000001E-4</v>
      </c>
      <c r="D14" s="2">
        <v>-4.2339999999999999E-4</v>
      </c>
      <c r="E14" s="2">
        <v>0</v>
      </c>
      <c r="F14" s="2">
        <v>0</v>
      </c>
      <c r="G14" s="2">
        <v>0</v>
      </c>
      <c r="H14" s="2">
        <v>3.231358E-5</v>
      </c>
      <c r="I14" s="2">
        <v>1.2649271E-5</v>
      </c>
      <c r="J14" s="2">
        <v>-9.1047877999999999E-5</v>
      </c>
      <c r="K14" s="3"/>
      <c r="L14" s="3">
        <f t="shared" si="0"/>
        <v>-3.5640056683986773E-2</v>
      </c>
      <c r="M14" s="3"/>
      <c r="N14" s="2">
        <f>IF('Modell einstellen'!$B$1="Voll",H14/0.35,H14/0.35*2)</f>
        <v>1.8464902857142859E-4</v>
      </c>
      <c r="O14" s="2">
        <f>IF('Modell einstellen'!$B$1="Voll",J14/0.35,J14/0.35*2)</f>
        <v>-5.202735885714286E-4</v>
      </c>
      <c r="P14" s="3">
        <f t="shared" si="1"/>
        <v>0.35490755753802411</v>
      </c>
      <c r="Q14" s="3"/>
      <c r="R14" s="3"/>
      <c r="S14" s="3"/>
      <c r="T14" s="3"/>
      <c r="U14" s="3"/>
      <c r="V14" s="3"/>
      <c r="W14" s="3"/>
    </row>
    <row r="15" spans="1:23" x14ac:dyDescent="0.25">
      <c r="A15" s="2">
        <v>1E-3</v>
      </c>
      <c r="B15" s="2">
        <v>-1.5140000000000001E-5</v>
      </c>
      <c r="C15" s="2">
        <v>1.3990000000000001E-4</v>
      </c>
      <c r="D15" s="2">
        <v>-4.2329999999999999E-4</v>
      </c>
      <c r="E15" s="2">
        <v>0</v>
      </c>
      <c r="F15" s="2">
        <v>0</v>
      </c>
      <c r="G15" s="2">
        <v>0</v>
      </c>
      <c r="H15" s="2">
        <v>3.2323336999999997E-5</v>
      </c>
      <c r="I15" s="2">
        <v>1.2650798E-5</v>
      </c>
      <c r="J15" s="2">
        <v>-9.1062729000000004E-5</v>
      </c>
      <c r="K15" s="3"/>
      <c r="L15" s="3">
        <f t="shared" si="0"/>
        <v>-3.5766595794944483E-2</v>
      </c>
      <c r="M15" s="3"/>
      <c r="N15" s="2">
        <f>IF('Modell einstellen'!$B$1="Voll",H15/0.35,H15/0.35*2)</f>
        <v>1.8470478285714285E-4</v>
      </c>
      <c r="O15" s="2">
        <f>IF('Modell einstellen'!$B$1="Voll",J15/0.35,J15/0.35*2)</f>
        <v>-5.2035845142857145E-4</v>
      </c>
      <c r="P15" s="3">
        <f t="shared" si="1"/>
        <v>0.35495682322457078</v>
      </c>
      <c r="Q15" s="3"/>
      <c r="R15" s="3"/>
      <c r="S15" s="3"/>
      <c r="T15" s="3"/>
      <c r="U15" s="3"/>
      <c r="V15" s="3"/>
      <c r="W15" s="3"/>
    </row>
    <row r="16" spans="1:23" x14ac:dyDescent="0.25">
      <c r="A16" s="2">
        <v>0.01</v>
      </c>
      <c r="B16" s="2">
        <v>-1.5639999999999999E-5</v>
      </c>
      <c r="C16" s="2">
        <v>1.3999999999999999E-4</v>
      </c>
      <c r="D16" s="2">
        <v>-4.2319999999999999E-4</v>
      </c>
      <c r="E16" s="2">
        <v>0</v>
      </c>
      <c r="F16" s="2">
        <v>0</v>
      </c>
      <c r="G16" s="2">
        <v>0</v>
      </c>
      <c r="H16" s="2">
        <v>3.2416689999999997E-5</v>
      </c>
      <c r="I16" s="2">
        <v>1.2665400000000001E-5</v>
      </c>
      <c r="J16" s="2">
        <v>-9.1204778999999994E-5</v>
      </c>
      <c r="K16" s="3"/>
      <c r="L16" s="3">
        <f t="shared" si="0"/>
        <v>-3.6956521739130437E-2</v>
      </c>
      <c r="M16" s="3"/>
      <c r="N16" s="2">
        <f>IF('Modell einstellen'!$B$1="Voll",H16/0.35,H16/0.35*2)</f>
        <v>1.8523822857142855E-4</v>
      </c>
      <c r="O16" s="2">
        <f>IF('Modell einstellen'!$B$1="Voll",J16/0.35,J16/0.35*2)</f>
        <v>-5.2117016571428566E-4</v>
      </c>
      <c r="P16" s="3">
        <f t="shared" si="1"/>
        <v>0.35542753741007366</v>
      </c>
      <c r="Q16" s="3"/>
      <c r="R16" s="3"/>
      <c r="S16" s="3"/>
      <c r="T16" s="3"/>
      <c r="U16" s="3"/>
      <c r="V16" s="3"/>
      <c r="W16" s="3"/>
    </row>
    <row r="17" spans="1:23" x14ac:dyDescent="0.25">
      <c r="A17" s="2">
        <v>0.1</v>
      </c>
      <c r="B17" s="2">
        <v>-1.9320000000000001E-5</v>
      </c>
      <c r="C17" s="2">
        <v>1.4119999999999999E-4</v>
      </c>
      <c r="D17" s="2">
        <v>-4.2240000000000002E-4</v>
      </c>
      <c r="E17" s="2">
        <v>0</v>
      </c>
      <c r="F17" s="2">
        <v>0</v>
      </c>
      <c r="G17" s="2">
        <v>0</v>
      </c>
      <c r="H17" s="2">
        <v>3.3105370000000001E-5</v>
      </c>
      <c r="I17" s="2">
        <v>1.2772326000000001E-5</v>
      </c>
      <c r="J17" s="2">
        <v>-9.2249615E-5</v>
      </c>
      <c r="K17" s="3"/>
      <c r="L17" s="3">
        <f t="shared" si="0"/>
        <v>-4.5738636363636363E-2</v>
      </c>
      <c r="M17" s="3"/>
      <c r="N17" s="2">
        <f>IF('Modell einstellen'!$B$1="Voll",H17/0.35,H17/0.35*2)</f>
        <v>1.8917354285714286E-4</v>
      </c>
      <c r="O17" s="2">
        <f>IF('Modell einstellen'!$B$1="Voll",J17/0.35,J17/0.35*2)</f>
        <v>-5.2714065714285722E-4</v>
      </c>
      <c r="P17" s="3">
        <f t="shared" si="1"/>
        <v>0.35886729716974969</v>
      </c>
      <c r="Q17" s="3"/>
      <c r="R17" s="3"/>
      <c r="S17" s="3"/>
      <c r="T17" s="3"/>
      <c r="U17" s="3"/>
      <c r="V17" s="3"/>
      <c r="W17" s="3"/>
    </row>
    <row r="18" spans="1:23" x14ac:dyDescent="0.25">
      <c r="A18" s="2">
        <v>1</v>
      </c>
      <c r="B18" s="2">
        <v>-2.588E-5</v>
      </c>
      <c r="C18" s="2">
        <v>1.4310000000000001E-4</v>
      </c>
      <c r="D18" s="2">
        <v>-4.2059999999999998E-4</v>
      </c>
      <c r="E18" s="2">
        <v>0</v>
      </c>
      <c r="F18" s="2">
        <v>0</v>
      </c>
      <c r="G18" s="2">
        <v>0</v>
      </c>
      <c r="H18" s="2">
        <v>3.4298772000000001E-5</v>
      </c>
      <c r="I18" s="2">
        <v>1.2955475E-5</v>
      </c>
      <c r="J18" s="2">
        <v>-9.4042767999999999E-5</v>
      </c>
      <c r="K18" s="3"/>
      <c r="L18" s="3">
        <f t="shared" si="0"/>
        <v>-6.1531145981930581E-2</v>
      </c>
      <c r="M18" s="3"/>
      <c r="N18" s="2">
        <f>IF('Modell einstellen'!$B$1="Voll",H18/0.35,H18/0.35*2)</f>
        <v>1.9599298285714287E-4</v>
      </c>
      <c r="O18" s="2">
        <f>IF('Modell einstellen'!$B$1="Voll",J18/0.35,J18/0.35*2)</f>
        <v>-5.3738724571428579E-4</v>
      </c>
      <c r="P18" s="3">
        <f t="shared" si="1"/>
        <v>0.36471461580118525</v>
      </c>
      <c r="Q18" s="3"/>
      <c r="R18" s="3"/>
      <c r="S18" s="3"/>
      <c r="T18" s="3"/>
      <c r="U18" s="3"/>
      <c r="V18" s="3"/>
      <c r="W18" s="3"/>
    </row>
    <row r="19" spans="1:23" x14ac:dyDescent="0.25">
      <c r="A19" s="2">
        <v>10</v>
      </c>
      <c r="B19" s="2">
        <v>-3.0910000000000001E-5</v>
      </c>
      <c r="C19" s="2">
        <v>1.4469999999999999E-4</v>
      </c>
      <c r="D19" s="2">
        <v>-4.191E-4</v>
      </c>
      <c r="E19" s="2">
        <v>0</v>
      </c>
      <c r="F19" s="2">
        <v>0</v>
      </c>
      <c r="G19" s="2">
        <v>0</v>
      </c>
      <c r="H19" s="2">
        <v>3.5199886999999999E-5</v>
      </c>
      <c r="I19" s="2">
        <v>1.3097889E-5</v>
      </c>
      <c r="J19" s="2">
        <v>-9.5393229000000006E-5</v>
      </c>
      <c r="K19" s="3"/>
      <c r="L19" s="3">
        <f t="shared" si="0"/>
        <v>-7.3753280839895019E-2</v>
      </c>
      <c r="M19" s="3"/>
      <c r="N19" s="2">
        <f>IF('Modell einstellen'!$B$1="Voll",H19/0.35,H19/0.35*2)</f>
        <v>2.0114221142857145E-4</v>
      </c>
      <c r="O19" s="2">
        <f>IF('Modell einstellen'!$B$1="Voll",J19/0.35,J19/0.35*2)</f>
        <v>-5.4510416571428575E-4</v>
      </c>
      <c r="P19" s="3">
        <f t="shared" si="1"/>
        <v>0.368997751402251</v>
      </c>
      <c r="Q19" s="3"/>
      <c r="R19" s="3"/>
      <c r="S19" s="3"/>
      <c r="T19" s="3"/>
      <c r="U19" s="3"/>
      <c r="V19" s="3"/>
      <c r="W19" s="3"/>
    </row>
    <row r="20" spans="1:23" x14ac:dyDescent="0.25">
      <c r="A20" s="2">
        <v>100</v>
      </c>
      <c r="B20" s="2">
        <v>-3.6380000000000001E-5</v>
      </c>
      <c r="C20" s="2">
        <v>1.4630000000000001E-4</v>
      </c>
      <c r="D20" s="2">
        <v>-4.1730000000000001E-4</v>
      </c>
      <c r="E20" s="2">
        <v>0</v>
      </c>
      <c r="F20" s="2">
        <v>0</v>
      </c>
      <c r="G20" s="2">
        <v>0</v>
      </c>
      <c r="H20" s="2">
        <v>3.6148359999999998E-5</v>
      </c>
      <c r="I20" s="2">
        <v>1.3243187999999999E-5</v>
      </c>
      <c r="J20" s="2">
        <v>-9.6800307000000001E-5</v>
      </c>
      <c r="K20" s="3"/>
      <c r="L20" s="3">
        <f t="shared" si="0"/>
        <v>-8.7179487179487175E-2</v>
      </c>
      <c r="M20" s="3"/>
      <c r="N20" s="2">
        <f>IF('Modell einstellen'!$B$1="Voll",H20/0.35,H20/0.35*2)</f>
        <v>2.0656205714285716E-4</v>
      </c>
      <c r="O20" s="2">
        <f>IF('Modell einstellen'!$B$1="Voll",J20/0.35,J20/0.35*2)</f>
        <v>-5.531446114285715E-4</v>
      </c>
      <c r="P20" s="3">
        <f t="shared" si="1"/>
        <v>0.37343228673851209</v>
      </c>
      <c r="Q20" s="3"/>
      <c r="R20" s="3"/>
      <c r="S20" s="3"/>
      <c r="T20" s="3"/>
      <c r="U20" s="3"/>
      <c r="V20" s="3"/>
      <c r="W20" s="3"/>
    </row>
    <row r="21" spans="1:23" x14ac:dyDescent="0.25">
      <c r="A21" s="2">
        <v>1000</v>
      </c>
      <c r="B21" s="2">
        <v>-4.2840000000000003E-5</v>
      </c>
      <c r="C21" s="2">
        <v>1.482E-4</v>
      </c>
      <c r="D21" s="2">
        <v>-4.149E-4</v>
      </c>
      <c r="E21" s="2">
        <v>0</v>
      </c>
      <c r="F21" s="2">
        <v>0</v>
      </c>
      <c r="G21" s="2">
        <v>0</v>
      </c>
      <c r="H21" s="2">
        <v>3.7250158999999999E-5</v>
      </c>
      <c r="I21" s="2">
        <v>1.3410285E-5</v>
      </c>
      <c r="J21" s="2">
        <v>-9.8421907000000006E-5</v>
      </c>
      <c r="K21" s="3"/>
      <c r="L21" s="3">
        <f t="shared" si="0"/>
        <v>-0.10325379609544469</v>
      </c>
      <c r="M21" s="3"/>
      <c r="N21" s="2">
        <f>IF('Modell einstellen'!$B$1="Voll",H21/0.35,H21/0.35*2)</f>
        <v>2.1285805142857143E-4</v>
      </c>
      <c r="O21" s="2">
        <f>IF('Modell einstellen'!$B$1="Voll",J21/0.35,J21/0.35*2)</f>
        <v>-5.6241089714285724E-4</v>
      </c>
      <c r="P21" s="3">
        <f t="shared" si="1"/>
        <v>0.37847426589692063</v>
      </c>
      <c r="Q21" s="3"/>
      <c r="R21" s="3"/>
      <c r="S21" s="3"/>
      <c r="T21" s="3"/>
      <c r="U21" s="3"/>
      <c r="V21" s="3"/>
      <c r="W21" s="3"/>
    </row>
    <row r="22" spans="1:23" x14ac:dyDescent="0.25">
      <c r="A22" s="2">
        <v>10000</v>
      </c>
      <c r="B22" s="2">
        <v>-4.8989999999999997E-5</v>
      </c>
      <c r="C22" s="2">
        <v>1.5139999999999999E-4</v>
      </c>
      <c r="D22" s="2">
        <v>-4.1429999999999999E-4</v>
      </c>
      <c r="E22" s="2">
        <v>0</v>
      </c>
      <c r="F22" s="2">
        <v>0</v>
      </c>
      <c r="G22" s="2">
        <v>0</v>
      </c>
      <c r="H22" s="2">
        <v>3.8592371999999997E-5</v>
      </c>
      <c r="I22" s="2">
        <v>1.3708186E-5</v>
      </c>
      <c r="J22" s="2">
        <v>-1.0053147E-4</v>
      </c>
      <c r="K22" s="3"/>
      <c r="L22" s="3">
        <f t="shared" si="0"/>
        <v>-0.11824764663287472</v>
      </c>
      <c r="M22" s="3"/>
      <c r="N22" s="2">
        <f>IF('Modell einstellen'!$B$1="Voll",H22/0.35,H22/0.35*2)</f>
        <v>2.2052783999999999E-4</v>
      </c>
      <c r="O22" s="2">
        <f>IF('Modell einstellen'!$B$1="Voll",J22/0.35,J22/0.35*2)</f>
        <v>-5.7446554285714283E-4</v>
      </c>
      <c r="P22" s="3">
        <f t="shared" si="1"/>
        <v>0.38388349439235298</v>
      </c>
      <c r="Q22" s="3"/>
      <c r="R22" s="3"/>
      <c r="S22" s="3"/>
      <c r="T22" s="3"/>
      <c r="U22" s="3"/>
      <c r="V22" s="3"/>
      <c r="W22" s="3"/>
    </row>
    <row r="23" spans="1:23" x14ac:dyDescent="0.25">
      <c r="A23" s="2">
        <v>100000</v>
      </c>
      <c r="B23" s="2">
        <v>-4.6050000000000001E-5</v>
      </c>
      <c r="C23" s="2">
        <v>1.595E-4</v>
      </c>
      <c r="D23" s="2">
        <v>-4.2539999999999999E-4</v>
      </c>
      <c r="E23" s="2">
        <v>0</v>
      </c>
      <c r="F23" s="2">
        <v>0</v>
      </c>
      <c r="G23" s="2">
        <v>0</v>
      </c>
      <c r="H23" s="2">
        <v>4.0776355999999998E-5</v>
      </c>
      <c r="I23" s="2">
        <v>1.4682882E-5</v>
      </c>
      <c r="J23" s="2">
        <v>-1.0467393E-4</v>
      </c>
      <c r="K23" s="3"/>
      <c r="L23" s="3">
        <f t="shared" si="0"/>
        <v>-0.10825105782792667</v>
      </c>
      <c r="M23" s="3"/>
      <c r="N23" s="2">
        <f>IF('Modell einstellen'!$B$1="Voll",H23/0.35,H23/0.35*2)</f>
        <v>2.3300774857142859E-4</v>
      </c>
      <c r="O23" s="2">
        <f>IF('Modell einstellen'!$B$1="Voll",J23/0.35,J23/0.35*2)</f>
        <v>-5.9813674285714286E-4</v>
      </c>
      <c r="P23" s="3">
        <f t="shared" si="1"/>
        <v>0.38955598590785695</v>
      </c>
      <c r="Q23" s="3"/>
      <c r="R23" s="3"/>
      <c r="S23" s="3"/>
      <c r="T23" s="3"/>
      <c r="U23" s="3"/>
      <c r="V23" s="3"/>
      <c r="W23" s="3"/>
    </row>
    <row r="24" spans="1:23" x14ac:dyDescent="0.25">
      <c r="A24" s="2">
        <v>1000000</v>
      </c>
      <c r="B24" s="2">
        <v>-2.1939999999999999E-7</v>
      </c>
      <c r="C24" s="2">
        <v>1.8589999999999999E-4</v>
      </c>
      <c r="D24" s="2">
        <v>-4.8769999999999998E-4</v>
      </c>
      <c r="E24" s="2">
        <v>0</v>
      </c>
      <c r="F24" s="2">
        <v>0</v>
      </c>
      <c r="G24" s="2">
        <v>0</v>
      </c>
      <c r="H24" s="2">
        <v>4.5791726000000002E-5</v>
      </c>
      <c r="I24" s="2">
        <v>1.8423627000000001E-5</v>
      </c>
      <c r="J24" s="2">
        <v>-1.1644216000000001E-4</v>
      </c>
      <c r="K24" s="3"/>
      <c r="L24" s="3">
        <f t="shared" si="0"/>
        <v>-4.4986672134508918E-4</v>
      </c>
      <c r="M24" s="3"/>
      <c r="N24" s="2">
        <f>IF('Modell einstellen'!$B$1="Voll",H24/0.35,H24/0.35*2)</f>
        <v>2.6166700571428575E-4</v>
      </c>
      <c r="O24" s="2">
        <f>IF('Modell einstellen'!$B$1="Voll",J24/0.35,J24/0.35*2)</f>
        <v>-6.6538377142857149E-4</v>
      </c>
      <c r="P24" s="3">
        <f t="shared" si="1"/>
        <v>0.3932572703907245</v>
      </c>
      <c r="Q24" s="3"/>
      <c r="R24" s="3"/>
      <c r="S24" s="3"/>
      <c r="T24" s="3"/>
      <c r="U24" s="3"/>
      <c r="V24" s="3"/>
      <c r="W24" s="3"/>
    </row>
    <row r="25" spans="1:23" x14ac:dyDescent="0.25">
      <c r="A25" s="2">
        <v>10000000</v>
      </c>
      <c r="B25" s="2">
        <v>9.5439999999999994E-5</v>
      </c>
      <c r="C25" s="2">
        <v>2.351E-4</v>
      </c>
      <c r="D25" s="2">
        <v>-6.1079999999999999E-4</v>
      </c>
      <c r="E25" s="2">
        <v>0</v>
      </c>
      <c r="F25" s="2">
        <v>0</v>
      </c>
      <c r="G25" s="2">
        <v>0</v>
      </c>
      <c r="H25" s="2">
        <v>5.3864538999999999E-5</v>
      </c>
      <c r="I25" s="2">
        <v>2.5600403000000001E-5</v>
      </c>
      <c r="J25" s="2">
        <v>-1.3729097000000001E-4</v>
      </c>
      <c r="K25" s="3"/>
      <c r="L25" s="3">
        <f t="shared" si="0"/>
        <v>0.15625409299279633</v>
      </c>
      <c r="M25" s="3"/>
      <c r="N25" s="2">
        <f>IF('Modell einstellen'!$B$1="Voll",H25/0.35,H25/0.35*2)</f>
        <v>3.0779736571428574E-4</v>
      </c>
      <c r="O25" s="2">
        <f>IF('Modell einstellen'!$B$1="Voll",J25/0.35,J25/0.35*2)</f>
        <v>-7.8451982857142871E-4</v>
      </c>
      <c r="P25" s="3">
        <f t="shared" si="1"/>
        <v>0.39233854200316304</v>
      </c>
      <c r="Q25" s="3"/>
      <c r="R25" s="3"/>
      <c r="S25" s="3"/>
      <c r="T25" s="3"/>
      <c r="U25" s="3"/>
      <c r="V25" s="3"/>
      <c r="W25" s="3"/>
    </row>
    <row r="26" spans="1:23" x14ac:dyDescent="0.25">
      <c r="A26" s="2">
        <v>100000000</v>
      </c>
      <c r="B26" s="2">
        <v>2.041E-4</v>
      </c>
      <c r="C26" s="2">
        <v>2.943E-4</v>
      </c>
      <c r="D26" s="2">
        <v>-7.5489999999999997E-4</v>
      </c>
      <c r="E26" s="2">
        <v>0</v>
      </c>
      <c r="F26" s="2">
        <v>0</v>
      </c>
      <c r="G26" s="2">
        <v>0</v>
      </c>
      <c r="H26" s="2">
        <v>6.2573227E-5</v>
      </c>
      <c r="I26" s="2">
        <v>3.3945188000000002E-5</v>
      </c>
      <c r="J26" s="2">
        <v>-1.6094762000000001E-4</v>
      </c>
      <c r="K26" s="3"/>
      <c r="L26" s="3">
        <f t="shared" si="0"/>
        <v>0.27036693601801565</v>
      </c>
      <c r="M26" s="3"/>
      <c r="N26" s="2">
        <f>IF('Modell einstellen'!$B$1="Voll",H26/0.35,H26/0.35*2)</f>
        <v>3.5756129714285714E-4</v>
      </c>
      <c r="O26" s="2">
        <f>IF('Modell einstellen'!$B$1="Voll",J26/0.35,J26/0.35*2)</f>
        <v>-9.1970068571428578E-4</v>
      </c>
      <c r="P26" s="3">
        <f t="shared" si="1"/>
        <v>0.38878007018680982</v>
      </c>
      <c r="Q26" s="3"/>
      <c r="R26" s="3"/>
      <c r="S26" s="3"/>
      <c r="T26" s="3"/>
      <c r="U26" s="3"/>
      <c r="V26" s="3"/>
      <c r="W26" s="3"/>
    </row>
    <row r="27" spans="1:23" x14ac:dyDescent="0.25">
      <c r="A27" s="2">
        <v>1000000000</v>
      </c>
      <c r="B27" s="2">
        <v>3.0039999999999998E-4</v>
      </c>
      <c r="C27" s="2">
        <v>3.5359999999999998E-4</v>
      </c>
      <c r="D27" s="2">
        <v>-8.9110000000000003E-4</v>
      </c>
      <c r="E27" s="2">
        <v>0</v>
      </c>
      <c r="F27" s="2">
        <v>0</v>
      </c>
      <c r="G27" s="2">
        <v>0</v>
      </c>
      <c r="H27" s="2">
        <v>7.0746065999999997E-5</v>
      </c>
      <c r="I27" s="2">
        <v>4.1939605999999997E-5</v>
      </c>
      <c r="J27" s="2">
        <v>-1.8367239E-4</v>
      </c>
      <c r="K27" s="3"/>
      <c r="L27" s="3">
        <f t="shared" si="0"/>
        <v>0.33711143530467957</v>
      </c>
      <c r="M27" s="3"/>
      <c r="N27" s="2">
        <f>IF('Modell einstellen'!$B$1="Voll",H27/0.35,H27/0.35*2)</f>
        <v>4.0426323428571428E-4</v>
      </c>
      <c r="O27" s="2">
        <f>IF('Modell einstellen'!$B$1="Voll",J27/0.35,J27/0.35*2)</f>
        <v>-1.0495565142857144E-3</v>
      </c>
      <c r="P27" s="3">
        <f t="shared" si="1"/>
        <v>0.38517528954678487</v>
      </c>
      <c r="Q27" s="3"/>
      <c r="R27" s="3"/>
      <c r="S27" s="3"/>
      <c r="T27" s="3"/>
      <c r="U27" s="3"/>
      <c r="V27" s="3"/>
      <c r="W27" s="3"/>
    </row>
    <row r="28" spans="1:23" x14ac:dyDescent="0.25">
      <c r="A28" s="2">
        <v>10000000000</v>
      </c>
      <c r="B28" s="2">
        <v>3.8069999999999998E-4</v>
      </c>
      <c r="C28" s="2">
        <v>4.1140000000000003E-4</v>
      </c>
      <c r="D28" s="2">
        <v>-1.0150000000000001E-3</v>
      </c>
      <c r="E28" s="2">
        <v>0</v>
      </c>
      <c r="F28" s="2">
        <v>0</v>
      </c>
      <c r="G28" s="2">
        <v>0</v>
      </c>
      <c r="H28" s="2">
        <v>7.8550654999999997E-5</v>
      </c>
      <c r="I28" s="2">
        <v>4.9546007999999998E-5</v>
      </c>
      <c r="J28" s="2">
        <v>-2.0563472999999999E-4</v>
      </c>
      <c r="K28" s="3"/>
      <c r="L28" s="3">
        <f t="shared" si="0"/>
        <v>0.37507389162561572</v>
      </c>
      <c r="M28" s="3"/>
      <c r="N28" s="2">
        <f>IF('Modell einstellen'!$B$1="Voll",H28/0.35,H28/0.35*2)</f>
        <v>4.4886088571428575E-4</v>
      </c>
      <c r="O28" s="2">
        <f>IF('Modell einstellen'!$B$1="Voll",J28/0.35,J28/0.35*2)</f>
        <v>-1.1750555999999999E-3</v>
      </c>
      <c r="P28" s="3">
        <f t="shared" si="1"/>
        <v>0.38199118893972828</v>
      </c>
      <c r="Q28" s="3"/>
      <c r="R28" s="3"/>
      <c r="S28" s="3"/>
      <c r="T28" s="3"/>
      <c r="U28" s="3"/>
      <c r="V28" s="3"/>
      <c r="W28" s="3"/>
    </row>
    <row r="29" spans="1:23" x14ac:dyDescent="0.25">
      <c r="A29" s="2">
        <v>100000000000</v>
      </c>
      <c r="B29" s="2">
        <v>4.4729999999999998E-4</v>
      </c>
      <c r="C29" s="2">
        <v>4.6729999999999997E-4</v>
      </c>
      <c r="D29" s="2">
        <v>-1.1280000000000001E-3</v>
      </c>
      <c r="E29" s="2">
        <v>0</v>
      </c>
      <c r="F29" s="2">
        <v>0</v>
      </c>
      <c r="G29" s="2">
        <v>0</v>
      </c>
      <c r="H29" s="2">
        <v>8.5870352000000006E-5</v>
      </c>
      <c r="I29" s="2">
        <v>5.6855928000000002E-5</v>
      </c>
      <c r="J29" s="2">
        <v>-2.2678891999999999E-4</v>
      </c>
      <c r="K29" s="3"/>
      <c r="L29" s="3">
        <f t="shared" si="0"/>
        <v>0.39654255319148929</v>
      </c>
      <c r="M29" s="3"/>
      <c r="N29" s="2">
        <f>IF('Modell einstellen'!$B$1="Voll",H29/0.35,H29/0.35*2)</f>
        <v>4.9068772571428582E-4</v>
      </c>
      <c r="O29" s="2">
        <f>IF('Modell einstellen'!$B$1="Voll",J29/0.35,J29/0.35*2)</f>
        <v>-1.2959366857142858E-3</v>
      </c>
      <c r="P29" s="3">
        <f t="shared" si="1"/>
        <v>0.37863557002696607</v>
      </c>
      <c r="Q29" s="3"/>
      <c r="R29" s="3"/>
      <c r="S29" s="3"/>
      <c r="T29" s="3"/>
      <c r="U29" s="3"/>
      <c r="V29" s="3"/>
      <c r="W29" s="3"/>
    </row>
    <row r="30" spans="1:23" x14ac:dyDescent="0.25">
      <c r="A30" s="2">
        <v>1000000000000</v>
      </c>
      <c r="B30" s="2">
        <v>5.0120000000000004E-4</v>
      </c>
      <c r="C30" s="2">
        <v>5.1800000000000001E-4</v>
      </c>
      <c r="D30" s="2">
        <v>-1.225E-3</v>
      </c>
      <c r="E30" s="2">
        <v>0</v>
      </c>
      <c r="F30" s="2">
        <v>0</v>
      </c>
      <c r="G30" s="2">
        <v>0</v>
      </c>
      <c r="H30" s="2">
        <v>9.2135755000000003E-5</v>
      </c>
      <c r="I30" s="2">
        <v>6.3455172999999995E-5</v>
      </c>
      <c r="J30" s="2">
        <v>-2.4563800000000001E-4</v>
      </c>
      <c r="K30" s="3"/>
      <c r="L30" s="3">
        <f t="shared" si="0"/>
        <v>0.4091428571428572</v>
      </c>
      <c r="M30" s="3"/>
      <c r="N30" s="2">
        <f>IF('Modell einstellen'!$B$1="Voll",H30/0.35,H30/0.35*2)</f>
        <v>5.2649002857142865E-4</v>
      </c>
      <c r="O30" s="2">
        <f>IF('Modell einstellen'!$B$1="Voll",J30/0.35,J30/0.35*2)</f>
        <v>-1.4036457142857144E-3</v>
      </c>
      <c r="P30" s="3">
        <f t="shared" si="1"/>
        <v>0.37508754752929113</v>
      </c>
      <c r="Q30" s="3"/>
      <c r="R30" s="3"/>
      <c r="S30" s="3"/>
      <c r="T30" s="3"/>
      <c r="U30" s="3"/>
      <c r="V30" s="3"/>
      <c r="W30" s="3"/>
    </row>
    <row r="31" spans="1:23" x14ac:dyDescent="0.25">
      <c r="A31" s="2">
        <v>10000000000000</v>
      </c>
      <c r="B31" s="2">
        <v>5.4480000000000002E-4</v>
      </c>
      <c r="C31" s="2">
        <v>5.6340000000000003E-4</v>
      </c>
      <c r="D31" s="2">
        <v>-1.3079999999999999E-3</v>
      </c>
      <c r="E31" s="2">
        <v>0</v>
      </c>
      <c r="F31" s="2">
        <v>0</v>
      </c>
      <c r="G31" s="2">
        <v>0</v>
      </c>
      <c r="H31" s="2">
        <v>9.7724777999999996E-5</v>
      </c>
      <c r="I31" s="2">
        <v>6.9386441999999998E-5</v>
      </c>
      <c r="J31" s="2">
        <v>-2.6262189999999997E-4</v>
      </c>
      <c r="K31" s="3"/>
      <c r="L31" s="3">
        <f t="shared" si="0"/>
        <v>0.41651376146788993</v>
      </c>
      <c r="M31" s="3"/>
      <c r="N31" s="2">
        <f>IF('Modell einstellen'!$B$1="Voll",H31/0.35,H31/0.35*2)</f>
        <v>5.5842730285714291E-4</v>
      </c>
      <c r="O31" s="2">
        <f>IF('Modell einstellen'!$B$1="Voll",J31/0.35,J31/0.35*2)</f>
        <v>-1.5006965714285713E-3</v>
      </c>
      <c r="P31" s="3">
        <f t="shared" si="1"/>
        <v>0.37211206681544845</v>
      </c>
      <c r="Q31" s="3"/>
      <c r="R31" s="3"/>
      <c r="S31" s="3"/>
      <c r="T31" s="3"/>
      <c r="U31" s="3"/>
      <c r="V31" s="3"/>
      <c r="W31" s="3"/>
    </row>
    <row r="32" spans="1:23" x14ac:dyDescent="0.25">
      <c r="A32" s="2">
        <v>100000000000000</v>
      </c>
      <c r="B32" s="2">
        <v>5.8290000000000002E-4</v>
      </c>
      <c r="C32" s="2">
        <v>6.0650000000000005E-4</v>
      </c>
      <c r="D32" s="2">
        <v>-1.3860000000000001E-3</v>
      </c>
      <c r="E32" s="2">
        <v>0</v>
      </c>
      <c r="F32" s="2">
        <v>0</v>
      </c>
      <c r="G32" s="2">
        <v>0</v>
      </c>
      <c r="H32" s="2">
        <v>1.0342105E-4</v>
      </c>
      <c r="I32" s="2">
        <v>7.5170012000000007E-5</v>
      </c>
      <c r="J32" s="2">
        <v>-2.7952749E-4</v>
      </c>
      <c r="K32" s="3"/>
      <c r="L32" s="3">
        <f t="shared" si="0"/>
        <v>0.42056277056277053</v>
      </c>
      <c r="M32" s="3"/>
      <c r="N32" s="2">
        <f>IF('Modell einstellen'!$B$1="Voll",H32/0.35,H32/0.35*2)</f>
        <v>5.9097742857142858E-4</v>
      </c>
      <c r="O32" s="2">
        <f>IF('Modell einstellen'!$B$1="Voll",J32/0.35,J32/0.35*2)</f>
        <v>-1.597299942857143E-3</v>
      </c>
      <c r="P32" s="3">
        <f t="shared" si="1"/>
        <v>0.36998525619072381</v>
      </c>
      <c r="Q32" s="3"/>
      <c r="R32" s="3"/>
      <c r="S32" s="3"/>
      <c r="T32" s="3"/>
      <c r="U32" s="3"/>
      <c r="V32" s="3"/>
      <c r="W32" s="3"/>
    </row>
    <row r="33" spans="1:23" x14ac:dyDescent="0.25">
      <c r="A33" s="2">
        <v>1000000000000000</v>
      </c>
      <c r="B33" s="2">
        <v>6.133E-4</v>
      </c>
      <c r="C33" s="2">
        <v>6.4309999999999997E-4</v>
      </c>
      <c r="D33" s="2">
        <v>-1.4519999999999999E-3</v>
      </c>
      <c r="E33" s="2">
        <v>0</v>
      </c>
      <c r="F33" s="2">
        <v>0</v>
      </c>
      <c r="G33" s="2">
        <v>0</v>
      </c>
      <c r="H33" s="2">
        <v>1.0913917E-4</v>
      </c>
      <c r="I33" s="2">
        <v>8.0418006000000005E-5</v>
      </c>
      <c r="J33" s="2">
        <v>-2.9551284E-4</v>
      </c>
      <c r="K33" s="3"/>
      <c r="L33" s="3">
        <f t="shared" si="0"/>
        <v>0.42238292011019285</v>
      </c>
      <c r="M33" s="3"/>
      <c r="N33" s="2">
        <f>IF('Modell einstellen'!$B$1="Voll",H33/0.35,H33/0.35*2)</f>
        <v>6.2365240000000007E-4</v>
      </c>
      <c r="O33" s="2">
        <f>IF('Modell einstellen'!$B$1="Voll",J33/0.35,J33/0.35*2)</f>
        <v>-1.6886448000000001E-3</v>
      </c>
      <c r="P33" s="3">
        <f t="shared" si="1"/>
        <v>0.36932124505994396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-1.04E-5</v>
      </c>
      <c r="C3" s="3">
        <v>1.415E-4</v>
      </c>
      <c r="D3" s="3">
        <v>-4.2870000000000001E-4</v>
      </c>
      <c r="E3" s="3">
        <v>0</v>
      </c>
      <c r="F3" s="3">
        <v>0</v>
      </c>
      <c r="G3" s="3">
        <v>0</v>
      </c>
      <c r="H3" s="3">
        <v>3.2588293999999998E-5</v>
      </c>
      <c r="I3" s="3">
        <v>1.2895905E-5</v>
      </c>
      <c r="J3" s="3">
        <v>-9.1844273000000004E-5</v>
      </c>
      <c r="L3" s="3">
        <f>-B3/D3</f>
        <v>-2.4259388850011665E-2</v>
      </c>
      <c r="M3" s="3"/>
      <c r="N3" s="2">
        <f>IF('Modell einstellen'!$B$1="Voll",H3/0.35,H3/0.35*2)</f>
        <v>1.8621882285714287E-4</v>
      </c>
      <c r="O3" s="2">
        <f>IF('Modell einstellen'!$B$1="Voll",J3/0.35,J3/0.35*2)</f>
        <v>-5.2482441714285716E-4</v>
      </c>
      <c r="P3" s="3">
        <f>-N3/O3</f>
        <v>0.35482118738094864</v>
      </c>
    </row>
    <row r="4" spans="1:16" x14ac:dyDescent="0.25">
      <c r="A4" s="3">
        <v>1E-14</v>
      </c>
      <c r="B4" s="3">
        <v>-1.041E-5</v>
      </c>
      <c r="C4" s="3">
        <v>1.415E-4</v>
      </c>
      <c r="D4" s="3">
        <v>-4.2870000000000001E-4</v>
      </c>
      <c r="E4" s="3">
        <v>0</v>
      </c>
      <c r="F4" s="3">
        <v>0</v>
      </c>
      <c r="G4" s="3">
        <v>0</v>
      </c>
      <c r="H4" s="3">
        <v>3.2588422000000001E-5</v>
      </c>
      <c r="I4" s="3">
        <v>1.2896878E-5</v>
      </c>
      <c r="J4" s="3">
        <v>-9.1842913000000003E-5</v>
      </c>
      <c r="L4" s="3">
        <f t="shared" ref="L4:L33" si="0">-B4/D4</f>
        <v>-2.4282715185444368E-2</v>
      </c>
      <c r="M4" s="3"/>
      <c r="N4" s="2">
        <f>IF('Modell einstellen'!$B$1="Voll",H4/0.35,H4/0.35*2)</f>
        <v>1.8621955428571431E-4</v>
      </c>
      <c r="O4" s="2">
        <f>IF('Modell einstellen'!$B$1="Voll",J4/0.35,J4/0.35*2)</f>
        <v>-5.2481664571428575E-4</v>
      </c>
      <c r="P4" s="3">
        <f t="shared" ref="P4:P33" si="1">-N4/O4</f>
        <v>0.35482783521903322</v>
      </c>
    </row>
    <row r="5" spans="1:16" x14ac:dyDescent="0.25">
      <c r="A5" s="3">
        <v>1E-13</v>
      </c>
      <c r="B5" s="3">
        <v>-1.041E-5</v>
      </c>
      <c r="C5" s="3">
        <v>1.415E-4</v>
      </c>
      <c r="D5" s="3">
        <v>-4.2870000000000001E-4</v>
      </c>
      <c r="E5" s="3">
        <v>0</v>
      </c>
      <c r="F5" s="3">
        <v>0</v>
      </c>
      <c r="G5" s="3">
        <v>0</v>
      </c>
      <c r="H5" s="3">
        <v>3.2588597E-5</v>
      </c>
      <c r="I5" s="3">
        <v>1.289704E-5</v>
      </c>
      <c r="J5" s="3">
        <v>-9.1843389999999995E-5</v>
      </c>
      <c r="L5" s="3">
        <f t="shared" si="0"/>
        <v>-2.4282715185444368E-2</v>
      </c>
      <c r="M5" s="3"/>
      <c r="N5" s="2">
        <f>IF('Modell einstellen'!$B$1="Voll",H5/0.35,H5/0.35*2)</f>
        <v>1.8622055428571429E-4</v>
      </c>
      <c r="O5" s="2">
        <f>IF('Modell einstellen'!$B$1="Voll",J5/0.35,J5/0.35*2)</f>
        <v>-5.2481937142857143E-4</v>
      </c>
      <c r="P5" s="3">
        <f t="shared" si="1"/>
        <v>0.35482789779427787</v>
      </c>
    </row>
    <row r="6" spans="1:16" x14ac:dyDescent="0.25">
      <c r="A6" s="3">
        <v>9.9999999999999998E-13</v>
      </c>
      <c r="B6" s="3">
        <v>-1.041E-5</v>
      </c>
      <c r="C6" s="3">
        <v>1.415E-4</v>
      </c>
      <c r="D6" s="3">
        <v>-4.2870000000000001E-4</v>
      </c>
      <c r="E6" s="3">
        <v>0</v>
      </c>
      <c r="F6" s="3">
        <v>0</v>
      </c>
      <c r="G6" s="3">
        <v>0</v>
      </c>
      <c r="H6" s="3">
        <v>3.2588648E-5</v>
      </c>
      <c r="I6" s="3">
        <v>1.2897085E-5</v>
      </c>
      <c r="J6" s="3">
        <v>-9.1843525999999993E-5</v>
      </c>
      <c r="L6" s="3">
        <f t="shared" si="0"/>
        <v>-2.4282715185444368E-2</v>
      </c>
      <c r="M6" s="3"/>
      <c r="N6" s="2">
        <f>IF('Modell einstellen'!$B$1="Voll",H6/0.35,H6/0.35*2)</f>
        <v>1.8622084571428573E-4</v>
      </c>
      <c r="O6" s="2">
        <f>IF('Modell einstellen'!$B$1="Voll",J6/0.35,J6/0.35*2)</f>
        <v>-5.2482014857142855E-4</v>
      </c>
      <c r="P6" s="3">
        <f t="shared" si="1"/>
        <v>0.354827927664711</v>
      </c>
    </row>
    <row r="7" spans="1:16" x14ac:dyDescent="0.25">
      <c r="A7" s="3">
        <v>9.9999999999999994E-12</v>
      </c>
      <c r="B7" s="3">
        <v>-1.041E-5</v>
      </c>
      <c r="C7" s="3">
        <v>1.415E-4</v>
      </c>
      <c r="D7" s="3">
        <v>-4.2870000000000001E-4</v>
      </c>
      <c r="E7" s="3">
        <v>0</v>
      </c>
      <c r="F7" s="3">
        <v>0</v>
      </c>
      <c r="G7" s="3">
        <v>0</v>
      </c>
      <c r="H7" s="3">
        <v>3.2588729999999997E-5</v>
      </c>
      <c r="I7" s="3">
        <v>1.289711E-5</v>
      </c>
      <c r="J7" s="3">
        <v>-9.1843669000000005E-5</v>
      </c>
      <c r="L7" s="3">
        <f t="shared" si="0"/>
        <v>-2.4282715185444368E-2</v>
      </c>
      <c r="M7" s="3"/>
      <c r="N7" s="2">
        <f>IF('Modell einstellen'!$B$1="Voll",H7/0.35,H7/0.35*2)</f>
        <v>1.8622131428571429E-4</v>
      </c>
      <c r="O7" s="2">
        <f>IF('Modell einstellen'!$B$1="Voll",J7/0.35,J7/0.35*2)</f>
        <v>-5.2482096571428573E-4</v>
      </c>
      <c r="P7" s="3">
        <f t="shared" si="1"/>
        <v>0.35482826802139189</v>
      </c>
    </row>
    <row r="8" spans="1:16" x14ac:dyDescent="0.25">
      <c r="A8" s="3">
        <v>1E-10</v>
      </c>
      <c r="B8" s="3">
        <v>-1.041E-5</v>
      </c>
      <c r="C8" s="3">
        <v>1.415E-4</v>
      </c>
      <c r="D8" s="3">
        <v>-4.2870000000000001E-4</v>
      </c>
      <c r="E8" s="3">
        <v>0</v>
      </c>
      <c r="F8" s="3">
        <v>0</v>
      </c>
      <c r="G8" s="3">
        <v>0</v>
      </c>
      <c r="H8" s="3">
        <v>3.2589428E-5</v>
      </c>
      <c r="I8" s="3">
        <v>1.2897226E-5</v>
      </c>
      <c r="J8" s="3">
        <v>-9.1844742999999996E-5</v>
      </c>
      <c r="L8" s="3">
        <f t="shared" si="0"/>
        <v>-2.4282715185444368E-2</v>
      </c>
      <c r="M8" s="3"/>
      <c r="N8" s="2">
        <f>IF('Modell einstellen'!$B$1="Voll",H8/0.35,H8/0.35*2)</f>
        <v>1.8622530285714286E-4</v>
      </c>
      <c r="O8" s="2">
        <f>IF('Modell einstellen'!$B$1="Voll",J8/0.35,J8/0.35*2)</f>
        <v>-5.248271028571429E-4</v>
      </c>
      <c r="P8" s="3">
        <f t="shared" si="1"/>
        <v>0.35483171856662499</v>
      </c>
    </row>
    <row r="9" spans="1:16" x14ac:dyDescent="0.25">
      <c r="A9" s="3">
        <v>1.0000000000000001E-9</v>
      </c>
      <c r="B9" s="3">
        <v>-1.045E-5</v>
      </c>
      <c r="C9" s="3">
        <v>1.415E-4</v>
      </c>
      <c r="D9" s="3">
        <v>-4.2870000000000001E-4</v>
      </c>
      <c r="E9" s="3">
        <v>0</v>
      </c>
      <c r="F9" s="3">
        <v>0</v>
      </c>
      <c r="G9" s="3">
        <v>0</v>
      </c>
      <c r="H9" s="3">
        <v>3.2596331000000003E-5</v>
      </c>
      <c r="I9" s="3">
        <v>1.2898343000000001E-5</v>
      </c>
      <c r="J9" s="3">
        <v>-9.1855304999999995E-5</v>
      </c>
      <c r="L9" s="3">
        <f t="shared" si="0"/>
        <v>-2.437602052717518E-2</v>
      </c>
      <c r="M9" s="3"/>
      <c r="N9" s="2">
        <f>IF('Modell einstellen'!$B$1="Voll",H9/0.35,H9/0.35*2)</f>
        <v>1.8626474857142859E-4</v>
      </c>
      <c r="O9" s="2">
        <f>IF('Modell einstellen'!$B$1="Voll",J9/0.35,J9/0.35*2)</f>
        <v>-5.2488745714285713E-4</v>
      </c>
      <c r="P9" s="3">
        <f t="shared" si="1"/>
        <v>0.35486606897663669</v>
      </c>
    </row>
    <row r="10" spans="1:16" x14ac:dyDescent="0.25">
      <c r="A10" s="3">
        <v>1E-8</v>
      </c>
      <c r="B10" s="3">
        <v>-1.08E-5</v>
      </c>
      <c r="C10" s="3">
        <v>1.416E-4</v>
      </c>
      <c r="D10" s="3">
        <v>-4.2860000000000001E-4</v>
      </c>
      <c r="E10" s="3">
        <v>0</v>
      </c>
      <c r="F10" s="3">
        <v>0</v>
      </c>
      <c r="G10" s="3">
        <v>0</v>
      </c>
      <c r="H10" s="3">
        <v>3.2662965E-5</v>
      </c>
      <c r="I10" s="3">
        <v>1.2909107000000001E-5</v>
      </c>
      <c r="J10" s="3">
        <v>-9.1957214999999995E-5</v>
      </c>
      <c r="L10" s="3">
        <f t="shared" si="0"/>
        <v>-2.5198320111992533E-2</v>
      </c>
      <c r="M10" s="3"/>
      <c r="N10" s="2">
        <f>IF('Modell einstellen'!$B$1="Voll",H10/0.35,H10/0.35*2)</f>
        <v>1.8664551428571429E-4</v>
      </c>
      <c r="O10" s="2">
        <f>IF('Modell einstellen'!$B$1="Voll",J10/0.35,J10/0.35*2)</f>
        <v>-5.2546980000000004E-4</v>
      </c>
      <c r="P10" s="3">
        <f t="shared" si="1"/>
        <v>0.35519741436275554</v>
      </c>
    </row>
    <row r="11" spans="1:16" x14ac:dyDescent="0.25">
      <c r="A11" s="3">
        <v>9.9999999999999995E-8</v>
      </c>
      <c r="B11" s="3">
        <v>-1.359E-5</v>
      </c>
      <c r="C11" s="3">
        <v>1.4249999999999999E-4</v>
      </c>
      <c r="D11" s="3">
        <v>-4.28E-4</v>
      </c>
      <c r="E11" s="3">
        <v>0</v>
      </c>
      <c r="F11" s="3">
        <v>0</v>
      </c>
      <c r="G11" s="3">
        <v>0</v>
      </c>
      <c r="H11" s="3">
        <v>3.3197827999999999E-5</v>
      </c>
      <c r="I11" s="3">
        <v>1.2995042999999999E-5</v>
      </c>
      <c r="J11" s="3">
        <v>-9.2773458E-5</v>
      </c>
      <c r="L11" s="3">
        <f t="shared" si="0"/>
        <v>-3.175233644859813E-2</v>
      </c>
      <c r="M11" s="3"/>
      <c r="N11" s="2">
        <f>IF('Modell einstellen'!$B$1="Voll",H11/0.35,H11/0.35*2)</f>
        <v>1.8970187428571429E-4</v>
      </c>
      <c r="O11" s="2">
        <f>IF('Modell einstellen'!$B$1="Voll",J11/0.35,J11/0.35*2)</f>
        <v>-5.3013404571428579E-4</v>
      </c>
      <c r="P11" s="3">
        <f t="shared" si="1"/>
        <v>0.35783756168709369</v>
      </c>
    </row>
    <row r="12" spans="1:16" x14ac:dyDescent="0.25">
      <c r="A12" s="3">
        <v>9.9999999999999995E-7</v>
      </c>
      <c r="B12" s="3">
        <v>-2.0270000000000001E-5</v>
      </c>
      <c r="C12" s="3">
        <v>1.4459999999999999E-4</v>
      </c>
      <c r="D12" s="3">
        <v>-4.2630000000000001E-4</v>
      </c>
      <c r="E12" s="3">
        <v>0</v>
      </c>
      <c r="F12" s="3">
        <v>0</v>
      </c>
      <c r="G12" s="3">
        <v>0</v>
      </c>
      <c r="H12" s="3">
        <v>3.4442802E-5</v>
      </c>
      <c r="I12" s="3">
        <v>1.3191765000000001E-5</v>
      </c>
      <c r="J12" s="3">
        <v>-9.4655550000000006E-5</v>
      </c>
      <c r="L12" s="3">
        <f t="shared" si="0"/>
        <v>-4.7548674642270701E-2</v>
      </c>
      <c r="M12" s="3"/>
      <c r="N12" s="2">
        <f>IF('Modell einstellen'!$B$1="Voll",H12/0.35,H12/0.35*2)</f>
        <v>1.9681601142857143E-4</v>
      </c>
      <c r="O12" s="2">
        <f>IF('Modell einstellen'!$B$1="Voll",J12/0.35,J12/0.35*2)</f>
        <v>-5.4088885714285724E-4</v>
      </c>
      <c r="P12" s="3">
        <f t="shared" si="1"/>
        <v>0.36387514519750819</v>
      </c>
    </row>
    <row r="13" spans="1:16" x14ac:dyDescent="0.25">
      <c r="A13" s="3">
        <v>1.0000000000000001E-5</v>
      </c>
      <c r="B13" s="3">
        <v>-2.5259999999999999E-5</v>
      </c>
      <c r="C13" s="3">
        <v>1.462E-4</v>
      </c>
      <c r="D13" s="3">
        <v>-4.2499999999999998E-4</v>
      </c>
      <c r="E13" s="3">
        <v>0</v>
      </c>
      <c r="F13" s="3">
        <v>0</v>
      </c>
      <c r="G13" s="3">
        <v>0</v>
      </c>
      <c r="H13" s="3">
        <v>3.5357953999999997E-5</v>
      </c>
      <c r="I13" s="3">
        <v>1.334078E-5</v>
      </c>
      <c r="J13" s="3">
        <v>-9.603465E-5</v>
      </c>
      <c r="L13" s="3">
        <f t="shared" si="0"/>
        <v>-5.9435294117647058E-2</v>
      </c>
      <c r="M13" s="3"/>
      <c r="N13" s="2">
        <f>IF('Modell einstellen'!$B$1="Voll",H13/0.35,H13/0.35*2)</f>
        <v>2.0204545142857143E-4</v>
      </c>
      <c r="O13" s="2">
        <f>IF('Modell einstellen'!$B$1="Voll",J13/0.35,J13/0.35*2)</f>
        <v>-5.4876942857142862E-4</v>
      </c>
      <c r="P13" s="3">
        <f t="shared" si="1"/>
        <v>0.36817913117817369</v>
      </c>
    </row>
    <row r="14" spans="1:16" x14ac:dyDescent="0.25">
      <c r="A14" s="3">
        <v>1E-4</v>
      </c>
      <c r="B14" s="3">
        <v>-3.048E-5</v>
      </c>
      <c r="C14" s="3">
        <v>1.4779999999999999E-4</v>
      </c>
      <c r="D14" s="3">
        <v>-4.2339999999999999E-4</v>
      </c>
      <c r="E14" s="3">
        <v>0</v>
      </c>
      <c r="F14" s="3">
        <v>0</v>
      </c>
      <c r="G14" s="3">
        <v>0</v>
      </c>
      <c r="H14" s="3">
        <v>3.6282470000000002E-5</v>
      </c>
      <c r="I14" s="3">
        <v>1.3487111999999999E-5</v>
      </c>
      <c r="J14" s="3">
        <v>-9.7414611999999993E-5</v>
      </c>
      <c r="L14" s="3">
        <f t="shared" si="0"/>
        <v>-7.1988663202645256E-2</v>
      </c>
      <c r="M14" s="3"/>
      <c r="N14" s="2">
        <f>IF('Modell einstellen'!$B$1="Voll",H14/0.35,H14/0.35*2)</f>
        <v>2.0732840000000003E-4</v>
      </c>
      <c r="O14" s="2">
        <f>IF('Modell einstellen'!$B$1="Voll",J14/0.35,J14/0.35*2)</f>
        <v>-5.5665492571428568E-4</v>
      </c>
      <c r="P14" s="3">
        <f t="shared" si="1"/>
        <v>0.3724540831718347</v>
      </c>
    </row>
    <row r="15" spans="1:16" x14ac:dyDescent="0.25">
      <c r="A15" s="3">
        <v>1E-3</v>
      </c>
      <c r="B15" s="3">
        <v>-3.6850000000000001E-5</v>
      </c>
      <c r="C15" s="3">
        <v>1.496E-4</v>
      </c>
      <c r="D15" s="3">
        <v>-4.2099999999999999E-4</v>
      </c>
      <c r="E15" s="3">
        <v>0</v>
      </c>
      <c r="F15" s="3">
        <v>0</v>
      </c>
      <c r="G15" s="3">
        <v>0</v>
      </c>
      <c r="H15" s="3">
        <v>3.7368018999999997E-5</v>
      </c>
      <c r="I15" s="3">
        <v>1.3651009E-5</v>
      </c>
      <c r="J15" s="3">
        <v>-9.901326E-5</v>
      </c>
      <c r="L15" s="3">
        <f t="shared" si="0"/>
        <v>-8.7529691211401431E-2</v>
      </c>
      <c r="M15" s="3"/>
      <c r="N15" s="2">
        <f>IF('Modell einstellen'!$B$1="Voll",H15/0.35,H15/0.35*2)</f>
        <v>2.1353153714285714E-4</v>
      </c>
      <c r="O15" s="2">
        <f>IF('Modell einstellen'!$B$1="Voll",J15/0.35,J15/0.35*2)</f>
        <v>-5.6579005714285722E-4</v>
      </c>
      <c r="P15" s="3">
        <f t="shared" si="1"/>
        <v>0.37740418808551496</v>
      </c>
    </row>
    <row r="16" spans="1:16" x14ac:dyDescent="0.25">
      <c r="A16" s="3">
        <v>0.01</v>
      </c>
      <c r="B16" s="3">
        <v>-4.4209999999999999E-5</v>
      </c>
      <c r="C16" s="3">
        <v>1.515E-4</v>
      </c>
      <c r="D16" s="3">
        <v>-4.1800000000000002E-4</v>
      </c>
      <c r="E16" s="3">
        <v>0</v>
      </c>
      <c r="F16" s="3">
        <v>0</v>
      </c>
      <c r="G16" s="3">
        <v>0</v>
      </c>
      <c r="H16" s="3">
        <v>3.8577101000000003E-5</v>
      </c>
      <c r="I16" s="3">
        <v>1.3826991E-5</v>
      </c>
      <c r="J16" s="3">
        <v>-1.0077231E-4</v>
      </c>
      <c r="L16" s="3">
        <f t="shared" si="0"/>
        <v>-0.10576555023923444</v>
      </c>
      <c r="M16" s="3"/>
      <c r="N16" s="2">
        <f>IF('Modell einstellen'!$B$1="Voll",H16/0.35,H16/0.35*2)</f>
        <v>2.2044057714285718E-4</v>
      </c>
      <c r="O16" s="2">
        <f>IF('Modell einstellen'!$B$1="Voll",J16/0.35,J16/0.35*2)</f>
        <v>-5.7584177142857142E-4</v>
      </c>
      <c r="P16" s="3">
        <f t="shared" si="1"/>
        <v>0.38281449537080187</v>
      </c>
    </row>
    <row r="17" spans="1:16" x14ac:dyDescent="0.25">
      <c r="A17" s="3">
        <v>0.1</v>
      </c>
      <c r="B17" s="3">
        <v>-5.3359999999999997E-5</v>
      </c>
      <c r="C17" s="3">
        <v>1.537E-4</v>
      </c>
      <c r="D17" s="3">
        <v>-4.1379999999999998E-4</v>
      </c>
      <c r="E17" s="3">
        <v>0</v>
      </c>
      <c r="F17" s="3">
        <v>0</v>
      </c>
      <c r="G17" s="3">
        <v>0</v>
      </c>
      <c r="H17" s="3">
        <v>4.0022248999999998E-5</v>
      </c>
      <c r="I17" s="3">
        <v>1.4027217E-5</v>
      </c>
      <c r="J17" s="3">
        <v>-1.0284418000000001E-4</v>
      </c>
      <c r="L17" s="3">
        <f t="shared" si="0"/>
        <v>-0.12895118414693088</v>
      </c>
      <c r="M17" s="3"/>
      <c r="N17" s="2">
        <f>IF('Modell einstellen'!$B$1="Voll",H17/0.35,H17/0.35*2)</f>
        <v>2.2869856571428572E-4</v>
      </c>
      <c r="O17" s="2">
        <f>IF('Modell einstellen'!$B$1="Voll",J17/0.35,J17/0.35*2)</f>
        <v>-5.8768102857142859E-4</v>
      </c>
      <c r="P17" s="3">
        <f t="shared" si="1"/>
        <v>0.389154242855551</v>
      </c>
    </row>
    <row r="18" spans="1:16" x14ac:dyDescent="0.25">
      <c r="A18" s="3">
        <v>1</v>
      </c>
      <c r="B18" s="3">
        <v>-6.4350000000000006E-5</v>
      </c>
      <c r="C18" s="3">
        <v>1.561E-4</v>
      </c>
      <c r="D18" s="3">
        <v>-4.083E-4</v>
      </c>
      <c r="E18" s="3">
        <v>0</v>
      </c>
      <c r="F18" s="3">
        <v>0</v>
      </c>
      <c r="G18" s="3">
        <v>0</v>
      </c>
      <c r="H18" s="3">
        <v>4.1690188000000003E-5</v>
      </c>
      <c r="I18" s="3">
        <v>1.4247700000000001E-5</v>
      </c>
      <c r="J18" s="3">
        <v>-1.0520005E-4</v>
      </c>
      <c r="L18" s="3">
        <f t="shared" si="0"/>
        <v>-0.15760470242468774</v>
      </c>
      <c r="M18" s="3"/>
      <c r="N18" s="2">
        <f>IF('Modell einstellen'!$B$1="Voll",H18/0.35,H18/0.35*2)</f>
        <v>2.3822964571428574E-4</v>
      </c>
      <c r="O18" s="2">
        <f>IF('Modell einstellen'!$B$1="Voll",J18/0.35,J18/0.35*2)</f>
        <v>-6.0114314285714284E-4</v>
      </c>
      <c r="P18" s="3">
        <f t="shared" si="1"/>
        <v>0.39629437438480308</v>
      </c>
    </row>
    <row r="19" spans="1:16" x14ac:dyDescent="0.25">
      <c r="A19" s="3">
        <v>10</v>
      </c>
      <c r="B19" s="3">
        <v>-7.6779999999999993E-5</v>
      </c>
      <c r="C19" s="3">
        <v>1.595E-4</v>
      </c>
      <c r="D19" s="3">
        <v>-4.0250000000000003E-4</v>
      </c>
      <c r="E19" s="3">
        <v>0</v>
      </c>
      <c r="F19" s="3">
        <v>0</v>
      </c>
      <c r="G19" s="3">
        <v>0</v>
      </c>
      <c r="H19" s="3">
        <v>4.3560341000000003E-5</v>
      </c>
      <c r="I19" s="3">
        <v>1.4533074E-5</v>
      </c>
      <c r="J19" s="3">
        <v>-1.0788757E-4</v>
      </c>
      <c r="L19" s="3">
        <f t="shared" si="0"/>
        <v>-0.19075776397515526</v>
      </c>
      <c r="M19" s="3"/>
      <c r="N19" s="2">
        <f>IF('Modell einstellen'!$B$1="Voll",H19/0.35,H19/0.35*2)</f>
        <v>2.4891623428571432E-4</v>
      </c>
      <c r="O19" s="2">
        <f>IF('Modell einstellen'!$B$1="Voll",J19/0.35,J19/0.35*2)</f>
        <v>-6.1650040000000011E-4</v>
      </c>
      <c r="P19" s="3">
        <f t="shared" si="1"/>
        <v>0.40375680905594591</v>
      </c>
    </row>
    <row r="20" spans="1:16" x14ac:dyDescent="0.25">
      <c r="A20" s="3">
        <v>100</v>
      </c>
      <c r="B20" s="3">
        <v>-8.933E-5</v>
      </c>
      <c r="C20" s="3">
        <v>1.6259999999999999E-4</v>
      </c>
      <c r="D20" s="3">
        <v>-3.9589999999999997E-4</v>
      </c>
      <c r="E20" s="3">
        <v>0</v>
      </c>
      <c r="F20" s="3">
        <v>0</v>
      </c>
      <c r="G20" s="3">
        <v>0</v>
      </c>
      <c r="H20" s="3">
        <v>4.5518973999999998E-5</v>
      </c>
      <c r="I20" s="3">
        <v>1.4830310999999999E-5</v>
      </c>
      <c r="J20" s="3">
        <v>-1.1067088E-4</v>
      </c>
      <c r="L20" s="3">
        <f t="shared" si="0"/>
        <v>-0.22563778732003031</v>
      </c>
      <c r="M20" s="3"/>
      <c r="N20" s="2">
        <f>IF('Modell einstellen'!$B$1="Voll",H20/0.35,H20/0.35*2)</f>
        <v>2.6010842285714285E-4</v>
      </c>
      <c r="O20" s="2">
        <f>IF('Modell einstellen'!$B$1="Voll",J20/0.35,J20/0.35*2)</f>
        <v>-6.3240502857142859E-4</v>
      </c>
      <c r="P20" s="3">
        <f t="shared" si="1"/>
        <v>0.41130037097382799</v>
      </c>
    </row>
    <row r="21" spans="1:16" x14ac:dyDescent="0.25">
      <c r="A21" s="3">
        <v>1000</v>
      </c>
      <c r="B21" s="3">
        <v>-9.5390000000000007E-5</v>
      </c>
      <c r="C21" s="3">
        <v>1.6980000000000001E-4</v>
      </c>
      <c r="D21" s="3">
        <v>-3.9859999999999999E-4</v>
      </c>
      <c r="E21" s="3">
        <v>0</v>
      </c>
      <c r="F21" s="3">
        <v>0</v>
      </c>
      <c r="G21" s="3">
        <v>0</v>
      </c>
      <c r="H21" s="3">
        <v>4.8280681999999997E-5</v>
      </c>
      <c r="I21" s="3">
        <v>1.5713322000000001E-5</v>
      </c>
      <c r="J21" s="3">
        <v>-1.1530705E-4</v>
      </c>
      <c r="L21" s="3">
        <f t="shared" si="0"/>
        <v>-0.23931259407927749</v>
      </c>
      <c r="M21" s="3"/>
      <c r="N21" s="2">
        <f>IF('Modell einstellen'!$B$1="Voll",H21/0.35,H21/0.35*2)</f>
        <v>2.7588961142857143E-4</v>
      </c>
      <c r="O21" s="2">
        <f>IF('Modell einstellen'!$B$1="Voll",J21/0.35,J21/0.35*2)</f>
        <v>-6.5889742857142865E-4</v>
      </c>
      <c r="P21" s="3">
        <f t="shared" si="1"/>
        <v>0.41871405087546681</v>
      </c>
    </row>
    <row r="22" spans="1:16" x14ac:dyDescent="0.25">
      <c r="A22" s="3">
        <v>10000</v>
      </c>
      <c r="B22" s="3">
        <v>-6.1249999999999998E-5</v>
      </c>
      <c r="C22" s="3">
        <v>1.951E-4</v>
      </c>
      <c r="D22" s="3">
        <v>-4.5120000000000002E-4</v>
      </c>
      <c r="E22" s="3">
        <v>0</v>
      </c>
      <c r="F22" s="3">
        <v>0</v>
      </c>
      <c r="G22" s="3">
        <v>0</v>
      </c>
      <c r="H22" s="3">
        <v>5.4273661000000002E-5</v>
      </c>
      <c r="I22" s="3">
        <v>1.9456917999999999E-5</v>
      </c>
      <c r="J22" s="3">
        <v>-1.2827110000000001E-4</v>
      </c>
      <c r="L22" s="3">
        <f t="shared" si="0"/>
        <v>-0.13574911347517729</v>
      </c>
      <c r="M22" s="3"/>
      <c r="N22" s="2">
        <f>IF('Modell einstellen'!$B$1="Voll",H22/0.35,H22/0.35*2)</f>
        <v>3.1013520571428573E-4</v>
      </c>
      <c r="O22" s="2">
        <f>IF('Modell einstellen'!$B$1="Voll",J22/0.35,J22/0.35*2)</f>
        <v>-7.3297771428571445E-4</v>
      </c>
      <c r="P22" s="3">
        <f t="shared" si="1"/>
        <v>0.42311682834247144</v>
      </c>
    </row>
    <row r="23" spans="1:16" x14ac:dyDescent="0.25">
      <c r="A23" s="3">
        <v>100000</v>
      </c>
      <c r="B23" s="3">
        <v>3.8649999999999998E-5</v>
      </c>
      <c r="C23" s="3">
        <v>2.4899999999999998E-4</v>
      </c>
      <c r="D23" s="3">
        <v>-5.8489999999999996E-4</v>
      </c>
      <c r="E23" s="3">
        <v>0</v>
      </c>
      <c r="F23" s="3">
        <v>0</v>
      </c>
      <c r="G23" s="3">
        <v>0</v>
      </c>
      <c r="H23" s="3">
        <v>6.4522359000000005E-5</v>
      </c>
      <c r="I23" s="3">
        <v>2.7900635000000001E-5</v>
      </c>
      <c r="J23" s="3">
        <v>-1.5390639E-4</v>
      </c>
      <c r="L23" s="3">
        <f t="shared" si="0"/>
        <v>6.6079671738758769E-2</v>
      </c>
      <c r="M23" s="3"/>
      <c r="N23" s="2">
        <f>IF('Modell einstellen'!$B$1="Voll",H23/0.35,H23/0.35*2)</f>
        <v>3.6869919428571436E-4</v>
      </c>
      <c r="O23" s="2">
        <f>IF('Modell einstellen'!$B$1="Voll",J23/0.35,J23/0.35*2)</f>
        <v>-8.7946508571428578E-4</v>
      </c>
      <c r="P23" s="3">
        <f t="shared" si="1"/>
        <v>0.41923118981609542</v>
      </c>
    </row>
    <row r="24" spans="1:16" x14ac:dyDescent="0.25">
      <c r="A24" s="3">
        <v>1000000</v>
      </c>
      <c r="B24" s="3">
        <v>1.7129999999999999E-4</v>
      </c>
      <c r="C24" s="3">
        <v>3.21E-4</v>
      </c>
      <c r="D24" s="3">
        <v>-7.6460000000000005E-4</v>
      </c>
      <c r="E24" s="3">
        <v>0</v>
      </c>
      <c r="F24" s="3">
        <v>0</v>
      </c>
      <c r="G24" s="3">
        <v>0</v>
      </c>
      <c r="H24" s="3">
        <v>7.6028430000000001E-5</v>
      </c>
      <c r="I24" s="3">
        <v>3.8869419000000003E-5</v>
      </c>
      <c r="J24" s="3">
        <v>-1.8544052E-4</v>
      </c>
      <c r="L24" s="3">
        <f t="shared" si="0"/>
        <v>0.22403871305257647</v>
      </c>
      <c r="M24" s="3"/>
      <c r="N24" s="2">
        <f>IF('Modell einstellen'!$B$1="Voll",H24/0.35,H24/0.35*2)</f>
        <v>4.3444817142857146E-4</v>
      </c>
      <c r="O24" s="2">
        <f>IF('Modell einstellen'!$B$1="Voll",J24/0.35,J24/0.35*2)</f>
        <v>-1.0596601142857144E-3</v>
      </c>
      <c r="P24" s="3">
        <f t="shared" si="1"/>
        <v>0.40998822695277171</v>
      </c>
    </row>
    <row r="25" spans="1:16" x14ac:dyDescent="0.25">
      <c r="A25" s="3">
        <v>10000000</v>
      </c>
      <c r="B25" s="3">
        <v>2.9770000000000003E-4</v>
      </c>
      <c r="C25" s="3">
        <v>3.971E-4</v>
      </c>
      <c r="D25" s="3">
        <v>-9.4479999999999998E-4</v>
      </c>
      <c r="E25" s="3">
        <v>0</v>
      </c>
      <c r="F25" s="3">
        <v>0</v>
      </c>
      <c r="G25" s="3">
        <v>0</v>
      </c>
      <c r="H25" s="3">
        <v>8.6503969999999995E-5</v>
      </c>
      <c r="I25" s="3">
        <v>4.9802470999999997E-5</v>
      </c>
      <c r="J25" s="3">
        <v>-2.1603494E-4</v>
      </c>
      <c r="L25" s="3">
        <f t="shared" si="0"/>
        <v>0.31509314140558853</v>
      </c>
      <c r="M25" s="3"/>
      <c r="N25" s="2">
        <f>IF('Modell einstellen'!$B$1="Voll",H25/0.35,H25/0.35*2)</f>
        <v>4.9430839999999997E-4</v>
      </c>
      <c r="O25" s="2">
        <f>IF('Modell einstellen'!$B$1="Voll",J25/0.35,J25/0.35*2)</f>
        <v>-1.2344853714285715E-3</v>
      </c>
      <c r="P25" s="3">
        <f t="shared" si="1"/>
        <v>0.40041657150459081</v>
      </c>
    </row>
    <row r="26" spans="1:16" x14ac:dyDescent="0.25">
      <c r="A26" s="3">
        <v>100000000</v>
      </c>
      <c r="B26" s="3">
        <v>4.0279999999999998E-4</v>
      </c>
      <c r="C26" s="3">
        <v>4.7169999999999997E-4</v>
      </c>
      <c r="D26" s="3">
        <v>-1.1069999999999999E-3</v>
      </c>
      <c r="E26" s="3">
        <v>0</v>
      </c>
      <c r="F26" s="3">
        <v>0</v>
      </c>
      <c r="G26" s="3">
        <v>0</v>
      </c>
      <c r="H26" s="3">
        <v>9.5946405E-5</v>
      </c>
      <c r="I26" s="3">
        <v>6.0043061999999997E-5</v>
      </c>
      <c r="J26" s="3">
        <v>-2.4457055000000002E-4</v>
      </c>
      <c r="L26" s="3">
        <f t="shared" si="0"/>
        <v>0.36386630532971997</v>
      </c>
      <c r="M26" s="3"/>
      <c r="N26" s="2">
        <f>IF('Modell einstellen'!$B$1="Voll",H26/0.35,H26/0.35*2)</f>
        <v>5.4826517142857146E-4</v>
      </c>
      <c r="O26" s="2">
        <f>IF('Modell einstellen'!$B$1="Voll",J26/0.35,J26/0.35*2)</f>
        <v>-1.3975460000000002E-3</v>
      </c>
      <c r="P26" s="3">
        <f t="shared" si="1"/>
        <v>0.3923056353269026</v>
      </c>
    </row>
    <row r="27" spans="1:16" x14ac:dyDescent="0.25">
      <c r="A27" s="3">
        <v>1000000000</v>
      </c>
      <c r="B27" s="3">
        <v>4.8589999999999999E-4</v>
      </c>
      <c r="C27" s="3">
        <v>5.4129999999999998E-4</v>
      </c>
      <c r="D27" s="3">
        <v>-1.2470000000000001E-3</v>
      </c>
      <c r="E27" s="3">
        <v>0</v>
      </c>
      <c r="F27" s="3">
        <v>0</v>
      </c>
      <c r="G27" s="3">
        <v>0</v>
      </c>
      <c r="H27" s="3">
        <v>1.0412501E-4</v>
      </c>
      <c r="I27" s="3">
        <v>6.9347552000000002E-5</v>
      </c>
      <c r="J27" s="3">
        <v>-2.7027855999999997E-4</v>
      </c>
      <c r="L27" s="3">
        <f t="shared" si="0"/>
        <v>0.3896551724137931</v>
      </c>
      <c r="M27" s="3"/>
      <c r="N27" s="2">
        <f>IF('Modell einstellen'!$B$1="Voll",H27/0.35,H27/0.35*2)</f>
        <v>5.9500005714285711E-4</v>
      </c>
      <c r="O27" s="2">
        <f>IF('Modell einstellen'!$B$1="Voll",J27/0.35,J27/0.35*2)</f>
        <v>-1.5444489142857143E-3</v>
      </c>
      <c r="P27" s="3">
        <f t="shared" si="1"/>
        <v>0.38525072058989801</v>
      </c>
    </row>
    <row r="28" spans="1:16" x14ac:dyDescent="0.25">
      <c r="A28" s="3">
        <v>10000000000</v>
      </c>
      <c r="B28" s="3">
        <v>5.5219999999999998E-4</v>
      </c>
      <c r="C28" s="3">
        <v>6.0709999999999996E-4</v>
      </c>
      <c r="D28" s="3">
        <v>-1.3699999999999999E-3</v>
      </c>
      <c r="E28" s="3">
        <v>0</v>
      </c>
      <c r="F28" s="3">
        <v>0</v>
      </c>
      <c r="G28" s="3">
        <v>0</v>
      </c>
      <c r="H28" s="3">
        <v>1.1193224E-4</v>
      </c>
      <c r="I28" s="3">
        <v>7.8123596000000001E-5</v>
      </c>
      <c r="J28" s="3">
        <v>-2.9480791000000001E-4</v>
      </c>
      <c r="L28" s="3">
        <f t="shared" si="0"/>
        <v>0.40306569343065696</v>
      </c>
      <c r="M28" s="3"/>
      <c r="N28" s="2">
        <f>IF('Modell einstellen'!$B$1="Voll",H28/0.35,H28/0.35*2)</f>
        <v>6.3961280000000007E-4</v>
      </c>
      <c r="O28" s="2">
        <f>IF('Modell einstellen'!$B$1="Voll",J28/0.35,J28/0.35*2)</f>
        <v>-1.6846166285714287E-3</v>
      </c>
      <c r="P28" s="3">
        <f t="shared" si="1"/>
        <v>0.37967855068746292</v>
      </c>
    </row>
    <row r="29" spans="1:16" x14ac:dyDescent="0.25">
      <c r="A29" s="3">
        <v>100000000000</v>
      </c>
      <c r="B29" s="3">
        <v>6.0809999999999998E-4</v>
      </c>
      <c r="C29" s="3">
        <v>6.711E-4</v>
      </c>
      <c r="D29" s="3">
        <v>-1.4829999999999999E-3</v>
      </c>
      <c r="E29" s="3">
        <v>0</v>
      </c>
      <c r="F29" s="3">
        <v>0</v>
      </c>
      <c r="G29" s="3">
        <v>0</v>
      </c>
      <c r="H29" s="3">
        <v>1.2002808E-4</v>
      </c>
      <c r="I29" s="3">
        <v>8.6809512000000002E-5</v>
      </c>
      <c r="J29" s="3">
        <v>-3.1960978999999998E-4</v>
      </c>
      <c r="L29" s="3">
        <f t="shared" si="0"/>
        <v>0.41004720161834118</v>
      </c>
      <c r="M29" s="3"/>
      <c r="N29" s="2">
        <f>IF('Modell einstellen'!$B$1="Voll",H29/0.35,H29/0.35*2)</f>
        <v>6.8587474285714293E-4</v>
      </c>
      <c r="O29" s="2">
        <f>IF('Modell einstellen'!$B$1="Voll",J29/0.35,J29/0.35*2)</f>
        <v>-1.8263416571428573E-3</v>
      </c>
      <c r="P29" s="3">
        <f t="shared" si="1"/>
        <v>0.37554569276491812</v>
      </c>
    </row>
    <row r="30" spans="1:16" x14ac:dyDescent="0.25">
      <c r="A30" s="3">
        <v>1000000000000</v>
      </c>
      <c r="B30" s="3">
        <v>6.6149999999999998E-4</v>
      </c>
      <c r="C30" s="3">
        <v>7.404E-4</v>
      </c>
      <c r="D30" s="3">
        <v>-1.6019999999999999E-3</v>
      </c>
      <c r="E30" s="3">
        <v>0</v>
      </c>
      <c r="F30" s="3">
        <v>0</v>
      </c>
      <c r="G30" s="3">
        <v>0</v>
      </c>
      <c r="H30" s="3">
        <v>1.2996850999999999E-4</v>
      </c>
      <c r="I30" s="3">
        <v>9.6636105000000002E-5</v>
      </c>
      <c r="J30" s="3">
        <v>-3.4861008000000002E-4</v>
      </c>
      <c r="L30" s="3">
        <f t="shared" si="0"/>
        <v>0.41292134831460675</v>
      </c>
      <c r="M30" s="3"/>
      <c r="N30" s="2">
        <f>IF('Modell einstellen'!$B$1="Voll",H30/0.35,H30/0.35*2)</f>
        <v>7.4267720000000003E-4</v>
      </c>
      <c r="O30" s="2">
        <f>IF('Modell einstellen'!$B$1="Voll",J30/0.35,J30/0.35*2)</f>
        <v>-1.9920576000000004E-3</v>
      </c>
      <c r="P30" s="3">
        <f t="shared" si="1"/>
        <v>0.37281913936625122</v>
      </c>
    </row>
    <row r="31" spans="1:16" x14ac:dyDescent="0.25">
      <c r="A31" s="3">
        <v>10000000000000</v>
      </c>
      <c r="B31" s="3">
        <v>7.1650000000000001E-4</v>
      </c>
      <c r="C31" s="3">
        <v>8.1859999999999995E-4</v>
      </c>
      <c r="D31" s="3">
        <v>-1.732E-3</v>
      </c>
      <c r="E31" s="3">
        <v>0</v>
      </c>
      <c r="F31" s="3">
        <v>0</v>
      </c>
      <c r="G31" s="3">
        <v>0</v>
      </c>
      <c r="H31" s="3">
        <v>1.4220962000000001E-4</v>
      </c>
      <c r="I31" s="3">
        <v>1.0814982E-4</v>
      </c>
      <c r="J31" s="3">
        <v>-3.8326019999999997E-4</v>
      </c>
      <c r="L31" s="3">
        <f t="shared" si="0"/>
        <v>0.41368360277136257</v>
      </c>
      <c r="M31" s="3"/>
      <c r="N31" s="2">
        <f>IF('Modell einstellen'!$B$1="Voll",H31/0.35,H31/0.35*2)</f>
        <v>8.1262640000000013E-4</v>
      </c>
      <c r="O31" s="2">
        <f>IF('Modell einstellen'!$B$1="Voll",J31/0.35,J31/0.35*2)</f>
        <v>-2.1900582857142855E-3</v>
      </c>
      <c r="P31" s="3">
        <f t="shared" si="1"/>
        <v>0.37105240773761544</v>
      </c>
    </row>
    <row r="32" spans="1:16" x14ac:dyDescent="0.25">
      <c r="A32" s="3">
        <v>100000000000000</v>
      </c>
      <c r="B32" s="3">
        <v>7.7800000000000005E-4</v>
      </c>
      <c r="C32" s="3">
        <v>9.1569999999999998E-4</v>
      </c>
      <c r="D32" s="3">
        <v>-1.8879999999999999E-3</v>
      </c>
      <c r="E32" s="3">
        <v>0</v>
      </c>
      <c r="F32" s="3">
        <v>0</v>
      </c>
      <c r="G32" s="3">
        <v>0</v>
      </c>
      <c r="H32" s="3">
        <v>1.5868775999999999E-4</v>
      </c>
      <c r="I32" s="3">
        <v>1.2307596000000001E-4</v>
      </c>
      <c r="J32" s="3">
        <v>-4.2882416000000002E-4</v>
      </c>
      <c r="L32" s="3">
        <f t="shared" si="0"/>
        <v>0.41207627118644075</v>
      </c>
      <c r="M32" s="3"/>
      <c r="N32" s="2">
        <f>IF('Modell einstellen'!$B$1="Voll",H32/0.35,H32/0.35*2)</f>
        <v>9.067872E-4</v>
      </c>
      <c r="O32" s="2">
        <f>IF('Modell einstellen'!$B$1="Voll",J32/0.35,J32/0.35*2)</f>
        <v>-2.4504237714285718E-3</v>
      </c>
      <c r="P32" s="3">
        <f t="shared" si="1"/>
        <v>0.37005321715082468</v>
      </c>
    </row>
    <row r="33" spans="1:16" x14ac:dyDescent="0.25">
      <c r="A33" s="3">
        <v>1000000000000000</v>
      </c>
      <c r="B33" s="3">
        <v>8.5110000000000003E-4</v>
      </c>
      <c r="C33" s="3">
        <v>1.0460000000000001E-3</v>
      </c>
      <c r="D33" s="3">
        <v>-2.0890000000000001E-3</v>
      </c>
      <c r="E33" s="3">
        <v>0</v>
      </c>
      <c r="F33" s="3">
        <v>0</v>
      </c>
      <c r="G33" s="3">
        <v>0</v>
      </c>
      <c r="H33" s="3">
        <v>1.8204081E-4</v>
      </c>
      <c r="I33" s="3">
        <v>1.4381556E-4</v>
      </c>
      <c r="J33" s="3">
        <v>-4.9255475000000001E-4</v>
      </c>
      <c r="L33" s="3">
        <f t="shared" si="0"/>
        <v>0.40741981809478217</v>
      </c>
      <c r="M33" s="3"/>
      <c r="N33" s="2">
        <f>IF('Modell einstellen'!$B$1="Voll",H33/0.35,H33/0.35*2)</f>
        <v>1.0402332000000001E-3</v>
      </c>
      <c r="O33" s="2">
        <f>IF('Modell einstellen'!$B$1="Voll",J33/0.35,J33/0.35*2)</f>
        <v>-2.8145985714285717E-3</v>
      </c>
      <c r="P33" s="3">
        <f t="shared" si="1"/>
        <v>0.36958492431552026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-7.3390000000000004E-6</v>
      </c>
      <c r="C3" s="3">
        <v>1.4249999999999999E-4</v>
      </c>
      <c r="D3" s="3">
        <v>-4.3219999999999999E-4</v>
      </c>
      <c r="E3" s="3">
        <v>0</v>
      </c>
      <c r="F3" s="3">
        <v>0</v>
      </c>
      <c r="G3" s="3">
        <v>0</v>
      </c>
      <c r="H3" s="3">
        <v>3.2769050000000001E-5</v>
      </c>
      <c r="I3" s="3">
        <v>1.3058299000000001E-5</v>
      </c>
      <c r="J3" s="3">
        <v>-9.2366875000000003E-5</v>
      </c>
      <c r="K3" s="3"/>
      <c r="L3" s="3">
        <f>-B3/D3</f>
        <v>-1.6980564553447479E-2</v>
      </c>
      <c r="M3" s="3"/>
      <c r="N3" s="2">
        <f>IF('Modell einstellen'!$B$1="Voll",H3/0.35,H3/0.35*2)</f>
        <v>1.872517142857143E-4</v>
      </c>
      <c r="O3" s="2">
        <f>IF('Modell einstellen'!$B$1="Voll",J3/0.35,J3/0.35*2)</f>
        <v>-5.2781071428571432E-4</v>
      </c>
      <c r="P3" s="3">
        <f>-N3/O3</f>
        <v>0.35477058198623695</v>
      </c>
      <c r="Q3" s="3"/>
      <c r="R3" s="3"/>
      <c r="S3" s="3"/>
      <c r="T3" s="3"/>
      <c r="U3" s="3"/>
    </row>
    <row r="4" spans="1:21" x14ac:dyDescent="0.25">
      <c r="A4" s="3">
        <v>1E-14</v>
      </c>
      <c r="B4" s="3">
        <v>-7.3490000000000003E-6</v>
      </c>
      <c r="C4" s="3">
        <v>1.426E-4</v>
      </c>
      <c r="D4" s="3">
        <v>-4.3219999999999999E-4</v>
      </c>
      <c r="E4" s="3">
        <v>0</v>
      </c>
      <c r="F4" s="3">
        <v>0</v>
      </c>
      <c r="G4" s="3">
        <v>0</v>
      </c>
      <c r="H4" s="3">
        <v>3.2769250000000001E-5</v>
      </c>
      <c r="I4" s="3">
        <v>1.3059255000000001E-5</v>
      </c>
      <c r="J4" s="3">
        <v>-9.2365555000000006E-5</v>
      </c>
      <c r="K4" s="3"/>
      <c r="L4" s="3">
        <f t="shared" ref="L4:L33" si="0">-B4/D4</f>
        <v>-1.7003701989819528E-2</v>
      </c>
      <c r="M4" s="3"/>
      <c r="N4" s="2">
        <f>IF('Modell einstellen'!$B$1="Voll",H4/0.35,H4/0.35*2)</f>
        <v>1.8725285714285715E-4</v>
      </c>
      <c r="O4" s="2">
        <f>IF('Modell einstellen'!$B$1="Voll",J4/0.35,J4/0.35*2)</f>
        <v>-5.2780317142857151E-4</v>
      </c>
      <c r="P4" s="3">
        <f t="shared" ref="P4:P33" si="1">-N4/O4</f>
        <v>0.35477781733677666</v>
      </c>
      <c r="Q4" s="3"/>
      <c r="R4" s="3"/>
      <c r="S4" s="3"/>
      <c r="T4" s="3"/>
      <c r="U4" s="3"/>
    </row>
    <row r="5" spans="1:21" x14ac:dyDescent="0.25">
      <c r="A5" s="3">
        <v>1E-13</v>
      </c>
      <c r="B5" s="3">
        <v>-7.3490000000000003E-6</v>
      </c>
      <c r="C5" s="3">
        <v>1.426E-4</v>
      </c>
      <c r="D5" s="3">
        <v>-4.3219999999999999E-4</v>
      </c>
      <c r="E5" s="3">
        <v>0</v>
      </c>
      <c r="F5" s="3">
        <v>0</v>
      </c>
      <c r="G5" s="3">
        <v>0</v>
      </c>
      <c r="H5" s="3">
        <v>3.2769847000000001E-5</v>
      </c>
      <c r="I5" s="3">
        <v>1.3059485999999999E-5</v>
      </c>
      <c r="J5" s="3">
        <v>-9.2366679E-5</v>
      </c>
      <c r="K5" s="3"/>
      <c r="L5" s="3">
        <f t="shared" si="0"/>
        <v>-1.7003701989819528E-2</v>
      </c>
      <c r="M5" s="3"/>
      <c r="N5" s="2">
        <f>IF('Modell einstellen'!$B$1="Voll",H5/0.35,H5/0.35*2)</f>
        <v>1.8725626857142859E-4</v>
      </c>
      <c r="O5" s="2">
        <f>IF('Modell einstellen'!$B$1="Voll",J5/0.35,J5/0.35*2)</f>
        <v>-5.2780959428571435E-4</v>
      </c>
      <c r="P5" s="3">
        <f t="shared" si="1"/>
        <v>0.35477996345413693</v>
      </c>
      <c r="Q5" s="3"/>
      <c r="R5" s="3"/>
      <c r="S5" s="3"/>
      <c r="T5" s="3"/>
      <c r="U5" s="3"/>
    </row>
    <row r="6" spans="1:21" x14ac:dyDescent="0.25">
      <c r="A6" s="3">
        <v>9.9999999999999998E-13</v>
      </c>
      <c r="B6" s="3">
        <v>-7.3699999999999997E-6</v>
      </c>
      <c r="C6" s="3">
        <v>1.426E-4</v>
      </c>
      <c r="D6" s="3">
        <v>-4.3219999999999999E-4</v>
      </c>
      <c r="E6" s="3">
        <v>0</v>
      </c>
      <c r="F6" s="3">
        <v>0</v>
      </c>
      <c r="G6" s="3">
        <v>0</v>
      </c>
      <c r="H6" s="3">
        <v>3.2774088999999998E-5</v>
      </c>
      <c r="I6" s="3">
        <v>1.3060223E-5</v>
      </c>
      <c r="J6" s="3">
        <v>-9.2373245000000002E-5</v>
      </c>
      <c r="K6" s="3"/>
      <c r="L6" s="3">
        <f t="shared" si="0"/>
        <v>-1.7052290606200834E-2</v>
      </c>
      <c r="M6" s="3"/>
      <c r="N6" s="2">
        <f>IF('Modell einstellen'!$B$1="Voll",H6/0.35,H6/0.35*2)</f>
        <v>1.8728050857142858E-4</v>
      </c>
      <c r="O6" s="2">
        <f>IF('Modell einstellen'!$B$1="Voll",J6/0.35,J6/0.35*2)</f>
        <v>-5.2784711428571437E-4</v>
      </c>
      <c r="P6" s="3">
        <f t="shared" si="1"/>
        <v>0.35480066766085783</v>
      </c>
      <c r="Q6" s="3"/>
      <c r="R6" s="3"/>
      <c r="S6" s="3"/>
      <c r="T6" s="3"/>
      <c r="U6" s="3"/>
    </row>
    <row r="7" spans="1:21" x14ac:dyDescent="0.25">
      <c r="A7" s="3">
        <v>9.9999999999999994E-12</v>
      </c>
      <c r="B7" s="3">
        <v>-7.5789999999999998E-6</v>
      </c>
      <c r="C7" s="3">
        <v>1.426E-4</v>
      </c>
      <c r="D7" s="3">
        <v>-4.3209999999999999E-4</v>
      </c>
      <c r="E7" s="3">
        <v>0</v>
      </c>
      <c r="F7" s="3">
        <v>0</v>
      </c>
      <c r="G7" s="3">
        <v>0</v>
      </c>
      <c r="H7" s="3">
        <v>3.2815014999999998E-5</v>
      </c>
      <c r="I7" s="3">
        <v>1.3066984999999999E-5</v>
      </c>
      <c r="J7" s="3">
        <v>-9.2436068000000007E-5</v>
      </c>
      <c r="K7" s="3"/>
      <c r="L7" s="3">
        <f t="shared" si="0"/>
        <v>-1.7539921314510529E-2</v>
      </c>
      <c r="M7" s="3"/>
      <c r="N7" s="2">
        <f>IF('Modell einstellen'!$B$1="Voll",H7/0.35,H7/0.35*2)</f>
        <v>1.8751437142857142E-4</v>
      </c>
      <c r="O7" s="2">
        <f>IF('Modell einstellen'!$B$1="Voll",J7/0.35,J7/0.35*2)</f>
        <v>-5.2820610285714297E-4</v>
      </c>
      <c r="P7" s="3">
        <f t="shared" si="1"/>
        <v>0.35500228114419569</v>
      </c>
      <c r="Q7" s="3"/>
      <c r="R7" s="3"/>
      <c r="S7" s="3"/>
      <c r="T7" s="3"/>
      <c r="U7" s="3"/>
    </row>
    <row r="8" spans="1:21" x14ac:dyDescent="0.25">
      <c r="A8" s="3">
        <v>1E-10</v>
      </c>
      <c r="B8" s="3">
        <v>-9.4110000000000002E-6</v>
      </c>
      <c r="C8" s="3">
        <v>1.4320000000000001E-4</v>
      </c>
      <c r="D8" s="3">
        <v>-4.3179999999999998E-4</v>
      </c>
      <c r="E8" s="3">
        <v>0</v>
      </c>
      <c r="F8" s="3">
        <v>0</v>
      </c>
      <c r="G8" s="3">
        <v>0</v>
      </c>
      <c r="H8" s="3">
        <v>3.3171082000000002E-5</v>
      </c>
      <c r="I8" s="3">
        <v>1.3125528999999999E-5</v>
      </c>
      <c r="J8" s="3">
        <v>-9.2981745000000001E-5</v>
      </c>
      <c r="K8" s="3"/>
      <c r="L8" s="3">
        <f t="shared" si="0"/>
        <v>-2.179481241315424E-2</v>
      </c>
      <c r="M8" s="3"/>
      <c r="N8" s="2">
        <f>IF('Modell einstellen'!$B$1="Voll",H8/0.35,H8/0.35*2)</f>
        <v>1.8954904000000001E-4</v>
      </c>
      <c r="O8" s="2">
        <f>IF('Modell einstellen'!$B$1="Voll",J8/0.35,J8/0.35*2)</f>
        <v>-5.3132425714285715E-4</v>
      </c>
      <c r="P8" s="3">
        <f t="shared" si="1"/>
        <v>0.3567483273195185</v>
      </c>
      <c r="Q8" s="3"/>
      <c r="R8" s="3"/>
      <c r="S8" s="3"/>
      <c r="T8" s="3"/>
      <c r="U8" s="3"/>
    </row>
    <row r="9" spans="1:21" x14ac:dyDescent="0.25">
      <c r="A9" s="3">
        <v>1.0000000000000001E-9</v>
      </c>
      <c r="B9" s="3">
        <v>-1.5979999999999999E-5</v>
      </c>
      <c r="C9" s="3">
        <v>1.4530000000000001E-4</v>
      </c>
      <c r="D9" s="3">
        <v>-4.3019999999999999E-4</v>
      </c>
      <c r="E9" s="3">
        <v>0</v>
      </c>
      <c r="F9" s="3">
        <v>0</v>
      </c>
      <c r="G9" s="3">
        <v>0</v>
      </c>
      <c r="H9" s="3">
        <v>3.4418804000000001E-5</v>
      </c>
      <c r="I9" s="3">
        <v>1.3327081E-5</v>
      </c>
      <c r="J9" s="3">
        <v>-9.4878489000000006E-5</v>
      </c>
      <c r="K9" s="3"/>
      <c r="L9" s="3">
        <f t="shared" si="0"/>
        <v>-3.7145513714551368E-2</v>
      </c>
      <c r="M9" s="3"/>
      <c r="N9" s="2">
        <f>IF('Modell einstellen'!$B$1="Voll",H9/0.35,H9/0.35*2)</f>
        <v>1.9667888000000002E-4</v>
      </c>
      <c r="O9" s="2">
        <f>IF('Modell einstellen'!$B$1="Voll",J9/0.35,J9/0.35*2)</f>
        <v>-5.4216279428571435E-4</v>
      </c>
      <c r="P9" s="3">
        <f t="shared" si="1"/>
        <v>0.36276720216317948</v>
      </c>
      <c r="Q9" s="3"/>
      <c r="R9" s="3"/>
      <c r="S9" s="3"/>
      <c r="T9" s="3"/>
      <c r="U9" s="3"/>
    </row>
    <row r="10" spans="1:21" x14ac:dyDescent="0.25">
      <c r="A10" s="3">
        <v>1E-8</v>
      </c>
      <c r="B10" s="3">
        <v>-2.1080000000000001E-5</v>
      </c>
      <c r="C10" s="3">
        <v>1.47E-4</v>
      </c>
      <c r="D10" s="3">
        <v>-4.2890000000000002E-4</v>
      </c>
      <c r="E10" s="3">
        <v>0</v>
      </c>
      <c r="F10" s="3">
        <v>0</v>
      </c>
      <c r="G10" s="3">
        <v>0</v>
      </c>
      <c r="H10" s="3">
        <v>3.5370158999999997E-5</v>
      </c>
      <c r="I10" s="3">
        <v>1.348441E-5</v>
      </c>
      <c r="J10" s="3">
        <v>-9.6317089999999999E-5</v>
      </c>
      <c r="K10" s="3"/>
      <c r="L10" s="3">
        <f t="shared" si="0"/>
        <v>-4.9148985777570528E-2</v>
      </c>
      <c r="M10" s="3"/>
      <c r="N10" s="2">
        <f>IF('Modell einstellen'!$B$1="Voll",H10/0.35,H10/0.35*2)</f>
        <v>2.0211519428571428E-4</v>
      </c>
      <c r="O10" s="2">
        <f>IF('Modell einstellen'!$B$1="Voll",J10/0.35,J10/0.35*2)</f>
        <v>-5.5038337142857149E-4</v>
      </c>
      <c r="P10" s="3">
        <f t="shared" si="1"/>
        <v>0.3672262004593369</v>
      </c>
      <c r="Q10" s="3"/>
      <c r="R10" s="3"/>
      <c r="S10" s="3"/>
      <c r="T10" s="3"/>
      <c r="U10" s="3"/>
    </row>
    <row r="11" spans="1:21" x14ac:dyDescent="0.25">
      <c r="A11" s="3">
        <v>9.9999999999999995E-8</v>
      </c>
      <c r="B11" s="3">
        <v>-2.6060000000000001E-5</v>
      </c>
      <c r="C11" s="3">
        <v>1.4860000000000001E-4</v>
      </c>
      <c r="D11" s="3">
        <v>-4.2749999999999998E-4</v>
      </c>
      <c r="E11" s="3">
        <v>0</v>
      </c>
      <c r="F11" s="3">
        <v>0</v>
      </c>
      <c r="G11" s="3">
        <v>0</v>
      </c>
      <c r="H11" s="3">
        <v>3.627111E-5</v>
      </c>
      <c r="I11" s="3">
        <v>1.3631026E-5</v>
      </c>
      <c r="J11" s="3">
        <v>-9.7669411E-5</v>
      </c>
      <c r="K11" s="3"/>
      <c r="L11" s="3">
        <f t="shared" si="0"/>
        <v>-6.0959064327485386E-2</v>
      </c>
      <c r="M11" s="3"/>
      <c r="N11" s="2">
        <f>IF('Modell einstellen'!$B$1="Voll",H11/0.35,H11/0.35*2)</f>
        <v>2.0726348571428572E-4</v>
      </c>
      <c r="O11" s="2">
        <f>IF('Modell einstellen'!$B$1="Voll",J11/0.35,J11/0.35*2)</f>
        <v>-5.5811092000000002E-4</v>
      </c>
      <c r="P11" s="3">
        <f t="shared" si="1"/>
        <v>0.37136611789334945</v>
      </c>
      <c r="Q11" s="3"/>
      <c r="R11" s="3"/>
      <c r="S11" s="3"/>
      <c r="T11" s="3"/>
      <c r="U11" s="3"/>
    </row>
    <row r="12" spans="1:21" x14ac:dyDescent="0.25">
      <c r="A12" s="3">
        <v>9.9999999999999995E-7</v>
      </c>
      <c r="B12" s="3">
        <v>-3.2190000000000002E-5</v>
      </c>
      <c r="C12" s="3">
        <v>1.5029999999999999E-4</v>
      </c>
      <c r="D12" s="3">
        <v>-4.2539999999999999E-4</v>
      </c>
      <c r="E12" s="3">
        <v>0</v>
      </c>
      <c r="F12" s="3">
        <v>0</v>
      </c>
      <c r="G12" s="3">
        <v>0</v>
      </c>
      <c r="H12" s="3">
        <v>3.7337081E-5</v>
      </c>
      <c r="I12" s="3">
        <v>1.3796369000000001E-5</v>
      </c>
      <c r="J12" s="3">
        <v>-9.9248094E-5</v>
      </c>
      <c r="K12" s="3"/>
      <c r="L12" s="3">
        <f t="shared" si="0"/>
        <v>-7.5669957686882935E-2</v>
      </c>
      <c r="M12" s="3"/>
      <c r="N12" s="2">
        <f>IF('Modell einstellen'!$B$1="Voll",H12/0.35,H12/0.35*2)</f>
        <v>2.1335474857142858E-4</v>
      </c>
      <c r="O12" s="2">
        <f>IF('Modell einstellen'!$B$1="Voll",J12/0.35,J12/0.35*2)</f>
        <v>-5.6713196571428579E-4</v>
      </c>
      <c r="P12" s="3">
        <f t="shared" si="1"/>
        <v>0.37619947643528545</v>
      </c>
      <c r="Q12" s="3"/>
      <c r="R12" s="3"/>
      <c r="S12" s="3"/>
      <c r="T12" s="3"/>
      <c r="U12" s="3"/>
    </row>
    <row r="13" spans="1:21" x14ac:dyDescent="0.25">
      <c r="A13" s="3">
        <v>1.0000000000000001E-5</v>
      </c>
      <c r="B13" s="3">
        <v>-3.9190000000000003E-5</v>
      </c>
      <c r="C13" s="3">
        <v>1.5220000000000001E-4</v>
      </c>
      <c r="D13" s="3">
        <v>-4.2260000000000003E-4</v>
      </c>
      <c r="E13" s="3">
        <v>0</v>
      </c>
      <c r="F13" s="3">
        <v>0</v>
      </c>
      <c r="G13" s="3">
        <v>0</v>
      </c>
      <c r="H13" s="3">
        <v>3.8509366999999997E-5</v>
      </c>
      <c r="I13" s="3">
        <v>1.3971934000000001E-5</v>
      </c>
      <c r="J13" s="3">
        <v>-1.0096359E-4</v>
      </c>
      <c r="K13" s="3"/>
      <c r="L13" s="3">
        <f t="shared" si="0"/>
        <v>-9.2735447231424517E-2</v>
      </c>
      <c r="M13" s="3"/>
      <c r="N13" s="2">
        <f>IF('Modell einstellen'!$B$1="Voll",H13/0.35,H13/0.35*2)</f>
        <v>2.2005352571428572E-4</v>
      </c>
      <c r="O13" s="2">
        <f>IF('Modell einstellen'!$B$1="Voll",J13/0.35,J13/0.35*2)</f>
        <v>-5.7693480000000003E-4</v>
      </c>
      <c r="P13" s="3">
        <f t="shared" si="1"/>
        <v>0.38141836081700342</v>
      </c>
      <c r="Q13" s="3"/>
      <c r="R13" s="3"/>
      <c r="S13" s="3"/>
      <c r="T13" s="3"/>
      <c r="U13" s="3"/>
    </row>
    <row r="14" spans="1:21" x14ac:dyDescent="0.25">
      <c r="A14" s="3">
        <v>1E-4</v>
      </c>
      <c r="B14" s="3">
        <v>-4.791E-5</v>
      </c>
      <c r="C14" s="3">
        <v>1.5440000000000001E-4</v>
      </c>
      <c r="D14" s="3">
        <v>-4.1879999999999999E-4</v>
      </c>
      <c r="E14" s="3">
        <v>0</v>
      </c>
      <c r="F14" s="3">
        <v>0</v>
      </c>
      <c r="G14" s="3">
        <v>0</v>
      </c>
      <c r="H14" s="3">
        <v>3.9912240999999999E-5</v>
      </c>
      <c r="I14" s="3">
        <v>1.4172108E-5</v>
      </c>
      <c r="J14" s="3">
        <v>-1.0298714E-4</v>
      </c>
      <c r="K14" s="3"/>
      <c r="L14" s="3">
        <f t="shared" si="0"/>
        <v>-0.11439828080229227</v>
      </c>
      <c r="M14" s="3"/>
      <c r="N14" s="2">
        <f>IF('Modell einstellen'!$B$1="Voll",H14/0.35,H14/0.35*2)</f>
        <v>2.2806994857142859E-4</v>
      </c>
      <c r="O14" s="2">
        <f>IF('Modell einstellen'!$B$1="Voll",J14/0.35,J14/0.35*2)</f>
        <v>-5.8849794285714295E-4</v>
      </c>
      <c r="P14" s="3">
        <f t="shared" si="1"/>
        <v>0.38754587223220294</v>
      </c>
      <c r="Q14" s="3"/>
      <c r="R14" s="3"/>
      <c r="S14" s="3"/>
      <c r="T14" s="3"/>
      <c r="U14" s="3"/>
    </row>
    <row r="15" spans="1:21" x14ac:dyDescent="0.25">
      <c r="A15" s="3">
        <v>1E-3</v>
      </c>
      <c r="B15" s="3">
        <v>-5.8430000000000001E-5</v>
      </c>
      <c r="C15" s="3">
        <v>1.5669999999999999E-4</v>
      </c>
      <c r="D15" s="3">
        <v>-4.1360000000000002E-4</v>
      </c>
      <c r="E15" s="3">
        <v>0</v>
      </c>
      <c r="F15" s="3">
        <v>0</v>
      </c>
      <c r="G15" s="3">
        <v>0</v>
      </c>
      <c r="H15" s="3">
        <v>4.1537749999999997E-5</v>
      </c>
      <c r="I15" s="3">
        <v>1.4393183999999999E-5</v>
      </c>
      <c r="J15" s="3">
        <v>-1.0529681000000001E-4</v>
      </c>
      <c r="K15" s="3"/>
      <c r="L15" s="3">
        <f t="shared" si="0"/>
        <v>-0.14127176015473888</v>
      </c>
      <c r="M15" s="3"/>
      <c r="N15" s="2">
        <f>IF('Modell einstellen'!$B$1="Voll",H15/0.35,H15/0.35*2)</f>
        <v>2.3735857142857144E-4</v>
      </c>
      <c r="O15" s="2">
        <f>IF('Modell einstellen'!$B$1="Voll",J15/0.35,J15/0.35*2)</f>
        <v>-6.0169605714285716E-4</v>
      </c>
      <c r="P15" s="3">
        <f t="shared" si="1"/>
        <v>0.39448251091367348</v>
      </c>
      <c r="Q15" s="3"/>
      <c r="R15" s="3"/>
      <c r="S15" s="3"/>
      <c r="T15" s="3"/>
      <c r="U15" s="3"/>
    </row>
    <row r="16" spans="1:21" x14ac:dyDescent="0.25">
      <c r="A16" s="3">
        <v>0.01</v>
      </c>
      <c r="B16" s="3">
        <v>-7.0630000000000006E-5</v>
      </c>
      <c r="C16" s="3">
        <v>1.6019999999999999E-4</v>
      </c>
      <c r="D16" s="3">
        <v>-4.081E-4</v>
      </c>
      <c r="E16" s="3">
        <v>0</v>
      </c>
      <c r="F16" s="3">
        <v>0</v>
      </c>
      <c r="G16" s="3">
        <v>0</v>
      </c>
      <c r="H16" s="3">
        <v>4.3388632000000001E-5</v>
      </c>
      <c r="I16" s="3">
        <v>1.4677146E-5</v>
      </c>
      <c r="J16" s="3">
        <v>-1.0796381E-4</v>
      </c>
      <c r="K16" s="3"/>
      <c r="L16" s="3">
        <f t="shared" si="0"/>
        <v>-0.1730703259005146</v>
      </c>
      <c r="M16" s="3"/>
      <c r="N16" s="2">
        <f>IF('Modell einstellen'!$B$1="Voll",H16/0.35,H16/0.35*2)</f>
        <v>2.4793504000000002E-4</v>
      </c>
      <c r="O16" s="2">
        <f>IF('Modell einstellen'!$B$1="Voll",J16/0.35,J16/0.35*2)</f>
        <v>-6.1693605714285718E-4</v>
      </c>
      <c r="P16" s="3">
        <f t="shared" si="1"/>
        <v>0.40188126002592905</v>
      </c>
      <c r="Q16" s="3"/>
      <c r="R16" s="3"/>
      <c r="S16" s="3"/>
      <c r="T16" s="3"/>
      <c r="U16" s="3"/>
    </row>
    <row r="17" spans="1:25" x14ac:dyDescent="0.25">
      <c r="A17" s="3">
        <v>0.1</v>
      </c>
      <c r="B17" s="3">
        <v>-8.4010000000000004E-5</v>
      </c>
      <c r="C17" s="3">
        <v>1.6220000000000001E-4</v>
      </c>
      <c r="D17" s="3">
        <v>-3.9980000000000001E-4</v>
      </c>
      <c r="E17" s="3">
        <v>0</v>
      </c>
      <c r="F17" s="3">
        <v>0</v>
      </c>
      <c r="G17" s="3">
        <v>0</v>
      </c>
      <c r="H17" s="3">
        <v>4.5253846999999999E-5</v>
      </c>
      <c r="I17" s="3">
        <v>1.4880042E-5</v>
      </c>
      <c r="J17" s="3">
        <v>-1.1048596E-4</v>
      </c>
      <c r="K17" s="3"/>
      <c r="L17" s="3">
        <f t="shared" si="0"/>
        <v>-0.21013006503251627</v>
      </c>
      <c r="M17" s="3"/>
      <c r="N17" s="2">
        <f>IF('Modell einstellen'!$B$1="Voll",H17/0.35,H17/0.35*2)</f>
        <v>2.5859341142857144E-4</v>
      </c>
      <c r="O17" s="2">
        <f>IF('Modell einstellen'!$B$1="Voll",J17/0.35,J17/0.35*2)</f>
        <v>-6.3134834285714285E-4</v>
      </c>
      <c r="P17" s="3">
        <f t="shared" si="1"/>
        <v>0.40958911883464649</v>
      </c>
      <c r="Q17" s="3"/>
      <c r="R17" s="3"/>
      <c r="S17" s="3"/>
      <c r="T17" s="3"/>
      <c r="U17" s="3"/>
      <c r="V17" s="3"/>
      <c r="W17" s="3"/>
      <c r="X17" s="3"/>
      <c r="Y17" s="3"/>
    </row>
    <row r="18" spans="1:25" x14ac:dyDescent="0.25">
      <c r="A18" s="3">
        <v>1</v>
      </c>
      <c r="B18" s="3">
        <v>-9.9270000000000003E-5</v>
      </c>
      <c r="C18" s="3">
        <v>1.6550000000000001E-4</v>
      </c>
      <c r="D18" s="3">
        <v>-3.9110000000000002E-4</v>
      </c>
      <c r="E18" s="3">
        <v>0</v>
      </c>
      <c r="F18" s="3">
        <v>0</v>
      </c>
      <c r="G18" s="3">
        <v>0</v>
      </c>
      <c r="H18" s="3">
        <v>4.7381927000000002E-5</v>
      </c>
      <c r="I18" s="3">
        <v>1.5162995999999999E-5</v>
      </c>
      <c r="J18" s="3">
        <v>-1.1343432999999999E-4</v>
      </c>
      <c r="K18" s="3"/>
      <c r="L18" s="3">
        <f t="shared" si="0"/>
        <v>-0.25382255177703911</v>
      </c>
      <c r="M18" s="3"/>
      <c r="N18" s="2">
        <f>IF('Modell einstellen'!$B$1="Voll",H18/0.35,H18/0.35*2)</f>
        <v>2.7075386857142858E-4</v>
      </c>
      <c r="O18" s="2">
        <f>IF('Modell einstellen'!$B$1="Voll",J18/0.35,J18/0.35*2)</f>
        <v>-6.481961714285714E-4</v>
      </c>
      <c r="P18" s="3">
        <f t="shared" si="1"/>
        <v>0.41770359114388039</v>
      </c>
      <c r="Q18" s="3"/>
      <c r="R18" s="3"/>
      <c r="S18" s="3"/>
      <c r="T18" s="3"/>
      <c r="U18" s="3"/>
      <c r="V18" s="3"/>
      <c r="W18" s="3"/>
      <c r="X18" s="3"/>
      <c r="Y18" s="3"/>
    </row>
    <row r="19" spans="1:25" x14ac:dyDescent="0.25">
      <c r="A19" s="3">
        <v>10</v>
      </c>
      <c r="B19" s="3">
        <v>-1.199E-4</v>
      </c>
      <c r="C19" s="3">
        <v>1.693E-4</v>
      </c>
      <c r="D19" s="3">
        <v>-3.7809999999999997E-4</v>
      </c>
      <c r="E19" s="3">
        <v>0</v>
      </c>
      <c r="F19" s="3">
        <v>0</v>
      </c>
      <c r="G19" s="3">
        <v>0</v>
      </c>
      <c r="H19" s="3">
        <v>5.0243990000000001E-5</v>
      </c>
      <c r="I19" s="3">
        <v>1.5526826999999999E-5</v>
      </c>
      <c r="J19" s="3">
        <v>-1.1733277999999999E-4</v>
      </c>
      <c r="K19" s="3"/>
      <c r="L19" s="3">
        <f t="shared" si="0"/>
        <v>-0.31711187516530021</v>
      </c>
      <c r="M19" s="3"/>
      <c r="N19" s="2">
        <f>IF('Modell einstellen'!$B$1="Voll",H19/0.35,H19/0.35*2)</f>
        <v>2.8710851428571433E-4</v>
      </c>
      <c r="O19" s="2">
        <f>IF('Modell einstellen'!$B$1="Voll",J19/0.35,J19/0.35*2)</f>
        <v>-6.7047302857142863E-4</v>
      </c>
      <c r="P19" s="3">
        <f t="shared" si="1"/>
        <v>0.42821784330005652</v>
      </c>
      <c r="Q19" s="3"/>
      <c r="R19" s="3"/>
      <c r="S19" s="3"/>
      <c r="T19" s="3"/>
      <c r="U19" s="3"/>
      <c r="V19" s="3"/>
      <c r="W19" s="3"/>
      <c r="X19" s="3"/>
      <c r="Y19" s="3"/>
    </row>
    <row r="20" spans="1:25" x14ac:dyDescent="0.25">
      <c r="A20" s="3">
        <v>100</v>
      </c>
      <c r="B20" s="3">
        <v>-1.3870000000000001E-4</v>
      </c>
      <c r="C20" s="3">
        <v>1.7689999999999999E-4</v>
      </c>
      <c r="D20" s="3">
        <v>-3.6989999999999999E-4</v>
      </c>
      <c r="E20" s="3">
        <v>0</v>
      </c>
      <c r="F20" s="3">
        <v>0</v>
      </c>
      <c r="G20" s="3">
        <v>0</v>
      </c>
      <c r="H20" s="3">
        <v>5.4240144000000003E-5</v>
      </c>
      <c r="I20" s="3">
        <v>1.6437774999999999E-5</v>
      </c>
      <c r="J20" s="3">
        <v>-1.2338229000000001E-4</v>
      </c>
      <c r="K20" s="3"/>
      <c r="L20" s="3">
        <f t="shared" si="0"/>
        <v>-0.37496620708299544</v>
      </c>
      <c r="M20" s="3"/>
      <c r="N20" s="2">
        <f>IF('Modell einstellen'!$B$1="Voll",H20/0.35,H20/0.35*2)</f>
        <v>3.0994368000000002E-4</v>
      </c>
      <c r="O20" s="2">
        <f>IF('Modell einstellen'!$B$1="Voll",J20/0.35,J20/0.35*2)</f>
        <v>-7.0504165714285728E-4</v>
      </c>
      <c r="P20" s="3">
        <f t="shared" si="1"/>
        <v>0.43961044976552138</v>
      </c>
      <c r="Q20" s="3"/>
      <c r="R20" s="3"/>
      <c r="S20" s="3"/>
      <c r="T20" s="3"/>
      <c r="U20" s="3"/>
      <c r="V20" s="3"/>
      <c r="W20" s="3"/>
      <c r="X20" s="3"/>
      <c r="Y20" s="3"/>
    </row>
    <row r="21" spans="1:25" x14ac:dyDescent="0.25">
      <c r="A21" s="3">
        <v>1000</v>
      </c>
      <c r="B21" s="3">
        <v>-1.149E-4</v>
      </c>
      <c r="C21" s="3">
        <v>2.0049999999999999E-4</v>
      </c>
      <c r="D21" s="3">
        <v>-4.1229999999999999E-4</v>
      </c>
      <c r="E21" s="3">
        <v>0</v>
      </c>
      <c r="F21" s="3">
        <v>0</v>
      </c>
      <c r="G21" s="3">
        <v>0</v>
      </c>
      <c r="H21" s="3">
        <v>6.0545165999999998E-5</v>
      </c>
      <c r="I21" s="3">
        <v>2.0000756999999999E-5</v>
      </c>
      <c r="J21" s="3">
        <v>-1.3639463E-4</v>
      </c>
      <c r="K21" s="3"/>
      <c r="L21" s="3">
        <f t="shared" si="0"/>
        <v>-0.27868057239873878</v>
      </c>
      <c r="M21" s="3"/>
      <c r="N21" s="2">
        <f>IF('Modell einstellen'!$B$1="Voll",H21/0.35,H21/0.35*2)</f>
        <v>3.4597237714285715E-4</v>
      </c>
      <c r="O21" s="2">
        <f>IF('Modell einstellen'!$B$1="Voll",J21/0.35,J21/0.35*2)</f>
        <v>-7.793978857142858E-4</v>
      </c>
      <c r="P21" s="3">
        <f t="shared" si="1"/>
        <v>0.44389699213231482</v>
      </c>
      <c r="Q21" s="3"/>
      <c r="R21" s="3"/>
      <c r="S21" s="3"/>
      <c r="T21" s="3"/>
      <c r="U21" s="3"/>
      <c r="V21" s="3"/>
      <c r="W21" s="3"/>
      <c r="X21" s="3"/>
      <c r="Y21" s="3"/>
    </row>
    <row r="22" spans="1:25" x14ac:dyDescent="0.25">
      <c r="A22" s="3">
        <v>10000</v>
      </c>
      <c r="B22" s="3">
        <v>-6.2430000000000002E-6</v>
      </c>
      <c r="C22" s="3">
        <v>2.5339999999999998E-4</v>
      </c>
      <c r="D22" s="3">
        <v>-5.5349999999999996E-4</v>
      </c>
      <c r="E22" s="3">
        <v>0</v>
      </c>
      <c r="F22" s="3">
        <v>0</v>
      </c>
      <c r="G22" s="3">
        <v>0</v>
      </c>
      <c r="H22" s="3">
        <v>7.0662260999999996E-5</v>
      </c>
      <c r="I22" s="3">
        <v>2.8776218E-5</v>
      </c>
      <c r="J22" s="3">
        <v>-1.6249856999999999E-4</v>
      </c>
      <c r="K22" s="3"/>
      <c r="L22" s="3">
        <f t="shared" si="0"/>
        <v>-1.1279132791327915E-2</v>
      </c>
      <c r="M22" s="3"/>
      <c r="N22" s="2">
        <f>IF('Modell einstellen'!$B$1="Voll",H22/0.35,H22/0.35*2)</f>
        <v>4.0378434857142858E-4</v>
      </c>
      <c r="O22" s="2">
        <f>IF('Modell einstellen'!$B$1="Voll",J22/0.35,J22/0.35*2)</f>
        <v>-9.2856325714285712E-4</v>
      </c>
      <c r="P22" s="3">
        <f t="shared" si="1"/>
        <v>0.43484850974380884</v>
      </c>
      <c r="Q22" s="3"/>
      <c r="R22" s="3"/>
      <c r="S22" s="3"/>
      <c r="T22" s="3"/>
      <c r="U22" s="3"/>
      <c r="V22" s="3"/>
      <c r="W22" s="3"/>
      <c r="X22" s="3"/>
      <c r="Y22" s="3"/>
    </row>
    <row r="23" spans="1:25" x14ac:dyDescent="0.25">
      <c r="A23" s="3">
        <v>100000</v>
      </c>
      <c r="B23" s="3">
        <v>1.3960000000000001E-4</v>
      </c>
      <c r="C23" s="3">
        <v>3.2929999999999998E-4</v>
      </c>
      <c r="D23" s="3">
        <v>-7.4930000000000005E-4</v>
      </c>
      <c r="E23" s="3">
        <v>0</v>
      </c>
      <c r="F23" s="3">
        <v>0</v>
      </c>
      <c r="G23" s="3">
        <v>0</v>
      </c>
      <c r="H23" s="3">
        <v>8.2848773000000005E-5</v>
      </c>
      <c r="I23" s="3">
        <v>4.0775180999999997E-5</v>
      </c>
      <c r="J23" s="3">
        <v>-1.9664699E-4</v>
      </c>
      <c r="K23" s="3"/>
      <c r="L23" s="3">
        <f t="shared" si="0"/>
        <v>0.18630722007206726</v>
      </c>
      <c r="M23" s="3"/>
      <c r="N23" s="2">
        <f>IF('Modell einstellen'!$B$1="Voll",H23/0.35,H23/0.35*2)</f>
        <v>4.7342156000000006E-4</v>
      </c>
      <c r="O23" s="2">
        <f>IF('Modell einstellen'!$B$1="Voll",J23/0.35,J23/0.35*2)</f>
        <v>-1.1236970857142858E-3</v>
      </c>
      <c r="P23" s="3">
        <f t="shared" si="1"/>
        <v>0.42130709958998103</v>
      </c>
      <c r="Q23" s="3"/>
      <c r="R23" s="3"/>
      <c r="S23" s="3"/>
      <c r="T23" s="3"/>
      <c r="U23" s="3"/>
      <c r="V23" s="3"/>
      <c r="W23" s="3"/>
      <c r="X23" s="3"/>
      <c r="Y23" s="3"/>
    </row>
    <row r="24" spans="1:25" x14ac:dyDescent="0.25">
      <c r="A24" s="3">
        <v>1000000</v>
      </c>
      <c r="B24" s="3">
        <v>2.8219999999999997E-4</v>
      </c>
      <c r="C24" s="3">
        <v>4.1330000000000002E-4</v>
      </c>
      <c r="D24" s="3">
        <v>-9.5209999999999999E-4</v>
      </c>
      <c r="E24" s="3">
        <v>0</v>
      </c>
      <c r="F24" s="3">
        <v>0</v>
      </c>
      <c r="G24" s="3">
        <v>0</v>
      </c>
      <c r="H24" s="3">
        <v>9.4502392000000003E-5</v>
      </c>
      <c r="I24" s="3">
        <v>5.3221654E-5</v>
      </c>
      <c r="J24" s="3">
        <v>-2.3128535E-4</v>
      </c>
      <c r="K24" s="3"/>
      <c r="L24" s="3">
        <f t="shared" si="0"/>
        <v>0.29639743724398693</v>
      </c>
      <c r="M24" s="3"/>
      <c r="N24" s="2">
        <f>IF('Modell einstellen'!$B$1="Voll",H24/0.35,H24/0.35*2)</f>
        <v>5.4001366857142857E-4</v>
      </c>
      <c r="O24" s="2">
        <f>IF('Modell einstellen'!$B$1="Voll",J24/0.35,J24/0.35*2)</f>
        <v>-1.3216305714285716E-3</v>
      </c>
      <c r="P24" s="3">
        <f t="shared" si="1"/>
        <v>0.40859653237872606</v>
      </c>
      <c r="Q24" s="3"/>
      <c r="R24" s="3"/>
      <c r="S24" s="3"/>
      <c r="T24" s="3"/>
      <c r="U24" s="3"/>
      <c r="V24" s="3"/>
      <c r="W24" s="3"/>
      <c r="X24" s="3"/>
      <c r="Y24" s="3"/>
    </row>
    <row r="25" spans="1:25" x14ac:dyDescent="0.25">
      <c r="A25" s="3">
        <v>10000000</v>
      </c>
      <c r="B25" s="3">
        <v>4.0200000000000001E-4</v>
      </c>
      <c r="C25" s="3">
        <v>4.9790000000000001E-4</v>
      </c>
      <c r="D25" s="3">
        <v>-1.1379999999999999E-3</v>
      </c>
      <c r="E25" s="3">
        <v>0</v>
      </c>
      <c r="F25" s="3">
        <v>0</v>
      </c>
      <c r="G25" s="3">
        <v>0</v>
      </c>
      <c r="H25" s="3">
        <v>1.0521433E-4</v>
      </c>
      <c r="I25" s="3">
        <v>6.5123126000000004E-5</v>
      </c>
      <c r="J25" s="3">
        <v>-2.6424172000000002E-4</v>
      </c>
      <c r="K25" s="3"/>
      <c r="L25" s="3">
        <f t="shared" si="0"/>
        <v>0.35325131810193328</v>
      </c>
      <c r="M25" s="3"/>
      <c r="N25" s="2">
        <f>IF('Modell einstellen'!$B$1="Voll",H25/0.35,H25/0.35*2)</f>
        <v>6.0122474285714291E-4</v>
      </c>
      <c r="O25" s="2">
        <f>IF('Modell einstellen'!$B$1="Voll",J25/0.35,J25/0.35*2)</f>
        <v>-1.5099526857142859E-3</v>
      </c>
      <c r="P25" s="3">
        <f t="shared" si="1"/>
        <v>0.39817455774962407</v>
      </c>
      <c r="Q25" s="3"/>
      <c r="R25" s="3"/>
      <c r="S25" s="3"/>
      <c r="T25" s="3"/>
      <c r="U25" s="3"/>
      <c r="V25" s="3"/>
      <c r="W25" s="3"/>
      <c r="X25" s="3"/>
      <c r="Y25" s="3"/>
    </row>
    <row r="26" spans="1:25" x14ac:dyDescent="0.25">
      <c r="A26" s="3">
        <v>100000000</v>
      </c>
      <c r="B26" s="3">
        <v>4.9739999999999995E-4</v>
      </c>
      <c r="C26" s="3">
        <v>5.798E-4</v>
      </c>
      <c r="D26" s="3">
        <v>-1.3010000000000001E-3</v>
      </c>
      <c r="E26" s="3">
        <v>0</v>
      </c>
      <c r="F26" s="3">
        <v>0</v>
      </c>
      <c r="G26" s="3">
        <v>0</v>
      </c>
      <c r="H26" s="3">
        <v>1.1504285000000001E-4</v>
      </c>
      <c r="I26" s="3">
        <v>7.6350006000000002E-5</v>
      </c>
      <c r="J26" s="3">
        <v>-2.9528821000000002E-4</v>
      </c>
      <c r="K26" s="3"/>
      <c r="L26" s="3">
        <f t="shared" si="0"/>
        <v>0.38232129131437348</v>
      </c>
      <c r="M26" s="3"/>
      <c r="N26" s="2">
        <f>IF('Modell einstellen'!$B$1="Voll",H26/0.35,H26/0.35*2)</f>
        <v>6.573877142857144E-4</v>
      </c>
      <c r="O26" s="2">
        <f>IF('Modell einstellen'!$B$1="Voll",J26/0.35,J26/0.35*2)</f>
        <v>-1.6873612000000001E-3</v>
      </c>
      <c r="P26" s="3">
        <f t="shared" si="1"/>
        <v>0.38959513486840536</v>
      </c>
      <c r="Q26" s="3"/>
      <c r="R26" s="3"/>
      <c r="S26" s="3"/>
      <c r="T26" s="3"/>
      <c r="U26" s="3"/>
      <c r="V26" s="3"/>
      <c r="W26" s="3"/>
      <c r="X26" s="3"/>
      <c r="Y26" s="3"/>
    </row>
    <row r="27" spans="1:25" x14ac:dyDescent="0.25">
      <c r="A27" s="3">
        <v>1000000000</v>
      </c>
      <c r="B27" s="3">
        <v>5.754E-4</v>
      </c>
      <c r="C27" s="3">
        <v>6.6350000000000003E-4</v>
      </c>
      <c r="D27" s="3">
        <v>-1.4530000000000001E-3</v>
      </c>
      <c r="E27" s="3">
        <v>0</v>
      </c>
      <c r="F27" s="3">
        <v>0</v>
      </c>
      <c r="G27" s="3">
        <v>0</v>
      </c>
      <c r="H27" s="3">
        <v>1.2579250000000001E-4</v>
      </c>
      <c r="I27" s="3">
        <v>8.7948489000000003E-5</v>
      </c>
      <c r="J27" s="3">
        <v>-3.2824138E-4</v>
      </c>
      <c r="K27" s="3"/>
      <c r="L27" s="3">
        <f t="shared" si="0"/>
        <v>0.39600825877494839</v>
      </c>
      <c r="M27" s="3"/>
      <c r="N27" s="2">
        <f>IF('Modell einstellen'!$B$1="Voll",H27/0.35,H27/0.35*2)</f>
        <v>7.188142857142858E-4</v>
      </c>
      <c r="O27" s="2">
        <f>IF('Modell einstellen'!$B$1="Voll",J27/0.35,J27/0.35*2)</f>
        <v>-1.8756650285714287E-3</v>
      </c>
      <c r="P27" s="3">
        <f t="shared" si="1"/>
        <v>0.38323169370053223</v>
      </c>
      <c r="Q27" s="3"/>
      <c r="R27" s="3"/>
      <c r="S27" s="3"/>
      <c r="T27" s="3"/>
      <c r="U27" s="3"/>
      <c r="V27" s="3"/>
      <c r="W27" s="3"/>
      <c r="X27" s="3"/>
      <c r="Y27" s="3"/>
    </row>
    <row r="28" spans="1:25" x14ac:dyDescent="0.25">
      <c r="A28" s="3">
        <v>10000000000</v>
      </c>
      <c r="B28" s="3">
        <v>6.4479999999999995E-4</v>
      </c>
      <c r="C28" s="3">
        <v>7.5179999999999995E-4</v>
      </c>
      <c r="D28" s="3">
        <v>-1.603E-3</v>
      </c>
      <c r="E28" s="3">
        <v>0</v>
      </c>
      <c r="F28" s="3">
        <v>0</v>
      </c>
      <c r="G28" s="3">
        <v>0</v>
      </c>
      <c r="H28" s="3">
        <v>1.3802271E-4</v>
      </c>
      <c r="I28" s="3">
        <v>1.0049838E-4</v>
      </c>
      <c r="J28" s="3">
        <v>-3.6468332E-4</v>
      </c>
      <c r="K28" s="3"/>
      <c r="L28" s="3">
        <f t="shared" si="0"/>
        <v>0.40224578914535242</v>
      </c>
      <c r="M28" s="3"/>
      <c r="N28" s="2">
        <f>IF('Modell einstellen'!$B$1="Voll",H28/0.35,H28/0.35*2)</f>
        <v>7.8870120000000001E-4</v>
      </c>
      <c r="O28" s="2">
        <f>IF('Modell einstellen'!$B$1="Voll",J28/0.35,J28/0.35*2)</f>
        <v>-2.0839046857142858E-3</v>
      </c>
      <c r="P28" s="3">
        <f t="shared" si="1"/>
        <v>0.37847278016444513</v>
      </c>
      <c r="Q28" s="3"/>
      <c r="R28" s="3"/>
      <c r="S28" s="3"/>
      <c r="T28" s="3"/>
      <c r="U28" s="3"/>
      <c r="V28" s="3"/>
      <c r="W28" s="3"/>
      <c r="X28" s="3"/>
      <c r="Y28" s="3"/>
    </row>
    <row r="29" spans="1:25" x14ac:dyDescent="0.25">
      <c r="A29" s="3">
        <v>100000000000</v>
      </c>
      <c r="B29" s="3">
        <v>7.1409999999999996E-4</v>
      </c>
      <c r="C29" s="3">
        <v>8.5389999999999999E-4</v>
      </c>
      <c r="D29" s="3">
        <v>-1.7700000000000001E-3</v>
      </c>
      <c r="E29" s="3">
        <v>0</v>
      </c>
      <c r="F29" s="3">
        <v>0</v>
      </c>
      <c r="G29" s="3">
        <v>0</v>
      </c>
      <c r="H29" s="3">
        <v>1.5381117000000001E-4</v>
      </c>
      <c r="I29" s="3">
        <v>1.1563799000000001E-4</v>
      </c>
      <c r="J29" s="3">
        <v>-4.0983506000000003E-4</v>
      </c>
      <c r="K29" s="3"/>
      <c r="L29" s="3">
        <f t="shared" si="0"/>
        <v>0.40344632768361577</v>
      </c>
      <c r="M29" s="3"/>
      <c r="N29" s="2">
        <f>IF('Modell einstellen'!$B$1="Voll",H29/0.35,H29/0.35*2)</f>
        <v>8.7892097142857153E-4</v>
      </c>
      <c r="O29" s="2">
        <f>IF('Modell einstellen'!$B$1="Voll",J29/0.35,J29/0.35*2)</f>
        <v>-2.3419146285714289E-3</v>
      </c>
      <c r="P29" s="3">
        <f t="shared" si="1"/>
        <v>0.37530017563651091</v>
      </c>
      <c r="Q29" s="3"/>
      <c r="R29" s="3"/>
      <c r="S29" s="3"/>
      <c r="T29" s="3"/>
      <c r="U29" s="3"/>
      <c r="V29" s="3"/>
      <c r="W29" s="3"/>
      <c r="X29" s="3"/>
      <c r="Y29" s="3"/>
    </row>
    <row r="30" spans="1:25" x14ac:dyDescent="0.25">
      <c r="A30" s="3">
        <v>1000000000000</v>
      </c>
      <c r="B30" s="3">
        <v>7.9080000000000003E-4</v>
      </c>
      <c r="C30" s="3">
        <v>9.8170000000000006E-4</v>
      </c>
      <c r="D30" s="3">
        <v>-1.97E-3</v>
      </c>
      <c r="E30" s="3">
        <v>0</v>
      </c>
      <c r="F30" s="3">
        <v>0</v>
      </c>
      <c r="G30" s="3">
        <v>0</v>
      </c>
      <c r="H30" s="3">
        <v>1.7552192E-4</v>
      </c>
      <c r="I30" s="3">
        <v>1.3546154000000001E-4</v>
      </c>
      <c r="J30" s="3">
        <v>-4.7005971999999999E-4</v>
      </c>
      <c r="K30" s="3"/>
      <c r="L30" s="3">
        <f t="shared" si="0"/>
        <v>0.40142131979695433</v>
      </c>
      <c r="M30" s="3"/>
      <c r="N30" s="2">
        <f>IF('Modell einstellen'!$B$1="Voll",H30/0.35,H30/0.35*2)</f>
        <v>1.0029824000000001E-3</v>
      </c>
      <c r="O30" s="2">
        <f>IF('Modell einstellen'!$B$1="Voll",J30/0.35,J30/0.35*2)</f>
        <v>-2.686055542857143E-3</v>
      </c>
      <c r="P30" s="3">
        <f t="shared" si="1"/>
        <v>0.37340344754492044</v>
      </c>
      <c r="Q30" s="3"/>
      <c r="R30" s="3"/>
      <c r="S30" s="3"/>
      <c r="T30" s="3"/>
      <c r="U30" s="3"/>
      <c r="V30" s="3"/>
      <c r="W30" s="3"/>
      <c r="X30" s="3"/>
      <c r="Y30" s="3"/>
    </row>
    <row r="31" spans="1:25" x14ac:dyDescent="0.25">
      <c r="A31" s="3">
        <v>10000000000000</v>
      </c>
      <c r="B31" s="3">
        <v>8.8599999999999996E-4</v>
      </c>
      <c r="C31" s="3">
        <v>1.1670000000000001E-3</v>
      </c>
      <c r="D31" s="3">
        <v>-2.2460000000000002E-3</v>
      </c>
      <c r="E31" s="3">
        <v>0</v>
      </c>
      <c r="F31" s="3">
        <v>0</v>
      </c>
      <c r="G31" s="3">
        <v>0</v>
      </c>
      <c r="H31" s="3">
        <v>2.0924048E-4</v>
      </c>
      <c r="I31" s="3">
        <v>1.6531790000000001E-4</v>
      </c>
      <c r="J31" s="3">
        <v>-5.6174166999999997E-4</v>
      </c>
      <c r="K31" s="3"/>
      <c r="L31" s="3">
        <f t="shared" si="0"/>
        <v>0.39447907390917181</v>
      </c>
      <c r="M31" s="3"/>
      <c r="N31" s="2">
        <f>IF('Modell einstellen'!$B$1="Voll",H31/0.35,H31/0.35*2)</f>
        <v>1.1956598857142857E-3</v>
      </c>
      <c r="O31" s="2">
        <f>IF('Modell einstellen'!$B$1="Voll",J31/0.35,J31/0.35*2)</f>
        <v>-3.2099524E-3</v>
      </c>
      <c r="P31" s="3">
        <f t="shared" si="1"/>
        <v>0.37248523863291111</v>
      </c>
      <c r="Q31" s="3"/>
      <c r="R31" s="3"/>
      <c r="S31" s="3"/>
      <c r="T31" s="3"/>
      <c r="U31" s="3"/>
      <c r="V31" s="3"/>
      <c r="W31" s="3"/>
      <c r="X31" s="3"/>
      <c r="Y31" s="3"/>
    </row>
    <row r="32" spans="1:25" x14ac:dyDescent="0.25">
      <c r="A32" s="3">
        <v>100000000000000</v>
      </c>
      <c r="B32" s="3">
        <v>1.0150000000000001E-3</v>
      </c>
      <c r="C32" s="3">
        <v>1.4630000000000001E-3</v>
      </c>
      <c r="D32" s="3">
        <v>-2.666E-3</v>
      </c>
      <c r="E32" s="3">
        <v>0</v>
      </c>
      <c r="F32" s="3">
        <v>0</v>
      </c>
      <c r="G32" s="3">
        <v>0</v>
      </c>
      <c r="H32" s="3">
        <v>2.6606988999999998E-4</v>
      </c>
      <c r="I32" s="3">
        <v>2.1478352E-4</v>
      </c>
      <c r="J32" s="3">
        <v>-7.1432565000000003E-4</v>
      </c>
      <c r="K32" s="3"/>
      <c r="L32" s="3">
        <f t="shared" si="0"/>
        <v>0.38072018004501129</v>
      </c>
      <c r="M32" s="3"/>
      <c r="N32" s="2">
        <f>IF('Modell einstellen'!$B$1="Voll",H32/0.35,H32/0.35*2)</f>
        <v>1.5203993714285715E-3</v>
      </c>
      <c r="O32" s="2">
        <f>IF('Modell einstellen'!$B$1="Voll",J32/0.35,J32/0.35*2)</f>
        <v>-4.0818608571428572E-3</v>
      </c>
      <c r="P32" s="3">
        <f t="shared" si="1"/>
        <v>0.37247702080976652</v>
      </c>
      <c r="Q32" s="3"/>
      <c r="R32" s="3"/>
      <c r="S32" s="3"/>
      <c r="T32" s="3"/>
      <c r="U32" s="3"/>
      <c r="V32" s="3"/>
      <c r="W32" s="3"/>
      <c r="X32" s="3"/>
      <c r="Y32" s="3"/>
    </row>
    <row r="33" spans="1:25" x14ac:dyDescent="0.25">
      <c r="A33" s="2">
        <v>1000000000000000</v>
      </c>
      <c r="B33" s="3">
        <v>1.2030000000000001E-3</v>
      </c>
      <c r="C33" s="3">
        <v>1.9620000000000002E-3</v>
      </c>
      <c r="D33" s="3">
        <v>-3.3449999999999999E-3</v>
      </c>
      <c r="E33" s="3">
        <v>0</v>
      </c>
      <c r="F33" s="3">
        <v>0</v>
      </c>
      <c r="G33" s="3">
        <v>0</v>
      </c>
      <c r="H33" s="3">
        <v>3.6519463999999999E-4</v>
      </c>
      <c r="I33" s="3">
        <v>3.0033668E-4</v>
      </c>
      <c r="J33" s="3">
        <v>-9.7829253999999997E-4</v>
      </c>
      <c r="K33" s="3"/>
      <c r="L33" s="3">
        <f t="shared" si="0"/>
        <v>0.35964125560538118</v>
      </c>
      <c r="M33" s="3"/>
      <c r="N33" s="2">
        <f>IF('Modell einstellen'!$B$1="Voll",H33/0.35,H33/0.35*2)</f>
        <v>2.0868265142857142E-3</v>
      </c>
      <c r="O33" s="2">
        <f>IF('Modell einstellen'!$B$1="Voll",J33/0.35,J33/0.35*2)</f>
        <v>-5.5902430857142863E-3</v>
      </c>
      <c r="P33" s="3">
        <f t="shared" si="1"/>
        <v>0.37329799121232177</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-4.1620000000000001E-6</v>
      </c>
      <c r="C3" s="3">
        <v>1.4359999999999999E-4</v>
      </c>
      <c r="D3" s="3">
        <v>-4.3580000000000002E-4</v>
      </c>
      <c r="E3" s="3">
        <v>0</v>
      </c>
      <c r="F3" s="3">
        <v>0</v>
      </c>
      <c r="G3" s="3">
        <v>0</v>
      </c>
      <c r="H3" s="3">
        <v>3.2956966999999999E-5</v>
      </c>
      <c r="I3" s="3">
        <v>1.3226836E-5</v>
      </c>
      <c r="J3" s="3">
        <v>-9.2910133E-5</v>
      </c>
      <c r="K3" s="3"/>
      <c r="L3" s="3">
        <f>-B3/D3</f>
        <v>-9.5502524093620932E-3</v>
      </c>
      <c r="M3" s="3"/>
      <c r="N3" s="2">
        <f>IF('Modell einstellen'!$B$1="Voll",H3/0.35,H3/0.35*2)</f>
        <v>1.8832552571428573E-4</v>
      </c>
      <c r="O3" s="2">
        <f>IF('Modell einstellen'!$B$1="Voll",J3/0.35,J3/0.35*2)</f>
        <v>-5.3091504571428573E-4</v>
      </c>
      <c r="P3" s="3">
        <f>-N3/O3</f>
        <v>0.35471875817893839</v>
      </c>
      <c r="Q3" s="3"/>
      <c r="R3" s="3"/>
      <c r="S3" s="3"/>
      <c r="T3" s="3"/>
      <c r="U3" s="3"/>
    </row>
    <row r="4" spans="1:21" x14ac:dyDescent="0.25">
      <c r="A4" s="3">
        <v>1E-14</v>
      </c>
      <c r="B4" s="3">
        <v>-4.2100000000000003E-6</v>
      </c>
      <c r="C4" s="3">
        <v>1.437E-4</v>
      </c>
      <c r="D4" s="3">
        <v>-4.3580000000000002E-4</v>
      </c>
      <c r="E4" s="3">
        <v>0</v>
      </c>
      <c r="F4" s="3">
        <v>0</v>
      </c>
      <c r="G4" s="3">
        <v>0</v>
      </c>
      <c r="H4" s="3">
        <v>3.2964949999999997E-5</v>
      </c>
      <c r="I4" s="3">
        <v>1.3229067E-5</v>
      </c>
      <c r="J4" s="3">
        <v>-9.2920715999999997E-5</v>
      </c>
      <c r="K4" s="3"/>
      <c r="L4" s="3">
        <f t="shared" ref="L4:L33" si="0">-B4/D4</f>
        <v>-9.660394676457091E-3</v>
      </c>
      <c r="M4" s="3"/>
      <c r="N4" s="2">
        <f>IF('Modell einstellen'!$B$1="Voll",H4/0.35,H4/0.35*2)</f>
        <v>1.8837114285714284E-4</v>
      </c>
      <c r="O4" s="2">
        <f>IF('Modell einstellen'!$B$1="Voll",J4/0.35,J4/0.35*2)</f>
        <v>-5.3097552000000003E-4</v>
      </c>
      <c r="P4" s="3">
        <f t="shared" ref="P4:P33" si="1">-N4/O4</f>
        <v>0.35476427021935553</v>
      </c>
      <c r="Q4" s="3"/>
      <c r="R4" s="3"/>
      <c r="S4" s="3"/>
      <c r="T4" s="3"/>
      <c r="U4" s="3"/>
    </row>
    <row r="5" spans="1:21" x14ac:dyDescent="0.25">
      <c r="A5" s="3">
        <v>1E-13</v>
      </c>
      <c r="B5" s="3">
        <v>-4.5879999999999999E-6</v>
      </c>
      <c r="C5" s="3">
        <v>1.438E-4</v>
      </c>
      <c r="D5" s="3">
        <v>-4.3570000000000002E-4</v>
      </c>
      <c r="E5" s="3">
        <v>0</v>
      </c>
      <c r="F5" s="3">
        <v>0</v>
      </c>
      <c r="G5" s="3">
        <v>0</v>
      </c>
      <c r="H5" s="3">
        <v>3.3040244000000003E-5</v>
      </c>
      <c r="I5" s="3">
        <v>1.3241877E-5</v>
      </c>
      <c r="J5" s="3">
        <v>-9.3036840999999995E-5</v>
      </c>
      <c r="K5" s="3"/>
      <c r="L5" s="3">
        <f t="shared" si="0"/>
        <v>-1.0530181317420242E-2</v>
      </c>
      <c r="M5" s="3"/>
      <c r="N5" s="2">
        <f>IF('Modell einstellen'!$B$1="Voll",H5/0.35,H5/0.35*2)</f>
        <v>1.8880139428571432E-4</v>
      </c>
      <c r="O5" s="2">
        <f>IF('Modell einstellen'!$B$1="Voll",J5/0.35,J5/0.35*2)</f>
        <v>-5.316390914285714E-4</v>
      </c>
      <c r="P5" s="3">
        <f t="shared" si="1"/>
        <v>0.35513075943754374</v>
      </c>
      <c r="Q5" s="3"/>
      <c r="R5" s="3"/>
      <c r="S5" s="3"/>
      <c r="T5" s="3"/>
      <c r="U5" s="3"/>
    </row>
    <row r="6" spans="1:21" x14ac:dyDescent="0.25">
      <c r="A6" s="3">
        <v>9.9999999999999998E-13</v>
      </c>
      <c r="B6" s="3">
        <v>-7.576E-6</v>
      </c>
      <c r="C6" s="3">
        <v>1.448E-4</v>
      </c>
      <c r="D6" s="3">
        <v>-4.351E-4</v>
      </c>
      <c r="E6" s="3">
        <v>0</v>
      </c>
      <c r="F6" s="3">
        <v>0</v>
      </c>
      <c r="G6" s="3">
        <v>0</v>
      </c>
      <c r="H6" s="3">
        <v>3.3627834999999999E-5</v>
      </c>
      <c r="I6" s="3">
        <v>1.3340300999999999E-5</v>
      </c>
      <c r="J6" s="3">
        <v>-9.3939382999999997E-5</v>
      </c>
      <c r="K6" s="3"/>
      <c r="L6" s="3">
        <f t="shared" si="0"/>
        <v>-1.741208917490232E-2</v>
      </c>
      <c r="M6" s="3"/>
      <c r="N6" s="2">
        <f>IF('Modell einstellen'!$B$1="Voll",H6/0.35,H6/0.35*2)</f>
        <v>1.9215905714285714E-4</v>
      </c>
      <c r="O6" s="2">
        <f>IF('Modell einstellen'!$B$1="Voll",J6/0.35,J6/0.35*2)</f>
        <v>-5.367964742857143E-4</v>
      </c>
      <c r="P6" s="3">
        <f t="shared" si="1"/>
        <v>0.35797376910597761</v>
      </c>
      <c r="Q6" s="3"/>
      <c r="R6" s="3"/>
      <c r="S6" s="3"/>
      <c r="T6" s="3"/>
      <c r="U6" s="3"/>
    </row>
    <row r="7" spans="1:21" x14ac:dyDescent="0.25">
      <c r="A7" s="3">
        <v>9.9999999999999994E-12</v>
      </c>
      <c r="B7" s="3">
        <v>-1.403E-5</v>
      </c>
      <c r="C7" s="3">
        <v>1.4689999999999999E-4</v>
      </c>
      <c r="D7" s="3">
        <v>-4.3360000000000002E-4</v>
      </c>
      <c r="E7" s="3">
        <v>0</v>
      </c>
      <c r="F7" s="3">
        <v>0</v>
      </c>
      <c r="G7" s="3">
        <v>0</v>
      </c>
      <c r="H7" s="3">
        <v>3.4863171000000003E-5</v>
      </c>
      <c r="I7" s="3">
        <v>1.3543798E-5</v>
      </c>
      <c r="J7" s="3">
        <v>-9.5818463000000003E-5</v>
      </c>
      <c r="K7" s="3"/>
      <c r="L7" s="3">
        <f t="shared" si="0"/>
        <v>-3.23570110701107E-2</v>
      </c>
      <c r="M7" s="3"/>
      <c r="N7" s="2">
        <f>IF('Modell einstellen'!$B$1="Voll",H7/0.35,H7/0.35*2)</f>
        <v>1.9921812000000004E-4</v>
      </c>
      <c r="O7" s="2">
        <f>IF('Modell einstellen'!$B$1="Voll",J7/0.35,J7/0.35*2)</f>
        <v>-5.4753407428571432E-4</v>
      </c>
      <c r="P7" s="3">
        <f t="shared" si="1"/>
        <v>0.36384606795456531</v>
      </c>
      <c r="Q7" s="3"/>
      <c r="R7" s="3"/>
      <c r="S7" s="3"/>
      <c r="T7" s="3"/>
      <c r="U7" s="3"/>
    </row>
    <row r="8" spans="1:21" x14ac:dyDescent="0.25">
      <c r="A8" s="3">
        <v>1E-10</v>
      </c>
      <c r="B8" s="3">
        <v>-1.8879999999999999E-5</v>
      </c>
      <c r="C8" s="3">
        <v>1.485E-4</v>
      </c>
      <c r="D8" s="3">
        <v>-4.3239999999999999E-4</v>
      </c>
      <c r="E8" s="3">
        <v>0</v>
      </c>
      <c r="F8" s="3">
        <v>0</v>
      </c>
      <c r="G8" s="3">
        <v>0</v>
      </c>
      <c r="H8" s="3">
        <v>3.5776884000000003E-5</v>
      </c>
      <c r="I8" s="3">
        <v>1.3698364000000001E-5</v>
      </c>
      <c r="J8" s="3">
        <v>-9.7204037000000001E-5</v>
      </c>
      <c r="K8" s="3"/>
      <c r="L8" s="3">
        <f t="shared" si="0"/>
        <v>-4.3663274745605919E-2</v>
      </c>
      <c r="M8" s="3"/>
      <c r="N8" s="2">
        <f>IF('Modell einstellen'!$B$1="Voll",H8/0.35,H8/0.35*2)</f>
        <v>2.0443933714285717E-4</v>
      </c>
      <c r="O8" s="2">
        <f>IF('Modell einstellen'!$B$1="Voll",J8/0.35,J8/0.35*2)</f>
        <v>-5.5545164000000004E-4</v>
      </c>
      <c r="P8" s="3">
        <f t="shared" si="1"/>
        <v>0.36805965167887011</v>
      </c>
      <c r="Q8" s="3"/>
      <c r="R8" s="3"/>
      <c r="S8" s="3"/>
      <c r="T8" s="3"/>
      <c r="U8" s="3"/>
    </row>
    <row r="9" spans="1:21" x14ac:dyDescent="0.25">
      <c r="A9" s="3">
        <v>1.0000000000000001E-9</v>
      </c>
      <c r="B9" s="3">
        <v>-2.404E-5</v>
      </c>
      <c r="C9" s="3">
        <v>1.5009999999999999E-4</v>
      </c>
      <c r="D9" s="3">
        <v>-4.3090000000000001E-4</v>
      </c>
      <c r="E9" s="3">
        <v>0</v>
      </c>
      <c r="F9" s="3">
        <v>0</v>
      </c>
      <c r="G9" s="3">
        <v>0</v>
      </c>
      <c r="H9" s="3">
        <v>3.6712765999999999E-5</v>
      </c>
      <c r="I9" s="3">
        <v>1.3851983000000001E-5</v>
      </c>
      <c r="J9" s="3">
        <v>-9.860914E-5</v>
      </c>
      <c r="K9" s="3"/>
      <c r="L9" s="3">
        <f t="shared" si="0"/>
        <v>-5.5790206544441862E-2</v>
      </c>
      <c r="M9" s="3"/>
      <c r="N9" s="2">
        <f>IF('Modell einstellen'!$B$1="Voll",H9/0.35,H9/0.35*2)</f>
        <v>2.097872342857143E-4</v>
      </c>
      <c r="O9" s="2">
        <f>IF('Modell einstellen'!$B$1="Voll",J9/0.35,J9/0.35*2)</f>
        <v>-5.6348080000000005E-4</v>
      </c>
      <c r="P9" s="3">
        <f t="shared" si="1"/>
        <v>0.37230591403596053</v>
      </c>
      <c r="Q9" s="3"/>
      <c r="R9" s="3"/>
      <c r="S9" s="3"/>
      <c r="T9" s="3"/>
      <c r="U9" s="3"/>
    </row>
    <row r="10" spans="1:21" x14ac:dyDescent="0.25">
      <c r="A10" s="3">
        <v>1E-8</v>
      </c>
      <c r="B10" s="3">
        <v>-3.0309999999999999E-5</v>
      </c>
      <c r="C10" s="3">
        <v>1.5200000000000001E-4</v>
      </c>
      <c r="D10" s="3">
        <v>-4.2880000000000001E-4</v>
      </c>
      <c r="E10" s="3">
        <v>0</v>
      </c>
      <c r="F10" s="3">
        <v>0</v>
      </c>
      <c r="G10" s="3">
        <v>0</v>
      </c>
      <c r="H10" s="3">
        <v>3.7805992000000002E-5</v>
      </c>
      <c r="I10" s="3">
        <v>1.4023448E-5</v>
      </c>
      <c r="J10" s="3">
        <v>-1.0022864999999999E-4</v>
      </c>
      <c r="K10" s="3"/>
      <c r="L10" s="3">
        <f t="shared" si="0"/>
        <v>-7.0685634328358199E-2</v>
      </c>
      <c r="M10" s="3"/>
      <c r="N10" s="2">
        <f>IF('Modell einstellen'!$B$1="Voll",H10/0.35,H10/0.35*2)</f>
        <v>2.1603424000000003E-4</v>
      </c>
      <c r="O10" s="2">
        <f>IF('Modell einstellen'!$B$1="Voll",J10/0.35,J10/0.35*2)</f>
        <v>-5.7273514285714289E-4</v>
      </c>
      <c r="P10" s="3">
        <f t="shared" si="1"/>
        <v>0.37719745801225502</v>
      </c>
      <c r="Q10" s="3"/>
      <c r="R10" s="3"/>
      <c r="S10" s="3"/>
      <c r="T10" s="3"/>
      <c r="U10" s="3"/>
    </row>
    <row r="11" spans="1:21" x14ac:dyDescent="0.25">
      <c r="A11" s="3">
        <v>9.9999999999999995E-8</v>
      </c>
      <c r="B11" s="3">
        <v>-3.7589999999999998E-5</v>
      </c>
      <c r="C11" s="3">
        <v>1.539E-4</v>
      </c>
      <c r="D11" s="3">
        <v>-4.259E-4</v>
      </c>
      <c r="E11" s="3">
        <v>0</v>
      </c>
      <c r="F11" s="3">
        <v>0</v>
      </c>
      <c r="G11" s="3">
        <v>0</v>
      </c>
      <c r="H11" s="3">
        <v>3.9029590999999999E-5</v>
      </c>
      <c r="I11" s="3">
        <v>1.4208395000000001E-5</v>
      </c>
      <c r="J11" s="3">
        <v>-1.0201913E-4</v>
      </c>
      <c r="K11" s="3"/>
      <c r="L11" s="3">
        <f t="shared" si="0"/>
        <v>-8.8260154965954449E-2</v>
      </c>
      <c r="M11" s="3"/>
      <c r="N11" s="2">
        <f>IF('Modell einstellen'!$B$1="Voll",H11/0.35,H11/0.35*2)</f>
        <v>2.2302623428571428E-4</v>
      </c>
      <c r="O11" s="2">
        <f>IF('Modell einstellen'!$B$1="Voll",J11/0.35,J11/0.35*2)</f>
        <v>-5.8296645714285718E-4</v>
      </c>
      <c r="P11" s="3">
        <f t="shared" si="1"/>
        <v>0.38257129814771013</v>
      </c>
      <c r="Q11" s="3"/>
      <c r="R11" s="3"/>
      <c r="S11" s="3"/>
      <c r="T11" s="3"/>
      <c r="U11" s="3"/>
    </row>
    <row r="12" spans="1:21" x14ac:dyDescent="0.25">
      <c r="A12" s="3">
        <v>9.9999999999999995E-7</v>
      </c>
      <c r="B12" s="3">
        <v>-4.6650000000000002E-5</v>
      </c>
      <c r="C12" s="3">
        <v>1.561E-4</v>
      </c>
      <c r="D12" s="3">
        <v>-4.2180000000000001E-4</v>
      </c>
      <c r="E12" s="3">
        <v>0</v>
      </c>
      <c r="F12" s="3">
        <v>0</v>
      </c>
      <c r="G12" s="3">
        <v>0</v>
      </c>
      <c r="H12" s="3">
        <v>4.0489423999999998E-5</v>
      </c>
      <c r="I12" s="3">
        <v>1.4418542000000001E-5</v>
      </c>
      <c r="J12" s="3">
        <v>-1.0412394E-4</v>
      </c>
      <c r="K12" s="3"/>
      <c r="L12" s="3">
        <f t="shared" si="0"/>
        <v>-0.11059743954480797</v>
      </c>
      <c r="M12" s="3"/>
      <c r="N12" s="2">
        <f>IF('Modell einstellen'!$B$1="Voll",H12/0.35,H12/0.35*2)</f>
        <v>2.3136813714285715E-4</v>
      </c>
      <c r="O12" s="2">
        <f>IF('Modell einstellen'!$B$1="Voll",J12/0.35,J12/0.35*2)</f>
        <v>-5.9499394285714288E-4</v>
      </c>
      <c r="P12" s="3">
        <f t="shared" si="1"/>
        <v>0.38885797060695171</v>
      </c>
      <c r="Q12" s="3"/>
      <c r="R12" s="3"/>
      <c r="S12" s="3"/>
      <c r="T12" s="3"/>
      <c r="U12" s="3"/>
    </row>
    <row r="13" spans="1:21" x14ac:dyDescent="0.25">
      <c r="A13" s="3">
        <v>1.0000000000000001E-5</v>
      </c>
      <c r="B13" s="3">
        <v>-5.7550000000000003E-5</v>
      </c>
      <c r="C13" s="3">
        <v>1.5860000000000001E-4</v>
      </c>
      <c r="D13" s="3">
        <v>-4.1639999999999998E-4</v>
      </c>
      <c r="E13" s="3">
        <v>0</v>
      </c>
      <c r="F13" s="3">
        <v>0</v>
      </c>
      <c r="G13" s="3">
        <v>0</v>
      </c>
      <c r="H13" s="3">
        <v>4.2172275000000001E-5</v>
      </c>
      <c r="I13" s="3">
        <v>1.464929E-5</v>
      </c>
      <c r="J13" s="3">
        <v>-1.0651346999999999E-4</v>
      </c>
      <c r="K13" s="3"/>
      <c r="L13" s="3">
        <f t="shared" si="0"/>
        <v>-0.13820845341018254</v>
      </c>
      <c r="M13" s="3"/>
      <c r="N13" s="2">
        <f>IF('Modell einstellen'!$B$1="Voll",H13/0.35,H13/0.35*2)</f>
        <v>2.4098442857142859E-4</v>
      </c>
      <c r="O13" s="2">
        <f>IF('Modell einstellen'!$B$1="Voll",J13/0.35,J13/0.35*2)</f>
        <v>-6.0864839999999996E-4</v>
      </c>
      <c r="P13" s="3">
        <f t="shared" si="1"/>
        <v>0.39593372556541445</v>
      </c>
      <c r="Q13" s="3"/>
      <c r="R13" s="3"/>
      <c r="S13" s="3"/>
      <c r="T13" s="3"/>
      <c r="U13" s="3"/>
    </row>
    <row r="14" spans="1:21" x14ac:dyDescent="0.25">
      <c r="A14" s="3">
        <v>1E-4</v>
      </c>
      <c r="B14" s="3">
        <v>-6.9889999999999997E-5</v>
      </c>
      <c r="C14" s="3">
        <v>1.6200000000000001E-4</v>
      </c>
      <c r="D14" s="3">
        <v>-4.1070000000000001E-4</v>
      </c>
      <c r="E14" s="3">
        <v>0</v>
      </c>
      <c r="F14" s="3">
        <v>0</v>
      </c>
      <c r="G14" s="3">
        <v>0</v>
      </c>
      <c r="H14" s="3">
        <v>4.4045563999999999E-5</v>
      </c>
      <c r="I14" s="3">
        <v>1.4939048E-5</v>
      </c>
      <c r="J14" s="3">
        <v>-1.0921175999999999E-4</v>
      </c>
      <c r="K14" s="3"/>
      <c r="L14" s="3">
        <f t="shared" si="0"/>
        <v>-0.17017287557828098</v>
      </c>
      <c r="M14" s="3"/>
      <c r="N14" s="2">
        <f>IF('Modell einstellen'!$B$1="Voll",H14/0.35,H14/0.35*2)</f>
        <v>2.5168893714285715E-4</v>
      </c>
      <c r="O14" s="2">
        <f>IF('Modell einstellen'!$B$1="Voll",J14/0.35,J14/0.35*2)</f>
        <v>-6.2406720000000003E-4</v>
      </c>
      <c r="P14" s="3">
        <f t="shared" si="1"/>
        <v>0.40330422291518786</v>
      </c>
      <c r="Q14" s="3"/>
      <c r="R14" s="3"/>
      <c r="S14" s="3"/>
      <c r="T14" s="3"/>
      <c r="U14" s="3"/>
    </row>
    <row r="15" spans="1:21" x14ac:dyDescent="0.25">
      <c r="A15" s="3">
        <v>1E-3</v>
      </c>
      <c r="B15" s="3">
        <v>-8.352E-5</v>
      </c>
      <c r="C15" s="3">
        <v>1.641E-4</v>
      </c>
      <c r="D15" s="3">
        <v>-4.0220000000000002E-4</v>
      </c>
      <c r="E15" s="3">
        <v>0</v>
      </c>
      <c r="F15" s="3">
        <v>0</v>
      </c>
      <c r="G15" s="3">
        <v>0</v>
      </c>
      <c r="H15" s="3">
        <v>4.5942597999999997E-5</v>
      </c>
      <c r="I15" s="3">
        <v>1.5146828E-5</v>
      </c>
      <c r="J15" s="3">
        <v>-1.1177436E-4</v>
      </c>
      <c r="K15" s="3"/>
      <c r="L15" s="3">
        <f t="shared" si="0"/>
        <v>-0.20765788165091992</v>
      </c>
      <c r="M15" s="3"/>
      <c r="N15" s="2">
        <f>IF('Modell einstellen'!$B$1="Voll",H15/0.35,H15/0.35*2)</f>
        <v>2.6252913142857143E-4</v>
      </c>
      <c r="O15" s="2">
        <f>IF('Modell einstellen'!$B$1="Voll",J15/0.35,J15/0.35*2)</f>
        <v>-6.3871062857142865E-4</v>
      </c>
      <c r="P15" s="3">
        <f t="shared" si="1"/>
        <v>0.41102984620086391</v>
      </c>
      <c r="Q15" s="3"/>
      <c r="R15" s="3"/>
      <c r="S15" s="3"/>
      <c r="T15" s="3"/>
      <c r="U15" s="3"/>
    </row>
    <row r="16" spans="1:21" x14ac:dyDescent="0.25">
      <c r="A16" s="3">
        <v>0.01</v>
      </c>
      <c r="B16" s="3">
        <v>-9.9939999999999995E-5</v>
      </c>
      <c r="C16" s="3">
        <v>1.6750000000000001E-4</v>
      </c>
      <c r="D16" s="3">
        <v>-3.927E-4</v>
      </c>
      <c r="E16" s="3">
        <v>0</v>
      </c>
      <c r="F16" s="3">
        <v>0</v>
      </c>
      <c r="G16" s="3">
        <v>0</v>
      </c>
      <c r="H16" s="3">
        <v>4.8212226999999999E-5</v>
      </c>
      <c r="I16" s="3">
        <v>1.5443635000000001E-5</v>
      </c>
      <c r="J16" s="3">
        <v>-1.1490513999999999E-4</v>
      </c>
      <c r="K16" s="3"/>
      <c r="L16" s="3">
        <f t="shared" si="0"/>
        <v>-0.25449452508276038</v>
      </c>
      <c r="M16" s="3"/>
      <c r="N16" s="2">
        <f>IF('Modell einstellen'!$B$1="Voll",H16/0.35,H16/0.35*2)</f>
        <v>2.7549844000000003E-4</v>
      </c>
      <c r="O16" s="2">
        <f>IF('Modell einstellen'!$B$1="Voll",J16/0.35,J16/0.35*2)</f>
        <v>-6.5660079999999997E-4</v>
      </c>
      <c r="P16" s="3">
        <f t="shared" si="1"/>
        <v>0.41958285765110254</v>
      </c>
      <c r="Q16" s="3"/>
      <c r="R16" s="3"/>
      <c r="S16" s="3"/>
      <c r="T16" s="3"/>
      <c r="U16" s="3"/>
    </row>
    <row r="17" spans="1:21" x14ac:dyDescent="0.25">
      <c r="A17" s="3">
        <v>0.1</v>
      </c>
      <c r="B17" s="3">
        <v>-1.2300000000000001E-4</v>
      </c>
      <c r="C17" s="3">
        <v>1.7110000000000001E-4</v>
      </c>
      <c r="D17" s="3">
        <v>-3.7740000000000001E-4</v>
      </c>
      <c r="E17" s="3">
        <v>0</v>
      </c>
      <c r="F17" s="3">
        <v>0</v>
      </c>
      <c r="G17" s="3">
        <v>0</v>
      </c>
      <c r="H17" s="3">
        <v>5.1223230999999999E-5</v>
      </c>
      <c r="I17" s="3">
        <v>1.5774790999999999E-5</v>
      </c>
      <c r="J17" s="3">
        <v>-1.1891298E-4</v>
      </c>
      <c r="K17" s="3"/>
      <c r="L17" s="3">
        <f t="shared" si="0"/>
        <v>-0.32591414944356123</v>
      </c>
      <c r="M17" s="3"/>
      <c r="N17" s="2">
        <f>IF('Modell einstellen'!$B$1="Voll",H17/0.35,H17/0.35*2)</f>
        <v>2.9270417714285715E-4</v>
      </c>
      <c r="O17" s="2">
        <f>IF('Modell einstellen'!$B$1="Voll",J17/0.35,J17/0.35*2)</f>
        <v>-6.7950274285714289E-4</v>
      </c>
      <c r="P17" s="3">
        <f t="shared" si="1"/>
        <v>0.43076231879816651</v>
      </c>
      <c r="Q17" s="3"/>
      <c r="R17" s="3"/>
      <c r="S17" s="3"/>
      <c r="T17" s="3"/>
      <c r="U17" s="3"/>
    </row>
    <row r="18" spans="1:21" x14ac:dyDescent="0.25">
      <c r="A18" s="3">
        <v>1</v>
      </c>
      <c r="B18" s="3">
        <v>-1.516E-4</v>
      </c>
      <c r="C18" s="3">
        <v>1.751E-4</v>
      </c>
      <c r="D18" s="3">
        <v>-3.5740000000000001E-4</v>
      </c>
      <c r="E18" s="3">
        <v>0</v>
      </c>
      <c r="F18" s="3">
        <v>0</v>
      </c>
      <c r="G18" s="3">
        <v>0</v>
      </c>
      <c r="H18" s="3">
        <v>5.4851632000000003E-5</v>
      </c>
      <c r="I18" s="3">
        <v>1.6164018999999998E-5</v>
      </c>
      <c r="J18" s="3">
        <v>-1.2367412E-4</v>
      </c>
      <c r="K18" s="3"/>
      <c r="L18" s="3">
        <f t="shared" si="0"/>
        <v>-0.42417459429210969</v>
      </c>
      <c r="M18" s="3"/>
      <c r="N18" s="2">
        <f>IF('Modell einstellen'!$B$1="Voll",H18/0.35,H18/0.35*2)</f>
        <v>3.134378971428572E-4</v>
      </c>
      <c r="O18" s="2">
        <f>IF('Modell einstellen'!$B$1="Voll",J18/0.35,J18/0.35*2)</f>
        <v>-7.0670925714285716E-4</v>
      </c>
      <c r="P18" s="3">
        <f t="shared" si="1"/>
        <v>0.44351746347578624</v>
      </c>
      <c r="Q18" s="3"/>
      <c r="R18" s="3"/>
      <c r="S18" s="3"/>
      <c r="T18" s="3"/>
      <c r="U18" s="3"/>
    </row>
    <row r="19" spans="1:21" x14ac:dyDescent="0.25">
      <c r="A19" s="3">
        <v>10</v>
      </c>
      <c r="B19" s="3">
        <v>-1.7560000000000001E-4</v>
      </c>
      <c r="C19" s="3">
        <v>1.808E-4</v>
      </c>
      <c r="D19" s="3">
        <v>-3.4220000000000002E-4</v>
      </c>
      <c r="E19" s="3">
        <v>0</v>
      </c>
      <c r="F19" s="3">
        <v>0</v>
      </c>
      <c r="G19" s="3">
        <v>0</v>
      </c>
      <c r="H19" s="3">
        <v>5.8662034999999997E-5</v>
      </c>
      <c r="I19" s="3">
        <v>1.682846E-5</v>
      </c>
      <c r="J19" s="3">
        <v>-1.2905155000000001E-4</v>
      </c>
      <c r="K19" s="3"/>
      <c r="L19" s="3">
        <f t="shared" si="0"/>
        <v>-0.51315020455873761</v>
      </c>
      <c r="M19" s="3"/>
      <c r="N19" s="2">
        <f>IF('Modell einstellen'!$B$1="Voll",H19/0.35,H19/0.35*2)</f>
        <v>3.352116285714286E-4</v>
      </c>
      <c r="O19" s="2">
        <f>IF('Modell einstellen'!$B$1="Voll",J19/0.35,J19/0.35*2)</f>
        <v>-7.3743742857142864E-4</v>
      </c>
      <c r="P19" s="3">
        <f t="shared" si="1"/>
        <v>0.45456280842810487</v>
      </c>
      <c r="Q19" s="3"/>
      <c r="R19" s="3"/>
      <c r="S19" s="3"/>
      <c r="T19" s="3"/>
      <c r="U19" s="3"/>
    </row>
    <row r="20" spans="1:21" x14ac:dyDescent="0.25">
      <c r="A20" s="3">
        <v>100</v>
      </c>
      <c r="B20" s="3">
        <v>-1.6449999999999999E-4</v>
      </c>
      <c r="C20" s="3">
        <v>1.985E-4</v>
      </c>
      <c r="D20" s="3">
        <v>-3.68E-4</v>
      </c>
      <c r="E20" s="3">
        <v>0</v>
      </c>
      <c r="F20" s="3">
        <v>0</v>
      </c>
      <c r="G20" s="3">
        <v>0</v>
      </c>
      <c r="H20" s="3">
        <v>6.4023818000000004E-5</v>
      </c>
      <c r="I20" s="3">
        <v>1.9514535E-5</v>
      </c>
      <c r="J20" s="3">
        <v>-1.3952716000000001E-4</v>
      </c>
      <c r="K20" s="3"/>
      <c r="L20" s="3">
        <f t="shared" si="0"/>
        <v>-0.44701086956521735</v>
      </c>
      <c r="M20" s="3"/>
      <c r="N20" s="2">
        <f>IF('Modell einstellen'!$B$1="Voll",H20/0.35,H20/0.35*2)</f>
        <v>3.6585038857142864E-4</v>
      </c>
      <c r="O20" s="2">
        <f>IF('Modell einstellen'!$B$1="Voll",J20/0.35,J20/0.35*2)</f>
        <v>-7.9729805714285717E-4</v>
      </c>
      <c r="P20" s="3">
        <f t="shared" si="1"/>
        <v>0.45886276191674802</v>
      </c>
      <c r="Q20" s="3"/>
      <c r="R20" s="3"/>
      <c r="S20" s="3"/>
      <c r="T20" s="3"/>
      <c r="U20" s="3"/>
    </row>
    <row r="21" spans="1:21" x14ac:dyDescent="0.25">
      <c r="A21" s="3">
        <v>1000</v>
      </c>
      <c r="B21" s="3">
        <v>-7.0889999999999994E-5</v>
      </c>
      <c r="C21" s="3">
        <v>2.454E-4</v>
      </c>
      <c r="D21" s="3">
        <v>-4.9149999999999997E-4</v>
      </c>
      <c r="E21" s="3">
        <v>0</v>
      </c>
      <c r="F21" s="3">
        <v>0</v>
      </c>
      <c r="G21" s="3">
        <v>0</v>
      </c>
      <c r="H21" s="3">
        <v>7.3961116999999999E-5</v>
      </c>
      <c r="I21" s="3">
        <v>2.7561268999999998E-5</v>
      </c>
      <c r="J21" s="3">
        <v>-1.6421683999999999E-4</v>
      </c>
      <c r="K21" s="3"/>
      <c r="L21" s="3">
        <f t="shared" si="0"/>
        <v>-0.14423194303153611</v>
      </c>
      <c r="M21" s="3"/>
      <c r="N21" s="2">
        <f>IF('Modell einstellen'!$B$1="Voll",H21/0.35,H21/0.35*2)</f>
        <v>4.2263495428571433E-4</v>
      </c>
      <c r="O21" s="2">
        <f>IF('Modell einstellen'!$B$1="Voll",J21/0.35,J21/0.35*2)</f>
        <v>-9.3838194285714291E-4</v>
      </c>
      <c r="P21" s="3">
        <f t="shared" si="1"/>
        <v>0.45038692134131919</v>
      </c>
      <c r="Q21" s="3"/>
      <c r="R21" s="3"/>
      <c r="S21" s="3"/>
      <c r="T21" s="3"/>
      <c r="U21" s="3"/>
    </row>
    <row r="22" spans="1:21" x14ac:dyDescent="0.25">
      <c r="A22" s="3">
        <v>10000</v>
      </c>
      <c r="B22" s="3">
        <v>8.1080000000000003E-5</v>
      </c>
      <c r="C22" s="3">
        <v>3.2089999999999999E-4</v>
      </c>
      <c r="D22" s="3">
        <v>-6.9300000000000004E-4</v>
      </c>
      <c r="E22" s="3">
        <v>0</v>
      </c>
      <c r="F22" s="3">
        <v>0</v>
      </c>
      <c r="G22" s="3">
        <v>0</v>
      </c>
      <c r="H22" s="3">
        <v>8.6623203000000003E-5</v>
      </c>
      <c r="I22" s="3">
        <v>4.0012667E-5</v>
      </c>
      <c r="J22" s="3">
        <v>-1.9970270999999999E-4</v>
      </c>
      <c r="K22" s="3"/>
      <c r="L22" s="3">
        <f t="shared" si="0"/>
        <v>0.11699855699855699</v>
      </c>
      <c r="M22" s="3"/>
      <c r="N22" s="2">
        <f>IF('Modell einstellen'!$B$1="Voll",H22/0.35,H22/0.35*2)</f>
        <v>4.9498973142857151E-4</v>
      </c>
      <c r="O22" s="2">
        <f>IF('Modell einstellen'!$B$1="Voll",J22/0.35,J22/0.35*2)</f>
        <v>-1.1411583428571428E-3</v>
      </c>
      <c r="P22" s="3">
        <f t="shared" si="1"/>
        <v>0.43376077870951285</v>
      </c>
      <c r="Q22" s="3"/>
      <c r="R22" s="3"/>
      <c r="S22" s="3"/>
      <c r="T22" s="3"/>
      <c r="U22" s="3"/>
    </row>
    <row r="23" spans="1:21" x14ac:dyDescent="0.25">
      <c r="A23" s="3">
        <v>100000</v>
      </c>
      <c r="B23" s="3">
        <v>2.3910000000000001E-4</v>
      </c>
      <c r="C23" s="3">
        <v>4.1100000000000002E-4</v>
      </c>
      <c r="D23" s="3">
        <v>-9.1589999999999998E-4</v>
      </c>
      <c r="E23" s="3">
        <v>0</v>
      </c>
      <c r="F23" s="3">
        <v>0</v>
      </c>
      <c r="G23" s="3">
        <v>0</v>
      </c>
      <c r="H23" s="3">
        <v>9.9765410000000006E-5</v>
      </c>
      <c r="I23" s="3">
        <v>5.3899266999999997E-5</v>
      </c>
      <c r="J23" s="3">
        <v>-2.3854255999999999E-4</v>
      </c>
      <c r="K23" s="3"/>
      <c r="L23" s="3">
        <f t="shared" si="0"/>
        <v>0.26105470029479205</v>
      </c>
      <c r="M23" s="3"/>
      <c r="N23" s="2">
        <f>IF('Modell einstellen'!$B$1="Voll",H23/0.35,H23/0.35*2)</f>
        <v>5.7008805714285724E-4</v>
      </c>
      <c r="O23" s="2">
        <f>IF('Modell einstellen'!$B$1="Voll",J23/0.35,J23/0.35*2)</f>
        <v>-1.363100342857143E-3</v>
      </c>
      <c r="P23" s="3">
        <f t="shared" si="1"/>
        <v>0.41822897347961724</v>
      </c>
      <c r="Q23" s="3"/>
      <c r="R23" s="3"/>
      <c r="S23" s="3"/>
      <c r="T23" s="3"/>
      <c r="U23" s="3"/>
    </row>
    <row r="24" spans="1:21" x14ac:dyDescent="0.25">
      <c r="A24" s="3">
        <v>1000000</v>
      </c>
      <c r="B24" s="3">
        <v>3.7639999999999999E-4</v>
      </c>
      <c r="C24" s="3">
        <v>5.0600000000000005E-4</v>
      </c>
      <c r="D24" s="3">
        <v>-1.127E-3</v>
      </c>
      <c r="E24" s="3">
        <v>0</v>
      </c>
      <c r="F24" s="3">
        <v>0</v>
      </c>
      <c r="G24" s="3">
        <v>0</v>
      </c>
      <c r="H24" s="3">
        <v>1.1235329999999999E-4</v>
      </c>
      <c r="I24" s="3">
        <v>6.7715039000000005E-5</v>
      </c>
      <c r="J24" s="3">
        <v>-2.7699687E-4</v>
      </c>
      <c r="K24" s="3"/>
      <c r="L24" s="3">
        <f t="shared" si="0"/>
        <v>0.33398402839396629</v>
      </c>
      <c r="M24" s="3"/>
      <c r="N24" s="2">
        <f>IF('Modell einstellen'!$B$1="Voll",H24/0.35,H24/0.35*2)</f>
        <v>6.4201885714285718E-4</v>
      </c>
      <c r="O24" s="2">
        <f>IF('Modell einstellen'!$B$1="Voll",J24/0.35,J24/0.35*2)</f>
        <v>-1.5828392571428573E-3</v>
      </c>
      <c r="P24" s="3">
        <f t="shared" si="1"/>
        <v>0.40561216449846527</v>
      </c>
      <c r="Q24" s="3"/>
      <c r="R24" s="3"/>
      <c r="S24" s="3"/>
      <c r="T24" s="3"/>
      <c r="U24" s="3"/>
    </row>
    <row r="25" spans="1:21" x14ac:dyDescent="0.25">
      <c r="A25" s="3">
        <v>10000000</v>
      </c>
      <c r="B25" s="3">
        <v>4.8819999999999999E-4</v>
      </c>
      <c r="C25" s="3">
        <v>6.0479999999999996E-4</v>
      </c>
      <c r="D25" s="3">
        <v>-1.323E-3</v>
      </c>
      <c r="E25" s="3">
        <v>0</v>
      </c>
      <c r="F25" s="3">
        <v>0</v>
      </c>
      <c r="G25" s="3">
        <v>0</v>
      </c>
      <c r="H25" s="3">
        <v>1.2534328E-4</v>
      </c>
      <c r="I25" s="3">
        <v>8.1808748000000006E-5</v>
      </c>
      <c r="J25" s="3">
        <v>-3.1673060000000003E-4</v>
      </c>
      <c r="K25" s="3"/>
      <c r="L25" s="3">
        <f t="shared" si="0"/>
        <v>0.3690098261526833</v>
      </c>
      <c r="M25" s="3"/>
      <c r="N25" s="2">
        <f>IF('Modell einstellen'!$B$1="Voll",H25/0.35,H25/0.35*2)</f>
        <v>7.1624731428571436E-4</v>
      </c>
      <c r="O25" s="2">
        <f>IF('Modell einstellen'!$B$1="Voll",J25/0.35,J25/0.35*2)</f>
        <v>-1.8098891428571431E-3</v>
      </c>
      <c r="P25" s="3">
        <f t="shared" si="1"/>
        <v>0.3957409861882622</v>
      </c>
      <c r="Q25" s="3"/>
      <c r="R25" s="3"/>
      <c r="S25" s="3"/>
      <c r="T25" s="3"/>
      <c r="U25" s="3"/>
    </row>
    <row r="26" spans="1:21" x14ac:dyDescent="0.25">
      <c r="A26" s="3">
        <v>100000000</v>
      </c>
      <c r="B26" s="3">
        <v>5.8109999999999998E-4</v>
      </c>
      <c r="C26" s="3">
        <v>7.0910000000000005E-4</v>
      </c>
      <c r="D26" s="3">
        <v>-1.508E-3</v>
      </c>
      <c r="E26" s="3">
        <v>0</v>
      </c>
      <c r="F26" s="3">
        <v>0</v>
      </c>
      <c r="G26" s="3">
        <v>0</v>
      </c>
      <c r="H26" s="3">
        <v>1.3945011E-4</v>
      </c>
      <c r="I26" s="3">
        <v>9.6726439000000003E-5</v>
      </c>
      <c r="J26" s="3">
        <v>-3.5942511000000002E-4</v>
      </c>
      <c r="K26" s="3"/>
      <c r="L26" s="3">
        <f t="shared" si="0"/>
        <v>0.38534482758620686</v>
      </c>
      <c r="M26" s="3"/>
      <c r="N26" s="2">
        <f>IF('Modell einstellen'!$B$1="Voll",H26/0.35,H26/0.35*2)</f>
        <v>7.968577714285714E-4</v>
      </c>
      <c r="O26" s="2">
        <f>IF('Modell einstellen'!$B$1="Voll",J26/0.35,J26/0.35*2)</f>
        <v>-2.0538577714285717E-3</v>
      </c>
      <c r="P26" s="3">
        <f t="shared" si="1"/>
        <v>0.38798098997590896</v>
      </c>
      <c r="Q26" s="3"/>
      <c r="R26" s="3"/>
      <c r="S26" s="3"/>
      <c r="T26" s="3"/>
      <c r="U26" s="3"/>
    </row>
    <row r="27" spans="1:21" x14ac:dyDescent="0.25">
      <c r="A27" s="3">
        <v>1000000000</v>
      </c>
      <c r="B27" s="3">
        <v>6.6540000000000002E-4</v>
      </c>
      <c r="C27" s="3">
        <v>8.2720000000000005E-4</v>
      </c>
      <c r="D27" s="3">
        <v>-1.702E-3</v>
      </c>
      <c r="E27" s="3">
        <v>0</v>
      </c>
      <c r="F27" s="3">
        <v>0</v>
      </c>
      <c r="G27" s="3">
        <v>0</v>
      </c>
      <c r="H27" s="3">
        <v>1.5702814000000001E-4</v>
      </c>
      <c r="I27" s="3">
        <v>1.1417061E-4</v>
      </c>
      <c r="J27" s="3">
        <v>-4.1068061000000002E-4</v>
      </c>
      <c r="K27" s="3"/>
      <c r="L27" s="3">
        <f t="shared" si="0"/>
        <v>0.390951821386604</v>
      </c>
      <c r="M27" s="3"/>
      <c r="N27" s="2">
        <f>IF('Modell einstellen'!$B$1="Voll",H27/0.35,H27/0.35*2)</f>
        <v>8.9730365714285729E-4</v>
      </c>
      <c r="O27" s="2">
        <f>IF('Modell einstellen'!$B$1="Voll",J27/0.35,J27/0.35*2)</f>
        <v>-2.3467463428571431E-3</v>
      </c>
      <c r="P27" s="3">
        <f t="shared" si="1"/>
        <v>0.38236073526821734</v>
      </c>
      <c r="Q27" s="3"/>
      <c r="R27" s="3"/>
      <c r="S27" s="3"/>
      <c r="T27" s="3"/>
      <c r="U27" s="3"/>
    </row>
    <row r="28" spans="1:21" x14ac:dyDescent="0.25">
      <c r="A28" s="3">
        <v>10000000000</v>
      </c>
      <c r="B28" s="3">
        <v>7.5259999999999997E-4</v>
      </c>
      <c r="C28" s="3">
        <v>9.7380000000000003E-4</v>
      </c>
      <c r="D28" s="3">
        <v>-1.9300000000000001E-3</v>
      </c>
      <c r="E28" s="3">
        <v>0</v>
      </c>
      <c r="F28" s="3">
        <v>0</v>
      </c>
      <c r="G28" s="3">
        <v>0</v>
      </c>
      <c r="H28" s="3">
        <v>1.8125912E-4</v>
      </c>
      <c r="I28" s="3">
        <v>1.3680001000000001E-4</v>
      </c>
      <c r="J28" s="3">
        <v>-4.7875359999999999E-4</v>
      </c>
      <c r="K28" s="3"/>
      <c r="L28" s="3">
        <f t="shared" si="0"/>
        <v>0.38994818652849739</v>
      </c>
      <c r="M28" s="3"/>
      <c r="N28" s="2">
        <f>IF('Modell einstellen'!$B$1="Voll",H28/0.35,H28/0.35*2)</f>
        <v>1.0357664000000002E-3</v>
      </c>
      <c r="O28" s="2">
        <f>IF('Modell einstellen'!$B$1="Voll",J28/0.35,J28/0.35*2)</f>
        <v>-2.7357348571428572E-3</v>
      </c>
      <c r="P28" s="3">
        <f t="shared" si="1"/>
        <v>0.37860628097626842</v>
      </c>
      <c r="Q28" s="3"/>
      <c r="R28" s="3"/>
      <c r="S28" s="3"/>
      <c r="T28" s="3"/>
      <c r="U28" s="3"/>
    </row>
    <row r="29" spans="1:21" x14ac:dyDescent="0.25">
      <c r="A29" s="3">
        <v>100000000000</v>
      </c>
      <c r="B29" s="3">
        <v>8.5669999999999995E-4</v>
      </c>
      <c r="C29" s="3">
        <v>1.1839999999999999E-3</v>
      </c>
      <c r="D29" s="3">
        <v>-2.238E-3</v>
      </c>
      <c r="E29" s="3">
        <v>0</v>
      </c>
      <c r="F29" s="3">
        <v>0</v>
      </c>
      <c r="G29" s="3">
        <v>0</v>
      </c>
      <c r="H29" s="3">
        <v>2.1952656000000001E-4</v>
      </c>
      <c r="I29" s="3">
        <v>1.7082775999999999E-4</v>
      </c>
      <c r="J29" s="3">
        <v>-5.8296944E-4</v>
      </c>
      <c r="K29" s="3"/>
      <c r="L29" s="3">
        <f t="shared" si="0"/>
        <v>0.38279714030384271</v>
      </c>
      <c r="M29" s="3"/>
      <c r="N29" s="2">
        <f>IF('Modell einstellen'!$B$1="Voll",H29/0.35,H29/0.35*2)</f>
        <v>1.2544374857142858E-3</v>
      </c>
      <c r="O29" s="2">
        <f>IF('Modell einstellen'!$B$1="Voll",J29/0.35,J29/0.35*2)</f>
        <v>-3.3312539428571432E-3</v>
      </c>
      <c r="P29" s="3">
        <f t="shared" si="1"/>
        <v>0.37656615413665595</v>
      </c>
      <c r="Q29" s="3"/>
      <c r="R29" s="3"/>
      <c r="S29" s="3"/>
      <c r="T29" s="3"/>
      <c r="U29" s="3"/>
    </row>
    <row r="30" spans="1:21" x14ac:dyDescent="0.25">
      <c r="A30" s="3">
        <v>1000000000000</v>
      </c>
      <c r="B30" s="3">
        <v>9.9850000000000004E-4</v>
      </c>
      <c r="C30" s="3">
        <v>1.523E-3</v>
      </c>
      <c r="D30" s="3">
        <v>-2.712E-3</v>
      </c>
      <c r="E30" s="3">
        <v>0</v>
      </c>
      <c r="F30" s="3">
        <v>0</v>
      </c>
      <c r="G30" s="3">
        <v>0</v>
      </c>
      <c r="H30" s="3">
        <v>2.8503902999999999E-4</v>
      </c>
      <c r="I30" s="3">
        <v>2.2764726999999999E-4</v>
      </c>
      <c r="J30" s="3">
        <v>-7.583135E-4</v>
      </c>
      <c r="K30" s="3"/>
      <c r="L30" s="3">
        <f t="shared" si="0"/>
        <v>0.36817846607669619</v>
      </c>
      <c r="M30" s="3"/>
      <c r="N30" s="2">
        <f>IF('Modell einstellen'!$B$1="Voll",H30/0.35,H30/0.35*2)</f>
        <v>1.6287944571428572E-3</v>
      </c>
      <c r="O30" s="2">
        <f>IF('Modell einstellen'!$B$1="Voll",J30/0.35,J30/0.35*2)</f>
        <v>-4.3332200000000005E-3</v>
      </c>
      <c r="P30" s="3">
        <f t="shared" si="1"/>
        <v>0.37588547480692353</v>
      </c>
      <c r="Q30" s="3"/>
      <c r="R30" s="3"/>
      <c r="S30" s="3"/>
      <c r="T30" s="3"/>
      <c r="U30" s="3"/>
    </row>
    <row r="31" spans="1:21" x14ac:dyDescent="0.25">
      <c r="A31" s="3">
        <v>10000000000000</v>
      </c>
      <c r="B31" s="3">
        <v>1.1980000000000001E-3</v>
      </c>
      <c r="C31" s="3">
        <v>2.0839999999999999E-3</v>
      </c>
      <c r="D31" s="3">
        <v>-3.4629999999999999E-3</v>
      </c>
      <c r="E31" s="3">
        <v>0</v>
      </c>
      <c r="F31" s="3">
        <v>0</v>
      </c>
      <c r="G31" s="3">
        <v>0</v>
      </c>
      <c r="H31" s="3">
        <v>3.9836654E-4</v>
      </c>
      <c r="I31" s="3">
        <v>3.2485199999999999E-4</v>
      </c>
      <c r="J31" s="3">
        <v>-1.0586393E-3</v>
      </c>
      <c r="K31" s="3"/>
      <c r="L31" s="3">
        <f t="shared" si="0"/>
        <v>0.34594282414091831</v>
      </c>
      <c r="M31" s="3"/>
      <c r="N31" s="2">
        <f>IF('Modell einstellen'!$B$1="Voll",H31/0.35,H31/0.35*2)</f>
        <v>2.2763802285714289E-3</v>
      </c>
      <c r="O31" s="2">
        <f>IF('Modell einstellen'!$B$1="Voll",J31/0.35,J31/0.35*2)</f>
        <v>-6.0493674285714292E-3</v>
      </c>
      <c r="P31" s="3">
        <f t="shared" si="1"/>
        <v>0.37630053975891509</v>
      </c>
      <c r="Q31" s="3"/>
      <c r="R31" s="3"/>
      <c r="S31" s="3"/>
      <c r="T31" s="3"/>
      <c r="U31" s="3"/>
    </row>
    <row r="32" spans="1:21" x14ac:dyDescent="0.25">
      <c r="A32" s="3">
        <v>100000000000000</v>
      </c>
      <c r="B32" s="3">
        <v>1.482E-3</v>
      </c>
      <c r="C32" s="3">
        <v>2.9359999999999998E-3</v>
      </c>
      <c r="D32" s="3">
        <v>-4.5890000000000002E-3</v>
      </c>
      <c r="E32" s="3">
        <v>0</v>
      </c>
      <c r="F32" s="3">
        <v>0</v>
      </c>
      <c r="G32" s="3">
        <v>0</v>
      </c>
      <c r="H32" s="3">
        <v>5.7651095000000002E-4</v>
      </c>
      <c r="I32" s="3">
        <v>4.7669881000000002E-4</v>
      </c>
      <c r="J32" s="3">
        <v>-1.526973E-3</v>
      </c>
      <c r="K32" s="3"/>
      <c r="L32" s="3">
        <f t="shared" si="0"/>
        <v>0.32294617563739375</v>
      </c>
      <c r="M32" s="3"/>
      <c r="N32" s="2">
        <f>IF('Modell einstellen'!$B$1="Voll",H32/0.35,H32/0.35*2)</f>
        <v>3.2943482857142859E-3</v>
      </c>
      <c r="O32" s="2">
        <f>IF('Modell einstellen'!$B$1="Voll",J32/0.35,J32/0.35*2)</f>
        <v>-8.7255600000000003E-3</v>
      </c>
      <c r="P32" s="3">
        <f t="shared" si="1"/>
        <v>0.37755150222040601</v>
      </c>
      <c r="Q32" s="3"/>
      <c r="R32" s="3"/>
      <c r="S32" s="3"/>
      <c r="T32" s="3"/>
      <c r="U32" s="3"/>
    </row>
    <row r="33" spans="1:21" x14ac:dyDescent="0.25">
      <c r="A33" s="2">
        <v>1000000000000000</v>
      </c>
      <c r="B33" s="3">
        <v>1.8569999999999999E-3</v>
      </c>
      <c r="C33" s="3">
        <v>4.006E-3</v>
      </c>
      <c r="D33" s="3">
        <v>-6.0260000000000001E-3</v>
      </c>
      <c r="E33" s="3">
        <v>0</v>
      </c>
      <c r="F33" s="3">
        <v>0</v>
      </c>
      <c r="G33" s="3">
        <v>0</v>
      </c>
      <c r="H33" s="3">
        <v>8.0825131999999998E-4</v>
      </c>
      <c r="I33" s="3">
        <v>6.7314513000000002E-4</v>
      </c>
      <c r="J33" s="3">
        <v>-2.1310242000000001E-3</v>
      </c>
      <c r="K33" s="3"/>
      <c r="L33" s="3">
        <f t="shared" si="0"/>
        <v>0.30816461998008626</v>
      </c>
      <c r="M33" s="3"/>
      <c r="N33" s="2">
        <f>IF('Modell einstellen'!$B$1="Voll",H33/0.35,H33/0.35*2)</f>
        <v>4.6185789714285712E-3</v>
      </c>
      <c r="O33" s="2">
        <f>IF('Modell einstellen'!$B$1="Voll",J33/0.35,J33/0.35*2)</f>
        <v>-1.2177281142857144E-2</v>
      </c>
      <c r="P33" s="3">
        <f t="shared" si="1"/>
        <v>0.3792783394951591</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-2.339E-6</v>
      </c>
      <c r="C3" s="3">
        <v>1.459E-4</v>
      </c>
      <c r="D3" s="3">
        <v>-4.4010000000000002E-4</v>
      </c>
      <c r="E3" s="3">
        <v>0</v>
      </c>
      <c r="F3" s="3">
        <v>0</v>
      </c>
      <c r="G3" s="3">
        <v>0</v>
      </c>
      <c r="H3" s="3">
        <v>3.3630153E-5</v>
      </c>
      <c r="I3" s="3">
        <v>1.3522585000000001E-5</v>
      </c>
      <c r="J3" s="3">
        <v>-9.4282858999999999E-5</v>
      </c>
      <c r="K3" s="2"/>
      <c r="L3" s="3"/>
      <c r="M3" s="3"/>
      <c r="N3" s="2">
        <f>IF('Modell einstellen'!$B$1="Voll",H3/0.35,H3/0.35*2)</f>
        <v>1.9217230285714288E-4</v>
      </c>
      <c r="O3" s="2">
        <f>IF('Modell einstellen'!$B$1="Voll",J3/0.35,J3/0.35*2)</f>
        <v>-5.3875919428571434E-4</v>
      </c>
      <c r="P3" s="3">
        <f>-N3/O3</f>
        <v>0.35669424279974371</v>
      </c>
      <c r="Q3" s="3"/>
      <c r="R3" s="3"/>
      <c r="S3" s="3"/>
      <c r="T3" s="3"/>
      <c r="U3" s="3"/>
    </row>
    <row r="4" spans="1:21" x14ac:dyDescent="0.25">
      <c r="A4" s="3">
        <v>1E-14</v>
      </c>
      <c r="B4" s="3">
        <v>-1.0159999999999999E-5</v>
      </c>
      <c r="C4" s="3">
        <v>1.484E-4</v>
      </c>
      <c r="D4" s="3">
        <v>-4.3829999999999997E-4</v>
      </c>
      <c r="E4" s="3">
        <v>0</v>
      </c>
      <c r="F4" s="3">
        <v>0</v>
      </c>
      <c r="G4" s="3">
        <v>0</v>
      </c>
      <c r="H4" s="3">
        <v>3.5134037999999997E-5</v>
      </c>
      <c r="I4" s="3">
        <v>1.3771753000000001E-5</v>
      </c>
      <c r="J4" s="3">
        <v>-9.6571731999999997E-5</v>
      </c>
      <c r="K4" s="2"/>
      <c r="L4" s="3"/>
      <c r="M4" s="3"/>
      <c r="N4" s="2">
        <f>IF('Modell einstellen'!$B$1="Voll",H4/0.35,H4/0.35*2)</f>
        <v>2.0076593142857142E-4</v>
      </c>
      <c r="O4" s="2">
        <f>IF('Modell einstellen'!$B$1="Voll",J4/0.35,J4/0.35*2)</f>
        <v>-5.5183846857142854E-4</v>
      </c>
      <c r="P4" s="3">
        <f t="shared" ref="P4:P33" si="0">-N4/O4</f>
        <v>0.36381285985426876</v>
      </c>
      <c r="Q4" s="3"/>
      <c r="R4" s="3"/>
      <c r="S4" s="3"/>
      <c r="T4" s="3"/>
      <c r="U4" s="3"/>
    </row>
    <row r="5" spans="1:21" x14ac:dyDescent="0.25">
      <c r="A5" s="3">
        <v>1E-13</v>
      </c>
      <c r="B5" s="3">
        <v>-1.5E-5</v>
      </c>
      <c r="C5" s="3">
        <v>1.5009999999999999E-4</v>
      </c>
      <c r="D5" s="3">
        <v>-4.371E-4</v>
      </c>
      <c r="E5" s="3">
        <v>0</v>
      </c>
      <c r="F5" s="3">
        <v>0</v>
      </c>
      <c r="G5" s="3">
        <v>0</v>
      </c>
      <c r="H5" s="3">
        <v>3.6065746999999998E-5</v>
      </c>
      <c r="I5" s="3">
        <v>1.3932944E-5</v>
      </c>
      <c r="J5" s="3">
        <v>-9.7989539000000001E-5</v>
      </c>
      <c r="K5" s="2"/>
      <c r="L5" s="3"/>
      <c r="M5" s="3"/>
      <c r="N5" s="2">
        <f>IF('Modell einstellen'!$B$1="Voll",H5/0.35,H5/0.35*2)</f>
        <v>2.0608998285714285E-4</v>
      </c>
      <c r="O5" s="2">
        <f>IF('Modell einstellen'!$B$1="Voll",J5/0.35,J5/0.35*2)</f>
        <v>-5.5994022285714288E-4</v>
      </c>
      <c r="P5" s="3">
        <f t="shared" si="0"/>
        <v>0.36805711474976932</v>
      </c>
      <c r="Q5" s="3"/>
      <c r="R5" s="3"/>
      <c r="S5" s="3"/>
      <c r="T5" s="3"/>
      <c r="U5" s="3"/>
    </row>
    <row r="6" spans="1:21" x14ac:dyDescent="0.25">
      <c r="A6" s="3">
        <v>9.9999999999999998E-13</v>
      </c>
      <c r="B6" s="3">
        <v>-2.0149999999999999E-5</v>
      </c>
      <c r="C6" s="3">
        <v>1.517E-4</v>
      </c>
      <c r="D6" s="3">
        <v>-4.3570000000000002E-4</v>
      </c>
      <c r="E6" s="3">
        <v>0</v>
      </c>
      <c r="F6" s="3">
        <v>0</v>
      </c>
      <c r="G6" s="3">
        <v>0</v>
      </c>
      <c r="H6" s="3">
        <v>3.7017956000000003E-5</v>
      </c>
      <c r="I6" s="3">
        <v>1.4092569E-5</v>
      </c>
      <c r="J6" s="3">
        <v>-9.9423657000000004E-5</v>
      </c>
      <c r="K6" s="2"/>
      <c r="L6" s="3"/>
      <c r="M6" s="3"/>
      <c r="N6" s="2">
        <f>IF('Modell einstellen'!$B$1="Voll",H6/0.35,H6/0.35*2)</f>
        <v>2.1153117714285718E-4</v>
      </c>
      <c r="O6" s="2">
        <f>IF('Modell einstellen'!$B$1="Voll",J6/0.35,J6/0.35*2)</f>
        <v>-5.6813518285714294E-4</v>
      </c>
      <c r="P6" s="3">
        <f t="shared" si="0"/>
        <v>0.37232543156202752</v>
      </c>
      <c r="Q6" s="3"/>
      <c r="R6" s="3"/>
      <c r="S6" s="3"/>
      <c r="T6" s="3"/>
      <c r="U6" s="3"/>
    </row>
    <row r="7" spans="1:21" x14ac:dyDescent="0.25">
      <c r="A7" s="3">
        <v>9.9999999999999994E-12</v>
      </c>
      <c r="B7" s="3">
        <v>-2.637E-5</v>
      </c>
      <c r="C7" s="3">
        <v>1.5359999999999999E-4</v>
      </c>
      <c r="D7" s="3">
        <v>-4.3360000000000002E-4</v>
      </c>
      <c r="E7" s="3">
        <v>0</v>
      </c>
      <c r="F7" s="3">
        <v>0</v>
      </c>
      <c r="G7" s="3">
        <v>0</v>
      </c>
      <c r="H7" s="3">
        <v>3.8119620999999997E-5</v>
      </c>
      <c r="I7" s="3">
        <v>1.4269164E-5</v>
      </c>
      <c r="J7" s="3">
        <v>-1.0106082E-4</v>
      </c>
      <c r="K7" s="2"/>
      <c r="L7" s="3"/>
      <c r="M7" s="3"/>
      <c r="N7" s="2">
        <f>IF('Modell einstellen'!$B$1="Voll",H7/0.35,H7/0.35*2)</f>
        <v>2.1782640571428572E-4</v>
      </c>
      <c r="O7" s="2">
        <f>IF('Modell einstellen'!$B$1="Voll",J7/0.35,J7/0.35*2)</f>
        <v>-5.7749040000000008E-4</v>
      </c>
      <c r="P7" s="3">
        <f t="shared" si="0"/>
        <v>0.37719485157551658</v>
      </c>
      <c r="Q7" s="3"/>
      <c r="R7" s="3"/>
      <c r="S7" s="3"/>
      <c r="T7" s="3"/>
      <c r="U7" s="3"/>
    </row>
    <row r="8" spans="1:21" x14ac:dyDescent="0.25">
      <c r="A8" s="3">
        <v>1E-10</v>
      </c>
      <c r="B8" s="3">
        <v>-3.3670000000000001E-5</v>
      </c>
      <c r="C8" s="3">
        <v>1.5559999999999999E-4</v>
      </c>
      <c r="D8" s="3">
        <v>-4.3080000000000001E-4</v>
      </c>
      <c r="E8" s="3">
        <v>0</v>
      </c>
      <c r="F8" s="3">
        <v>0</v>
      </c>
      <c r="G8" s="3">
        <v>0</v>
      </c>
      <c r="H8" s="3">
        <v>3.9360999000000002E-5</v>
      </c>
      <c r="I8" s="3">
        <v>1.4460734999999999E-5</v>
      </c>
      <c r="J8" s="3">
        <v>-1.0288266E-4</v>
      </c>
      <c r="K8" s="2"/>
      <c r="L8" s="3"/>
      <c r="M8" s="3"/>
      <c r="N8" s="2">
        <f>IF('Modell einstellen'!$B$1="Voll",H8/0.35,H8/0.35*2)</f>
        <v>2.249199942857143E-4</v>
      </c>
      <c r="O8" s="2">
        <f>IF('Modell einstellen'!$B$1="Voll",J8/0.35,J8/0.35*2)</f>
        <v>-5.8790091428571434E-4</v>
      </c>
      <c r="P8" s="3">
        <f t="shared" si="0"/>
        <v>0.38258146708104163</v>
      </c>
      <c r="Q8" s="3"/>
      <c r="R8" s="3"/>
      <c r="S8" s="3"/>
      <c r="T8" s="3"/>
      <c r="U8" s="3"/>
    </row>
    <row r="9" spans="1:21" x14ac:dyDescent="0.25">
      <c r="A9" s="3">
        <v>1.0000000000000001E-9</v>
      </c>
      <c r="B9" s="3">
        <v>-4.2719999999999998E-5</v>
      </c>
      <c r="C9" s="3">
        <v>1.5779999999999999E-4</v>
      </c>
      <c r="D9" s="3">
        <v>-4.2680000000000002E-4</v>
      </c>
      <c r="E9" s="3">
        <v>0</v>
      </c>
      <c r="F9" s="3">
        <v>0</v>
      </c>
      <c r="G9" s="3">
        <v>0</v>
      </c>
      <c r="H9" s="3">
        <v>4.0837921000000002E-5</v>
      </c>
      <c r="I9" s="3">
        <v>1.4677939000000001E-5</v>
      </c>
      <c r="J9" s="3">
        <v>-1.0501833E-4</v>
      </c>
      <c r="K9" s="2"/>
      <c r="L9" s="3"/>
      <c r="M9" s="3"/>
      <c r="N9" s="2">
        <f>IF('Modell einstellen'!$B$1="Voll",H9/0.35,H9/0.35*2)</f>
        <v>2.3335954857142858E-4</v>
      </c>
      <c r="O9" s="2">
        <f>IF('Modell einstellen'!$B$1="Voll",J9/0.35,J9/0.35*2)</f>
        <v>-6.0010474285714284E-4</v>
      </c>
      <c r="P9" s="3">
        <f t="shared" si="0"/>
        <v>0.38886469628682918</v>
      </c>
      <c r="Q9" s="3"/>
      <c r="R9" s="3"/>
      <c r="S9" s="3"/>
      <c r="T9" s="3"/>
      <c r="U9" s="3"/>
    </row>
    <row r="10" spans="1:21" x14ac:dyDescent="0.25">
      <c r="A10" s="3">
        <v>1E-8</v>
      </c>
      <c r="B10" s="3">
        <v>-5.3609999999999997E-5</v>
      </c>
      <c r="C10" s="3">
        <v>1.6029999999999999E-4</v>
      </c>
      <c r="D10" s="3">
        <v>-4.214E-4</v>
      </c>
      <c r="E10" s="3">
        <v>0</v>
      </c>
      <c r="F10" s="3">
        <v>0</v>
      </c>
      <c r="G10" s="3">
        <v>0</v>
      </c>
      <c r="H10" s="3">
        <v>4.2538306999999998E-5</v>
      </c>
      <c r="I10" s="3">
        <v>1.4916149999999999E-5</v>
      </c>
      <c r="J10" s="3">
        <v>-1.0743962E-4</v>
      </c>
      <c r="K10" s="2"/>
      <c r="L10" s="3"/>
      <c r="M10" s="3"/>
      <c r="N10" s="2">
        <f>IF('Modell einstellen'!$B$1="Voll",H10/0.35,H10/0.35*2)</f>
        <v>2.4307604E-4</v>
      </c>
      <c r="O10" s="2">
        <f>IF('Modell einstellen'!$B$1="Voll",J10/0.35,J10/0.35*2)</f>
        <v>-6.139406857142858E-4</v>
      </c>
      <c r="P10" s="3">
        <f t="shared" si="0"/>
        <v>0.39592756377954424</v>
      </c>
      <c r="Q10" s="3"/>
      <c r="R10" s="3"/>
      <c r="S10" s="3"/>
      <c r="T10" s="3"/>
      <c r="U10" s="3"/>
    </row>
    <row r="11" spans="1:21" x14ac:dyDescent="0.25">
      <c r="A11" s="3">
        <v>9.9999999999999995E-8</v>
      </c>
      <c r="B11" s="3">
        <v>-6.5840000000000007E-5</v>
      </c>
      <c r="C11" s="3">
        <v>1.638E-4</v>
      </c>
      <c r="D11" s="3">
        <v>-4.1590000000000003E-4</v>
      </c>
      <c r="E11" s="3">
        <v>0</v>
      </c>
      <c r="F11" s="3">
        <v>0</v>
      </c>
      <c r="G11" s="3">
        <v>0</v>
      </c>
      <c r="H11" s="3">
        <v>4.4419258000000002E-5</v>
      </c>
      <c r="I11" s="3">
        <v>1.521228E-5</v>
      </c>
      <c r="J11" s="3">
        <v>-1.1015614E-4</v>
      </c>
      <c r="K11" s="2"/>
      <c r="L11" s="3"/>
      <c r="M11" s="3"/>
      <c r="N11" s="2">
        <f>IF('Modell einstellen'!$B$1="Voll",H11/0.35,H11/0.35*2)</f>
        <v>2.5382433142857148E-4</v>
      </c>
      <c r="O11" s="2">
        <f>IF('Modell einstellen'!$B$1="Voll",J11/0.35,J11/0.35*2)</f>
        <v>-6.2946365714285719E-4</v>
      </c>
      <c r="P11" s="3">
        <f t="shared" si="0"/>
        <v>0.40323905685148376</v>
      </c>
      <c r="Q11" s="3"/>
      <c r="R11" s="3"/>
      <c r="S11" s="3"/>
      <c r="T11" s="3"/>
      <c r="U11" s="3"/>
    </row>
    <row r="12" spans="1:21" x14ac:dyDescent="0.25">
      <c r="A12" s="3">
        <v>9.9999999999999995E-7</v>
      </c>
      <c r="B12" s="3">
        <v>-7.9450000000000007E-5</v>
      </c>
      <c r="C12" s="3">
        <v>1.6579999999999999E-4</v>
      </c>
      <c r="D12" s="3">
        <v>-4.0739999999999998E-4</v>
      </c>
      <c r="E12" s="3">
        <v>0</v>
      </c>
      <c r="F12" s="3">
        <v>0</v>
      </c>
      <c r="G12" s="3">
        <v>0</v>
      </c>
      <c r="H12" s="3">
        <v>4.6329068000000002E-5</v>
      </c>
      <c r="I12" s="3">
        <v>1.5426820000000001E-5</v>
      </c>
      <c r="J12" s="3">
        <v>-1.1274351E-4</v>
      </c>
      <c r="K12" s="2"/>
      <c r="L12" s="3"/>
      <c r="M12" s="3"/>
      <c r="N12" s="2">
        <f>IF('Modell einstellen'!$B$1="Voll",H12/0.35,H12/0.35*2)</f>
        <v>2.6473753142857147E-4</v>
      </c>
      <c r="O12" s="2">
        <f>IF('Modell einstellen'!$B$1="Voll",J12/0.35,J12/0.35*2)</f>
        <v>-6.4424862857142857E-4</v>
      </c>
      <c r="P12" s="3">
        <f t="shared" si="0"/>
        <v>0.41092447804756133</v>
      </c>
      <c r="Q12" s="3"/>
      <c r="R12" s="3"/>
      <c r="S12" s="3"/>
      <c r="T12" s="3"/>
      <c r="U12" s="3"/>
    </row>
    <row r="13" spans="1:21" x14ac:dyDescent="0.25">
      <c r="A13" s="3">
        <v>1.0000000000000001E-5</v>
      </c>
      <c r="B13" s="3">
        <v>-9.6069999999999993E-5</v>
      </c>
      <c r="C13" s="3">
        <v>1.693E-4</v>
      </c>
      <c r="D13" s="3">
        <v>-3.9780000000000002E-4</v>
      </c>
      <c r="E13" s="3">
        <v>0</v>
      </c>
      <c r="F13" s="3">
        <v>0</v>
      </c>
      <c r="G13" s="3">
        <v>0</v>
      </c>
      <c r="H13" s="3">
        <v>4.8647309999999998E-5</v>
      </c>
      <c r="I13" s="3">
        <v>1.5735118E-5</v>
      </c>
      <c r="J13" s="3">
        <v>-1.1594845E-4</v>
      </c>
      <c r="K13" s="2"/>
      <c r="L13" s="3"/>
      <c r="M13" s="3"/>
      <c r="N13" s="2">
        <f>IF('Modell einstellen'!$B$1="Voll",H13/0.35,H13/0.35*2)</f>
        <v>2.7798462857142858E-4</v>
      </c>
      <c r="O13" s="2">
        <f>IF('Modell einstellen'!$B$1="Voll",J13/0.35,J13/0.35*2)</f>
        <v>-6.6256257142857146E-4</v>
      </c>
      <c r="P13" s="3">
        <f t="shared" si="0"/>
        <v>0.41955981300310613</v>
      </c>
      <c r="Q13" s="3"/>
      <c r="R13" s="3"/>
      <c r="S13" s="3"/>
      <c r="T13" s="3"/>
      <c r="U13" s="3"/>
    </row>
    <row r="14" spans="1:21" x14ac:dyDescent="0.25">
      <c r="A14" s="3">
        <v>1E-4</v>
      </c>
      <c r="B14" s="3">
        <v>-1.194E-4</v>
      </c>
      <c r="C14" s="3">
        <v>1.729E-4</v>
      </c>
      <c r="D14" s="3">
        <v>-3.8230000000000002E-4</v>
      </c>
      <c r="E14" s="3">
        <v>0</v>
      </c>
      <c r="F14" s="3">
        <v>0</v>
      </c>
      <c r="G14" s="3">
        <v>0</v>
      </c>
      <c r="H14" s="3">
        <v>5.1709384E-5</v>
      </c>
      <c r="I14" s="3">
        <v>1.6076037000000001E-5</v>
      </c>
      <c r="J14" s="3">
        <v>-1.2002890000000001E-4</v>
      </c>
      <c r="K14" s="2"/>
      <c r="L14" s="3"/>
      <c r="M14" s="3"/>
      <c r="N14" s="2">
        <f>IF('Modell einstellen'!$B$1="Voll",H14/0.35,H14/0.35*2)</f>
        <v>2.9548219428571432E-4</v>
      </c>
      <c r="O14" s="2">
        <f>IF('Modell einstellen'!$B$1="Voll",J14/0.35,J14/0.35*2)</f>
        <v>-6.858794285714287E-4</v>
      </c>
      <c r="P14" s="3">
        <f t="shared" si="0"/>
        <v>0.43080778045953932</v>
      </c>
      <c r="Q14" s="3"/>
      <c r="R14" s="3"/>
      <c r="S14" s="3"/>
      <c r="T14" s="3"/>
      <c r="U14" s="3"/>
    </row>
    <row r="15" spans="1:21" x14ac:dyDescent="0.25">
      <c r="A15" s="3">
        <v>1E-3</v>
      </c>
      <c r="B15" s="3">
        <v>-1.485E-4</v>
      </c>
      <c r="C15" s="3">
        <v>1.7670000000000001E-4</v>
      </c>
      <c r="D15" s="3">
        <v>-3.6160000000000001E-4</v>
      </c>
      <c r="E15" s="3">
        <v>0</v>
      </c>
      <c r="F15" s="3">
        <v>0</v>
      </c>
      <c r="G15" s="3">
        <v>0</v>
      </c>
      <c r="H15" s="3">
        <v>5.5323639E-5</v>
      </c>
      <c r="I15" s="3">
        <v>1.6440010999999999E-5</v>
      </c>
      <c r="J15" s="3">
        <v>-1.2472954E-4</v>
      </c>
      <c r="K15" s="2"/>
      <c r="L15" s="3"/>
      <c r="M15" s="3"/>
      <c r="N15" s="2">
        <f>IF('Modell einstellen'!$B$1="Voll",H15/0.35,H15/0.35*2)</f>
        <v>3.1613508E-4</v>
      </c>
      <c r="O15" s="2">
        <f>IF('Modell einstellen'!$B$1="Voll",J15/0.35,J15/0.35*2)</f>
        <v>-7.1274022857142861E-4</v>
      </c>
      <c r="P15" s="3">
        <f t="shared" si="0"/>
        <v>0.44354880968854687</v>
      </c>
      <c r="Q15" s="3"/>
      <c r="R15" s="3"/>
      <c r="S15" s="3"/>
      <c r="T15" s="3"/>
      <c r="U15" s="3"/>
    </row>
    <row r="16" spans="1:21" x14ac:dyDescent="0.25">
      <c r="A16" s="3">
        <v>0.01</v>
      </c>
      <c r="B16" s="3">
        <v>-1.7809999999999999E-4</v>
      </c>
      <c r="C16" s="3">
        <v>1.8009999999999999E-4</v>
      </c>
      <c r="D16" s="3">
        <v>-3.3940000000000001E-4</v>
      </c>
      <c r="E16" s="3">
        <v>0</v>
      </c>
      <c r="F16" s="3">
        <v>0</v>
      </c>
      <c r="G16" s="3">
        <v>0</v>
      </c>
      <c r="H16" s="3">
        <v>5.8829692999999998E-5</v>
      </c>
      <c r="I16" s="3">
        <v>1.6760305999999999E-5</v>
      </c>
      <c r="J16" s="3">
        <v>-1.2918799000000001E-4</v>
      </c>
      <c r="K16" s="2"/>
      <c r="L16" s="3"/>
      <c r="M16" s="3"/>
      <c r="N16" s="2">
        <f>IF('Modell einstellen'!$B$1="Voll",H16/0.35,H16/0.35*2)</f>
        <v>3.3616967428571427E-4</v>
      </c>
      <c r="O16" s="2">
        <f>IF('Modell einstellen'!$B$1="Voll",J16/0.35,J16/0.35*2)</f>
        <v>-7.3821708571428582E-4</v>
      </c>
      <c r="P16" s="3">
        <f t="shared" si="0"/>
        <v>0.45538051176429006</v>
      </c>
      <c r="Q16" s="3"/>
      <c r="R16" s="3"/>
      <c r="S16" s="3"/>
      <c r="T16" s="3"/>
      <c r="U16" s="3"/>
    </row>
    <row r="17" spans="1:21" x14ac:dyDescent="0.25">
      <c r="A17" s="3">
        <v>0.1</v>
      </c>
      <c r="B17" s="3">
        <v>-2.0790000000000001E-4</v>
      </c>
      <c r="C17" s="3">
        <v>1.8330000000000001E-4</v>
      </c>
      <c r="D17" s="3">
        <v>-3.1629999999999999E-4</v>
      </c>
      <c r="E17" s="3">
        <v>0</v>
      </c>
      <c r="F17" s="3">
        <v>0</v>
      </c>
      <c r="G17" s="3">
        <v>0</v>
      </c>
      <c r="H17" s="3">
        <v>6.2270471E-5</v>
      </c>
      <c r="I17" s="3">
        <v>1.7066645E-5</v>
      </c>
      <c r="J17" s="3">
        <v>-1.3351509E-4</v>
      </c>
      <c r="K17" s="2"/>
      <c r="L17" s="3"/>
      <c r="M17" s="3"/>
      <c r="N17" s="2">
        <f>IF('Modell einstellen'!$B$1="Voll",H17/0.35,H17/0.35*2)</f>
        <v>3.5583126285714287E-4</v>
      </c>
      <c r="O17" s="2">
        <f>IF('Modell einstellen'!$B$1="Voll",J17/0.35,J17/0.35*2)</f>
        <v>-7.6294337142857147E-4</v>
      </c>
      <c r="P17" s="3">
        <f t="shared" si="0"/>
        <v>0.46639275755272308</v>
      </c>
      <c r="Q17" s="3"/>
      <c r="R17" s="3"/>
      <c r="S17" s="3"/>
      <c r="T17" s="3"/>
      <c r="U17" s="3"/>
    </row>
    <row r="18" spans="1:21" x14ac:dyDescent="0.25">
      <c r="A18" s="3">
        <v>1</v>
      </c>
      <c r="B18" s="3">
        <v>-2.385E-4</v>
      </c>
      <c r="C18" s="3">
        <v>1.8770000000000001E-4</v>
      </c>
      <c r="D18" s="3">
        <v>-2.9329999999999997E-4</v>
      </c>
      <c r="E18" s="3">
        <v>0</v>
      </c>
      <c r="F18" s="3">
        <v>0</v>
      </c>
      <c r="G18" s="3">
        <v>0</v>
      </c>
      <c r="H18" s="3">
        <v>6.6252336999999997E-5</v>
      </c>
      <c r="I18" s="3">
        <v>1.758357E-5</v>
      </c>
      <c r="J18" s="3">
        <v>-1.3876339000000001E-4</v>
      </c>
      <c r="K18" s="2"/>
      <c r="L18" s="3"/>
      <c r="M18" s="3"/>
      <c r="N18" s="2">
        <f>IF('Modell einstellen'!$B$1="Voll",H18/0.35,H18/0.35*2)</f>
        <v>3.7858478285714289E-4</v>
      </c>
      <c r="O18" s="2">
        <f>IF('Modell einstellen'!$B$1="Voll",J18/0.35,J18/0.35*2)</f>
        <v>-7.9293365714285728E-4</v>
      </c>
      <c r="P18" s="3">
        <f t="shared" si="0"/>
        <v>0.47744824481442832</v>
      </c>
      <c r="Q18" s="3"/>
      <c r="R18" s="3"/>
      <c r="S18" s="3"/>
      <c r="T18" s="3"/>
      <c r="U18" s="3"/>
    </row>
    <row r="19" spans="1:21" x14ac:dyDescent="0.25">
      <c r="A19" s="3">
        <v>10</v>
      </c>
      <c r="B19" s="3">
        <v>-2.4489999999999999E-4</v>
      </c>
      <c r="C19" s="3">
        <v>2.0120000000000001E-4</v>
      </c>
      <c r="D19" s="3">
        <v>-2.9950000000000002E-4</v>
      </c>
      <c r="E19" s="3">
        <v>0</v>
      </c>
      <c r="F19" s="3">
        <v>0</v>
      </c>
      <c r="G19" s="3">
        <v>0</v>
      </c>
      <c r="H19" s="3">
        <v>7.1722228999999995E-5</v>
      </c>
      <c r="I19" s="3">
        <v>1.9672084E-5</v>
      </c>
      <c r="J19" s="3">
        <v>-1.4830510999999999E-4</v>
      </c>
      <c r="K19" s="2"/>
      <c r="L19" s="3"/>
      <c r="M19" s="3"/>
      <c r="N19" s="2">
        <f>IF('Modell einstellen'!$B$1="Voll",H19/0.35,H19/0.35*2)</f>
        <v>4.0984130857142859E-4</v>
      </c>
      <c r="O19" s="2">
        <f>IF('Modell einstellen'!$B$1="Voll",J19/0.35,J19/0.35*2)</f>
        <v>-8.4745777142857144E-4</v>
      </c>
      <c r="P19" s="3">
        <f t="shared" si="0"/>
        <v>0.48361266176195816</v>
      </c>
      <c r="Q19" s="3"/>
      <c r="R19" s="3"/>
      <c r="S19" s="3"/>
      <c r="T19" s="3"/>
      <c r="U19" s="3"/>
    </row>
    <row r="20" spans="1:21" x14ac:dyDescent="0.25">
      <c r="A20" s="3">
        <v>100</v>
      </c>
      <c r="B20" s="3">
        <v>-1.6860000000000001E-4</v>
      </c>
      <c r="C20" s="3">
        <v>2.4220000000000001E-4</v>
      </c>
      <c r="D20" s="3">
        <v>-4.0319999999999999E-4</v>
      </c>
      <c r="E20" s="3">
        <v>0</v>
      </c>
      <c r="F20" s="3">
        <v>0</v>
      </c>
      <c r="G20" s="3">
        <v>0</v>
      </c>
      <c r="H20" s="3">
        <v>8.1818194000000006E-5</v>
      </c>
      <c r="I20" s="3">
        <v>2.7095451000000001E-5</v>
      </c>
      <c r="J20" s="3">
        <v>-1.7212451E-4</v>
      </c>
      <c r="K20" s="2"/>
      <c r="L20" s="3"/>
      <c r="M20" s="3"/>
      <c r="N20" s="2">
        <f>IF('Modell einstellen'!$B$1="Voll",H20/0.35,H20/0.35*2)</f>
        <v>4.6753253714285721E-4</v>
      </c>
      <c r="O20" s="2">
        <f>IF('Modell einstellen'!$B$1="Voll",J20/0.35,J20/0.35*2)</f>
        <v>-9.8356862857142862E-4</v>
      </c>
      <c r="P20" s="3">
        <f t="shared" si="0"/>
        <v>0.47534307577694779</v>
      </c>
      <c r="Q20" s="3"/>
      <c r="R20" s="3"/>
      <c r="S20" s="3"/>
      <c r="T20" s="3"/>
      <c r="U20" s="3"/>
    </row>
    <row r="21" spans="1:21" x14ac:dyDescent="0.25">
      <c r="A21" s="3">
        <v>1000</v>
      </c>
      <c r="B21" s="3">
        <v>-1.327E-5</v>
      </c>
      <c r="C21" s="3">
        <v>3.19E-4</v>
      </c>
      <c r="D21" s="3">
        <v>-6.1039999999999998E-4</v>
      </c>
      <c r="E21" s="3">
        <v>0</v>
      </c>
      <c r="F21" s="3">
        <v>0</v>
      </c>
      <c r="G21" s="3">
        <v>0</v>
      </c>
      <c r="H21" s="3">
        <v>9.6433594999999997E-5</v>
      </c>
      <c r="I21" s="3">
        <v>4.0630665999999997E-5</v>
      </c>
      <c r="J21" s="3">
        <v>-2.1173382E-4</v>
      </c>
      <c r="K21" s="2"/>
      <c r="L21" s="3"/>
      <c r="M21" s="3"/>
      <c r="N21" s="2">
        <f>IF('Modell einstellen'!$B$1="Voll",H21/0.35,H21/0.35*2)</f>
        <v>5.5104911428571432E-4</v>
      </c>
      <c r="O21" s="2">
        <f>IF('Modell einstellen'!$B$1="Voll",J21/0.35,J21/0.35*2)</f>
        <v>-1.209907542857143E-3</v>
      </c>
      <c r="P21" s="3">
        <f t="shared" si="0"/>
        <v>0.45544729226535463</v>
      </c>
      <c r="Q21" s="3"/>
      <c r="R21" s="3"/>
      <c r="S21" s="3"/>
      <c r="T21" s="3"/>
      <c r="U21" s="3"/>
    </row>
    <row r="22" spans="1:21" x14ac:dyDescent="0.25">
      <c r="A22" s="3">
        <v>10000</v>
      </c>
      <c r="B22" s="3">
        <v>1.6320000000000001E-4</v>
      </c>
      <c r="C22" s="3">
        <v>4.2180000000000001E-4</v>
      </c>
      <c r="D22" s="3">
        <v>-8.6350000000000001E-4</v>
      </c>
      <c r="E22" s="3">
        <v>0</v>
      </c>
      <c r="F22" s="3">
        <v>0</v>
      </c>
      <c r="G22" s="3">
        <v>0</v>
      </c>
      <c r="H22" s="3">
        <v>1.1363693000000001E-4</v>
      </c>
      <c r="I22" s="3">
        <v>5.7565536999999998E-5</v>
      </c>
      <c r="J22" s="3">
        <v>-2.6052300999999999E-4</v>
      </c>
      <c r="K22" s="2"/>
      <c r="L22" s="3"/>
      <c r="M22" s="3"/>
      <c r="N22" s="2">
        <f>IF('Modell einstellen'!$B$1="Voll",H22/0.35,H22/0.35*2)</f>
        <v>6.4935388571428574E-4</v>
      </c>
      <c r="O22" s="2">
        <f>IF('Modell einstellen'!$B$1="Voll",J22/0.35,J22/0.35*2)</f>
        <v>-1.4887029142857144E-3</v>
      </c>
      <c r="P22" s="3">
        <f t="shared" si="0"/>
        <v>0.43618769029269239</v>
      </c>
      <c r="Q22" s="3"/>
      <c r="R22" s="3"/>
      <c r="S22" s="3"/>
      <c r="T22" s="3"/>
      <c r="U22" s="3"/>
    </row>
    <row r="23" spans="1:21" x14ac:dyDescent="0.25">
      <c r="A23" s="3">
        <v>100000</v>
      </c>
      <c r="B23" s="3">
        <v>3.2739999999999999E-4</v>
      </c>
      <c r="C23" s="3">
        <v>5.4160000000000005E-4</v>
      </c>
      <c r="D23" s="3">
        <v>-1.1249999999999999E-3</v>
      </c>
      <c r="E23" s="3">
        <v>0</v>
      </c>
      <c r="F23" s="3">
        <v>0</v>
      </c>
      <c r="G23" s="3">
        <v>0</v>
      </c>
      <c r="H23" s="3">
        <v>1.3208501000000001E-4</v>
      </c>
      <c r="I23" s="3">
        <v>7.6267184999999999E-5</v>
      </c>
      <c r="J23" s="3">
        <v>-3.1426904E-4</v>
      </c>
      <c r="K23" s="2"/>
      <c r="L23" s="3"/>
      <c r="M23" s="3"/>
      <c r="N23" s="2">
        <f>IF('Modell einstellen'!$B$1="Voll",H23/0.35,H23/0.35*2)</f>
        <v>7.5477148571428585E-4</v>
      </c>
      <c r="O23" s="2">
        <f>IF('Modell einstellen'!$B$1="Voll",J23/0.35,J23/0.35*2)</f>
        <v>-1.7958230857142859E-3</v>
      </c>
      <c r="P23" s="3">
        <f t="shared" si="0"/>
        <v>0.42029278480629212</v>
      </c>
      <c r="Q23" s="3"/>
      <c r="R23" s="3"/>
      <c r="S23" s="3"/>
      <c r="T23" s="3"/>
      <c r="U23" s="3"/>
    </row>
    <row r="24" spans="1:21" x14ac:dyDescent="0.25">
      <c r="A24" s="3">
        <v>1000000</v>
      </c>
      <c r="B24" s="3">
        <v>4.6640000000000001E-4</v>
      </c>
      <c r="C24" s="3">
        <v>6.7909999999999997E-4</v>
      </c>
      <c r="D24" s="3">
        <v>-1.384E-3</v>
      </c>
      <c r="E24" s="3">
        <v>0</v>
      </c>
      <c r="F24" s="3">
        <v>0</v>
      </c>
      <c r="G24" s="3">
        <v>0</v>
      </c>
      <c r="H24" s="3">
        <v>1.5297606000000001E-4</v>
      </c>
      <c r="I24" s="3">
        <v>9.7299723999999998E-5</v>
      </c>
      <c r="J24" s="3">
        <v>-3.7530395000000001E-4</v>
      </c>
      <c r="K24" s="2"/>
      <c r="L24" s="3"/>
      <c r="M24" s="3"/>
      <c r="N24" s="2">
        <f>IF('Modell einstellen'!$B$1="Voll",H24/0.35,H24/0.35*2)</f>
        <v>8.7414891428571446E-4</v>
      </c>
      <c r="O24" s="2">
        <f>IF('Modell einstellen'!$B$1="Voll",J24/0.35,J24/0.35*2)</f>
        <v>-2.1445940000000001E-3</v>
      </c>
      <c r="P24" s="3">
        <f t="shared" si="0"/>
        <v>0.4076057819268889</v>
      </c>
      <c r="Q24" s="3"/>
      <c r="R24" s="3"/>
      <c r="S24" s="3"/>
      <c r="T24" s="3"/>
      <c r="U24" s="3"/>
    </row>
    <row r="25" spans="1:21" x14ac:dyDescent="0.25">
      <c r="A25" s="3">
        <v>10000000</v>
      </c>
      <c r="B25" s="3">
        <v>5.8500000000000002E-4</v>
      </c>
      <c r="C25" s="3">
        <v>8.4460000000000004E-4</v>
      </c>
      <c r="D25" s="3">
        <v>-1.6540000000000001E-3</v>
      </c>
      <c r="E25" s="3">
        <v>0</v>
      </c>
      <c r="F25" s="3">
        <v>0</v>
      </c>
      <c r="G25" s="3">
        <v>0</v>
      </c>
      <c r="H25" s="3">
        <v>1.7953859E-4</v>
      </c>
      <c r="I25" s="3">
        <v>1.2295540999999999E-4</v>
      </c>
      <c r="J25" s="3">
        <v>-4.5122348999999999E-4</v>
      </c>
      <c r="K25" s="2"/>
      <c r="L25" s="3"/>
      <c r="M25" s="3"/>
      <c r="N25" s="2">
        <f>IF('Modell einstellen'!$B$1="Voll",H25/0.35,H25/0.35*2)</f>
        <v>1.0259348000000001E-3</v>
      </c>
      <c r="O25" s="2">
        <f>IF('Modell einstellen'!$B$1="Voll",J25/0.35,J25/0.35*2)</f>
        <v>-2.5784199428571428E-3</v>
      </c>
      <c r="P25" s="3">
        <f t="shared" si="0"/>
        <v>0.397892826900479</v>
      </c>
      <c r="Q25" s="3"/>
      <c r="R25" s="3"/>
      <c r="S25" s="3"/>
      <c r="T25" s="3"/>
      <c r="U25" s="3"/>
    </row>
    <row r="26" spans="1:21" x14ac:dyDescent="0.25">
      <c r="A26" s="3">
        <v>100000000</v>
      </c>
      <c r="B26" s="3">
        <v>6.9819999999999995E-4</v>
      </c>
      <c r="C26" s="3">
        <v>1.0690000000000001E-3</v>
      </c>
      <c r="D26" s="3">
        <v>-1.9810000000000001E-3</v>
      </c>
      <c r="E26" s="3">
        <v>0</v>
      </c>
      <c r="F26" s="3">
        <v>0</v>
      </c>
      <c r="G26" s="3">
        <v>0</v>
      </c>
      <c r="H26" s="3">
        <v>2.1964441E-4</v>
      </c>
      <c r="I26" s="3">
        <v>1.5930299E-4</v>
      </c>
      <c r="J26" s="3">
        <v>-5.6153240999999999E-4</v>
      </c>
      <c r="K26" s="2"/>
      <c r="L26" s="3"/>
      <c r="M26" s="3"/>
      <c r="N26" s="2">
        <f>IF('Modell einstellen'!$B$1="Voll",H26/0.35,H26/0.35*2)</f>
        <v>1.2551109142857144E-3</v>
      </c>
      <c r="O26" s="2">
        <f>IF('Modell einstellen'!$B$1="Voll",J26/0.35,J26/0.35*2)</f>
        <v>-3.2087566285714285E-3</v>
      </c>
      <c r="P26" s="3">
        <f t="shared" si="0"/>
        <v>0.39115179478242412</v>
      </c>
      <c r="Q26" s="3"/>
      <c r="R26" s="3"/>
      <c r="S26" s="3"/>
      <c r="T26" s="3"/>
      <c r="U26" s="3"/>
    </row>
    <row r="27" spans="1:21" x14ac:dyDescent="0.25">
      <c r="A27" s="3">
        <v>1000000000</v>
      </c>
      <c r="B27" s="3">
        <v>8.3290000000000002E-4</v>
      </c>
      <c r="C27" s="3">
        <v>1.4220000000000001E-3</v>
      </c>
      <c r="D27" s="3">
        <v>-2.457E-3</v>
      </c>
      <c r="E27" s="3">
        <v>0</v>
      </c>
      <c r="F27" s="3">
        <v>0</v>
      </c>
      <c r="G27" s="3">
        <v>0</v>
      </c>
      <c r="H27" s="3">
        <v>2.8732140999999998E-4</v>
      </c>
      <c r="I27" s="3">
        <v>2.1822770999999999E-4</v>
      </c>
      <c r="J27" s="3">
        <v>-7.4294148000000003E-4</v>
      </c>
      <c r="K27" s="2"/>
      <c r="L27" s="3"/>
      <c r="M27" s="3"/>
      <c r="N27" s="2">
        <f>IF('Modell einstellen'!$B$1="Voll",H27/0.35,H27/0.35*2)</f>
        <v>1.6418366285714287E-3</v>
      </c>
      <c r="O27" s="2">
        <f>IF('Modell einstellen'!$B$1="Voll",J27/0.35,J27/0.35*2)</f>
        <v>-4.2453798857142863E-3</v>
      </c>
      <c r="P27" s="3">
        <f t="shared" si="0"/>
        <v>0.38673491484147576</v>
      </c>
      <c r="Q27" s="3"/>
      <c r="R27" s="3"/>
      <c r="S27" s="3"/>
      <c r="T27" s="3"/>
      <c r="U27" s="3"/>
    </row>
    <row r="28" spans="1:21" x14ac:dyDescent="0.25">
      <c r="A28" s="3">
        <v>10000000000</v>
      </c>
      <c r="B28" s="3">
        <v>1.0120000000000001E-3</v>
      </c>
      <c r="C28" s="3">
        <v>1.9889999999999999E-3</v>
      </c>
      <c r="D28" s="3">
        <v>-3.192E-3</v>
      </c>
      <c r="E28" s="3">
        <v>0</v>
      </c>
      <c r="F28" s="3">
        <v>0</v>
      </c>
      <c r="G28" s="3">
        <v>0</v>
      </c>
      <c r="H28" s="3">
        <v>4.0381200999999999E-4</v>
      </c>
      <c r="I28" s="3">
        <v>3.1715372999999999E-4</v>
      </c>
      <c r="J28" s="3">
        <v>-1.0496266999999999E-3</v>
      </c>
      <c r="K28" s="2"/>
      <c r="L28" s="3"/>
      <c r="M28" s="3"/>
      <c r="N28" s="2">
        <f>IF('Modell einstellen'!$B$1="Voll",H28/0.35,H28/0.35*2)</f>
        <v>2.3074972E-3</v>
      </c>
      <c r="O28" s="2">
        <f>IF('Modell einstellen'!$B$1="Voll",J28/0.35,J28/0.35*2)</f>
        <v>-5.9978668571428568E-3</v>
      </c>
      <c r="P28" s="3">
        <f t="shared" si="0"/>
        <v>0.38471964365997935</v>
      </c>
      <c r="Q28" s="3"/>
      <c r="R28" s="3"/>
      <c r="S28" s="3"/>
      <c r="T28" s="3"/>
      <c r="U28" s="3"/>
    </row>
    <row r="29" spans="1:21" x14ac:dyDescent="0.25">
      <c r="A29" s="3">
        <v>100000000000</v>
      </c>
      <c r="B29" s="3">
        <v>1.273E-3</v>
      </c>
      <c r="C29" s="3">
        <v>2.8440000000000002E-3</v>
      </c>
      <c r="D29" s="3">
        <v>-4.2960000000000003E-3</v>
      </c>
      <c r="E29" s="3">
        <v>0</v>
      </c>
      <c r="F29" s="3">
        <v>0</v>
      </c>
      <c r="G29" s="3">
        <v>0</v>
      </c>
      <c r="H29" s="3">
        <v>5.8575778000000004E-4</v>
      </c>
      <c r="I29" s="3">
        <v>4.7072450000000001E-4</v>
      </c>
      <c r="J29" s="3">
        <v>-1.5249568999999999E-3</v>
      </c>
      <c r="K29" s="2"/>
      <c r="L29" s="3"/>
      <c r="M29" s="3"/>
      <c r="N29" s="2">
        <f>IF('Modell einstellen'!$B$1="Voll",H29/0.35,H29/0.35*2)</f>
        <v>3.3471873142857148E-3</v>
      </c>
      <c r="O29" s="2">
        <f>IF('Modell einstellen'!$B$1="Voll",J29/0.35,J29/0.35*2)</f>
        <v>-8.7140394285714282E-3</v>
      </c>
      <c r="P29" s="3">
        <f t="shared" si="0"/>
        <v>0.38411431824728953</v>
      </c>
      <c r="Q29" s="3"/>
      <c r="R29" s="3"/>
      <c r="S29" s="3"/>
      <c r="T29" s="3"/>
      <c r="U29" s="3"/>
    </row>
    <row r="30" spans="1:21" x14ac:dyDescent="0.25">
      <c r="A30" s="3">
        <v>1000000000000</v>
      </c>
      <c r="B30" s="3">
        <v>1.64E-3</v>
      </c>
      <c r="C30" s="3">
        <v>3.9129999999999998E-3</v>
      </c>
      <c r="D30" s="3">
        <v>-5.7219999999999997E-3</v>
      </c>
      <c r="E30" s="3">
        <v>0</v>
      </c>
      <c r="F30" s="3">
        <v>0</v>
      </c>
      <c r="G30" s="3">
        <v>0</v>
      </c>
      <c r="H30" s="3">
        <v>8.1835497000000001E-4</v>
      </c>
      <c r="I30" s="3">
        <v>6.6734442E-4</v>
      </c>
      <c r="J30" s="3">
        <v>-2.1301134E-3</v>
      </c>
      <c r="K30" s="2"/>
      <c r="L30" s="3"/>
      <c r="M30" s="3"/>
      <c r="N30" s="2">
        <f>IF('Modell einstellen'!$B$1="Voll",H30/0.35,H30/0.35*2)</f>
        <v>4.6763141142857146E-3</v>
      </c>
      <c r="O30" s="2">
        <f>IF('Modell einstellen'!$B$1="Voll",J30/0.35,J30/0.35*2)</f>
        <v>-1.2172076571428572E-2</v>
      </c>
      <c r="P30" s="3">
        <f t="shared" si="0"/>
        <v>0.38418375754079576</v>
      </c>
      <c r="Q30" s="3"/>
      <c r="R30" s="3"/>
      <c r="S30" s="3"/>
      <c r="T30" s="3"/>
      <c r="U30" s="3"/>
    </row>
    <row r="31" spans="1:21" x14ac:dyDescent="0.25">
      <c r="A31" s="3">
        <v>10000000000000</v>
      </c>
      <c r="B31" s="3">
        <v>2.042E-3</v>
      </c>
      <c r="C31" s="3">
        <v>4.8690000000000001E-3</v>
      </c>
      <c r="D31" s="3">
        <v>-7.0740000000000004E-3</v>
      </c>
      <c r="E31" s="3">
        <v>0</v>
      </c>
      <c r="F31" s="3">
        <v>0</v>
      </c>
      <c r="G31" s="3">
        <v>0</v>
      </c>
      <c r="H31" s="3">
        <v>1.0265922000000001E-3</v>
      </c>
      <c r="I31" s="3">
        <v>8.4551804999999998E-4</v>
      </c>
      <c r="J31" s="3">
        <v>-2.6731347E-3</v>
      </c>
      <c r="K31" s="2"/>
      <c r="L31" s="3"/>
      <c r="M31" s="3"/>
      <c r="N31" s="2">
        <f>IF('Modell einstellen'!$B$1="Voll",H31/0.35,H31/0.35*2)</f>
        <v>5.866241142857144E-3</v>
      </c>
      <c r="O31" s="2">
        <f>IF('Modell einstellen'!$B$1="Voll",J31/0.35,J31/0.35*2)</f>
        <v>-1.5275055428571429E-2</v>
      </c>
      <c r="P31" s="3">
        <f t="shared" si="0"/>
        <v>0.38404057977325279</v>
      </c>
      <c r="Q31" s="3"/>
      <c r="R31" s="3"/>
      <c r="S31" s="3"/>
      <c r="T31" s="3"/>
      <c r="U31" s="3"/>
    </row>
    <row r="32" spans="1:21" x14ac:dyDescent="0.25">
      <c r="A32" s="3">
        <v>100000000000000</v>
      </c>
      <c r="B32" s="3">
        <v>2.385E-3</v>
      </c>
      <c r="C32" s="3">
        <v>5.555E-3</v>
      </c>
      <c r="D32" s="3">
        <v>-8.0990000000000003E-3</v>
      </c>
      <c r="E32" s="3">
        <v>0</v>
      </c>
      <c r="F32" s="3">
        <v>0</v>
      </c>
      <c r="G32" s="3">
        <v>0</v>
      </c>
      <c r="H32" s="3">
        <v>1.1741570999999999E-3</v>
      </c>
      <c r="I32" s="3">
        <v>9.7377570999999995E-4</v>
      </c>
      <c r="J32" s="3">
        <v>-3.0600998E-3</v>
      </c>
      <c r="K32" s="2"/>
      <c r="L32" s="3"/>
      <c r="M32" s="3"/>
      <c r="N32" s="2">
        <f>IF('Modell einstellen'!$B$1="Voll",H32/0.35,H32/0.35*2)</f>
        <v>6.7094691428571428E-3</v>
      </c>
      <c r="O32" s="2">
        <f>IF('Modell einstellen'!$B$1="Voll",J32/0.35,J32/0.35*2)</f>
        <v>-1.7486284571428572E-2</v>
      </c>
      <c r="P32" s="3">
        <f t="shared" si="0"/>
        <v>0.38369895648501395</v>
      </c>
      <c r="Q32" s="3"/>
      <c r="R32" s="3"/>
      <c r="S32" s="3"/>
      <c r="T32" s="3"/>
      <c r="U32" s="3"/>
    </row>
    <row r="33" spans="1:21" x14ac:dyDescent="0.25">
      <c r="A33" s="2">
        <v>1000000000000000</v>
      </c>
      <c r="B33" s="3">
        <v>2.6289999999999998E-3</v>
      </c>
      <c r="C33" s="3">
        <v>5.9829999999999996E-3</v>
      </c>
      <c r="D33" s="3">
        <v>-8.7679999999999998E-3</v>
      </c>
      <c r="E33" s="3">
        <v>0</v>
      </c>
      <c r="F33" s="3">
        <v>0</v>
      </c>
      <c r="G33" s="3">
        <v>0</v>
      </c>
      <c r="H33" s="3">
        <v>1.2640703000000001E-3</v>
      </c>
      <c r="I33" s="3">
        <v>1.0533038000000001E-3</v>
      </c>
      <c r="J33" s="3">
        <v>-3.297814E-3</v>
      </c>
      <c r="K33" s="2"/>
      <c r="L33" s="3"/>
      <c r="M33" s="3"/>
      <c r="N33" s="2">
        <f>IF('Modell einstellen'!$B$1="Voll",H33/0.35,H33/0.35*2)</f>
        <v>7.2232588571428582E-3</v>
      </c>
      <c r="O33" s="2">
        <f>IF('Modell einstellen'!$B$1="Voll",J33/0.35,J33/0.35*2)</f>
        <v>-1.8844651428571429E-2</v>
      </c>
      <c r="P33" s="3">
        <f t="shared" si="0"/>
        <v>0.38330551692727372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-4.5890000000000003E-5</v>
      </c>
      <c r="C3" s="3">
        <v>1.639E-4</v>
      </c>
      <c r="D3" s="3">
        <v>-4.3120000000000002E-4</v>
      </c>
      <c r="E3" s="3">
        <v>0</v>
      </c>
      <c r="F3" s="3">
        <v>0</v>
      </c>
      <c r="G3" s="3">
        <v>0</v>
      </c>
      <c r="H3" s="3">
        <v>4.2833917000000003E-5</v>
      </c>
      <c r="I3" s="3">
        <v>1.5370814E-5</v>
      </c>
      <c r="J3" s="3">
        <v>-1.0863953E-4</v>
      </c>
      <c r="L3" s="3">
        <f>-B3/D3</f>
        <v>-0.10642393320964749</v>
      </c>
      <c r="M3" s="3"/>
      <c r="N3" s="2">
        <f>IF('Modell einstellen'!$B$1="Voll",H3/0.35,H3/0.35*2)</f>
        <v>2.4476524000000005E-4</v>
      </c>
      <c r="O3" s="2">
        <f>IF('Modell einstellen'!$B$1="Voll",J3/0.35,J3/0.35*2)</f>
        <v>-6.2079731428571429E-4</v>
      </c>
      <c r="P3" s="3">
        <f>-N3/O3</f>
        <v>0.39427561036024372</v>
      </c>
    </row>
    <row r="4" spans="1:16" x14ac:dyDescent="0.25">
      <c r="A4" s="3">
        <v>1E-14</v>
      </c>
      <c r="B4" s="3">
        <v>-6.1500000000000004E-5</v>
      </c>
      <c r="C4" s="3">
        <v>1.6660000000000001E-4</v>
      </c>
      <c r="D4" s="3">
        <v>-4.2230000000000002E-4</v>
      </c>
      <c r="E4" s="3">
        <v>0</v>
      </c>
      <c r="F4" s="3">
        <v>0</v>
      </c>
      <c r="G4" s="3">
        <v>0</v>
      </c>
      <c r="H4" s="3">
        <v>4.5168784000000003E-5</v>
      </c>
      <c r="I4" s="3">
        <v>1.5662824000000001E-5</v>
      </c>
      <c r="J4" s="3">
        <v>-1.1187507E-4</v>
      </c>
      <c r="L4" s="3">
        <f t="shared" ref="L4:L33" si="0">-B4/D4</f>
        <v>-0.14563106796116504</v>
      </c>
      <c r="M4" s="3"/>
      <c r="N4" s="2">
        <f>IF('Modell einstellen'!$B$1="Voll",H4/0.35,H4/0.35*2)</f>
        <v>2.5810733714285718E-4</v>
      </c>
      <c r="O4" s="2">
        <f>IF('Modell einstellen'!$B$1="Voll",J4/0.35,J4/0.35*2)</f>
        <v>-6.3928611428571433E-4</v>
      </c>
      <c r="P4" s="3">
        <f t="shared" ref="P4:P33" si="1">-N4/O4</f>
        <v>0.4037430680490301</v>
      </c>
    </row>
    <row r="5" spans="1:16" x14ac:dyDescent="0.25">
      <c r="A5" s="3">
        <v>1E-13</v>
      </c>
      <c r="B5" s="3">
        <v>-7.5149999999999997E-5</v>
      </c>
      <c r="C5" s="3">
        <v>1.6980000000000001E-4</v>
      </c>
      <c r="D5" s="3">
        <v>-4.1520000000000001E-4</v>
      </c>
      <c r="E5" s="3">
        <v>0</v>
      </c>
      <c r="F5" s="3">
        <v>0</v>
      </c>
      <c r="G5" s="3">
        <v>0</v>
      </c>
      <c r="H5" s="3">
        <v>4.7234387000000001E-5</v>
      </c>
      <c r="I5" s="3">
        <v>1.5959162000000001E-5</v>
      </c>
      <c r="J5" s="3">
        <v>-1.1477971E-4</v>
      </c>
      <c r="L5" s="3">
        <f t="shared" si="0"/>
        <v>-0.18099710982658959</v>
      </c>
      <c r="M5" s="3"/>
      <c r="N5" s="2">
        <f>IF('Modell einstellen'!$B$1="Voll",H5/0.35,H5/0.35*2)</f>
        <v>2.6991078285714288E-4</v>
      </c>
      <c r="O5" s="2">
        <f>IF('Modell einstellen'!$B$1="Voll",J5/0.35,J5/0.35*2)</f>
        <v>-6.558840571428572E-4</v>
      </c>
      <c r="P5" s="3">
        <f t="shared" si="1"/>
        <v>0.41152209741599799</v>
      </c>
    </row>
    <row r="6" spans="1:16" x14ac:dyDescent="0.25">
      <c r="A6" s="3">
        <v>9.9999999999999998E-13</v>
      </c>
      <c r="B6" s="3">
        <v>-9.3309999999999999E-5</v>
      </c>
      <c r="C6" s="3">
        <v>1.7220000000000001E-4</v>
      </c>
      <c r="D6" s="3">
        <v>-4.0309999999999999E-4</v>
      </c>
      <c r="E6" s="3">
        <v>0</v>
      </c>
      <c r="F6" s="3">
        <v>0</v>
      </c>
      <c r="G6" s="3">
        <v>0</v>
      </c>
      <c r="H6" s="3">
        <v>4.9705391000000002E-5</v>
      </c>
      <c r="I6" s="3">
        <v>1.6226525E-5</v>
      </c>
      <c r="J6" s="3">
        <v>-1.1807765999999999E-4</v>
      </c>
      <c r="L6" s="3">
        <f t="shared" si="0"/>
        <v>-0.23148102207888863</v>
      </c>
      <c r="M6" s="3"/>
      <c r="N6" s="2">
        <f>IF('Modell einstellen'!$B$1="Voll",H6/0.35,H6/0.35*2)</f>
        <v>2.8403080571428577E-4</v>
      </c>
      <c r="O6" s="2">
        <f>IF('Modell einstellen'!$B$1="Voll",J6/0.35,J6/0.35*2)</f>
        <v>-6.7472948571428574E-4</v>
      </c>
      <c r="P6" s="3">
        <f t="shared" si="1"/>
        <v>0.42095508159629863</v>
      </c>
    </row>
    <row r="7" spans="1:16" x14ac:dyDescent="0.25">
      <c r="A7" s="3">
        <v>9.9999999999999994E-12</v>
      </c>
      <c r="B7" s="3">
        <v>-1.178E-4</v>
      </c>
      <c r="C7" s="3">
        <v>1.7660000000000001E-4</v>
      </c>
      <c r="D7" s="3">
        <v>-3.8749999999999999E-4</v>
      </c>
      <c r="E7" s="3">
        <v>0</v>
      </c>
      <c r="F7" s="3">
        <v>0</v>
      </c>
      <c r="G7" s="3">
        <v>0</v>
      </c>
      <c r="H7" s="3">
        <v>5.2997103000000003E-5</v>
      </c>
      <c r="I7" s="3">
        <v>1.6627928E-5</v>
      </c>
      <c r="J7" s="3">
        <v>-1.2251450999999999E-4</v>
      </c>
      <c r="L7" s="3">
        <f t="shared" si="0"/>
        <v>-0.30400000000000005</v>
      </c>
      <c r="M7" s="3"/>
      <c r="N7" s="2">
        <f>IF('Modell einstellen'!$B$1="Voll",H7/0.35,H7/0.35*2)</f>
        <v>3.0284058857142859E-4</v>
      </c>
      <c r="O7" s="2">
        <f>IF('Modell einstellen'!$B$1="Voll",J7/0.35,J7/0.35*2)</f>
        <v>-7.0008291428571429E-4</v>
      </c>
      <c r="P7" s="3">
        <f t="shared" si="1"/>
        <v>0.4325781738016175</v>
      </c>
    </row>
    <row r="8" spans="1:16" x14ac:dyDescent="0.25">
      <c r="A8" s="3">
        <v>1E-10</v>
      </c>
      <c r="B8" s="3">
        <v>-1.47E-4</v>
      </c>
      <c r="C8" s="3">
        <v>1.8029999999999999E-4</v>
      </c>
      <c r="D8" s="3">
        <v>-3.6650000000000002E-4</v>
      </c>
      <c r="E8" s="3">
        <v>0</v>
      </c>
      <c r="F8" s="3">
        <v>0</v>
      </c>
      <c r="G8" s="3">
        <v>0</v>
      </c>
      <c r="H8" s="3">
        <v>5.6640937999999999E-5</v>
      </c>
      <c r="I8" s="3">
        <v>1.6998509000000001E-5</v>
      </c>
      <c r="J8" s="3">
        <v>-1.2724690999999999E-4</v>
      </c>
      <c r="L8" s="3">
        <f t="shared" si="0"/>
        <v>-0.40109140518417458</v>
      </c>
      <c r="M8" s="3"/>
      <c r="N8" s="2">
        <f>IF('Modell einstellen'!$B$1="Voll",H8/0.35,H8/0.35*2)</f>
        <v>3.2366250285714287E-4</v>
      </c>
      <c r="O8" s="2">
        <f>IF('Modell einstellen'!$B$1="Voll",J8/0.35,J8/0.35*2)</f>
        <v>-7.2712519999999998E-4</v>
      </c>
      <c r="P8" s="3">
        <f t="shared" si="1"/>
        <v>0.44512623528539907</v>
      </c>
    </row>
    <row r="9" spans="1:16" x14ac:dyDescent="0.25">
      <c r="A9" s="3">
        <v>1.0000000000000001E-9</v>
      </c>
      <c r="B9" s="3">
        <v>-1.7579999999999999E-4</v>
      </c>
      <c r="C9" s="3">
        <v>1.8349999999999999E-4</v>
      </c>
      <c r="D9" s="3">
        <v>-3.4469999999999998E-4</v>
      </c>
      <c r="E9" s="3">
        <v>0</v>
      </c>
      <c r="F9" s="3">
        <v>0</v>
      </c>
      <c r="G9" s="3">
        <v>0</v>
      </c>
      <c r="H9" s="3">
        <v>6.0062192E-5</v>
      </c>
      <c r="I9" s="3">
        <v>1.7313502000000002E-5</v>
      </c>
      <c r="J9" s="3">
        <v>-1.3159213000000001E-4</v>
      </c>
      <c r="L9" s="3">
        <f t="shared" si="0"/>
        <v>-0.51000870322019143</v>
      </c>
      <c r="M9" s="3"/>
      <c r="N9" s="2">
        <f>IF('Modell einstellen'!$B$1="Voll",H9/0.35,H9/0.35*2)</f>
        <v>3.4321252571428576E-4</v>
      </c>
      <c r="O9" s="2">
        <f>IF('Modell einstellen'!$B$1="Voll",J9/0.35,J9/0.35*2)</f>
        <v>-7.5195502857142865E-4</v>
      </c>
      <c r="P9" s="3">
        <f t="shared" si="1"/>
        <v>0.45642693069866719</v>
      </c>
    </row>
    <row r="10" spans="1:16" x14ac:dyDescent="0.25">
      <c r="A10" s="3">
        <v>1E-8</v>
      </c>
      <c r="B10" s="3">
        <v>-2.0709999999999999E-4</v>
      </c>
      <c r="C10" s="3">
        <v>1.8579999999999999E-4</v>
      </c>
      <c r="D10" s="3">
        <v>-3.1930000000000001E-4</v>
      </c>
      <c r="E10" s="3">
        <v>0</v>
      </c>
      <c r="F10" s="3">
        <v>0</v>
      </c>
      <c r="G10" s="3">
        <v>0</v>
      </c>
      <c r="H10" s="3">
        <v>6.3606271999999998E-5</v>
      </c>
      <c r="I10" s="3">
        <v>1.7575066000000001E-5</v>
      </c>
      <c r="J10" s="3">
        <v>-1.3594333999999999E-4</v>
      </c>
      <c r="L10" s="3">
        <f t="shared" si="0"/>
        <v>-0.64860632633886628</v>
      </c>
      <c r="M10" s="3"/>
      <c r="N10" s="2">
        <f>IF('Modell einstellen'!$B$1="Voll",H10/0.35,H10/0.35*2)</f>
        <v>3.6346441142857142E-4</v>
      </c>
      <c r="O10" s="2">
        <f>IF('Modell einstellen'!$B$1="Voll",J10/0.35,J10/0.35*2)</f>
        <v>-7.768190857142857E-4</v>
      </c>
      <c r="P10" s="3">
        <f t="shared" si="1"/>
        <v>0.46788810691277705</v>
      </c>
    </row>
    <row r="11" spans="1:16" x14ac:dyDescent="0.25">
      <c r="A11" s="3">
        <v>9.9999999999999995E-8</v>
      </c>
      <c r="B11" s="3">
        <v>-2.4159999999999999E-4</v>
      </c>
      <c r="C11" s="3">
        <v>1.895E-4</v>
      </c>
      <c r="D11" s="3">
        <v>-2.921E-4</v>
      </c>
      <c r="E11" s="3">
        <v>0</v>
      </c>
      <c r="F11" s="3">
        <v>0</v>
      </c>
      <c r="G11" s="3">
        <v>0</v>
      </c>
      <c r="H11" s="3">
        <v>6.7450925999999999E-5</v>
      </c>
      <c r="I11" s="3">
        <v>1.7908910000000001E-5</v>
      </c>
      <c r="J11" s="3">
        <v>-1.4072550999999999E-4</v>
      </c>
      <c r="L11" s="3">
        <f t="shared" si="0"/>
        <v>-0.82711400205409102</v>
      </c>
      <c r="M11" s="3"/>
      <c r="N11" s="2">
        <f>IF('Modell einstellen'!$B$1="Voll",H11/0.35,H11/0.35*2)</f>
        <v>3.8543386285714285E-4</v>
      </c>
      <c r="O11" s="2">
        <f>IF('Modell einstellen'!$B$1="Voll",J11/0.35,J11/0.35*2)</f>
        <v>-8.0414577142857145E-4</v>
      </c>
      <c r="P11" s="3">
        <f t="shared" si="1"/>
        <v>0.47930844947728379</v>
      </c>
    </row>
    <row r="12" spans="1:16" x14ac:dyDescent="0.25">
      <c r="A12" s="3">
        <v>9.9999999999999995E-7</v>
      </c>
      <c r="B12" s="3">
        <v>-2.811E-4</v>
      </c>
      <c r="C12" s="3">
        <v>1.916E-4</v>
      </c>
      <c r="D12" s="3">
        <v>-2.5839999999999999E-4</v>
      </c>
      <c r="E12" s="3">
        <v>0</v>
      </c>
      <c r="F12" s="3">
        <v>0</v>
      </c>
      <c r="G12" s="3">
        <v>0</v>
      </c>
      <c r="H12" s="3">
        <v>7.1618204000000002E-5</v>
      </c>
      <c r="I12" s="3">
        <v>1.8163082E-5</v>
      </c>
      <c r="J12" s="3">
        <v>-1.45675E-4</v>
      </c>
      <c r="L12" s="3">
        <f t="shared" si="0"/>
        <v>-1.0878482972136223</v>
      </c>
      <c r="M12" s="3"/>
      <c r="N12" s="2">
        <f>IF('Modell einstellen'!$B$1="Voll",H12/0.35,H12/0.35*2)</f>
        <v>4.0924688000000005E-4</v>
      </c>
      <c r="O12" s="2">
        <f>IF('Modell einstellen'!$B$1="Voll",J12/0.35,J12/0.35*2)</f>
        <v>-8.3242857142857153E-4</v>
      </c>
      <c r="P12" s="3">
        <f t="shared" si="1"/>
        <v>0.49163002574223441</v>
      </c>
    </row>
    <row r="13" spans="1:16" x14ac:dyDescent="0.25">
      <c r="A13" s="3">
        <v>1.0000000000000001E-5</v>
      </c>
      <c r="B13" s="3">
        <v>-3.2650000000000002E-4</v>
      </c>
      <c r="C13" s="3">
        <v>1.9540000000000001E-4</v>
      </c>
      <c r="D13" s="3">
        <v>-2.2029999999999999E-4</v>
      </c>
      <c r="E13" s="3">
        <v>0</v>
      </c>
      <c r="F13" s="3">
        <v>0</v>
      </c>
      <c r="G13" s="3">
        <v>0</v>
      </c>
      <c r="H13" s="3">
        <v>7.6346906999999998E-5</v>
      </c>
      <c r="I13" s="3">
        <v>1.8500663999999999E-5</v>
      </c>
      <c r="J13" s="3">
        <v>-1.5135018000000001E-4</v>
      </c>
      <c r="L13" s="3">
        <f t="shared" si="0"/>
        <v>-1.4820699046754429</v>
      </c>
      <c r="M13" s="3"/>
      <c r="N13" s="2">
        <f>IF('Modell einstellen'!$B$1="Voll",H13/0.35,H13/0.35*2)</f>
        <v>4.3626804000000002E-4</v>
      </c>
      <c r="O13" s="2">
        <f>IF('Modell einstellen'!$B$1="Voll",J13/0.35,J13/0.35*2)</f>
        <v>-8.6485817142857157E-4</v>
      </c>
      <c r="P13" s="3">
        <f t="shared" si="1"/>
        <v>0.50443882524619388</v>
      </c>
    </row>
    <row r="14" spans="1:16" x14ac:dyDescent="0.25">
      <c r="A14" s="3">
        <v>1E-4</v>
      </c>
      <c r="B14" s="3">
        <v>-3.859E-4</v>
      </c>
      <c r="C14" s="3">
        <v>1.9870000000000001E-4</v>
      </c>
      <c r="D14" s="3">
        <v>-1.684E-4</v>
      </c>
      <c r="E14" s="3">
        <v>0</v>
      </c>
      <c r="F14" s="3">
        <v>0</v>
      </c>
      <c r="G14" s="3">
        <v>0</v>
      </c>
      <c r="H14" s="3">
        <v>8.2269932999999993E-5</v>
      </c>
      <c r="I14" s="3">
        <v>1.8837128999999999E-5</v>
      </c>
      <c r="J14" s="3">
        <v>-1.5825284999999999E-4</v>
      </c>
      <c r="L14" s="3">
        <f t="shared" si="0"/>
        <v>-2.2915676959619953</v>
      </c>
      <c r="M14" s="3"/>
      <c r="N14" s="2">
        <f>IF('Modell einstellen'!$B$1="Voll",H14/0.35,H14/0.35*2)</f>
        <v>4.7011390285714287E-4</v>
      </c>
      <c r="O14" s="2">
        <f>IF('Modell einstellen'!$B$1="Voll",J14/0.35,J14/0.35*2)</f>
        <v>-9.0430200000000006E-4</v>
      </c>
      <c r="P14" s="3">
        <f t="shared" si="1"/>
        <v>0.51986383183620388</v>
      </c>
    </row>
    <row r="15" spans="1:16" x14ac:dyDescent="0.25">
      <c r="A15" s="3">
        <v>1E-3</v>
      </c>
      <c r="B15" s="3">
        <v>-4.6470000000000002E-4</v>
      </c>
      <c r="C15" s="3">
        <v>2.0239999999999999E-4</v>
      </c>
      <c r="D15" s="3">
        <v>-9.7800000000000006E-5</v>
      </c>
      <c r="E15" s="3">
        <v>0</v>
      </c>
      <c r="F15" s="3">
        <v>0</v>
      </c>
      <c r="G15" s="3">
        <v>0</v>
      </c>
      <c r="H15" s="3">
        <v>8.9873304000000003E-5</v>
      </c>
      <c r="I15" s="3">
        <v>1.9213389000000001E-5</v>
      </c>
      <c r="J15" s="3">
        <v>-1.6694729999999999E-4</v>
      </c>
      <c r="L15" s="3">
        <f t="shared" si="0"/>
        <v>-4.7515337423312882</v>
      </c>
      <c r="M15" s="3"/>
      <c r="N15" s="2">
        <f>IF('Modell einstellen'!$B$1="Voll",H15/0.35,H15/0.35*2)</f>
        <v>5.1356173714285722E-4</v>
      </c>
      <c r="O15" s="2">
        <f>IF('Modell einstellen'!$B$1="Voll",J15/0.35,J15/0.35*2)</f>
        <v>-9.539845714285714E-4</v>
      </c>
      <c r="P15" s="3">
        <f t="shared" si="1"/>
        <v>0.53833337825768979</v>
      </c>
    </row>
    <row r="16" spans="1:16" x14ac:dyDescent="0.25">
      <c r="A16" s="3">
        <v>0.01</v>
      </c>
      <c r="B16" s="3">
        <v>-5.7189999999999997E-4</v>
      </c>
      <c r="C16" s="3">
        <v>2.0660000000000001E-4</v>
      </c>
      <c r="D16" s="3">
        <v>1.5909999999999999E-7</v>
      </c>
      <c r="E16" s="3">
        <v>0</v>
      </c>
      <c r="F16" s="3">
        <v>0</v>
      </c>
      <c r="G16" s="3">
        <v>0</v>
      </c>
      <c r="H16" s="3">
        <v>9.9910210999999994E-5</v>
      </c>
      <c r="I16" s="3">
        <v>1.9659774E-5</v>
      </c>
      <c r="J16" s="3">
        <v>-1.7824557E-4</v>
      </c>
      <c r="L16" s="3">
        <f t="shared" si="0"/>
        <v>3594.5945945945946</v>
      </c>
      <c r="M16" s="3"/>
      <c r="N16" s="2">
        <f>IF('Modell einstellen'!$B$1="Voll",H16/0.35,H16/0.35*2)</f>
        <v>5.7091549142857141E-4</v>
      </c>
      <c r="O16" s="2">
        <f>IF('Modell einstellen'!$B$1="Voll",J16/0.35,J16/0.35*2)</f>
        <v>-1.0185461142857143E-3</v>
      </c>
      <c r="P16" s="3">
        <f t="shared" si="1"/>
        <v>0.56052002302217097</v>
      </c>
    </row>
    <row r="17" spans="1:16" x14ac:dyDescent="0.25">
      <c r="A17" s="3">
        <v>0.1</v>
      </c>
      <c r="B17" s="3">
        <v>-7.205E-4</v>
      </c>
      <c r="C17" s="3">
        <v>2.128E-4</v>
      </c>
      <c r="D17" s="3">
        <v>1.3740000000000001E-4</v>
      </c>
      <c r="E17" s="3">
        <v>0</v>
      </c>
      <c r="F17" s="3">
        <v>0</v>
      </c>
      <c r="G17" s="3">
        <v>0</v>
      </c>
      <c r="H17" s="3">
        <v>1.1401495E-4</v>
      </c>
      <c r="I17" s="3">
        <v>2.0457041E-5</v>
      </c>
      <c r="J17" s="3">
        <v>-1.9430339000000001E-4</v>
      </c>
      <c r="L17" s="3">
        <f t="shared" si="0"/>
        <v>5.2438136826783115</v>
      </c>
      <c r="M17" s="3"/>
      <c r="N17" s="2">
        <f>IF('Modell einstellen'!$B$1="Voll",H17/0.35,H17/0.35*2)</f>
        <v>6.5151400000000006E-4</v>
      </c>
      <c r="O17" s="2">
        <f>IF('Modell einstellen'!$B$1="Voll",J17/0.35,J17/0.35*2)</f>
        <v>-1.1103050857142859E-3</v>
      </c>
      <c r="P17" s="3">
        <f t="shared" si="1"/>
        <v>0.58678826962308783</v>
      </c>
    </row>
    <row r="18" spans="1:16" x14ac:dyDescent="0.25">
      <c r="A18" s="3">
        <v>1</v>
      </c>
      <c r="B18" s="3">
        <v>-9.0959999999999999E-4</v>
      </c>
      <c r="C18" s="3">
        <v>2.296E-4</v>
      </c>
      <c r="D18" s="3">
        <v>3.0709999999999998E-4</v>
      </c>
      <c r="E18" s="3">
        <v>0</v>
      </c>
      <c r="F18" s="3">
        <v>0</v>
      </c>
      <c r="G18" s="3">
        <v>0</v>
      </c>
      <c r="H18" s="3">
        <v>1.3686218E-4</v>
      </c>
      <c r="I18" s="3">
        <v>2.3754163999999999E-5</v>
      </c>
      <c r="J18" s="3">
        <v>-2.2378911E-4</v>
      </c>
      <c r="L18" s="3">
        <f t="shared" si="0"/>
        <v>2.9619016606968414</v>
      </c>
      <c r="M18" s="3"/>
      <c r="N18" s="2">
        <f>IF('Modell einstellen'!$B$1="Voll",H18/0.35,H18/0.35*2)</f>
        <v>7.8206960000000002E-4</v>
      </c>
      <c r="O18" s="2">
        <f>IF('Modell einstellen'!$B$1="Voll",J18/0.35,J18/0.35*2)</f>
        <v>-1.2787949142857144E-3</v>
      </c>
      <c r="P18" s="3">
        <f t="shared" si="1"/>
        <v>0.61156764956078513</v>
      </c>
    </row>
    <row r="19" spans="1:16" x14ac:dyDescent="0.25">
      <c r="A19" s="3">
        <v>10</v>
      </c>
      <c r="B19" s="3">
        <v>-1.093E-3</v>
      </c>
      <c r="C19" s="3">
        <v>2.809E-4</v>
      </c>
      <c r="D19" s="3">
        <v>4.4700000000000002E-4</v>
      </c>
      <c r="E19" s="3">
        <v>0</v>
      </c>
      <c r="F19" s="3">
        <v>0</v>
      </c>
      <c r="G19" s="3">
        <v>0</v>
      </c>
      <c r="H19" s="3">
        <v>1.7965989999999999E-4</v>
      </c>
      <c r="I19" s="3">
        <v>3.7091405000000002E-5</v>
      </c>
      <c r="J19" s="3">
        <v>-2.9208697000000002E-4</v>
      </c>
      <c r="L19" s="3">
        <f t="shared" si="0"/>
        <v>2.4451901565995526</v>
      </c>
      <c r="M19" s="3"/>
      <c r="N19" s="2">
        <f>IF('Modell einstellen'!$B$1="Voll",H19/0.35,H19/0.35*2)</f>
        <v>1.0266279999999999E-3</v>
      </c>
      <c r="O19" s="2">
        <f>IF('Modell einstellen'!$B$1="Voll",J19/0.35,J19/0.35*2)</f>
        <v>-1.6690684000000003E-3</v>
      </c>
      <c r="P19" s="3">
        <f t="shared" si="1"/>
        <v>0.61509043008662778</v>
      </c>
    </row>
    <row r="20" spans="1:16" x14ac:dyDescent="0.25">
      <c r="A20" s="3">
        <v>100</v>
      </c>
      <c r="B20" s="3">
        <v>-1.292E-3</v>
      </c>
      <c r="C20" s="3">
        <v>4.0690000000000002E-4</v>
      </c>
      <c r="D20" s="3">
        <v>5.3859999999999997E-4</v>
      </c>
      <c r="E20" s="3">
        <v>0</v>
      </c>
      <c r="F20" s="3">
        <v>0</v>
      </c>
      <c r="G20" s="3">
        <v>0</v>
      </c>
      <c r="H20" s="3">
        <v>2.5707049000000002E-4</v>
      </c>
      <c r="I20" s="3">
        <v>7.0043755999999995E-5</v>
      </c>
      <c r="J20" s="3">
        <v>-4.3235437000000001E-4</v>
      </c>
      <c r="L20" s="3">
        <f t="shared" si="0"/>
        <v>2.3988117341255109</v>
      </c>
      <c r="M20" s="3"/>
      <c r="N20" s="2">
        <f>IF('Modell einstellen'!$B$1="Voll",H20/0.35,H20/0.35*2)</f>
        <v>1.4689742285714288E-3</v>
      </c>
      <c r="O20" s="2">
        <f>IF('Modell einstellen'!$B$1="Voll",J20/0.35,J20/0.35*2)</f>
        <v>-2.4705964000000004E-3</v>
      </c>
      <c r="P20" s="3">
        <f t="shared" si="1"/>
        <v>0.59458284184799615</v>
      </c>
    </row>
    <row r="21" spans="1:16" x14ac:dyDescent="0.25">
      <c r="A21" s="3">
        <v>1000</v>
      </c>
      <c r="B21" s="3">
        <v>-1.5269999999999999E-3</v>
      </c>
      <c r="C21" s="3">
        <v>6.8670000000000005E-4</v>
      </c>
      <c r="D21" s="3">
        <v>5.2159999999999999E-4</v>
      </c>
      <c r="E21" s="3">
        <v>0</v>
      </c>
      <c r="F21" s="3">
        <v>0</v>
      </c>
      <c r="G21" s="3">
        <v>0</v>
      </c>
      <c r="H21" s="3">
        <v>3.8844321000000001E-4</v>
      </c>
      <c r="I21" s="3">
        <v>1.3825803000000001E-4</v>
      </c>
      <c r="J21" s="3">
        <v>-6.9419884000000004E-4</v>
      </c>
      <c r="L21" s="3">
        <f t="shared" si="0"/>
        <v>2.9275306748466257</v>
      </c>
      <c r="M21" s="3"/>
      <c r="N21" s="2">
        <f>IF('Modell einstellen'!$B$1="Voll",H21/0.35,H21/0.35*2)</f>
        <v>2.219675485714286E-3</v>
      </c>
      <c r="O21" s="2">
        <f>IF('Modell einstellen'!$B$1="Voll",J21/0.35,J21/0.35*2)</f>
        <v>-3.9668505142857148E-3</v>
      </c>
      <c r="P21" s="3">
        <f t="shared" si="1"/>
        <v>0.55955612083707895</v>
      </c>
    </row>
    <row r="22" spans="1:16" x14ac:dyDescent="0.25">
      <c r="A22" s="3">
        <v>10000</v>
      </c>
      <c r="B22" s="3">
        <v>-1.7099999999999999E-3</v>
      </c>
      <c r="C22" s="3">
        <v>1.2509999999999999E-3</v>
      </c>
      <c r="D22" s="3">
        <v>1.75E-4</v>
      </c>
      <c r="E22" s="3">
        <v>0</v>
      </c>
      <c r="F22" s="3">
        <v>0</v>
      </c>
      <c r="G22" s="3">
        <v>0</v>
      </c>
      <c r="H22" s="3">
        <v>5.856921E-4</v>
      </c>
      <c r="I22" s="3">
        <v>2.6486323E-4</v>
      </c>
      <c r="J22" s="3">
        <v>-1.1332676000000001E-3</v>
      </c>
      <c r="L22" s="3">
        <f t="shared" si="0"/>
        <v>9.7714285714285705</v>
      </c>
      <c r="M22" s="3"/>
      <c r="N22" s="2">
        <f>IF('Modell einstellen'!$B$1="Voll",H22/0.35,H22/0.35*2)</f>
        <v>3.3468120000000002E-3</v>
      </c>
      <c r="O22" s="2">
        <f>IF('Modell einstellen'!$B$1="Voll",J22/0.35,J22/0.35*2)</f>
        <v>-6.4758148571428583E-3</v>
      </c>
      <c r="P22" s="3">
        <f t="shared" si="1"/>
        <v>0.51681712245192568</v>
      </c>
    </row>
    <row r="23" spans="1:16" x14ac:dyDescent="0.25">
      <c r="A23" s="3">
        <v>100000</v>
      </c>
      <c r="B23" s="3">
        <v>-1.547E-3</v>
      </c>
      <c r="C23" s="3">
        <v>2.1459999999999999E-3</v>
      </c>
      <c r="D23" s="3">
        <v>-8.497E-4</v>
      </c>
      <c r="E23" s="3">
        <v>0</v>
      </c>
      <c r="F23" s="3">
        <v>0</v>
      </c>
      <c r="G23" s="3">
        <v>0</v>
      </c>
      <c r="H23" s="3">
        <v>8.2062254000000003E-4</v>
      </c>
      <c r="I23" s="3">
        <v>4.5134781000000002E-4</v>
      </c>
      <c r="J23" s="3">
        <v>-1.7225838E-3</v>
      </c>
      <c r="L23" s="3">
        <f t="shared" si="0"/>
        <v>-1.8206425797340238</v>
      </c>
      <c r="M23" s="3"/>
      <c r="N23" s="2">
        <f>IF('Modell einstellen'!$B$1="Voll",H23/0.35,H23/0.35*2)</f>
        <v>4.6892716571428576E-3</v>
      </c>
      <c r="O23" s="2">
        <f>IF('Modell einstellen'!$B$1="Voll",J23/0.35,J23/0.35*2)</f>
        <v>-9.8433360000000011E-3</v>
      </c>
      <c r="P23" s="3">
        <f t="shared" si="1"/>
        <v>0.47639048968183723</v>
      </c>
    </row>
    <row r="24" spans="1:16" x14ac:dyDescent="0.25">
      <c r="A24" s="3">
        <v>1000000</v>
      </c>
      <c r="B24" s="3">
        <v>-8.8000000000000003E-4</v>
      </c>
      <c r="C24" s="3">
        <v>3.199E-3</v>
      </c>
      <c r="D24" s="3">
        <v>-2.5409999999999999E-3</v>
      </c>
      <c r="E24" s="3">
        <v>0</v>
      </c>
      <c r="F24" s="3">
        <v>0</v>
      </c>
      <c r="G24" s="3">
        <v>0</v>
      </c>
      <c r="H24" s="3">
        <v>1.0243811E-3</v>
      </c>
      <c r="I24" s="3">
        <v>6.5236745999999995E-4</v>
      </c>
      <c r="J24" s="3">
        <v>-2.3060034000000002E-3</v>
      </c>
      <c r="L24" s="3">
        <f t="shared" si="0"/>
        <v>-0.34632034632034636</v>
      </c>
      <c r="M24" s="3"/>
      <c r="N24" s="2">
        <f>IF('Modell einstellen'!$B$1="Voll",H24/0.35,H24/0.35*2)</f>
        <v>5.8536062857142863E-3</v>
      </c>
      <c r="O24" s="2">
        <f>IF('Modell einstellen'!$B$1="Voll",J24/0.35,J24/0.35*2)</f>
        <v>-1.3177162285714288E-2</v>
      </c>
      <c r="P24" s="3">
        <f t="shared" si="1"/>
        <v>0.44422358614041935</v>
      </c>
    </row>
    <row r="25" spans="1:16" x14ac:dyDescent="0.25">
      <c r="A25" s="3">
        <v>10000000</v>
      </c>
      <c r="B25" s="3">
        <v>2.9200000000000002E-5</v>
      </c>
      <c r="C25" s="3">
        <v>4.1660000000000004E-3</v>
      </c>
      <c r="D25" s="3">
        <v>-4.3949999999999996E-3</v>
      </c>
      <c r="E25" s="3">
        <v>0</v>
      </c>
      <c r="F25" s="3">
        <v>0</v>
      </c>
      <c r="G25" s="3">
        <v>0</v>
      </c>
      <c r="H25" s="3">
        <v>1.1634709999999999E-3</v>
      </c>
      <c r="I25" s="3">
        <v>8.2068449999999997E-4</v>
      </c>
      <c r="J25" s="3">
        <v>-2.7613538000000001E-3</v>
      </c>
      <c r="L25" s="3">
        <f t="shared" si="0"/>
        <v>6.6439135381114916E-3</v>
      </c>
      <c r="M25" s="3"/>
      <c r="N25" s="2">
        <f>IF('Modell einstellen'!$B$1="Voll",H25/0.35,H25/0.35*2)</f>
        <v>6.6484057142857144E-3</v>
      </c>
      <c r="O25" s="2">
        <f>IF('Modell einstellen'!$B$1="Voll",J25/0.35,J25/0.35*2)</f>
        <v>-1.5779164571428573E-2</v>
      </c>
      <c r="P25" s="3">
        <f t="shared" si="1"/>
        <v>0.42134079305592781</v>
      </c>
    </row>
    <row r="26" spans="1:16" x14ac:dyDescent="0.25">
      <c r="A26" s="3">
        <v>100000000</v>
      </c>
      <c r="B26" s="3">
        <v>8.5249999999999996E-4</v>
      </c>
      <c r="C26" s="3">
        <v>4.9430000000000003E-3</v>
      </c>
      <c r="D26" s="3">
        <v>-5.9789999999999999E-3</v>
      </c>
      <c r="E26" s="3">
        <v>0</v>
      </c>
      <c r="F26" s="3">
        <v>0</v>
      </c>
      <c r="G26" s="3">
        <v>0</v>
      </c>
      <c r="H26" s="3">
        <v>1.2568989999999999E-3</v>
      </c>
      <c r="I26" s="3">
        <v>9.4605508999999997E-4</v>
      </c>
      <c r="J26" s="3">
        <v>-3.0893690999999998E-3</v>
      </c>
      <c r="L26" s="3">
        <f t="shared" si="0"/>
        <v>0.14258237163405252</v>
      </c>
      <c r="M26" s="3"/>
      <c r="N26" s="2">
        <f>IF('Modell einstellen'!$B$1="Voll",H26/0.35,H26/0.35*2)</f>
        <v>7.1822800000000001E-3</v>
      </c>
      <c r="O26" s="2">
        <f>IF('Modell einstellen'!$B$1="Voll",J26/0.35,J26/0.35*2)</f>
        <v>-1.7653537714285714E-2</v>
      </c>
      <c r="P26" s="3">
        <f t="shared" si="1"/>
        <v>0.40684649820573399</v>
      </c>
    </row>
    <row r="27" spans="1:16" x14ac:dyDescent="0.25">
      <c r="A27" s="3">
        <v>1000000000</v>
      </c>
      <c r="B27" s="3">
        <v>1.5169999999999999E-3</v>
      </c>
      <c r="C27" s="3">
        <v>5.5449999999999996E-3</v>
      </c>
      <c r="D27" s="3">
        <v>-7.234E-3</v>
      </c>
      <c r="E27" s="3">
        <v>0</v>
      </c>
      <c r="F27" s="3">
        <v>0</v>
      </c>
      <c r="G27" s="3">
        <v>0</v>
      </c>
      <c r="H27" s="3">
        <v>1.324673E-3</v>
      </c>
      <c r="I27" s="3">
        <v>1.0381870000000001E-3</v>
      </c>
      <c r="J27" s="3">
        <v>-3.3289462999999998E-3</v>
      </c>
      <c r="L27" s="3">
        <f t="shared" si="0"/>
        <v>0.20970417473043959</v>
      </c>
      <c r="M27" s="3"/>
      <c r="N27" s="2">
        <f>IF('Modell einstellen'!$B$1="Voll",H27/0.35,H27/0.35*2)</f>
        <v>7.5695600000000004E-3</v>
      </c>
      <c r="O27" s="2">
        <f>IF('Modell einstellen'!$B$1="Voll",J27/0.35,J27/0.35*2)</f>
        <v>-1.9022550285714285E-2</v>
      </c>
      <c r="P27" s="3">
        <f t="shared" si="1"/>
        <v>0.39792561387968323</v>
      </c>
    </row>
    <row r="28" spans="1:16" x14ac:dyDescent="0.25">
      <c r="A28" s="3">
        <v>10000000000</v>
      </c>
      <c r="B28" s="3">
        <v>2.0330000000000001E-3</v>
      </c>
      <c r="C28" s="3">
        <v>5.9449999999999998E-3</v>
      </c>
      <c r="D28" s="3">
        <v>-8.1429999999999992E-3</v>
      </c>
      <c r="E28" s="3">
        <v>0</v>
      </c>
      <c r="F28" s="3">
        <v>0</v>
      </c>
      <c r="G28" s="3">
        <v>0</v>
      </c>
      <c r="H28" s="3">
        <v>1.3604512E-3</v>
      </c>
      <c r="I28" s="3">
        <v>1.0946673E-3</v>
      </c>
      <c r="J28" s="3">
        <v>-3.4699018999999999E-3</v>
      </c>
      <c r="L28" s="3">
        <f t="shared" si="0"/>
        <v>0.24966228662655043</v>
      </c>
      <c r="M28" s="3"/>
      <c r="N28" s="2">
        <f>IF('Modell einstellen'!$B$1="Voll",H28/0.35,H28/0.35*2)</f>
        <v>7.7740068571428575E-3</v>
      </c>
      <c r="O28" s="2">
        <f>IF('Modell einstellen'!$B$1="Voll",J28/0.35,J28/0.35*2)</f>
        <v>-1.9828010857142857E-2</v>
      </c>
      <c r="P28" s="3">
        <f t="shared" si="1"/>
        <v>0.39207194877757212</v>
      </c>
    </row>
    <row r="29" spans="1:16" x14ac:dyDescent="0.25">
      <c r="A29" s="3">
        <v>100000000000</v>
      </c>
      <c r="B29" s="3">
        <v>2.3969999999999998E-3</v>
      </c>
      <c r="C29" s="3">
        <v>6.3790000000000001E-3</v>
      </c>
      <c r="D29" s="3">
        <v>-8.9370000000000005E-3</v>
      </c>
      <c r="E29" s="3">
        <v>0</v>
      </c>
      <c r="F29" s="3">
        <v>0</v>
      </c>
      <c r="G29" s="3">
        <v>0</v>
      </c>
      <c r="H29" s="3">
        <v>1.4291937000000001E-3</v>
      </c>
      <c r="I29" s="3">
        <v>1.1634442000000001E-3</v>
      </c>
      <c r="J29" s="3">
        <v>-3.6659287E-3</v>
      </c>
      <c r="L29" s="3">
        <f t="shared" si="0"/>
        <v>0.26821080899630745</v>
      </c>
      <c r="M29" s="3"/>
      <c r="N29" s="2">
        <f>IF('Modell einstellen'!$B$1="Voll",H29/0.35,H29/0.35*2)</f>
        <v>8.166821142857144E-3</v>
      </c>
      <c r="O29" s="2">
        <f>IF('Modell einstellen'!$B$1="Voll",J29/0.35,J29/0.35*2)</f>
        <v>-2.0948164000000002E-2</v>
      </c>
      <c r="P29" s="3">
        <f t="shared" si="1"/>
        <v>0.38985856435232907</v>
      </c>
    </row>
    <row r="30" spans="1:16" x14ac:dyDescent="0.25">
      <c r="A30" s="3">
        <v>1000000000000</v>
      </c>
      <c r="B30" s="3">
        <v>2.728E-3</v>
      </c>
      <c r="C30" s="3">
        <v>6.7270000000000003E-3</v>
      </c>
      <c r="D30" s="3">
        <v>-9.613E-3</v>
      </c>
      <c r="E30" s="3">
        <v>0</v>
      </c>
      <c r="F30" s="3">
        <v>0</v>
      </c>
      <c r="G30" s="3">
        <v>0</v>
      </c>
      <c r="H30" s="3">
        <v>1.4834322999999999E-3</v>
      </c>
      <c r="I30" s="3">
        <v>1.2193433E-3</v>
      </c>
      <c r="J30" s="3">
        <v>-3.8234045E-3</v>
      </c>
      <c r="L30" s="3">
        <f t="shared" si="0"/>
        <v>0.28378237802975137</v>
      </c>
      <c r="M30" s="3"/>
      <c r="N30" s="2">
        <f>IF('Modell einstellen'!$B$1="Voll",H30/0.35,H30/0.35*2)</f>
        <v>8.4767560000000002E-3</v>
      </c>
      <c r="O30" s="2">
        <f>IF('Modell einstellen'!$B$1="Voll",J30/0.35,J30/0.35*2)</f>
        <v>-2.1848025714285717E-2</v>
      </c>
      <c r="P30" s="3">
        <f t="shared" si="1"/>
        <v>0.38798727678434231</v>
      </c>
    </row>
    <row r="31" spans="1:16" x14ac:dyDescent="0.25">
      <c r="A31" s="3">
        <v>10000000000000</v>
      </c>
      <c r="B31" s="3">
        <v>2.6770000000000001E-3</v>
      </c>
      <c r="C31" s="3">
        <v>6.7299999999999999E-3</v>
      </c>
      <c r="D31" s="3">
        <v>-9.5659999999999999E-3</v>
      </c>
      <c r="E31" s="3">
        <v>0</v>
      </c>
      <c r="F31" s="3">
        <v>0</v>
      </c>
      <c r="G31" s="3">
        <v>0</v>
      </c>
      <c r="H31" s="3">
        <v>1.4887771E-3</v>
      </c>
      <c r="I31" s="3">
        <v>1.2202576E-3</v>
      </c>
      <c r="J31" s="3">
        <v>-3.8303245000000001E-3</v>
      </c>
      <c r="L31" s="3">
        <f t="shared" si="0"/>
        <v>0.27984528538574116</v>
      </c>
      <c r="M31" s="3"/>
      <c r="N31" s="2">
        <f>IF('Modell einstellen'!$B$1="Voll",H31/0.35,H31/0.35*2)</f>
        <v>8.5072977142857144E-3</v>
      </c>
      <c r="O31" s="2">
        <f>IF('Modell einstellen'!$B$1="Voll",J31/0.35,J31/0.35*2)</f>
        <v>-2.1887568571428574E-2</v>
      </c>
      <c r="P31" s="3">
        <f t="shared" si="1"/>
        <v>0.38868171613136165</v>
      </c>
    </row>
    <row r="32" spans="1:16" x14ac:dyDescent="0.25">
      <c r="A32" s="3">
        <v>100000000000000</v>
      </c>
      <c r="B32" s="3">
        <v>2.9740000000000001E-3</v>
      </c>
      <c r="C32" s="3">
        <v>6.8719999999999996E-3</v>
      </c>
      <c r="D32" s="3">
        <v>-0.01</v>
      </c>
      <c r="E32" s="3">
        <v>0</v>
      </c>
      <c r="F32" s="3">
        <v>0</v>
      </c>
      <c r="G32" s="3">
        <v>0</v>
      </c>
      <c r="H32" s="3">
        <v>1.4946005E-3</v>
      </c>
      <c r="I32" s="3">
        <v>1.2402101999999999E-3</v>
      </c>
      <c r="J32" s="3">
        <v>-3.8732580000000001E-3</v>
      </c>
      <c r="L32" s="3">
        <f t="shared" si="0"/>
        <v>0.2974</v>
      </c>
      <c r="M32" s="3"/>
      <c r="N32" s="2">
        <f>IF('Modell einstellen'!$B$1="Voll",H32/0.35,H32/0.35*2)</f>
        <v>8.540574285714286E-3</v>
      </c>
      <c r="O32" s="2">
        <f>IF('Modell einstellen'!$B$1="Voll",J32/0.35,J32/0.35*2)</f>
        <v>-2.213290285714286E-2</v>
      </c>
      <c r="P32" s="3">
        <f t="shared" si="1"/>
        <v>0.38587682514307076</v>
      </c>
    </row>
    <row r="33" spans="1:16" x14ac:dyDescent="0.25">
      <c r="A33" s="3">
        <v>1000000000000000</v>
      </c>
      <c r="B33" s="3">
        <v>2.9780000000000002E-3</v>
      </c>
      <c r="C33" s="3">
        <v>6.8780000000000004E-3</v>
      </c>
      <c r="D33" s="3">
        <v>-1.001E-2</v>
      </c>
      <c r="E33" s="3">
        <v>0</v>
      </c>
      <c r="F33" s="3">
        <v>0</v>
      </c>
      <c r="G33" s="3">
        <v>0</v>
      </c>
      <c r="H33" s="3">
        <v>1.4953294E-3</v>
      </c>
      <c r="I33" s="3">
        <v>1.2409329E-3</v>
      </c>
      <c r="J33" s="3">
        <v>-3.8753148000000002E-3</v>
      </c>
      <c r="L33" s="3">
        <f t="shared" si="0"/>
        <v>0.29750249750249752</v>
      </c>
      <c r="M33" s="3"/>
      <c r="N33" s="2">
        <f>IF('Modell einstellen'!$B$1="Voll",H33/0.35,H33/0.35*2)</f>
        <v>8.5447394285714292E-3</v>
      </c>
      <c r="O33" s="2">
        <f>IF('Modell einstellen'!$B$1="Voll",J33/0.35,J33/0.35*2)</f>
        <v>-2.2144656000000002E-2</v>
      </c>
      <c r="P33" s="3">
        <f t="shared" si="1"/>
        <v>0.38586011128695918</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-1.6780000000000001E-4</v>
      </c>
      <c r="C3" s="3">
        <v>1.861E-4</v>
      </c>
      <c r="D3" s="3">
        <v>-3.5409999999999999E-4</v>
      </c>
      <c r="E3" s="3">
        <v>0</v>
      </c>
      <c r="F3" s="3">
        <v>0</v>
      </c>
      <c r="G3" s="3">
        <v>0</v>
      </c>
      <c r="H3" s="3">
        <v>6.0274876999999998E-5</v>
      </c>
      <c r="I3" s="3">
        <v>1.7727301000000002E-5</v>
      </c>
      <c r="J3" s="3">
        <v>-1.3261655999999999E-4</v>
      </c>
      <c r="L3" s="3">
        <f>-B3/D3</f>
        <v>-0.47387743575261232</v>
      </c>
      <c r="M3" s="3"/>
      <c r="N3" s="2">
        <f>IF('Modell einstellen'!$B$1="Voll",H3/0.35,H3/0.35*2)</f>
        <v>3.4442786857142861E-4</v>
      </c>
      <c r="O3" s="2">
        <f>IF('Modell einstellen'!$B$1="Voll",J3/0.35,J3/0.35*2)</f>
        <v>-7.5780891428571431E-4</v>
      </c>
      <c r="P3" s="3">
        <f>-N3/O3</f>
        <v>0.45450490496812768</v>
      </c>
    </row>
    <row r="4" spans="1:16" x14ac:dyDescent="0.25">
      <c r="A4" s="3">
        <v>1E-14</v>
      </c>
      <c r="B4" s="3">
        <v>-2.076E-4</v>
      </c>
      <c r="C4" s="3">
        <v>1.8990000000000001E-4</v>
      </c>
      <c r="D4" s="3">
        <v>-3.2279999999999999E-4</v>
      </c>
      <c r="E4" s="3">
        <v>0</v>
      </c>
      <c r="F4" s="3">
        <v>0</v>
      </c>
      <c r="G4" s="3">
        <v>0</v>
      </c>
      <c r="H4" s="3">
        <v>6.4918317999999994E-5</v>
      </c>
      <c r="I4" s="3">
        <v>1.8128159000000002E-5</v>
      </c>
      <c r="J4" s="3">
        <v>-1.3842248999999999E-4</v>
      </c>
      <c r="L4" s="3">
        <f t="shared" ref="L4:L33" si="0">-B4/D4</f>
        <v>-0.64312267657992572</v>
      </c>
      <c r="M4" s="3"/>
      <c r="N4" s="2">
        <f>IF('Modell einstellen'!$B$1="Voll",H4/0.35,H4/0.35*2)</f>
        <v>3.7096181714285712E-4</v>
      </c>
      <c r="O4" s="2">
        <f>IF('Modell einstellen'!$B$1="Voll",J4/0.35,J4/0.35*2)</f>
        <v>-7.9098565714285718E-4</v>
      </c>
      <c r="P4" s="3">
        <f t="shared" ref="P4:P33" si="1">-N4/O4</f>
        <v>0.46898678097757085</v>
      </c>
    </row>
    <row r="5" spans="1:16" x14ac:dyDescent="0.25">
      <c r="A5" s="3">
        <v>1E-13</v>
      </c>
      <c r="B5" s="3">
        <v>-2.4360000000000001E-4</v>
      </c>
      <c r="C5" s="3">
        <v>1.9210000000000001E-4</v>
      </c>
      <c r="D5" s="3">
        <v>-2.9270000000000001E-4</v>
      </c>
      <c r="E5" s="3">
        <v>0</v>
      </c>
      <c r="F5" s="3">
        <v>0</v>
      </c>
      <c r="G5" s="3">
        <v>0</v>
      </c>
      <c r="H5" s="3">
        <v>6.8838053999999995E-5</v>
      </c>
      <c r="I5" s="3">
        <v>1.8394623000000001E-5</v>
      </c>
      <c r="J5" s="3">
        <v>-1.4314921E-4</v>
      </c>
      <c r="L5" s="3">
        <f t="shared" si="0"/>
        <v>-0.83225145199863337</v>
      </c>
      <c r="M5" s="3"/>
      <c r="N5" s="2">
        <f>IF('Modell einstellen'!$B$1="Voll",H5/0.35,H5/0.35*2)</f>
        <v>3.9336030857142854E-4</v>
      </c>
      <c r="O5" s="2">
        <f>IF('Modell einstellen'!$B$1="Voll",J5/0.35,J5/0.35*2)</f>
        <v>-8.179954857142857E-4</v>
      </c>
      <c r="P5" s="3">
        <f t="shared" si="1"/>
        <v>0.48088322666957084</v>
      </c>
    </row>
    <row r="6" spans="1:16" x14ac:dyDescent="0.25">
      <c r="A6" s="3">
        <v>9.9999999999999998E-13</v>
      </c>
      <c r="B6" s="3">
        <v>-2.8430000000000003E-4</v>
      </c>
      <c r="C6" s="3">
        <v>1.9570000000000001E-4</v>
      </c>
      <c r="D6" s="3">
        <v>-2.5920000000000001E-4</v>
      </c>
      <c r="E6" s="3">
        <v>0</v>
      </c>
      <c r="F6" s="3">
        <v>0</v>
      </c>
      <c r="G6" s="3">
        <v>0</v>
      </c>
      <c r="H6" s="3">
        <v>7.3248542999999999E-5</v>
      </c>
      <c r="I6" s="3">
        <v>1.8737453999999999E-5</v>
      </c>
      <c r="J6" s="3">
        <v>-1.4851723E-4</v>
      </c>
      <c r="L6" s="3">
        <f t="shared" si="0"/>
        <v>-1.0968364197530864</v>
      </c>
      <c r="M6" s="3"/>
      <c r="N6" s="2">
        <f>IF('Modell einstellen'!$B$1="Voll",H6/0.35,H6/0.35*2)</f>
        <v>4.1856310285714288E-4</v>
      </c>
      <c r="O6" s="2">
        <f>IF('Modell einstellen'!$B$1="Voll",J6/0.35,J6/0.35*2)</f>
        <v>-8.486698857142858E-4</v>
      </c>
      <c r="P6" s="3">
        <f t="shared" si="1"/>
        <v>0.4931989574542967</v>
      </c>
    </row>
    <row r="7" spans="1:16" x14ac:dyDescent="0.25">
      <c r="A7" s="3">
        <v>9.9999999999999994E-12</v>
      </c>
      <c r="B7" s="3">
        <v>-3.3189999999999999E-4</v>
      </c>
      <c r="C7" s="3">
        <v>1.9790000000000001E-4</v>
      </c>
      <c r="D7" s="3">
        <v>-2.174E-4</v>
      </c>
      <c r="E7" s="3">
        <v>0</v>
      </c>
      <c r="F7" s="3">
        <v>0</v>
      </c>
      <c r="G7" s="3">
        <v>0</v>
      </c>
      <c r="H7" s="3">
        <v>7.8109506000000005E-5</v>
      </c>
      <c r="I7" s="3">
        <v>1.9007636999999999E-5</v>
      </c>
      <c r="J7" s="3">
        <v>-1.5419401000000001E-4</v>
      </c>
      <c r="L7" s="3">
        <f t="shared" si="0"/>
        <v>-1.5266789328426862</v>
      </c>
      <c r="M7" s="3"/>
      <c r="N7" s="2">
        <f>IF('Modell einstellen'!$B$1="Voll",H7/0.35,H7/0.35*2)</f>
        <v>4.4634003428571434E-4</v>
      </c>
      <c r="O7" s="2">
        <f>IF('Modell einstellen'!$B$1="Voll",J7/0.35,J7/0.35*2)</f>
        <v>-8.8110862857142865E-4</v>
      </c>
      <c r="P7" s="3">
        <f t="shared" si="1"/>
        <v>0.50656640942148146</v>
      </c>
    </row>
    <row r="8" spans="1:16" x14ac:dyDescent="0.25">
      <c r="A8" s="3">
        <v>1E-10</v>
      </c>
      <c r="B8" s="3">
        <v>-3.9609999999999998E-4</v>
      </c>
      <c r="C8" s="3">
        <v>2.02E-4</v>
      </c>
      <c r="D8" s="3">
        <v>-1.618E-4</v>
      </c>
      <c r="E8" s="3">
        <v>0</v>
      </c>
      <c r="F8" s="3">
        <v>0</v>
      </c>
      <c r="G8" s="3">
        <v>0</v>
      </c>
      <c r="H8" s="3">
        <v>8.4568752999999994E-5</v>
      </c>
      <c r="I8" s="3">
        <v>1.9409931999999999E-5</v>
      </c>
      <c r="J8" s="3">
        <v>-1.6177535999999999E-4</v>
      </c>
      <c r="L8" s="3">
        <f t="shared" si="0"/>
        <v>-2.4480840543881333</v>
      </c>
      <c r="M8" s="3"/>
      <c r="N8" s="2">
        <f>IF('Modell einstellen'!$B$1="Voll",H8/0.35,H8/0.35*2)</f>
        <v>4.8325001714285713E-4</v>
      </c>
      <c r="O8" s="2">
        <f>IF('Modell einstellen'!$B$1="Voll",J8/0.35,J8/0.35*2)</f>
        <v>-9.2443062857142859E-4</v>
      </c>
      <c r="P8" s="3">
        <f t="shared" si="1"/>
        <v>0.5227542253653461</v>
      </c>
    </row>
    <row r="9" spans="1:16" x14ac:dyDescent="0.25">
      <c r="A9" s="3">
        <v>1.0000000000000001E-9</v>
      </c>
      <c r="B9" s="3">
        <v>-4.8040000000000002E-4</v>
      </c>
      <c r="C9" s="3">
        <v>2.0570000000000001E-4</v>
      </c>
      <c r="D9" s="3">
        <v>-8.5829999999999996E-5</v>
      </c>
      <c r="E9" s="3">
        <v>0</v>
      </c>
      <c r="F9" s="3">
        <v>0</v>
      </c>
      <c r="G9" s="3">
        <v>0</v>
      </c>
      <c r="H9" s="3">
        <v>9.2668203999999999E-5</v>
      </c>
      <c r="I9" s="3">
        <v>1.9805566999999999E-5</v>
      </c>
      <c r="J9" s="3">
        <v>-1.7100911000000001E-4</v>
      </c>
      <c r="L9" s="3">
        <f t="shared" si="0"/>
        <v>-5.5971105674006765</v>
      </c>
      <c r="M9" s="3"/>
      <c r="N9" s="2">
        <f>IF('Modell einstellen'!$B$1="Voll",H9/0.35,H9/0.35*2)</f>
        <v>5.2953259428571427E-4</v>
      </c>
      <c r="O9" s="2">
        <f>IF('Modell einstellen'!$B$1="Voll",J9/0.35,J9/0.35*2)</f>
        <v>-9.7719491428571443E-4</v>
      </c>
      <c r="P9" s="3">
        <f t="shared" si="1"/>
        <v>0.54189045250279344</v>
      </c>
    </row>
    <row r="10" spans="1:16" x14ac:dyDescent="0.25">
      <c r="A10" s="3">
        <v>1E-8</v>
      </c>
      <c r="B10" s="3">
        <v>-5.9849999999999997E-4</v>
      </c>
      <c r="C10" s="3">
        <v>2.0990000000000001E-4</v>
      </c>
      <c r="D10" s="3">
        <v>2.285E-5</v>
      </c>
      <c r="E10" s="3">
        <v>0</v>
      </c>
      <c r="F10" s="3">
        <v>0</v>
      </c>
      <c r="G10" s="3">
        <v>0</v>
      </c>
      <c r="H10" s="3">
        <v>1.0360039E-4</v>
      </c>
      <c r="I10" s="3">
        <v>2.0253624000000001E-5</v>
      </c>
      <c r="J10" s="3">
        <v>-1.8322133E-4</v>
      </c>
      <c r="L10" s="3">
        <f t="shared" si="0"/>
        <v>26.192560175054702</v>
      </c>
      <c r="M10" s="3"/>
      <c r="N10" s="2">
        <f>IF('Modell einstellen'!$B$1="Voll",H10/0.35,H10/0.35*2)</f>
        <v>5.920022285714286E-4</v>
      </c>
      <c r="O10" s="2">
        <f>IF('Modell einstellen'!$B$1="Voll",J10/0.35,J10/0.35*2)</f>
        <v>-1.0469790285714286E-3</v>
      </c>
      <c r="P10" s="3">
        <f t="shared" si="1"/>
        <v>0.56543847815098824</v>
      </c>
    </row>
    <row r="11" spans="1:16" x14ac:dyDescent="0.25">
      <c r="A11" s="3">
        <v>9.9999999999999995E-8</v>
      </c>
      <c r="B11" s="3">
        <v>-7.6999999999999996E-4</v>
      </c>
      <c r="C11" s="3">
        <v>2.1440000000000001E-4</v>
      </c>
      <c r="D11" s="3">
        <v>1.838E-4</v>
      </c>
      <c r="E11" s="3">
        <v>0</v>
      </c>
      <c r="F11" s="3">
        <v>0</v>
      </c>
      <c r="G11" s="3">
        <v>0</v>
      </c>
      <c r="H11" s="3">
        <v>1.1885212E-4</v>
      </c>
      <c r="I11" s="3">
        <v>2.0754103E-5</v>
      </c>
      <c r="J11" s="3">
        <v>-1.9989363000000001E-4</v>
      </c>
      <c r="L11" s="3">
        <f t="shared" si="0"/>
        <v>4.1893362350380849</v>
      </c>
      <c r="M11" s="3"/>
      <c r="N11" s="2">
        <f>IF('Modell einstellen'!$B$1="Voll",H11/0.35,H11/0.35*2)</f>
        <v>6.7915497142857144E-4</v>
      </c>
      <c r="O11" s="2">
        <f>IF('Modell einstellen'!$B$1="Voll",J11/0.35,J11/0.35*2)</f>
        <v>-1.1422493142857143E-3</v>
      </c>
      <c r="P11" s="3">
        <f t="shared" si="1"/>
        <v>0.59457682568474046</v>
      </c>
    </row>
    <row r="12" spans="1:16" x14ac:dyDescent="0.25">
      <c r="A12" s="3">
        <v>9.9999999999999995E-7</v>
      </c>
      <c r="B12" s="3">
        <v>-1.0460000000000001E-3</v>
      </c>
      <c r="C12" s="3">
        <v>2.196E-4</v>
      </c>
      <c r="D12" s="3">
        <v>4.482E-4</v>
      </c>
      <c r="E12" s="3">
        <v>0</v>
      </c>
      <c r="F12" s="3">
        <v>0</v>
      </c>
      <c r="G12" s="3">
        <v>0</v>
      </c>
      <c r="H12" s="3">
        <v>1.4248821E-4</v>
      </c>
      <c r="I12" s="3">
        <v>2.1336318E-5</v>
      </c>
      <c r="J12" s="3">
        <v>-2.2516360999999999E-4</v>
      </c>
      <c r="L12" s="3">
        <f t="shared" si="0"/>
        <v>2.3337795626952254</v>
      </c>
      <c r="M12" s="3"/>
      <c r="N12" s="2">
        <f>IF('Modell einstellen'!$B$1="Voll",H12/0.35,H12/0.35*2)</f>
        <v>8.1421834285714287E-4</v>
      </c>
      <c r="O12" s="2">
        <f>IF('Modell einstellen'!$B$1="Voll",J12/0.35,J12/0.35*2)</f>
        <v>-1.2866492E-3</v>
      </c>
      <c r="P12" s="3">
        <f t="shared" si="1"/>
        <v>0.6328207741917089</v>
      </c>
    </row>
    <row r="13" spans="1:16" x14ac:dyDescent="0.25">
      <c r="A13" s="3">
        <v>1.0000000000000001E-5</v>
      </c>
      <c r="B13" s="3">
        <v>-1.531E-3</v>
      </c>
      <c r="C13" s="3">
        <v>2.252E-4</v>
      </c>
      <c r="D13" s="3">
        <v>9.1929999999999996E-4</v>
      </c>
      <c r="E13" s="3">
        <v>0</v>
      </c>
      <c r="F13" s="3">
        <v>0</v>
      </c>
      <c r="G13" s="3">
        <v>0</v>
      </c>
      <c r="H13" s="3">
        <v>1.8227251E-4</v>
      </c>
      <c r="I13" s="3">
        <v>2.1992198E-5</v>
      </c>
      <c r="J13" s="3">
        <v>-2.6674148000000001E-4</v>
      </c>
      <c r="L13" s="3">
        <f t="shared" si="0"/>
        <v>1.6653975851191125</v>
      </c>
      <c r="M13" s="3"/>
      <c r="N13" s="2">
        <f>IF('Modell einstellen'!$B$1="Voll",H13/0.35,H13/0.35*2)</f>
        <v>1.0415572000000001E-3</v>
      </c>
      <c r="O13" s="2">
        <f>IF('Modell einstellen'!$B$1="Voll",J13/0.35,J13/0.35*2)</f>
        <v>-1.5242370285714288E-3</v>
      </c>
      <c r="P13" s="3">
        <f t="shared" si="1"/>
        <v>0.68333020421120849</v>
      </c>
    </row>
    <row r="14" spans="1:16" x14ac:dyDescent="0.25">
      <c r="A14" s="3">
        <v>1E-4</v>
      </c>
      <c r="B14" s="3">
        <v>-2.4109999999999999E-3</v>
      </c>
      <c r="C14" s="3">
        <v>2.3059999999999999E-4</v>
      </c>
      <c r="D14" s="3">
        <v>1.787E-3</v>
      </c>
      <c r="E14" s="3">
        <v>0</v>
      </c>
      <c r="F14" s="3">
        <v>0</v>
      </c>
      <c r="G14" s="3">
        <v>0</v>
      </c>
      <c r="H14" s="3">
        <v>2.5196988000000001E-4</v>
      </c>
      <c r="I14" s="3">
        <v>2.2649053000000001E-5</v>
      </c>
      <c r="J14" s="3">
        <v>-3.3810558999999998E-4</v>
      </c>
      <c r="L14" s="3">
        <f t="shared" si="0"/>
        <v>1.3491885842193621</v>
      </c>
      <c r="M14" s="3"/>
      <c r="N14" s="2">
        <f>IF('Modell einstellen'!$B$1="Voll",H14/0.35,H14/0.35*2)</f>
        <v>1.4398278857142858E-3</v>
      </c>
      <c r="O14" s="2">
        <f>IF('Modell einstellen'!$B$1="Voll",J14/0.35,J14/0.35*2)</f>
        <v>-1.9320319428571429E-3</v>
      </c>
      <c r="P14" s="3">
        <f t="shared" si="1"/>
        <v>0.74524020735652441</v>
      </c>
    </row>
    <row r="15" spans="1:16" x14ac:dyDescent="0.25">
      <c r="A15" s="3">
        <v>1E-3</v>
      </c>
      <c r="B15" s="3">
        <v>-3.9090000000000001E-3</v>
      </c>
      <c r="C15" s="3">
        <v>2.3450000000000001E-4</v>
      </c>
      <c r="D15" s="3">
        <v>3.2750000000000001E-3</v>
      </c>
      <c r="E15" s="3">
        <v>0</v>
      </c>
      <c r="F15" s="3">
        <v>0</v>
      </c>
      <c r="G15" s="3">
        <v>0</v>
      </c>
      <c r="H15" s="3">
        <v>3.6729499E-4</v>
      </c>
      <c r="I15" s="3">
        <v>2.3196563999999999E-5</v>
      </c>
      <c r="J15" s="3">
        <v>-4.5447880999999998E-4</v>
      </c>
      <c r="L15" s="3">
        <f t="shared" si="0"/>
        <v>1.1935877862595419</v>
      </c>
      <c r="M15" s="3"/>
      <c r="N15" s="2">
        <f>IF('Modell einstellen'!$B$1="Voll",H15/0.35,H15/0.35*2)</f>
        <v>2.0988285142857143E-3</v>
      </c>
      <c r="O15" s="2">
        <f>IF('Modell einstellen'!$B$1="Voll",J15/0.35,J15/0.35*2)</f>
        <v>-2.5970217714285713E-3</v>
      </c>
      <c r="P15" s="3">
        <f t="shared" si="1"/>
        <v>0.80816746989810162</v>
      </c>
    </row>
    <row r="16" spans="1:16" x14ac:dyDescent="0.25">
      <c r="A16" s="3">
        <v>0.01</v>
      </c>
      <c r="B16" s="3">
        <v>-6.117E-3</v>
      </c>
      <c r="C16" s="3">
        <v>2.374E-4</v>
      </c>
      <c r="D16" s="3">
        <v>5.4770000000000001E-3</v>
      </c>
      <c r="E16" s="3">
        <v>0</v>
      </c>
      <c r="F16" s="3">
        <v>0</v>
      </c>
      <c r="G16" s="3">
        <v>0</v>
      </c>
      <c r="H16" s="3">
        <v>5.3482764000000003E-4</v>
      </c>
      <c r="I16" s="3">
        <v>2.3813631E-5</v>
      </c>
      <c r="J16" s="3">
        <v>-6.2250825999999996E-4</v>
      </c>
      <c r="L16" s="3">
        <f t="shared" si="0"/>
        <v>1.1168522914004018</v>
      </c>
      <c r="M16" s="3"/>
      <c r="N16" s="2">
        <f>IF('Modell einstellen'!$B$1="Voll",H16/0.35,H16/0.35*2)</f>
        <v>3.0561579428571434E-3</v>
      </c>
      <c r="O16" s="2">
        <f>IF('Modell einstellen'!$B$1="Voll",J16/0.35,J16/0.35*2)</f>
        <v>-3.5571900571428573E-3</v>
      </c>
      <c r="P16" s="3">
        <f t="shared" si="1"/>
        <v>0.85914946735003972</v>
      </c>
    </row>
    <row r="17" spans="1:16" x14ac:dyDescent="0.25">
      <c r="A17" s="3">
        <v>0.1</v>
      </c>
      <c r="B17" s="3">
        <v>-8.4670000000000006E-3</v>
      </c>
      <c r="C17" s="3">
        <v>2.4379999999999999E-4</v>
      </c>
      <c r="D17" s="3">
        <v>7.8209999999999998E-3</v>
      </c>
      <c r="E17" s="3">
        <v>0</v>
      </c>
      <c r="F17" s="3">
        <v>0</v>
      </c>
      <c r="G17" s="3">
        <v>0</v>
      </c>
      <c r="H17" s="3">
        <v>7.1617109999999996E-4</v>
      </c>
      <c r="I17" s="3">
        <v>2.6397638E-5</v>
      </c>
      <c r="J17" s="3">
        <v>-8.0748215000000004E-4</v>
      </c>
      <c r="L17" s="3">
        <f t="shared" si="0"/>
        <v>1.0825981332310448</v>
      </c>
      <c r="M17" s="3"/>
      <c r="N17" s="2">
        <f>IF('Modell einstellen'!$B$1="Voll",H17/0.35,H17/0.35*2)</f>
        <v>4.0924062857142854E-3</v>
      </c>
      <c r="O17" s="2">
        <f>IF('Modell einstellen'!$B$1="Voll",J17/0.35,J17/0.35*2)</f>
        <v>-4.6141837142857148E-3</v>
      </c>
      <c r="P17" s="3">
        <f t="shared" si="1"/>
        <v>0.88691880061992689</v>
      </c>
    </row>
    <row r="18" spans="1:16" x14ac:dyDescent="0.25">
      <c r="A18" s="3">
        <v>1</v>
      </c>
      <c r="B18" s="3">
        <v>-1.0120000000000001E-2</v>
      </c>
      <c r="C18" s="3">
        <v>2.6600000000000001E-4</v>
      </c>
      <c r="D18" s="3">
        <v>9.4590000000000004E-3</v>
      </c>
      <c r="E18" s="3">
        <v>0</v>
      </c>
      <c r="F18" s="3">
        <v>0</v>
      </c>
      <c r="G18" s="3">
        <v>0</v>
      </c>
      <c r="H18" s="3">
        <v>8.6830193999999996E-4</v>
      </c>
      <c r="I18" s="3">
        <v>3.999986E-5</v>
      </c>
      <c r="J18" s="3">
        <v>-9.840974499999999E-4</v>
      </c>
      <c r="L18" s="3">
        <f t="shared" si="0"/>
        <v>1.0698805370546569</v>
      </c>
      <c r="M18" s="3"/>
      <c r="N18" s="2">
        <f>IF('Modell einstellen'!$B$1="Voll",H18/0.35,H18/0.35*2)</f>
        <v>4.9617253714285712E-3</v>
      </c>
      <c r="O18" s="2">
        <f>IF('Modell einstellen'!$B$1="Voll",J18/0.35,J18/0.35*2)</f>
        <v>-5.6234140000000002E-3</v>
      </c>
      <c r="P18" s="3">
        <f t="shared" si="1"/>
        <v>0.88233328924894572</v>
      </c>
    </row>
    <row r="19" spans="1:16" x14ac:dyDescent="0.25">
      <c r="A19" s="3">
        <v>10</v>
      </c>
      <c r="B19" s="3">
        <v>-1.0449999999999999E-2</v>
      </c>
      <c r="C19" s="3">
        <v>3.634E-4</v>
      </c>
      <c r="D19" s="3">
        <v>9.6959999999999998E-3</v>
      </c>
      <c r="E19" s="3">
        <v>0</v>
      </c>
      <c r="F19" s="3">
        <v>0</v>
      </c>
      <c r="G19" s="3">
        <v>0</v>
      </c>
      <c r="H19" s="3">
        <v>9.7939724000000003E-4</v>
      </c>
      <c r="I19" s="3">
        <v>8.6248950000000004E-5</v>
      </c>
      <c r="J19" s="3">
        <v>-1.1823451E-3</v>
      </c>
      <c r="L19" s="3">
        <f t="shared" si="0"/>
        <v>1.0777640264026402</v>
      </c>
      <c r="M19" s="3"/>
      <c r="N19" s="2">
        <f>IF('Modell einstellen'!$B$1="Voll",H19/0.35,H19/0.35*2)</f>
        <v>5.5965556571428579E-3</v>
      </c>
      <c r="O19" s="2">
        <f>IF('Modell einstellen'!$B$1="Voll",J19/0.35,J19/0.35*2)</f>
        <v>-6.7562577142857147E-3</v>
      </c>
      <c r="P19" s="3">
        <f t="shared" si="1"/>
        <v>0.82835141787283606</v>
      </c>
    </row>
    <row r="20" spans="1:16" x14ac:dyDescent="0.25">
      <c r="A20" s="3">
        <v>100</v>
      </c>
      <c r="B20" s="3">
        <v>-9.2110000000000004E-3</v>
      </c>
      <c r="C20" s="3">
        <v>7.1869999999999996E-4</v>
      </c>
      <c r="D20" s="3">
        <v>8.1370000000000001E-3</v>
      </c>
      <c r="E20" s="3">
        <v>0</v>
      </c>
      <c r="F20" s="3">
        <v>0</v>
      </c>
      <c r="G20" s="3">
        <v>0</v>
      </c>
      <c r="H20" s="3">
        <v>1.0963253000000001E-3</v>
      </c>
      <c r="I20" s="3">
        <v>2.0975084000000001E-4</v>
      </c>
      <c r="J20" s="3">
        <v>-1.534274E-3</v>
      </c>
      <c r="L20" s="3">
        <f t="shared" si="0"/>
        <v>1.1319896767850559</v>
      </c>
      <c r="M20" s="3"/>
      <c r="N20" s="2">
        <f>IF('Modell einstellen'!$B$1="Voll",H20/0.35,H20/0.35*2)</f>
        <v>6.2647160000000009E-3</v>
      </c>
      <c r="O20" s="2">
        <f>IF('Modell einstellen'!$B$1="Voll",J20/0.35,J20/0.35*2)</f>
        <v>-8.7672800000000006E-3</v>
      </c>
      <c r="P20" s="3">
        <f t="shared" si="1"/>
        <v>0.71455639605442056</v>
      </c>
    </row>
    <row r="21" spans="1:16" x14ac:dyDescent="0.25">
      <c r="A21" s="3">
        <v>1000</v>
      </c>
      <c r="B21" s="3">
        <v>-6.6889999999999996E-3</v>
      </c>
      <c r="C21" s="3">
        <v>1.4920000000000001E-3</v>
      </c>
      <c r="D21" s="3">
        <v>4.8869999999999999E-3</v>
      </c>
      <c r="E21" s="3">
        <v>0</v>
      </c>
      <c r="F21" s="3">
        <v>0</v>
      </c>
      <c r="G21" s="3">
        <v>0</v>
      </c>
      <c r="H21" s="3">
        <v>1.2083096000000001E-3</v>
      </c>
      <c r="I21" s="3">
        <v>4.1216990999999999E-4</v>
      </c>
      <c r="J21" s="3">
        <v>-2.0310861000000001E-3</v>
      </c>
      <c r="L21" s="3">
        <f t="shared" si="0"/>
        <v>1.3687333742582362</v>
      </c>
      <c r="M21" s="3"/>
      <c r="N21" s="2">
        <f>IF('Modell einstellen'!$B$1="Voll",H21/0.35,H21/0.35*2)</f>
        <v>6.9046262857142869E-3</v>
      </c>
      <c r="O21" s="2">
        <f>IF('Modell einstellen'!$B$1="Voll",J21/0.35,J21/0.35*2)</f>
        <v>-1.1606206285714286E-2</v>
      </c>
      <c r="P21" s="3">
        <f t="shared" si="1"/>
        <v>0.59490811344728323</v>
      </c>
    </row>
    <row r="22" spans="1:16" x14ac:dyDescent="0.25">
      <c r="A22" s="3">
        <v>10000</v>
      </c>
      <c r="B22" s="3">
        <v>-4.0289999999999996E-3</v>
      </c>
      <c r="C22" s="3">
        <v>2.5230000000000001E-3</v>
      </c>
      <c r="D22" s="3">
        <v>1.242E-3</v>
      </c>
      <c r="E22" s="3">
        <v>0</v>
      </c>
      <c r="F22" s="3">
        <v>0</v>
      </c>
      <c r="G22" s="3">
        <v>0</v>
      </c>
      <c r="H22" s="3">
        <v>1.287765E-3</v>
      </c>
      <c r="I22" s="3">
        <v>6.2456394E-4</v>
      </c>
      <c r="J22" s="3">
        <v>-2.5127003000000002E-3</v>
      </c>
      <c r="L22" s="3">
        <f t="shared" si="0"/>
        <v>3.2439613526570046</v>
      </c>
      <c r="M22" s="3"/>
      <c r="N22" s="2">
        <f>IF('Modell einstellen'!$B$1="Voll",H22/0.35,H22/0.35*2)</f>
        <v>7.358657142857143E-3</v>
      </c>
      <c r="O22" s="2">
        <f>IF('Modell einstellen'!$B$1="Voll",J22/0.35,J22/0.35*2)</f>
        <v>-1.4358287428571431E-2</v>
      </c>
      <c r="P22" s="3">
        <f t="shared" si="1"/>
        <v>0.51250242617474107</v>
      </c>
    </row>
    <row r="23" spans="1:16" x14ac:dyDescent="0.25">
      <c r="A23" s="3">
        <v>100000</v>
      </c>
      <c r="B23" s="3">
        <v>-2.225E-3</v>
      </c>
      <c r="C23" s="3">
        <v>3.6440000000000001E-3</v>
      </c>
      <c r="D23" s="3">
        <v>-1.6479999999999999E-3</v>
      </c>
      <c r="E23" s="3">
        <v>0</v>
      </c>
      <c r="F23" s="3">
        <v>0</v>
      </c>
      <c r="G23" s="3">
        <v>0</v>
      </c>
      <c r="H23" s="3">
        <v>1.3966364000000001E-3</v>
      </c>
      <c r="I23" s="3">
        <v>8.2631632000000003E-4</v>
      </c>
      <c r="J23" s="3">
        <v>-3.0008460000000002E-3</v>
      </c>
      <c r="L23" s="3">
        <f t="shared" si="0"/>
        <v>-1.350121359223301</v>
      </c>
      <c r="M23" s="3"/>
      <c r="N23" s="2">
        <f>IF('Modell einstellen'!$B$1="Voll",H23/0.35,H23/0.35*2)</f>
        <v>7.9807794285714287E-3</v>
      </c>
      <c r="O23" s="2">
        <f>IF('Modell einstellen'!$B$1="Voll",J23/0.35,J23/0.35*2)</f>
        <v>-1.7147691428571431E-2</v>
      </c>
      <c r="P23" s="3">
        <f t="shared" si="1"/>
        <v>0.46541421985666703</v>
      </c>
    </row>
    <row r="24" spans="1:16" x14ac:dyDescent="0.25">
      <c r="A24" s="3">
        <v>1000000</v>
      </c>
      <c r="B24" s="3">
        <v>-5.9429999999999997E-4</v>
      </c>
      <c r="C24" s="3">
        <v>4.6220000000000002E-3</v>
      </c>
      <c r="D24" s="3">
        <v>-4.2319999999999997E-3</v>
      </c>
      <c r="E24" s="3">
        <v>0</v>
      </c>
      <c r="F24" s="3">
        <v>0</v>
      </c>
      <c r="G24" s="3">
        <v>0</v>
      </c>
      <c r="H24" s="3">
        <v>1.4488960000000001E-3</v>
      </c>
      <c r="I24" s="3">
        <v>9.7982032999999994E-4</v>
      </c>
      <c r="J24" s="3">
        <v>-3.3409365999999999E-3</v>
      </c>
      <c r="L24" s="3">
        <f t="shared" si="0"/>
        <v>-0.14043005671077505</v>
      </c>
      <c r="M24" s="3"/>
      <c r="N24" s="2">
        <f>IF('Modell einstellen'!$B$1="Voll",H24/0.35,H24/0.35*2)</f>
        <v>8.2794057142857157E-3</v>
      </c>
      <c r="O24" s="2">
        <f>IF('Modell einstellen'!$B$1="Voll",J24/0.35,J24/0.35*2)</f>
        <v>-1.9091066285714286E-2</v>
      </c>
      <c r="P24" s="3">
        <f t="shared" si="1"/>
        <v>0.4336795855389774</v>
      </c>
    </row>
    <row r="25" spans="1:16" x14ac:dyDescent="0.25">
      <c r="A25" s="3">
        <v>10000000</v>
      </c>
      <c r="B25" s="3">
        <v>6.0590000000000004E-4</v>
      </c>
      <c r="C25" s="3">
        <v>5.3489999999999996E-3</v>
      </c>
      <c r="D25" s="3">
        <v>-6.1409999999999998E-3</v>
      </c>
      <c r="E25" s="3">
        <v>0</v>
      </c>
      <c r="F25" s="3">
        <v>0</v>
      </c>
      <c r="G25" s="3">
        <v>0</v>
      </c>
      <c r="H25" s="3">
        <v>1.4670028999999999E-3</v>
      </c>
      <c r="I25" s="3">
        <v>1.0784218E-3</v>
      </c>
      <c r="J25" s="3">
        <v>-3.5436636000000001E-3</v>
      </c>
      <c r="L25" s="3">
        <f t="shared" si="0"/>
        <v>9.8664712587526474E-2</v>
      </c>
      <c r="M25" s="3"/>
      <c r="N25" s="2">
        <f>IF('Modell einstellen'!$B$1="Voll",H25/0.35,H25/0.35*2)</f>
        <v>8.3828737142857147E-3</v>
      </c>
      <c r="O25" s="2">
        <f>IF('Modell einstellen'!$B$1="Voll",J25/0.35,J25/0.35*2)</f>
        <v>-2.0249506285714286E-2</v>
      </c>
      <c r="P25" s="3">
        <f t="shared" si="1"/>
        <v>0.41397916551672681</v>
      </c>
    </row>
    <row r="26" spans="1:16" x14ac:dyDescent="0.25">
      <c r="A26" s="3">
        <v>100000000</v>
      </c>
      <c r="B26" s="3">
        <v>1.418E-3</v>
      </c>
      <c r="C26" s="3">
        <v>5.8809999999999999E-3</v>
      </c>
      <c r="D26" s="3">
        <v>-7.4720000000000003E-3</v>
      </c>
      <c r="E26" s="3">
        <v>0</v>
      </c>
      <c r="F26" s="3">
        <v>0</v>
      </c>
      <c r="G26" s="3">
        <v>0</v>
      </c>
      <c r="H26" s="3">
        <v>1.4774314000000001E-3</v>
      </c>
      <c r="I26" s="3">
        <v>1.1423606E-3</v>
      </c>
      <c r="J26" s="3">
        <v>-3.6735983999999998E-3</v>
      </c>
      <c r="L26" s="3">
        <f t="shared" si="0"/>
        <v>0.18977516059957172</v>
      </c>
      <c r="M26" s="3"/>
      <c r="N26" s="2">
        <f>IF('Modell einstellen'!$B$1="Voll",H26/0.35,H26/0.35*2)</f>
        <v>8.4424651428571442E-3</v>
      </c>
      <c r="O26" s="2">
        <f>IF('Modell einstellen'!$B$1="Voll",J26/0.35,J26/0.35*2)</f>
        <v>-2.0991990857142859E-2</v>
      </c>
      <c r="P26" s="3">
        <f t="shared" si="1"/>
        <v>0.40217553448411786</v>
      </c>
    </row>
    <row r="27" spans="1:16" x14ac:dyDescent="0.25">
      <c r="A27" s="3">
        <v>1000000000</v>
      </c>
      <c r="B27" s="3">
        <v>1.9859999999999999E-3</v>
      </c>
      <c r="C27" s="3">
        <v>6.2639999999999996E-3</v>
      </c>
      <c r="D27" s="3">
        <v>-8.4159999999999999E-3</v>
      </c>
      <c r="E27" s="3">
        <v>0</v>
      </c>
      <c r="F27" s="3">
        <v>0</v>
      </c>
      <c r="G27" s="3">
        <v>0</v>
      </c>
      <c r="H27" s="3">
        <v>1.4850436999999999E-3</v>
      </c>
      <c r="I27" s="3">
        <v>1.184287E-3</v>
      </c>
      <c r="J27" s="3">
        <v>-3.7594483E-3</v>
      </c>
      <c r="L27" s="3">
        <f t="shared" si="0"/>
        <v>0.23597908745247148</v>
      </c>
      <c r="M27" s="3"/>
      <c r="N27" s="2">
        <f>IF('Modell einstellen'!$B$1="Voll",H27/0.35,H27/0.35*2)</f>
        <v>8.4859640000000004E-3</v>
      </c>
      <c r="O27" s="2">
        <f>IF('Modell einstellen'!$B$1="Voll",J27/0.35,J27/0.35*2)</f>
        <v>-2.1482561714285715E-2</v>
      </c>
      <c r="P27" s="3">
        <f t="shared" si="1"/>
        <v>0.39501639110185399</v>
      </c>
    </row>
    <row r="28" spans="1:16" x14ac:dyDescent="0.25">
      <c r="A28" s="3">
        <v>10000000000</v>
      </c>
      <c r="B28" s="3">
        <v>2.1159999999999998E-3</v>
      </c>
      <c r="C28" s="3">
        <v>6.3540000000000003E-3</v>
      </c>
      <c r="D28" s="3">
        <v>-8.633E-3</v>
      </c>
      <c r="E28" s="3">
        <v>0</v>
      </c>
      <c r="F28" s="3">
        <v>0</v>
      </c>
      <c r="G28" s="3">
        <v>0</v>
      </c>
      <c r="H28" s="3">
        <v>1.4872793999999999E-3</v>
      </c>
      <c r="I28" s="3">
        <v>1.1940289000000001E-3</v>
      </c>
      <c r="J28" s="3">
        <v>-3.7798259E-3</v>
      </c>
      <c r="L28" s="3">
        <f t="shared" si="0"/>
        <v>0.24510598864821034</v>
      </c>
      <c r="M28" s="3"/>
      <c r="N28" s="2">
        <f>IF('Modell einstellen'!$B$1="Voll",H28/0.35,H28/0.35*2)</f>
        <v>8.4987394285714283E-3</v>
      </c>
      <c r="O28" s="2">
        <f>IF('Modell einstellen'!$B$1="Voll",J28/0.35,J28/0.35*2)</f>
        <v>-2.1599005142857144E-2</v>
      </c>
      <c r="P28" s="3">
        <f t="shared" si="1"/>
        <v>0.39347828163196613</v>
      </c>
    </row>
    <row r="29" spans="1:16" x14ac:dyDescent="0.25">
      <c r="A29" s="3">
        <v>100000000000</v>
      </c>
      <c r="B29" s="3">
        <v>2.2790000000000002E-3</v>
      </c>
      <c r="C29" s="3">
        <v>6.4679999999999998E-3</v>
      </c>
      <c r="D29" s="3">
        <v>-8.9090000000000003E-3</v>
      </c>
      <c r="E29" s="3">
        <v>0</v>
      </c>
      <c r="F29" s="3">
        <v>0</v>
      </c>
      <c r="G29" s="3">
        <v>0</v>
      </c>
      <c r="H29" s="3">
        <v>1.4899183999999999E-3</v>
      </c>
      <c r="I29" s="3">
        <v>1.2060299E-3</v>
      </c>
      <c r="J29" s="3">
        <v>-3.8048327E-3</v>
      </c>
      <c r="L29" s="3">
        <f t="shared" si="0"/>
        <v>0.25580873274217086</v>
      </c>
      <c r="M29" s="3"/>
      <c r="N29" s="2">
        <f>IF('Modell einstellen'!$B$1="Voll",H29/0.35,H29/0.35*2)</f>
        <v>8.5138194285714289E-3</v>
      </c>
      <c r="O29" s="2">
        <f>IF('Modell einstellen'!$B$1="Voll",J29/0.35,J29/0.35*2)</f>
        <v>-2.1741901142857144E-2</v>
      </c>
      <c r="P29" s="3">
        <f t="shared" si="1"/>
        <v>0.39158578509903996</v>
      </c>
    </row>
    <row r="30" spans="1:16" x14ac:dyDescent="0.25">
      <c r="A30" s="3">
        <v>1000000000000</v>
      </c>
      <c r="B30" s="3">
        <v>2.826E-3</v>
      </c>
      <c r="C30" s="3">
        <v>6.8079999999999998E-3</v>
      </c>
      <c r="D30" s="3">
        <v>-9.7890000000000008E-3</v>
      </c>
      <c r="E30" s="3">
        <v>0</v>
      </c>
      <c r="F30" s="3">
        <v>0</v>
      </c>
      <c r="G30" s="3">
        <v>0</v>
      </c>
      <c r="H30" s="3">
        <v>1.4978439000000001E-3</v>
      </c>
      <c r="I30" s="3">
        <v>1.237358E-3</v>
      </c>
      <c r="J30" s="3">
        <v>-3.8710681000000001E-3</v>
      </c>
      <c r="L30" s="3">
        <f t="shared" si="0"/>
        <v>0.28869138829298191</v>
      </c>
      <c r="M30" s="3"/>
      <c r="N30" s="2">
        <f>IF('Modell einstellen'!$B$1="Voll",H30/0.35,H30/0.35*2)</f>
        <v>8.559108000000001E-3</v>
      </c>
      <c r="O30" s="2">
        <f>IF('Modell einstellen'!$B$1="Voll",J30/0.35,J30/0.35*2)</f>
        <v>-2.2120389142857143E-2</v>
      </c>
      <c r="P30" s="3">
        <f t="shared" si="1"/>
        <v>0.38693297594015463</v>
      </c>
    </row>
    <row r="31" spans="1:16" x14ac:dyDescent="0.25">
      <c r="A31" s="3">
        <v>10000000000000</v>
      </c>
      <c r="B31" s="3">
        <v>2.8300000000000001E-3</v>
      </c>
      <c r="C31" s="3">
        <v>6.8129999999999996E-3</v>
      </c>
      <c r="D31" s="3">
        <v>-9.7990000000000004E-3</v>
      </c>
      <c r="E31" s="3">
        <v>0</v>
      </c>
      <c r="F31" s="3">
        <v>0</v>
      </c>
      <c r="G31" s="3">
        <v>0</v>
      </c>
      <c r="H31" s="3">
        <v>1.4983258000000001E-3</v>
      </c>
      <c r="I31" s="3">
        <v>1.2379768000000001E-3</v>
      </c>
      <c r="J31" s="3">
        <v>-3.8726876999999999E-3</v>
      </c>
      <c r="L31" s="3">
        <f t="shared" si="0"/>
        <v>0.28880498010001021</v>
      </c>
      <c r="M31" s="3"/>
      <c r="N31" s="2">
        <f>IF('Modell einstellen'!$B$1="Voll",H31/0.35,H31/0.35*2)</f>
        <v>8.5618617142857144E-3</v>
      </c>
      <c r="O31" s="2">
        <f>IF('Modell einstellen'!$B$1="Voll",J31/0.35,J31/0.35*2)</f>
        <v>-2.2129644E-2</v>
      </c>
      <c r="P31" s="3">
        <f t="shared" si="1"/>
        <v>0.38689559191669393</v>
      </c>
    </row>
    <row r="32" spans="1:16" x14ac:dyDescent="0.25">
      <c r="A32" s="3">
        <v>100000000000000</v>
      </c>
      <c r="B32" s="3">
        <v>3.1059999999999998E-3</v>
      </c>
      <c r="C32" s="3">
        <v>6.973E-3</v>
      </c>
      <c r="D32" s="3">
        <v>-1.023E-2</v>
      </c>
      <c r="E32" s="3">
        <v>0</v>
      </c>
      <c r="F32" s="3">
        <v>0</v>
      </c>
      <c r="G32" s="3">
        <v>0</v>
      </c>
      <c r="H32" s="3">
        <v>1.5017183000000001E-3</v>
      </c>
      <c r="I32" s="3">
        <v>1.2518473E-3</v>
      </c>
      <c r="J32" s="3">
        <v>-3.9018899999999999E-3</v>
      </c>
      <c r="L32" s="3">
        <f t="shared" si="0"/>
        <v>0.30361681329423262</v>
      </c>
      <c r="M32" s="3"/>
      <c r="N32" s="2">
        <f>IF('Modell einstellen'!$B$1="Voll",H32/0.35,H32/0.35*2)</f>
        <v>8.5812474285714303E-3</v>
      </c>
      <c r="O32" s="2">
        <f>IF('Modell einstellen'!$B$1="Voll",J32/0.35,J32/0.35*2)</f>
        <v>-2.2296514285714285E-2</v>
      </c>
      <c r="P32" s="3">
        <f t="shared" si="1"/>
        <v>0.38486946069725192</v>
      </c>
    </row>
    <row r="33" spans="1:16" x14ac:dyDescent="0.25">
      <c r="A33" s="3">
        <v>1000000000000000</v>
      </c>
      <c r="B33" s="3">
        <v>3.2130000000000001E-3</v>
      </c>
      <c r="C33" s="3">
        <v>7.0590000000000002E-3</v>
      </c>
      <c r="D33" s="3">
        <v>-1.042E-2</v>
      </c>
      <c r="E33" s="3">
        <v>0</v>
      </c>
      <c r="F33" s="3">
        <v>0</v>
      </c>
      <c r="G33" s="3">
        <v>0</v>
      </c>
      <c r="H33" s="3">
        <v>1.5019628E-3</v>
      </c>
      <c r="I33" s="3">
        <v>1.258129E-3</v>
      </c>
      <c r="J33" s="3">
        <v>-3.9138471999999999E-3</v>
      </c>
      <c r="L33" s="3">
        <f t="shared" si="0"/>
        <v>0.30834932821497119</v>
      </c>
      <c r="M33" s="3"/>
      <c r="N33" s="2">
        <f>IF('Modell einstellen'!$B$1="Voll",H33/0.35,H33/0.35*2)</f>
        <v>8.5826445714285715E-3</v>
      </c>
      <c r="O33" s="2">
        <f>IF('Modell einstellen'!$B$1="Voll",J33/0.35,J33/0.35*2)</f>
        <v>-2.2364841142857143E-2</v>
      </c>
      <c r="P33" s="3">
        <f t="shared" si="1"/>
        <v>0.38375611597713882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9</vt:i4>
      </vt:variant>
    </vt:vector>
  </HeadingPairs>
  <TitlesOfParts>
    <vt:vector size="24" baseType="lpstr">
      <vt:lpstr>Modell einstellen</vt:lpstr>
      <vt:lpstr>Output</vt:lpstr>
      <vt:lpstr>CTE</vt:lpstr>
      <vt:lpstr>STUTT</vt:lpstr>
      <vt:lpstr>Comparison</vt:lpstr>
      <vt:lpstr>Mastercurve bestimmen</vt:lpstr>
      <vt:lpstr>Universal Mastercurve</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2022-01-21T13:22:28Z</dcterms:modified>
</cp:coreProperties>
</file>