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bestimmen'!$C$126:$H$126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6" i="43" s="1"/>
  <c r="E403" i="43"/>
  <c r="E405" i="43" s="1"/>
  <c r="F403" i="43"/>
  <c r="F415" i="43" s="1"/>
  <c r="G403" i="43"/>
  <c r="G410" i="43" s="1"/>
  <c r="H403" i="43"/>
  <c r="H434" i="43" s="1"/>
  <c r="B403" i="43"/>
  <c r="B405" i="43" s="1"/>
  <c r="B65" i="43"/>
  <c r="A65" i="43"/>
  <c r="F416" i="43" l="1"/>
  <c r="F419" i="43"/>
  <c r="F410" i="43"/>
  <c r="F404" i="43"/>
  <c r="F431" i="43"/>
  <c r="F430" i="43"/>
  <c r="F424" i="43"/>
  <c r="F427" i="43"/>
  <c r="F423" i="43"/>
  <c r="G434" i="43"/>
  <c r="F434" i="43"/>
  <c r="F420" i="43"/>
  <c r="C433" i="43"/>
  <c r="C431" i="43"/>
  <c r="D408" i="43"/>
  <c r="E431" i="43"/>
  <c r="G416" i="43"/>
  <c r="G431" i="43"/>
  <c r="G413" i="43"/>
  <c r="E420" i="43"/>
  <c r="D433" i="43"/>
  <c r="D415" i="43"/>
  <c r="D405" i="43"/>
  <c r="C427" i="43"/>
  <c r="D420" i="43"/>
  <c r="D413" i="43"/>
  <c r="D431" i="43"/>
  <c r="D424" i="43"/>
  <c r="C410" i="43"/>
  <c r="C414" i="43"/>
  <c r="C418" i="43"/>
  <c r="C432" i="43"/>
  <c r="C434" i="43"/>
  <c r="C428" i="43"/>
  <c r="C422" i="43"/>
  <c r="C424" i="43"/>
  <c r="C421" i="43"/>
  <c r="C419" i="43"/>
  <c r="C415" i="43"/>
  <c r="E410" i="43"/>
  <c r="C405" i="43"/>
  <c r="C404" i="43"/>
  <c r="C426" i="43"/>
  <c r="C423" i="43"/>
  <c r="C417" i="43"/>
  <c r="C409" i="43"/>
  <c r="C430" i="43"/>
  <c r="C425" i="43"/>
  <c r="E422" i="43"/>
  <c r="C429" i="43"/>
  <c r="D422" i="43"/>
  <c r="C420" i="43"/>
  <c r="C412" i="43"/>
  <c r="C408" i="43"/>
  <c r="E429" i="43"/>
  <c r="E425" i="43"/>
  <c r="D412" i="43"/>
  <c r="D410" i="43"/>
  <c r="D427" i="43"/>
  <c r="D418" i="43"/>
  <c r="D414" i="43"/>
  <c r="D407" i="43"/>
  <c r="E427" i="43"/>
  <c r="E434" i="43"/>
  <c r="D432" i="43"/>
  <c r="D429" i="43"/>
  <c r="D425" i="43"/>
  <c r="E404" i="43"/>
  <c r="D434" i="43"/>
  <c r="E423" i="43"/>
  <c r="D421" i="43"/>
  <c r="E416" i="43"/>
  <c r="E411" i="43"/>
  <c r="D409" i="43"/>
  <c r="C407" i="43"/>
  <c r="E418" i="43"/>
  <c r="E430" i="43"/>
  <c r="E426" i="43"/>
  <c r="E419" i="43"/>
  <c r="E417" i="43"/>
  <c r="D416" i="43"/>
  <c r="D411" i="43"/>
  <c r="E406" i="43"/>
  <c r="D404" i="43"/>
  <c r="D428" i="43"/>
  <c r="D423" i="43"/>
  <c r="E433" i="43"/>
  <c r="D430" i="43"/>
  <c r="D426" i="43"/>
  <c r="E424" i="43"/>
  <c r="D419" i="43"/>
  <c r="D417" i="43"/>
  <c r="E415" i="43"/>
  <c r="E413" i="43"/>
  <c r="E408"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O32" i="11"/>
  <c r="N32" i="11"/>
  <c r="O31" i="11"/>
  <c r="N31" i="11"/>
  <c r="O30" i="11"/>
  <c r="N30" i="11"/>
  <c r="O29" i="11"/>
  <c r="N29" i="11"/>
  <c r="P29" i="11" s="1"/>
  <c r="O28" i="11"/>
  <c r="N28" i="11"/>
  <c r="O27" i="11"/>
  <c r="N27" i="1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O14" i="11"/>
  <c r="N14" i="11"/>
  <c r="O13" i="11"/>
  <c r="N13" i="11"/>
  <c r="O12" i="11"/>
  <c r="N12" i="11"/>
  <c r="O11" i="11"/>
  <c r="N11" i="11"/>
  <c r="O10" i="11"/>
  <c r="N10" i="11"/>
  <c r="P10" i="11" s="1"/>
  <c r="O9" i="11"/>
  <c r="N9" i="11"/>
  <c r="O8" i="11"/>
  <c r="N8" i="11"/>
  <c r="O7" i="11"/>
  <c r="N7" i="11"/>
  <c r="P7" i="11" s="1"/>
  <c r="O6" i="11"/>
  <c r="N6" i="11"/>
  <c r="O5" i="11"/>
  <c r="N5" i="11"/>
  <c r="O4" i="11"/>
  <c r="N4" i="11"/>
  <c r="O3" i="11"/>
  <c r="N3" i="11"/>
  <c r="P3" i="11" l="1"/>
  <c r="P6" i="11"/>
  <c r="P9" i="11"/>
  <c r="P15" i="11"/>
  <c r="P27" i="11"/>
  <c r="P30" i="11"/>
  <c r="P33" i="11"/>
  <c r="P18" i="1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T10" i="8"/>
  <c r="BD10" i="8" s="1"/>
  <c r="Q27" i="8"/>
  <c r="BA27" i="8" s="1"/>
  <c r="P33" i="8"/>
  <c r="AN33" i="8" s="1"/>
  <c r="P32" i="8"/>
  <c r="AZ32" i="8" s="1"/>
  <c r="R24" i="8"/>
  <c r="BB24" i="8" s="1"/>
  <c r="U12" i="8"/>
  <c r="T22" i="8"/>
  <c r="BD22" i="8" s="1"/>
  <c r="Q22" i="8"/>
  <c r="BA22" i="8" s="1"/>
  <c r="P18" i="8"/>
  <c r="AZ18" i="8" s="1"/>
  <c r="P14" i="8"/>
  <c r="AZ14" i="8"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S11" i="8" l="1"/>
  <c r="AR21" i="8"/>
  <c r="AP5" i="8"/>
  <c r="AN14" i="8"/>
  <c r="K415"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A49" i="43" l="1"/>
  <c r="AA50" i="43" s="1"/>
  <c r="D397" i="43"/>
  <c r="G203" i="43"/>
  <c r="G204"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<sst xmlns="http://schemas.openxmlformats.org/spreadsheetml/2006/main" count="311" uniqueCount="164">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</sst>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-5.2026789142857141E-4</c:v>
                </c:pt>
                <c:pt idx="1">
                  <c:v>-5.2026033714285718E-4</c:v>
                </c:pt>
                <c:pt idx="2">
                  <c:v>-5.2026304571428574E-4</c:v>
                </c:pt>
                <c:pt idx="3">
                  <c:v>-5.2026376571428568E-4</c:v>
                </c:pt>
                <c:pt idx="4">
                  <c:v>-5.2026397714285716E-4</c:v>
                </c:pt>
                <c:pt idx="5">
                  <c:v>-5.2026404000000005E-4</c:v>
                </c:pt>
                <c:pt idx="6">
                  <c:v>-5.2026406285714288E-4</c:v>
                </c:pt>
                <c:pt idx="7">
                  <c:v>-5.2026407428571429E-4</c:v>
                </c:pt>
                <c:pt idx="8">
                  <c:v>-5.2026408571428581E-4</c:v>
                </c:pt>
                <c:pt idx="9">
                  <c:v>-5.2026417142857142E-4</c:v>
                </c:pt>
                <c:pt idx="10">
                  <c:v>-5.2026502857142854E-4</c:v>
                </c:pt>
                <c:pt idx="11">
                  <c:v>-5.202735885714286E-4</c:v>
                </c:pt>
                <c:pt idx="12">
                  <c:v>-5.2035845142857145E-4</c:v>
                </c:pt>
                <c:pt idx="13">
                  <c:v>-5.2117016571428566E-4</c:v>
                </c:pt>
                <c:pt idx="14">
                  <c:v>-5.2714065714285722E-4</c:v>
                </c:pt>
                <c:pt idx="15">
                  <c:v>-5.3738724571428579E-4</c:v>
                </c:pt>
                <c:pt idx="16">
                  <c:v>-5.4510416571428575E-4</c:v>
                </c:pt>
                <c:pt idx="17">
                  <c:v>-5.531446114285715E-4</c:v>
                </c:pt>
                <c:pt idx="18">
                  <c:v>-5.6241089714285724E-4</c:v>
                </c:pt>
                <c:pt idx="19">
                  <c:v>-5.7446554285714283E-4</c:v>
                </c:pt>
                <c:pt idx="20">
                  <c:v>-5.9813674285714286E-4</c:v>
                </c:pt>
                <c:pt idx="21">
                  <c:v>-6.6538377142857149E-4</c:v>
                </c:pt>
                <c:pt idx="22">
                  <c:v>-7.8451982857142871E-4</c:v>
                </c:pt>
                <c:pt idx="23">
                  <c:v>-9.1970068571428578E-4</c:v>
                </c:pt>
                <c:pt idx="24">
                  <c:v>-1.0495565142857144E-3</c:v>
                </c:pt>
                <c:pt idx="25">
                  <c:v>-1.1750555999999999E-3</c:v>
                </c:pt>
                <c:pt idx="26">
                  <c:v>-1.2959366857142858E-3</c:v>
                </c:pt>
                <c:pt idx="27">
                  <c:v>-1.4036457142857144E-3</c:v>
                </c:pt>
                <c:pt idx="28">
                  <c:v>-1.5006965714285713E-3</c:v>
                </c:pt>
                <c:pt idx="29">
                  <c:v>-1.597299942857143E-3</c:v>
                </c:pt>
                <c:pt idx="30">
                  <c:v>-1.6886448000000001E-3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-5.2482441714285716E-4</c:v>
                </c:pt>
                <c:pt idx="1">
                  <c:v>-5.2481664571428575E-4</c:v>
                </c:pt>
                <c:pt idx="2">
                  <c:v>-5.2481937142857143E-4</c:v>
                </c:pt>
                <c:pt idx="3">
                  <c:v>-5.2482014857142855E-4</c:v>
                </c:pt>
                <c:pt idx="4">
                  <c:v>-5.2482096571428573E-4</c:v>
                </c:pt>
                <c:pt idx="5">
                  <c:v>-5.248271028571429E-4</c:v>
                </c:pt>
                <c:pt idx="6">
                  <c:v>-5.2488745714285713E-4</c:v>
                </c:pt>
                <c:pt idx="7">
                  <c:v>-5.2546980000000004E-4</c:v>
                </c:pt>
                <c:pt idx="8">
                  <c:v>-5.3013404571428579E-4</c:v>
                </c:pt>
                <c:pt idx="9">
                  <c:v>-5.4088885714285724E-4</c:v>
                </c:pt>
                <c:pt idx="10">
                  <c:v>-5.4876942857142862E-4</c:v>
                </c:pt>
                <c:pt idx="11">
                  <c:v>-5.5665492571428568E-4</c:v>
                </c:pt>
                <c:pt idx="12">
                  <c:v>-5.6579005714285722E-4</c:v>
                </c:pt>
                <c:pt idx="13">
                  <c:v>-5.7584177142857142E-4</c:v>
                </c:pt>
                <c:pt idx="14">
                  <c:v>-5.8768102857142859E-4</c:v>
                </c:pt>
                <c:pt idx="15">
                  <c:v>-6.0114314285714284E-4</c:v>
                </c:pt>
                <c:pt idx="16">
                  <c:v>-6.1650040000000011E-4</c:v>
                </c:pt>
                <c:pt idx="17">
                  <c:v>-6.3240502857142859E-4</c:v>
                </c:pt>
                <c:pt idx="18">
                  <c:v>-6.5889742857142865E-4</c:v>
                </c:pt>
                <c:pt idx="19">
                  <c:v>-7.3297771428571445E-4</c:v>
                </c:pt>
                <c:pt idx="20">
                  <c:v>-8.7946508571428578E-4</c:v>
                </c:pt>
                <c:pt idx="21">
                  <c:v>-1.0596601142857144E-3</c:v>
                </c:pt>
                <c:pt idx="22">
                  <c:v>-1.2344853714285715E-3</c:v>
                </c:pt>
                <c:pt idx="23">
                  <c:v>-1.3975460000000002E-3</c:v>
                </c:pt>
                <c:pt idx="24">
                  <c:v>-1.5444489142857143E-3</c:v>
                </c:pt>
                <c:pt idx="25">
                  <c:v>-1.6846166285714287E-3</c:v>
                </c:pt>
                <c:pt idx="26">
                  <c:v>-1.8263416571428573E-3</c:v>
                </c:pt>
                <c:pt idx="27">
                  <c:v>-1.9920576000000004E-3</c:v>
                </c:pt>
                <c:pt idx="28">
                  <c:v>-2.1900582857142855E-3</c:v>
                </c:pt>
                <c:pt idx="29">
                  <c:v>-2.4504237714285718E-3</c:v>
                </c:pt>
                <c:pt idx="30">
                  <c:v>-2.8145985714285717E-3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-5.2781071428571432E-4</c:v>
                </c:pt>
                <c:pt idx="1">
                  <c:v>-5.2780317142857151E-4</c:v>
                </c:pt>
                <c:pt idx="2">
                  <c:v>-5.2780959428571435E-4</c:v>
                </c:pt>
                <c:pt idx="3">
                  <c:v>-5.2784711428571437E-4</c:v>
                </c:pt>
                <c:pt idx="4">
                  <c:v>-5.2820610285714297E-4</c:v>
                </c:pt>
                <c:pt idx="5">
                  <c:v>-5.3132425714285715E-4</c:v>
                </c:pt>
                <c:pt idx="6">
                  <c:v>-5.4216279428571435E-4</c:v>
                </c:pt>
                <c:pt idx="7">
                  <c:v>-5.5038337142857149E-4</c:v>
                </c:pt>
                <c:pt idx="8">
                  <c:v>-5.5811092000000002E-4</c:v>
                </c:pt>
                <c:pt idx="9">
                  <c:v>-5.6713196571428579E-4</c:v>
                </c:pt>
                <c:pt idx="10">
                  <c:v>-5.7693480000000003E-4</c:v>
                </c:pt>
                <c:pt idx="11">
                  <c:v>-5.8849794285714295E-4</c:v>
                </c:pt>
                <c:pt idx="12">
                  <c:v>-6.0169605714285716E-4</c:v>
                </c:pt>
                <c:pt idx="13">
                  <c:v>-6.1693605714285718E-4</c:v>
                </c:pt>
                <c:pt idx="14">
                  <c:v>-6.3134834285714285E-4</c:v>
                </c:pt>
                <c:pt idx="15">
                  <c:v>-6.481961714285714E-4</c:v>
                </c:pt>
                <c:pt idx="16">
                  <c:v>-6.7047302857142863E-4</c:v>
                </c:pt>
                <c:pt idx="17">
                  <c:v>-7.0504165714285728E-4</c:v>
                </c:pt>
                <c:pt idx="18">
                  <c:v>-7.793978857142858E-4</c:v>
                </c:pt>
                <c:pt idx="19">
                  <c:v>-9.2856325714285712E-4</c:v>
                </c:pt>
                <c:pt idx="20">
                  <c:v>-1.1236970857142858E-3</c:v>
                </c:pt>
                <c:pt idx="21">
                  <c:v>-1.3216305714285716E-3</c:v>
                </c:pt>
                <c:pt idx="22">
                  <c:v>-1.5099526857142859E-3</c:v>
                </c:pt>
                <c:pt idx="23">
                  <c:v>-1.6873612000000001E-3</c:v>
                </c:pt>
                <c:pt idx="24">
                  <c:v>-1.8756650285714287E-3</c:v>
                </c:pt>
                <c:pt idx="25">
                  <c:v>-2.0839046857142858E-3</c:v>
                </c:pt>
                <c:pt idx="26">
                  <c:v>-2.3419146285714289E-3</c:v>
                </c:pt>
                <c:pt idx="27">
                  <c:v>-2.686055542857143E-3</c:v>
                </c:pt>
                <c:pt idx="28">
                  <c:v>-3.2099524E-3</c:v>
                </c:pt>
                <c:pt idx="29">
                  <c:v>-4.0818608571428572E-3</c:v>
                </c:pt>
                <c:pt idx="30">
                  <c:v>-5.5902430857142863E-3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-5.3091504571428573E-4</c:v>
                </c:pt>
                <c:pt idx="1">
                  <c:v>-5.3097552000000003E-4</c:v>
                </c:pt>
                <c:pt idx="2">
                  <c:v>-5.316390914285714E-4</c:v>
                </c:pt>
                <c:pt idx="3">
                  <c:v>-5.367964742857143E-4</c:v>
                </c:pt>
                <c:pt idx="4">
                  <c:v>-5.4753407428571432E-4</c:v>
                </c:pt>
                <c:pt idx="5">
                  <c:v>-5.5545164000000004E-4</c:v>
                </c:pt>
                <c:pt idx="6">
                  <c:v>-5.6348080000000005E-4</c:v>
                </c:pt>
                <c:pt idx="7">
                  <c:v>-5.7273514285714289E-4</c:v>
                </c:pt>
                <c:pt idx="8">
                  <c:v>-5.8296645714285718E-4</c:v>
                </c:pt>
                <c:pt idx="9">
                  <c:v>-5.9499394285714288E-4</c:v>
                </c:pt>
                <c:pt idx="10">
                  <c:v>-6.0864839999999996E-4</c:v>
                </c:pt>
                <c:pt idx="11">
                  <c:v>-6.2406720000000003E-4</c:v>
                </c:pt>
                <c:pt idx="12">
                  <c:v>-6.3871062857142865E-4</c:v>
                </c:pt>
                <c:pt idx="13">
                  <c:v>-6.5660079999999997E-4</c:v>
                </c:pt>
                <c:pt idx="14">
                  <c:v>-6.7950274285714289E-4</c:v>
                </c:pt>
                <c:pt idx="15">
                  <c:v>-7.0670925714285716E-4</c:v>
                </c:pt>
                <c:pt idx="16">
                  <c:v>-7.3743742857142864E-4</c:v>
                </c:pt>
                <c:pt idx="17">
                  <c:v>-7.9729805714285717E-4</c:v>
                </c:pt>
                <c:pt idx="18">
                  <c:v>-9.3838194285714291E-4</c:v>
                </c:pt>
                <c:pt idx="19">
                  <c:v>-1.1411583428571428E-3</c:v>
                </c:pt>
                <c:pt idx="20">
                  <c:v>-1.363100342857143E-3</c:v>
                </c:pt>
                <c:pt idx="21">
                  <c:v>-1.5828392571428573E-3</c:v>
                </c:pt>
                <c:pt idx="22">
                  <c:v>-1.8098891428571431E-3</c:v>
                </c:pt>
                <c:pt idx="23">
                  <c:v>-2.0538577714285717E-3</c:v>
                </c:pt>
                <c:pt idx="24">
                  <c:v>-2.3467463428571431E-3</c:v>
                </c:pt>
                <c:pt idx="25">
                  <c:v>-2.7357348571428572E-3</c:v>
                </c:pt>
                <c:pt idx="26">
                  <c:v>-3.3312539428571432E-3</c:v>
                </c:pt>
                <c:pt idx="27">
                  <c:v>-4.3332200000000005E-3</c:v>
                </c:pt>
                <c:pt idx="28">
                  <c:v>-6.0493674285714292E-3</c:v>
                </c:pt>
                <c:pt idx="29">
                  <c:v>-8.7255600000000003E-3</c:v>
                </c:pt>
                <c:pt idx="30">
                  <c:v>-1.2177281142857144E-2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-5.3875919428571434E-4</c:v>
                </c:pt>
                <c:pt idx="1">
                  <c:v>-5.5183846857142854E-4</c:v>
                </c:pt>
                <c:pt idx="2">
                  <c:v>-5.5994022285714288E-4</c:v>
                </c:pt>
                <c:pt idx="3">
                  <c:v>-5.6813518285714294E-4</c:v>
                </c:pt>
                <c:pt idx="4">
                  <c:v>-5.7749040000000008E-4</c:v>
                </c:pt>
                <c:pt idx="5">
                  <c:v>-5.8790091428571434E-4</c:v>
                </c:pt>
                <c:pt idx="6">
                  <c:v>-6.0010474285714284E-4</c:v>
                </c:pt>
                <c:pt idx="7">
                  <c:v>-6.139406857142858E-4</c:v>
                </c:pt>
                <c:pt idx="8">
                  <c:v>-6.2946365714285719E-4</c:v>
                </c:pt>
                <c:pt idx="9">
                  <c:v>-6.4424862857142857E-4</c:v>
                </c:pt>
                <c:pt idx="10">
                  <c:v>-6.6256257142857146E-4</c:v>
                </c:pt>
                <c:pt idx="11">
                  <c:v>-6.858794285714287E-4</c:v>
                </c:pt>
                <c:pt idx="12">
                  <c:v>-7.1274022857142861E-4</c:v>
                </c:pt>
                <c:pt idx="13">
                  <c:v>-7.3821708571428582E-4</c:v>
                </c:pt>
                <c:pt idx="14">
                  <c:v>-7.6294337142857147E-4</c:v>
                </c:pt>
                <c:pt idx="15">
                  <c:v>-7.9293365714285728E-4</c:v>
                </c:pt>
                <c:pt idx="16">
                  <c:v>-8.4745777142857144E-4</c:v>
                </c:pt>
                <c:pt idx="17">
                  <c:v>-9.8356862857142862E-4</c:v>
                </c:pt>
                <c:pt idx="18">
                  <c:v>-1.209907542857143E-3</c:v>
                </c:pt>
                <c:pt idx="19">
                  <c:v>-1.4887029142857144E-3</c:v>
                </c:pt>
                <c:pt idx="20">
                  <c:v>-1.7958230857142859E-3</c:v>
                </c:pt>
                <c:pt idx="21">
                  <c:v>-2.1445940000000001E-3</c:v>
                </c:pt>
                <c:pt idx="22">
                  <c:v>-2.5784199428571428E-3</c:v>
                </c:pt>
                <c:pt idx="23">
                  <c:v>-3.2087566285714285E-3</c:v>
                </c:pt>
                <c:pt idx="24">
                  <c:v>-4.2453798857142863E-3</c:v>
                </c:pt>
                <c:pt idx="25">
                  <c:v>-5.9978668571428568E-3</c:v>
                </c:pt>
                <c:pt idx="26">
                  <c:v>-8.7140394285714282E-3</c:v>
                </c:pt>
                <c:pt idx="27">
                  <c:v>-1.2172076571428572E-2</c:v>
                </c:pt>
                <c:pt idx="28">
                  <c:v>-1.5275055428571429E-2</c:v>
                </c:pt>
                <c:pt idx="29">
                  <c:v>-1.7486284571428572E-2</c:v>
                </c:pt>
                <c:pt idx="30">
                  <c:v>-1.8844651428571429E-2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-6.2079731428571429E-4</c:v>
                </c:pt>
                <c:pt idx="1">
                  <c:v>-6.3928611428571433E-4</c:v>
                </c:pt>
                <c:pt idx="2">
                  <c:v>-6.558840571428572E-4</c:v>
                </c:pt>
                <c:pt idx="3">
                  <c:v>-6.7472948571428574E-4</c:v>
                </c:pt>
                <c:pt idx="4">
                  <c:v>-7.0008291428571429E-4</c:v>
                </c:pt>
                <c:pt idx="5">
                  <c:v>-7.2712519999999998E-4</c:v>
                </c:pt>
                <c:pt idx="6">
                  <c:v>-7.5195502857142865E-4</c:v>
                </c:pt>
                <c:pt idx="7">
                  <c:v>-7.768190857142857E-4</c:v>
                </c:pt>
                <c:pt idx="8">
                  <c:v>-8.0414577142857145E-4</c:v>
                </c:pt>
                <c:pt idx="9">
                  <c:v>-8.3242857142857153E-4</c:v>
                </c:pt>
                <c:pt idx="10">
                  <c:v>-8.6485817142857157E-4</c:v>
                </c:pt>
                <c:pt idx="11">
                  <c:v>-9.0430200000000006E-4</c:v>
                </c:pt>
                <c:pt idx="12">
                  <c:v>-9.539845714285714E-4</c:v>
                </c:pt>
                <c:pt idx="13">
                  <c:v>-1.0185461142857143E-3</c:v>
                </c:pt>
                <c:pt idx="14">
                  <c:v>-1.1103050857142859E-3</c:v>
                </c:pt>
                <c:pt idx="15">
                  <c:v>-1.2787949142857144E-3</c:v>
                </c:pt>
                <c:pt idx="16">
                  <c:v>-1.6690684000000003E-3</c:v>
                </c:pt>
                <c:pt idx="17">
                  <c:v>-2.4705964000000004E-3</c:v>
                </c:pt>
                <c:pt idx="18">
                  <c:v>-3.9668505142857148E-3</c:v>
                </c:pt>
                <c:pt idx="19">
                  <c:v>-6.4758148571428583E-3</c:v>
                </c:pt>
                <c:pt idx="20">
                  <c:v>-9.8433360000000011E-3</c:v>
                </c:pt>
                <c:pt idx="21">
                  <c:v>-1.3177162285714288E-2</c:v>
                </c:pt>
                <c:pt idx="22">
                  <c:v>-1.5779164571428573E-2</c:v>
                </c:pt>
                <c:pt idx="23">
                  <c:v>-1.7653537714285714E-2</c:v>
                </c:pt>
                <c:pt idx="24">
                  <c:v>-1.9022550285714285E-2</c:v>
                </c:pt>
                <c:pt idx="25">
                  <c:v>-1.9828010857142857E-2</c:v>
                </c:pt>
                <c:pt idx="26">
                  <c:v>-2.0948164000000002E-2</c:v>
                </c:pt>
                <c:pt idx="27">
                  <c:v>-2.1848025714285717E-2</c:v>
                </c:pt>
                <c:pt idx="28">
                  <c:v>-2.1887568571428574E-2</c:v>
                </c:pt>
                <c:pt idx="29">
                  <c:v>-2.213290285714286E-2</c:v>
                </c:pt>
                <c:pt idx="30">
                  <c:v>-2.2144656000000002E-2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-7.5780891428571431E-4</c:v>
                </c:pt>
                <c:pt idx="1">
                  <c:v>-7.9098565714285718E-4</c:v>
                </c:pt>
                <c:pt idx="2">
                  <c:v>-8.179954857142857E-4</c:v>
                </c:pt>
                <c:pt idx="3">
                  <c:v>-8.486698857142858E-4</c:v>
                </c:pt>
                <c:pt idx="4">
                  <c:v>-8.8110862857142865E-4</c:v>
                </c:pt>
                <c:pt idx="5">
                  <c:v>-9.2443062857142859E-4</c:v>
                </c:pt>
                <c:pt idx="6">
                  <c:v>-9.7719491428571443E-4</c:v>
                </c:pt>
                <c:pt idx="7">
                  <c:v>-1.0469790285714286E-3</c:v>
                </c:pt>
                <c:pt idx="8">
                  <c:v>-1.1422493142857143E-3</c:v>
                </c:pt>
                <c:pt idx="9">
                  <c:v>-1.2866492E-3</c:v>
                </c:pt>
                <c:pt idx="10">
                  <c:v>-1.5242370285714288E-3</c:v>
                </c:pt>
                <c:pt idx="11">
                  <c:v>-1.9320319428571429E-3</c:v>
                </c:pt>
                <c:pt idx="12">
                  <c:v>-2.5970217714285713E-3</c:v>
                </c:pt>
                <c:pt idx="13">
                  <c:v>-3.5571900571428573E-3</c:v>
                </c:pt>
                <c:pt idx="14">
                  <c:v>-4.6141837142857148E-3</c:v>
                </c:pt>
                <c:pt idx="15">
                  <c:v>-5.6234140000000002E-3</c:v>
                </c:pt>
                <c:pt idx="16">
                  <c:v>-6.7562577142857147E-3</c:v>
                </c:pt>
                <c:pt idx="17">
                  <c:v>-8.7672800000000006E-3</c:v>
                </c:pt>
                <c:pt idx="18">
                  <c:v>-1.1606206285714286E-2</c:v>
                </c:pt>
                <c:pt idx="19">
                  <c:v>-1.4358287428571431E-2</c:v>
                </c:pt>
                <c:pt idx="20">
                  <c:v>-1.7147691428571431E-2</c:v>
                </c:pt>
                <c:pt idx="21">
                  <c:v>-1.9091066285714286E-2</c:v>
                </c:pt>
                <c:pt idx="22">
                  <c:v>-2.0249506285714286E-2</c:v>
                </c:pt>
                <c:pt idx="23">
                  <c:v>-2.0991990857142859E-2</c:v>
                </c:pt>
                <c:pt idx="24">
                  <c:v>-2.1482561714285715E-2</c:v>
                </c:pt>
                <c:pt idx="25">
                  <c:v>-2.1599005142857144E-2</c:v>
                </c:pt>
                <c:pt idx="26">
                  <c:v>-2.1741901142857144E-2</c:v>
                </c:pt>
                <c:pt idx="27">
                  <c:v>-2.2120389142857143E-2</c:v>
                </c:pt>
                <c:pt idx="28">
                  <c:v>-2.2129644E-2</c:v>
                </c:pt>
                <c:pt idx="29">
                  <c:v>-2.2296514285714285E-2</c:v>
                </c:pt>
                <c:pt idx="30">
                  <c:v>-2.2364841142857143E-2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28260712"/>
        <c:axId val="6282646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282607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64632"/>
        <c:crossesAt val="-8.0000000000000019E-3"/>
        <c:crossBetween val="midCat"/>
      </c:valAx>
      <c:valAx>
        <c:axId val="628264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60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19220.867104717185</c:v>
                </c:pt>
                <c:pt idx="1">
                  <c:v>19221.146195609606</c:v>
                </c:pt>
                <c:pt idx="2">
                  <c:v>19221.046127292553</c:v>
                </c:pt>
                <c:pt idx="3">
                  <c:v>19221.019527029144</c:v>
                </c:pt>
                <c:pt idx="4">
                  <c:v>19221.011715854664</c:v>
                </c:pt>
                <c:pt idx="5">
                  <c:v>19221.009393614826</c:v>
                </c:pt>
                <c:pt idx="6">
                  <c:v>19221.008549164115</c:v>
                </c:pt>
                <c:pt idx="7">
                  <c:v>19221.008126938788</c:v>
                </c:pt>
                <c:pt idx="8">
                  <c:v>19221.007704713476</c:v>
                </c:pt>
                <c:pt idx="9">
                  <c:v>19221.004538024255</c:v>
                </c:pt>
                <c:pt idx="10">
                  <c:v>19220.972871189388</c:v>
                </c:pt>
                <c:pt idx="11">
                  <c:v>19220.656630789352</c:v>
                </c:pt>
                <c:pt idx="12">
                  <c:v>19217.522022648805</c:v>
                </c:pt>
                <c:pt idx="13">
                  <c:v>19187.591036210943</c:v>
                </c:pt>
                <c:pt idx="14">
                  <c:v>18970.268873208846</c:v>
                </c:pt>
                <c:pt idx="15">
                  <c:v>18608.554780097496</c:v>
                </c:pt>
                <c:pt idx="16">
                  <c:v>18345.117555460878</c:v>
                </c:pt>
                <c:pt idx="17">
                  <c:v>18078.455061098099</c:v>
                </c:pt>
                <c:pt idx="18">
                  <c:v>17780.594314231279</c:v>
                </c:pt>
                <c:pt idx="19">
                  <c:v>17407.484442433797</c:v>
                </c:pt>
                <c:pt idx="20">
                  <c:v>16718.585038318521</c:v>
                </c:pt>
                <c:pt idx="21">
                  <c:v>15028.920796385088</c:v>
                </c:pt>
                <c:pt idx="22">
                  <c:v>12746.65041699392</c:v>
                </c:pt>
                <c:pt idx="23">
                  <c:v>10873.102690179574</c:v>
                </c:pt>
                <c:pt idx="24">
                  <c:v>9527.8337696808976</c:v>
                </c:pt>
                <c:pt idx="25">
                  <c:v>8510.2356007664657</c:v>
                </c:pt>
                <c:pt idx="26">
                  <c:v>7716.426358042535</c:v>
                </c:pt>
                <c:pt idx="27">
                  <c:v>7124.3048713961189</c:v>
                </c:pt>
                <c:pt idx="28">
                  <c:v>6663.5722306479402</c:v>
                </c:pt>
                <c:pt idx="29">
                  <c:v>6260.5649269057576</c:v>
                </c:pt>
                <c:pt idx="30">
                  <c:v>5921.9085031973564</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19053.991531948868</c:v>
                </c:pt>
                <c:pt idx="1">
                  <c:v>19054.273681410777</c:v>
                </c:pt>
                <c:pt idx="2">
                  <c:v>19054.174720684852</c:v>
                </c:pt>
                <c:pt idx="3">
                  <c:v>19054.146505655717</c:v>
                </c:pt>
                <c:pt idx="4">
                  <c:v>19054.116838472557</c:v>
                </c:pt>
                <c:pt idx="5">
                  <c:v>19053.894026357066</c:v>
                </c:pt>
                <c:pt idx="6">
                  <c:v>19051.703110669547</c:v>
                </c:pt>
                <c:pt idx="7">
                  <c:v>19030.589388771721</c:v>
                </c:pt>
                <c:pt idx="8">
                  <c:v>18863.153726575543</c:v>
                </c:pt>
                <c:pt idx="9">
                  <c:v>18488.086541148401</c:v>
                </c:pt>
                <c:pt idx="10">
                  <c:v>18222.589450786771</c:v>
                </c:pt>
                <c:pt idx="11">
                  <c:v>17964.450754061414</c:v>
                </c:pt>
                <c:pt idx="12">
                  <c:v>17674.400378292765</c:v>
                </c:pt>
                <c:pt idx="13">
                  <c:v>17365.881560123013</c:v>
                </c:pt>
                <c:pt idx="14">
                  <c:v>17016.033381762583</c:v>
                </c:pt>
                <c:pt idx="15">
                  <c:v>16634.973082237128</c:v>
                </c:pt>
                <c:pt idx="16">
                  <c:v>16220.589637898043</c:v>
                </c:pt>
                <c:pt idx="17">
                  <c:v>15812.650988227435</c:v>
                </c:pt>
                <c:pt idx="18">
                  <c:v>15176.869063947086</c:v>
                </c:pt>
                <c:pt idx="19">
                  <c:v>13642.979595559715</c:v>
                </c:pt>
                <c:pt idx="20">
                  <c:v>11370.548032476103</c:v>
                </c:pt>
                <c:pt idx="21">
                  <c:v>9436.9882051668101</c:v>
                </c:pt>
                <c:pt idx="22">
                  <c:v>8100.5415142569063</c:v>
                </c:pt>
                <c:pt idx="23">
                  <c:v>7155.399536043893</c:v>
                </c:pt>
                <c:pt idx="24">
                  <c:v>6474.8014048913092</c:v>
                </c:pt>
                <c:pt idx="25">
                  <c:v>5936.0686760406115</c:v>
                </c:pt>
                <c:pt idx="26">
                  <c:v>5475.4267696242969</c:v>
                </c:pt>
                <c:pt idx="27">
                  <c:v>5019.9351665333361</c:v>
                </c:pt>
                <c:pt idx="28">
                  <c:v>4566.0885215840317</c:v>
                </c:pt>
                <c:pt idx="29">
                  <c:v>4080.9267836028635</c:v>
                </c:pt>
                <c:pt idx="30">
                  <c:v>3552.9045248269349</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18946.186065080146</c:v>
                </c:pt>
                <c:pt idx="1">
                  <c:v>18946.45682581564</c:v>
                </c:pt>
                <c:pt idx="2">
                  <c:v>18946.226268457696</c:v>
                </c:pt>
                <c:pt idx="3">
                  <c:v>18944.879548185188</c:v>
                </c:pt>
                <c:pt idx="4">
                  <c:v>18932.003901334268</c:v>
                </c:pt>
                <c:pt idx="5">
                  <c:v>18820.898661344763</c:v>
                </c:pt>
                <c:pt idx="6">
                  <c:v>18444.644496815286</c:v>
                </c:pt>
                <c:pt idx="7">
                  <c:v>18169.153573888081</c:v>
                </c:pt>
                <c:pt idx="8">
                  <c:v>17917.585271400887</c:v>
                </c:pt>
                <c:pt idx="9">
                  <c:v>17632.580430209568</c:v>
                </c:pt>
                <c:pt idx="10">
                  <c:v>17332.981127156829</c:v>
                </c:pt>
                <c:pt idx="11">
                  <c:v>16992.41283911758</c:v>
                </c:pt>
                <c:pt idx="12">
                  <c:v>16619.686769238309</c:v>
                </c:pt>
                <c:pt idx="13">
                  <c:v>16209.135264863289</c:v>
                </c:pt>
                <c:pt idx="14">
                  <c:v>15839.116571915563</c:v>
                </c:pt>
                <c:pt idx="15">
                  <c:v>15427.42836317718</c:v>
                </c:pt>
                <c:pt idx="16">
                  <c:v>14914.843064316723</c:v>
                </c:pt>
                <c:pt idx="17">
                  <c:v>14183.559082912139</c:v>
                </c:pt>
                <c:pt idx="18">
                  <c:v>12830.417150587233</c:v>
                </c:pt>
                <c:pt idx="19">
                  <c:v>10769.325539295516</c:v>
                </c:pt>
                <c:pt idx="20">
                  <c:v>8899.1954567929042</c:v>
                </c:pt>
                <c:pt idx="21">
                  <c:v>7566.4109291833647</c:v>
                </c:pt>
                <c:pt idx="22">
                  <c:v>6622.7240724893854</c:v>
                </c:pt>
                <c:pt idx="23">
                  <c:v>5926.4133844016324</c:v>
                </c:pt>
                <c:pt idx="24">
                  <c:v>5331.4423671994064</c:v>
                </c:pt>
                <c:pt idx="25">
                  <c:v>4798.683965035746</c:v>
                </c:pt>
                <c:pt idx="26">
                  <c:v>4270.0104768977053</c:v>
                </c:pt>
                <c:pt idx="27">
                  <c:v>3722.9312054221532</c:v>
                </c:pt>
                <c:pt idx="28">
                  <c:v>3115.3109933966621</c:v>
                </c:pt>
                <c:pt idx="29">
                  <c:v>2449.8630281580959</c:v>
                </c:pt>
                <c:pt idx="30">
                  <c:v>1788.8309768773254</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18835.405175881086</c:v>
                </c:pt>
                <c:pt idx="1">
                  <c:v>18833.259958952531</c:v>
                </c:pt>
                <c:pt idx="2">
                  <c:v>18809.75300956317</c:v>
                </c:pt>
                <c:pt idx="3">
                  <c:v>18629.034427445622</c:v>
                </c:pt>
                <c:pt idx="4">
                  <c:v>18263.70352027041</c:v>
                </c:pt>
                <c:pt idx="5">
                  <c:v>18003.367493882994</c:v>
                </c:pt>
                <c:pt idx="6">
                  <c:v>17746.833609947313</c:v>
                </c:pt>
                <c:pt idx="7">
                  <c:v>17460.077532721432</c:v>
                </c:pt>
                <c:pt idx="8">
                  <c:v>17153.645595683865</c:v>
                </c:pt>
                <c:pt idx="9">
                  <c:v>16806.893784464937</c:v>
                </c:pt>
                <c:pt idx="10">
                  <c:v>16429.846854111503</c:v>
                </c:pt>
                <c:pt idx="11">
                  <c:v>16023.915373216218</c:v>
                </c:pt>
                <c:pt idx="12">
                  <c:v>15656.542341195242</c:v>
                </c:pt>
                <c:pt idx="13">
                  <c:v>15229.954029906758</c:v>
                </c:pt>
                <c:pt idx="14">
                  <c:v>14716.644053491889</c:v>
                </c:pt>
                <c:pt idx="15">
                  <c:v>14150.090576751223</c:v>
                </c:pt>
                <c:pt idx="16">
                  <c:v>13560.472539849385</c:v>
                </c:pt>
                <c:pt idx="17">
                  <c:v>12542.360928151909</c:v>
                </c:pt>
                <c:pt idx="18">
                  <c:v>10656.641547846128</c:v>
                </c:pt>
                <c:pt idx="19">
                  <c:v>8763.0257996999644</c:v>
                </c:pt>
                <c:pt idx="20">
                  <c:v>7336.2170675119769</c:v>
                </c:pt>
                <c:pt idx="21">
                  <c:v>6317.7609191035253</c:v>
                </c:pt>
                <c:pt idx="22">
                  <c:v>5525.2002806170285</c:v>
                </c:pt>
                <c:pt idx="23">
                  <c:v>4868.8863168185435</c:v>
                </c:pt>
                <c:pt idx="24">
                  <c:v>4261.2189555284822</c:v>
                </c:pt>
                <c:pt idx="25">
                  <c:v>3655.3249939008292</c:v>
                </c:pt>
                <c:pt idx="26">
                  <c:v>3001.8726196007801</c:v>
                </c:pt>
                <c:pt idx="27">
                  <c:v>2307.7526643004508</c:v>
                </c:pt>
                <c:pt idx="28">
                  <c:v>1653.0654019740243</c:v>
                </c:pt>
                <c:pt idx="29">
                  <c:v>1146.0582472643589</c:v>
                </c:pt>
                <c:pt idx="30">
                  <c:v>821.201373499184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18561.168154648341</c:v>
                </c:pt>
                <c:pt idx="1">
                  <c:v>18121.244837982198</c:v>
                </c:pt>
                <c:pt idx="2">
                  <c:v>17859.049219529443</c:v>
                </c:pt>
                <c:pt idx="3">
                  <c:v>17601.444694395013</c:v>
                </c:pt>
                <c:pt idx="4">
                  <c:v>17316.305171479904</c:v>
                </c:pt>
                <c:pt idx="5">
                  <c:v>17009.669073486239</c:v>
                </c:pt>
                <c:pt idx="6">
                  <c:v>16663.757650688218</c:v>
                </c:pt>
                <c:pt idx="7">
                  <c:v>16288.218443065973</c:v>
                </c:pt>
                <c:pt idx="8">
                  <c:v>15886.540686701621</c:v>
                </c:pt>
                <c:pt idx="9">
                  <c:v>15521.957760584179</c:v>
                </c:pt>
                <c:pt idx="10">
                  <c:v>15092.91413554903</c:v>
                </c:pt>
                <c:pt idx="11">
                  <c:v>14579.822026195356</c:v>
                </c:pt>
                <c:pt idx="12">
                  <c:v>14030.357203273577</c:v>
                </c:pt>
                <c:pt idx="13">
                  <c:v>13546.150845755861</c:v>
                </c:pt>
                <c:pt idx="14">
                  <c:v>13107.132684402939</c:v>
                </c:pt>
                <c:pt idx="15">
                  <c:v>12611.395556133355</c:v>
                </c:pt>
                <c:pt idx="16">
                  <c:v>11799.997990628914</c:v>
                </c:pt>
                <c:pt idx="17">
                  <c:v>10167.058718133751</c:v>
                </c:pt>
                <c:pt idx="18">
                  <c:v>8265.0943529002579</c:v>
                </c:pt>
                <c:pt idx="19">
                  <c:v>6717.2569516988151</c:v>
                </c:pt>
                <c:pt idx="20">
                  <c:v>5568.477251211255</c:v>
                </c:pt>
                <c:pt idx="21">
                  <c:v>4662.8872411281573</c:v>
                </c:pt>
                <c:pt idx="22">
                  <c:v>3878.344188153857</c:v>
                </c:pt>
                <c:pt idx="23">
                  <c:v>3116.4719414859778</c:v>
                </c:pt>
                <c:pt idx="24">
                  <c:v>2355.5018088369488</c:v>
                </c:pt>
                <c:pt idx="25">
                  <c:v>1667.2594170860937</c:v>
                </c:pt>
                <c:pt idx="26">
                  <c:v>1147.5734166650875</c:v>
                </c:pt>
                <c:pt idx="27">
                  <c:v>821.55250513892827</c:v>
                </c:pt>
                <c:pt idx="28">
                  <c:v>654.66210887165539</c:v>
                </c:pt>
                <c:pt idx="29">
                  <c:v>571.87677343072266</c:v>
                </c:pt>
                <c:pt idx="30">
                  <c:v>530.65454874046873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16108.317110723878</c:v>
                </c:pt>
                <c:pt idx="1">
                  <c:v>15642.448313104966</c:v>
                </c:pt>
                <c:pt idx="2">
                  <c:v>15246.597155542559</c:v>
                </c:pt>
                <c:pt idx="3">
                  <c:v>14820.754408581606</c:v>
                </c:pt>
                <c:pt idx="4">
                  <c:v>14284.022357841532</c:v>
                </c:pt>
                <c:pt idx="5">
                  <c:v>13752.789753401477</c:v>
                </c:pt>
                <c:pt idx="6">
                  <c:v>13298.667633087174</c:v>
                </c:pt>
                <c:pt idx="7">
                  <c:v>12873.010182036134</c:v>
                </c:pt>
                <c:pt idx="8">
                  <c:v>12435.556282581601</c:v>
                </c:pt>
                <c:pt idx="9">
                  <c:v>12013.042732109147</c:v>
                </c:pt>
                <c:pt idx="10">
                  <c:v>11562.58948618363</c:v>
                </c:pt>
                <c:pt idx="11">
                  <c:v>11058.252663380154</c:v>
                </c:pt>
                <c:pt idx="12">
                  <c:v>10482.349819374138</c:v>
                </c:pt>
                <c:pt idx="13">
                  <c:v>9817.9158113158155</c:v>
                </c:pt>
                <c:pt idx="14">
                  <c:v>9006.5335452973814</c:v>
                </c:pt>
                <c:pt idx="15">
                  <c:v>7819.862190792036</c:v>
                </c:pt>
                <c:pt idx="16">
                  <c:v>5991.3662016487751</c:v>
                </c:pt>
                <c:pt idx="17">
                  <c:v>4047.605671246019</c:v>
                </c:pt>
                <c:pt idx="18">
                  <c:v>2520.8915647280537</c:v>
                </c:pt>
                <c:pt idx="19">
                  <c:v>1544.2072110770657</c:v>
                </c:pt>
                <c:pt idx="20">
                  <c:v>1015.9157423865241</c:v>
                </c:pt>
                <c:pt idx="21">
                  <c:v>758.88873364193637</c:v>
                </c:pt>
                <c:pt idx="22">
                  <c:v>633.74711346296874</c:v>
                </c:pt>
                <c:pt idx="23">
                  <c:v>566.45869863850191</c:v>
                </c:pt>
                <c:pt idx="24">
                  <c:v>525.69186832482103</c:v>
                </c:pt>
                <c:pt idx="25">
                  <c:v>504.33702462885191</c:v>
                </c:pt>
                <c:pt idx="26">
                  <c:v>477.36880425415796</c:v>
                </c:pt>
                <c:pt idx="27">
                  <c:v>457.70726063643014</c:v>
                </c:pt>
                <c:pt idx="28">
                  <c:v>456.88035047683292</c:v>
                </c:pt>
                <c:pt idx="29">
                  <c:v>451.81601638723777</c:v>
                </c:pt>
                <c:pt idx="30">
                  <c:v>451.57621775655485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13195.938727410814</c:v>
                </c:pt>
                <c:pt idx="1">
                  <c:v>12642.454271701079</c:v>
                </c:pt>
                <c:pt idx="2">
                  <c:v>12225.006341285432</c:v>
                </c:pt>
                <c:pt idx="3">
                  <c:v>11783.144622344491</c:v>
                </c:pt>
                <c:pt idx="4">
                  <c:v>11349.338408152171</c:v>
                </c:pt>
                <c:pt idx="5">
                  <c:v>10817.469359981644</c:v>
                </c:pt>
                <c:pt idx="6">
                  <c:v>10233.372947207314</c:v>
                </c:pt>
                <c:pt idx="7">
                  <c:v>9551.2896888151608</c:v>
                </c:pt>
                <c:pt idx="8">
                  <c:v>8754.6561638807598</c:v>
                </c:pt>
                <c:pt idx="9">
                  <c:v>7772.1262330089658</c:v>
                </c:pt>
                <c:pt idx="10">
                  <c:v>6560.6594070033643</c:v>
                </c:pt>
                <c:pt idx="11">
                  <c:v>5175.897860783668</c:v>
                </c:pt>
                <c:pt idx="12">
                  <c:v>3850.5645620749624</c:v>
                </c:pt>
                <c:pt idx="13">
                  <c:v>2811.2076777904922</c:v>
                </c:pt>
                <c:pt idx="14">
                  <c:v>2167.2305697407674</c:v>
                </c:pt>
                <c:pt idx="15">
                  <c:v>1778.2791734700663</c:v>
                </c:pt>
                <c:pt idx="16">
                  <c:v>1480.1093183369221</c:v>
                </c:pt>
                <c:pt idx="17">
                  <c:v>1140.6046116925659</c:v>
                </c:pt>
                <c:pt idx="18">
                  <c:v>861.60798402391697</c:v>
                </c:pt>
                <c:pt idx="19">
                  <c:v>696.46189002325491</c:v>
                </c:pt>
                <c:pt idx="20">
                  <c:v>583.16887970925518</c:v>
                </c:pt>
                <c:pt idx="21">
                  <c:v>523.80521079029154</c:v>
                </c:pt>
                <c:pt idx="22">
                  <c:v>493.83920076386482</c:v>
                </c:pt>
                <c:pt idx="23">
                  <c:v>476.37215869867538</c:v>
                </c:pt>
                <c:pt idx="24">
                  <c:v>465.4938332307961</c:v>
                </c:pt>
                <c:pt idx="25">
                  <c:v>462.98428718634898</c:v>
                </c:pt>
                <c:pt idx="26">
                  <c:v>459.94137928850324</c:v>
                </c:pt>
                <c:pt idx="27">
                  <c:v>452.07161300003997</c:v>
                </c:pt>
                <c:pt idx="28">
                  <c:v>451.88255174823416</c:v>
                </c:pt>
                <c:pt idx="29">
                  <c:v>448.50059842794133</c:v>
                </c:pt>
                <c:pt idx="30">
                  <c:v>447.13038362867104</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28253656"/>
        <c:axId val="6282544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2825365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54440"/>
        <c:crosses val="autoZero"/>
        <c:crossBetween val="midCat"/>
      </c:valAx>
      <c:valAx>
        <c:axId val="62825444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5365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22077.11293330136</c:v>
                </c:pt>
                <c:pt idx="1">
                  <c:v>22078.352945786577</c:v>
                </c:pt>
                <c:pt idx="2">
                  <c:v>22078.244313789179</c:v>
                </c:pt>
                <c:pt idx="3">
                  <c:v>22078.212560022632</c:v>
                </c:pt>
                <c:pt idx="4">
                  <c:v>22078.201696912922</c:v>
                </c:pt>
                <c:pt idx="5">
                  <c:v>22078.199190042968</c:v>
                </c:pt>
                <c:pt idx="6">
                  <c:v>22078.197518796656</c:v>
                </c:pt>
                <c:pt idx="7">
                  <c:v>22078.197518796649</c:v>
                </c:pt>
                <c:pt idx="8">
                  <c:v>22078.197518796638</c:v>
                </c:pt>
                <c:pt idx="9">
                  <c:v>22078.201696912933</c:v>
                </c:pt>
                <c:pt idx="10">
                  <c:v>22078.240135656793</c:v>
                </c:pt>
                <c:pt idx="11">
                  <c:v>22078.632887014399</c:v>
                </c:pt>
                <c:pt idx="12">
                  <c:v>22082.530239028241</c:v>
                </c:pt>
                <c:pt idx="13">
                  <c:v>22119.923684493697</c:v>
                </c:pt>
                <c:pt idx="14">
                  <c:v>22402.40153744481</c:v>
                </c:pt>
                <c:pt idx="15">
                  <c:v>22925.061824306722</c:v>
                </c:pt>
                <c:pt idx="16">
                  <c:v>23339.443599667724</c:v>
                </c:pt>
                <c:pt idx="17">
                  <c:v>23806.038411165402</c:v>
                </c:pt>
                <c:pt idx="18">
                  <c:v>24385.225134222183</c:v>
                </c:pt>
                <c:pt idx="19">
                  <c:v>24985.658945641175</c:v>
                </c:pt>
                <c:pt idx="20">
                  <c:v>25229.351383362831</c:v>
                </c:pt>
                <c:pt idx="21">
                  <c:v>23465.955404171989</c:v>
                </c:pt>
                <c:pt idx="22">
                  <c:v>19732.611611372275</c:v>
                </c:pt>
                <c:pt idx="23">
                  <c:v>16293.696505117547</c:v>
                </c:pt>
                <c:pt idx="24">
                  <c:v>13829.534502452147</c:v>
                </c:pt>
                <c:pt idx="25">
                  <c:v>12019.209306357014</c:v>
                </c:pt>
                <c:pt idx="26">
                  <c:v>10596.770898685134</c:v>
                </c:pt>
                <c:pt idx="27">
                  <c:v>9505.7307878181327</c:v>
                </c:pt>
                <c:pt idx="28">
                  <c:v>8684.1294883700029</c:v>
                </c:pt>
                <c:pt idx="29">
                  <c:v>8025.4550926029715</c:v>
                </c:pt>
                <c:pt idx="30">
                  <c:v>7552.7560006646436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21874.164680336275</c:v>
                </c:pt>
                <c:pt idx="1">
                  <c:v>21875.490284426003</c:v>
                </c:pt>
                <c:pt idx="2">
                  <c:v>21875.38610056468</c:v>
                </c:pt>
                <c:pt idx="3">
                  <c:v>21875.358208990678</c:v>
                </c:pt>
                <c:pt idx="4">
                  <c:v>21875.375436130926</c:v>
                </c:pt>
                <c:pt idx="5">
                  <c:v>21875.639589012484</c:v>
                </c:pt>
                <c:pt idx="6">
                  <c:v>21878.301162166608</c:v>
                </c:pt>
                <c:pt idx="7">
                  <c:v>21904.062584037278</c:v>
                </c:pt>
                <c:pt idx="8">
                  <c:v>22114.554250325065</c:v>
                </c:pt>
                <c:pt idx="9">
                  <c:v>22636.187647942024</c:v>
                </c:pt>
                <c:pt idx="10">
                  <c:v>23039.585984695968</c:v>
                </c:pt>
                <c:pt idx="11">
                  <c:v>23474.488248107809</c:v>
                </c:pt>
                <c:pt idx="12">
                  <c:v>24028.010014215506</c:v>
                </c:pt>
                <c:pt idx="13">
                  <c:v>24698.563209776745</c:v>
                </c:pt>
                <c:pt idx="14">
                  <c:v>25585.152167180811</c:v>
                </c:pt>
                <c:pt idx="15">
                  <c:v>26734.282708959516</c:v>
                </c:pt>
                <c:pt idx="16">
                  <c:v>28089.588258641987</c:v>
                </c:pt>
                <c:pt idx="17">
                  <c:v>29711.982567521412</c:v>
                </c:pt>
                <c:pt idx="18">
                  <c:v>31118.270802857416</c:v>
                </c:pt>
                <c:pt idx="19">
                  <c:v>29575.131769042044</c:v>
                </c:pt>
                <c:pt idx="20">
                  <c:v>23463.157801025358</c:v>
                </c:pt>
                <c:pt idx="21">
                  <c:v>17473.618331043792</c:v>
                </c:pt>
                <c:pt idx="22">
                  <c:v>13557.378700195992</c:v>
                </c:pt>
                <c:pt idx="23">
                  <c:v>11073.621103208552</c:v>
                </c:pt>
                <c:pt idx="24">
                  <c:v>9404.2731512515529</c:v>
                </c:pt>
                <c:pt idx="25">
                  <c:v>8222.5138160550359</c:v>
                </c:pt>
                <c:pt idx="26">
                  <c:v>7332.5797117407874</c:v>
                </c:pt>
                <c:pt idx="27">
                  <c:v>6578.47302589234</c:v>
                </c:pt>
                <c:pt idx="28">
                  <c:v>5901.7368238160971</c:v>
                </c:pt>
                <c:pt idx="29">
                  <c:v>5234.1000602011209</c:v>
                </c:pt>
                <c:pt idx="30">
                  <c:v>4540.5084575532119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21742.824013893041</c:v>
                </c:pt>
                <c:pt idx="1">
                  <c:v>21744.218041575314</c:v>
                </c:pt>
                <c:pt idx="2">
                  <c:v>21744.274779045543</c:v>
                </c:pt>
                <c:pt idx="3">
                  <c:v>21745.829500941531</c:v>
                </c:pt>
                <c:pt idx="4">
                  <c:v>21761.266373394414</c:v>
                </c:pt>
                <c:pt idx="5">
                  <c:v>21897.241301705664</c:v>
                </c:pt>
                <c:pt idx="6">
                  <c:v>22400.675819429198</c:v>
                </c:pt>
                <c:pt idx="7">
                  <c:v>22807.152260392086</c:v>
                </c:pt>
                <c:pt idx="8">
                  <c:v>23215.22263803118</c:v>
                </c:pt>
                <c:pt idx="9">
                  <c:v>23737.89157279889</c:v>
                </c:pt>
                <c:pt idx="10">
                  <c:v>24361.530231517503</c:v>
                </c:pt>
                <c:pt idx="11">
                  <c:v>25184.213890017851</c:v>
                </c:pt>
                <c:pt idx="12">
                  <c:v>26251.077606735766</c:v>
                </c:pt>
                <c:pt idx="13">
                  <c:v>27533.196460307085</c:v>
                </c:pt>
                <c:pt idx="14">
                  <c:v>29198.396564212995</c:v>
                </c:pt>
                <c:pt idx="15">
                  <c:v>31243.624069002512</c:v>
                </c:pt>
                <c:pt idx="16">
                  <c:v>34629.875886524846</c:v>
                </c:pt>
                <c:pt idx="17">
                  <c:v>39144.628576303541</c:v>
                </c:pt>
                <c:pt idx="18">
                  <c:v>38115.654395473255</c:v>
                </c:pt>
                <c:pt idx="19">
                  <c:v>27549.447953142146</c:v>
                </c:pt>
                <c:pt idx="20">
                  <c:v>18847.942254902329</c:v>
                </c:pt>
                <c:pt idx="21">
                  <c:v>13796.724796288985</c:v>
                </c:pt>
                <c:pt idx="22">
                  <c:v>10839.995594625787</c:v>
                </c:pt>
                <c:pt idx="23">
                  <c:v>8946.4858535865169</c:v>
                </c:pt>
                <c:pt idx="24">
                  <c:v>7609.7166776377044</c:v>
                </c:pt>
                <c:pt idx="25">
                  <c:v>6581.082509099756</c:v>
                </c:pt>
                <c:pt idx="26">
                  <c:v>5707.0522468566833</c:v>
                </c:pt>
                <c:pt idx="27">
                  <c:v>4901.3067275840267</c:v>
                </c:pt>
                <c:pt idx="28">
                  <c:v>4071.8305342290523</c:v>
                </c:pt>
                <c:pt idx="29">
                  <c:v>3201.8582633951432</c:v>
                </c:pt>
                <c:pt idx="30">
                  <c:v>2353.0684240833825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21607.980195039068</c:v>
                </c:pt>
                <c:pt idx="1">
                  <c:v>21612.28965190726</c:v>
                </c:pt>
                <c:pt idx="2">
                  <c:v>21639.920405157689</c:v>
                </c:pt>
                <c:pt idx="3">
                  <c:v>21861.025612639936</c:v>
                </c:pt>
                <c:pt idx="4">
                  <c:v>22356.685120896589</c:v>
                </c:pt>
                <c:pt idx="5">
                  <c:v>22741.801785132677</c:v>
                </c:pt>
                <c:pt idx="6">
                  <c:v>23163.215268174965</c:v>
                </c:pt>
                <c:pt idx="7">
                  <c:v>23696.683106206725</c:v>
                </c:pt>
                <c:pt idx="8">
                  <c:v>24346.185281092145</c:v>
                </c:pt>
                <c:pt idx="9">
                  <c:v>25203.327484433135</c:v>
                </c:pt>
                <c:pt idx="10">
                  <c:v>26313.114636767765</c:v>
                </c:pt>
                <c:pt idx="11">
                  <c:v>27619.123013616882</c:v>
                </c:pt>
                <c:pt idx="12">
                  <c:v>29329.20324521096</c:v>
                </c:pt>
                <c:pt idx="13">
                  <c:v>31564.484853718845</c:v>
                </c:pt>
                <c:pt idx="14">
                  <c:v>35425.421047323616</c:v>
                </c:pt>
                <c:pt idx="15">
                  <c:v>41753.585702503391</c:v>
                </c:pt>
                <c:pt idx="16">
                  <c:v>49740.722928824689</c:v>
                </c:pt>
                <c:pt idx="17">
                  <c:v>50815.115098268368</c:v>
                </c:pt>
                <c:pt idx="18">
                  <c:v>35799.167732765876</c:v>
                </c:pt>
                <c:pt idx="19">
                  <c:v>22048.935230459032</c:v>
                </c:pt>
                <c:pt idx="20">
                  <c:v>14952.76379195938</c:v>
                </c:pt>
                <c:pt idx="21">
                  <c:v>11155.676444840181</c:v>
                </c:pt>
                <c:pt idx="22">
                  <c:v>8832.4901585871066</c:v>
                </c:pt>
                <c:pt idx="23">
                  <c:v>7244.1369784340341</c:v>
                </c:pt>
                <c:pt idx="24">
                  <c:v>6037.1268119875549</c:v>
                </c:pt>
                <c:pt idx="25">
                  <c:v>5018.5531608740539</c:v>
                </c:pt>
                <c:pt idx="26">
                  <c:v>4053.281332744843</c:v>
                </c:pt>
                <c:pt idx="27">
                  <c:v>3098.9559316424861</c:v>
                </c:pt>
                <c:pt idx="28">
                  <c:v>2227.2603275070496</c:v>
                </c:pt>
                <c:pt idx="29">
                  <c:v>1559.9187523003231</c:v>
                </c:pt>
                <c:pt idx="30">
                  <c:v>1133.7393389954989</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21586.906808299471</c:v>
                </c:pt>
                <c:pt idx="1">
                  <c:v>22176.891810527537</c:v>
                </c:pt>
                <c:pt idx="2">
                  <c:v>22559.065595768479</c:v>
                </c:pt>
                <c:pt idx="3">
                  <c:v>22976.965198497666</c:v>
                </c:pt>
                <c:pt idx="4">
                  <c:v>23501.057561019414</c:v>
                </c:pt>
                <c:pt idx="5">
                  <c:v>24143.930051806245</c:v>
                </c:pt>
                <c:pt idx="6">
                  <c:v>24990.1952753851</c:v>
                </c:pt>
                <c:pt idx="7">
                  <c:v>26084.746090634377</c:v>
                </c:pt>
                <c:pt idx="8">
                  <c:v>27363.900091930205</c:v>
                </c:pt>
                <c:pt idx="9">
                  <c:v>29042.692126785088</c:v>
                </c:pt>
                <c:pt idx="10">
                  <c:v>31271.504743708578</c:v>
                </c:pt>
                <c:pt idx="11">
                  <c:v>35119.126887934013</c:v>
                </c:pt>
                <c:pt idx="12">
                  <c:v>41423.269452970897</c:v>
                </c:pt>
                <c:pt idx="13">
                  <c:v>50598.783107940209</c:v>
                </c:pt>
                <c:pt idx="14">
                  <c:v>65001.528093066168</c:v>
                </c:pt>
                <c:pt idx="15">
                  <c:v>93203.355661661641</c:v>
                </c:pt>
                <c:pt idx="16">
                  <c:v>120011.3345562145</c:v>
                </c:pt>
                <c:pt idx="17">
                  <c:v>68723.485988223809</c:v>
                </c:pt>
                <c:pt idx="18">
                  <c:v>30918.78800471163</c:v>
                </c:pt>
                <c:pt idx="19">
                  <c:v>17544.308150233417</c:v>
                </c:pt>
                <c:pt idx="20">
                  <c:v>11643.607666044836</c:v>
                </c:pt>
                <c:pt idx="21">
                  <c:v>8411.2176035345219</c:v>
                </c:pt>
                <c:pt idx="22">
                  <c:v>6330.5121315583183</c:v>
                </c:pt>
                <c:pt idx="23">
                  <c:v>4771.8930156855977</c:v>
                </c:pt>
                <c:pt idx="24">
                  <c:v>3466.060474476345</c:v>
                </c:pt>
                <c:pt idx="25">
                  <c:v>2410.4416254123034</c:v>
                </c:pt>
                <c:pt idx="26">
                  <c:v>1650.4388913117341</c:v>
                </c:pt>
                <c:pt idx="27">
                  <c:v>1182.2643751491598</c:v>
                </c:pt>
                <c:pt idx="28">
                  <c:v>940.93564166891053</c:v>
                </c:pt>
                <c:pt idx="29">
                  <c:v>819.53517089041009</c:v>
                </c:pt>
                <c:pt idx="30">
                  <c:v>757.89722411263494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25393.568386649978</c:v>
                </c:pt>
                <c:pt idx="1">
                  <c:v>27084.539949588099</c:v>
                </c:pt>
                <c:pt idx="2">
                  <c:v>28720.160081905295</c:v>
                </c:pt>
                <c:pt idx="3">
                  <c:v>31249.646209362581</c:v>
                </c:pt>
                <c:pt idx="4">
                  <c:v>35310.084689321317</c:v>
                </c:pt>
                <c:pt idx="5">
                  <c:v>41770.992704588716</c:v>
                </c:pt>
                <c:pt idx="6">
                  <c:v>50867.30499030355</c:v>
                </c:pt>
                <c:pt idx="7">
                  <c:v>66813.304689896933</c:v>
                </c:pt>
                <c:pt idx="8">
                  <c:v>100166.13841907137</c:v>
                </c:pt>
                <c:pt idx="9">
                  <c:v>239209.07365124312</c:v>
                </c:pt>
                <c:pt idx="10">
                  <c:v>-434146.00503808621</c:v>
                </c:pt>
                <c:pt idx="11">
                  <c:v>-92783.81561830506</c:v>
                </c:pt>
                <c:pt idx="12">
                  <c:v>-45575.380585679479</c:v>
                </c:pt>
                <c:pt idx="13">
                  <c:v>-27037.651675818404</c:v>
                </c:pt>
                <c:pt idx="14">
                  <c:v>-17295.988625367216</c:v>
                </c:pt>
                <c:pt idx="15">
                  <c:v>-11681.794590661575</c:v>
                </c:pt>
                <c:pt idx="16">
                  <c:v>-8676.3168132790815</c:v>
                </c:pt>
                <c:pt idx="17">
                  <c:v>-7132.3818572909804</c:v>
                </c:pt>
                <c:pt idx="18">
                  <c:v>-7054.6668959634899</c:v>
                </c:pt>
                <c:pt idx="19">
                  <c:v>-15303.918327797739</c:v>
                </c:pt>
                <c:pt idx="20">
                  <c:v>7171.6561722797296</c:v>
                </c:pt>
                <c:pt idx="21">
                  <c:v>2267.6512678891745</c:v>
                </c:pt>
                <c:pt idx="22">
                  <c:v>1342.8118972213299</c:v>
                </c:pt>
                <c:pt idx="23">
                  <c:v>1013.4861415615435</c:v>
                </c:pt>
                <c:pt idx="24">
                  <c:v>858.34766896561644</c:v>
                </c:pt>
                <c:pt idx="25">
                  <c:v>778.81671928129947</c:v>
                </c:pt>
                <c:pt idx="26">
                  <c:v>722.35727551437105</c:v>
                </c:pt>
                <c:pt idx="27">
                  <c:v>681.03462936558253</c:v>
                </c:pt>
                <c:pt idx="28">
                  <c:v>684.04508615430552</c:v>
                </c:pt>
                <c:pt idx="29">
                  <c:v>659.83679031254007</c:v>
                </c:pt>
                <c:pt idx="30">
                  <c:v>659.39001525263291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48341.983233453284</c:v>
                </c:pt>
                <c:pt idx="1">
                  <c:v>67941.212759188784</c:v>
                </c:pt>
                <c:pt idx="2">
                  <c:v>106581.8494399214</c:v>
                </c:pt>
                <c:pt idx="3">
                  <c:v>288758.29313817841</c:v>
                </c:pt>
                <c:pt idx="4">
                  <c:v>-288065.55911220331</c:v>
                </c:pt>
                <c:pt idx="5">
                  <c:v>-79234.14359526879</c:v>
                </c:pt>
                <c:pt idx="6">
                  <c:v>-40714.818197634682</c:v>
                </c:pt>
                <c:pt idx="7">
                  <c:v>-24326.385022731254</c:v>
                </c:pt>
                <c:pt idx="8">
                  <c:v>-15427.768378593551</c:v>
                </c:pt>
                <c:pt idx="9">
                  <c:v>-9752.6488612277735</c:v>
                </c:pt>
                <c:pt idx="10">
                  <c:v>-5964.337623498428</c:v>
                </c:pt>
                <c:pt idx="11">
                  <c:v>-3517.5701927614382</c:v>
                </c:pt>
                <c:pt idx="12">
                  <c:v>-2082.5065038760617</c:v>
                </c:pt>
                <c:pt idx="13">
                  <c:v>-1304.5671943275686</c:v>
                </c:pt>
                <c:pt idx="14">
                  <c:v>-933.54237214130342</c:v>
                </c:pt>
                <c:pt idx="15">
                  <c:v>-775.18717459109746</c:v>
                </c:pt>
                <c:pt idx="16">
                  <c:v>-751.2831465372966</c:v>
                </c:pt>
                <c:pt idx="17">
                  <c:v>-886.01771893675016</c:v>
                </c:pt>
                <c:pt idx="18">
                  <c:v>-1513.0564232573886</c:v>
                </c:pt>
                <c:pt idx="19">
                  <c:v>-9284.3564959459982</c:v>
                </c:pt>
                <c:pt idx="20">
                  <c:v>2810.2536037086306</c:v>
                </c:pt>
                <c:pt idx="21">
                  <c:v>1316.3498626257301</c:v>
                </c:pt>
                <c:pt idx="22">
                  <c:v>956.82091385254694</c:v>
                </c:pt>
                <c:pt idx="23">
                  <c:v>811.61046333774709</c:v>
                </c:pt>
                <c:pt idx="24">
                  <c:v>738.99446163767857</c:v>
                </c:pt>
                <c:pt idx="25">
                  <c:v>724.39732522703719</c:v>
                </c:pt>
                <c:pt idx="26">
                  <c:v>707.07422101532052</c:v>
                </c:pt>
                <c:pt idx="27">
                  <c:v>666.37704016566681</c:v>
                </c:pt>
                <c:pt idx="28">
                  <c:v>665.87819078840846</c:v>
                </c:pt>
                <c:pt idx="29">
                  <c:v>649.26387204203775</c:v>
                </c:pt>
                <c:pt idx="30">
                  <c:v>641.08087260851198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28259144"/>
        <c:axId val="6282552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282591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55224"/>
        <c:crosses val="autoZero"/>
        <c:crossBetween val="midCat"/>
        <c:majorUnit val="10000"/>
      </c:valAx>
      <c:valAx>
        <c:axId val="62825522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5914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0.35489597935815076</c:v>
                </c:pt>
                <c:pt idx="1">
                  <c:v>0.35490202218430006</c:v>
                </c:pt>
                <c:pt idx="2">
                  <c:v>0.3549020636626749</c:v>
                </c:pt>
                <c:pt idx="3">
                  <c:v>0.35490205578029937</c:v>
                </c:pt>
                <c:pt idx="4">
                  <c:v>0.35490204335390357</c:v>
                </c:pt>
                <c:pt idx="5">
                  <c:v>0.35490204440916467</c:v>
                </c:pt>
                <c:pt idx="6">
                  <c:v>0.35490203980042623</c:v>
                </c:pt>
                <c:pt idx="7">
                  <c:v>0.35490204298777367</c:v>
                </c:pt>
                <c:pt idx="8">
                  <c:v>0.354902046175121</c:v>
                </c:pt>
                <c:pt idx="9">
                  <c:v>0.35490209753879987</c:v>
                </c:pt>
                <c:pt idx="10">
                  <c:v>0.35490258920783019</c:v>
                </c:pt>
                <c:pt idx="11">
                  <c:v>0.35490755753802411</c:v>
                </c:pt>
                <c:pt idx="12">
                  <c:v>0.35495682322457078</c:v>
                </c:pt>
                <c:pt idx="13">
                  <c:v>0.35542753741007366</c:v>
                </c:pt>
                <c:pt idx="14">
                  <c:v>0.35886729716974969</c:v>
                </c:pt>
                <c:pt idx="15">
                  <c:v>0.36471461580118525</c:v>
                </c:pt>
                <c:pt idx="16">
                  <c:v>0.368997751402251</c:v>
                </c:pt>
                <c:pt idx="17">
                  <c:v>0.37343228673851209</c:v>
                </c:pt>
                <c:pt idx="18">
                  <c:v>0.37847426589692063</c:v>
                </c:pt>
                <c:pt idx="19">
                  <c:v>0.38388349439235298</c:v>
                </c:pt>
                <c:pt idx="20">
                  <c:v>0.38955598590785695</c:v>
                </c:pt>
                <c:pt idx="21">
                  <c:v>0.3932572703907245</c:v>
                </c:pt>
                <c:pt idx="22">
                  <c:v>0.39233854200316304</c:v>
                </c:pt>
                <c:pt idx="23">
                  <c:v>0.38878007018680982</c:v>
                </c:pt>
                <c:pt idx="24">
                  <c:v>0.38517528954678487</c:v>
                </c:pt>
                <c:pt idx="25">
                  <c:v>0.38199118893972828</c:v>
                </c:pt>
                <c:pt idx="26">
                  <c:v>0.37863557002696607</c:v>
                </c:pt>
                <c:pt idx="27">
                  <c:v>0.37508754752929113</c:v>
                </c:pt>
                <c:pt idx="28">
                  <c:v>0.37211206681544845</c:v>
                </c:pt>
                <c:pt idx="29">
                  <c:v>0.36998525619072381</c:v>
                </c:pt>
                <c:pt idx="30">
                  <c:v>0.36932124505994396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0.35482118738094864</c:v>
                </c:pt>
                <c:pt idx="1">
                  <c:v>0.35482783521903322</c:v>
                </c:pt>
                <c:pt idx="2">
                  <c:v>0.35482789779427787</c:v>
                </c:pt>
                <c:pt idx="3">
                  <c:v>0.354827927664711</c:v>
                </c:pt>
                <c:pt idx="4">
                  <c:v>0.35482826802139189</c:v>
                </c:pt>
                <c:pt idx="5">
                  <c:v>0.35483171856662499</c:v>
                </c:pt>
                <c:pt idx="6">
                  <c:v>0.35486606897663669</c:v>
                </c:pt>
                <c:pt idx="7">
                  <c:v>0.35519741436275554</c:v>
                </c:pt>
                <c:pt idx="8">
                  <c:v>0.35783756168709369</c:v>
                </c:pt>
                <c:pt idx="9">
                  <c:v>0.36387514519750819</c:v>
                </c:pt>
                <c:pt idx="10">
                  <c:v>0.36817913117817369</c:v>
                </c:pt>
                <c:pt idx="11">
                  <c:v>0.3724540831718347</c:v>
                </c:pt>
                <c:pt idx="12">
                  <c:v>0.37740418808551496</c:v>
                </c:pt>
                <c:pt idx="13">
                  <c:v>0.38281449537080187</c:v>
                </c:pt>
                <c:pt idx="14">
                  <c:v>0.389154242855551</c:v>
                </c:pt>
                <c:pt idx="15">
                  <c:v>0.39629437438480308</c:v>
                </c:pt>
                <c:pt idx="16">
                  <c:v>0.40375680905594591</c:v>
                </c:pt>
                <c:pt idx="17">
                  <c:v>0.41130037097382799</c:v>
                </c:pt>
                <c:pt idx="18">
                  <c:v>0.41871405087546681</c:v>
                </c:pt>
                <c:pt idx="19">
                  <c:v>0.42311682834247144</c:v>
                </c:pt>
                <c:pt idx="20">
                  <c:v>0.41923118981609542</c:v>
                </c:pt>
                <c:pt idx="21">
                  <c:v>0.40998822695277171</c:v>
                </c:pt>
                <c:pt idx="22">
                  <c:v>0.40041657150459081</c:v>
                </c:pt>
                <c:pt idx="23">
                  <c:v>0.3923056353269026</c:v>
                </c:pt>
                <c:pt idx="24">
                  <c:v>0.38525072058989801</c:v>
                </c:pt>
                <c:pt idx="25">
                  <c:v>0.37967855068746292</c:v>
                </c:pt>
                <c:pt idx="26">
                  <c:v>0.37554569276491812</c:v>
                </c:pt>
                <c:pt idx="27">
                  <c:v>0.37281913936625122</c:v>
                </c:pt>
                <c:pt idx="28">
                  <c:v>0.37105240773761544</c:v>
                </c:pt>
                <c:pt idx="29">
                  <c:v>0.37005321715082468</c:v>
                </c:pt>
                <c:pt idx="30">
                  <c:v>0.36958492431552026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0.35477058198623695</c:v>
                </c:pt>
                <c:pt idx="1">
                  <c:v>0.35477781733677666</c:v>
                </c:pt>
                <c:pt idx="2">
                  <c:v>0.35477996345413693</c:v>
                </c:pt>
                <c:pt idx="3">
                  <c:v>0.35480066766085783</c:v>
                </c:pt>
                <c:pt idx="4">
                  <c:v>0.35500228114419569</c:v>
                </c:pt>
                <c:pt idx="5">
                  <c:v>0.3567483273195185</c:v>
                </c:pt>
                <c:pt idx="6">
                  <c:v>0.36276720216317948</c:v>
                </c:pt>
                <c:pt idx="7">
                  <c:v>0.3672262004593369</c:v>
                </c:pt>
                <c:pt idx="8">
                  <c:v>0.37136611789334945</c:v>
                </c:pt>
                <c:pt idx="9">
                  <c:v>0.37619947643528545</c:v>
                </c:pt>
                <c:pt idx="10">
                  <c:v>0.38141836081700342</c:v>
                </c:pt>
                <c:pt idx="11">
                  <c:v>0.38754587223220294</c:v>
                </c:pt>
                <c:pt idx="12">
                  <c:v>0.39448251091367348</c:v>
                </c:pt>
                <c:pt idx="13">
                  <c:v>0.40188126002592905</c:v>
                </c:pt>
                <c:pt idx="14">
                  <c:v>0.40958911883464649</c:v>
                </c:pt>
                <c:pt idx="15">
                  <c:v>0.41770359114388039</c:v>
                </c:pt>
                <c:pt idx="16">
                  <c:v>0.42821784330005652</c:v>
                </c:pt>
                <c:pt idx="17">
                  <c:v>0.43961044976552138</c:v>
                </c:pt>
                <c:pt idx="18">
                  <c:v>0.44389699213231482</c:v>
                </c:pt>
                <c:pt idx="19">
                  <c:v>0.43484850974380884</c:v>
                </c:pt>
                <c:pt idx="20">
                  <c:v>0.42130709958998103</c:v>
                </c:pt>
                <c:pt idx="21">
                  <c:v>0.40859653237872606</c:v>
                </c:pt>
                <c:pt idx="22">
                  <c:v>0.39817455774962407</c:v>
                </c:pt>
                <c:pt idx="23">
                  <c:v>0.38959513486840536</c:v>
                </c:pt>
                <c:pt idx="24">
                  <c:v>0.38323169370053223</c:v>
                </c:pt>
                <c:pt idx="25">
                  <c:v>0.37847278016444513</c:v>
                </c:pt>
                <c:pt idx="26">
                  <c:v>0.37530017563651091</c:v>
                </c:pt>
                <c:pt idx="27">
                  <c:v>0.37340344754492044</c:v>
                </c:pt>
                <c:pt idx="28">
                  <c:v>0.37248523863291111</c:v>
                </c:pt>
                <c:pt idx="29">
                  <c:v>0.37247702080976652</c:v>
                </c:pt>
                <c:pt idx="30">
                  <c:v>0.37329799121232177</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0.35471875817893839</c:v>
                </c:pt>
                <c:pt idx="1">
                  <c:v>0.35476427021935553</c:v>
                </c:pt>
                <c:pt idx="2">
                  <c:v>0.35513075943754374</c:v>
                </c:pt>
                <c:pt idx="3">
                  <c:v>0.35797376910597761</c:v>
                </c:pt>
                <c:pt idx="4">
                  <c:v>0.36384606795456531</c:v>
                </c:pt>
                <c:pt idx="5">
                  <c:v>0.36805965167887011</c:v>
                </c:pt>
                <c:pt idx="6">
                  <c:v>0.37230591403596053</c:v>
                </c:pt>
                <c:pt idx="7">
                  <c:v>0.37719745801225502</c:v>
                </c:pt>
                <c:pt idx="8">
                  <c:v>0.38257129814771013</c:v>
                </c:pt>
                <c:pt idx="9">
                  <c:v>0.38885797060695171</c:v>
                </c:pt>
                <c:pt idx="10">
                  <c:v>0.39593372556541445</c:v>
                </c:pt>
                <c:pt idx="11">
                  <c:v>0.40330422291518786</c:v>
                </c:pt>
                <c:pt idx="12">
                  <c:v>0.41102984620086391</c:v>
                </c:pt>
                <c:pt idx="13">
                  <c:v>0.41958285765110254</c:v>
                </c:pt>
                <c:pt idx="14">
                  <c:v>0.43076231879816651</c:v>
                </c:pt>
                <c:pt idx="15">
                  <c:v>0.44351746347578624</c:v>
                </c:pt>
                <c:pt idx="16">
                  <c:v>0.45456280842810487</c:v>
                </c:pt>
                <c:pt idx="17">
                  <c:v>0.45886276191674802</c:v>
                </c:pt>
                <c:pt idx="18">
                  <c:v>0.45038692134131919</c:v>
                </c:pt>
                <c:pt idx="19">
                  <c:v>0.43376077870951285</c:v>
                </c:pt>
                <c:pt idx="20">
                  <c:v>0.41822897347961724</c:v>
                </c:pt>
                <c:pt idx="21">
                  <c:v>0.40561216449846527</c:v>
                </c:pt>
                <c:pt idx="22">
                  <c:v>0.3957409861882622</c:v>
                </c:pt>
                <c:pt idx="23">
                  <c:v>0.38798098997590896</c:v>
                </c:pt>
                <c:pt idx="24">
                  <c:v>0.38236073526821734</c:v>
                </c:pt>
                <c:pt idx="25">
                  <c:v>0.37860628097626842</c:v>
                </c:pt>
                <c:pt idx="26">
                  <c:v>0.37656615413665595</c:v>
                </c:pt>
                <c:pt idx="27">
                  <c:v>0.37588547480692353</c:v>
                </c:pt>
                <c:pt idx="28">
                  <c:v>0.37630053975891509</c:v>
                </c:pt>
                <c:pt idx="29">
                  <c:v>0.37755150222040601</c:v>
                </c:pt>
                <c:pt idx="30">
                  <c:v>0.3792783394951591</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0.35669424279974371</c:v>
                </c:pt>
                <c:pt idx="1">
                  <c:v>0.36381285985426876</c:v>
                </c:pt>
                <c:pt idx="2">
                  <c:v>0.36805711474976932</c:v>
                </c:pt>
                <c:pt idx="3">
                  <c:v>0.37232543156202752</c:v>
                </c:pt>
                <c:pt idx="4">
                  <c:v>0.37719485157551658</c:v>
                </c:pt>
                <c:pt idx="5">
                  <c:v>0.38258146708104163</c:v>
                </c:pt>
                <c:pt idx="6">
                  <c:v>0.38886469628682918</c:v>
                </c:pt>
                <c:pt idx="7">
                  <c:v>0.39592756377954424</c:v>
                </c:pt>
                <c:pt idx="8">
                  <c:v>0.40323905685148376</c:v>
                </c:pt>
                <c:pt idx="9">
                  <c:v>0.41092447804756133</c:v>
                </c:pt>
                <c:pt idx="10">
                  <c:v>0.41955981300310613</c:v>
                </c:pt>
                <c:pt idx="11">
                  <c:v>0.43080778045953932</c:v>
                </c:pt>
                <c:pt idx="12">
                  <c:v>0.44354880968854687</c:v>
                </c:pt>
                <c:pt idx="13">
                  <c:v>0.45538051176429006</c:v>
                </c:pt>
                <c:pt idx="14">
                  <c:v>0.46639275755272308</c:v>
                </c:pt>
                <c:pt idx="15">
                  <c:v>0.47744824481442832</c:v>
                </c:pt>
                <c:pt idx="16">
                  <c:v>0.48361266176195816</c:v>
                </c:pt>
                <c:pt idx="17">
                  <c:v>0.47534307577694779</c:v>
                </c:pt>
                <c:pt idx="18">
                  <c:v>0.45544729226535463</c:v>
                </c:pt>
                <c:pt idx="19">
                  <c:v>0.43618769029269239</c:v>
                </c:pt>
                <c:pt idx="20">
                  <c:v>0.42029278480629212</c:v>
                </c:pt>
                <c:pt idx="21">
                  <c:v>0.4076057819268889</c:v>
                </c:pt>
                <c:pt idx="22">
                  <c:v>0.397892826900479</c:v>
                </c:pt>
                <c:pt idx="23">
                  <c:v>0.39115179478242412</c:v>
                </c:pt>
                <c:pt idx="24">
                  <c:v>0.38673491484147576</c:v>
                </c:pt>
                <c:pt idx="25">
                  <c:v>0.38471964365997935</c:v>
                </c:pt>
                <c:pt idx="26">
                  <c:v>0.38411431824728953</c:v>
                </c:pt>
                <c:pt idx="27">
                  <c:v>0.38418375754079576</c:v>
                </c:pt>
                <c:pt idx="28">
                  <c:v>0.38404057977325279</c:v>
                </c:pt>
                <c:pt idx="29">
                  <c:v>0.38369895648501395</c:v>
                </c:pt>
                <c:pt idx="30">
                  <c:v>0.38330551692727372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0.39427561036024372</c:v>
                </c:pt>
                <c:pt idx="1">
                  <c:v>0.4037430680490301</c:v>
                </c:pt>
                <c:pt idx="2">
                  <c:v>0.41152209741599799</c:v>
                </c:pt>
                <c:pt idx="3">
                  <c:v>0.42095508159629863</c:v>
                </c:pt>
                <c:pt idx="4">
                  <c:v>0.4325781738016175</c:v>
                </c:pt>
                <c:pt idx="5">
                  <c:v>0.44512623528539907</c:v>
                </c:pt>
                <c:pt idx="6">
                  <c:v>0.45642693069866719</c:v>
                </c:pt>
                <c:pt idx="7">
                  <c:v>0.46788810691277705</c:v>
                </c:pt>
                <c:pt idx="8">
                  <c:v>0.47930844947728379</c:v>
                </c:pt>
                <c:pt idx="9">
                  <c:v>0.49163002574223441</c:v>
                </c:pt>
                <c:pt idx="10">
                  <c:v>0.50443882524619388</c:v>
                </c:pt>
                <c:pt idx="11">
                  <c:v>0.51986383183620388</c:v>
                </c:pt>
                <c:pt idx="12">
                  <c:v>0.53833337825768979</c:v>
                </c:pt>
                <c:pt idx="13">
                  <c:v>0.56052002302217097</c:v>
                </c:pt>
                <c:pt idx="14">
                  <c:v>0.58678826962308783</c:v>
                </c:pt>
                <c:pt idx="15">
                  <c:v>0.61156764956078513</c:v>
                </c:pt>
                <c:pt idx="16">
                  <c:v>0.61509043008662778</c:v>
                </c:pt>
                <c:pt idx="17">
                  <c:v>0.59458284184799615</c:v>
                </c:pt>
                <c:pt idx="18">
                  <c:v>0.55955612083707895</c:v>
                </c:pt>
                <c:pt idx="19">
                  <c:v>0.51681712245192568</c:v>
                </c:pt>
                <c:pt idx="20">
                  <c:v>0.47639048968183723</c:v>
                </c:pt>
                <c:pt idx="21">
                  <c:v>0.44422358614041935</c:v>
                </c:pt>
                <c:pt idx="22">
                  <c:v>0.42134079305592781</c:v>
                </c:pt>
                <c:pt idx="23">
                  <c:v>0.40684649820573399</c:v>
                </c:pt>
                <c:pt idx="24">
                  <c:v>0.39792561387968323</c:v>
                </c:pt>
                <c:pt idx="25">
                  <c:v>0.39207194877757212</c:v>
                </c:pt>
                <c:pt idx="26">
                  <c:v>0.38985856435232907</c:v>
                </c:pt>
                <c:pt idx="27">
                  <c:v>0.38798727678434231</c:v>
                </c:pt>
                <c:pt idx="28">
                  <c:v>0.38868171613136165</c:v>
                </c:pt>
                <c:pt idx="29">
                  <c:v>0.38587682514307076</c:v>
                </c:pt>
                <c:pt idx="30">
                  <c:v>0.38586011128695918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0.45450490496812768</c:v>
                </c:pt>
                <c:pt idx="1">
                  <c:v>0.46898678097757085</c:v>
                </c:pt>
                <c:pt idx="2">
                  <c:v>0.48088322666957084</c:v>
                </c:pt>
                <c:pt idx="3">
                  <c:v>0.4931989574542967</c:v>
                </c:pt>
                <c:pt idx="4">
                  <c:v>0.50656640942148146</c:v>
                </c:pt>
                <c:pt idx="5">
                  <c:v>0.5227542253653461</c:v>
                </c:pt>
                <c:pt idx="6">
                  <c:v>0.54189045250279344</c:v>
                </c:pt>
                <c:pt idx="7">
                  <c:v>0.56543847815098824</c:v>
                </c:pt>
                <c:pt idx="8">
                  <c:v>0.59457682568474046</c:v>
                </c:pt>
                <c:pt idx="9">
                  <c:v>0.6328207741917089</c:v>
                </c:pt>
                <c:pt idx="10">
                  <c:v>0.68333020421120849</c:v>
                </c:pt>
                <c:pt idx="11">
                  <c:v>0.74524020735652441</c:v>
                </c:pt>
                <c:pt idx="12">
                  <c:v>0.80816746989810162</c:v>
                </c:pt>
                <c:pt idx="13">
                  <c:v>0.85914946735003972</c:v>
                </c:pt>
                <c:pt idx="14">
                  <c:v>0.88691880061992689</c:v>
                </c:pt>
                <c:pt idx="15">
                  <c:v>0.88233328924894572</c:v>
                </c:pt>
                <c:pt idx="16">
                  <c:v>0.82835141787283606</c:v>
                </c:pt>
                <c:pt idx="17">
                  <c:v>0.71455639605442056</c:v>
                </c:pt>
                <c:pt idx="18">
                  <c:v>0.59490811344728323</c:v>
                </c:pt>
                <c:pt idx="19">
                  <c:v>0.51250242617474107</c:v>
                </c:pt>
                <c:pt idx="20">
                  <c:v>0.46541421985666703</c:v>
                </c:pt>
                <c:pt idx="21">
                  <c:v>0.4336795855389774</c:v>
                </c:pt>
                <c:pt idx="22">
                  <c:v>0.41397916551672681</c:v>
                </c:pt>
                <c:pt idx="23">
                  <c:v>0.40217553448411786</c:v>
                </c:pt>
                <c:pt idx="24">
                  <c:v>0.39501639110185399</c:v>
                </c:pt>
                <c:pt idx="25">
                  <c:v>0.39347828163196613</c:v>
                </c:pt>
                <c:pt idx="26">
                  <c:v>0.39158578509903996</c:v>
                </c:pt>
                <c:pt idx="27">
                  <c:v>0.38693297594015463</c:v>
                </c:pt>
                <c:pt idx="28">
                  <c:v>0.38689559191669393</c:v>
                </c:pt>
                <c:pt idx="29">
                  <c:v>0.38486946069725192</c:v>
                </c:pt>
                <c:pt idx="30">
                  <c:v>0.38375611597713882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28257184"/>
        <c:axId val="6282599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282571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28259928"/>
        <c:crosses val="autoZero"/>
        <c:crossBetween val="midCat"/>
        <c:majorUnit val="10000"/>
      </c:valAx>
      <c:valAx>
        <c:axId val="62825992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2825718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28261888"/>
        <c:axId val="6282626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2826188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62672"/>
        <c:crosses val="autoZero"/>
        <c:crossBetween val="midCat"/>
        <c:majorUnit val="10000"/>
      </c:valAx>
      <c:valAx>
        <c:axId val="628262672"/>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6188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2.2318910652093706E-4</c:v>
                </c:pt>
                <c:pt idx="1">
                  <c:v>1.3923671964902103E-4</c:v>
                </c:pt>
                <c:pt idx="2">
                  <c:v>4.6761116541128313E-4</c:v>
                </c:pt>
                <c:pt idx="3">
                  <c:v>1.2140836226003719E-4</c:v>
                </c:pt>
                <c:pt idx="4">
                  <c:v>1.7982691183100183E-5</c:v>
                </c:pt>
                <c:pt idx="5">
                  <c:v>2.9180788154159656E-6</c:v>
                </c:pt>
                <c:pt idx="6">
                  <c:v>2.798570186776801E-6</c:v>
                </c:pt>
                <c:pt idx="7">
                  <c:v>7.0168545236733285E-6</c:v>
                </c:pt>
                <c:pt idx="8">
                  <c:v>1.660231947753327E-5</c:v>
                </c:pt>
                <c:pt idx="9">
                  <c:v>3.4811270800873563E-5</c:v>
                </c:pt>
                <c:pt idx="10">
                  <c:v>6.2765344564502635E-5</c:v>
                </c:pt>
                <c:pt idx="11">
                  <c:v>9.5006299479317909E-5</c:v>
                </c:pt>
                <c:pt idx="12">
                  <c:v>1.1982068340480113E-4</c:v>
                </c:pt>
                <c:pt idx="13">
                  <c:v>1.2867819038429605E-4</c:v>
                </c:pt>
                <c:pt idx="14">
                  <c:v>1.2023601696074685E-4</c:v>
                </c:pt>
                <c:pt idx="15">
                  <c:v>9.8172782592565534E-5</c:v>
                </c:pt>
                <c:pt idx="16">
                  <c:v>6.9281782433191523E-5</c:v>
                </c:pt>
                <c:pt idx="17">
                  <c:v>4.3133998244908076E-5</c:v>
                </c:pt>
                <c:pt idx="18">
                  <c:v>2.4599441284207742E-5</c:v>
                </c:pt>
                <c:pt idx="19">
                  <c:v>1.2218556010732287E-5</c:v>
                </c:pt>
                <c:pt idx="20">
                  <c:v>4.6509343457482979E-6</c:v>
                </c:pt>
                <c:pt idx="21">
                  <c:v>1.0771745490884799E-7</c:v>
                </c:pt>
                <c:pt idx="22">
                  <c:v>5.0781222184821714E-6</c:v>
                </c:pt>
                <c:pt idx="23">
                  <c:v>1.0293248560029168E-5</c:v>
                </c:pt>
                <c:pt idx="24">
                  <c:v>1.0953391833138208E-5</c:v>
                </c:pt>
                <c:pt idx="25">
                  <c:v>5.3853182204241767E-6</c:v>
                </c:pt>
                <c:pt idx="26">
                  <c:v>1.1482974615343846E-7</c:v>
                </c:pt>
                <c:pt idx="27">
                  <c:v>5.1511769398365329E-7</c:v>
                </c:pt>
                <c:pt idx="28">
                  <c:v>2.6710632640679565E-6</c:v>
                </c:pt>
                <c:pt idx="29">
                  <c:v>1.4014668930603504E-5</c:v>
                </c:pt>
                <c:pt idx="30">
                  <c:v>1.6136577424707518E-5</c:v>
                </c:pt>
              </c:numCache>
            </c:numRef>
          </c:yVal>
          <c:smooth val="1"/>
        </c:ser>
        <c:dLbls>
          <c:showLegendKey val="0"/>
          <c:showVal val="0"/>
          <c:showCatName val="0"/>
          <c:showSerName val="0"/>
          <c:showPercent val="0"/>
          <c:showBubbleSize val="0"/>
        </c:dLbls>
        <c:axId val="628268552"/>
        <c:axId val="628266200"/>
      </c:scatterChart>
      <c:valAx>
        <c:axId val="6282685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66200"/>
        <c:crossesAt val="-1.5000000000000005E-3"/>
        <c:crossBetween val="midCat"/>
      </c:valAx>
      <c:valAx>
        <c:axId val="62826620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6855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6953.3284747817806</c:v>
                </c:pt>
                <c:pt idx="1">
                  <c:v>6951.7194446085132</c:v>
                </c:pt>
                <c:pt idx="2">
                  <c:v>6936.9532158065458</c:v>
                </c:pt>
                <c:pt idx="3">
                  <c:v>6859.9617208629379</c:v>
                </c:pt>
                <c:pt idx="4">
                  <c:v>6695.5412047052832</c:v>
                </c:pt>
                <c:pt idx="5">
                  <c:v>6579.9104618847041</c:v>
                </c:pt>
                <c:pt idx="6">
                  <c:v>6466.0451298334992</c:v>
                </c:pt>
                <c:pt idx="7">
                  <c:v>6339.0329200673277</c:v>
                </c:pt>
                <c:pt idx="8">
                  <c:v>6203.4272042102175</c:v>
                </c:pt>
                <c:pt idx="9">
                  <c:v>6050.8270858144951</c:v>
                </c:pt>
                <c:pt idx="10">
                  <c:v>5884.5256505491225</c:v>
                </c:pt>
                <c:pt idx="11">
                  <c:v>5709.8943637567645</c:v>
                </c:pt>
                <c:pt idx="12">
                  <c:v>5547.2484886629672</c:v>
                </c:pt>
                <c:pt idx="13">
                  <c:v>5364.9259395940735</c:v>
                </c:pt>
                <c:pt idx="14">
                  <c:v>5142.319723372465</c:v>
                </c:pt>
                <c:pt idx="15">
                  <c:v>4901.7348555113131</c:v>
                </c:pt>
                <c:pt idx="16">
                  <c:v>4661.0338747745454</c:v>
                </c:pt>
                <c:pt idx="17">
                  <c:v>4298.8628737930421</c:v>
                </c:pt>
                <c:pt idx="18">
                  <c:v>3673.6333055744376</c:v>
                </c:pt>
                <c:pt idx="19">
                  <c:v>3055.9954635908534</c:v>
                </c:pt>
                <c:pt idx="20">
                  <c:v>2586.3887582442926</c:v>
                </c:pt>
                <c:pt idx="21">
                  <c:v>2247.3345632615828</c:v>
                </c:pt>
                <c:pt idx="22">
                  <c:v>1979.3172203635761</c:v>
                </c:pt>
                <c:pt idx="23">
                  <c:v>1753.9275520790748</c:v>
                </c:pt>
                <c:pt idx="24">
                  <c:v>1541.3001547322531</c:v>
                </c:pt>
                <c:pt idx="25">
                  <c:v>1325.7248857969844</c:v>
                </c:pt>
                <c:pt idx="26">
                  <c:v>1090.348239089077</c:v>
                </c:pt>
                <c:pt idx="27">
                  <c:v>838.64314847444916</c:v>
                </c:pt>
                <c:pt idx="28">
                  <c:v>600.54506220760504</c:v>
                </c:pt>
                <c:pt idx="29">
                  <c:v>415.9823814369081</c:v>
                </c:pt>
                <c:pt idx="30">
                  <c:v>297.68760177159345</c:v>
                </c:pt>
              </c:numCache>
            </c:numRef>
          </c:yVal>
          <c:smooth val="1"/>
        </c:ser>
        <c:dLbls>
          <c:showLegendKey val="0"/>
          <c:showVal val="0"/>
          <c:showCatName val="0"/>
          <c:showSerName val="0"/>
          <c:showPercent val="0"/>
          <c:showBubbleSize val="0"/>
        </c:dLbls>
        <c:axId val="628265808"/>
        <c:axId val="628266592"/>
      </c:scatterChart>
      <c:valAx>
        <c:axId val="6282658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66592"/>
        <c:crosses val="autoZero"/>
        <c:crossBetween val="midCat"/>
      </c:valAx>
      <c:valAx>
        <c:axId val="6282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6580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3.0324073517430158E-2</c:v>
                </c:pt>
                <c:pt idx="11">
                  <c:v>5.1883655302157938E-2</c:v>
                </c:pt>
                <c:pt idx="12">
                  <c:v>6.9448065766882255E-2</c:v>
                </c:pt>
                <c:pt idx="13">
                  <c:v>8.340253640100527E-2</c:v>
                </c:pt>
                <c:pt idx="14">
                  <c:v>8.8390067200224895E-2</c:v>
                </c:pt>
                <c:pt idx="15">
                  <c:v>8.6350991091157445E-2</c:v>
                </c:pt>
                <c:pt idx="16">
                  <c:v>9.2576360343990582E-2</c:v>
                </c:pt>
                <c:pt idx="17">
                  <c:v>0.10127966474273388</c:v>
                </c:pt>
                <c:pt idx="18">
                  <c:v>0.10990894443339981</c:v>
                </c:pt>
                <c:pt idx="19">
                  <c:v>0.11390228172741358</c:v>
                </c:pt>
                <c:pt idx="20">
                  <c:v>0.10246082473406802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2.2318798713618661E-4</c:v>
                </c:pt>
                <c:pt idx="1">
                  <c:v>1.3922570230124633E-4</c:v>
                </c:pt>
                <c:pt idx="2">
                  <c:v>4.6770551626079221E-4</c:v>
                </c:pt>
                <c:pt idx="3">
                  <c:v>1.2109231789187333E-4</c:v>
                </c:pt>
                <c:pt idx="4">
                  <c:v>1.8444835069683265E-5</c:v>
                </c:pt>
                <c:pt idx="5">
                  <c:v>2.5920873223872288E-6</c:v>
                </c:pt>
                <c:pt idx="6">
                  <c:v>3.1788249769996983E-6</c:v>
                </c:pt>
                <c:pt idx="7">
                  <c:v>6.5806310810246374E-6</c:v>
                </c:pt>
                <c:pt idx="8">
                  <c:v>1.7083301879087173E-5</c:v>
                </c:pt>
                <c:pt idx="9">
                  <c:v>3.4245690722331309E-5</c:v>
                </c:pt>
                <c:pt idx="10">
                  <c:v>6.3380090213035995E-5</c:v>
                </c:pt>
                <c:pt idx="11">
                  <c:v>9.4364196281703855E-5</c:v>
                </c:pt>
                <c:pt idx="12">
                  <c:v>1.2038804394433129E-4</c:v>
                </c:pt>
                <c:pt idx="13">
                  <c:v>1.278891561748629E-4</c:v>
                </c:pt>
                <c:pt idx="14">
                  <c:v>1.2111144587413283E-4</c:v>
                </c:pt>
                <c:pt idx="15">
                  <c:v>9.723689648495943E-5</c:v>
                </c:pt>
                <c:pt idx="16">
                  <c:v>7.0193656703367477E-5</c:v>
                </c:pt>
                <c:pt idx="17">
                  <c:v>4.0761168852011818E-5</c:v>
                </c:pt>
                <c:pt idx="18">
                  <c:v>2.7579505716332033E-5</c:v>
                </c:pt>
                <c:pt idx="19">
                  <c:v>9.4595498418524943E-6</c:v>
                </c:pt>
                <c:pt idx="20">
                  <c:v>7.0797080875156351E-6</c:v>
                </c:pt>
                <c:pt idx="21">
                  <c:v>1.7540089737039713E-6</c:v>
                </c:pt>
                <c:pt idx="22">
                  <c:v>2.4045580625898318E-6</c:v>
                </c:pt>
                <c:pt idx="23">
                  <c:v>1.2799260071327401E-5</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4.9039534750204325E-2</c:v>
                </c:pt>
                <c:pt idx="11">
                  <c:v>6.0740474999331232E-2</c:v>
                </c:pt>
                <c:pt idx="12">
                  <c:v>6.6813539752372919E-2</c:v>
                </c:pt>
                <c:pt idx="13">
                  <c:v>6.2535995566177477E-2</c:v>
                </c:pt>
                <c:pt idx="14">
                  <c:v>5.1804450044810393E-2</c:v>
                </c:pt>
                <c:pt idx="15">
                  <c:v>2.9017406087490576E-2</c:v>
                </c:pt>
                <c:pt idx="16">
                  <c:v>4.931729764227203E-2</c:v>
                </c:pt>
                <c:pt idx="17">
                  <c:v>8.7345728197727762E-2</c:v>
                </c:pt>
                <c:pt idx="18">
                  <c:v>6.5032682032011374E-2</c:v>
                </c:pt>
                <c:pt idx="19">
                  <c:v>1.8534168604705029E-2</c:v>
                </c:pt>
                <c:pt idx="20">
                  <c:v>3.7976102134078212E-2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0.16365044375048074</c:v>
                </c:pt>
                <c:pt idx="11">
                  <c:v>4.3341420512863882E-2</c:v>
                </c:pt>
                <c:pt idx="12">
                  <c:v>0.12107263937510251</c:v>
                </c:pt>
                <c:pt idx="13">
                  <c:v>0.25122847380283697</c:v>
                </c:pt>
                <c:pt idx="14">
                  <c:v>0.21172425650270085</c:v>
                </c:pt>
                <c:pt idx="15">
                  <c:v>2.1714575141653879E-2</c:v>
                </c:pt>
                <c:pt idx="16">
                  <c:v>0.16372527743242371</c:v>
                </c:pt>
                <c:pt idx="17">
                  <c:v>0.29823205642012129</c:v>
                </c:pt>
                <c:pt idx="18">
                  <c:v>0.59137478245938702</c:v>
                </c:pt>
                <c:pt idx="19">
                  <c:v>0.54162862054912309</c:v>
                </c:pt>
                <c:pt idx="20">
                  <c:v>0.46962281860619737</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628259536"/>
        <c:axId val="628266984"/>
      </c:scatterChart>
      <c:valAx>
        <c:axId val="6282595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66984"/>
        <c:crossesAt val="1.0000000000000005E-9"/>
        <c:crossBetween val="midCat"/>
      </c:valAx>
      <c:valAx>
        <c:axId val="628266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5953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-16.493953451907874</c:v>
                </c:pt>
                <c:pt idx="1">
                  <c:v>-10.106244522226985</c:v>
                </c:pt>
                <c:pt idx="2">
                  <c:v>-3.3343249227798801</c:v>
                </c:pt>
                <c:pt idx="3">
                  <c:v>0</c:v>
                </c:pt>
                <c:pt idx="4">
                  <c:v>4.1698072196281935</c:v>
                </c:pt>
                <c:pt idx="5">
                  <c:v>16.378591910573874</c:v>
                </c:pt>
                <c:pt idx="6">
                  <c:v>31.219924643662296</c:v>
                </c:pt>
              </c:numCache>
            </c:numRef>
          </c:yVal>
          <c:smooth val="0"/>
        </c:ser>
        <c:dLbls>
          <c:showLegendKey val="0"/>
          <c:showVal val="0"/>
          <c:showCatName val="0"/>
          <c:showSerName val="0"/>
          <c:showPercent val="0"/>
          <c:showBubbleSize val="0"/>
        </c:dLbls>
        <c:axId val="682920624"/>
        <c:axId val="682918664"/>
      </c:scatterChart>
      <c:valAx>
        <c:axId val="682920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8664"/>
        <c:crossesAt val="-100"/>
        <c:crossBetween val="midCat"/>
      </c:valAx>
      <c:valAx>
        <c:axId val="682918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062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ser>
        <c:dLbls>
          <c:showLegendKey val="0"/>
          <c:showVal val="0"/>
          <c:showCatName val="0"/>
          <c:showSerName val="0"/>
          <c:showPercent val="0"/>
          <c:showBubbleSize val="0"/>
        </c:dLbls>
        <c:axId val="682917096"/>
        <c:axId val="682921016"/>
      </c:scatterChart>
      <c:valAx>
        <c:axId val="68291709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1016"/>
        <c:crosses val="autoZero"/>
        <c:crossBetween val="midCat"/>
      </c:valAx>
      <c:valAx>
        <c:axId val="68292101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709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6.8669997418416781E-23</c:v>
                </c:pt>
                <c:pt idx="1">
                  <c:v>6.8669997418416774E-22</c:v>
                </c:pt>
                <c:pt idx="2">
                  <c:v>6.8669997418416777E-21</c:v>
                </c:pt>
                <c:pt idx="3">
                  <c:v>6.8669997418416771E-20</c:v>
                </c:pt>
                <c:pt idx="4">
                  <c:v>6.8669997418416776E-19</c:v>
                </c:pt>
                <c:pt idx="5">
                  <c:v>6.8669997418416778E-18</c:v>
                </c:pt>
                <c:pt idx="6">
                  <c:v>6.8669997418416784E-17</c:v>
                </c:pt>
                <c:pt idx="7">
                  <c:v>6.8669997418416784E-16</c:v>
                </c:pt>
                <c:pt idx="8">
                  <c:v>6.8669997418416776E-15</c:v>
                </c:pt>
                <c:pt idx="9">
                  <c:v>6.8669997418416778E-14</c:v>
                </c:pt>
                <c:pt idx="10">
                  <c:v>6.8669997418416785E-13</c:v>
                </c:pt>
                <c:pt idx="11">
                  <c:v>6.8669997418416779E-12</c:v>
                </c:pt>
                <c:pt idx="12">
                  <c:v>6.8669997418416775E-11</c:v>
                </c:pt>
                <c:pt idx="13">
                  <c:v>6.866999741841678E-10</c:v>
                </c:pt>
                <c:pt idx="14">
                  <c:v>6.8669997418416784E-9</c:v>
                </c:pt>
                <c:pt idx="15">
                  <c:v>6.8669997418416774E-8</c:v>
                </c:pt>
                <c:pt idx="16">
                  <c:v>6.8669997418416777E-7</c:v>
                </c:pt>
                <c:pt idx="17">
                  <c:v>6.8669997418416775E-6</c:v>
                </c:pt>
                <c:pt idx="18">
                  <c:v>6.8669997418416783E-5</c:v>
                </c:pt>
                <c:pt idx="19">
                  <c:v>6.8669997418416783E-4</c:v>
                </c:pt>
                <c:pt idx="20">
                  <c:v>6.8669997418416779E-3</c:v>
                </c:pt>
                <c:pt idx="21">
                  <c:v>6.8669997418416784E-2</c:v>
                </c:pt>
                <c:pt idx="22">
                  <c:v>0.68669997418416773</c:v>
                </c:pt>
                <c:pt idx="23">
                  <c:v>6.8669997418416777</c:v>
                </c:pt>
                <c:pt idx="24">
                  <c:v>68.669997418416784</c:v>
                </c:pt>
                <c:pt idx="25">
                  <c:v>686.69997418416779</c:v>
                </c:pt>
                <c:pt idx="26">
                  <c:v>6866.9997418416779</c:v>
                </c:pt>
                <c:pt idx="27">
                  <c:v>68669.99741841678</c:v>
                </c:pt>
                <c:pt idx="28">
                  <c:v>686699.9741841678</c:v>
                </c:pt>
                <c:pt idx="29">
                  <c:v>6866999.7418416776</c:v>
                </c:pt>
                <c:pt idx="30">
                  <c:v>68669997.418416783</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4.0823832294357115E-20</c:v>
                </c:pt>
                <c:pt idx="1">
                  <c:v>4.0823832294357112E-19</c:v>
                </c:pt>
                <c:pt idx="2">
                  <c:v>4.0823832294357113E-18</c:v>
                </c:pt>
                <c:pt idx="3">
                  <c:v>4.0823832294357111E-17</c:v>
                </c:pt>
                <c:pt idx="4">
                  <c:v>4.0823832294357112E-16</c:v>
                </c:pt>
                <c:pt idx="5">
                  <c:v>4.0823832294357113E-15</c:v>
                </c:pt>
                <c:pt idx="6">
                  <c:v>4.0823832294357118E-14</c:v>
                </c:pt>
                <c:pt idx="7">
                  <c:v>4.0823832294357117E-13</c:v>
                </c:pt>
                <c:pt idx="8">
                  <c:v>4.0823832294357113E-12</c:v>
                </c:pt>
                <c:pt idx="9">
                  <c:v>4.0823832294357109E-11</c:v>
                </c:pt>
                <c:pt idx="10">
                  <c:v>4.0823832294357116E-10</c:v>
                </c:pt>
                <c:pt idx="11">
                  <c:v>4.0823832294357113E-9</c:v>
                </c:pt>
                <c:pt idx="12">
                  <c:v>4.0823832294357113E-8</c:v>
                </c:pt>
                <c:pt idx="13">
                  <c:v>4.0823832294357115E-7</c:v>
                </c:pt>
                <c:pt idx="14">
                  <c:v>4.0823832294357113E-6</c:v>
                </c:pt>
                <c:pt idx="15">
                  <c:v>4.0823832294357117E-5</c:v>
                </c:pt>
                <c:pt idx="16">
                  <c:v>4.0823832294357114E-4</c:v>
                </c:pt>
                <c:pt idx="17">
                  <c:v>4.0823832294357111E-3</c:v>
                </c:pt>
                <c:pt idx="18">
                  <c:v>4.0823832294357112E-2</c:v>
                </c:pt>
                <c:pt idx="19">
                  <c:v>0.40823832294357115</c:v>
                </c:pt>
                <c:pt idx="20">
                  <c:v>4.0823832294357114</c:v>
                </c:pt>
                <c:pt idx="21">
                  <c:v>40.823832294357111</c:v>
                </c:pt>
                <c:pt idx="22">
                  <c:v>408.23832294357112</c:v>
                </c:pt>
                <c:pt idx="23">
                  <c:v>4082.3832294357112</c:v>
                </c:pt>
                <c:pt idx="24">
                  <c:v>40823.832294357111</c:v>
                </c:pt>
                <c:pt idx="25">
                  <c:v>408238.32294357114</c:v>
                </c:pt>
                <c:pt idx="26">
                  <c:v>4082383.2294357112</c:v>
                </c:pt>
                <c:pt idx="27">
                  <c:v>40823832.294357114</c:v>
                </c:pt>
                <c:pt idx="28">
                  <c:v>408238322.94357115</c:v>
                </c:pt>
                <c:pt idx="29">
                  <c:v>4082383229.4357114</c:v>
                </c:pt>
                <c:pt idx="30">
                  <c:v>40823832294.357117</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3.5638636924358001E-17</c:v>
                </c:pt>
                <c:pt idx="1">
                  <c:v>3.5638636924357999E-16</c:v>
                </c:pt>
                <c:pt idx="2">
                  <c:v>3.5638636924358002E-15</c:v>
                </c:pt>
                <c:pt idx="3">
                  <c:v>3.5638636924358002E-14</c:v>
                </c:pt>
                <c:pt idx="4">
                  <c:v>3.5638636924357998E-13</c:v>
                </c:pt>
                <c:pt idx="5">
                  <c:v>3.5638636924358003E-12</c:v>
                </c:pt>
                <c:pt idx="6">
                  <c:v>3.5638636924358004E-11</c:v>
                </c:pt>
                <c:pt idx="7">
                  <c:v>3.5638636924357999E-10</c:v>
                </c:pt>
                <c:pt idx="8">
                  <c:v>3.5638636924357998E-9</c:v>
                </c:pt>
                <c:pt idx="9">
                  <c:v>3.5638636924357998E-8</c:v>
                </c:pt>
                <c:pt idx="10">
                  <c:v>3.5638636924358003E-7</c:v>
                </c:pt>
                <c:pt idx="11">
                  <c:v>3.5638636924358E-6</c:v>
                </c:pt>
                <c:pt idx="12">
                  <c:v>3.5638636924358002E-5</c:v>
                </c:pt>
                <c:pt idx="13">
                  <c:v>3.5638636924358003E-4</c:v>
                </c:pt>
                <c:pt idx="14">
                  <c:v>3.5638636924358001E-3</c:v>
                </c:pt>
                <c:pt idx="15">
                  <c:v>3.5638636924358001E-2</c:v>
                </c:pt>
                <c:pt idx="16">
                  <c:v>0.35638636924358003</c:v>
                </c:pt>
                <c:pt idx="17">
                  <c:v>3.5638636924357998</c:v>
                </c:pt>
                <c:pt idx="18">
                  <c:v>35.638636924358003</c:v>
                </c:pt>
                <c:pt idx="19">
                  <c:v>356.38636924358002</c:v>
                </c:pt>
                <c:pt idx="20">
                  <c:v>3563.8636924358002</c:v>
                </c:pt>
                <c:pt idx="21">
                  <c:v>35638.636924357997</c:v>
                </c:pt>
                <c:pt idx="22">
                  <c:v>356386.36924357997</c:v>
                </c:pt>
                <c:pt idx="23">
                  <c:v>3563863.6924358001</c:v>
                </c:pt>
                <c:pt idx="24">
                  <c:v>35638636.924358003</c:v>
                </c:pt>
                <c:pt idx="25">
                  <c:v>356386369.24357998</c:v>
                </c:pt>
                <c:pt idx="26">
                  <c:v>3563863692.4358001</c:v>
                </c:pt>
                <c:pt idx="27">
                  <c:v>35638636924.358002</c:v>
                </c:pt>
                <c:pt idx="28">
                  <c:v>356386369243.58002</c:v>
                </c:pt>
                <c:pt idx="29">
                  <c:v>3563863692435.7998</c:v>
                </c:pt>
                <c:pt idx="30">
                  <c:v>35638636924358</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6.4702977440958206E-14</c:v>
                </c:pt>
                <c:pt idx="1">
                  <c:v>6.4702977440958206E-13</c:v>
                </c:pt>
                <c:pt idx="2">
                  <c:v>6.4702977440958202E-12</c:v>
                </c:pt>
                <c:pt idx="3">
                  <c:v>6.4702977440958197E-11</c:v>
                </c:pt>
                <c:pt idx="4">
                  <c:v>6.4702977440958197E-10</c:v>
                </c:pt>
                <c:pt idx="5">
                  <c:v>6.4702977440958205E-9</c:v>
                </c:pt>
                <c:pt idx="6">
                  <c:v>6.4702977440958209E-8</c:v>
                </c:pt>
                <c:pt idx="7">
                  <c:v>6.4702977440958206E-7</c:v>
                </c:pt>
                <c:pt idx="8">
                  <c:v>6.4702977440958197E-6</c:v>
                </c:pt>
                <c:pt idx="9">
                  <c:v>6.4702977440958201E-5</c:v>
                </c:pt>
                <c:pt idx="10">
                  <c:v>6.4702977440958206E-4</c:v>
                </c:pt>
                <c:pt idx="11">
                  <c:v>6.4702977440958204E-3</c:v>
                </c:pt>
                <c:pt idx="12">
                  <c:v>6.4702977440958209E-2</c:v>
                </c:pt>
                <c:pt idx="13">
                  <c:v>0.64702977440958209</c:v>
                </c:pt>
                <c:pt idx="14">
                  <c:v>6.4702977440958209</c:v>
                </c:pt>
                <c:pt idx="15">
                  <c:v>64.702977440958207</c:v>
                </c:pt>
                <c:pt idx="16">
                  <c:v>647.02977440958205</c:v>
                </c:pt>
                <c:pt idx="17">
                  <c:v>6470.2977440958202</c:v>
                </c:pt>
                <c:pt idx="18">
                  <c:v>64702.977440958202</c:v>
                </c:pt>
                <c:pt idx="19">
                  <c:v>647029.77440958202</c:v>
                </c:pt>
                <c:pt idx="20">
                  <c:v>6470297.74409582</c:v>
                </c:pt>
                <c:pt idx="21">
                  <c:v>64702977.440958202</c:v>
                </c:pt>
                <c:pt idx="22">
                  <c:v>647029774.40958202</c:v>
                </c:pt>
                <c:pt idx="23">
                  <c:v>6470297744.0958204</c:v>
                </c:pt>
                <c:pt idx="24">
                  <c:v>64702977440.958206</c:v>
                </c:pt>
                <c:pt idx="25">
                  <c:v>647029774409.58203</c:v>
                </c:pt>
                <c:pt idx="26">
                  <c:v>6470297744095.8203</c:v>
                </c:pt>
                <c:pt idx="27">
                  <c:v>64702977440958.203</c:v>
                </c:pt>
                <c:pt idx="28">
                  <c:v>647029774409582</c:v>
                </c:pt>
                <c:pt idx="29">
                  <c:v>6470297744095820</c:v>
                </c:pt>
                <c:pt idx="30">
                  <c:v>6.47029774409582E+16</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1.2975738604182271E-8</c:v>
                </c:pt>
                <c:pt idx="1">
                  <c:v>1.2975738604182271E-7</c:v>
                </c:pt>
                <c:pt idx="2">
                  <c:v>1.2975738604182271E-6</c:v>
                </c:pt>
                <c:pt idx="3">
                  <c:v>1.297573860418227E-5</c:v>
                </c:pt>
                <c:pt idx="4">
                  <c:v>1.2975738604182271E-4</c:v>
                </c:pt>
                <c:pt idx="5">
                  <c:v>1.2975738604182271E-3</c:v>
                </c:pt>
                <c:pt idx="6">
                  <c:v>1.2975738604182271E-2</c:v>
                </c:pt>
                <c:pt idx="7">
                  <c:v>0.12975738604182271</c:v>
                </c:pt>
                <c:pt idx="8">
                  <c:v>1.297573860418227</c:v>
                </c:pt>
                <c:pt idx="9">
                  <c:v>12.97573860418227</c:v>
                </c:pt>
                <c:pt idx="10">
                  <c:v>129.75738604182271</c:v>
                </c:pt>
                <c:pt idx="11">
                  <c:v>1297.573860418227</c:v>
                </c:pt>
                <c:pt idx="12">
                  <c:v>12975.73860418227</c:v>
                </c:pt>
                <c:pt idx="13">
                  <c:v>129757.3860418227</c:v>
                </c:pt>
                <c:pt idx="14">
                  <c:v>1297573.860418227</c:v>
                </c:pt>
                <c:pt idx="15">
                  <c:v>12975738.604182269</c:v>
                </c:pt>
                <c:pt idx="16">
                  <c:v>129757386.0418227</c:v>
                </c:pt>
                <c:pt idx="17">
                  <c:v>1297573860.418227</c:v>
                </c:pt>
                <c:pt idx="18">
                  <c:v>12975738604.18227</c:v>
                </c:pt>
                <c:pt idx="19">
                  <c:v>129757386041.82271</c:v>
                </c:pt>
                <c:pt idx="20">
                  <c:v>1297573860418.2271</c:v>
                </c:pt>
                <c:pt idx="21">
                  <c:v>12975738604182.27</c:v>
                </c:pt>
                <c:pt idx="22">
                  <c:v>129757386041822.7</c:v>
                </c:pt>
                <c:pt idx="23">
                  <c:v>1297573860418227</c:v>
                </c:pt>
                <c:pt idx="24">
                  <c:v>1.297573860418227E+16</c:v>
                </c:pt>
                <c:pt idx="25">
                  <c:v>1.297573860418227E+17</c:v>
                </c:pt>
                <c:pt idx="26">
                  <c:v>1.2975738604182269E+18</c:v>
                </c:pt>
                <c:pt idx="27">
                  <c:v>1.297573860418227E+19</c:v>
                </c:pt>
                <c:pt idx="28">
                  <c:v>1.2975738604182271E+20</c:v>
                </c:pt>
                <c:pt idx="29">
                  <c:v>1.297573860418227E+21</c:v>
                </c:pt>
                <c:pt idx="30">
                  <c:v>1.2975738604182271E+22</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3.6194368040405954E-2</c:v>
                </c:pt>
                <c:pt idx="1">
                  <c:v>0.3619436804040595</c:v>
                </c:pt>
                <c:pt idx="2">
                  <c:v>3.6194368040405953</c:v>
                </c:pt>
                <c:pt idx="3">
                  <c:v>36.194368040405955</c:v>
                </c:pt>
                <c:pt idx="4">
                  <c:v>361.94368040405948</c:v>
                </c:pt>
                <c:pt idx="5">
                  <c:v>3619.4368040405952</c:v>
                </c:pt>
                <c:pt idx="6">
                  <c:v>36194.368040405956</c:v>
                </c:pt>
                <c:pt idx="7">
                  <c:v>361943.68040405953</c:v>
                </c:pt>
                <c:pt idx="8">
                  <c:v>3619436.804040595</c:v>
                </c:pt>
                <c:pt idx="9">
                  <c:v>36194368.040405951</c:v>
                </c:pt>
                <c:pt idx="10">
                  <c:v>361943680.40405953</c:v>
                </c:pt>
                <c:pt idx="11">
                  <c:v>3619436804.0405955</c:v>
                </c:pt>
                <c:pt idx="12">
                  <c:v>36194368040.405952</c:v>
                </c:pt>
                <c:pt idx="13">
                  <c:v>361943680404.05951</c:v>
                </c:pt>
                <c:pt idx="14">
                  <c:v>3619436804040.5952</c:v>
                </c:pt>
                <c:pt idx="15">
                  <c:v>36194368040405.953</c:v>
                </c:pt>
                <c:pt idx="16">
                  <c:v>361943680404059.5</c:v>
                </c:pt>
                <c:pt idx="17">
                  <c:v>3619436804040595</c:v>
                </c:pt>
                <c:pt idx="18">
                  <c:v>3.6194368040405952E+16</c:v>
                </c:pt>
                <c:pt idx="19">
                  <c:v>3.6194368040405952E+17</c:v>
                </c:pt>
                <c:pt idx="20">
                  <c:v>3.6194368040405955E+18</c:v>
                </c:pt>
                <c:pt idx="21">
                  <c:v>3.619436804040595E+19</c:v>
                </c:pt>
                <c:pt idx="22">
                  <c:v>3.6194368040405952E+20</c:v>
                </c:pt>
                <c:pt idx="23">
                  <c:v>3.6194368040405953E+21</c:v>
                </c:pt>
                <c:pt idx="24">
                  <c:v>3.6194368040405951E+22</c:v>
                </c:pt>
                <c:pt idx="25">
                  <c:v>3.6194368040405951E+23</c:v>
                </c:pt>
                <c:pt idx="26">
                  <c:v>3.6194368040405954E+24</c:v>
                </c:pt>
                <c:pt idx="27">
                  <c:v>3.6194368040405953E+25</c:v>
                </c:pt>
                <c:pt idx="28">
                  <c:v>3.6194368040405955E+26</c:v>
                </c:pt>
                <c:pt idx="29">
                  <c:v>3.6194368040405951E+27</c:v>
                </c:pt>
                <c:pt idx="30">
                  <c:v>3.6194368040405952E+28</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682917488"/>
        <c:axId val="682926504"/>
      </c:scatterChart>
      <c:valAx>
        <c:axId val="68291748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6504"/>
        <c:crosses val="autoZero"/>
        <c:crossBetween val="midCat"/>
      </c:valAx>
      <c:valAx>
        <c:axId val="682926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7488"/>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6.8669997418416781E-23</c:v>
                </c:pt>
                <c:pt idx="1">
                  <c:v>6.8669997418416774E-22</c:v>
                </c:pt>
                <c:pt idx="2">
                  <c:v>6.8669997418416777E-21</c:v>
                </c:pt>
                <c:pt idx="3">
                  <c:v>6.8669997418416771E-20</c:v>
                </c:pt>
                <c:pt idx="4">
                  <c:v>6.8669997418416776E-19</c:v>
                </c:pt>
                <c:pt idx="5">
                  <c:v>6.8669997418416778E-18</c:v>
                </c:pt>
                <c:pt idx="6">
                  <c:v>6.8669997418416784E-17</c:v>
                </c:pt>
                <c:pt idx="7">
                  <c:v>6.8669997418416784E-16</c:v>
                </c:pt>
                <c:pt idx="8">
                  <c:v>6.8669997418416776E-15</c:v>
                </c:pt>
                <c:pt idx="9">
                  <c:v>6.8669997418416778E-14</c:v>
                </c:pt>
                <c:pt idx="10">
                  <c:v>6.8669997418416785E-13</c:v>
                </c:pt>
                <c:pt idx="11">
                  <c:v>6.8669997418416779E-12</c:v>
                </c:pt>
                <c:pt idx="12">
                  <c:v>6.8669997418416775E-11</c:v>
                </c:pt>
                <c:pt idx="13">
                  <c:v>6.866999741841678E-10</c:v>
                </c:pt>
                <c:pt idx="14">
                  <c:v>6.8669997418416784E-9</c:v>
                </c:pt>
                <c:pt idx="15">
                  <c:v>6.8669997418416774E-8</c:v>
                </c:pt>
                <c:pt idx="16">
                  <c:v>6.8669997418416777E-7</c:v>
                </c:pt>
                <c:pt idx="17">
                  <c:v>6.8669997418416775E-6</c:v>
                </c:pt>
                <c:pt idx="18">
                  <c:v>6.8669997418416783E-5</c:v>
                </c:pt>
                <c:pt idx="19">
                  <c:v>6.8669997418416783E-4</c:v>
                </c:pt>
                <c:pt idx="20">
                  <c:v>6.8669997418416779E-3</c:v>
                </c:pt>
                <c:pt idx="21">
                  <c:v>6.8669997418416784E-2</c:v>
                </c:pt>
                <c:pt idx="22">
                  <c:v>0.68669997418416773</c:v>
                </c:pt>
                <c:pt idx="23">
                  <c:v>6.8669997418416777</c:v>
                </c:pt>
                <c:pt idx="24">
                  <c:v>68.669997418416784</c:v>
                </c:pt>
                <c:pt idx="25">
                  <c:v>686.69997418416779</c:v>
                </c:pt>
                <c:pt idx="26">
                  <c:v>6866.9997418416779</c:v>
                </c:pt>
                <c:pt idx="27">
                  <c:v>68669.99741841678</c:v>
                </c:pt>
                <c:pt idx="28">
                  <c:v>686699.9741841678</c:v>
                </c:pt>
                <c:pt idx="29">
                  <c:v>6866999.7418416776</c:v>
                </c:pt>
                <c:pt idx="30">
                  <c:v>68669997.418416783</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4.0823832294357115E-20</c:v>
                </c:pt>
                <c:pt idx="1">
                  <c:v>4.0823832294357112E-19</c:v>
                </c:pt>
                <c:pt idx="2">
                  <c:v>4.0823832294357113E-18</c:v>
                </c:pt>
                <c:pt idx="3">
                  <c:v>4.0823832294357111E-17</c:v>
                </c:pt>
                <c:pt idx="4">
                  <c:v>4.0823832294357112E-16</c:v>
                </c:pt>
                <c:pt idx="5">
                  <c:v>4.0823832294357113E-15</c:v>
                </c:pt>
                <c:pt idx="6">
                  <c:v>4.0823832294357118E-14</c:v>
                </c:pt>
                <c:pt idx="7">
                  <c:v>4.0823832294357117E-13</c:v>
                </c:pt>
                <c:pt idx="8">
                  <c:v>4.0823832294357113E-12</c:v>
                </c:pt>
                <c:pt idx="9">
                  <c:v>4.0823832294357109E-11</c:v>
                </c:pt>
                <c:pt idx="10">
                  <c:v>4.0823832294357116E-10</c:v>
                </c:pt>
                <c:pt idx="11">
                  <c:v>4.0823832294357113E-9</c:v>
                </c:pt>
                <c:pt idx="12">
                  <c:v>4.0823832294357113E-8</c:v>
                </c:pt>
                <c:pt idx="13">
                  <c:v>4.0823832294357115E-7</c:v>
                </c:pt>
                <c:pt idx="14">
                  <c:v>4.0823832294357113E-6</c:v>
                </c:pt>
                <c:pt idx="15">
                  <c:v>4.0823832294357117E-5</c:v>
                </c:pt>
                <c:pt idx="16">
                  <c:v>4.0823832294357114E-4</c:v>
                </c:pt>
                <c:pt idx="17">
                  <c:v>4.0823832294357111E-3</c:v>
                </c:pt>
                <c:pt idx="18">
                  <c:v>4.0823832294357112E-2</c:v>
                </c:pt>
                <c:pt idx="19">
                  <c:v>0.40823832294357115</c:v>
                </c:pt>
                <c:pt idx="20">
                  <c:v>4.0823832294357114</c:v>
                </c:pt>
                <c:pt idx="21">
                  <c:v>40.823832294357111</c:v>
                </c:pt>
                <c:pt idx="22">
                  <c:v>408.23832294357112</c:v>
                </c:pt>
                <c:pt idx="23">
                  <c:v>4082.3832294357112</c:v>
                </c:pt>
                <c:pt idx="24">
                  <c:v>40823.832294357111</c:v>
                </c:pt>
                <c:pt idx="25">
                  <c:v>408238.32294357114</c:v>
                </c:pt>
                <c:pt idx="26">
                  <c:v>4082383.2294357112</c:v>
                </c:pt>
                <c:pt idx="27">
                  <c:v>40823832.294357114</c:v>
                </c:pt>
                <c:pt idx="28">
                  <c:v>408238322.94357115</c:v>
                </c:pt>
                <c:pt idx="29">
                  <c:v>4082383229.4357114</c:v>
                </c:pt>
                <c:pt idx="30">
                  <c:v>40823832294.357117</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3.5638636924358001E-17</c:v>
                </c:pt>
                <c:pt idx="1">
                  <c:v>3.5638636924357999E-16</c:v>
                </c:pt>
                <c:pt idx="2">
                  <c:v>3.5638636924358002E-15</c:v>
                </c:pt>
                <c:pt idx="3">
                  <c:v>3.5638636924358002E-14</c:v>
                </c:pt>
                <c:pt idx="4">
                  <c:v>3.5638636924357998E-13</c:v>
                </c:pt>
                <c:pt idx="5">
                  <c:v>3.5638636924358003E-12</c:v>
                </c:pt>
                <c:pt idx="6">
                  <c:v>3.5638636924358004E-11</c:v>
                </c:pt>
                <c:pt idx="7">
                  <c:v>3.5638636924357999E-10</c:v>
                </c:pt>
                <c:pt idx="8">
                  <c:v>3.5638636924357998E-9</c:v>
                </c:pt>
                <c:pt idx="9">
                  <c:v>3.5638636924357998E-8</c:v>
                </c:pt>
                <c:pt idx="10">
                  <c:v>3.5638636924358003E-7</c:v>
                </c:pt>
                <c:pt idx="11">
                  <c:v>3.5638636924358E-6</c:v>
                </c:pt>
                <c:pt idx="12">
                  <c:v>3.5638636924358002E-5</c:v>
                </c:pt>
                <c:pt idx="13">
                  <c:v>3.5638636924358003E-4</c:v>
                </c:pt>
                <c:pt idx="14">
                  <c:v>3.5638636924358001E-3</c:v>
                </c:pt>
                <c:pt idx="15">
                  <c:v>3.5638636924358001E-2</c:v>
                </c:pt>
                <c:pt idx="16">
                  <c:v>0.35638636924358003</c:v>
                </c:pt>
                <c:pt idx="17">
                  <c:v>3.5638636924357998</c:v>
                </c:pt>
                <c:pt idx="18">
                  <c:v>35.638636924358003</c:v>
                </c:pt>
                <c:pt idx="19">
                  <c:v>356.38636924358002</c:v>
                </c:pt>
                <c:pt idx="20">
                  <c:v>3563.8636924358002</c:v>
                </c:pt>
                <c:pt idx="21">
                  <c:v>35638.636924357997</c:v>
                </c:pt>
                <c:pt idx="22">
                  <c:v>356386.36924357997</c:v>
                </c:pt>
                <c:pt idx="23">
                  <c:v>3563863.6924358001</c:v>
                </c:pt>
                <c:pt idx="24">
                  <c:v>35638636.924358003</c:v>
                </c:pt>
                <c:pt idx="25">
                  <c:v>356386369.24357998</c:v>
                </c:pt>
                <c:pt idx="26">
                  <c:v>3563863692.4358001</c:v>
                </c:pt>
                <c:pt idx="27">
                  <c:v>35638636924.358002</c:v>
                </c:pt>
                <c:pt idx="28">
                  <c:v>356386369243.58002</c:v>
                </c:pt>
                <c:pt idx="29">
                  <c:v>3563863692435.7998</c:v>
                </c:pt>
                <c:pt idx="30">
                  <c:v>35638636924358</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6.4702977440958206E-14</c:v>
                </c:pt>
                <c:pt idx="1">
                  <c:v>6.4702977440958206E-13</c:v>
                </c:pt>
                <c:pt idx="2">
                  <c:v>6.4702977440958202E-12</c:v>
                </c:pt>
                <c:pt idx="3">
                  <c:v>6.4702977440958197E-11</c:v>
                </c:pt>
                <c:pt idx="4">
                  <c:v>6.4702977440958197E-10</c:v>
                </c:pt>
                <c:pt idx="5">
                  <c:v>6.4702977440958205E-9</c:v>
                </c:pt>
                <c:pt idx="6">
                  <c:v>6.4702977440958209E-8</c:v>
                </c:pt>
                <c:pt idx="7">
                  <c:v>6.4702977440958206E-7</c:v>
                </c:pt>
                <c:pt idx="8">
                  <c:v>6.4702977440958197E-6</c:v>
                </c:pt>
                <c:pt idx="9">
                  <c:v>6.4702977440958201E-5</c:v>
                </c:pt>
                <c:pt idx="10">
                  <c:v>6.4702977440958206E-4</c:v>
                </c:pt>
                <c:pt idx="11">
                  <c:v>6.4702977440958204E-3</c:v>
                </c:pt>
                <c:pt idx="12">
                  <c:v>6.4702977440958209E-2</c:v>
                </c:pt>
                <c:pt idx="13">
                  <c:v>0.64702977440958209</c:v>
                </c:pt>
                <c:pt idx="14">
                  <c:v>6.4702977440958209</c:v>
                </c:pt>
                <c:pt idx="15">
                  <c:v>64.702977440958207</c:v>
                </c:pt>
                <c:pt idx="16">
                  <c:v>647.02977440958205</c:v>
                </c:pt>
                <c:pt idx="17">
                  <c:v>6470.2977440958202</c:v>
                </c:pt>
                <c:pt idx="18">
                  <c:v>64702.977440958202</c:v>
                </c:pt>
                <c:pt idx="19">
                  <c:v>647029.77440958202</c:v>
                </c:pt>
                <c:pt idx="20">
                  <c:v>6470297.74409582</c:v>
                </c:pt>
                <c:pt idx="21">
                  <c:v>64702977.440958202</c:v>
                </c:pt>
                <c:pt idx="22">
                  <c:v>647029774.40958202</c:v>
                </c:pt>
                <c:pt idx="23">
                  <c:v>6470297744.0958204</c:v>
                </c:pt>
                <c:pt idx="24">
                  <c:v>64702977440.958206</c:v>
                </c:pt>
                <c:pt idx="25">
                  <c:v>647029774409.58203</c:v>
                </c:pt>
                <c:pt idx="26">
                  <c:v>6470297744095.8203</c:v>
                </c:pt>
                <c:pt idx="27">
                  <c:v>64702977440958.203</c:v>
                </c:pt>
                <c:pt idx="28">
                  <c:v>647029774409582</c:v>
                </c:pt>
                <c:pt idx="29">
                  <c:v>6470297744095820</c:v>
                </c:pt>
                <c:pt idx="30">
                  <c:v>6.47029774409582E+16</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1.2975738604182271E-8</c:v>
                </c:pt>
                <c:pt idx="1">
                  <c:v>1.2975738604182271E-7</c:v>
                </c:pt>
                <c:pt idx="2">
                  <c:v>1.2975738604182271E-6</c:v>
                </c:pt>
                <c:pt idx="3">
                  <c:v>1.297573860418227E-5</c:v>
                </c:pt>
                <c:pt idx="4">
                  <c:v>1.2975738604182271E-4</c:v>
                </c:pt>
                <c:pt idx="5">
                  <c:v>1.2975738604182271E-3</c:v>
                </c:pt>
                <c:pt idx="6">
                  <c:v>1.2975738604182271E-2</c:v>
                </c:pt>
                <c:pt idx="7">
                  <c:v>0.12975738604182271</c:v>
                </c:pt>
                <c:pt idx="8">
                  <c:v>1.297573860418227</c:v>
                </c:pt>
                <c:pt idx="9">
                  <c:v>12.97573860418227</c:v>
                </c:pt>
                <c:pt idx="10">
                  <c:v>129.75738604182271</c:v>
                </c:pt>
                <c:pt idx="11">
                  <c:v>1297.573860418227</c:v>
                </c:pt>
                <c:pt idx="12">
                  <c:v>12975.73860418227</c:v>
                </c:pt>
                <c:pt idx="13">
                  <c:v>129757.3860418227</c:v>
                </c:pt>
                <c:pt idx="14">
                  <c:v>1297573.860418227</c:v>
                </c:pt>
                <c:pt idx="15">
                  <c:v>12975738.604182269</c:v>
                </c:pt>
                <c:pt idx="16">
                  <c:v>129757386.0418227</c:v>
                </c:pt>
                <c:pt idx="17">
                  <c:v>1297573860.418227</c:v>
                </c:pt>
                <c:pt idx="18">
                  <c:v>12975738604.18227</c:v>
                </c:pt>
                <c:pt idx="19">
                  <c:v>129757386041.82271</c:v>
                </c:pt>
                <c:pt idx="20">
                  <c:v>1297573860418.2271</c:v>
                </c:pt>
                <c:pt idx="21">
                  <c:v>12975738604182.27</c:v>
                </c:pt>
                <c:pt idx="22">
                  <c:v>129757386041822.7</c:v>
                </c:pt>
                <c:pt idx="23">
                  <c:v>1297573860418227</c:v>
                </c:pt>
                <c:pt idx="24">
                  <c:v>1.297573860418227E+16</c:v>
                </c:pt>
                <c:pt idx="25">
                  <c:v>1.297573860418227E+17</c:v>
                </c:pt>
                <c:pt idx="26">
                  <c:v>1.2975738604182269E+18</c:v>
                </c:pt>
                <c:pt idx="27">
                  <c:v>1.297573860418227E+19</c:v>
                </c:pt>
                <c:pt idx="28">
                  <c:v>1.2975738604182271E+20</c:v>
                </c:pt>
                <c:pt idx="29">
                  <c:v>1.297573860418227E+21</c:v>
                </c:pt>
                <c:pt idx="30">
                  <c:v>1.2975738604182271E+22</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3.6194368040405954E-2</c:v>
                </c:pt>
                <c:pt idx="1">
                  <c:v>0.3619436804040595</c:v>
                </c:pt>
                <c:pt idx="2">
                  <c:v>3.6194368040405953</c:v>
                </c:pt>
                <c:pt idx="3">
                  <c:v>36.194368040405955</c:v>
                </c:pt>
                <c:pt idx="4">
                  <c:v>361.94368040405948</c:v>
                </c:pt>
                <c:pt idx="5">
                  <c:v>3619.4368040405952</c:v>
                </c:pt>
                <c:pt idx="6">
                  <c:v>36194.368040405956</c:v>
                </c:pt>
                <c:pt idx="7">
                  <c:v>361943.68040405953</c:v>
                </c:pt>
                <c:pt idx="8">
                  <c:v>3619436.804040595</c:v>
                </c:pt>
                <c:pt idx="9">
                  <c:v>36194368.040405951</c:v>
                </c:pt>
                <c:pt idx="10">
                  <c:v>361943680.40405953</c:v>
                </c:pt>
                <c:pt idx="11">
                  <c:v>3619436804.0405955</c:v>
                </c:pt>
                <c:pt idx="12">
                  <c:v>36194368040.405952</c:v>
                </c:pt>
                <c:pt idx="13">
                  <c:v>361943680404.05951</c:v>
                </c:pt>
                <c:pt idx="14">
                  <c:v>3619436804040.5952</c:v>
                </c:pt>
                <c:pt idx="15">
                  <c:v>36194368040405.953</c:v>
                </c:pt>
                <c:pt idx="16">
                  <c:v>361943680404059.5</c:v>
                </c:pt>
                <c:pt idx="17">
                  <c:v>3619436804040595</c:v>
                </c:pt>
                <c:pt idx="18">
                  <c:v>3.6194368040405952E+16</c:v>
                </c:pt>
                <c:pt idx="19">
                  <c:v>3.6194368040405952E+17</c:v>
                </c:pt>
                <c:pt idx="20">
                  <c:v>3.6194368040405955E+18</c:v>
                </c:pt>
                <c:pt idx="21">
                  <c:v>3.619436804040595E+19</c:v>
                </c:pt>
                <c:pt idx="22">
                  <c:v>3.6194368040405952E+20</c:v>
                </c:pt>
                <c:pt idx="23">
                  <c:v>3.6194368040405953E+21</c:v>
                </c:pt>
                <c:pt idx="24">
                  <c:v>3.6194368040405951E+22</c:v>
                </c:pt>
                <c:pt idx="25">
                  <c:v>3.6194368040405951E+23</c:v>
                </c:pt>
                <c:pt idx="26">
                  <c:v>3.6194368040405954E+24</c:v>
                </c:pt>
                <c:pt idx="27">
                  <c:v>3.6194368040405953E+25</c:v>
                </c:pt>
                <c:pt idx="28">
                  <c:v>3.6194368040405955E+26</c:v>
                </c:pt>
                <c:pt idx="29">
                  <c:v>3.6194368040405951E+27</c:v>
                </c:pt>
                <c:pt idx="30">
                  <c:v>3.6194368040405952E+28</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682919840"/>
        <c:axId val="682927680"/>
      </c:scatterChart>
      <c:valAx>
        <c:axId val="68291984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7680"/>
        <c:crosses val="autoZero"/>
        <c:crossBetween val="midCat"/>
      </c:valAx>
      <c:valAx>
        <c:axId val="682927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984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-16.493953451907874</c:v>
                </c:pt>
                <c:pt idx="1">
                  <c:v>-16.427223816565071</c:v>
                </c:pt>
                <c:pt idx="2">
                  <c:v>-16.360145351624148</c:v>
                </c:pt>
                <c:pt idx="3">
                  <c:v>-16.292369227486983</c:v>
                </c:pt>
                <c:pt idx="4">
                  <c:v>-16.223546614555456</c:v>
                </c:pt>
                <c:pt idx="5">
                  <c:v>-16.153328683231443</c:v>
                </c:pt>
                <c:pt idx="6">
                  <c:v>-16.081366603916827</c:v>
                </c:pt>
                <c:pt idx="7">
                  <c:v>-16.007311547013487</c:v>
                </c:pt>
                <c:pt idx="8">
                  <c:v>-15.930814682923296</c:v>
                </c:pt>
                <c:pt idx="9">
                  <c:v>-15.851527182048143</c:v>
                </c:pt>
                <c:pt idx="10">
                  <c:v>-15.7691002147899</c:v>
                </c:pt>
                <c:pt idx="11">
                  <c:v>-15.683184951550448</c:v>
                </c:pt>
                <c:pt idx="12">
                  <c:v>-15.593432562731664</c:v>
                </c:pt>
                <c:pt idx="13">
                  <c:v>-15.499494218735432</c:v>
                </c:pt>
                <c:pt idx="14">
                  <c:v>-15.401021089963628</c:v>
                </c:pt>
                <c:pt idx="15">
                  <c:v>-15.297664346818129</c:v>
                </c:pt>
                <c:pt idx="16">
                  <c:v>-15.18907515970082</c:v>
                </c:pt>
                <c:pt idx="17">
                  <c:v>-15.074904699013574</c:v>
                </c:pt>
                <c:pt idx="18">
                  <c:v>-14.954804135158273</c:v>
                </c:pt>
                <c:pt idx="19">
                  <c:v>-14.828424638536799</c:v>
                </c:pt>
                <c:pt idx="20">
                  <c:v>-14.695417379551024</c:v>
                </c:pt>
                <c:pt idx="21">
                  <c:v>-14.555433528602833</c:v>
                </c:pt>
                <c:pt idx="22">
                  <c:v>-14.408124256094103</c:v>
                </c:pt>
                <c:pt idx="23">
                  <c:v>-14.253140732426711</c:v>
                </c:pt>
                <c:pt idx="24">
                  <c:v>-14.090134128002543</c:v>
                </c:pt>
                <c:pt idx="25">
                  <c:v>-13.918755613223469</c:v>
                </c:pt>
                <c:pt idx="26">
                  <c:v>-13.738656358491376</c:v>
                </c:pt>
                <c:pt idx="27">
                  <c:v>-13.549487534208136</c:v>
                </c:pt>
                <c:pt idx="28">
                  <c:v>-13.350900310775634</c:v>
                </c:pt>
                <c:pt idx="29">
                  <c:v>-13.142545858595746</c:v>
                </c:pt>
                <c:pt idx="30">
                  <c:v>-12.924075348070353</c:v>
                </c:pt>
                <c:pt idx="31">
                  <c:v>-12.695139949601334</c:v>
                </c:pt>
                <c:pt idx="32">
                  <c:v>-12.455390833590563</c:v>
                </c:pt>
                <c:pt idx="33">
                  <c:v>-12.204479170439926</c:v>
                </c:pt>
                <c:pt idx="34">
                  <c:v>-11.9420561305513</c:v>
                </c:pt>
                <c:pt idx="35">
                  <c:v>-11.667772884326562</c:v>
                </c:pt>
                <c:pt idx="36">
                  <c:v>-11.381280602167594</c:v>
                </c:pt>
                <c:pt idx="37">
                  <c:v>-11.082230454476273</c:v>
                </c:pt>
                <c:pt idx="38">
                  <c:v>-10.770273611654478</c:v>
                </c:pt>
                <c:pt idx="39">
                  <c:v>-10.445061244104089</c:v>
                </c:pt>
                <c:pt idx="40">
                  <c:v>-10.106244522226985</c:v>
                </c:pt>
                <c:pt idx="41">
                  <c:v>-9.8936806381198732</c:v>
                </c:pt>
                <c:pt idx="42">
                  <c:v>-9.6682128518881871</c:v>
                </c:pt>
                <c:pt idx="43">
                  <c:v>-9.4308904453321869</c:v>
                </c:pt>
                <c:pt idx="44">
                  <c:v>-9.1827627002521393</c:v>
                </c:pt>
                <c:pt idx="45">
                  <c:v>-8.9248788984483021</c:v>
                </c:pt>
                <c:pt idx="46">
                  <c:v>-8.6582883217209421</c:v>
                </c:pt>
                <c:pt idx="47">
                  <c:v>-8.3840402518703172</c:v>
                </c:pt>
                <c:pt idx="48">
                  <c:v>-8.1031839706966906</c:v>
                </c:pt>
                <c:pt idx="49">
                  <c:v>-7.8167687600003264</c:v>
                </c:pt>
                <c:pt idx="50">
                  <c:v>-7.525843901581486</c:v>
                </c:pt>
                <c:pt idx="51">
                  <c:v>-7.231458677240429</c:v>
                </c:pt>
                <c:pt idx="52">
                  <c:v>-6.9346623687774205</c:v>
                </c:pt>
                <c:pt idx="53">
                  <c:v>-6.6365042579927209</c:v>
                </c:pt>
                <c:pt idx="54">
                  <c:v>-6.3380336266865935</c:v>
                </c:pt>
                <c:pt idx="55">
                  <c:v>-6.0402997566592997</c:v>
                </c:pt>
                <c:pt idx="56">
                  <c:v>-5.744351929711101</c:v>
                </c:pt>
                <c:pt idx="57">
                  <c:v>-5.4512394276422604</c:v>
                </c:pt>
                <c:pt idx="58">
                  <c:v>-5.1620115322530404</c:v>
                </c:pt>
                <c:pt idx="59">
                  <c:v>-4.8777175253437033</c:v>
                </c:pt>
                <c:pt idx="60">
                  <c:v>-4.5994066887145095</c:v>
                </c:pt>
                <c:pt idx="61">
                  <c:v>-4.3281283041657224</c:v>
                </c:pt>
                <c:pt idx="62">
                  <c:v>-4.0649316534976041</c:v>
                </c:pt>
                <c:pt idx="63">
                  <c:v>-3.8108660185104153</c:v>
                </c:pt>
                <c:pt idx="64">
                  <c:v>-3.56698068100442</c:v>
                </c:pt>
                <c:pt idx="65">
                  <c:v>-3.3343249227798797</c:v>
                </c:pt>
                <c:pt idx="66">
                  <c:v>-3.1136768772530949</c:v>
                </c:pt>
                <c:pt idx="67">
                  <c:v>-2.904730084304517</c:v>
                </c:pt>
                <c:pt idx="68">
                  <c:v>-2.706906935430637</c:v>
                </c:pt>
                <c:pt idx="69">
                  <c:v>-2.5196298221279441</c:v>
                </c:pt>
                <c:pt idx="70">
                  <c:v>-2.3423211358929299</c:v>
                </c:pt>
                <c:pt idx="71">
                  <c:v>-2.1744032682220831</c:v>
                </c:pt>
                <c:pt idx="72">
                  <c:v>-2.0152986106118953</c:v>
                </c:pt>
                <c:pt idx="73">
                  <c:v>-1.8644295545588563</c:v>
                </c:pt>
                <c:pt idx="74">
                  <c:v>-1.7212184915594564</c:v>
                </c:pt>
                <c:pt idx="75">
                  <c:v>-1.5850878131101855</c:v>
                </c:pt>
                <c:pt idx="76">
                  <c:v>-1.4554599107075346</c:v>
                </c:pt>
                <c:pt idx="77">
                  <c:v>-1.3317571758479927</c:v>
                </c:pt>
                <c:pt idx="78">
                  <c:v>-1.213402000028051</c:v>
                </c:pt>
                <c:pt idx="79">
                  <c:v>-1.0998167747441998</c:v>
                </c:pt>
                <c:pt idx="80">
                  <c:v>-0.99042389149292887</c:v>
                </c:pt>
                <c:pt idx="81">
                  <c:v>-0.88464574177072863</c:v>
                </c:pt>
                <c:pt idx="82">
                  <c:v>-0.78190471707408948</c:v>
                </c:pt>
                <c:pt idx="83">
                  <c:v>-0.68162320889950145</c:v>
                </c:pt>
                <c:pt idx="84">
                  <c:v>-0.58322360874345491</c:v>
                </c:pt>
                <c:pt idx="85">
                  <c:v>-0.48612830810244007</c:v>
                </c:pt>
                <c:pt idx="86">
                  <c:v>-0.38975969847294717</c:v>
                </c:pt>
                <c:pt idx="87">
                  <c:v>-0.29354017135146648</c:v>
                </c:pt>
                <c:pt idx="88">
                  <c:v>-0.19689211823448818</c:v>
                </c:pt>
                <c:pt idx="89">
                  <c:v>-9.9237930618502612E-2</c:v>
                </c:pt>
                <c:pt idx="90">
                  <c:v>2.7755575615628914E-17</c:v>
                </c:pt>
                <c:pt idx="91">
                  <c:v>0.10131007066628853</c:v>
                </c:pt>
                <c:pt idx="92">
                  <c:v>0.20482383259266784</c:v>
                </c:pt>
                <c:pt idx="93">
                  <c:v>0.31058362553320218</c:v>
                </c:pt>
                <c:pt idx="94">
                  <c:v>0.41863178924195532</c:v>
                </c:pt>
                <c:pt idx="95">
                  <c:v>0.52901066347299164</c:v>
                </c:pt>
                <c:pt idx="96">
                  <c:v>0.64176258798037489</c:v>
                </c:pt>
                <c:pt idx="97">
                  <c:v>0.75692990251816916</c:v>
                </c:pt>
                <c:pt idx="98">
                  <c:v>0.87455494684043855</c:v>
                </c:pt>
                <c:pt idx="99">
                  <c:v>0.99468006070124726</c:v>
                </c:pt>
                <c:pt idx="100">
                  <c:v>1.1173475838546589</c:v>
                </c:pt>
                <c:pt idx="101">
                  <c:v>1.2425998560547382</c:v>
                </c:pt>
                <c:pt idx="102">
                  <c:v>1.3704792170555486</c:v>
                </c:pt>
                <c:pt idx="103">
                  <c:v>1.5010280066111541</c:v>
                </c:pt>
                <c:pt idx="104">
                  <c:v>1.6342885644756193</c:v>
                </c:pt>
                <c:pt idx="105">
                  <c:v>1.7703032304030075</c:v>
                </c:pt>
                <c:pt idx="106">
                  <c:v>1.9091143441473837</c:v>
                </c:pt>
                <c:pt idx="107">
                  <c:v>2.050764245462811</c:v>
                </c:pt>
                <c:pt idx="108">
                  <c:v>2.195295274103354</c:v>
                </c:pt>
                <c:pt idx="109">
                  <c:v>2.3427497698230764</c:v>
                </c:pt>
                <c:pt idx="110">
                  <c:v>2.4931700723760426</c:v>
                </c:pt>
                <c:pt idx="111">
                  <c:v>2.6465985215163164</c:v>
                </c:pt>
                <c:pt idx="112">
                  <c:v>2.8030774569979622</c:v>
                </c:pt>
                <c:pt idx="113">
                  <c:v>2.9626492185750437</c:v>
                </c:pt>
                <c:pt idx="114">
                  <c:v>3.125356146001625</c:v>
                </c:pt>
                <c:pt idx="115">
                  <c:v>3.2912405790317694</c:v>
                </c:pt>
                <c:pt idx="116">
                  <c:v>3.4603448574195426</c:v>
                </c:pt>
                <c:pt idx="117">
                  <c:v>3.6327113209190074</c:v>
                </c:pt>
                <c:pt idx="118">
                  <c:v>3.8083823092842279</c:v>
                </c:pt>
                <c:pt idx="119">
                  <c:v>3.9874001622692687</c:v>
                </c:pt>
                <c:pt idx="120">
                  <c:v>4.1698072196281935</c:v>
                </c:pt>
                <c:pt idx="121">
                  <c:v>4.3556436932848408</c:v>
                </c:pt>
                <c:pt idx="122">
                  <c:v>4.544941283842145</c:v>
                </c:pt>
                <c:pt idx="123">
                  <c:v>4.7377295640728168</c:v>
                </c:pt>
                <c:pt idx="124">
                  <c:v>4.934038106749564</c:v>
                </c:pt>
                <c:pt idx="125">
                  <c:v>5.1338964846450965</c:v>
                </c:pt>
                <c:pt idx="126">
                  <c:v>5.3373342705321249</c:v>
                </c:pt>
                <c:pt idx="127">
                  <c:v>5.5443810371833573</c:v>
                </c:pt>
                <c:pt idx="128">
                  <c:v>5.7550663573715024</c:v>
                </c:pt>
                <c:pt idx="129">
                  <c:v>5.969419803869271</c:v>
                </c:pt>
                <c:pt idx="130">
                  <c:v>6.1874709494493718</c:v>
                </c:pt>
                <c:pt idx="131">
                  <c:v>6.4092493668845147</c:v>
                </c:pt>
                <c:pt idx="132">
                  <c:v>6.6347846289474077</c:v>
                </c:pt>
                <c:pt idx="133">
                  <c:v>6.8641063084107614</c:v>
                </c:pt>
                <c:pt idx="134">
                  <c:v>7.0972439780472847</c:v>
                </c:pt>
                <c:pt idx="135">
                  <c:v>7.3342272106296864</c:v>
                </c:pt>
                <c:pt idx="136">
                  <c:v>7.5750855789306772</c:v>
                </c:pt>
                <c:pt idx="137">
                  <c:v>7.8198486557229652</c:v>
                </c:pt>
                <c:pt idx="138">
                  <c:v>8.06854601377926</c:v>
                </c:pt>
                <c:pt idx="139">
                  <c:v>8.3212072258722714</c:v>
                </c:pt>
                <c:pt idx="140">
                  <c:v>8.5778618647747109</c:v>
                </c:pt>
                <c:pt idx="141">
                  <c:v>8.8385395032592822</c:v>
                </c:pt>
                <c:pt idx="142">
                  <c:v>9.1032697140986993</c:v>
                </c:pt>
                <c:pt idx="143">
                  <c:v>9.3720820700656695</c:v>
                </c:pt>
                <c:pt idx="144">
                  <c:v>9.6450061439329051</c:v>
                </c:pt>
                <c:pt idx="145">
                  <c:v>9.9220715084731115</c:v>
                </c:pt>
                <c:pt idx="146">
                  <c:v>10.203307736459001</c:v>
                </c:pt>
                <c:pt idx="147">
                  <c:v>10.488744400663279</c:v>
                </c:pt>
                <c:pt idx="148">
                  <c:v>10.77841107385866</c:v>
                </c:pt>
                <c:pt idx="149">
                  <c:v>11.072337328817849</c:v>
                </c:pt>
                <c:pt idx="150">
                  <c:v>11.37055273831356</c:v>
                </c:pt>
                <c:pt idx="151">
                  <c:v>11.673086875118496</c:v>
                </c:pt>
                <c:pt idx="152">
                  <c:v>11.979969312005373</c:v>
                </c:pt>
                <c:pt idx="153">
                  <c:v>12.291229621746899</c:v>
                </c:pt>
                <c:pt idx="154">
                  <c:v>12.606897377115777</c:v>
                </c:pt>
                <c:pt idx="155">
                  <c:v>12.927002150884725</c:v>
                </c:pt>
                <c:pt idx="156">
                  <c:v>13.251573515826445</c:v>
                </c:pt>
                <c:pt idx="157">
                  <c:v>13.580641044713651</c:v>
                </c:pt>
                <c:pt idx="158">
                  <c:v>13.914234310319051</c:v>
                </c:pt>
                <c:pt idx="159">
                  <c:v>14.252382885415356</c:v>
                </c:pt>
                <c:pt idx="160">
                  <c:v>14.595116342775272</c:v>
                </c:pt>
                <c:pt idx="161">
                  <c:v>14.94246425517151</c:v>
                </c:pt>
                <c:pt idx="162">
                  <c:v>15.29445619537678</c:v>
                </c:pt>
                <c:pt idx="163">
                  <c:v>15.651121736163791</c:v>
                </c:pt>
                <c:pt idx="164">
                  <c:v>16.012490450305251</c:v>
                </c:pt>
                <c:pt idx="165">
                  <c:v>16.378591910573874</c:v>
                </c:pt>
                <c:pt idx="166">
                  <c:v>16.749428083237866</c:v>
                </c:pt>
                <c:pt idx="167">
                  <c:v>17.124890508547445</c:v>
                </c:pt>
                <c:pt idx="168">
                  <c:v>17.504843120248324</c:v>
                </c:pt>
                <c:pt idx="169">
                  <c:v>17.889149852086231</c:v>
                </c:pt>
                <c:pt idx="170">
                  <c:v>18.277674637806879</c:v>
                </c:pt>
                <c:pt idx="171">
                  <c:v>18.670281411155983</c:v>
                </c:pt>
                <c:pt idx="172">
                  <c:v>19.066834105879266</c:v>
                </c:pt>
                <c:pt idx="173">
                  <c:v>19.467196655722447</c:v>
                </c:pt>
                <c:pt idx="174">
                  <c:v>19.871232994431239</c:v>
                </c:pt>
                <c:pt idx="175">
                  <c:v>20.278807055751358</c:v>
                </c:pt>
                <c:pt idx="176">
                  <c:v>20.689782773428533</c:v>
                </c:pt>
                <c:pt idx="177">
                  <c:v>21.104024081208472</c:v>
                </c:pt>
                <c:pt idx="178">
                  <c:v>21.521394912836893</c:v>
                </c:pt>
                <c:pt idx="179">
                  <c:v>21.941759202059522</c:v>
                </c:pt>
                <c:pt idx="180">
                  <c:v>22.364980882622071</c:v>
                </c:pt>
                <c:pt idx="181">
                  <c:v>22.790923888270257</c:v>
                </c:pt>
                <c:pt idx="182">
                  <c:v>23.219452152749803</c:v>
                </c:pt>
                <c:pt idx="183">
                  <c:v>23.650429609806423</c:v>
                </c:pt>
                <c:pt idx="184">
                  <c:v>24.08372019318584</c:v>
                </c:pt>
                <c:pt idx="185">
                  <c:v>24.519187836633765</c:v>
                </c:pt>
                <c:pt idx="186">
                  <c:v>24.956696473895921</c:v>
                </c:pt>
                <c:pt idx="187">
                  <c:v>25.396110038718025</c:v>
                </c:pt>
                <c:pt idx="188">
                  <c:v>25.837292464845792</c:v>
                </c:pt>
                <c:pt idx="189">
                  <c:v>26.280107686024945</c:v>
                </c:pt>
                <c:pt idx="190">
                  <c:v>26.724419636001198</c:v>
                </c:pt>
                <c:pt idx="191">
                  <c:v>27.17009224852027</c:v>
                </c:pt>
                <c:pt idx="192">
                  <c:v>27.616989457327886</c:v>
                </c:pt>
                <c:pt idx="193">
                  <c:v>28.064975196169751</c:v>
                </c:pt>
                <c:pt idx="194">
                  <c:v>28.51391339879159</c:v>
                </c:pt>
                <c:pt idx="195">
                  <c:v>28.963667998939123</c:v>
                </c:pt>
                <c:pt idx="196">
                  <c:v>29.414102930358066</c:v>
                </c:pt>
                <c:pt idx="197">
                  <c:v>29.865082126794135</c:v>
                </c:pt>
                <c:pt idx="198">
                  <c:v>30.316469521993053</c:v>
                </c:pt>
                <c:pt idx="199">
                  <c:v>30.768129049700534</c:v>
                </c:pt>
                <c:pt idx="200">
                  <c:v>31.219924643662296</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-16.493953451907874</c:v>
                </c:pt>
                <c:pt idx="1">
                  <c:v>-10.106244522226985</c:v>
                </c:pt>
                <c:pt idx="2">
                  <c:v>-3.3343249227798801</c:v>
                </c:pt>
                <c:pt idx="3">
                  <c:v>0</c:v>
                </c:pt>
                <c:pt idx="4">
                  <c:v>4.1698072196281935</c:v>
                </c:pt>
                <c:pt idx="5">
                  <c:v>16.378591910573874</c:v>
                </c:pt>
                <c:pt idx="6">
                  <c:v>31.219924643662296</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-16.701469886427081</c:v>
                </c:pt>
                <c:pt idx="1">
                  <c:v>-16.520152669320801</c:v>
                </c:pt>
                <c:pt idx="2">
                  <c:v>-16.367832811222247</c:v>
                </c:pt>
                <c:pt idx="3">
                  <c:v>-16.239755452104436</c:v>
                </c:pt>
                <c:pt idx="4">
                  <c:v>-16.131566230298027</c:v>
                </c:pt>
                <c:pt idx="5">
                  <c:v>-16.039289963570987</c:v>
                </c:pt>
                <c:pt idx="6">
                  <c:v>-15.959310069041459</c:v>
                </c:pt>
                <c:pt idx="7">
                  <c:v>-15.888348706371348</c:v>
                </c:pt>
                <c:pt idx="8">
                  <c:v>-15.823447628841054</c:v>
                </c:pt>
                <c:pt idx="9">
                  <c:v>-15.761949727059093</c:v>
                </c:pt>
                <c:pt idx="10">
                  <c:v>-15.70148125021362</c:v>
                </c:pt>
                <c:pt idx="11">
                  <c:v>-15.639934689925862</c:v>
                </c:pt>
                <c:pt idx="12">
                  <c:v>-15.575452311919037</c:v>
                </c:pt>
                <c:pt idx="13">
                  <c:v>-15.50641032086925</c:v>
                </c:pt>
                <c:pt idx="14">
                  <c:v>-15.431403643958156</c:v>
                </c:pt>
                <c:pt idx="15">
                  <c:v>-15.349231318800586</c:v>
                </c:pt>
                <c:pt idx="16">
                  <c:v>-15.258882471573164</c:v>
                </c:pt>
                <c:pt idx="17">
                  <c:v>-15.159522871323672</c:v>
                </c:pt>
                <c:pt idx="18">
                  <c:v>-15.050482046593576</c:v>
                </c:pt>
                <c:pt idx="19">
                  <c:v>-14.931240950639861</c:v>
                </c:pt>
                <c:pt idx="20">
                  <c:v>-14.801420161695159</c:v>
                </c:pt>
                <c:pt idx="21">
                  <c:v>-14.660768604858625</c:v>
                </c:pt>
                <c:pt idx="22">
                  <c:v>-14.509152782363016</c:v>
                </c:pt>
                <c:pt idx="23">
                  <c:v>-14.346546499116901</c:v>
                </c:pt>
                <c:pt idx="24">
                  <c:v>-14.173021070573906</c:v>
                </c:pt>
                <c:pt idx="25">
                  <c:v>-13.988736000134258</c:v>
                </c:pt>
                <c:pt idx="26">
                  <c:v>-13.793930113437112</c:v>
                </c:pt>
                <c:pt idx="27">
                  <c:v>-13.58891313705521</c:v>
                </c:pt>
                <c:pt idx="28">
                  <c:v>-13.374057709256931</c:v>
                </c:pt>
                <c:pt idx="29">
                  <c:v>-13.149791810653664</c:v>
                </c:pt>
                <c:pt idx="30">
                  <c:v>-12.916591602703944</c:v>
                </c:pt>
                <c:pt idx="31">
                  <c:v>-12.674974662198792</c:v>
                </c:pt>
                <c:pt idx="32">
                  <c:v>-12.425493600006158</c:v>
                </c:pt>
                <c:pt idx="33">
                  <c:v>-12.168730052505262</c:v>
                </c:pt>
                <c:pt idx="34">
                  <c:v>-11.905289034295196</c:v>
                </c:pt>
                <c:pt idx="35">
                  <c:v>-11.635793640915075</c:v>
                </c:pt>
                <c:pt idx="36">
                  <c:v>-11.360880090466477</c:v>
                </c:pt>
                <c:pt idx="37">
                  <c:v>-11.081193093181932</c:v>
                </c:pt>
                <c:pt idx="38">
                  <c:v>-10.797381538136589</c:v>
                </c:pt>
                <c:pt idx="39">
                  <c:v>-10.510094486453317</c:v>
                </c:pt>
                <c:pt idx="40">
                  <c:v>-10.219977460504786</c:v>
                </c:pt>
                <c:pt idx="41">
                  <c:v>-9.9276690187692083</c:v>
                </c:pt>
                <c:pt idx="42">
                  <c:v>-9.6337976061497113</c:v>
                </c:pt>
                <c:pt idx="43">
                  <c:v>-9.3389786697205146</c:v>
                </c:pt>
                <c:pt idx="44">
                  <c:v>-9.0438120300162677</c:v>
                </c:pt>
                <c:pt idx="45">
                  <c:v>-8.7488794981341726</c:v>
                </c:pt>
                <c:pt idx="46">
                  <c:v>-8.4547427290716932</c:v>
                </c:pt>
                <c:pt idx="47">
                  <c:v>-8.1619413018759115</c:v>
                </c:pt>
                <c:pt idx="48">
                  <c:v>-7.8709910173337541</c:v>
                </c:pt>
                <c:pt idx="49">
                  <c:v>-7.5823824040856183</c:v>
                </c:pt>
                <c:pt idx="50">
                  <c:v>-7.2965794241980229</c:v>
                </c:pt>
                <c:pt idx="51">
                  <c:v>-7.0140183693842575</c:v>
                </c:pt>
                <c:pt idx="52">
                  <c:v>-6.7351069392151466</c:v>
                </c:pt>
                <c:pt idx="53">
                  <c:v>-6.4602234928152367</c:v>
                </c:pt>
                <c:pt idx="54">
                  <c:v>-6.1897164656930537</c:v>
                </c:pt>
                <c:pt idx="55">
                  <c:v>-5.923903943507133</c:v>
                </c:pt>
                <c:pt idx="56">
                  <c:v>-5.6630733847229164</c:v>
                </c:pt>
                <c:pt idx="57">
                  <c:v>-5.4074814842686507</c:v>
                </c:pt>
                <c:pt idx="58">
                  <c:v>-5.157354170451816</c:v>
                </c:pt>
                <c:pt idx="59">
                  <c:v>-4.912886727550676</c:v>
                </c:pt>
                <c:pt idx="60">
                  <c:v>-4.6742440366488918</c:v>
                </c:pt>
                <c:pt idx="61">
                  <c:v>-4.4415609274342476</c:v>
                </c:pt>
                <c:pt idx="62">
                  <c:v>-4.214942633835844</c:v>
                </c:pt>
                <c:pt idx="63">
                  <c:v>-3.9944653465272806</c:v>
                </c:pt>
                <c:pt idx="64">
                  <c:v>-3.7801768554765824</c:v>
                </c:pt>
                <c:pt idx="65">
                  <c:v>-3.5720972758768474</c:v>
                </c:pt>
                <c:pt idx="66">
                  <c:v>-3.3702198509448187</c:v>
                </c:pt>
                <c:pt idx="67">
                  <c:v>-3.1745118252277731</c:v>
                </c:pt>
                <c:pt idx="68">
                  <c:v>-2.9849153822123773</c:v>
                </c:pt>
                <c:pt idx="69">
                  <c:v>-2.8013486401823418</c:v>
                </c:pt>
                <c:pt idx="70">
                  <c:v>-2.6237067004249615</c:v>
                </c:pt>
                <c:pt idx="71">
                  <c:v>-2.4518627420398165</c:v>
                </c:pt>
                <c:pt idx="72">
                  <c:v>-2.2856691577561308</c:v>
                </c:pt>
                <c:pt idx="73">
                  <c:v>-2.124958725318542</c:v>
                </c:pt>
                <c:pt idx="74">
                  <c:v>-1.9695458091541862</c:v>
                </c:pt>
                <c:pt idx="75">
                  <c:v>-1.8192275871872965</c:v>
                </c:pt>
                <c:pt idx="76">
                  <c:v>-1.6737852978206673</c:v>
                </c:pt>
                <c:pt idx="77">
                  <c:v>-1.5329855022565986</c:v>
                </c:pt>
                <c:pt idx="78">
                  <c:v>-1.3965813574831352</c:v>
                </c:pt>
                <c:pt idx="79">
                  <c:v>-1.26431389540463</c:v>
                </c:pt>
                <c:pt idx="80">
                  <c:v>-1.1359133037488978</c:v>
                </c:pt>
                <c:pt idx="81">
                  <c:v>-1.011100204536423</c:v>
                </c:pt>
                <c:pt idx="82">
                  <c:v>-0.88958692605031731</c:v>
                </c:pt>
                <c:pt idx="83">
                  <c:v>-0.77107876439894163</c:v>
                </c:pt>
                <c:pt idx="84">
                  <c:v>-0.65527523091631434</c:v>
                </c:pt>
                <c:pt idx="85">
                  <c:v>-0.54187128179866229</c:v>
                </c:pt>
                <c:pt idx="86">
                  <c:v>-0.43055852652867449</c:v>
                </c:pt>
                <c:pt idx="87">
                  <c:v>-0.32102641179224861</c:v>
                </c:pt>
                <c:pt idx="88">
                  <c:v>-0.2129633777457329</c:v>
                </c:pt>
                <c:pt idx="89">
                  <c:v>-0.10605798364488657</c:v>
                </c:pt>
                <c:pt idx="90">
                  <c:v>0</c:v>
                </c:pt>
                <c:pt idx="91">
                  <c:v>0.10551853542516389</c:v>
                </c:pt>
                <c:pt idx="92">
                  <c:v>0.21080230029972949</c:v>
                </c:pt>
                <c:pt idx="93">
                  <c:v>0.31615171147327087</c:v>
                </c:pt>
                <c:pt idx="94">
                  <c:v>0.42186199200726077</c:v>
                </c:pt>
                <c:pt idx="95">
                  <c:v>0.52822228355987166</c:v>
                </c:pt>
                <c:pt idx="96">
                  <c:v>0.63551480604037347</c:v>
                </c:pt>
                <c:pt idx="97">
                  <c:v>0.74401406629615896</c:v>
                </c:pt>
                <c:pt idx="98">
                  <c:v>0.85398611744220077</c:v>
                </c:pt>
                <c:pt idx="99">
                  <c:v>0.96568787028953607</c:v>
                </c:pt>
                <c:pt idx="100">
                  <c:v>1.0793664581761464</c:v>
                </c:pt>
                <c:pt idx="101">
                  <c:v>1.1952586563503873</c:v>
                </c:pt>
                <c:pt idx="102">
                  <c:v>1.3135903569038987</c:v>
                </c:pt>
                <c:pt idx="103">
                  <c:v>1.4345761000977215</c:v>
                </c:pt>
                <c:pt idx="104">
                  <c:v>1.5584186627721031</c:v>
                </c:pt>
                <c:pt idx="105">
                  <c:v>1.6853087043772799</c:v>
                </c:pt>
                <c:pt idx="106">
                  <c:v>1.8154244710092959</c:v>
                </c:pt>
                <c:pt idx="107">
                  <c:v>1.9489315576816955</c:v>
                </c:pt>
                <c:pt idx="108">
                  <c:v>2.0859827289107091</c:v>
                </c:pt>
                <c:pt idx="109">
                  <c:v>2.2267177975383436</c:v>
                </c:pt>
                <c:pt idx="110">
                  <c:v>2.3712635615645605</c:v>
                </c:pt>
                <c:pt idx="111">
                  <c:v>2.5197337986064996</c:v>
                </c:pt>
                <c:pt idx="112">
                  <c:v>2.6722293174495091</c:v>
                </c:pt>
                <c:pt idx="113">
                  <c:v>2.8288380660014907</c:v>
                </c:pt>
                <c:pt idx="114">
                  <c:v>2.9896352948089064</c:v>
                </c:pt>
                <c:pt idx="115">
                  <c:v>3.1546837751394867</c:v>
                </c:pt>
                <c:pt idx="116">
                  <c:v>3.3240340704835654</c:v>
                </c:pt>
                <c:pt idx="117">
                  <c:v>3.4977248601726574</c:v>
                </c:pt>
                <c:pt idx="118">
                  <c:v>3.6757833136607316</c:v>
                </c:pt>
                <c:pt idx="119">
                  <c:v>3.8582255138603956</c:v>
                </c:pt>
                <c:pt idx="120">
                  <c:v>4.0450569277729844</c:v>
                </c:pt>
                <c:pt idx="121">
                  <c:v>4.2362729224983404</c:v>
                </c:pt>
                <c:pt idx="122">
                  <c:v>4.4318593245568296</c:v>
                </c:pt>
                <c:pt idx="123">
                  <c:v>4.6317930203029647</c:v>
                </c:pt>
                <c:pt idx="124">
                  <c:v>4.8360425950567238</c:v>
                </c:pt>
                <c:pt idx="125">
                  <c:v>5.0445690084254977</c:v>
                </c:pt>
                <c:pt idx="126">
                  <c:v>5.2573263031363329</c:v>
                </c:pt>
                <c:pt idx="127">
                  <c:v>5.4742623445449592</c:v>
                </c:pt>
                <c:pt idx="128">
                  <c:v>5.6953195878348151</c:v>
                </c:pt>
                <c:pt idx="129">
                  <c:v>5.9204358697661457</c:v>
                </c:pt>
                <c:pt idx="130">
                  <c:v>6.1495452216819499</c:v>
                </c:pt>
                <c:pt idx="131">
                  <c:v>6.3825787003243812</c:v>
                </c:pt>
                <c:pt idx="132">
                  <c:v>6.6194652328619767</c:v>
                </c:pt>
                <c:pt idx="133">
                  <c:v>6.8601324723748736</c:v>
                </c:pt>
                <c:pt idx="134">
                  <c:v>7.1045076598919445</c:v>
                </c:pt>
                <c:pt idx="135">
                  <c:v>7.3525184889205715</c:v>
                </c:pt>
                <c:pt idx="136">
                  <c:v>7.6040939682565432</c:v>
                </c:pt>
                <c:pt idx="137">
                  <c:v>7.8591652787083959</c:v>
                </c:pt>
                <c:pt idx="138">
                  <c:v>8.1176666192172107</c:v>
                </c:pt>
                <c:pt idx="139">
                  <c:v>8.3795360376997454</c:v>
                </c:pt>
                <c:pt idx="140">
                  <c:v>8.6447162417895118</c:v>
                </c:pt>
                <c:pt idx="141">
                  <c:v>8.9131553844972071</c:v>
                </c:pt>
                <c:pt idx="142">
                  <c:v>9.1848078196586922</c:v>
                </c:pt>
                <c:pt idx="143">
                  <c:v>9.4596348218854569</c:v>
                </c:pt>
                <c:pt idx="144">
                  <c:v>9.7376052655793668</c:v>
                </c:pt>
                <c:pt idx="145">
                  <c:v>10.01869625742021</c:v>
                </c:pt>
                <c:pt idx="146">
                  <c:v>10.302893716581311</c:v>
                </c:pt>
                <c:pt idx="147">
                  <c:v>10.590192896775365</c:v>
                </c:pt>
                <c:pt idx="148">
                  <c:v>10.880598844079353</c:v>
                </c:pt>
                <c:pt idx="149">
                  <c:v>11.17412678433417</c:v>
                </c:pt>
                <c:pt idx="150">
                  <c:v>11.470802433761412</c:v>
                </c:pt>
                <c:pt idx="151">
                  <c:v>11.770662226286575</c:v>
                </c:pt>
                <c:pt idx="152">
                  <c:v>12.073753450904622</c:v>
                </c:pt>
                <c:pt idx="153">
                  <c:v>12.380134292270727</c:v>
                </c:pt>
                <c:pt idx="154">
                  <c:v>12.689873767545725</c:v>
                </c:pt>
                <c:pt idx="155">
                  <c:v>13.003051552372701</c:v>
                </c:pt>
                <c:pt idx="156">
                  <c:v>13.319757688707682</c:v>
                </c:pt>
                <c:pt idx="157">
                  <c:v>13.640092167074549</c:v>
                </c:pt>
                <c:pt idx="158">
                  <c:v>13.964164375660653</c:v>
                </c:pt>
                <c:pt idx="159">
                  <c:v>14.292092408516753</c:v>
                </c:pt>
                <c:pt idx="160">
                  <c:v>14.624002224971456</c:v>
                </c:pt>
                <c:pt idx="161">
                  <c:v>14.960026652217199</c:v>
                </c:pt>
                <c:pt idx="162">
                  <c:v>15.300304222871603</c:v>
                </c:pt>
                <c:pt idx="163">
                  <c:v>15.644977839164804</c:v>
                </c:pt>
                <c:pt idx="164">
                  <c:v>15.994193255250087</c:v>
                </c:pt>
                <c:pt idx="165">
                  <c:v>16.348097368982021</c:v>
                </c:pt>
                <c:pt idx="166">
                  <c:v>16.706836314353058</c:v>
                </c:pt>
                <c:pt idx="167">
                  <c:v>17.070553345626251</c:v>
                </c:pt>
                <c:pt idx="168">
                  <c:v>17.439386504048628</c:v>
                </c:pt>
                <c:pt idx="169">
                  <c:v>17.813466057876525</c:v>
                </c:pt>
                <c:pt idx="170">
                  <c:v>18.192911706290918</c:v>
                </c:pt>
                <c:pt idx="171">
                  <c:v>18.577829537627547</c:v>
                </c:pt>
                <c:pt idx="172">
                  <c:v>18.968308732193627</c:v>
                </c:pt>
                <c:pt idx="173">
                  <c:v>19.364417999789353</c:v>
                </c:pt>
                <c:pt idx="174">
                  <c:v>19.766201741899458</c:v>
                </c:pt>
                <c:pt idx="175">
                  <c:v>20.173675928366919</c:v>
                </c:pt>
                <c:pt idx="176">
                  <c:v>20.586823678207384</c:v>
                </c:pt>
                <c:pt idx="177">
                  <c:v>21.005590534069892</c:v>
                </c:pt>
                <c:pt idx="178">
                  <c:v>21.429879419696384</c:v>
                </c:pt>
                <c:pt idx="179">
                  <c:v>21.859545269578771</c:v>
                </c:pt>
                <c:pt idx="180">
                  <c:v>22.294389319859746</c:v>
                </c:pt>
                <c:pt idx="181">
                  <c:v>22.734153049369816</c:v>
                </c:pt>
                <c:pt idx="182">
                  <c:v>23.178511759540125</c:v>
                </c:pt>
                <c:pt idx="183">
                  <c:v>23.627067781777118</c:v>
                </c:pt>
                <c:pt idx="184">
                  <c:v>24.07934330073217</c:v>
                </c:pt>
                <c:pt idx="185">
                  <c:v>24.534772781746028</c:v>
                </c:pt>
                <c:pt idx="186">
                  <c:v>24.992694990594433</c:v>
                </c:pt>
                <c:pt idx="187">
                  <c:v>25.452344593508457</c:v>
                </c:pt>
                <c:pt idx="188">
                  <c:v>25.912843325289536</c:v>
                </c:pt>
                <c:pt idx="189">
                  <c:v>26.373190713186261</c:v>
                </c:pt>
                <c:pt idx="190">
                  <c:v>26.832254344046497</c:v>
                </c:pt>
                <c:pt idx="191">
                  <c:v>27.288759662105342</c:v>
                </c:pt>
                <c:pt idx="192">
                  <c:v>27.741279284616127</c:v>
                </c:pt>
                <c:pt idx="193">
                  <c:v>28.188221822378694</c:v>
                </c:pt>
                <c:pt idx="194">
                  <c:v>28.627820192065379</c:v>
                </c:pt>
                <c:pt idx="195">
                  <c:v>29.058119407092811</c:v>
                </c:pt>
                <c:pt idx="196">
                  <c:v>29.476963833633484</c:v>
                </c:pt>
                <c:pt idx="197">
                  <c:v>29.881983898208333</c:v>
                </c:pt>
                <c:pt idx="198">
                  <c:v>30.270582233148446</c:v>
                </c:pt>
                <c:pt idx="199">
                  <c:v>30.639919246060657</c:v>
                </c:pt>
                <c:pt idx="200">
                  <c:v>30.98689809927788</c:v>
                </c:pt>
              </c:numCache>
            </c:numRef>
          </c:yVal>
          <c:smooth val="1"/>
        </c:ser>
        <c:dLbls>
          <c:showLegendKey val="0"/>
          <c:showVal val="0"/>
          <c:showCatName val="0"/>
          <c:showSerName val="0"/>
          <c:showPercent val="0"/>
          <c:showBubbleSize val="0"/>
        </c:dLbls>
        <c:axId val="682922976"/>
        <c:axId val="682928072"/>
      </c:scatterChart>
      <c:valAx>
        <c:axId val="68292297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8072"/>
        <c:crossesAt val="-1000"/>
        <c:crossBetween val="midCat"/>
      </c:valAx>
      <c:valAx>
        <c:axId val="682928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297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130</v>
      </c>
    </row>
    <row r="22" spans="1:2" s="11" customFormat="1" x14ac:dyDescent="0.25">
      <c r="A22" s="61" t="s">
        <v>156</v>
      </c>
      <c r="B22" s="99">
        <f>CTE!N8-0.5</f>
        <v>140</v>
      </c>
    </row>
    <row r="23" spans="1:2" s="11" customFormat="1" x14ac:dyDescent="0.25">
      <c r="A23" s="61" t="s">
        <v>157</v>
      </c>
      <c r="B23" s="99">
        <f>CTE!N9</f>
        <v>180.5</v>
      </c>
    </row>
    <row r="24" spans="1:2" s="11" customFormat="1" x14ac:dyDescent="0.25"/>
    <row r="25" spans="1:2" s="11" customFormat="1" x14ac:dyDescent="0.25">
      <c r="A25" s="61" t="s">
        <v>146</v>
      </c>
      <c r="B25" s="53">
        <f>CTE!O5</f>
        <v>2.4163381142857142E-5</v>
      </c>
    </row>
    <row r="26" spans="1:2" s="11" customFormat="1" x14ac:dyDescent="0.25">
      <c r="A26" s="61" t="s">
        <v>147</v>
      </c>
      <c r="B26" s="53">
        <f>CTE!O6</f>
        <v>2.6285482285714284E-5</v>
      </c>
    </row>
    <row r="27" spans="1:2" s="11" customFormat="1" x14ac:dyDescent="0.25">
      <c r="A27" s="61" t="s">
        <v>148</v>
      </c>
      <c r="B27" s="53">
        <f>CTE!O8</f>
        <v>6.8039453714285723E-5</v>
      </c>
    </row>
    <row r="28" spans="1:2" s="11" customFormat="1" x14ac:dyDescent="0.25">
      <c r="A28" s="61" t="s">
        <v>149</v>
      </c>
      <c r="B28" s="53">
        <f>CTE!O9</f>
        <v>6.7913481714285714E-5</v>
      </c>
    </row>
    <row r="29" spans="1:2" s="11" customFormat="1" x14ac:dyDescent="0.25">
      <c r="A29" s="61"/>
    </row>
    <row r="30" spans="1:2" s="11" customFormat="1" x14ac:dyDescent="0.25">
      <c r="A30" s="61" t="s">
        <v>150</v>
      </c>
      <c r="B30" s="52">
        <f>CTE!P5</f>
        <v>2.1265021444444447E-5</v>
      </c>
    </row>
    <row r="31" spans="1:2" s="11" customFormat="1" x14ac:dyDescent="0.25">
      <c r="A31" s="61" t="s">
        <v>151</v>
      </c>
      <c r="B31" s="52">
        <f>CTE!P6</f>
        <v>2.2263357333333333E-5</v>
      </c>
    </row>
    <row r="32" spans="1:2" s="11" customFormat="1" x14ac:dyDescent="0.25">
      <c r="A32" s="61" t="s">
        <v>152</v>
      </c>
      <c r="B32" s="52">
        <f>CTE!P8</f>
        <v>3.7565950000000002E-5</v>
      </c>
    </row>
    <row r="33" spans="1:2" s="11" customFormat="1" x14ac:dyDescent="0.25">
      <c r="A33" s="61" t="s">
        <v>153</v>
      </c>
      <c r="B33" s="52">
        <f>CTE!P9</f>
        <v>3.810576666666667E-5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0.10573717296705362</v>
      </c>
      <c r="D59" s="55">
        <v>1</v>
      </c>
    </row>
    <row r="60" spans="1:4" s="11" customFormat="1" x14ac:dyDescent="0.25">
      <c r="A60" s="54">
        <v>2</v>
      </c>
      <c r="B60" s="56">
        <f>'Shiftfunktion bestimmen'!N2</f>
        <v>-2.6958702464370424E-4</v>
      </c>
      <c r="D60" s="55">
        <v>2</v>
      </c>
    </row>
    <row r="61" spans="1:4" s="11" customFormat="1" x14ac:dyDescent="0.25">
      <c r="A61" s="54">
        <v>3</v>
      </c>
      <c r="B61" s="56">
        <f>'Shiftfunktion bestimmen'!N3</f>
        <v>5.1094880427653718E-5</v>
      </c>
      <c r="D61" s="55">
        <v>3</v>
      </c>
    </row>
    <row r="62" spans="1:4" s="11" customFormat="1" x14ac:dyDescent="0.25">
      <c r="A62" s="54">
        <v>4</v>
      </c>
      <c r="B62" s="56">
        <f>'Shiftfunktion bestimmen'!N4</f>
        <v>-1.3714229647823055E-7</v>
      </c>
      <c r="D62" s="55">
        <v>4</v>
      </c>
    </row>
    <row r="63" spans="1:4" s="11" customFormat="1" x14ac:dyDescent="0.25">
      <c r="A63" s="54">
        <v>5</v>
      </c>
      <c r="B63" s="56">
        <f>'Shiftfunktion bestimmen'!N5</f>
        <v>-8.312912249782793E-9</v>
      </c>
      <c r="D63" s="55">
        <v>5</v>
      </c>
    </row>
    <row r="64" spans="1:4" s="11" customFormat="1" x14ac:dyDescent="0.25">
      <c r="A64" s="54">
        <v>6</v>
      </c>
      <c r="B64" s="56">
        <f>'Shiftfunktion bestimmen'!N6</f>
        <v>5.7082649412117714E-11</v>
      </c>
      <c r="D64" s="55">
        <v>6</v>
      </c>
    </row>
    <row r="65" spans="1:5" s="11" customFormat="1" x14ac:dyDescent="0.25">
      <c r="A65" s="54">
        <v>7</v>
      </c>
      <c r="B65" s="56">
        <f>'Shiftfunktion bestimmen'!N7</f>
        <v>4.5620893106544161E-13</v>
      </c>
      <c r="D65" s="55">
        <v>7</v>
      </c>
    </row>
    <row r="66" spans="1:5" x14ac:dyDescent="0.25">
      <c r="A66" s="54">
        <v>8</v>
      </c>
      <c r="B66" s="56">
        <f>'Shiftfunktion bestimmen'!N8</f>
        <v>-3.8000663506886418E-15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5.5631536980694498E-3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8.4019317787052752E-3</v>
      </c>
      <c r="D76" s="51">
        <v>3</v>
      </c>
      <c r="E76" s="56">
        <f>'Mastercurve bestimmen'!A20</f>
        <v>4.3276437088188502E-13</v>
      </c>
    </row>
    <row r="77" spans="1:5" x14ac:dyDescent="0.25">
      <c r="A77" s="50">
        <f t="shared" si="0"/>
        <v>4</v>
      </c>
      <c r="B77" s="56">
        <f>'Mastercurve bestimmen'!C21</f>
        <v>2.9207105012401573E-2</v>
      </c>
      <c r="D77" s="51">
        <v>4</v>
      </c>
      <c r="E77" s="56">
        <f>'Mastercurve bestimmen'!A21</f>
        <v>4.7973886968128502E-12</v>
      </c>
    </row>
    <row r="78" spans="1:5" x14ac:dyDescent="0.25">
      <c r="A78" s="50">
        <f t="shared" si="0"/>
        <v>5</v>
      </c>
      <c r="B78" s="56">
        <f>'Mastercurve bestimmen'!C22</f>
        <v>1.5151329359376518E-2</v>
      </c>
      <c r="D78" s="51">
        <v>5</v>
      </c>
      <c r="E78" s="56">
        <f>'Mastercurve bestimmen'!A22</f>
        <v>5.31812225239524E-11</v>
      </c>
    </row>
    <row r="79" spans="1:5" x14ac:dyDescent="0.25">
      <c r="A79" s="50">
        <f t="shared" si="0"/>
        <v>6</v>
      </c>
      <c r="B79" s="56">
        <f>'Mastercurve bestimmen'!C23</f>
        <v>1.7014115321297405E-2</v>
      </c>
      <c r="D79" s="51">
        <v>6</v>
      </c>
      <c r="E79" s="56">
        <f>'Mastercurve bestimmen'!A23</f>
        <v>5.8953789402578301E-10</v>
      </c>
    </row>
    <row r="80" spans="1:5" x14ac:dyDescent="0.25">
      <c r="A80" s="50">
        <f t="shared" si="0"/>
        <v>7</v>
      </c>
      <c r="B80" s="56">
        <f>'Mastercurve bestimmen'!C24</f>
        <v>1.9388963129338931E-2</v>
      </c>
      <c r="D80" s="51">
        <v>7</v>
      </c>
      <c r="E80" s="56">
        <f>'Mastercurve bestimmen'!A24</f>
        <v>6.5352940755699598E-9</v>
      </c>
    </row>
    <row r="81" spans="1:5" x14ac:dyDescent="0.25">
      <c r="A81" s="50">
        <f t="shared" si="0"/>
        <v>8</v>
      </c>
      <c r="B81" s="56">
        <f>'Mastercurve bestimmen'!C25</f>
        <v>2.0066914709498174E-2</v>
      </c>
      <c r="D81" s="51">
        <v>8</v>
      </c>
      <c r="E81" s="56">
        <f>'Mastercurve bestimmen'!A25</f>
        <v>7.2446689325643296E-8</v>
      </c>
    </row>
    <row r="82" spans="1:5" x14ac:dyDescent="0.25">
      <c r="A82" s="50">
        <f t="shared" si="0"/>
        <v>9</v>
      </c>
      <c r="B82" s="56">
        <f>'Mastercurve bestimmen'!C26</f>
        <v>2.3697702836183093E-2</v>
      </c>
      <c r="D82" s="51">
        <f>A82</f>
        <v>9</v>
      </c>
      <c r="E82" s="56">
        <f>'Mastercurve bestimmen'!A26</f>
        <v>8.03104303120212E-7</v>
      </c>
    </row>
    <row r="83" spans="1:5" x14ac:dyDescent="0.25">
      <c r="A83" s="50">
        <f t="shared" si="0"/>
        <v>10</v>
      </c>
      <c r="B83" s="56">
        <f>'Mastercurve bestimmen'!C27</f>
        <v>2.5320350028218658E-2</v>
      </c>
      <c r="C83" s="11"/>
      <c r="D83" s="51">
        <f t="shared" ref="D83:D104" si="1">A83</f>
        <v>10</v>
      </c>
      <c r="E83" s="56">
        <f>'Mastercurve bestimmen'!A27</f>
        <v>8.9027742702096099E-6</v>
      </c>
    </row>
    <row r="84" spans="1:5" x14ac:dyDescent="0.25">
      <c r="A84" s="50">
        <f t="shared" si="0"/>
        <v>11</v>
      </c>
      <c r="B84" s="56">
        <f>'Mastercurve bestimmen'!C28</f>
        <v>2.7427493099149637E-2</v>
      </c>
      <c r="C84" s="11"/>
      <c r="D84" s="51">
        <f t="shared" si="1"/>
        <v>11</v>
      </c>
      <c r="E84" s="56">
        <f>'Mastercurve bestimmen'!A28</f>
        <v>9.86912775817142E-5</v>
      </c>
    </row>
    <row r="85" spans="1:5" x14ac:dyDescent="0.25">
      <c r="A85" s="50">
        <f t="shared" si="0"/>
        <v>12</v>
      </c>
      <c r="B85" s="56">
        <f>'Mastercurve bestimmen'!C29</f>
        <v>2.1152524885873075E-2</v>
      </c>
      <c r="C85" s="11"/>
      <c r="D85" s="51">
        <f t="shared" si="1"/>
        <v>12</v>
      </c>
      <c r="E85" s="56">
        <f>'Mastercurve bestimmen'!A29</f>
        <v>1.0940374286813801E-3</v>
      </c>
    </row>
    <row r="86" spans="1:5" x14ac:dyDescent="0.25">
      <c r="A86" s="50">
        <f t="shared" si="0"/>
        <v>13</v>
      </c>
      <c r="B86" s="56">
        <f>'Mastercurve bestimmen'!C30</f>
        <v>3.1343464608076133E-2</v>
      </c>
      <c r="C86" s="11"/>
      <c r="D86" s="51">
        <f t="shared" si="1"/>
        <v>13</v>
      </c>
      <c r="E86" s="56">
        <f>'Mastercurve bestimmen'!A30</f>
        <v>1.2127899493091E-2</v>
      </c>
    </row>
    <row r="87" spans="1:5" x14ac:dyDescent="0.25">
      <c r="A87" s="50">
        <f t="shared" si="0"/>
        <v>14</v>
      </c>
      <c r="B87" s="56">
        <f>'Mastercurve bestimmen'!C31</f>
        <v>3.4656588439424235E-2</v>
      </c>
      <c r="C87" s="11"/>
      <c r="D87" s="51">
        <f t="shared" si="1"/>
        <v>14</v>
      </c>
      <c r="E87" s="56">
        <f>'Mastercurve bestimmen'!A31</f>
        <v>0.13444324870292301</v>
      </c>
    </row>
    <row r="88" spans="1:5" x14ac:dyDescent="0.25">
      <c r="A88" s="50">
        <f t="shared" si="0"/>
        <v>15</v>
      </c>
      <c r="B88" s="56">
        <f>'Mastercurve bestimmen'!C32</f>
        <v>3.7950010383388341E-2</v>
      </c>
      <c r="C88" s="11"/>
      <c r="D88" s="51">
        <f t="shared" si="1"/>
        <v>15</v>
      </c>
      <c r="E88" s="56">
        <f>'Mastercurve bestimmen'!A32</f>
        <v>1.49036419143257</v>
      </c>
    </row>
    <row r="89" spans="1:5" x14ac:dyDescent="0.25">
      <c r="A89" s="50">
        <f t="shared" si="0"/>
        <v>16</v>
      </c>
      <c r="B89" s="56">
        <f>'Mastercurve bestimmen'!C33</f>
        <v>2.6059196805461551E-2</v>
      </c>
      <c r="C89" s="11"/>
      <c r="D89" s="51">
        <f t="shared" si="1"/>
        <v>16</v>
      </c>
      <c r="E89" s="56">
        <f>'Mastercurve bestimmen'!A33</f>
        <v>16.521360830937301</v>
      </c>
    </row>
    <row r="90" spans="1:5" x14ac:dyDescent="0.25">
      <c r="A90" s="50">
        <f t="shared" si="0"/>
        <v>17</v>
      </c>
      <c r="B90" s="56">
        <f>'Mastercurve bestimmen'!C34</f>
        <v>8.9382665320782775E-2</v>
      </c>
      <c r="C90" s="11"/>
      <c r="D90" s="51">
        <f t="shared" si="1"/>
        <v>17</v>
      </c>
      <c r="E90" s="56">
        <f>'Mastercurve bestimmen'!A34</f>
        <v>183.146753843879</v>
      </c>
    </row>
    <row r="91" spans="1:5" x14ac:dyDescent="0.25">
      <c r="A91" s="50">
        <f t="shared" si="0"/>
        <v>18</v>
      </c>
      <c r="B91" s="56">
        <f>'Mastercurve bestimmen'!C35</f>
        <v>0.10190344846068049</v>
      </c>
      <c r="C91" s="11"/>
      <c r="D91" s="51">
        <f t="shared" si="1"/>
        <v>18</v>
      </c>
      <c r="E91" s="56">
        <f>'Mastercurve bestimmen'!A35</f>
        <v>2030.26456396616</v>
      </c>
    </row>
    <row r="92" spans="1:5" x14ac:dyDescent="0.25">
      <c r="A92" s="50">
        <f t="shared" si="0"/>
        <v>19</v>
      </c>
      <c r="B92" s="56">
        <f>'Mastercurve bestimmen'!C36</f>
        <v>7.6951150711457764E-2</v>
      </c>
      <c r="C92" s="11"/>
      <c r="D92" s="51">
        <f t="shared" si="1"/>
        <v>19</v>
      </c>
      <c r="E92" s="56">
        <f>'Mastercurve bestimmen'!A36</f>
        <v>22506.400540467101</v>
      </c>
    </row>
    <row r="93" spans="1:5" x14ac:dyDescent="0.25">
      <c r="A93" s="50">
        <f t="shared" si="0"/>
        <v>20</v>
      </c>
      <c r="B93" s="56">
        <f>'Mastercurve bestimmen'!C37</f>
        <v>5.7921020050419839E-2</v>
      </c>
      <c r="C93" s="11"/>
      <c r="D93" s="51">
        <f t="shared" si="1"/>
        <v>20</v>
      </c>
      <c r="E93" s="56">
        <f>'Mastercurve bestimmen'!A37</f>
        <v>249493.62476110301</v>
      </c>
    </row>
    <row r="94" spans="1:5" x14ac:dyDescent="0.25">
      <c r="A94" s="50">
        <f t="shared" si="0"/>
        <v>21</v>
      </c>
      <c r="B94" s="56">
        <f>'Mastercurve bestimmen'!C38</f>
        <v>2.5285810572757812E-2</v>
      </c>
      <c r="C94" s="11"/>
      <c r="D94" s="51">
        <f t="shared" si="1"/>
        <v>21</v>
      </c>
      <c r="E94" s="56">
        <f>'Mastercurve bestimmen'!A38</f>
        <v>2765749.6224023802</v>
      </c>
    </row>
    <row r="95" spans="1:5" x14ac:dyDescent="0.25">
      <c r="A95" s="50">
        <f t="shared" si="0"/>
        <v>22</v>
      </c>
      <c r="B95" s="56">
        <f>'Mastercurve bestimmen'!C39</f>
        <v>3.2366685021283446E-2</v>
      </c>
      <c r="C95" s="11"/>
      <c r="D95" s="51">
        <f t="shared" si="1"/>
        <v>22</v>
      </c>
      <c r="E95" s="56">
        <f>'Mastercurve bestimmen'!A39</f>
        <v>10000000</v>
      </c>
    </row>
    <row r="96" spans="1:5" x14ac:dyDescent="0.25">
      <c r="A96" s="50">
        <f t="shared" si="0"/>
        <v>23</v>
      </c>
      <c r="B96" s="56">
        <f>'Mastercurve bestimmen'!C40</f>
        <v>3.1308799332550319E-2</v>
      </c>
      <c r="C96" s="11"/>
      <c r="D96" s="51">
        <f t="shared" si="1"/>
        <v>23</v>
      </c>
      <c r="E96" s="56">
        <f>'Mastercurve bestimmen'!A40</f>
        <v>100000000</v>
      </c>
    </row>
    <row r="97" spans="1:5" x14ac:dyDescent="0.25">
      <c r="A97" s="50">
        <f t="shared" si="0"/>
        <v>24</v>
      </c>
      <c r="B97" s="56">
        <f>'Mastercurve bestimmen'!C41</f>
        <v>2.9628011896189826E-2</v>
      </c>
      <c r="C97" s="11"/>
      <c r="D97" s="51">
        <f t="shared" si="1"/>
        <v>24</v>
      </c>
      <c r="E97" s="56">
        <f>'Mastercurve bestimmen'!A41</f>
        <v>1000000000</v>
      </c>
    </row>
    <row r="98" spans="1:5" x14ac:dyDescent="0.25">
      <c r="A98" s="50">
        <f t="shared" si="0"/>
        <v>25</v>
      </c>
      <c r="B98" s="56">
        <f>'Mastercurve bestimmen'!C42</f>
        <v>3.0878251841692891E-2</v>
      </c>
      <c r="C98" s="11"/>
      <c r="D98" s="51">
        <f t="shared" si="1"/>
        <v>25</v>
      </c>
      <c r="E98" s="56">
        <f>'Mastercurve bestimmen'!A42</f>
        <v>10000000000</v>
      </c>
    </row>
    <row r="99" spans="1:5" x14ac:dyDescent="0.25">
      <c r="A99" s="50">
        <f t="shared" si="0"/>
        <v>26</v>
      </c>
      <c r="B99" s="56">
        <f>'Mastercurve bestimmen'!C43</f>
        <v>3.5015955138041704E-2</v>
      </c>
      <c r="C99" s="11"/>
      <c r="D99" s="51">
        <f t="shared" si="1"/>
        <v>26</v>
      </c>
      <c r="E99" s="56">
        <f>'Mastercurve bestimmen'!A43</f>
        <v>100000000000</v>
      </c>
    </row>
    <row r="100" spans="1:5" x14ac:dyDescent="0.25">
      <c r="A100" s="50">
        <f t="shared" si="0"/>
        <v>27</v>
      </c>
      <c r="B100" s="56">
        <f>'Mastercurve bestimmen'!C44</f>
        <v>3.7250810616417634E-2</v>
      </c>
      <c r="C100" s="11"/>
      <c r="D100" s="51">
        <f t="shared" si="1"/>
        <v>27</v>
      </c>
      <c r="E100" s="56">
        <f>'Mastercurve bestimmen'!A44</f>
        <v>1000000000000</v>
      </c>
    </row>
    <row r="101" spans="1:5" x14ac:dyDescent="0.25">
      <c r="A101" s="50">
        <f t="shared" si="0"/>
        <v>28</v>
      </c>
      <c r="B101" s="56">
        <f>'Mastercurve bestimmen'!C45</f>
        <v>3.3898326315238474E-2</v>
      </c>
      <c r="C101" s="11"/>
      <c r="D101" s="51">
        <f t="shared" si="1"/>
        <v>28</v>
      </c>
      <c r="E101" s="56">
        <f>'Mastercurve bestimmen'!A45</f>
        <v>10000000000000</v>
      </c>
    </row>
    <row r="102" spans="1:5" x14ac:dyDescent="0.25">
      <c r="A102" s="50">
        <f t="shared" si="0"/>
        <v>29</v>
      </c>
      <c r="B102" s="56">
        <f>'Mastercurve bestimmen'!C46</f>
        <v>2.3731882185441592E-2</v>
      </c>
      <c r="C102" s="11"/>
      <c r="D102" s="51">
        <f t="shared" si="1"/>
        <v>29</v>
      </c>
      <c r="E102" s="56">
        <f>'Mastercurve bestimmen'!A46</f>
        <v>100000000000000</v>
      </c>
    </row>
    <row r="103" spans="1:5" x14ac:dyDescent="0.25">
      <c r="A103" s="50">
        <f t="shared" si="0"/>
        <v>30</v>
      </c>
      <c r="B103" s="56">
        <f>'Mastercurve bestimmen'!C47</f>
        <v>1.1146070536665017E-2</v>
      </c>
      <c r="C103" s="11"/>
      <c r="D103" s="51">
        <f t="shared" si="1"/>
        <v>30</v>
      </c>
      <c r="E103" s="56">
        <f>'Mastercurve bestimmen'!A47</f>
        <v>1000000000000000</v>
      </c>
    </row>
    <row r="104" spans="1:5" x14ac:dyDescent="0.25">
      <c r="A104" s="50">
        <f t="shared" si="0"/>
        <v>31</v>
      </c>
      <c r="B104" s="56">
        <f>'Mastercurve bestimmen'!C48</f>
        <v>2.58377406244087E-2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18946.322</v>
      </c>
    </row>
    <row r="108" spans="1:5" s="11" customFormat="1" x14ac:dyDescent="0.25">
      <c r="A108" s="61" t="str">
        <f>STUTT!B3</f>
        <v>mp,PRXY,MatID,</v>
      </c>
      <c r="B108" s="52">
        <f>STUTT!C3</f>
        <v>0.27492274999999999</v>
      </c>
    </row>
    <row r="109" spans="1:5" s="11" customFormat="1" x14ac:dyDescent="0.25">
      <c r="A109" s="61" t="str">
        <f>STUTT!B4</f>
        <v>mp,ey,MatID,</v>
      </c>
      <c r="B109" s="52">
        <f>STUTT!C4</f>
        <v>25113.767</v>
      </c>
    </row>
    <row r="110" spans="1:5" s="11" customFormat="1" x14ac:dyDescent="0.25">
      <c r="A110" s="61" t="str">
        <f>STUTT!B5</f>
        <v>mp,PRYZ,MatID,</v>
      </c>
      <c r="B110" s="52">
        <f>STUTT!C5</f>
        <v>0.36447574999999999</v>
      </c>
    </row>
    <row r="111" spans="1:5" s="11" customFormat="1" x14ac:dyDescent="0.25">
      <c r="A111" s="61" t="str">
        <f>STUTT!B6</f>
        <v>mp,ez,MatID,</v>
      </c>
      <c r="B111" s="52">
        <f>STUTT!C6</f>
        <v>18946.322</v>
      </c>
    </row>
    <row r="112" spans="1:5" s="11" customFormat="1" x14ac:dyDescent="0.25">
      <c r="A112" s="61" t="str">
        <f>STUTT!B7</f>
        <v>mp,PRXZ,MatID,</v>
      </c>
      <c r="B112" s="52">
        <f>STUTT!C7</f>
        <v>0.35477789999999998</v>
      </c>
    </row>
    <row r="113" spans="1:4" s="11" customFormat="1" x14ac:dyDescent="0.25">
      <c r="A113" s="61" t="str">
        <f>STUTT!B8</f>
        <v>MP,GXZ,</v>
      </c>
      <c r="B113" s="52" t="str">
        <f>STUTT!C8</f>
        <v>MatID,</v>
      </c>
      <c r="C113" s="112">
        <f>STUTT!D8</f>
        <v>6992.4087</v>
      </c>
      <c r="D113" s="112"/>
    </row>
    <row r="114" spans="1:4" s="11" customFormat="1" x14ac:dyDescent="0.25">
      <c r="A114" s="61" t="str">
        <f>STUTT!B9</f>
        <v>MP,GXY,</v>
      </c>
      <c r="B114" s="52" t="str">
        <f>STUTT!C9</f>
        <v>MatID,</v>
      </c>
      <c r="C114" s="112">
        <f>STUTT!D9</f>
        <v>9035.3351999999995</v>
      </c>
      <c r="D114" s="112"/>
    </row>
    <row r="115" spans="1:4" x14ac:dyDescent="0.25">
      <c r="A115" s="61" t="str">
        <f>STUTT!B10</f>
        <v>MP,GYZ,</v>
      </c>
      <c r="B115" s="52" t="str">
        <f>STUTT!C10</f>
        <v>MatID,</v>
      </c>
      <c r="C115" s="112">
        <f>STUTT!D10</f>
        <v>9035.3351999999995</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-1.973E-7</v>
      </c>
      <c r="C3" s="3">
        <v>2.4930000000000001E-6</v>
      </c>
      <c r="D3" s="3">
        <v>-1.973E-7</v>
      </c>
      <c r="E3" s="3">
        <v>-1.3499999999999999E-5</v>
      </c>
      <c r="F3" s="3">
        <v>-1.3499999999999999E-5</v>
      </c>
      <c r="G3" s="3">
        <v>-1.3499999999999999E-5</v>
      </c>
      <c r="H3" s="3">
        <v>-2.1161738999999999E-6</v>
      </c>
      <c r="I3" s="3">
        <v>-9.5446578000000009E-7</v>
      </c>
      <c r="J3" s="3">
        <v>-2.1161738999999999E-6</v>
      </c>
      <c r="L3" s="48">
        <f>ABS(H3/(-0.5)/$L$1)</f>
        <v>2.4184844571428572E-5</v>
      </c>
      <c r="R3">
        <f>ABS(I3/(-0.5)/$R$1)</f>
        <v>2.1210350666666669E-5</v>
      </c>
    </row>
    <row r="4" spans="1:18" x14ac:dyDescent="0.25">
      <c r="A4">
        <v>-39</v>
      </c>
      <c r="B4" s="3">
        <v>1.9719999999999999E-7</v>
      </c>
      <c r="C4" s="3">
        <v>-2.4930000000000001E-6</v>
      </c>
      <c r="D4" s="3">
        <v>1.9719999999999999E-7</v>
      </c>
      <c r="E4" s="3">
        <v>1.3499999999999999E-5</v>
      </c>
      <c r="F4" s="3">
        <v>1.3499999999999999E-5</v>
      </c>
      <c r="G4" s="3">
        <v>1.3499999999999999E-5</v>
      </c>
      <c r="H4" s="3">
        <v>2.1161285999999999E-6</v>
      </c>
      <c r="I4" s="3">
        <v>9.5452484000000003E-7</v>
      </c>
      <c r="J4" s="3">
        <v>2.1161285999999999E-6</v>
      </c>
      <c r="L4" s="48">
        <f t="shared" ref="L4:L14" si="0">ABS(H4/(-0.5)/$L$1)</f>
        <v>2.4184326857142857E-5</v>
      </c>
      <c r="N4" s="39" t="s">
        <v>27</v>
      </c>
      <c r="O4" s="39" t="s">
        <v>130</v>
      </c>
      <c r="P4" s="85" t="s">
        <v>131</v>
      </c>
      <c r="R4" s="11">
        <f t="shared" ref="R4:R14" si="1">ABS(I4/(-0.5)/$R$1)</f>
        <v>2.1211663111111113E-5</v>
      </c>
    </row>
    <row r="5" spans="1:18" x14ac:dyDescent="0.25">
      <c r="A5">
        <v>0</v>
      </c>
      <c r="B5" s="3">
        <v>-1.9219999999999999E-7</v>
      </c>
      <c r="C5" s="3">
        <v>2.4719999999999998E-6</v>
      </c>
      <c r="D5" s="3">
        <v>-1.9219999999999999E-7</v>
      </c>
      <c r="E5" s="3">
        <v>-1.3499999999999999E-5</v>
      </c>
      <c r="F5" s="3">
        <v>-1.3499999999999999E-5</v>
      </c>
      <c r="G5" s="3">
        <v>-1.3499999999999999E-5</v>
      </c>
      <c r="H5" s="3">
        <v>-2.1143196000000002E-6</v>
      </c>
      <c r="I5" s="3">
        <v>-9.5689469999999994E-7</v>
      </c>
      <c r="J5" s="3">
        <v>-2.1143196000000002E-6</v>
      </c>
      <c r="L5" s="48">
        <f t="shared" si="0"/>
        <v>2.4163652571428575E-5</v>
      </c>
      <c r="M5" s="48"/>
      <c r="N5" s="10">
        <f>(INDEX(A:A,ROW(A2)*2+1)+INDEX(A:A,ROW(A2)*2+2))/2</f>
        <v>0.5</v>
      </c>
      <c r="O5" s="89">
        <f>(INDEX(L:L,ROW(L2)*2+1)+INDEX(L:L,ROW(L2)*2+2))/2</f>
        <v>2.4163381142857142E-5</v>
      </c>
      <c r="P5" s="89">
        <f>(INDEX(R:R,ROW(M2)*2+1)+INDEX(R:R,ROW(R2)*2+2))/2</f>
        <v>2.1265021444444447E-5</v>
      </c>
      <c r="R5" s="11">
        <f t="shared" si="1"/>
        <v>2.1264326666666666E-5</v>
      </c>
    </row>
    <row r="6" spans="1:18" x14ac:dyDescent="0.25">
      <c r="A6">
        <v>1</v>
      </c>
      <c r="B6" s="3">
        <v>1.92E-7</v>
      </c>
      <c r="C6" s="3">
        <v>-2.4710000000000001E-6</v>
      </c>
      <c r="D6" s="3">
        <v>1.92E-7</v>
      </c>
      <c r="E6" s="3">
        <v>1.3499999999999999E-5</v>
      </c>
      <c r="F6" s="3">
        <v>1.3499999999999999E-5</v>
      </c>
      <c r="G6" s="3">
        <v>1.3499999999999999E-5</v>
      </c>
      <c r="H6" s="3">
        <v>2.1142720999999998E-6</v>
      </c>
      <c r="I6" s="3">
        <v>9.5695722999999997E-7</v>
      </c>
      <c r="J6" s="3">
        <v>2.1142720999999998E-6</v>
      </c>
      <c r="L6" s="48">
        <f t="shared" si="0"/>
        <v>2.4163109714285714E-5</v>
      </c>
      <c r="M6" s="49"/>
      <c r="N6" s="10">
        <f>(INDEX(A:A,ROW(A3)*2+1)+INDEX(A:A,ROW(A3)*2+2))/2</f>
        <v>130.5</v>
      </c>
      <c r="O6" s="89">
        <f t="shared" ref="O6:O7" si="2">(INDEX(L:L,ROW(L3)*2+1)+INDEX(L:L,ROW(L3)*2+2))/2</f>
        <v>2.6285482285714284E-5</v>
      </c>
      <c r="P6" s="89">
        <f t="shared" ref="P6:P9" si="3">(INDEX(R:R,ROW(M3)*2+1)+INDEX(R:R,ROW(R3)*2+2))/2</f>
        <v>2.2263357333333333E-5</v>
      </c>
      <c r="R6" s="11">
        <f t="shared" si="1"/>
        <v>2.1265716222222223E-5</v>
      </c>
    </row>
    <row r="7" spans="1:18" x14ac:dyDescent="0.25">
      <c r="A7">
        <v>130</v>
      </c>
      <c r="B7" s="3">
        <v>-2.8169999999999999E-7</v>
      </c>
      <c r="C7" s="3">
        <v>3.0639999999999998E-6</v>
      </c>
      <c r="D7" s="3">
        <v>-2.8169999999999999E-7</v>
      </c>
      <c r="E7" s="3">
        <v>-1.435E-5</v>
      </c>
      <c r="F7" s="3">
        <v>-1.435E-5</v>
      </c>
      <c r="G7" s="3">
        <v>-1.435E-5</v>
      </c>
      <c r="H7" s="3">
        <v>-2.2037995999999998E-6</v>
      </c>
      <c r="I7" s="3">
        <v>-9.8383106000000002E-7</v>
      </c>
      <c r="J7" s="3">
        <v>-2.2037995999999998E-6</v>
      </c>
      <c r="L7" s="48">
        <f t="shared" si="0"/>
        <v>2.5186281142857142E-5</v>
      </c>
      <c r="M7" s="48"/>
      <c r="N7" s="10">
        <f>(INDEX(A:A,ROW(A4)*2+1)+INDEX(A:A,ROW(A4)*2+2))/2</f>
        <v>135.5</v>
      </c>
      <c r="O7" s="89">
        <f t="shared" si="2"/>
        <v>4.8267398857142861E-5</v>
      </c>
      <c r="P7" s="89">
        <f t="shared" si="3"/>
        <v>3.0288797777777777E-5</v>
      </c>
      <c r="R7" s="11">
        <f t="shared" si="1"/>
        <v>2.1862912444444445E-5</v>
      </c>
    </row>
    <row r="8" spans="1:18" x14ac:dyDescent="0.25">
      <c r="A8">
        <v>131</v>
      </c>
      <c r="B8" s="3">
        <v>4.9790000000000003E-7</v>
      </c>
      <c r="C8" s="3">
        <v>-4.4059999999999998E-6</v>
      </c>
      <c r="D8" s="3">
        <v>4.9790000000000003E-7</v>
      </c>
      <c r="E8" s="3">
        <v>1.605E-5</v>
      </c>
      <c r="F8" s="3">
        <v>1.605E-5</v>
      </c>
      <c r="G8" s="3">
        <v>1.605E-5</v>
      </c>
      <c r="H8" s="3">
        <v>2.3961597999999999E-6</v>
      </c>
      <c r="I8" s="3">
        <v>1.0198711E-6</v>
      </c>
      <c r="J8" s="3">
        <v>2.3961597999999999E-6</v>
      </c>
      <c r="L8" s="48">
        <f t="shared" si="0"/>
        <v>2.738468342857143E-5</v>
      </c>
      <c r="M8" s="49"/>
      <c r="N8" s="10">
        <f>(INDEX(A:A,ROW(A5)*2+1)+INDEX(A:A,ROW(A5)*2+2))/2</f>
        <v>140.5</v>
      </c>
      <c r="O8" s="89">
        <f t="shared" ref="O8:O9" si="4">(INDEX(L:L,ROW(L5)*2+1)+INDEX(L:L,ROW(L5)*2+2))/2</f>
        <v>6.8039453714285723E-5</v>
      </c>
      <c r="P8" s="89">
        <f t="shared" si="3"/>
        <v>3.7565950000000002E-5</v>
      </c>
      <c r="R8" s="11">
        <f t="shared" si="1"/>
        <v>2.2663802222222221E-5</v>
      </c>
    </row>
    <row r="9" spans="1:18" x14ac:dyDescent="0.25">
      <c r="A9">
        <v>135</v>
      </c>
      <c r="B9" s="3">
        <v>-2.4430000000000002E-6</v>
      </c>
      <c r="C9" s="3">
        <v>1.6480000000000001E-5</v>
      </c>
      <c r="D9" s="3">
        <v>-2.4430000000000002E-6</v>
      </c>
      <c r="E9" s="3">
        <v>-3.1350000000000003E-5</v>
      </c>
      <c r="F9" s="3">
        <v>-3.1350000000000003E-5</v>
      </c>
      <c r="G9" s="3">
        <v>-3.1350000000000003E-5</v>
      </c>
      <c r="H9" s="3">
        <v>-4.1272953999999997E-6</v>
      </c>
      <c r="I9" s="3">
        <v>-1.3447875999999999E-6</v>
      </c>
      <c r="J9" s="3">
        <v>-4.1272953999999997E-6</v>
      </c>
      <c r="L9" s="48">
        <f t="shared" si="0"/>
        <v>4.7169090285714284E-5</v>
      </c>
      <c r="M9" s="48"/>
      <c r="N9" s="10">
        <f>(INDEX(A:A,ROW(A6)*2+1)+INDEX(A:A,ROW(A6)*2+2))/2</f>
        <v>180.5</v>
      </c>
      <c r="O9" s="89">
        <f t="shared" si="4"/>
        <v>6.7913481714285714E-5</v>
      </c>
      <c r="P9" s="89">
        <f t="shared" si="3"/>
        <v>3.810576666666667E-5</v>
      </c>
      <c r="R9" s="11">
        <f t="shared" si="1"/>
        <v>2.9884168888888887E-5</v>
      </c>
    </row>
    <row r="10" spans="1:18" x14ac:dyDescent="0.25">
      <c r="A10">
        <v>136</v>
      </c>
      <c r="B10" s="3">
        <v>2.6579999999999998E-6</v>
      </c>
      <c r="C10" s="3">
        <v>-1.7819999999999999E-5</v>
      </c>
      <c r="D10" s="3">
        <v>2.6579999999999998E-6</v>
      </c>
      <c r="E10" s="3">
        <v>3.3049999999999997E-5</v>
      </c>
      <c r="F10" s="3">
        <v>3.3049999999999997E-5</v>
      </c>
      <c r="G10" s="3">
        <v>3.3049999999999997E-5</v>
      </c>
      <c r="H10" s="3">
        <v>4.3194994000000003E-6</v>
      </c>
      <c r="I10" s="3">
        <v>1.3812042E-6</v>
      </c>
      <c r="J10" s="3">
        <v>4.3194994000000003E-6</v>
      </c>
      <c r="L10" s="48">
        <f t="shared" si="0"/>
        <v>4.9365707428571437E-5</v>
      </c>
      <c r="M10" s="49"/>
      <c r="N10" s="10"/>
      <c r="O10" s="3"/>
      <c r="R10" s="11">
        <f t="shared" si="1"/>
        <v>3.0693426666666671E-5</v>
      </c>
    </row>
    <row r="11" spans="1:18" x14ac:dyDescent="0.25">
      <c r="A11">
        <v>140</v>
      </c>
      <c r="B11" s="3">
        <v>-4.4920000000000004E-6</v>
      </c>
      <c r="C11" s="3">
        <v>2.9200000000000002E-5</v>
      </c>
      <c r="D11" s="3">
        <v>-4.4920000000000004E-6</v>
      </c>
      <c r="E11" s="3">
        <v>-4.7500000000000003E-5</v>
      </c>
      <c r="F11" s="3">
        <v>-4.7500000000000003E-5</v>
      </c>
      <c r="G11" s="3">
        <v>-4.7500000000000003E-5</v>
      </c>
      <c r="H11" s="3">
        <v>-5.9535860000000001E-6</v>
      </c>
      <c r="I11" s="3">
        <v>-1.6901754000000001E-6</v>
      </c>
      <c r="J11" s="3">
        <v>-5.9535860000000001E-6</v>
      </c>
      <c r="L11" s="48">
        <f t="shared" si="0"/>
        <v>6.804098285714286E-5</v>
      </c>
      <c r="M11" s="48"/>
      <c r="N11" s="10"/>
      <c r="O11" s="3"/>
      <c r="R11" s="11">
        <f t="shared" si="1"/>
        <v>3.7559453333333333E-5</v>
      </c>
    </row>
    <row r="12" spans="1:18" x14ac:dyDescent="0.25">
      <c r="A12">
        <v>141</v>
      </c>
      <c r="B12" s="3">
        <v>4.4909999999999999E-6</v>
      </c>
      <c r="C12" s="3">
        <v>-2.919E-5</v>
      </c>
      <c r="D12" s="3">
        <v>4.4909999999999999E-6</v>
      </c>
      <c r="E12" s="3">
        <v>4.7500000000000003E-5</v>
      </c>
      <c r="F12" s="3">
        <v>4.7500000000000003E-5</v>
      </c>
      <c r="G12" s="3">
        <v>4.7500000000000003E-5</v>
      </c>
      <c r="H12" s="3">
        <v>5.9533184000000001E-6</v>
      </c>
      <c r="I12" s="3">
        <v>1.6907601000000001E-6</v>
      </c>
      <c r="J12" s="3">
        <v>5.9533184000000001E-6</v>
      </c>
      <c r="L12" s="48">
        <f t="shared" si="0"/>
        <v>6.8037924571428572E-5</v>
      </c>
      <c r="M12" s="49"/>
      <c r="N12" s="10"/>
      <c r="O12" s="3"/>
      <c r="R12" s="11">
        <f t="shared" si="1"/>
        <v>3.7572446666666672E-5</v>
      </c>
    </row>
    <row r="13" spans="1:18" x14ac:dyDescent="0.25">
      <c r="A13">
        <v>180</v>
      </c>
      <c r="B13" s="3">
        <v>-4.4519999999999999E-6</v>
      </c>
      <c r="C13" s="3">
        <v>2.8969999999999999E-5</v>
      </c>
      <c r="D13" s="3">
        <v>-4.4519999999999999E-6</v>
      </c>
      <c r="E13" s="3">
        <v>-4.7500000000000003E-5</v>
      </c>
      <c r="F13" s="3">
        <v>-4.7500000000000003E-5</v>
      </c>
      <c r="G13" s="3">
        <v>-4.7500000000000003E-5</v>
      </c>
      <c r="H13" s="3">
        <v>-5.9425716999999999E-6</v>
      </c>
      <c r="I13" s="3">
        <v>-1.714444E-6</v>
      </c>
      <c r="J13" s="3">
        <v>-5.9425716999999999E-6</v>
      </c>
      <c r="L13" s="48">
        <f t="shared" si="0"/>
        <v>6.7915105142857151E-5</v>
      </c>
      <c r="M13" s="48"/>
      <c r="N13" s="10"/>
      <c r="O13" s="3"/>
      <c r="R13" s="11">
        <f t="shared" si="1"/>
        <v>3.809875555555556E-5</v>
      </c>
    </row>
    <row r="14" spans="1:18" x14ac:dyDescent="0.25">
      <c r="A14" s="11">
        <v>181</v>
      </c>
      <c r="B14" s="3">
        <v>4.4510000000000002E-6</v>
      </c>
      <c r="C14" s="3">
        <v>-2.8969999999999999E-5</v>
      </c>
      <c r="D14" s="3">
        <v>4.4510000000000002E-6</v>
      </c>
      <c r="E14" s="3">
        <v>4.7500000000000003E-5</v>
      </c>
      <c r="F14" s="3">
        <v>4.7500000000000003E-5</v>
      </c>
      <c r="G14" s="3">
        <v>4.7500000000000003E-5</v>
      </c>
      <c r="H14" s="3">
        <v>5.9422875999999998E-6</v>
      </c>
      <c r="I14" s="3">
        <v>1.715075E-6</v>
      </c>
      <c r="J14" s="3">
        <v>5.9422875999999998E-6</v>
      </c>
      <c r="L14" s="48">
        <f t="shared" si="0"/>
        <v>6.7911858285714291E-5</v>
      </c>
      <c r="M14" s="49"/>
      <c r="N14" s="10"/>
      <c r="O14" s="3"/>
      <c r="R14" s="11">
        <f t="shared" si="1"/>
        <v>3.8112777777777781E-5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18946.322</v>
      </c>
    </row>
    <row r="3" spans="2:4" x14ac:dyDescent="0.25">
      <c r="B3" t="s">
        <v>118</v>
      </c>
      <c r="C3" s="3">
        <v>0.27492274999999999</v>
      </c>
    </row>
    <row r="4" spans="2:4" x14ac:dyDescent="0.25">
      <c r="B4" t="s">
        <v>119</v>
      </c>
      <c r="C4" s="3">
        <v>25113.767</v>
      </c>
    </row>
    <row r="5" spans="2:4" x14ac:dyDescent="0.25">
      <c r="B5" t="s">
        <v>120</v>
      </c>
      <c r="C5" s="3">
        <v>0.36447574999999999</v>
      </c>
    </row>
    <row r="6" spans="2:4" x14ac:dyDescent="0.25">
      <c r="B6" t="s">
        <v>121</v>
      </c>
      <c r="C6" s="3">
        <v>18946.322</v>
      </c>
    </row>
    <row r="7" spans="2:4" x14ac:dyDescent="0.25">
      <c r="B7" t="s">
        <v>122</v>
      </c>
      <c r="C7" s="3">
        <v>0.35477789999999998</v>
      </c>
    </row>
    <row r="8" spans="2:4" x14ac:dyDescent="0.25">
      <c r="B8" t="s">
        <v>123</v>
      </c>
      <c r="C8" t="s">
        <v>124</v>
      </c>
      <c r="D8" s="3">
        <v>6992.4087</v>
      </c>
    </row>
    <row r="9" spans="2:4" x14ac:dyDescent="0.25">
      <c r="B9" t="s">
        <v>125</v>
      </c>
      <c r="C9" t="s">
        <v>124</v>
      </c>
      <c r="D9" s="3">
        <v>9035.3351999999995</v>
      </c>
    </row>
    <row r="10" spans="2:4" x14ac:dyDescent="0.25">
      <c r="B10" t="s">
        <v>126</v>
      </c>
      <c r="C10" t="s">
        <v>124</v>
      </c>
      <c r="D10" s="3">
        <v>9035.3351999999995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X1"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-5.2026789142857141E-4</v>
      </c>
      <c r="C3" s="2">
        <f>IF('Modell einstellen'!$B$2="Ja",creep_res0!O3,creep_res0!C3)</f>
        <v>-5.2482441714285716E-4</v>
      </c>
      <c r="D3" s="2">
        <f>IF('Modell einstellen'!$B$2="Ja",creep_res25!O3,creep_res25!C3)</f>
        <v>-5.2781071428571432E-4</v>
      </c>
      <c r="E3" s="2">
        <f>IF('Modell einstellen'!$B$2="Ja",creep_res50!O3,creep_res50!C3)</f>
        <v>-5.3091504571428573E-4</v>
      </c>
      <c r="F3" s="2">
        <f>IF('Modell einstellen'!$B$2="Ja",creep_res80!O3,creep_res80!C3)</f>
        <v>-5.3875919428571434E-4</v>
      </c>
      <c r="G3" s="2">
        <f>IF('Modell einstellen'!$B$2="Ja",creep_res125!O3,creep_res125!C3)</f>
        <v>-6.2079731428571429E-4</v>
      </c>
      <c r="H3" s="2">
        <f>IF('Modell einstellen'!$B$2="Ja",creep_res160!O3,creep_res160!C3)</f>
        <v>-7.5780891428571431E-4</v>
      </c>
      <c r="M3" s="9">
        <f>-10</f>
        <v>-10</v>
      </c>
      <c r="N3" s="2">
        <f t="shared" ref="N3:N33" si="4">A3</f>
        <v>1.0000000000000001E-15</v>
      </c>
      <c r="O3" s="2">
        <f t="shared" ref="O3:O33" si="5">$M$3/B3</f>
        <v>19220.867104717185</v>
      </c>
      <c r="P3" s="2">
        <f t="shared" ref="P3:P33" si="6">$M$3/C3</f>
        <v>19053.991531948868</v>
      </c>
      <c r="Q3" s="2">
        <f t="shared" ref="Q3:Q33" si="7">$M$3/D3</f>
        <v>18946.186065080146</v>
      </c>
      <c r="R3" s="2">
        <f>$M$3/E3</f>
        <v>18835.405175881086</v>
      </c>
      <c r="S3" s="2">
        <f t="shared" ref="S3:S33" si="8">$M$3/F3</f>
        <v>18561.168154648341</v>
      </c>
      <c r="T3" s="2">
        <f t="shared" ref="T3:T33" si="9">$M$3/G3</f>
        <v>16108.317110723878</v>
      </c>
      <c r="U3" s="2">
        <f t="shared" ref="U3:U33" si="10">$M$3/H3</f>
        <v>13195.938727410814</v>
      </c>
      <c r="W3" s="2">
        <v>18599.275035544593</v>
      </c>
      <c r="Z3" s="2">
        <v>1.0000000000000001E-15</v>
      </c>
      <c r="AA3" s="3">
        <f>IF('Modell einstellen'!$B$2="Ja",'creep_res-40'!P3,'creep_res-40'!L3)</f>
        <v>0.35489597935815076</v>
      </c>
      <c r="AB3" s="2">
        <f>IF('Modell einstellen'!$B$2="Ja",creep_res0!P3,creep_res0!L3)</f>
        <v>0.35482118738094864</v>
      </c>
      <c r="AC3" s="2">
        <f>IF('Modell einstellen'!$B$2="Ja",creep_res25!P3,creep_res25!L3)</f>
        <v>0.35477058198623695</v>
      </c>
      <c r="AD3" s="2">
        <f>IF('Modell einstellen'!$B$2="Ja",creep_res50!P3,creep_res50!L3)</f>
        <v>0.35471875817893839</v>
      </c>
      <c r="AE3" s="2">
        <f>IF('Modell einstellen'!$B$2="Ja",creep_res80!P3,creep_res80!L3)</f>
        <v>0.35669424279974371</v>
      </c>
      <c r="AF3" s="2">
        <f>IF('Modell einstellen'!$B$2="Ja",creep_res125!P3,creep_res125!L3)</f>
        <v>0.39427561036024372</v>
      </c>
      <c r="AG3" s="2">
        <f>IF('Modell einstellen'!$B$2="Ja",creep_res160!P3,creep_res160!L3)</f>
        <v>0.45450490496812768</v>
      </c>
      <c r="AL3" s="2">
        <f t="shared" ref="AL3:AL33" si="11">Z3</f>
        <v>1.0000000000000001E-15</v>
      </c>
      <c r="AM3" s="2">
        <f t="shared" ref="AM3:AM33" si="12">O3/(2*(1+AA3))</f>
        <v>7093.1154116431162</v>
      </c>
      <c r="AN3" s="2">
        <f t="shared" ref="AN3:AN33" si="13">P3/(2*(1+AB3))</f>
        <v>7031.9211529245395</v>
      </c>
      <c r="AO3" s="2">
        <f t="shared" ref="AO3:AO33" si="14">Q3/(2*(1+AC3))</f>
        <v>6992.3964680806075</v>
      </c>
      <c r="AP3" s="2">
        <f t="shared" ref="AP3:AP33" si="15">R3/(2*(1+AD3))</f>
        <v>6951.7769139036336</v>
      </c>
      <c r="AQ3" s="2">
        <f t="shared" ref="AQ3:AQ33" si="16">S3/(2*(1+AE3))</f>
        <v>6840.5863197092085</v>
      </c>
      <c r="AR3" s="2">
        <f t="shared" ref="AR3:AR33" si="17">T3/(2*(1+AF3))</f>
        <v>5776.5900052436255</v>
      </c>
      <c r="AS3" s="2">
        <f t="shared" ref="AS3:AS33" si="18">U3/(2*(1+AG3))</f>
        <v>4536.230397827354</v>
      </c>
      <c r="AX3" s="2">
        <f>AL3</f>
        <v>1.0000000000000001E-15</v>
      </c>
      <c r="AY3" s="37">
        <f t="shared" ref="AY3:AY33" si="19">O3/(3*(1-(2*AA3)))</f>
        <v>22077.11293330136</v>
      </c>
      <c r="AZ3" s="37">
        <f t="shared" ref="AZ3:AZ33" si="20">P3/(3*(1-(2*AB3)))</f>
        <v>21874.164680336275</v>
      </c>
      <c r="BA3" s="37">
        <f t="shared" ref="BA3:BA33" si="21">Q3/(3*(1-(2*AC3)))</f>
        <v>21742.824013893041</v>
      </c>
      <c r="BB3" s="37">
        <f t="shared" ref="BB3:BB33" si="22">R3/(3*(1-(2*AD3)))</f>
        <v>21607.980195039068</v>
      </c>
      <c r="BC3" s="37">
        <f t="shared" ref="BC3:BC33" si="23">S3/(3*(1-(2*AE3)))</f>
        <v>21586.906808299471</v>
      </c>
      <c r="BD3" s="37">
        <f t="shared" ref="BD3:BD33" si="24">T3/(3*(1-(2*AF3)))</f>
        <v>25393.568386649978</v>
      </c>
      <c r="BE3" s="37">
        <f t="shared" ref="BE3:BE33" si="25">U3/(3*(1-(2*AG3)))</f>
        <v>48341.983233453284</v>
      </c>
    </row>
    <row r="4" spans="1:308" x14ac:dyDescent="0.25">
      <c r="A4" s="2">
        <f>'creep_res-40'!A4</f>
        <v>1E-14</v>
      </c>
      <c r="B4" s="3">
        <f>'creep_res-40'!O4</f>
        <v>-5.2026033714285718E-4</v>
      </c>
      <c r="C4" s="2">
        <f>IF('Modell einstellen'!$B$2="Ja",creep_res0!O4,creep_res0!C4)</f>
        <v>-5.2481664571428575E-4</v>
      </c>
      <c r="D4" s="2">
        <f>IF('Modell einstellen'!$B$2="Ja",creep_res25!O4,creep_res25!C4)</f>
        <v>-5.2780317142857151E-4</v>
      </c>
      <c r="E4" s="2">
        <f>IF('Modell einstellen'!$B$2="Ja",creep_res50!O4,creep_res50!C4)</f>
        <v>-5.3097552000000003E-4</v>
      </c>
      <c r="F4" s="2">
        <f>IF('Modell einstellen'!$B$2="Ja",creep_res80!O4,creep_res80!C4)</f>
        <v>-5.5183846857142854E-4</v>
      </c>
      <c r="G4" s="2">
        <f>IF('Modell einstellen'!$B$2="Ja",creep_res125!O4,creep_res125!C4)</f>
        <v>-6.3928611428571433E-4</v>
      </c>
      <c r="H4" s="2">
        <f>IF('Modell einstellen'!$B$2="Ja",creep_res160!O4,creep_res160!C4)</f>
        <v>-7.9098565714285718E-4</v>
      </c>
      <c r="M4" s="9">
        <f t="shared" ref="M4:M32" si="26">M3</f>
        <v>-10</v>
      </c>
      <c r="N4" s="2">
        <f t="shared" si="4"/>
        <v>1E-14</v>
      </c>
      <c r="O4" s="2">
        <f t="shared" si="5"/>
        <v>19221.146195609606</v>
      </c>
      <c r="P4" s="2">
        <f t="shared" si="6"/>
        <v>19054.273681410777</v>
      </c>
      <c r="Q4" s="2">
        <f t="shared" si="7"/>
        <v>18946.45682581564</v>
      </c>
      <c r="R4" s="2">
        <f t="shared" ref="R4:R33" si="27">$M$3/E4</f>
        <v>18833.259958952531</v>
      </c>
      <c r="S4" s="2">
        <f t="shared" si="8"/>
        <v>18121.244837982198</v>
      </c>
      <c r="T4" s="2">
        <f t="shared" si="9"/>
        <v>15642.448313104966</v>
      </c>
      <c r="U4" s="2">
        <f t="shared" si="10"/>
        <v>12642.454271701079</v>
      </c>
      <c r="Z4" s="2">
        <v>1E-14</v>
      </c>
      <c r="AA4" s="3">
        <f>IF('Modell einstellen'!$B$2="Ja",'creep_res-40'!P4,'creep_res-40'!L4)</f>
        <v>0.35490202218430006</v>
      </c>
      <c r="AB4" s="2">
        <f>IF('Modell einstellen'!$B$2="Ja",creep_res0!P4,creep_res0!L4)</f>
        <v>0.35482783521903322</v>
      </c>
      <c r="AC4" s="2">
        <f>IF('Modell einstellen'!$B$2="Ja",creep_res25!P4,creep_res25!L4)</f>
        <v>0.35477781733677666</v>
      </c>
      <c r="AD4" s="2">
        <f>IF('Modell einstellen'!$B$2="Ja",creep_res50!P4,creep_res50!L4)</f>
        <v>0.35476427021935553</v>
      </c>
      <c r="AE4" s="2">
        <f>IF('Modell einstellen'!$B$2="Ja",creep_res80!P4,creep_res80!L4)</f>
        <v>0.36381285985426876</v>
      </c>
      <c r="AF4" s="2">
        <f>IF('Modell einstellen'!$B$2="Ja",creep_res125!P4,creep_res125!L4)</f>
        <v>0.4037430680490301</v>
      </c>
      <c r="AG4" s="2">
        <f>IF('Modell einstellen'!$B$2="Ja",creep_res160!P4,creep_res160!L4)</f>
        <v>0.46898678097757085</v>
      </c>
      <c r="AL4" s="2">
        <f t="shared" si="11"/>
        <v>1E-14</v>
      </c>
      <c r="AM4" s="2">
        <f t="shared" si="12"/>
        <v>7093.186769557813</v>
      </c>
      <c r="AN4" s="2">
        <f t="shared" si="13"/>
        <v>7031.9907762783369</v>
      </c>
      <c r="AO4" s="2">
        <f t="shared" si="14"/>
        <v>6992.459052459466</v>
      </c>
      <c r="AP4" s="2">
        <f t="shared" si="15"/>
        <v>6950.7516447504031</v>
      </c>
      <c r="AQ4" s="2">
        <f t="shared" si="16"/>
        <v>6643.5965561721414</v>
      </c>
      <c r="AR4" s="2">
        <f t="shared" si="17"/>
        <v>5571.6920956359099</v>
      </c>
      <c r="AS4" s="2">
        <f t="shared" si="18"/>
        <v>4303.1205029931816</v>
      </c>
      <c r="AX4" s="2">
        <f t="shared" ref="AX4:AX32" si="28">AL4</f>
        <v>1E-14</v>
      </c>
      <c r="AY4" s="37">
        <f t="shared" si="19"/>
        <v>22078.352945786577</v>
      </c>
      <c r="AZ4" s="37">
        <f t="shared" si="20"/>
        <v>21875.490284426003</v>
      </c>
      <c r="BA4" s="37">
        <f t="shared" si="21"/>
        <v>21744.218041575314</v>
      </c>
      <c r="BB4" s="37">
        <f t="shared" si="22"/>
        <v>21612.28965190726</v>
      </c>
      <c r="BC4" s="37">
        <f t="shared" si="23"/>
        <v>22176.891810527537</v>
      </c>
      <c r="BD4" s="37">
        <f t="shared" si="24"/>
        <v>27084.539949588099</v>
      </c>
      <c r="BE4" s="37">
        <f t="shared" si="25"/>
        <v>67941.212759188784</v>
      </c>
      <c r="BF4" s="5"/>
      <c r="BG4" s="5"/>
    </row>
    <row r="5" spans="1:308" x14ac:dyDescent="0.25">
      <c r="A5" s="2">
        <f>'creep_res-40'!A5</f>
        <v>1E-13</v>
      </c>
      <c r="B5" s="3">
        <f>'creep_res-40'!O5</f>
        <v>-5.2026304571428574E-4</v>
      </c>
      <c r="C5" s="2">
        <f>IF('Modell einstellen'!$B$2="Ja",creep_res0!O5,creep_res0!C5)</f>
        <v>-5.2481937142857143E-4</v>
      </c>
      <c r="D5" s="2">
        <f>IF('Modell einstellen'!$B$2="Ja",creep_res25!O5,creep_res25!C5)</f>
        <v>-5.2780959428571435E-4</v>
      </c>
      <c r="E5" s="2">
        <f>IF('Modell einstellen'!$B$2="Ja",creep_res50!O5,creep_res50!C5)</f>
        <v>-5.316390914285714E-4</v>
      </c>
      <c r="F5" s="2">
        <f>IF('Modell einstellen'!$B$2="Ja",creep_res80!O5,creep_res80!C5)</f>
        <v>-5.5994022285714288E-4</v>
      </c>
      <c r="G5" s="2">
        <f>IF('Modell einstellen'!$B$2="Ja",creep_res125!O5,creep_res125!C5)</f>
        <v>-6.558840571428572E-4</v>
      </c>
      <c r="H5" s="2">
        <f>IF('Modell einstellen'!$B$2="Ja",creep_res160!O5,creep_res160!C5)</f>
        <v>-8.179954857142857E-4</v>
      </c>
      <c r="M5" s="9">
        <f t="shared" si="26"/>
        <v>-10</v>
      </c>
      <c r="N5" s="2">
        <f t="shared" si="4"/>
        <v>1E-13</v>
      </c>
      <c r="O5" s="2">
        <f t="shared" si="5"/>
        <v>19221.046127292553</v>
      </c>
      <c r="P5" s="2">
        <f t="shared" si="6"/>
        <v>19054.174720684852</v>
      </c>
      <c r="Q5" s="2">
        <f t="shared" si="7"/>
        <v>18946.226268457696</v>
      </c>
      <c r="R5" s="2">
        <f t="shared" si="27"/>
        <v>18809.75300956317</v>
      </c>
      <c r="S5" s="2">
        <f t="shared" si="8"/>
        <v>17859.049219529443</v>
      </c>
      <c r="T5" s="2">
        <f t="shared" si="9"/>
        <v>15246.597155542559</v>
      </c>
      <c r="U5" s="2">
        <f t="shared" si="10"/>
        <v>12225.006341285432</v>
      </c>
      <c r="Z5" s="2">
        <v>1E-13</v>
      </c>
      <c r="AA5" s="3">
        <f>IF('Modell einstellen'!$B$2="Ja",'creep_res-40'!P5,'creep_res-40'!L5)</f>
        <v>0.3549020636626749</v>
      </c>
      <c r="AB5" s="2">
        <f>IF('Modell einstellen'!$B$2="Ja",creep_res0!P5,creep_res0!L5)</f>
        <v>0.35482789779427787</v>
      </c>
      <c r="AC5" s="2">
        <f>IF('Modell einstellen'!$B$2="Ja",creep_res25!P5,creep_res25!L5)</f>
        <v>0.35477996345413693</v>
      </c>
      <c r="AD5" s="2">
        <f>IF('Modell einstellen'!$B$2="Ja",creep_res50!P5,creep_res50!L5)</f>
        <v>0.35513075943754374</v>
      </c>
      <c r="AE5" s="2">
        <f>IF('Modell einstellen'!$B$2="Ja",creep_res80!P5,creep_res80!L5)</f>
        <v>0.36805711474976932</v>
      </c>
      <c r="AF5" s="2">
        <f>IF('Modell einstellen'!$B$2="Ja",creep_res125!P5,creep_res125!L5)</f>
        <v>0.41152209741599799</v>
      </c>
      <c r="AG5" s="2">
        <f>IF('Modell einstellen'!$B$2="Ja",creep_res160!P5,creep_res160!L5)</f>
        <v>0.48088322666957084</v>
      </c>
      <c r="AL5" s="2">
        <f t="shared" si="11"/>
        <v>1E-13</v>
      </c>
      <c r="AM5" s="2">
        <f t="shared" si="12"/>
        <v>7093.1496241627792</v>
      </c>
      <c r="AN5" s="2">
        <f t="shared" si="13"/>
        <v>7031.9539299810422</v>
      </c>
      <c r="AO5" s="2">
        <f t="shared" si="14"/>
        <v>6992.3628853177524</v>
      </c>
      <c r="AP5" s="2">
        <f t="shared" si="15"/>
        <v>6940.1985301294053</v>
      </c>
      <c r="AQ5" s="2">
        <f t="shared" si="16"/>
        <v>6527.1577578820725</v>
      </c>
      <c r="AR5" s="2">
        <f t="shared" si="17"/>
        <v>5400.7646013667554</v>
      </c>
      <c r="AS5" s="2">
        <f t="shared" si="18"/>
        <v>4127.6064584710148</v>
      </c>
      <c r="AX5" s="2">
        <f t="shared" si="28"/>
        <v>1E-13</v>
      </c>
      <c r="AY5" s="37">
        <f t="shared" si="19"/>
        <v>22078.244313789179</v>
      </c>
      <c r="AZ5" s="37">
        <f t="shared" si="20"/>
        <v>21875.38610056468</v>
      </c>
      <c r="BA5" s="37">
        <f t="shared" si="21"/>
        <v>21744.274779045543</v>
      </c>
      <c r="BB5" s="37">
        <f t="shared" si="22"/>
        <v>21639.920405157689</v>
      </c>
      <c r="BC5" s="37">
        <f t="shared" si="23"/>
        <v>22559.065595768479</v>
      </c>
      <c r="BD5" s="37">
        <f t="shared" si="24"/>
        <v>28720.160081905295</v>
      </c>
      <c r="BE5" s="37">
        <f t="shared" si="25"/>
        <v>106581.8494399214</v>
      </c>
    </row>
    <row r="6" spans="1:308" x14ac:dyDescent="0.25">
      <c r="A6" s="2">
        <f>'creep_res-40'!A6</f>
        <v>9.9999999999999998E-13</v>
      </c>
      <c r="B6" s="3">
        <f>'creep_res-40'!O6</f>
        <v>-5.2026376571428568E-4</v>
      </c>
      <c r="C6" s="2">
        <f>IF('Modell einstellen'!$B$2="Ja",creep_res0!O6,creep_res0!C6)</f>
        <v>-5.2482014857142855E-4</v>
      </c>
      <c r="D6" s="2">
        <f>IF('Modell einstellen'!$B$2="Ja",creep_res25!O6,creep_res25!C6)</f>
        <v>-5.2784711428571437E-4</v>
      </c>
      <c r="E6" s="2">
        <f>IF('Modell einstellen'!$B$2="Ja",creep_res50!O6,creep_res50!C6)</f>
        <v>-5.367964742857143E-4</v>
      </c>
      <c r="F6" s="2">
        <f>IF('Modell einstellen'!$B$2="Ja",creep_res80!O6,creep_res80!C6)</f>
        <v>-5.6813518285714294E-4</v>
      </c>
      <c r="G6" s="2">
        <f>IF('Modell einstellen'!$B$2="Ja",creep_res125!O6,creep_res125!C6)</f>
        <v>-6.7472948571428574E-4</v>
      </c>
      <c r="H6" s="2">
        <f>IF('Modell einstellen'!$B$2="Ja",creep_res160!O6,creep_res160!C6)</f>
        <v>-8.486698857142858E-4</v>
      </c>
      <c r="M6" s="9">
        <f t="shared" si="26"/>
        <v>-10</v>
      </c>
      <c r="N6" s="2">
        <f t="shared" si="4"/>
        <v>9.9999999999999998E-13</v>
      </c>
      <c r="O6" s="2">
        <f t="shared" si="5"/>
        <v>19221.019527029144</v>
      </c>
      <c r="P6" s="2">
        <f t="shared" si="6"/>
        <v>19054.146505655717</v>
      </c>
      <c r="Q6" s="2">
        <f t="shared" si="7"/>
        <v>18944.879548185188</v>
      </c>
      <c r="R6" s="2">
        <f t="shared" si="27"/>
        <v>18629.034427445622</v>
      </c>
      <c r="S6" s="2">
        <f t="shared" si="8"/>
        <v>17601.444694395013</v>
      </c>
      <c r="T6" s="2">
        <f t="shared" si="9"/>
        <v>14820.754408581606</v>
      </c>
      <c r="U6" s="2">
        <f t="shared" si="10"/>
        <v>11783.144622344491</v>
      </c>
      <c r="Z6" s="2">
        <v>9.9999999999999998E-13</v>
      </c>
      <c r="AA6" s="3">
        <f>IF('Modell einstellen'!$B$2="Ja",'creep_res-40'!P6,'creep_res-40'!L6)</f>
        <v>0.35490205578029937</v>
      </c>
      <c r="AB6" s="2">
        <f>IF('Modell einstellen'!$B$2="Ja",creep_res0!P6,creep_res0!L6)</f>
        <v>0.354827927664711</v>
      </c>
      <c r="AC6" s="2">
        <f>IF('Modell einstellen'!$B$2="Ja",creep_res25!P6,creep_res25!L6)</f>
        <v>0.35480066766085783</v>
      </c>
      <c r="AD6" s="2">
        <f>IF('Modell einstellen'!$B$2="Ja",creep_res50!P6,creep_res50!L6)</f>
        <v>0.35797376910597761</v>
      </c>
      <c r="AE6" s="2">
        <f>IF('Modell einstellen'!$B$2="Ja",creep_res80!P6,creep_res80!L6)</f>
        <v>0.37232543156202752</v>
      </c>
      <c r="AF6" s="2">
        <f>IF('Modell einstellen'!$B$2="Ja",creep_res125!P6,creep_res125!L6)</f>
        <v>0.42095508159629863</v>
      </c>
      <c r="AG6" s="2">
        <f>IF('Modell einstellen'!$B$2="Ja",creep_res160!P6,creep_res160!L6)</f>
        <v>0.4931989574542967</v>
      </c>
      <c r="AL6" s="2">
        <f t="shared" si="11"/>
        <v>9.9999999999999998E-13</v>
      </c>
      <c r="AM6" s="2">
        <f t="shared" si="12"/>
        <v>7093.139849123485</v>
      </c>
      <c r="AN6" s="2">
        <f t="shared" si="13"/>
        <v>7031.9433621725511</v>
      </c>
      <c r="AO6" s="2">
        <f t="shared" si="14"/>
        <v>6991.7590094248426</v>
      </c>
      <c r="AP6" s="2">
        <f t="shared" si="15"/>
        <v>6859.1289652487367</v>
      </c>
      <c r="AQ6" s="2">
        <f t="shared" si="16"/>
        <v>6412.9995296962652</v>
      </c>
      <c r="AR6" s="2">
        <f t="shared" si="17"/>
        <v>5215.0678795321228</v>
      </c>
      <c r="AS6" s="2">
        <f t="shared" si="18"/>
        <v>3945.604356178083</v>
      </c>
      <c r="AX6" s="2">
        <f t="shared" si="28"/>
        <v>9.9999999999999998E-13</v>
      </c>
      <c r="AY6" s="37">
        <f t="shared" si="19"/>
        <v>22078.212560022632</v>
      </c>
      <c r="AZ6" s="37">
        <f t="shared" si="20"/>
        <v>21875.358208990678</v>
      </c>
      <c r="BA6" s="37">
        <f t="shared" si="21"/>
        <v>21745.829500941531</v>
      </c>
      <c r="BB6" s="37">
        <f t="shared" si="22"/>
        <v>21861.025612639936</v>
      </c>
      <c r="BC6" s="37">
        <f t="shared" si="23"/>
        <v>22976.965198497666</v>
      </c>
      <c r="BD6" s="37">
        <f t="shared" si="24"/>
        <v>31249.646209362581</v>
      </c>
      <c r="BE6" s="37">
        <f t="shared" si="25"/>
        <v>288758.29313817841</v>
      </c>
    </row>
    <row r="7" spans="1:308" x14ac:dyDescent="0.25">
      <c r="A7" s="2">
        <f>'creep_res-40'!A7</f>
        <v>9.9999999999999994E-12</v>
      </c>
      <c r="B7" s="3">
        <f>'creep_res-40'!O7</f>
        <v>-5.2026397714285716E-4</v>
      </c>
      <c r="C7" s="2">
        <f>IF('Modell einstellen'!$B$2="Ja",creep_res0!O7,creep_res0!C7)</f>
        <v>-5.2482096571428573E-4</v>
      </c>
      <c r="D7" s="2">
        <f>IF('Modell einstellen'!$B$2="Ja",creep_res25!O7,creep_res25!C7)</f>
        <v>-5.2820610285714297E-4</v>
      </c>
      <c r="E7" s="2">
        <f>IF('Modell einstellen'!$B$2="Ja",creep_res50!O7,creep_res50!C7)</f>
        <v>-5.4753407428571432E-4</v>
      </c>
      <c r="F7" s="2">
        <f>IF('Modell einstellen'!$B$2="Ja",creep_res80!O7,creep_res80!C7)</f>
        <v>-5.7749040000000008E-4</v>
      </c>
      <c r="G7" s="2">
        <f>IF('Modell einstellen'!$B$2="Ja",creep_res125!O7,creep_res125!C7)</f>
        <v>-7.0008291428571429E-4</v>
      </c>
      <c r="H7" s="2">
        <f>IF('Modell einstellen'!$B$2="Ja",creep_res160!O7,creep_res160!C7)</f>
        <v>-8.8110862857142865E-4</v>
      </c>
      <c r="M7" s="9">
        <f t="shared" si="26"/>
        <v>-10</v>
      </c>
      <c r="N7" s="2">
        <f t="shared" si="4"/>
        <v>9.9999999999999994E-12</v>
      </c>
      <c r="O7" s="2">
        <f t="shared" si="5"/>
        <v>19221.011715854664</v>
      </c>
      <c r="P7" s="2">
        <f t="shared" si="6"/>
        <v>19054.116838472557</v>
      </c>
      <c r="Q7" s="2">
        <f t="shared" si="7"/>
        <v>18932.003901334268</v>
      </c>
      <c r="R7" s="2">
        <f t="shared" si="27"/>
        <v>18263.70352027041</v>
      </c>
      <c r="S7" s="2">
        <f t="shared" si="8"/>
        <v>17316.305171479904</v>
      </c>
      <c r="T7" s="2">
        <f t="shared" si="9"/>
        <v>14284.022357841532</v>
      </c>
      <c r="U7" s="2">
        <f t="shared" si="10"/>
        <v>11349.338408152171</v>
      </c>
      <c r="Z7" s="2">
        <v>9.9999999999999994E-12</v>
      </c>
      <c r="AA7" s="3">
        <f>IF('Modell einstellen'!$B$2="Ja",'creep_res-40'!P7,'creep_res-40'!L7)</f>
        <v>0.35490204335390357</v>
      </c>
      <c r="AB7" s="2">
        <f>IF('Modell einstellen'!$B$2="Ja",creep_res0!P7,creep_res0!L7)</f>
        <v>0.35482826802139189</v>
      </c>
      <c r="AC7" s="2">
        <f>IF('Modell einstellen'!$B$2="Ja",creep_res25!P7,creep_res25!L7)</f>
        <v>0.35500228114419569</v>
      </c>
      <c r="AD7" s="2">
        <f>IF('Modell einstellen'!$B$2="Ja",creep_res50!P7,creep_res50!L7)</f>
        <v>0.36384606795456531</v>
      </c>
      <c r="AE7" s="2">
        <f>IF('Modell einstellen'!$B$2="Ja",creep_res80!P7,creep_res80!L7)</f>
        <v>0.37719485157551658</v>
      </c>
      <c r="AF7" s="2">
        <f>IF('Modell einstellen'!$B$2="Ja",creep_res125!P7,creep_res125!L7)</f>
        <v>0.4325781738016175</v>
      </c>
      <c r="AG7" s="2">
        <f>IF('Modell einstellen'!$B$2="Ja",creep_res160!P7,creep_res160!L7)</f>
        <v>0.50656640942148146</v>
      </c>
      <c r="AL7" s="2">
        <f t="shared" si="11"/>
        <v>9.9999999999999994E-12</v>
      </c>
      <c r="AM7" s="2">
        <f t="shared" si="12"/>
        <v>7093.1370316171597</v>
      </c>
      <c r="AN7" s="2">
        <f t="shared" si="13"/>
        <v>7031.9306469370567</v>
      </c>
      <c r="AO7" s="2">
        <f t="shared" si="14"/>
        <v>6985.9675385002447</v>
      </c>
      <c r="AP7" s="2">
        <f t="shared" si="15"/>
        <v>6695.6616107202954</v>
      </c>
      <c r="AQ7" s="2">
        <f t="shared" si="16"/>
        <v>6286.8028992665704</v>
      </c>
      <c r="AR7" s="2">
        <f t="shared" si="17"/>
        <v>4985.425095489265</v>
      </c>
      <c r="AS7" s="2">
        <f t="shared" si="18"/>
        <v>3766.6240058114313</v>
      </c>
      <c r="AX7" s="2">
        <f t="shared" si="28"/>
        <v>9.9999999999999994E-12</v>
      </c>
      <c r="AY7" s="37">
        <f t="shared" si="19"/>
        <v>22078.201696912922</v>
      </c>
      <c r="AZ7" s="37">
        <f t="shared" si="20"/>
        <v>21875.375436130926</v>
      </c>
      <c r="BA7" s="37">
        <f t="shared" si="21"/>
        <v>21761.266373394414</v>
      </c>
      <c r="BB7" s="37">
        <f t="shared" si="22"/>
        <v>22356.685120896589</v>
      </c>
      <c r="BC7" s="37">
        <f t="shared" si="23"/>
        <v>23501.057561019414</v>
      </c>
      <c r="BD7" s="37">
        <f t="shared" si="24"/>
        <v>35310.084689321317</v>
      </c>
      <c r="BE7" s="37">
        <f t="shared" si="25"/>
        <v>-288065.55911220331</v>
      </c>
    </row>
    <row r="8" spans="1:308" x14ac:dyDescent="0.25">
      <c r="A8" s="2">
        <f>'creep_res-40'!A8</f>
        <v>1E-10</v>
      </c>
      <c r="B8" s="3">
        <f>'creep_res-40'!O8</f>
        <v>-5.2026404000000005E-4</v>
      </c>
      <c r="C8" s="2">
        <f>IF('Modell einstellen'!$B$2="Ja",creep_res0!O8,creep_res0!C8)</f>
        <v>-5.248271028571429E-4</v>
      </c>
      <c r="D8" s="2">
        <f>IF('Modell einstellen'!$B$2="Ja",creep_res25!O8,creep_res25!C8)</f>
        <v>-5.3132425714285715E-4</v>
      </c>
      <c r="E8" s="2">
        <f>IF('Modell einstellen'!$B$2="Ja",creep_res50!O8,creep_res50!C8)</f>
        <v>-5.5545164000000004E-4</v>
      </c>
      <c r="F8" s="2">
        <f>IF('Modell einstellen'!$B$2="Ja",creep_res80!O8,creep_res80!C8)</f>
        <v>-5.8790091428571434E-4</v>
      </c>
      <c r="G8" s="2">
        <f>IF('Modell einstellen'!$B$2="Ja",creep_res125!O8,creep_res125!C8)</f>
        <v>-7.2712519999999998E-4</v>
      </c>
      <c r="H8" s="2">
        <f>IF('Modell einstellen'!$B$2="Ja",creep_res160!O8,creep_res160!C8)</f>
        <v>-9.2443062857142859E-4</v>
      </c>
      <c r="M8" s="9">
        <f t="shared" si="26"/>
        <v>-10</v>
      </c>
      <c r="N8" s="2">
        <f t="shared" si="4"/>
        <v>1E-10</v>
      </c>
      <c r="O8" s="2">
        <f t="shared" si="5"/>
        <v>19221.009393614826</v>
      </c>
      <c r="P8" s="2">
        <f t="shared" si="6"/>
        <v>19053.894026357066</v>
      </c>
      <c r="Q8" s="2">
        <f t="shared" si="7"/>
        <v>18820.898661344763</v>
      </c>
      <c r="R8" s="2">
        <f t="shared" si="27"/>
        <v>18003.367493882994</v>
      </c>
      <c r="S8" s="2">
        <f t="shared" si="8"/>
        <v>17009.669073486239</v>
      </c>
      <c r="T8" s="2">
        <f t="shared" si="9"/>
        <v>13752.789753401477</v>
      </c>
      <c r="U8" s="2">
        <f t="shared" si="10"/>
        <v>10817.469359981644</v>
      </c>
      <c r="Z8" s="2">
        <v>1E-10</v>
      </c>
      <c r="AA8" s="3">
        <f>IF('Modell einstellen'!$B$2="Ja",'creep_res-40'!P8,'creep_res-40'!L8)</f>
        <v>0.35490204440916467</v>
      </c>
      <c r="AB8" s="2">
        <f>IF('Modell einstellen'!$B$2="Ja",creep_res0!P8,creep_res0!L8)</f>
        <v>0.35483171856662499</v>
      </c>
      <c r="AC8" s="2">
        <f>IF('Modell einstellen'!$B$2="Ja",creep_res25!P8,creep_res25!L8)</f>
        <v>0.3567483273195185</v>
      </c>
      <c r="AD8" s="2">
        <f>IF('Modell einstellen'!$B$2="Ja",creep_res50!P8,creep_res50!L8)</f>
        <v>0.36805965167887011</v>
      </c>
      <c r="AE8" s="2">
        <f>IF('Modell einstellen'!$B$2="Ja",creep_res80!P8,creep_res80!L8)</f>
        <v>0.38258146708104163</v>
      </c>
      <c r="AF8" s="2">
        <f>IF('Modell einstellen'!$B$2="Ja",creep_res125!P8,creep_res125!L8)</f>
        <v>0.44512623528539907</v>
      </c>
      <c r="AG8" s="2">
        <f>IF('Modell einstellen'!$B$2="Ja",creep_res160!P8,creep_res160!L8)</f>
        <v>0.5227542253653461</v>
      </c>
      <c r="AL8" s="2">
        <f t="shared" si="11"/>
        <v>1E-10</v>
      </c>
      <c r="AM8" s="2">
        <f t="shared" si="12"/>
        <v>7093.1361691156708</v>
      </c>
      <c r="AN8" s="2">
        <f t="shared" si="13"/>
        <v>7031.8305090006179</v>
      </c>
      <c r="AO8" s="2">
        <f t="shared" si="14"/>
        <v>6936.0316435873456</v>
      </c>
      <c r="AP8" s="2">
        <f t="shared" si="15"/>
        <v>6579.8912612434069</v>
      </c>
      <c r="AQ8" s="2">
        <f t="shared" si="16"/>
        <v>6151.4165633211096</v>
      </c>
      <c r="AR8" s="2">
        <f t="shared" si="17"/>
        <v>4758.3350912889036</v>
      </c>
      <c r="AS8" s="2">
        <f t="shared" si="18"/>
        <v>3551.9419942460731</v>
      </c>
      <c r="AX8" s="2">
        <f t="shared" si="28"/>
        <v>1E-10</v>
      </c>
      <c r="AY8" s="37">
        <f t="shared" si="19"/>
        <v>22078.199190042968</v>
      </c>
      <c r="AZ8" s="37">
        <f t="shared" si="20"/>
        <v>21875.639589012484</v>
      </c>
      <c r="BA8" s="37">
        <f t="shared" si="21"/>
        <v>21897.241301705664</v>
      </c>
      <c r="BB8" s="37">
        <f t="shared" si="22"/>
        <v>22741.801785132677</v>
      </c>
      <c r="BC8" s="37">
        <f t="shared" si="23"/>
        <v>24143.930051806245</v>
      </c>
      <c r="BD8" s="37">
        <f t="shared" si="24"/>
        <v>41770.992704588716</v>
      </c>
      <c r="BE8" s="37">
        <f t="shared" si="25"/>
        <v>-79234.14359526879</v>
      </c>
    </row>
    <row r="9" spans="1:308" x14ac:dyDescent="0.25">
      <c r="A9" s="2">
        <f>'creep_res-40'!A9</f>
        <v>1.0000000000000001E-9</v>
      </c>
      <c r="B9" s="3">
        <f>'creep_res-40'!O9</f>
        <v>-5.2026406285714288E-4</v>
      </c>
      <c r="C9" s="2">
        <f>IF('Modell einstellen'!$B$2="Ja",creep_res0!O9,creep_res0!C9)</f>
        <v>-5.2488745714285713E-4</v>
      </c>
      <c r="D9" s="2">
        <f>IF('Modell einstellen'!$B$2="Ja",creep_res25!O9,creep_res25!C9)</f>
        <v>-5.4216279428571435E-4</v>
      </c>
      <c r="E9" s="2">
        <f>IF('Modell einstellen'!$B$2="Ja",creep_res50!O9,creep_res50!C9)</f>
        <v>-5.6348080000000005E-4</v>
      </c>
      <c r="F9" s="2">
        <f>IF('Modell einstellen'!$B$2="Ja",creep_res80!O9,creep_res80!C9)</f>
        <v>-6.0010474285714284E-4</v>
      </c>
      <c r="G9" s="2">
        <f>IF('Modell einstellen'!$B$2="Ja",creep_res125!O9,creep_res125!C9)</f>
        <v>-7.5195502857142865E-4</v>
      </c>
      <c r="H9" s="2">
        <f>IF('Modell einstellen'!$B$2="Ja",creep_res160!O9,creep_res160!C9)</f>
        <v>-9.7719491428571443E-4</v>
      </c>
      <c r="M9" s="9">
        <f t="shared" si="26"/>
        <v>-10</v>
      </c>
      <c r="N9" s="2">
        <f t="shared" si="4"/>
        <v>1.0000000000000001E-9</v>
      </c>
      <c r="O9" s="2">
        <f t="shared" si="5"/>
        <v>19221.008549164115</v>
      </c>
      <c r="P9" s="2">
        <f t="shared" si="6"/>
        <v>19051.703110669547</v>
      </c>
      <c r="Q9" s="2">
        <f t="shared" si="7"/>
        <v>18444.644496815286</v>
      </c>
      <c r="R9" s="2">
        <f t="shared" si="27"/>
        <v>17746.833609947313</v>
      </c>
      <c r="S9" s="2">
        <f t="shared" si="8"/>
        <v>16663.757650688218</v>
      </c>
      <c r="T9" s="2">
        <f t="shared" si="9"/>
        <v>13298.667633087174</v>
      </c>
      <c r="U9" s="2">
        <f t="shared" si="10"/>
        <v>10233.372947207314</v>
      </c>
      <c r="Z9" s="2">
        <v>1.0000000000000001E-9</v>
      </c>
      <c r="AA9" s="3">
        <f>IF('Modell einstellen'!$B$2="Ja",'creep_res-40'!P9,'creep_res-40'!L9)</f>
        <v>0.35490203980042623</v>
      </c>
      <c r="AB9" s="2">
        <f>IF('Modell einstellen'!$B$2="Ja",creep_res0!P9,creep_res0!L9)</f>
        <v>0.35486606897663669</v>
      </c>
      <c r="AC9" s="2">
        <f>IF('Modell einstellen'!$B$2="Ja",creep_res25!P9,creep_res25!L9)</f>
        <v>0.36276720216317948</v>
      </c>
      <c r="AD9" s="2">
        <f>IF('Modell einstellen'!$B$2="Ja",creep_res50!P9,creep_res50!L9)</f>
        <v>0.37230591403596053</v>
      </c>
      <c r="AE9" s="2">
        <f>IF('Modell einstellen'!$B$2="Ja",creep_res80!P9,creep_res80!L9)</f>
        <v>0.38886469628682918</v>
      </c>
      <c r="AF9" s="2">
        <f>IF('Modell einstellen'!$B$2="Ja",creep_res125!P9,creep_res125!L9)</f>
        <v>0.45642693069866719</v>
      </c>
      <c r="AG9" s="2">
        <f>IF('Modell einstellen'!$B$2="Ja",creep_res160!P9,creep_res160!L9)</f>
        <v>0.54189045250279344</v>
      </c>
      <c r="AL9" s="2">
        <f t="shared" si="11"/>
        <v>1.0000000000000001E-9</v>
      </c>
      <c r="AM9" s="2">
        <f t="shared" si="12"/>
        <v>7093.1358816152215</v>
      </c>
      <c r="AN9" s="2">
        <f t="shared" si="13"/>
        <v>7030.8436925650376</v>
      </c>
      <c r="AO9" s="2">
        <f t="shared" si="14"/>
        <v>6767.3497232459458</v>
      </c>
      <c r="AP9" s="2">
        <f t="shared" si="15"/>
        <v>6466.0632255652681</v>
      </c>
      <c r="AQ9" s="2">
        <f t="shared" si="16"/>
        <v>5999.0572498672</v>
      </c>
      <c r="AR9" s="2">
        <f t="shared" si="17"/>
        <v>4565.5114420012915</v>
      </c>
      <c r="AS9" s="2">
        <f t="shared" si="18"/>
        <v>3318.4500658255338</v>
      </c>
      <c r="AX9" s="2">
        <f t="shared" si="28"/>
        <v>1.0000000000000001E-9</v>
      </c>
      <c r="AY9" s="37">
        <f t="shared" si="19"/>
        <v>22078.197518796656</v>
      </c>
      <c r="AZ9" s="37">
        <f t="shared" si="20"/>
        <v>21878.301162166608</v>
      </c>
      <c r="BA9" s="37">
        <f t="shared" si="21"/>
        <v>22400.675819429198</v>
      </c>
      <c r="BB9" s="37">
        <f t="shared" si="22"/>
        <v>23163.215268174965</v>
      </c>
      <c r="BC9" s="37">
        <f t="shared" si="23"/>
        <v>24990.1952753851</v>
      </c>
      <c r="BD9" s="37">
        <f t="shared" si="24"/>
        <v>50867.30499030355</v>
      </c>
      <c r="BE9" s="37">
        <f t="shared" si="25"/>
        <v>-40714.818197634682</v>
      </c>
    </row>
    <row r="10" spans="1:308" x14ac:dyDescent="0.25">
      <c r="A10" s="2">
        <f>'creep_res-40'!A10</f>
        <v>1E-8</v>
      </c>
      <c r="B10" s="3">
        <f>'creep_res-40'!O10</f>
        <v>-5.2026407428571429E-4</v>
      </c>
      <c r="C10" s="2">
        <f>IF('Modell einstellen'!$B$2="Ja",creep_res0!O10,creep_res0!C10)</f>
        <v>-5.2546980000000004E-4</v>
      </c>
      <c r="D10" s="2">
        <f>IF('Modell einstellen'!$B$2="Ja",creep_res25!O10,creep_res25!C10)</f>
        <v>-5.5038337142857149E-4</v>
      </c>
      <c r="E10" s="2">
        <f>IF('Modell einstellen'!$B$2="Ja",creep_res50!O10,creep_res50!C10)</f>
        <v>-5.7273514285714289E-4</v>
      </c>
      <c r="F10" s="2">
        <f>IF('Modell einstellen'!$B$2="Ja",creep_res80!O10,creep_res80!C10)</f>
        <v>-6.139406857142858E-4</v>
      </c>
      <c r="G10" s="2">
        <f>IF('Modell einstellen'!$B$2="Ja",creep_res125!O10,creep_res125!C10)</f>
        <v>-7.768190857142857E-4</v>
      </c>
      <c r="H10" s="2">
        <f>IF('Modell einstellen'!$B$2="Ja",creep_res160!O10,creep_res160!C10)</f>
        <v>-1.0469790285714286E-3</v>
      </c>
      <c r="M10" s="9">
        <f t="shared" si="26"/>
        <v>-10</v>
      </c>
      <c r="N10" s="2">
        <f t="shared" si="4"/>
        <v>1E-8</v>
      </c>
      <c r="O10" s="2">
        <f t="shared" si="5"/>
        <v>19221.008126938788</v>
      </c>
      <c r="P10" s="2">
        <f t="shared" si="6"/>
        <v>19030.589388771721</v>
      </c>
      <c r="Q10" s="2">
        <f t="shared" si="7"/>
        <v>18169.153573888081</v>
      </c>
      <c r="R10" s="2">
        <f t="shared" si="27"/>
        <v>17460.077532721432</v>
      </c>
      <c r="S10" s="2">
        <f t="shared" si="8"/>
        <v>16288.218443065973</v>
      </c>
      <c r="T10" s="2">
        <f t="shared" si="9"/>
        <v>12873.010182036134</v>
      </c>
      <c r="U10" s="2">
        <f t="shared" si="10"/>
        <v>9551.2896888151608</v>
      </c>
      <c r="Z10" s="2">
        <v>1E-8</v>
      </c>
      <c r="AA10" s="3">
        <f>IF('Modell einstellen'!$B$2="Ja",'creep_res-40'!P10,'creep_res-40'!L10)</f>
        <v>0.35490204298777367</v>
      </c>
      <c r="AB10" s="2">
        <f>IF('Modell einstellen'!$B$2="Ja",creep_res0!P10,creep_res0!L10)</f>
        <v>0.35519741436275554</v>
      </c>
      <c r="AC10" s="2">
        <f>IF('Modell einstellen'!$B$2="Ja",creep_res25!P10,creep_res25!L10)</f>
        <v>0.3672262004593369</v>
      </c>
      <c r="AD10" s="2">
        <f>IF('Modell einstellen'!$B$2="Ja",creep_res50!P10,creep_res50!L10)</f>
        <v>0.37719745801225502</v>
      </c>
      <c r="AE10" s="2">
        <f>IF('Modell einstellen'!$B$2="Ja",creep_res80!P10,creep_res80!L10)</f>
        <v>0.39592756377954424</v>
      </c>
      <c r="AF10" s="2">
        <f>IF('Modell einstellen'!$B$2="Ja",creep_res125!P10,creep_res125!L10)</f>
        <v>0.46788810691277705</v>
      </c>
      <c r="AG10" s="2">
        <f>IF('Modell einstellen'!$B$2="Ja",creep_res160!P10,creep_res160!L10)</f>
        <v>0.56543847815098824</v>
      </c>
      <c r="AL10" s="2">
        <f t="shared" si="11"/>
        <v>1E-8</v>
      </c>
      <c r="AM10" s="2">
        <f t="shared" si="12"/>
        <v>7093.135709114963</v>
      </c>
      <c r="AN10" s="2">
        <f t="shared" si="13"/>
        <v>7021.3347469085647</v>
      </c>
      <c r="AO10" s="2">
        <f t="shared" si="14"/>
        <v>6644.5309370841214</v>
      </c>
      <c r="AP10" s="2">
        <f t="shared" si="15"/>
        <v>6338.9884403076148</v>
      </c>
      <c r="AQ10" s="2">
        <f t="shared" si="16"/>
        <v>5834.1918541119712</v>
      </c>
      <c r="AR10" s="2">
        <f t="shared" si="17"/>
        <v>4384.874474223483</v>
      </c>
      <c r="AS10" s="2">
        <f t="shared" si="18"/>
        <v>3050.6755206683788</v>
      </c>
      <c r="AX10" s="2">
        <f t="shared" si="28"/>
        <v>1E-8</v>
      </c>
      <c r="AY10" s="37">
        <f t="shared" si="19"/>
        <v>22078.197518796649</v>
      </c>
      <c r="AZ10" s="37">
        <f t="shared" si="20"/>
        <v>21904.062584037278</v>
      </c>
      <c r="BA10" s="37">
        <f t="shared" si="21"/>
        <v>22807.152260392086</v>
      </c>
      <c r="BB10" s="37">
        <f t="shared" si="22"/>
        <v>23696.683106206725</v>
      </c>
      <c r="BC10" s="37">
        <f t="shared" si="23"/>
        <v>26084.746090634377</v>
      </c>
      <c r="BD10" s="37">
        <f t="shared" si="24"/>
        <v>66813.304689896933</v>
      </c>
      <c r="BE10" s="37">
        <f t="shared" si="25"/>
        <v>-24326.385022731254</v>
      </c>
    </row>
    <row r="11" spans="1:308" x14ac:dyDescent="0.25">
      <c r="A11" s="2">
        <f>'creep_res-40'!A11</f>
        <v>9.9999999999999995E-8</v>
      </c>
      <c r="B11" s="3">
        <f>'creep_res-40'!O11</f>
        <v>-5.2026408571428581E-4</v>
      </c>
      <c r="C11" s="2">
        <f>IF('Modell einstellen'!$B$2="Ja",creep_res0!O11,creep_res0!C11)</f>
        <v>-5.3013404571428579E-4</v>
      </c>
      <c r="D11" s="2">
        <f>IF('Modell einstellen'!$B$2="Ja",creep_res25!O11,creep_res25!C11)</f>
        <v>-5.5811092000000002E-4</v>
      </c>
      <c r="E11" s="2">
        <f>IF('Modell einstellen'!$B$2="Ja",creep_res50!O11,creep_res50!C11)</f>
        <v>-5.8296645714285718E-4</v>
      </c>
      <c r="F11" s="2">
        <f>IF('Modell einstellen'!$B$2="Ja",creep_res80!O11,creep_res80!C11)</f>
        <v>-6.2946365714285719E-4</v>
      </c>
      <c r="G11" s="2">
        <f>IF('Modell einstellen'!$B$2="Ja",creep_res125!O11,creep_res125!C11)</f>
        <v>-8.0414577142857145E-4</v>
      </c>
      <c r="H11" s="2">
        <f>IF('Modell einstellen'!$B$2="Ja",creep_res160!O11,creep_res160!C11)</f>
        <v>-1.1422493142857143E-3</v>
      </c>
      <c r="M11" s="9">
        <f t="shared" si="26"/>
        <v>-10</v>
      </c>
      <c r="N11" s="2">
        <f t="shared" si="4"/>
        <v>9.9999999999999995E-8</v>
      </c>
      <c r="O11" s="2">
        <f t="shared" si="5"/>
        <v>19221.007704713476</v>
      </c>
      <c r="P11" s="2">
        <f t="shared" si="6"/>
        <v>18863.153726575543</v>
      </c>
      <c r="Q11" s="2">
        <f t="shared" si="7"/>
        <v>17917.585271400887</v>
      </c>
      <c r="R11" s="2">
        <f t="shared" si="27"/>
        <v>17153.645595683865</v>
      </c>
      <c r="S11" s="2">
        <f t="shared" si="8"/>
        <v>15886.540686701621</v>
      </c>
      <c r="T11" s="2">
        <f t="shared" si="9"/>
        <v>12435.556282581601</v>
      </c>
      <c r="U11" s="2">
        <f t="shared" si="10"/>
        <v>8754.6561638807598</v>
      </c>
      <c r="Z11" s="2">
        <v>9.9999999999999995E-8</v>
      </c>
      <c r="AA11" s="3">
        <f>IF('Modell einstellen'!$B$2="Ja",'creep_res-40'!P11,'creep_res-40'!L11)</f>
        <v>0.354902046175121</v>
      </c>
      <c r="AB11" s="2">
        <f>IF('Modell einstellen'!$B$2="Ja",creep_res0!P11,creep_res0!L11)</f>
        <v>0.35783756168709369</v>
      </c>
      <c r="AC11" s="2">
        <f>IF('Modell einstellen'!$B$2="Ja",creep_res25!P11,creep_res25!L11)</f>
        <v>0.37136611789334945</v>
      </c>
      <c r="AD11" s="2">
        <f>IF('Modell einstellen'!$B$2="Ja",creep_res50!P11,creep_res50!L11)</f>
        <v>0.38257129814771013</v>
      </c>
      <c r="AE11" s="2">
        <f>IF('Modell einstellen'!$B$2="Ja",creep_res80!P11,creep_res80!L11)</f>
        <v>0.40323905685148376</v>
      </c>
      <c r="AF11" s="2">
        <f>IF('Modell einstellen'!$B$2="Ja",creep_res125!P11,creep_res125!L11)</f>
        <v>0.47930844947728379</v>
      </c>
      <c r="AG11" s="2">
        <f>IF('Modell einstellen'!$B$2="Ja",creep_res160!P11,creep_res160!L11)</f>
        <v>0.59457682568474046</v>
      </c>
      <c r="AL11" s="2">
        <f t="shared" si="11"/>
        <v>9.9999999999999995E-8</v>
      </c>
      <c r="AM11" s="2">
        <f t="shared" si="12"/>
        <v>7093.1355366147118</v>
      </c>
      <c r="AN11" s="2">
        <f t="shared" si="13"/>
        <v>6946.0273669032786</v>
      </c>
      <c r="AO11" s="2">
        <f t="shared" si="14"/>
        <v>6532.7504586905397</v>
      </c>
      <c r="AP11" s="2">
        <f t="shared" si="15"/>
        <v>6203.5301972004399</v>
      </c>
      <c r="AQ11" s="2">
        <f t="shared" si="16"/>
        <v>5660.667941479277</v>
      </c>
      <c r="AR11" s="2">
        <f t="shared" si="17"/>
        <v>4203.1654341512503</v>
      </c>
      <c r="AS11" s="2">
        <f t="shared" si="18"/>
        <v>2745.1346410108995</v>
      </c>
      <c r="AX11" s="2">
        <f t="shared" si="28"/>
        <v>9.9999999999999995E-8</v>
      </c>
      <c r="AY11" s="37">
        <f t="shared" si="19"/>
        <v>22078.197518796638</v>
      </c>
      <c r="AZ11" s="37">
        <f t="shared" si="20"/>
        <v>22114.554250325065</v>
      </c>
      <c r="BA11" s="37">
        <f t="shared" si="21"/>
        <v>23215.22263803118</v>
      </c>
      <c r="BB11" s="37">
        <f t="shared" si="22"/>
        <v>24346.185281092145</v>
      </c>
      <c r="BC11" s="37">
        <f t="shared" si="23"/>
        <v>27363.900091930205</v>
      </c>
      <c r="BD11" s="37">
        <f t="shared" si="24"/>
        <v>100166.13841907137</v>
      </c>
      <c r="BE11" s="37">
        <f t="shared" si="25"/>
        <v>-15427.768378593551</v>
      </c>
    </row>
    <row r="12" spans="1:308" x14ac:dyDescent="0.25">
      <c r="A12" s="2">
        <f>'creep_res-40'!A12</f>
        <v>9.9999999999999995E-7</v>
      </c>
      <c r="B12" s="3">
        <f>'creep_res-40'!O12</f>
        <v>-5.2026417142857142E-4</v>
      </c>
      <c r="C12" s="2">
        <f>IF('Modell einstellen'!$B$2="Ja",creep_res0!O12,creep_res0!C12)</f>
        <v>-5.4088885714285724E-4</v>
      </c>
      <c r="D12" s="2">
        <f>IF('Modell einstellen'!$B$2="Ja",creep_res25!O12,creep_res25!C12)</f>
        <v>-5.6713196571428579E-4</v>
      </c>
      <c r="E12" s="2">
        <f>IF('Modell einstellen'!$B$2="Ja",creep_res50!O12,creep_res50!C12)</f>
        <v>-5.9499394285714288E-4</v>
      </c>
      <c r="F12" s="2">
        <f>IF('Modell einstellen'!$B$2="Ja",creep_res80!O12,creep_res80!C12)</f>
        <v>-6.4424862857142857E-4</v>
      </c>
      <c r="G12" s="2">
        <f>IF('Modell einstellen'!$B$2="Ja",creep_res125!O12,creep_res125!C12)</f>
        <v>-8.3242857142857153E-4</v>
      </c>
      <c r="H12" s="2">
        <f>IF('Modell einstellen'!$B$2="Ja",creep_res160!O12,creep_res160!C12)</f>
        <v>-1.2866492E-3</v>
      </c>
      <c r="M12" s="9">
        <f t="shared" si="26"/>
        <v>-10</v>
      </c>
      <c r="N12" s="2">
        <f t="shared" si="4"/>
        <v>9.9999999999999995E-7</v>
      </c>
      <c r="O12" s="2">
        <f t="shared" si="5"/>
        <v>19221.004538024255</v>
      </c>
      <c r="P12" s="2">
        <f t="shared" si="6"/>
        <v>18488.086541148401</v>
      </c>
      <c r="Q12" s="2">
        <f t="shared" si="7"/>
        <v>17632.580430209568</v>
      </c>
      <c r="R12" s="2">
        <f t="shared" si="27"/>
        <v>16806.893784464937</v>
      </c>
      <c r="S12" s="2">
        <f t="shared" si="8"/>
        <v>15521.957760584179</v>
      </c>
      <c r="T12" s="2">
        <f t="shared" si="9"/>
        <v>12013.042732109147</v>
      </c>
      <c r="U12" s="2">
        <f t="shared" si="10"/>
        <v>7772.1262330089658</v>
      </c>
      <c r="Z12" s="2">
        <v>9.9999999999999995E-7</v>
      </c>
      <c r="AA12" s="3">
        <f>IF('Modell einstellen'!$B$2="Ja",'creep_res-40'!P12,'creep_res-40'!L12)</f>
        <v>0.35490209753879987</v>
      </c>
      <c r="AB12" s="2">
        <f>IF('Modell einstellen'!$B$2="Ja",creep_res0!P12,creep_res0!L12)</f>
        <v>0.36387514519750819</v>
      </c>
      <c r="AC12" s="2">
        <f>IF('Modell einstellen'!$B$2="Ja",creep_res25!P12,creep_res25!L12)</f>
        <v>0.37619947643528545</v>
      </c>
      <c r="AD12" s="2">
        <f>IF('Modell einstellen'!$B$2="Ja",creep_res50!P12,creep_res50!L12)</f>
        <v>0.38885797060695171</v>
      </c>
      <c r="AE12" s="2">
        <f>IF('Modell einstellen'!$B$2="Ja",creep_res80!P12,creep_res80!L12)</f>
        <v>0.41092447804756133</v>
      </c>
      <c r="AF12" s="2">
        <f>IF('Modell einstellen'!$B$2="Ja",creep_res125!P12,creep_res125!L12)</f>
        <v>0.49163002574223441</v>
      </c>
      <c r="AG12" s="2">
        <f>IF('Modell einstellen'!$B$2="Ja",creep_res160!P12,creep_res160!L12)</f>
        <v>0.6328207741917089</v>
      </c>
      <c r="AL12" s="2">
        <f t="shared" si="11"/>
        <v>9.9999999999999995E-7</v>
      </c>
      <c r="AM12" s="2">
        <f t="shared" si="12"/>
        <v>7093.1340991129555</v>
      </c>
      <c r="AN12" s="2">
        <f t="shared" si="13"/>
        <v>6777.7782322116691</v>
      </c>
      <c r="AO12" s="2">
        <f t="shared" si="14"/>
        <v>6406.2589516029093</v>
      </c>
      <c r="AP12" s="2">
        <f t="shared" si="15"/>
        <v>6050.6164561665273</v>
      </c>
      <c r="AQ12" s="2">
        <f t="shared" si="16"/>
        <v>5500.6338050295499</v>
      </c>
      <c r="AR12" s="2">
        <f t="shared" si="17"/>
        <v>4026.8171479490911</v>
      </c>
      <c r="AS12" s="2">
        <f t="shared" si="18"/>
        <v>2379.9691784471511</v>
      </c>
      <c r="AX12" s="2">
        <f t="shared" si="28"/>
        <v>9.9999999999999995E-7</v>
      </c>
      <c r="AY12" s="37">
        <f t="shared" si="19"/>
        <v>22078.201696912933</v>
      </c>
      <c r="AZ12" s="37">
        <f t="shared" si="20"/>
        <v>22636.187647942024</v>
      </c>
      <c r="BA12" s="37">
        <f t="shared" si="21"/>
        <v>23737.89157279889</v>
      </c>
      <c r="BB12" s="37">
        <f t="shared" si="22"/>
        <v>25203.327484433135</v>
      </c>
      <c r="BC12" s="37">
        <f t="shared" si="23"/>
        <v>29042.692126785088</v>
      </c>
      <c r="BD12" s="37">
        <f t="shared" si="24"/>
        <v>239209.07365124312</v>
      </c>
      <c r="BE12" s="37">
        <f t="shared" si="25"/>
        <v>-9752.6488612277735</v>
      </c>
    </row>
    <row r="13" spans="1:308" x14ac:dyDescent="0.25">
      <c r="A13" s="2">
        <f>'creep_res-40'!A13</f>
        <v>1.0000000000000001E-5</v>
      </c>
      <c r="B13" s="3">
        <f>'creep_res-40'!O13</f>
        <v>-5.2026502857142854E-4</v>
      </c>
      <c r="C13" s="2">
        <f>IF('Modell einstellen'!$B$2="Ja",creep_res0!O13,creep_res0!C13)</f>
        <v>-5.4876942857142862E-4</v>
      </c>
      <c r="D13" s="2">
        <f>IF('Modell einstellen'!$B$2="Ja",creep_res25!O13,creep_res25!C13)</f>
        <v>-5.7693480000000003E-4</v>
      </c>
      <c r="E13" s="2">
        <f>IF('Modell einstellen'!$B$2="Ja",creep_res50!O13,creep_res50!C13)</f>
        <v>-6.0864839999999996E-4</v>
      </c>
      <c r="F13" s="2">
        <f>IF('Modell einstellen'!$B$2="Ja",creep_res80!O13,creep_res80!C13)</f>
        <v>-6.6256257142857146E-4</v>
      </c>
      <c r="G13" s="2">
        <f>IF('Modell einstellen'!$B$2="Ja",creep_res125!O13,creep_res125!C13)</f>
        <v>-8.6485817142857157E-4</v>
      </c>
      <c r="H13" s="2">
        <f>IF('Modell einstellen'!$B$2="Ja",creep_res160!O13,creep_res160!C13)</f>
        <v>-1.5242370285714288E-3</v>
      </c>
      <c r="M13" s="9">
        <f t="shared" si="26"/>
        <v>-10</v>
      </c>
      <c r="N13" s="2">
        <f t="shared" si="4"/>
        <v>1.0000000000000001E-5</v>
      </c>
      <c r="O13" s="2">
        <f t="shared" si="5"/>
        <v>19220.972871189388</v>
      </c>
      <c r="P13" s="2">
        <f t="shared" si="6"/>
        <v>18222.589450786771</v>
      </c>
      <c r="Q13" s="2">
        <f t="shared" si="7"/>
        <v>17332.981127156829</v>
      </c>
      <c r="R13" s="2">
        <f t="shared" si="27"/>
        <v>16429.846854111503</v>
      </c>
      <c r="S13" s="2">
        <f t="shared" si="8"/>
        <v>15092.91413554903</v>
      </c>
      <c r="T13" s="2">
        <f t="shared" si="9"/>
        <v>11562.58948618363</v>
      </c>
      <c r="U13" s="2">
        <f t="shared" si="10"/>
        <v>6560.6594070033643</v>
      </c>
      <c r="Z13" s="2">
        <v>1.0000000000000001E-5</v>
      </c>
      <c r="AA13" s="3">
        <f>IF('Modell einstellen'!$B$2="Ja",'creep_res-40'!P13,'creep_res-40'!L13)</f>
        <v>0.35490258920783019</v>
      </c>
      <c r="AB13" s="2">
        <f>IF('Modell einstellen'!$B$2="Ja",creep_res0!P13,creep_res0!L13)</f>
        <v>0.36817913117817369</v>
      </c>
      <c r="AC13" s="2">
        <f>IF('Modell einstellen'!$B$2="Ja",creep_res25!P13,creep_res25!L13)</f>
        <v>0.38141836081700342</v>
      </c>
      <c r="AD13" s="2">
        <f>IF('Modell einstellen'!$B$2="Ja",creep_res50!P13,creep_res50!L13)</f>
        <v>0.39593372556541445</v>
      </c>
      <c r="AE13" s="2">
        <f>IF('Modell einstellen'!$B$2="Ja",creep_res80!P13,creep_res80!L13)</f>
        <v>0.41955981300310613</v>
      </c>
      <c r="AF13" s="2">
        <f>IF('Modell einstellen'!$B$2="Ja",creep_res125!P13,creep_res125!L13)</f>
        <v>0.50443882524619388</v>
      </c>
      <c r="AG13" s="2">
        <f>IF('Modell einstellen'!$B$2="Ja",creep_res160!P13,creep_res160!L13)</f>
        <v>0.68333020421120849</v>
      </c>
      <c r="AL13" s="2">
        <f t="shared" si="11"/>
        <v>1.0000000000000001E-5</v>
      </c>
      <c r="AM13" s="2">
        <f t="shared" si="12"/>
        <v>7093.1198391270691</v>
      </c>
      <c r="AN13" s="2">
        <f t="shared" si="13"/>
        <v>6659.4311503256295</v>
      </c>
      <c r="AO13" s="2">
        <f t="shared" si="14"/>
        <v>6273.617616065887</v>
      </c>
      <c r="AP13" s="2">
        <f t="shared" si="15"/>
        <v>5884.895018012654</v>
      </c>
      <c r="AQ13" s="2">
        <f t="shared" si="16"/>
        <v>5316.0543139142828</v>
      </c>
      <c r="AR13" s="2">
        <f t="shared" si="17"/>
        <v>3842.8247437350828</v>
      </c>
      <c r="AS13" s="2">
        <f t="shared" si="18"/>
        <v>1948.7143373862357</v>
      </c>
      <c r="AX13" s="2">
        <f t="shared" si="28"/>
        <v>1.0000000000000001E-5</v>
      </c>
      <c r="AY13" s="37">
        <f t="shared" si="19"/>
        <v>22078.240135656793</v>
      </c>
      <c r="AZ13" s="37">
        <f t="shared" si="20"/>
        <v>23039.585984695968</v>
      </c>
      <c r="BA13" s="37">
        <f t="shared" si="21"/>
        <v>24361.530231517503</v>
      </c>
      <c r="BB13" s="37">
        <f t="shared" si="22"/>
        <v>26313.114636767765</v>
      </c>
      <c r="BC13" s="37">
        <f t="shared" si="23"/>
        <v>31271.504743708578</v>
      </c>
      <c r="BD13" s="37">
        <f t="shared" si="24"/>
        <v>-434146.00503808621</v>
      </c>
      <c r="BE13" s="37">
        <f t="shared" si="25"/>
        <v>-5964.337623498428</v>
      </c>
    </row>
    <row r="14" spans="1:308" x14ac:dyDescent="0.25">
      <c r="A14" s="2">
        <f>'creep_res-40'!A14</f>
        <v>1E-4</v>
      </c>
      <c r="B14" s="3">
        <f>'creep_res-40'!O14</f>
        <v>-5.202735885714286E-4</v>
      </c>
      <c r="C14" s="2">
        <f>IF('Modell einstellen'!$B$2="Ja",creep_res0!O14,creep_res0!C14)</f>
        <v>-5.5665492571428568E-4</v>
      </c>
      <c r="D14" s="2">
        <f>IF('Modell einstellen'!$B$2="Ja",creep_res25!O14,creep_res25!C14)</f>
        <v>-5.8849794285714295E-4</v>
      </c>
      <c r="E14" s="2">
        <f>IF('Modell einstellen'!$B$2="Ja",creep_res50!O14,creep_res50!C14)</f>
        <v>-6.2406720000000003E-4</v>
      </c>
      <c r="F14" s="2">
        <f>IF('Modell einstellen'!$B$2="Ja",creep_res80!O14,creep_res80!C14)</f>
        <v>-6.858794285714287E-4</v>
      </c>
      <c r="G14" s="2">
        <f>IF('Modell einstellen'!$B$2="Ja",creep_res125!O14,creep_res125!C14)</f>
        <v>-9.0430200000000006E-4</v>
      </c>
      <c r="H14" s="2">
        <f>IF('Modell einstellen'!$B$2="Ja",creep_res160!O14,creep_res160!C14)</f>
        <v>-1.9320319428571429E-3</v>
      </c>
      <c r="M14" s="9">
        <f t="shared" si="26"/>
        <v>-10</v>
      </c>
      <c r="N14" s="2">
        <f t="shared" si="4"/>
        <v>1E-4</v>
      </c>
      <c r="O14" s="2">
        <f t="shared" si="5"/>
        <v>19220.656630789352</v>
      </c>
      <c r="P14" s="2">
        <f t="shared" si="6"/>
        <v>17964.450754061414</v>
      </c>
      <c r="Q14" s="2">
        <f t="shared" si="7"/>
        <v>16992.41283911758</v>
      </c>
      <c r="R14" s="2">
        <f t="shared" si="27"/>
        <v>16023.915373216218</v>
      </c>
      <c r="S14" s="2">
        <f t="shared" si="8"/>
        <v>14579.822026195356</v>
      </c>
      <c r="T14" s="2">
        <f t="shared" si="9"/>
        <v>11058.252663380154</v>
      </c>
      <c r="U14" s="2">
        <f t="shared" si="10"/>
        <v>5175.897860783668</v>
      </c>
      <c r="Z14" s="2">
        <v>1E-4</v>
      </c>
      <c r="AA14" s="3">
        <f>IF('Modell einstellen'!$B$2="Ja",'creep_res-40'!P14,'creep_res-40'!L14)</f>
        <v>0.35490755753802411</v>
      </c>
      <c r="AB14" s="2">
        <f>IF('Modell einstellen'!$B$2="Ja",creep_res0!P14,creep_res0!L14)</f>
        <v>0.3724540831718347</v>
      </c>
      <c r="AC14" s="2">
        <f>IF('Modell einstellen'!$B$2="Ja",creep_res25!P14,creep_res25!L14)</f>
        <v>0.38754587223220294</v>
      </c>
      <c r="AD14" s="2">
        <f>IF('Modell einstellen'!$B$2="Ja",creep_res50!P14,creep_res50!L14)</f>
        <v>0.40330422291518786</v>
      </c>
      <c r="AE14" s="2">
        <f>IF('Modell einstellen'!$B$2="Ja",creep_res80!P14,creep_res80!L14)</f>
        <v>0.43080778045953932</v>
      </c>
      <c r="AF14" s="2">
        <f>IF('Modell einstellen'!$B$2="Ja",creep_res125!P14,creep_res125!L14)</f>
        <v>0.51986383183620388</v>
      </c>
      <c r="AG14" s="2">
        <f>IF('Modell einstellen'!$B$2="Ja",creep_res160!P14,creep_res160!L14)</f>
        <v>0.74524020735652441</v>
      </c>
      <c r="AL14" s="2">
        <f t="shared" si="11"/>
        <v>1E-4</v>
      </c>
      <c r="AM14" s="2">
        <f t="shared" si="12"/>
        <v>7092.9771274266232</v>
      </c>
      <c r="AN14" s="2">
        <f t="shared" si="13"/>
        <v>6544.645454565718</v>
      </c>
      <c r="AO14" s="2">
        <f t="shared" si="14"/>
        <v>6123.1895749079549</v>
      </c>
      <c r="AP14" s="2">
        <f t="shared" si="15"/>
        <v>5709.3519393565812</v>
      </c>
      <c r="AQ14" s="2">
        <f t="shared" si="16"/>
        <v>5094.9618199282804</v>
      </c>
      <c r="AR14" s="2">
        <f t="shared" si="17"/>
        <v>3637.9090125528774</v>
      </c>
      <c r="AS14" s="2">
        <f t="shared" si="18"/>
        <v>1482.8611668944652</v>
      </c>
      <c r="AX14" s="2">
        <f t="shared" si="28"/>
        <v>1E-4</v>
      </c>
      <c r="AY14" s="37">
        <f t="shared" si="19"/>
        <v>22078.632887014399</v>
      </c>
      <c r="AZ14" s="37">
        <f t="shared" si="20"/>
        <v>23474.488248107809</v>
      </c>
      <c r="BA14" s="37">
        <f t="shared" si="21"/>
        <v>25184.213890017851</v>
      </c>
      <c r="BB14" s="37">
        <f t="shared" si="22"/>
        <v>27619.123013616882</v>
      </c>
      <c r="BC14" s="37">
        <f t="shared" si="23"/>
        <v>35119.126887934013</v>
      </c>
      <c r="BD14" s="37">
        <f t="shared" si="24"/>
        <v>-92783.81561830506</v>
      </c>
      <c r="BE14" s="37">
        <f t="shared" si="25"/>
        <v>-3517.5701927614382</v>
      </c>
    </row>
    <row r="15" spans="1:308" x14ac:dyDescent="0.25">
      <c r="A15" s="2">
        <f>'creep_res-40'!A15</f>
        <v>1E-3</v>
      </c>
      <c r="B15" s="3">
        <f>'creep_res-40'!O15</f>
        <v>-5.2035845142857145E-4</v>
      </c>
      <c r="C15" s="2">
        <f>IF('Modell einstellen'!$B$2="Ja",creep_res0!O15,creep_res0!C15)</f>
        <v>-5.6579005714285722E-4</v>
      </c>
      <c r="D15" s="2">
        <f>IF('Modell einstellen'!$B$2="Ja",creep_res25!O15,creep_res25!C15)</f>
        <v>-6.0169605714285716E-4</v>
      </c>
      <c r="E15" s="2">
        <f>IF('Modell einstellen'!$B$2="Ja",creep_res50!O15,creep_res50!C15)</f>
        <v>-6.3871062857142865E-4</v>
      </c>
      <c r="F15" s="2">
        <f>IF('Modell einstellen'!$B$2="Ja",creep_res80!O15,creep_res80!C15)</f>
        <v>-7.1274022857142861E-4</v>
      </c>
      <c r="G15" s="2">
        <f>IF('Modell einstellen'!$B$2="Ja",creep_res125!O15,creep_res125!C15)</f>
        <v>-9.539845714285714E-4</v>
      </c>
      <c r="H15" s="2">
        <f>IF('Modell einstellen'!$B$2="Ja",creep_res160!O15,creep_res160!C15)</f>
        <v>-2.5970217714285713E-3</v>
      </c>
      <c r="M15" s="9">
        <f t="shared" si="26"/>
        <v>-10</v>
      </c>
      <c r="N15" s="2">
        <f t="shared" si="4"/>
        <v>1E-3</v>
      </c>
      <c r="O15" s="2">
        <f t="shared" si="5"/>
        <v>19217.522022648805</v>
      </c>
      <c r="P15" s="2">
        <f t="shared" si="6"/>
        <v>17674.400378292765</v>
      </c>
      <c r="Q15" s="2">
        <f t="shared" si="7"/>
        <v>16619.686769238309</v>
      </c>
      <c r="R15" s="2">
        <f t="shared" si="27"/>
        <v>15656.542341195242</v>
      </c>
      <c r="S15" s="2">
        <f t="shared" si="8"/>
        <v>14030.357203273577</v>
      </c>
      <c r="T15" s="2">
        <f t="shared" si="9"/>
        <v>10482.349819374138</v>
      </c>
      <c r="U15" s="2">
        <f t="shared" si="10"/>
        <v>3850.5645620749624</v>
      </c>
      <c r="Z15" s="2">
        <v>1E-3</v>
      </c>
      <c r="AA15" s="3">
        <f>IF('Modell einstellen'!$B$2="Ja",'creep_res-40'!P15,'creep_res-40'!L15)</f>
        <v>0.35495682322457078</v>
      </c>
      <c r="AB15" s="2">
        <f>IF('Modell einstellen'!$B$2="Ja",creep_res0!P15,creep_res0!L15)</f>
        <v>0.37740418808551496</v>
      </c>
      <c r="AC15" s="2">
        <f>IF('Modell einstellen'!$B$2="Ja",creep_res25!P15,creep_res25!L15)</f>
        <v>0.39448251091367348</v>
      </c>
      <c r="AD15" s="2">
        <f>IF('Modell einstellen'!$B$2="Ja",creep_res50!P15,creep_res50!L15)</f>
        <v>0.41102984620086391</v>
      </c>
      <c r="AE15" s="2">
        <f>IF('Modell einstellen'!$B$2="Ja",creep_res80!P15,creep_res80!L15)</f>
        <v>0.44354880968854687</v>
      </c>
      <c r="AF15" s="2">
        <f>IF('Modell einstellen'!$B$2="Ja",creep_res125!P15,creep_res125!L15)</f>
        <v>0.53833337825768979</v>
      </c>
      <c r="AG15" s="2">
        <f>IF('Modell einstellen'!$B$2="Ja",creep_res160!P15,creep_res160!L15)</f>
        <v>0.80816746989810162</v>
      </c>
      <c r="AL15" s="2">
        <f t="shared" si="11"/>
        <v>1E-3</v>
      </c>
      <c r="AM15" s="2">
        <f t="shared" si="12"/>
        <v>7091.5625107943715</v>
      </c>
      <c r="AN15" s="2">
        <f t="shared" si="13"/>
        <v>6415.8365900058752</v>
      </c>
      <c r="AO15" s="2">
        <f t="shared" si="14"/>
        <v>5959.0875608576071</v>
      </c>
      <c r="AP15" s="2">
        <f t="shared" si="15"/>
        <v>5547.9132434192643</v>
      </c>
      <c r="AQ15" s="2">
        <f t="shared" si="16"/>
        <v>4859.6753740182503</v>
      </c>
      <c r="AR15" s="2">
        <f t="shared" si="17"/>
        <v>3407.0475124340101</v>
      </c>
      <c r="AS15" s="2">
        <f t="shared" si="18"/>
        <v>1064.7698916660522</v>
      </c>
      <c r="AX15" s="2">
        <f t="shared" si="28"/>
        <v>1E-3</v>
      </c>
      <c r="AY15" s="37">
        <f t="shared" si="19"/>
        <v>22082.530239028241</v>
      </c>
      <c r="AZ15" s="37">
        <f t="shared" si="20"/>
        <v>24028.010014215506</v>
      </c>
      <c r="BA15" s="37">
        <f t="shared" si="21"/>
        <v>26251.077606735766</v>
      </c>
      <c r="BB15" s="37">
        <f t="shared" si="22"/>
        <v>29329.20324521096</v>
      </c>
      <c r="BC15" s="37">
        <f t="shared" si="23"/>
        <v>41423.269452970897</v>
      </c>
      <c r="BD15" s="37">
        <f t="shared" si="24"/>
        <v>-45575.380585679479</v>
      </c>
      <c r="BE15" s="37">
        <f t="shared" si="25"/>
        <v>-2082.5065038760617</v>
      </c>
    </row>
    <row r="16" spans="1:308" x14ac:dyDescent="0.25">
      <c r="A16" s="2">
        <f>'creep_res-40'!A16</f>
        <v>0.01</v>
      </c>
      <c r="B16" s="3">
        <f>'creep_res-40'!O16</f>
        <v>-5.2117016571428566E-4</v>
      </c>
      <c r="C16" s="2">
        <f>IF('Modell einstellen'!$B$2="Ja",creep_res0!O16,creep_res0!C16)</f>
        <v>-5.7584177142857142E-4</v>
      </c>
      <c r="D16" s="2">
        <f>IF('Modell einstellen'!$B$2="Ja",creep_res25!O16,creep_res25!C16)</f>
        <v>-6.1693605714285718E-4</v>
      </c>
      <c r="E16" s="2">
        <f>IF('Modell einstellen'!$B$2="Ja",creep_res50!O16,creep_res50!C16)</f>
        <v>-6.5660079999999997E-4</v>
      </c>
      <c r="F16" s="2">
        <f>IF('Modell einstellen'!$B$2="Ja",creep_res80!O16,creep_res80!C16)</f>
        <v>-7.3821708571428582E-4</v>
      </c>
      <c r="G16" s="2">
        <f>IF('Modell einstellen'!$B$2="Ja",creep_res125!O16,creep_res125!C16)</f>
        <v>-1.0185461142857143E-3</v>
      </c>
      <c r="H16" s="2">
        <f>IF('Modell einstellen'!$B$2="Ja",creep_res160!O16,creep_res160!C16)</f>
        <v>-3.5571900571428573E-3</v>
      </c>
      <c r="M16" s="9">
        <f t="shared" si="26"/>
        <v>-10</v>
      </c>
      <c r="N16" s="2">
        <f t="shared" si="4"/>
        <v>0.01</v>
      </c>
      <c r="O16" s="2">
        <f t="shared" si="5"/>
        <v>19187.591036210943</v>
      </c>
      <c r="P16" s="2">
        <f t="shared" si="6"/>
        <v>17365.881560123013</v>
      </c>
      <c r="Q16" s="2">
        <f t="shared" si="7"/>
        <v>16209.135264863289</v>
      </c>
      <c r="R16" s="2">
        <f t="shared" si="27"/>
        <v>15229.954029906758</v>
      </c>
      <c r="S16" s="2">
        <f t="shared" si="8"/>
        <v>13546.150845755861</v>
      </c>
      <c r="T16" s="2">
        <f t="shared" si="9"/>
        <v>9817.9158113158155</v>
      </c>
      <c r="U16" s="2">
        <f t="shared" si="10"/>
        <v>2811.2076777904922</v>
      </c>
      <c r="Z16" s="2">
        <v>0.01</v>
      </c>
      <c r="AA16" s="3">
        <f>IF('Modell einstellen'!$B$2="Ja",'creep_res-40'!P16,'creep_res-40'!L16)</f>
        <v>0.35542753741007366</v>
      </c>
      <c r="AB16" s="2">
        <f>IF('Modell einstellen'!$B$2="Ja",creep_res0!P16,creep_res0!L16)</f>
        <v>0.38281449537080187</v>
      </c>
      <c r="AC16" s="2">
        <f>IF('Modell einstellen'!$B$2="Ja",creep_res25!P16,creep_res25!L16)</f>
        <v>0.40188126002592905</v>
      </c>
      <c r="AD16" s="2">
        <f>IF('Modell einstellen'!$B$2="Ja",creep_res50!P16,creep_res50!L16)</f>
        <v>0.41958285765110254</v>
      </c>
      <c r="AE16" s="2">
        <f>IF('Modell einstellen'!$B$2="Ja",creep_res80!P16,creep_res80!L16)</f>
        <v>0.45538051176429006</v>
      </c>
      <c r="AF16" s="2">
        <f>IF('Modell einstellen'!$B$2="Ja",creep_res125!P16,creep_res125!L16)</f>
        <v>0.56052002302217097</v>
      </c>
      <c r="AG16" s="2">
        <f>IF('Modell einstellen'!$B$2="Ja",creep_res160!P16,creep_res160!L16)</f>
        <v>0.85914946735003972</v>
      </c>
      <c r="AL16" s="2">
        <f t="shared" si="11"/>
        <v>0.01</v>
      </c>
      <c r="AM16" s="2">
        <f t="shared" si="12"/>
        <v>7078.0585854387473</v>
      </c>
      <c r="AN16" s="2">
        <f t="shared" si="13"/>
        <v>6279.1797519689544</v>
      </c>
      <c r="AO16" s="2">
        <f t="shared" si="14"/>
        <v>5781.2083401997561</v>
      </c>
      <c r="AP16" s="2">
        <f t="shared" si="15"/>
        <v>5364.2356794540465</v>
      </c>
      <c r="AQ16" s="2">
        <f t="shared" si="16"/>
        <v>4653.8175879978271</v>
      </c>
      <c r="AR16" s="2">
        <f t="shared" si="17"/>
        <v>3145.7192687287707</v>
      </c>
      <c r="AS16" s="2">
        <f t="shared" si="18"/>
        <v>756.04671038027936</v>
      </c>
      <c r="AX16" s="2">
        <f t="shared" si="28"/>
        <v>0.01</v>
      </c>
      <c r="AY16" s="37">
        <f t="shared" si="19"/>
        <v>22119.923684493697</v>
      </c>
      <c r="AZ16" s="37">
        <f t="shared" si="20"/>
        <v>24698.563209776745</v>
      </c>
      <c r="BA16" s="37">
        <f t="shared" si="21"/>
        <v>27533.196460307085</v>
      </c>
      <c r="BB16" s="37">
        <f t="shared" si="22"/>
        <v>31564.484853718845</v>
      </c>
      <c r="BC16" s="37">
        <f t="shared" si="23"/>
        <v>50598.783107940209</v>
      </c>
      <c r="BD16" s="37">
        <f t="shared" si="24"/>
        <v>-27037.651675818404</v>
      </c>
      <c r="BE16" s="37">
        <f t="shared" si="25"/>
        <v>-1304.5671943275686</v>
      </c>
    </row>
    <row r="17" spans="1:57" x14ac:dyDescent="0.25">
      <c r="A17" s="2">
        <f>'creep_res-40'!A17</f>
        <v>0.1</v>
      </c>
      <c r="B17" s="3">
        <f>'creep_res-40'!O17</f>
        <v>-5.2714065714285722E-4</v>
      </c>
      <c r="C17" s="2">
        <f>IF('Modell einstellen'!$B$2="Ja",creep_res0!O17,creep_res0!C17)</f>
        <v>-5.8768102857142859E-4</v>
      </c>
      <c r="D17" s="2">
        <f>IF('Modell einstellen'!$B$2="Ja",creep_res25!O17,creep_res25!C17)</f>
        <v>-6.3134834285714285E-4</v>
      </c>
      <c r="E17" s="2">
        <f>IF('Modell einstellen'!$B$2="Ja",creep_res50!O17,creep_res50!C17)</f>
        <v>-6.7950274285714289E-4</v>
      </c>
      <c r="F17" s="2">
        <f>IF('Modell einstellen'!$B$2="Ja",creep_res80!O17,creep_res80!C17)</f>
        <v>-7.6294337142857147E-4</v>
      </c>
      <c r="G17" s="2">
        <f>IF('Modell einstellen'!$B$2="Ja",creep_res125!O17,creep_res125!C17)</f>
        <v>-1.1103050857142859E-3</v>
      </c>
      <c r="H17" s="2">
        <f>IF('Modell einstellen'!$B$2="Ja",creep_res160!O17,creep_res160!C17)</f>
        <v>-4.6141837142857148E-3</v>
      </c>
      <c r="M17" s="9">
        <f t="shared" si="26"/>
        <v>-10</v>
      </c>
      <c r="N17" s="2">
        <f t="shared" si="4"/>
        <v>0.1</v>
      </c>
      <c r="O17" s="2">
        <f t="shared" si="5"/>
        <v>18970.268873208846</v>
      </c>
      <c r="P17" s="2">
        <f t="shared" si="6"/>
        <v>17016.033381762583</v>
      </c>
      <c r="Q17" s="2">
        <f t="shared" si="7"/>
        <v>15839.116571915563</v>
      </c>
      <c r="R17" s="2">
        <f t="shared" si="27"/>
        <v>14716.644053491889</v>
      </c>
      <c r="S17" s="2">
        <f t="shared" si="8"/>
        <v>13107.132684402939</v>
      </c>
      <c r="T17" s="2">
        <f t="shared" si="9"/>
        <v>9006.5335452973814</v>
      </c>
      <c r="U17" s="2">
        <f t="shared" si="10"/>
        <v>2167.2305697407674</v>
      </c>
      <c r="Z17" s="2">
        <v>0.1</v>
      </c>
      <c r="AA17" s="3">
        <f>IF('Modell einstellen'!$B$2="Ja",'creep_res-40'!P17,'creep_res-40'!L17)</f>
        <v>0.35886729716974969</v>
      </c>
      <c r="AB17" s="2">
        <f>IF('Modell einstellen'!$B$2="Ja",creep_res0!P17,creep_res0!L17)</f>
        <v>0.389154242855551</v>
      </c>
      <c r="AC17" s="2">
        <f>IF('Modell einstellen'!$B$2="Ja",creep_res25!P17,creep_res25!L17)</f>
        <v>0.40958911883464649</v>
      </c>
      <c r="AD17" s="2">
        <f>IF('Modell einstellen'!$B$2="Ja",creep_res50!P17,creep_res50!L17)</f>
        <v>0.43076231879816651</v>
      </c>
      <c r="AE17" s="2">
        <f>IF('Modell einstellen'!$B$2="Ja",creep_res80!P17,creep_res80!L17)</f>
        <v>0.46639275755272308</v>
      </c>
      <c r="AF17" s="2">
        <f>IF('Modell einstellen'!$B$2="Ja",creep_res125!P17,creep_res125!L17)</f>
        <v>0.58678826962308783</v>
      </c>
      <c r="AG17" s="2">
        <f>IF('Modell einstellen'!$B$2="Ja",creep_res160!P17,creep_res160!L17)</f>
        <v>0.88691880061992689</v>
      </c>
      <c r="AL17" s="2">
        <f t="shared" si="11"/>
        <v>0.1</v>
      </c>
      <c r="AM17" s="2">
        <f t="shared" si="12"/>
        <v>6980.1771345591078</v>
      </c>
      <c r="AN17" s="2">
        <f t="shared" si="13"/>
        <v>6124.6018825038309</v>
      </c>
      <c r="AO17" s="2">
        <f t="shared" si="14"/>
        <v>5618.3452185734377</v>
      </c>
      <c r="AP17" s="2">
        <f t="shared" si="15"/>
        <v>5142.9380897638539</v>
      </c>
      <c r="AQ17" s="2">
        <f t="shared" si="16"/>
        <v>4469.1753341299773</v>
      </c>
      <c r="AR17" s="2">
        <f t="shared" si="17"/>
        <v>2837.9758401657195</v>
      </c>
      <c r="AS17" s="2">
        <f t="shared" si="18"/>
        <v>574.27764486440731</v>
      </c>
      <c r="AX17" s="2">
        <f t="shared" si="28"/>
        <v>0.1</v>
      </c>
      <c r="AY17" s="37">
        <f t="shared" si="19"/>
        <v>22402.40153744481</v>
      </c>
      <c r="AZ17" s="37">
        <f t="shared" si="20"/>
        <v>25585.152167180811</v>
      </c>
      <c r="BA17" s="37">
        <f t="shared" si="21"/>
        <v>29198.396564212995</v>
      </c>
      <c r="BB17" s="37">
        <f t="shared" si="22"/>
        <v>35425.421047323616</v>
      </c>
      <c r="BC17" s="37">
        <f t="shared" si="23"/>
        <v>65001.528093066168</v>
      </c>
      <c r="BD17" s="37">
        <f t="shared" si="24"/>
        <v>-17295.988625367216</v>
      </c>
      <c r="BE17" s="37">
        <f t="shared" si="25"/>
        <v>-933.54237214130342</v>
      </c>
    </row>
    <row r="18" spans="1:57" x14ac:dyDescent="0.25">
      <c r="A18" s="2">
        <f>'creep_res-40'!A18</f>
        <v>1</v>
      </c>
      <c r="B18" s="3">
        <f>'creep_res-40'!O18</f>
        <v>-5.3738724571428579E-4</v>
      </c>
      <c r="C18" s="2">
        <f>IF('Modell einstellen'!$B$2="Ja",creep_res0!O18,creep_res0!C18)</f>
        <v>-6.0114314285714284E-4</v>
      </c>
      <c r="D18" s="2">
        <f>IF('Modell einstellen'!$B$2="Ja",creep_res25!O18,creep_res25!C18)</f>
        <v>-6.481961714285714E-4</v>
      </c>
      <c r="E18" s="2">
        <f>IF('Modell einstellen'!$B$2="Ja",creep_res50!O18,creep_res50!C18)</f>
        <v>-7.0670925714285716E-4</v>
      </c>
      <c r="F18" s="2">
        <f>IF('Modell einstellen'!$B$2="Ja",creep_res80!O18,creep_res80!C18)</f>
        <v>-7.9293365714285728E-4</v>
      </c>
      <c r="G18" s="2">
        <f>IF('Modell einstellen'!$B$2="Ja",creep_res125!O18,creep_res125!C18)</f>
        <v>-1.2787949142857144E-3</v>
      </c>
      <c r="H18" s="2">
        <f>IF('Modell einstellen'!$B$2="Ja",creep_res160!O18,creep_res160!C18)</f>
        <v>-5.6234140000000002E-3</v>
      </c>
      <c r="M18" s="9">
        <f t="shared" si="26"/>
        <v>-10</v>
      </c>
      <c r="N18" s="2">
        <f t="shared" si="4"/>
        <v>1</v>
      </c>
      <c r="O18" s="2">
        <f t="shared" si="5"/>
        <v>18608.554780097496</v>
      </c>
      <c r="P18" s="2">
        <f t="shared" si="6"/>
        <v>16634.973082237128</v>
      </c>
      <c r="Q18" s="2">
        <f t="shared" si="7"/>
        <v>15427.42836317718</v>
      </c>
      <c r="R18" s="2">
        <f t="shared" si="27"/>
        <v>14150.090576751223</v>
      </c>
      <c r="S18" s="2">
        <f t="shared" si="8"/>
        <v>12611.395556133355</v>
      </c>
      <c r="T18" s="2">
        <f t="shared" si="9"/>
        <v>7819.862190792036</v>
      </c>
      <c r="U18" s="2">
        <f t="shared" si="10"/>
        <v>1778.2791734700663</v>
      </c>
      <c r="Z18" s="2">
        <v>1</v>
      </c>
      <c r="AA18" s="3">
        <f>IF('Modell einstellen'!$B$2="Ja",'creep_res-40'!P18,'creep_res-40'!L18)</f>
        <v>0.36471461580118525</v>
      </c>
      <c r="AB18" s="2">
        <f>IF('Modell einstellen'!$B$2="Ja",creep_res0!P18,creep_res0!L18)</f>
        <v>0.39629437438480308</v>
      </c>
      <c r="AC18" s="2">
        <f>IF('Modell einstellen'!$B$2="Ja",creep_res25!P18,creep_res25!L18)</f>
        <v>0.41770359114388039</v>
      </c>
      <c r="AD18" s="2">
        <f>IF('Modell einstellen'!$B$2="Ja",creep_res50!P18,creep_res50!L18)</f>
        <v>0.44351746347578624</v>
      </c>
      <c r="AE18" s="2">
        <f>IF('Modell einstellen'!$B$2="Ja",creep_res80!P18,creep_res80!L18)</f>
        <v>0.47744824481442832</v>
      </c>
      <c r="AF18" s="2">
        <f>IF('Modell einstellen'!$B$2="Ja",creep_res125!P18,creep_res125!L18)</f>
        <v>0.61156764956078513</v>
      </c>
      <c r="AG18" s="2">
        <f>IF('Modell einstellen'!$B$2="Ja",creep_res160!P18,creep_res160!L18)</f>
        <v>0.88233328924894572</v>
      </c>
      <c r="AL18" s="2">
        <f t="shared" si="11"/>
        <v>1</v>
      </c>
      <c r="AM18" s="2">
        <f t="shared" si="12"/>
        <v>6817.7458366168885</v>
      </c>
      <c r="AN18" s="2">
        <f t="shared" si="13"/>
        <v>5956.8287989294422</v>
      </c>
      <c r="AO18" s="2">
        <f t="shared" si="14"/>
        <v>5440.9922001853329</v>
      </c>
      <c r="AP18" s="2">
        <f t="shared" si="15"/>
        <v>4901.2536857987861</v>
      </c>
      <c r="AQ18" s="2">
        <f t="shared" si="16"/>
        <v>4267.9652571239076</v>
      </c>
      <c r="AR18" s="2">
        <f t="shared" si="17"/>
        <v>2426.1662837806571</v>
      </c>
      <c r="AS18" s="2">
        <f t="shared" si="18"/>
        <v>472.36033693576201</v>
      </c>
      <c r="AX18" s="2">
        <f t="shared" si="28"/>
        <v>1</v>
      </c>
      <c r="AY18" s="37">
        <f t="shared" si="19"/>
        <v>22925.061824306722</v>
      </c>
      <c r="AZ18" s="37">
        <f t="shared" si="20"/>
        <v>26734.282708959516</v>
      </c>
      <c r="BA18" s="37">
        <f t="shared" si="21"/>
        <v>31243.624069002512</v>
      </c>
      <c r="BB18" s="37">
        <f t="shared" si="22"/>
        <v>41753.585702503391</v>
      </c>
      <c r="BC18" s="37">
        <f t="shared" si="23"/>
        <v>93203.355661661641</v>
      </c>
      <c r="BD18" s="37">
        <f t="shared" si="24"/>
        <v>-11681.794590661575</v>
      </c>
      <c r="BE18" s="37">
        <f t="shared" si="25"/>
        <v>-775.18717459109746</v>
      </c>
    </row>
    <row r="19" spans="1:57" x14ac:dyDescent="0.25">
      <c r="A19" s="2">
        <f>'creep_res-40'!A19</f>
        <v>10</v>
      </c>
      <c r="B19" s="3">
        <f>'creep_res-40'!O19</f>
        <v>-5.4510416571428575E-4</v>
      </c>
      <c r="C19" s="2">
        <f>IF('Modell einstellen'!$B$2="Ja",creep_res0!O19,creep_res0!C19)</f>
        <v>-6.1650040000000011E-4</v>
      </c>
      <c r="D19" s="2">
        <f>IF('Modell einstellen'!$B$2="Ja",creep_res25!O19,creep_res25!C19)</f>
        <v>-6.7047302857142863E-4</v>
      </c>
      <c r="E19" s="2">
        <f>IF('Modell einstellen'!$B$2="Ja",creep_res50!O19,creep_res50!C19)</f>
        <v>-7.3743742857142864E-4</v>
      </c>
      <c r="F19" s="2">
        <f>IF('Modell einstellen'!$B$2="Ja",creep_res80!O19,creep_res80!C19)</f>
        <v>-8.4745777142857144E-4</v>
      </c>
      <c r="G19" s="2">
        <f>IF('Modell einstellen'!$B$2="Ja",creep_res125!O19,creep_res125!C19)</f>
        <v>-1.6690684000000003E-3</v>
      </c>
      <c r="H19" s="2">
        <f>IF('Modell einstellen'!$B$2="Ja",creep_res160!O19,creep_res160!C19)</f>
        <v>-6.7562577142857147E-3</v>
      </c>
      <c r="M19" s="9">
        <f t="shared" si="26"/>
        <v>-10</v>
      </c>
      <c r="N19" s="2">
        <f t="shared" si="4"/>
        <v>10</v>
      </c>
      <c r="O19" s="2">
        <f t="shared" si="5"/>
        <v>18345.117555460878</v>
      </c>
      <c r="P19" s="2">
        <f t="shared" si="6"/>
        <v>16220.589637898043</v>
      </c>
      <c r="Q19" s="2">
        <f t="shared" si="7"/>
        <v>14914.843064316723</v>
      </c>
      <c r="R19" s="2">
        <f t="shared" si="27"/>
        <v>13560.472539849385</v>
      </c>
      <c r="S19" s="2">
        <f t="shared" si="8"/>
        <v>11799.997990628914</v>
      </c>
      <c r="T19" s="2">
        <f t="shared" si="9"/>
        <v>5991.3662016487751</v>
      </c>
      <c r="U19" s="2">
        <f t="shared" si="10"/>
        <v>1480.1093183369221</v>
      </c>
      <c r="Z19" s="2">
        <v>10</v>
      </c>
      <c r="AA19" s="3">
        <f>IF('Modell einstellen'!$B$2="Ja",'creep_res-40'!P19,'creep_res-40'!L19)</f>
        <v>0.368997751402251</v>
      </c>
      <c r="AB19" s="2">
        <f>IF('Modell einstellen'!$B$2="Ja",creep_res0!P19,creep_res0!L19)</f>
        <v>0.40375680905594591</v>
      </c>
      <c r="AC19" s="2">
        <f>IF('Modell einstellen'!$B$2="Ja",creep_res25!P19,creep_res25!L19)</f>
        <v>0.42821784330005652</v>
      </c>
      <c r="AD19" s="2">
        <f>IF('Modell einstellen'!$B$2="Ja",creep_res50!P19,creep_res50!L19)</f>
        <v>0.45456280842810487</v>
      </c>
      <c r="AE19" s="2">
        <f>IF('Modell einstellen'!$B$2="Ja",creep_res80!P19,creep_res80!L19)</f>
        <v>0.48361266176195816</v>
      </c>
      <c r="AF19" s="2">
        <f>IF('Modell einstellen'!$B$2="Ja",creep_res125!P19,creep_res125!L19)</f>
        <v>0.61509043008662778</v>
      </c>
      <c r="AG19" s="2">
        <f>IF('Modell einstellen'!$B$2="Ja",creep_res160!P19,creep_res160!L19)</f>
        <v>0.82835141787283606</v>
      </c>
      <c r="AL19" s="2">
        <f t="shared" si="11"/>
        <v>10</v>
      </c>
      <c r="AM19" s="2">
        <f t="shared" si="12"/>
        <v>6700.2000319833087</v>
      </c>
      <c r="AN19" s="2">
        <f t="shared" si="13"/>
        <v>5777.56401011038</v>
      </c>
      <c r="AO19" s="2">
        <f t="shared" si="14"/>
        <v>5221.4874412485688</v>
      </c>
      <c r="AP19" s="2">
        <f t="shared" si="15"/>
        <v>4661.3568218837227</v>
      </c>
      <c r="AQ19" s="2">
        <f t="shared" si="16"/>
        <v>3976.7785402340392</v>
      </c>
      <c r="AR19" s="2">
        <f t="shared" si="17"/>
        <v>1854.808278855141</v>
      </c>
      <c r="AS19" s="2">
        <f t="shared" si="18"/>
        <v>404.76609252146119</v>
      </c>
      <c r="AX19" s="2">
        <f t="shared" si="28"/>
        <v>10</v>
      </c>
      <c r="AY19" s="37">
        <f t="shared" si="19"/>
        <v>23339.443599667724</v>
      </c>
      <c r="AZ19" s="37">
        <f t="shared" si="20"/>
        <v>28089.588258641987</v>
      </c>
      <c r="BA19" s="37">
        <f t="shared" si="21"/>
        <v>34629.875886524846</v>
      </c>
      <c r="BB19" s="37">
        <f t="shared" si="22"/>
        <v>49740.722928824689</v>
      </c>
      <c r="BC19" s="37">
        <f t="shared" si="23"/>
        <v>120011.3345562145</v>
      </c>
      <c r="BD19" s="37">
        <f t="shared" si="24"/>
        <v>-8676.3168132790815</v>
      </c>
      <c r="BE19" s="37">
        <f t="shared" si="25"/>
        <v>-751.2831465372966</v>
      </c>
    </row>
    <row r="20" spans="1:57" x14ac:dyDescent="0.25">
      <c r="A20" s="2">
        <f>'creep_res-40'!A20</f>
        <v>100</v>
      </c>
      <c r="B20" s="3">
        <f>'creep_res-40'!O20</f>
        <v>-5.531446114285715E-4</v>
      </c>
      <c r="C20" s="2">
        <f>IF('Modell einstellen'!$B$2="Ja",creep_res0!O20,creep_res0!C20)</f>
        <v>-6.3240502857142859E-4</v>
      </c>
      <c r="D20" s="2">
        <f>IF('Modell einstellen'!$B$2="Ja",creep_res25!O20,creep_res25!C20)</f>
        <v>-7.0504165714285728E-4</v>
      </c>
      <c r="E20" s="2">
        <f>IF('Modell einstellen'!$B$2="Ja",creep_res50!O20,creep_res50!C20)</f>
        <v>-7.9729805714285717E-4</v>
      </c>
      <c r="F20" s="2">
        <f>IF('Modell einstellen'!$B$2="Ja",creep_res80!O20,creep_res80!C20)</f>
        <v>-9.8356862857142862E-4</v>
      </c>
      <c r="G20" s="2">
        <f>IF('Modell einstellen'!$B$2="Ja",creep_res125!O20,creep_res125!C20)</f>
        <v>-2.4705964000000004E-3</v>
      </c>
      <c r="H20" s="2">
        <f>IF('Modell einstellen'!$B$2="Ja",creep_res160!O20,creep_res160!C20)</f>
        <v>-8.7672800000000006E-3</v>
      </c>
      <c r="M20" s="9">
        <f t="shared" si="26"/>
        <v>-10</v>
      </c>
      <c r="N20" s="2">
        <f t="shared" si="4"/>
        <v>100</v>
      </c>
      <c r="O20" s="2">
        <f t="shared" si="5"/>
        <v>18078.455061098099</v>
      </c>
      <c r="P20" s="2">
        <f t="shared" si="6"/>
        <v>15812.650988227435</v>
      </c>
      <c r="Q20" s="2">
        <f t="shared" si="7"/>
        <v>14183.559082912139</v>
      </c>
      <c r="R20" s="2">
        <f t="shared" si="27"/>
        <v>12542.360928151909</v>
      </c>
      <c r="S20" s="2">
        <f t="shared" si="8"/>
        <v>10167.058718133751</v>
      </c>
      <c r="T20" s="2">
        <f t="shared" si="9"/>
        <v>4047.605671246019</v>
      </c>
      <c r="U20" s="2">
        <f t="shared" si="10"/>
        <v>1140.6046116925659</v>
      </c>
      <c r="Z20" s="2">
        <v>100</v>
      </c>
      <c r="AA20" s="3">
        <f>IF('Modell einstellen'!$B$2="Ja",'creep_res-40'!P20,'creep_res-40'!L20)</f>
        <v>0.37343228673851209</v>
      </c>
      <c r="AB20" s="2">
        <f>IF('Modell einstellen'!$B$2="Ja",creep_res0!P20,creep_res0!L20)</f>
        <v>0.41130037097382799</v>
      </c>
      <c r="AC20" s="2">
        <f>IF('Modell einstellen'!$B$2="Ja",creep_res25!P20,creep_res25!L20)</f>
        <v>0.43961044976552138</v>
      </c>
      <c r="AD20" s="2">
        <f>IF('Modell einstellen'!$B$2="Ja",creep_res50!P20,creep_res50!L20)</f>
        <v>0.45886276191674802</v>
      </c>
      <c r="AE20" s="2">
        <f>IF('Modell einstellen'!$B$2="Ja",creep_res80!P20,creep_res80!L20)</f>
        <v>0.47534307577694779</v>
      </c>
      <c r="AF20" s="2">
        <f>IF('Modell einstellen'!$B$2="Ja",creep_res125!P20,creep_res125!L20)</f>
        <v>0.59458284184799615</v>
      </c>
      <c r="AG20" s="2">
        <f>IF('Modell einstellen'!$B$2="Ja",creep_res160!P20,creep_res160!L20)</f>
        <v>0.71455639605442056</v>
      </c>
      <c r="AL20" s="2">
        <f t="shared" si="11"/>
        <v>100</v>
      </c>
      <c r="AM20" s="2">
        <f t="shared" si="12"/>
        <v>6581.4875752007347</v>
      </c>
      <c r="AN20" s="2">
        <f t="shared" si="13"/>
        <v>5602.1564627366897</v>
      </c>
      <c r="AO20" s="2">
        <f t="shared" si="14"/>
        <v>4926.1795387850607</v>
      </c>
      <c r="AP20" s="2">
        <f t="shared" si="15"/>
        <v>4298.6774546472579</v>
      </c>
      <c r="AQ20" s="2">
        <f t="shared" si="16"/>
        <v>3445.6591436468279</v>
      </c>
      <c r="AR20" s="2">
        <f t="shared" si="17"/>
        <v>1269.173844412863</v>
      </c>
      <c r="AS20" s="2">
        <f t="shared" si="18"/>
        <v>332.62382454066642</v>
      </c>
      <c r="AX20" s="2">
        <f t="shared" si="28"/>
        <v>100</v>
      </c>
      <c r="AY20" s="37">
        <f t="shared" si="19"/>
        <v>23806.038411165402</v>
      </c>
      <c r="AZ20" s="37">
        <f t="shared" si="20"/>
        <v>29711.982567521412</v>
      </c>
      <c r="BA20" s="37">
        <f t="shared" si="21"/>
        <v>39144.628576303541</v>
      </c>
      <c r="BB20" s="37">
        <f t="shared" si="22"/>
        <v>50815.115098268368</v>
      </c>
      <c r="BC20" s="37">
        <f t="shared" si="23"/>
        <v>68723.485988223809</v>
      </c>
      <c r="BD20" s="37">
        <f t="shared" si="24"/>
        <v>-7132.3818572909804</v>
      </c>
      <c r="BE20" s="37">
        <f t="shared" si="25"/>
        <v>-886.01771893675016</v>
      </c>
    </row>
    <row r="21" spans="1:57" x14ac:dyDescent="0.25">
      <c r="A21" s="2">
        <f>'creep_res-40'!A21</f>
        <v>1000</v>
      </c>
      <c r="B21" s="3">
        <f>'creep_res-40'!O21</f>
        <v>-5.6241089714285724E-4</v>
      </c>
      <c r="C21" s="2">
        <f>IF('Modell einstellen'!$B$2="Ja",creep_res0!O21,creep_res0!C21)</f>
        <v>-6.5889742857142865E-4</v>
      </c>
      <c r="D21" s="2">
        <f>IF('Modell einstellen'!$B$2="Ja",creep_res25!O21,creep_res25!C21)</f>
        <v>-7.793978857142858E-4</v>
      </c>
      <c r="E21" s="2">
        <f>IF('Modell einstellen'!$B$2="Ja",creep_res50!O21,creep_res50!C21)</f>
        <v>-9.3838194285714291E-4</v>
      </c>
      <c r="F21" s="2">
        <f>IF('Modell einstellen'!$B$2="Ja",creep_res80!O21,creep_res80!C21)</f>
        <v>-1.209907542857143E-3</v>
      </c>
      <c r="G21" s="2">
        <f>IF('Modell einstellen'!$B$2="Ja",creep_res125!O21,creep_res125!C21)</f>
        <v>-3.9668505142857148E-3</v>
      </c>
      <c r="H21" s="2">
        <f>IF('Modell einstellen'!$B$2="Ja",creep_res160!O21,creep_res160!C21)</f>
        <v>-1.1606206285714286E-2</v>
      </c>
      <c r="M21" s="9">
        <f t="shared" si="26"/>
        <v>-10</v>
      </c>
      <c r="N21" s="2">
        <f t="shared" si="4"/>
        <v>1000</v>
      </c>
      <c r="O21" s="2">
        <f t="shared" si="5"/>
        <v>17780.594314231279</v>
      </c>
      <c r="P21" s="2">
        <f t="shared" si="6"/>
        <v>15176.869063947086</v>
      </c>
      <c r="Q21" s="2">
        <f t="shared" si="7"/>
        <v>12830.417150587233</v>
      </c>
      <c r="R21" s="2">
        <f t="shared" si="27"/>
        <v>10656.641547846128</v>
      </c>
      <c r="S21" s="2">
        <f t="shared" si="8"/>
        <v>8265.0943529002579</v>
      </c>
      <c r="T21" s="2">
        <f t="shared" si="9"/>
        <v>2520.8915647280537</v>
      </c>
      <c r="U21" s="2">
        <f t="shared" si="10"/>
        <v>861.60798402391697</v>
      </c>
      <c r="Z21" s="2">
        <v>1000</v>
      </c>
      <c r="AA21" s="3">
        <f>IF('Modell einstellen'!$B$2="Ja",'creep_res-40'!P21,'creep_res-40'!L21)</f>
        <v>0.37847426589692063</v>
      </c>
      <c r="AB21" s="2">
        <f>IF('Modell einstellen'!$B$2="Ja",creep_res0!P21,creep_res0!L21)</f>
        <v>0.41871405087546681</v>
      </c>
      <c r="AC21" s="2">
        <f>IF('Modell einstellen'!$B$2="Ja",creep_res25!P21,creep_res25!L21)</f>
        <v>0.44389699213231482</v>
      </c>
      <c r="AD21" s="2">
        <f>IF('Modell einstellen'!$B$2="Ja",creep_res50!P21,creep_res50!L21)</f>
        <v>0.45038692134131919</v>
      </c>
      <c r="AE21" s="2">
        <f>IF('Modell einstellen'!$B$2="Ja",creep_res80!P21,creep_res80!L21)</f>
        <v>0.45544729226535463</v>
      </c>
      <c r="AF21" s="2">
        <f>IF('Modell einstellen'!$B$2="Ja",creep_res125!P21,creep_res125!L21)</f>
        <v>0.55955612083707895</v>
      </c>
      <c r="AG21" s="2">
        <f>IF('Modell einstellen'!$B$2="Ja",creep_res160!P21,creep_res160!L21)</f>
        <v>0.59490811344728323</v>
      </c>
      <c r="AL21" s="2">
        <f t="shared" si="11"/>
        <v>1000</v>
      </c>
      <c r="AM21" s="2">
        <f t="shared" si="12"/>
        <v>6449.3747740231202</v>
      </c>
      <c r="AN21" s="2">
        <f t="shared" si="13"/>
        <v>5348.811853446321</v>
      </c>
      <c r="AO21" s="2">
        <f t="shared" si="14"/>
        <v>4442.9821588725517</v>
      </c>
      <c r="AP21" s="2">
        <f t="shared" si="15"/>
        <v>3673.7236771243274</v>
      </c>
      <c r="AQ21" s="2">
        <f t="shared" si="16"/>
        <v>2839.3657389117534</v>
      </c>
      <c r="AR21" s="2">
        <f t="shared" si="17"/>
        <v>808.20803145416335</v>
      </c>
      <c r="AS21" s="2">
        <f t="shared" si="18"/>
        <v>270.11210763785351</v>
      </c>
      <c r="AX21" s="2">
        <f t="shared" si="28"/>
        <v>1000</v>
      </c>
      <c r="AY21" s="37">
        <f t="shared" si="19"/>
        <v>24385.225134222183</v>
      </c>
      <c r="AZ21" s="37">
        <f t="shared" si="20"/>
        <v>31118.270802857416</v>
      </c>
      <c r="BA21" s="37">
        <f t="shared" si="21"/>
        <v>38115.654395473255</v>
      </c>
      <c r="BB21" s="37">
        <f t="shared" si="22"/>
        <v>35799.167732765876</v>
      </c>
      <c r="BC21" s="37">
        <f t="shared" si="23"/>
        <v>30918.78800471163</v>
      </c>
      <c r="BD21" s="37">
        <f t="shared" si="24"/>
        <v>-7054.6668959634899</v>
      </c>
      <c r="BE21" s="37">
        <f t="shared" si="25"/>
        <v>-1513.0564232573886</v>
      </c>
    </row>
    <row r="22" spans="1:57" x14ac:dyDescent="0.25">
      <c r="A22" s="2">
        <f>'creep_res-40'!A22</f>
        <v>10000</v>
      </c>
      <c r="B22" s="3">
        <f>'creep_res-40'!O22</f>
        <v>-5.7446554285714283E-4</v>
      </c>
      <c r="C22" s="2">
        <f>IF('Modell einstellen'!$B$2="Ja",creep_res0!O22,creep_res0!C22)</f>
        <v>-7.3297771428571445E-4</v>
      </c>
      <c r="D22" s="2">
        <f>IF('Modell einstellen'!$B$2="Ja",creep_res25!O22,creep_res25!C22)</f>
        <v>-9.2856325714285712E-4</v>
      </c>
      <c r="E22" s="2">
        <f>IF('Modell einstellen'!$B$2="Ja",creep_res50!O22,creep_res50!C22)</f>
        <v>-1.1411583428571428E-3</v>
      </c>
      <c r="F22" s="2">
        <f>IF('Modell einstellen'!$B$2="Ja",creep_res80!O22,creep_res80!C22)</f>
        <v>-1.4887029142857144E-3</v>
      </c>
      <c r="G22" s="2">
        <f>IF('Modell einstellen'!$B$2="Ja",creep_res125!O22,creep_res125!C22)</f>
        <v>-6.4758148571428583E-3</v>
      </c>
      <c r="H22" s="2">
        <f>IF('Modell einstellen'!$B$2="Ja",creep_res160!O22,creep_res160!C22)</f>
        <v>-1.4358287428571431E-2</v>
      </c>
      <c r="M22" s="9">
        <f t="shared" si="26"/>
        <v>-10</v>
      </c>
      <c r="N22" s="2">
        <f t="shared" si="4"/>
        <v>10000</v>
      </c>
      <c r="O22" s="2">
        <f t="shared" si="5"/>
        <v>17407.484442433797</v>
      </c>
      <c r="P22" s="2">
        <f t="shared" si="6"/>
        <v>13642.979595559715</v>
      </c>
      <c r="Q22" s="2">
        <f t="shared" si="7"/>
        <v>10769.325539295516</v>
      </c>
      <c r="R22" s="2">
        <f t="shared" si="27"/>
        <v>8763.0257996999644</v>
      </c>
      <c r="S22" s="2">
        <f t="shared" si="8"/>
        <v>6717.2569516988151</v>
      </c>
      <c r="T22" s="2">
        <f t="shared" si="9"/>
        <v>1544.2072110770657</v>
      </c>
      <c r="U22" s="2">
        <f t="shared" si="10"/>
        <v>696.46189002325491</v>
      </c>
      <c r="Z22" s="2">
        <v>10000</v>
      </c>
      <c r="AA22" s="3">
        <f>IF('Modell einstellen'!$B$2="Ja",'creep_res-40'!P22,'creep_res-40'!L22)</f>
        <v>0.38388349439235298</v>
      </c>
      <c r="AB22" s="2">
        <f>IF('Modell einstellen'!$B$2="Ja",creep_res0!P22,creep_res0!L22)</f>
        <v>0.42311682834247144</v>
      </c>
      <c r="AC22" s="2">
        <f>IF('Modell einstellen'!$B$2="Ja",creep_res25!P22,creep_res25!L22)</f>
        <v>0.43484850974380884</v>
      </c>
      <c r="AD22" s="2">
        <f>IF('Modell einstellen'!$B$2="Ja",creep_res50!P22,creep_res50!L22)</f>
        <v>0.43376077870951285</v>
      </c>
      <c r="AE22" s="2">
        <f>IF('Modell einstellen'!$B$2="Ja",creep_res80!P22,creep_res80!L22)</f>
        <v>0.43618769029269239</v>
      </c>
      <c r="AF22" s="2">
        <f>IF('Modell einstellen'!$B$2="Ja",creep_res125!P22,creep_res125!L22)</f>
        <v>0.51681712245192568</v>
      </c>
      <c r="AG22" s="2">
        <f>IF('Modell einstellen'!$B$2="Ja",creep_res160!P22,creep_res160!L22)</f>
        <v>0.51250242617474107</v>
      </c>
      <c r="AL22" s="2">
        <f t="shared" si="11"/>
        <v>10000</v>
      </c>
      <c r="AM22" s="2">
        <f t="shared" si="12"/>
        <v>6289.3605252793404</v>
      </c>
      <c r="AN22" s="2">
        <f t="shared" si="13"/>
        <v>4793.3449045957559</v>
      </c>
      <c r="AO22" s="2">
        <f t="shared" si="14"/>
        <v>3752.7744100380223</v>
      </c>
      <c r="AP22" s="2">
        <f t="shared" si="15"/>
        <v>3055.9581241953465</v>
      </c>
      <c r="AQ22" s="2">
        <f t="shared" si="16"/>
        <v>2338.5721090290958</v>
      </c>
      <c r="AR22" s="2">
        <f t="shared" si="17"/>
        <v>509.02880387480866</v>
      </c>
      <c r="AS22" s="2">
        <f t="shared" si="18"/>
        <v>230.23496622900356</v>
      </c>
      <c r="AX22" s="2">
        <f t="shared" si="28"/>
        <v>10000</v>
      </c>
      <c r="AY22" s="37">
        <f t="shared" si="19"/>
        <v>24985.658945641175</v>
      </c>
      <c r="AZ22" s="37">
        <f t="shared" si="20"/>
        <v>29575.131769042044</v>
      </c>
      <c r="BA22" s="37">
        <f t="shared" si="21"/>
        <v>27549.447953142146</v>
      </c>
      <c r="BB22" s="37">
        <f t="shared" si="22"/>
        <v>22048.935230459032</v>
      </c>
      <c r="BC22" s="37">
        <f t="shared" si="23"/>
        <v>17544.308150233417</v>
      </c>
      <c r="BD22" s="37">
        <f t="shared" si="24"/>
        <v>-15303.918327797739</v>
      </c>
      <c r="BE22" s="37">
        <f t="shared" si="25"/>
        <v>-9284.3564959459982</v>
      </c>
    </row>
    <row r="23" spans="1:57" x14ac:dyDescent="0.25">
      <c r="A23" s="2">
        <f>'creep_res-40'!A23</f>
        <v>100000</v>
      </c>
      <c r="B23" s="3">
        <f>'creep_res-40'!O23</f>
        <v>-5.9813674285714286E-4</v>
      </c>
      <c r="C23" s="2">
        <f>IF('Modell einstellen'!$B$2="Ja",creep_res0!O23,creep_res0!C23)</f>
        <v>-8.7946508571428578E-4</v>
      </c>
      <c r="D23" s="2">
        <f>IF('Modell einstellen'!$B$2="Ja",creep_res25!O23,creep_res25!C23)</f>
        <v>-1.1236970857142858E-3</v>
      </c>
      <c r="E23" s="2">
        <f>IF('Modell einstellen'!$B$2="Ja",creep_res50!O23,creep_res50!C23)</f>
        <v>-1.363100342857143E-3</v>
      </c>
      <c r="F23" s="2">
        <f>IF('Modell einstellen'!$B$2="Ja",creep_res80!O23,creep_res80!C23)</f>
        <v>-1.7958230857142859E-3</v>
      </c>
      <c r="G23" s="2">
        <f>IF('Modell einstellen'!$B$2="Ja",creep_res125!O23,creep_res125!C23)</f>
        <v>-9.8433360000000011E-3</v>
      </c>
      <c r="H23" s="2">
        <f>IF('Modell einstellen'!$B$2="Ja",creep_res160!O23,creep_res160!C23)</f>
        <v>-1.7147691428571431E-2</v>
      </c>
      <c r="M23" s="9">
        <f t="shared" si="26"/>
        <v>-10</v>
      </c>
      <c r="N23" s="2">
        <f t="shared" si="4"/>
        <v>100000</v>
      </c>
      <c r="O23" s="2">
        <f t="shared" si="5"/>
        <v>16718.585038318521</v>
      </c>
      <c r="P23" s="2">
        <f t="shared" si="6"/>
        <v>11370.548032476103</v>
      </c>
      <c r="Q23" s="2">
        <f t="shared" si="7"/>
        <v>8899.1954567929042</v>
      </c>
      <c r="R23" s="2">
        <f t="shared" si="27"/>
        <v>7336.2170675119769</v>
      </c>
      <c r="S23" s="2">
        <f t="shared" si="8"/>
        <v>5568.477251211255</v>
      </c>
      <c r="T23" s="2">
        <f t="shared" si="9"/>
        <v>1015.9157423865241</v>
      </c>
      <c r="U23" s="2">
        <f t="shared" si="10"/>
        <v>583.16887970925518</v>
      </c>
      <c r="Z23" s="2">
        <v>100000</v>
      </c>
      <c r="AA23" s="3">
        <f>IF('Modell einstellen'!$B$2="Ja",'creep_res-40'!P23,'creep_res-40'!L23)</f>
        <v>0.38955598590785695</v>
      </c>
      <c r="AB23" s="2">
        <f>IF('Modell einstellen'!$B$2="Ja",creep_res0!P23,creep_res0!L23)</f>
        <v>0.41923118981609542</v>
      </c>
      <c r="AC23" s="2">
        <f>IF('Modell einstellen'!$B$2="Ja",creep_res25!P23,creep_res25!L23)</f>
        <v>0.42130709958998103</v>
      </c>
      <c r="AD23" s="2">
        <f>IF('Modell einstellen'!$B$2="Ja",creep_res50!P23,creep_res50!L23)</f>
        <v>0.41822897347961724</v>
      </c>
      <c r="AE23" s="2">
        <f>IF('Modell einstellen'!$B$2="Ja",creep_res80!P23,creep_res80!L23)</f>
        <v>0.42029278480629212</v>
      </c>
      <c r="AF23" s="2">
        <f>IF('Modell einstellen'!$B$2="Ja",creep_res125!P23,creep_res125!L23)</f>
        <v>0.47639048968183723</v>
      </c>
      <c r="AG23" s="2">
        <f>IF('Modell einstellen'!$B$2="Ja",creep_res160!P23,creep_res160!L23)</f>
        <v>0.46541421985666703</v>
      </c>
      <c r="AL23" s="2">
        <f t="shared" si="11"/>
        <v>100000</v>
      </c>
      <c r="AM23" s="2">
        <f t="shared" si="12"/>
        <v>6015.8011652173718</v>
      </c>
      <c r="AN23" s="2">
        <f t="shared" si="13"/>
        <v>4005.8829435497059</v>
      </c>
      <c r="AO23" s="2">
        <f t="shared" si="14"/>
        <v>3130.6377978974938</v>
      </c>
      <c r="AP23" s="2">
        <f t="shared" si="15"/>
        <v>2586.4007874245467</v>
      </c>
      <c r="AQ23" s="2">
        <f t="shared" si="16"/>
        <v>1960.3272335044344</v>
      </c>
      <c r="AR23" s="2">
        <f t="shared" si="17"/>
        <v>344.05387649356049</v>
      </c>
      <c r="AS23" s="2">
        <f t="shared" si="18"/>
        <v>198.97748766430533</v>
      </c>
      <c r="AX23" s="2">
        <f t="shared" si="28"/>
        <v>100000</v>
      </c>
      <c r="AY23" s="37">
        <f t="shared" si="19"/>
        <v>25229.351383362831</v>
      </c>
      <c r="AZ23" s="37">
        <f t="shared" si="20"/>
        <v>23463.157801025358</v>
      </c>
      <c r="BA23" s="37">
        <f t="shared" si="21"/>
        <v>18847.942254902329</v>
      </c>
      <c r="BB23" s="37">
        <f t="shared" si="22"/>
        <v>14952.76379195938</v>
      </c>
      <c r="BC23" s="37">
        <f t="shared" si="23"/>
        <v>11643.607666044836</v>
      </c>
      <c r="BD23" s="37">
        <f t="shared" si="24"/>
        <v>7171.6561722797296</v>
      </c>
      <c r="BE23" s="37">
        <f t="shared" si="25"/>
        <v>2810.2536037086306</v>
      </c>
    </row>
    <row r="24" spans="1:57" x14ac:dyDescent="0.25">
      <c r="A24" s="2">
        <f>'creep_res-40'!A24</f>
        <v>1000000</v>
      </c>
      <c r="B24" s="3">
        <f>'creep_res-40'!O24</f>
        <v>-6.6538377142857149E-4</v>
      </c>
      <c r="C24" s="2">
        <f>IF('Modell einstellen'!$B$2="Ja",creep_res0!O24,creep_res0!C24)</f>
        <v>-1.0596601142857144E-3</v>
      </c>
      <c r="D24" s="2">
        <f>IF('Modell einstellen'!$B$2="Ja",creep_res25!O24,creep_res25!C24)</f>
        <v>-1.3216305714285716E-3</v>
      </c>
      <c r="E24" s="2">
        <f>IF('Modell einstellen'!$B$2="Ja",creep_res50!O24,creep_res50!C24)</f>
        <v>-1.5828392571428573E-3</v>
      </c>
      <c r="F24" s="2">
        <f>IF('Modell einstellen'!$B$2="Ja",creep_res80!O24,creep_res80!C24)</f>
        <v>-2.1445940000000001E-3</v>
      </c>
      <c r="G24" s="2">
        <f>IF('Modell einstellen'!$B$2="Ja",creep_res125!O24,creep_res125!C24)</f>
        <v>-1.3177162285714288E-2</v>
      </c>
      <c r="H24" s="2">
        <f>IF('Modell einstellen'!$B$2="Ja",creep_res160!O24,creep_res160!C24)</f>
        <v>-1.9091066285714286E-2</v>
      </c>
      <c r="M24" s="9">
        <f t="shared" si="26"/>
        <v>-10</v>
      </c>
      <c r="N24" s="2">
        <f t="shared" si="4"/>
        <v>1000000</v>
      </c>
      <c r="O24" s="2">
        <f t="shared" si="5"/>
        <v>15028.920796385088</v>
      </c>
      <c r="P24" s="2">
        <f t="shared" si="6"/>
        <v>9436.9882051668101</v>
      </c>
      <c r="Q24" s="2">
        <f t="shared" si="7"/>
        <v>7566.4109291833647</v>
      </c>
      <c r="R24" s="2">
        <f t="shared" si="27"/>
        <v>6317.7609191035253</v>
      </c>
      <c r="S24" s="2">
        <f t="shared" si="8"/>
        <v>4662.8872411281573</v>
      </c>
      <c r="T24" s="2">
        <f t="shared" si="9"/>
        <v>758.88873364193637</v>
      </c>
      <c r="U24" s="2">
        <f t="shared" si="10"/>
        <v>523.80521079029154</v>
      </c>
      <c r="Z24" s="2">
        <v>1000000</v>
      </c>
      <c r="AA24" s="3">
        <f>IF('Modell einstellen'!$B$2="Ja",'creep_res-40'!P24,'creep_res-40'!L24)</f>
        <v>0.3932572703907245</v>
      </c>
      <c r="AB24" s="2">
        <f>IF('Modell einstellen'!$B$2="Ja",creep_res0!P24,creep_res0!L24)</f>
        <v>0.40998822695277171</v>
      </c>
      <c r="AC24" s="2">
        <f>IF('Modell einstellen'!$B$2="Ja",creep_res25!P24,creep_res25!L24)</f>
        <v>0.40859653237872606</v>
      </c>
      <c r="AD24" s="2">
        <f>IF('Modell einstellen'!$B$2="Ja",creep_res50!P24,creep_res50!L24)</f>
        <v>0.40561216449846527</v>
      </c>
      <c r="AE24" s="2">
        <f>IF('Modell einstellen'!$B$2="Ja",creep_res80!P24,creep_res80!L24)</f>
        <v>0.4076057819268889</v>
      </c>
      <c r="AF24" s="2">
        <f>IF('Modell einstellen'!$B$2="Ja",creep_res125!P24,creep_res125!L24)</f>
        <v>0.44422358614041935</v>
      </c>
      <c r="AG24" s="2">
        <f>IF('Modell einstellen'!$B$2="Ja",creep_res160!P24,creep_res160!L24)</f>
        <v>0.4336795855389774</v>
      </c>
      <c r="AL24" s="2">
        <f t="shared" si="11"/>
        <v>1000000</v>
      </c>
      <c r="AM24" s="2">
        <f t="shared" si="12"/>
        <v>5393.4478275395559</v>
      </c>
      <c r="AN24" s="2">
        <f t="shared" si="13"/>
        <v>3346.4776601581179</v>
      </c>
      <c r="AO24" s="2">
        <f t="shared" si="14"/>
        <v>2685.7977977575347</v>
      </c>
      <c r="AP24" s="2">
        <f t="shared" si="15"/>
        <v>2247.3343211844494</v>
      </c>
      <c r="AQ24" s="2">
        <f t="shared" si="16"/>
        <v>1656.3185875611684</v>
      </c>
      <c r="AR24" s="2">
        <f t="shared" si="17"/>
        <v>262.73242624087396</v>
      </c>
      <c r="AS24" s="2">
        <f t="shared" si="18"/>
        <v>182.67861803771595</v>
      </c>
      <c r="AX24" s="2">
        <f t="shared" si="28"/>
        <v>1000000</v>
      </c>
      <c r="AY24" s="37">
        <f t="shared" si="19"/>
        <v>23465.955404171989</v>
      </c>
      <c r="AZ24" s="37">
        <f t="shared" si="20"/>
        <v>17473.618331043792</v>
      </c>
      <c r="BA24" s="37">
        <f t="shared" si="21"/>
        <v>13796.724796288985</v>
      </c>
      <c r="BB24" s="37">
        <f t="shared" si="22"/>
        <v>11155.676444840181</v>
      </c>
      <c r="BC24" s="37">
        <f t="shared" si="23"/>
        <v>8411.2176035345219</v>
      </c>
      <c r="BD24" s="37">
        <f t="shared" si="24"/>
        <v>2267.6512678891745</v>
      </c>
      <c r="BE24" s="37">
        <f t="shared" si="25"/>
        <v>1316.3498626257301</v>
      </c>
    </row>
    <row r="25" spans="1:57" x14ac:dyDescent="0.25">
      <c r="A25" s="2">
        <f>'creep_res-40'!A25</f>
        <v>10000000</v>
      </c>
      <c r="B25" s="3">
        <f>'creep_res-40'!O25</f>
        <v>-7.8451982857142871E-4</v>
      </c>
      <c r="C25" s="2">
        <f>IF('Modell einstellen'!$B$2="Ja",creep_res0!O25,creep_res0!C25)</f>
        <v>-1.2344853714285715E-3</v>
      </c>
      <c r="D25" s="2">
        <f>IF('Modell einstellen'!$B$2="Ja",creep_res25!O25,creep_res25!C25)</f>
        <v>-1.5099526857142859E-3</v>
      </c>
      <c r="E25" s="2">
        <f>IF('Modell einstellen'!$B$2="Ja",creep_res50!O25,creep_res50!C25)</f>
        <v>-1.8098891428571431E-3</v>
      </c>
      <c r="F25" s="2">
        <f>IF('Modell einstellen'!$B$2="Ja",creep_res80!O25,creep_res80!C25)</f>
        <v>-2.5784199428571428E-3</v>
      </c>
      <c r="G25" s="2">
        <f>IF('Modell einstellen'!$B$2="Ja",creep_res125!O25,creep_res125!C25)</f>
        <v>-1.5779164571428573E-2</v>
      </c>
      <c r="H25" s="2">
        <f>IF('Modell einstellen'!$B$2="Ja",creep_res160!O25,creep_res160!C25)</f>
        <v>-2.0249506285714286E-2</v>
      </c>
      <c r="M25" s="9">
        <f t="shared" si="26"/>
        <v>-10</v>
      </c>
      <c r="N25" s="2">
        <f t="shared" si="4"/>
        <v>10000000</v>
      </c>
      <c r="O25" s="2">
        <f t="shared" si="5"/>
        <v>12746.65041699392</v>
      </c>
      <c r="P25" s="2">
        <f t="shared" si="6"/>
        <v>8100.5415142569063</v>
      </c>
      <c r="Q25" s="2">
        <f t="shared" si="7"/>
        <v>6622.7240724893854</v>
      </c>
      <c r="R25" s="2">
        <f t="shared" si="27"/>
        <v>5525.2002806170285</v>
      </c>
      <c r="S25" s="2">
        <f t="shared" si="8"/>
        <v>3878.344188153857</v>
      </c>
      <c r="T25" s="2">
        <f t="shared" si="9"/>
        <v>633.74711346296874</v>
      </c>
      <c r="U25" s="2">
        <f t="shared" si="10"/>
        <v>493.83920076386482</v>
      </c>
      <c r="Z25" s="2">
        <v>10000000</v>
      </c>
      <c r="AA25" s="3">
        <f>IF('Modell einstellen'!$B$2="Ja",'creep_res-40'!P25,'creep_res-40'!L25)</f>
        <v>0.39233854200316304</v>
      </c>
      <c r="AB25" s="2">
        <f>IF('Modell einstellen'!$B$2="Ja",creep_res0!P25,creep_res0!L25)</f>
        <v>0.40041657150459081</v>
      </c>
      <c r="AC25" s="2">
        <f>IF('Modell einstellen'!$B$2="Ja",creep_res25!P25,creep_res25!L25)</f>
        <v>0.39817455774962407</v>
      </c>
      <c r="AD25" s="2">
        <f>IF('Modell einstellen'!$B$2="Ja",creep_res50!P25,creep_res50!L25)</f>
        <v>0.3957409861882622</v>
      </c>
      <c r="AE25" s="2">
        <f>IF('Modell einstellen'!$B$2="Ja",creep_res80!P25,creep_res80!L25)</f>
        <v>0.397892826900479</v>
      </c>
      <c r="AF25" s="2">
        <f>IF('Modell einstellen'!$B$2="Ja",creep_res125!P25,creep_res125!L25)</f>
        <v>0.42134079305592781</v>
      </c>
      <c r="AG25" s="2">
        <f>IF('Modell einstellen'!$B$2="Ja",creep_res160!P25,creep_res160!L25)</f>
        <v>0.41397916551672681</v>
      </c>
      <c r="AL25" s="2">
        <f t="shared" si="11"/>
        <v>10000000</v>
      </c>
      <c r="AM25" s="2">
        <f t="shared" si="12"/>
        <v>4577.424969740212</v>
      </c>
      <c r="AN25" s="2">
        <f t="shared" si="13"/>
        <v>2892.1899665732253</v>
      </c>
      <c r="AO25" s="2">
        <f t="shared" si="14"/>
        <v>2368.346654493816</v>
      </c>
      <c r="AP25" s="2">
        <f t="shared" si="15"/>
        <v>1979.307169199863</v>
      </c>
      <c r="AQ25" s="2">
        <f t="shared" si="16"/>
        <v>1387.2108481854204</v>
      </c>
      <c r="AR25" s="2">
        <f t="shared" si="17"/>
        <v>222.939887660718</v>
      </c>
      <c r="AS25" s="2">
        <f t="shared" si="18"/>
        <v>174.62746722417066</v>
      </c>
      <c r="AX25" s="2">
        <f t="shared" si="28"/>
        <v>10000000</v>
      </c>
      <c r="AY25" s="37">
        <f t="shared" si="19"/>
        <v>19732.611611372275</v>
      </c>
      <c r="AZ25" s="37">
        <f t="shared" si="20"/>
        <v>13557.378700195992</v>
      </c>
      <c r="BA25" s="37">
        <f t="shared" si="21"/>
        <v>10839.995594625787</v>
      </c>
      <c r="BB25" s="37">
        <f t="shared" si="22"/>
        <v>8832.4901585871066</v>
      </c>
      <c r="BC25" s="37">
        <f t="shared" si="23"/>
        <v>6330.5121315583183</v>
      </c>
      <c r="BD25" s="37">
        <f t="shared" si="24"/>
        <v>1342.8118972213299</v>
      </c>
      <c r="BE25" s="37">
        <f t="shared" si="25"/>
        <v>956.82091385254694</v>
      </c>
    </row>
    <row r="26" spans="1:57" x14ac:dyDescent="0.25">
      <c r="A26" s="2">
        <f>'creep_res-40'!A26</f>
        <v>100000000</v>
      </c>
      <c r="B26" s="3">
        <f>'creep_res-40'!O26</f>
        <v>-9.1970068571428578E-4</v>
      </c>
      <c r="C26" s="2">
        <f>IF('Modell einstellen'!$B$2="Ja",creep_res0!O26,creep_res0!C26)</f>
        <v>-1.3975460000000002E-3</v>
      </c>
      <c r="D26" s="2">
        <f>IF('Modell einstellen'!$B$2="Ja",creep_res25!O26,creep_res25!C26)</f>
        <v>-1.6873612000000001E-3</v>
      </c>
      <c r="E26" s="2">
        <f>IF('Modell einstellen'!$B$2="Ja",creep_res50!O26,creep_res50!C26)</f>
        <v>-2.0538577714285717E-3</v>
      </c>
      <c r="F26" s="2">
        <f>IF('Modell einstellen'!$B$2="Ja",creep_res80!O26,creep_res80!C26)</f>
        <v>-3.2087566285714285E-3</v>
      </c>
      <c r="G26" s="2">
        <f>IF('Modell einstellen'!$B$2="Ja",creep_res125!O26,creep_res125!C26)</f>
        <v>-1.7653537714285714E-2</v>
      </c>
      <c r="H26" s="2">
        <f>IF('Modell einstellen'!$B$2="Ja",creep_res160!O26,creep_res160!C26)</f>
        <v>-2.0991990857142859E-2</v>
      </c>
      <c r="M26" s="9">
        <f t="shared" si="26"/>
        <v>-10</v>
      </c>
      <c r="N26" s="2">
        <f t="shared" si="4"/>
        <v>100000000</v>
      </c>
      <c r="O26" s="2">
        <f t="shared" si="5"/>
        <v>10873.102690179574</v>
      </c>
      <c r="P26" s="2">
        <f t="shared" si="6"/>
        <v>7155.399536043893</v>
      </c>
      <c r="Q26" s="2">
        <f t="shared" si="7"/>
        <v>5926.4133844016324</v>
      </c>
      <c r="R26" s="2">
        <f t="shared" si="27"/>
        <v>4868.8863168185435</v>
      </c>
      <c r="S26" s="2">
        <f t="shared" si="8"/>
        <v>3116.4719414859778</v>
      </c>
      <c r="T26" s="2">
        <f t="shared" si="9"/>
        <v>566.45869863850191</v>
      </c>
      <c r="U26" s="2">
        <f t="shared" si="10"/>
        <v>476.37215869867538</v>
      </c>
      <c r="Z26" s="2">
        <v>100000000</v>
      </c>
      <c r="AA26" s="3">
        <f>IF('Modell einstellen'!$B$2="Ja",'creep_res-40'!P26,'creep_res-40'!L26)</f>
        <v>0.38878007018680982</v>
      </c>
      <c r="AB26" s="2">
        <f>IF('Modell einstellen'!$B$2="Ja",creep_res0!P26,creep_res0!L26)</f>
        <v>0.3923056353269026</v>
      </c>
      <c r="AC26" s="2">
        <f>IF('Modell einstellen'!$B$2="Ja",creep_res25!P26,creep_res25!L26)</f>
        <v>0.38959513486840536</v>
      </c>
      <c r="AD26" s="2">
        <f>IF('Modell einstellen'!$B$2="Ja",creep_res50!P26,creep_res50!L26)</f>
        <v>0.38798098997590896</v>
      </c>
      <c r="AE26" s="2">
        <f>IF('Modell einstellen'!$B$2="Ja",creep_res80!P26,creep_res80!L26)</f>
        <v>0.39115179478242412</v>
      </c>
      <c r="AF26" s="2">
        <f>IF('Modell einstellen'!$B$2="Ja",creep_res125!P26,creep_res125!L26)</f>
        <v>0.40684649820573399</v>
      </c>
      <c r="AG26" s="2">
        <f>IF('Modell einstellen'!$B$2="Ja",creep_res160!P26,creep_res160!L26)</f>
        <v>0.40217553448411786</v>
      </c>
      <c r="AL26" s="2">
        <f t="shared" si="11"/>
        <v>100000000</v>
      </c>
      <c r="AM26" s="2">
        <f t="shared" si="12"/>
        <v>3914.6236771373719</v>
      </c>
      <c r="AN26" s="2">
        <f t="shared" si="13"/>
        <v>2569.6224142495339</v>
      </c>
      <c r="AO26" s="2">
        <f t="shared" si="14"/>
        <v>2132.4244867059297</v>
      </c>
      <c r="AP26" s="2">
        <f t="shared" si="15"/>
        <v>1753.9456058771568</v>
      </c>
      <c r="AQ26" s="2">
        <f t="shared" si="16"/>
        <v>1120.1049206759617</v>
      </c>
      <c r="AR26" s="2">
        <f t="shared" si="17"/>
        <v>201.32214117210117</v>
      </c>
      <c r="AS26" s="2">
        <f t="shared" si="18"/>
        <v>169.86894542912563</v>
      </c>
      <c r="AX26" s="2">
        <f t="shared" si="28"/>
        <v>100000000</v>
      </c>
      <c r="AY26" s="37">
        <f t="shared" si="19"/>
        <v>16293.696505117547</v>
      </c>
      <c r="AZ26" s="37">
        <f t="shared" si="20"/>
        <v>11073.621103208552</v>
      </c>
      <c r="BA26" s="37">
        <f t="shared" si="21"/>
        <v>8946.4858535865169</v>
      </c>
      <c r="BB26" s="37">
        <f t="shared" si="22"/>
        <v>7244.1369784340341</v>
      </c>
      <c r="BC26" s="37">
        <f t="shared" si="23"/>
        <v>4771.8930156855977</v>
      </c>
      <c r="BD26" s="37">
        <f t="shared" si="24"/>
        <v>1013.4861415615435</v>
      </c>
      <c r="BE26" s="37">
        <f t="shared" si="25"/>
        <v>811.61046333774709</v>
      </c>
    </row>
    <row r="27" spans="1:57" x14ac:dyDescent="0.25">
      <c r="A27" s="2">
        <f>'creep_res-40'!A27</f>
        <v>1000000000</v>
      </c>
      <c r="B27" s="3">
        <f>'creep_res-40'!O27</f>
        <v>-1.0495565142857144E-3</v>
      </c>
      <c r="C27" s="2">
        <f>IF('Modell einstellen'!$B$2="Ja",creep_res0!O27,creep_res0!C27)</f>
        <v>-1.5444489142857143E-3</v>
      </c>
      <c r="D27" s="2">
        <f>IF('Modell einstellen'!$B$2="Ja",creep_res25!O27,creep_res25!C27)</f>
        <v>-1.8756650285714287E-3</v>
      </c>
      <c r="E27" s="2">
        <f>IF('Modell einstellen'!$B$2="Ja",creep_res50!O27,creep_res50!C27)</f>
        <v>-2.3467463428571431E-3</v>
      </c>
      <c r="F27" s="2">
        <f>IF('Modell einstellen'!$B$2="Ja",creep_res80!O27,creep_res80!C27)</f>
        <v>-4.2453798857142863E-3</v>
      </c>
      <c r="G27" s="2">
        <f>IF('Modell einstellen'!$B$2="Ja",creep_res125!O27,creep_res125!C27)</f>
        <v>-1.9022550285714285E-2</v>
      </c>
      <c r="H27" s="2">
        <f>IF('Modell einstellen'!$B$2="Ja",creep_res160!O27,creep_res160!C27)</f>
        <v>-2.1482561714285715E-2</v>
      </c>
      <c r="M27" s="9">
        <f t="shared" si="26"/>
        <v>-10</v>
      </c>
      <c r="N27" s="2">
        <f t="shared" si="4"/>
        <v>1000000000</v>
      </c>
      <c r="O27" s="2">
        <f t="shared" si="5"/>
        <v>9527.8337696808976</v>
      </c>
      <c r="P27" s="2">
        <f t="shared" si="6"/>
        <v>6474.8014048913092</v>
      </c>
      <c r="Q27" s="2">
        <f t="shared" si="7"/>
        <v>5331.4423671994064</v>
      </c>
      <c r="R27" s="2">
        <f t="shared" si="27"/>
        <v>4261.2189555284822</v>
      </c>
      <c r="S27" s="2">
        <f t="shared" si="8"/>
        <v>2355.5018088369488</v>
      </c>
      <c r="T27" s="2">
        <f t="shared" si="9"/>
        <v>525.69186832482103</v>
      </c>
      <c r="U27" s="2">
        <f t="shared" si="10"/>
        <v>465.4938332307961</v>
      </c>
      <c r="Z27" s="2">
        <v>1000000000</v>
      </c>
      <c r="AA27" s="3">
        <f>IF('Modell einstellen'!$B$2="Ja",'creep_res-40'!P27,'creep_res-40'!L27)</f>
        <v>0.38517528954678487</v>
      </c>
      <c r="AB27" s="2">
        <f>IF('Modell einstellen'!$B$2="Ja",creep_res0!P27,creep_res0!L27)</f>
        <v>0.38525072058989801</v>
      </c>
      <c r="AC27" s="2">
        <f>IF('Modell einstellen'!$B$2="Ja",creep_res25!P27,creep_res25!L27)</f>
        <v>0.38323169370053223</v>
      </c>
      <c r="AD27" s="2">
        <f>IF('Modell einstellen'!$B$2="Ja",creep_res50!P27,creep_res50!L27)</f>
        <v>0.38236073526821734</v>
      </c>
      <c r="AE27" s="2">
        <f>IF('Modell einstellen'!$B$2="Ja",creep_res80!P27,creep_res80!L27)</f>
        <v>0.38673491484147576</v>
      </c>
      <c r="AF27" s="2">
        <f>IF('Modell einstellen'!$B$2="Ja",creep_res125!P27,creep_res125!L27)</f>
        <v>0.39792561387968323</v>
      </c>
      <c r="AG27" s="2">
        <f>IF('Modell einstellen'!$B$2="Ja",creep_res160!P27,creep_res160!L27)</f>
        <v>0.39501639110185399</v>
      </c>
      <c r="AL27" s="2">
        <f t="shared" si="11"/>
        <v>1000000000</v>
      </c>
      <c r="AM27" s="2">
        <f t="shared" si="12"/>
        <v>3439.215903424868</v>
      </c>
      <c r="AN27" s="2">
        <f t="shared" si="13"/>
        <v>2337.0503651981739</v>
      </c>
      <c r="AO27" s="2">
        <f t="shared" si="14"/>
        <v>1927.1689592855932</v>
      </c>
      <c r="AP27" s="2">
        <f t="shared" si="15"/>
        <v>1541.283272452644</v>
      </c>
      <c r="AQ27" s="2">
        <f t="shared" si="16"/>
        <v>849.29779427462438</v>
      </c>
      <c r="AR27" s="2">
        <f t="shared" si="17"/>
        <v>188.02569432355588</v>
      </c>
      <c r="AS27" s="2">
        <f t="shared" si="18"/>
        <v>166.84170745231376</v>
      </c>
      <c r="AX27" s="2">
        <f t="shared" si="28"/>
        <v>1000000000</v>
      </c>
      <c r="AY27" s="37">
        <f t="shared" si="19"/>
        <v>13829.534502452147</v>
      </c>
      <c r="AZ27" s="37">
        <f t="shared" si="20"/>
        <v>9404.2731512515529</v>
      </c>
      <c r="BA27" s="37">
        <f t="shared" si="21"/>
        <v>7609.7166776377044</v>
      </c>
      <c r="BB27" s="37">
        <f t="shared" si="22"/>
        <v>6037.1268119875549</v>
      </c>
      <c r="BC27" s="37">
        <f t="shared" si="23"/>
        <v>3466.060474476345</v>
      </c>
      <c r="BD27" s="37">
        <f t="shared" si="24"/>
        <v>858.34766896561644</v>
      </c>
      <c r="BE27" s="37">
        <f t="shared" si="25"/>
        <v>738.99446163767857</v>
      </c>
    </row>
    <row r="28" spans="1:57" x14ac:dyDescent="0.25">
      <c r="A28" s="2">
        <f>'creep_res-40'!A28</f>
        <v>10000000000</v>
      </c>
      <c r="B28" s="3">
        <f>'creep_res-40'!O28</f>
        <v>-1.1750555999999999E-3</v>
      </c>
      <c r="C28" s="2">
        <f>IF('Modell einstellen'!$B$2="Ja",creep_res0!O28,creep_res0!C28)</f>
        <v>-1.6846166285714287E-3</v>
      </c>
      <c r="D28" s="2">
        <f>IF('Modell einstellen'!$B$2="Ja",creep_res25!O28,creep_res25!C28)</f>
        <v>-2.0839046857142858E-3</v>
      </c>
      <c r="E28" s="2">
        <f>IF('Modell einstellen'!$B$2="Ja",creep_res50!O28,creep_res50!C28)</f>
        <v>-2.7357348571428572E-3</v>
      </c>
      <c r="F28" s="2">
        <f>IF('Modell einstellen'!$B$2="Ja",creep_res80!O28,creep_res80!C28)</f>
        <v>-5.9978668571428568E-3</v>
      </c>
      <c r="G28" s="2">
        <f>IF('Modell einstellen'!$B$2="Ja",creep_res125!O28,creep_res125!C28)</f>
        <v>-1.9828010857142857E-2</v>
      </c>
      <c r="H28" s="2">
        <f>IF('Modell einstellen'!$B$2="Ja",creep_res160!O28,creep_res160!C28)</f>
        <v>-2.1599005142857144E-2</v>
      </c>
      <c r="M28" s="9">
        <f t="shared" si="26"/>
        <v>-10</v>
      </c>
      <c r="N28" s="2">
        <f t="shared" si="4"/>
        <v>10000000000</v>
      </c>
      <c r="O28" s="2">
        <f t="shared" si="5"/>
        <v>8510.2356007664657</v>
      </c>
      <c r="P28" s="2">
        <f t="shared" si="6"/>
        <v>5936.0686760406115</v>
      </c>
      <c r="Q28" s="2">
        <f t="shared" si="7"/>
        <v>4798.683965035746</v>
      </c>
      <c r="R28" s="2">
        <f t="shared" si="27"/>
        <v>3655.3249939008292</v>
      </c>
      <c r="S28" s="2">
        <f t="shared" si="8"/>
        <v>1667.2594170860937</v>
      </c>
      <c r="T28" s="2">
        <f t="shared" si="9"/>
        <v>504.33702462885191</v>
      </c>
      <c r="U28" s="2">
        <f t="shared" si="10"/>
        <v>462.98428718634898</v>
      </c>
      <c r="Z28" s="2">
        <v>10000000000</v>
      </c>
      <c r="AA28" s="3">
        <f>IF('Modell einstellen'!$B$2="Ja",'creep_res-40'!P28,'creep_res-40'!L28)</f>
        <v>0.38199118893972828</v>
      </c>
      <c r="AB28" s="2">
        <f>IF('Modell einstellen'!$B$2="Ja",creep_res0!P28,creep_res0!L28)</f>
        <v>0.37967855068746292</v>
      </c>
      <c r="AC28" s="2">
        <f>IF('Modell einstellen'!$B$2="Ja",creep_res25!P28,creep_res25!L28)</f>
        <v>0.37847278016444513</v>
      </c>
      <c r="AD28" s="2">
        <f>IF('Modell einstellen'!$B$2="Ja",creep_res50!P28,creep_res50!L28)</f>
        <v>0.37860628097626842</v>
      </c>
      <c r="AE28" s="2">
        <f>IF('Modell einstellen'!$B$2="Ja",creep_res80!P28,creep_res80!L28)</f>
        <v>0.38471964365997935</v>
      </c>
      <c r="AF28" s="2">
        <f>IF('Modell einstellen'!$B$2="Ja",creep_res125!P28,creep_res125!L28)</f>
        <v>0.39207194877757212</v>
      </c>
      <c r="AG28" s="2">
        <f>IF('Modell einstellen'!$B$2="Ja",creep_res160!P28,creep_res160!L28)</f>
        <v>0.39347828163196613</v>
      </c>
      <c r="AL28" s="2">
        <f t="shared" si="11"/>
        <v>10000000000</v>
      </c>
      <c r="AM28" s="2">
        <f t="shared" si="12"/>
        <v>3078.9760704970804</v>
      </c>
      <c r="AN28" s="2">
        <f t="shared" si="13"/>
        <v>2151.250620328482</v>
      </c>
      <c r="AO28" s="2">
        <f t="shared" si="14"/>
        <v>1740.579877269425</v>
      </c>
      <c r="AP28" s="2">
        <f t="shared" si="15"/>
        <v>1325.7320252858156</v>
      </c>
      <c r="AQ28" s="2">
        <f t="shared" si="16"/>
        <v>602.02056954985051</v>
      </c>
      <c r="AR28" s="2">
        <f t="shared" si="17"/>
        <v>181.14617749166206</v>
      </c>
      <c r="AS28" s="2">
        <f t="shared" si="18"/>
        <v>166.12540478353452</v>
      </c>
      <c r="AX28" s="2">
        <f t="shared" si="28"/>
        <v>10000000000</v>
      </c>
      <c r="AY28" s="37">
        <f t="shared" si="19"/>
        <v>12019.209306357014</v>
      </c>
      <c r="AZ28" s="37">
        <f t="shared" si="20"/>
        <v>8222.5138160550359</v>
      </c>
      <c r="BA28" s="37">
        <f t="shared" si="21"/>
        <v>6581.082509099756</v>
      </c>
      <c r="BB28" s="37">
        <f t="shared" si="22"/>
        <v>5018.5531608740539</v>
      </c>
      <c r="BC28" s="37">
        <f t="shared" si="23"/>
        <v>2410.4416254123034</v>
      </c>
      <c r="BD28" s="37">
        <f t="shared" si="24"/>
        <v>778.81671928129947</v>
      </c>
      <c r="BE28" s="37">
        <f t="shared" si="25"/>
        <v>724.39732522703719</v>
      </c>
    </row>
    <row r="29" spans="1:57" x14ac:dyDescent="0.25">
      <c r="A29" s="2">
        <f>'creep_res-40'!A29</f>
        <v>100000000000</v>
      </c>
      <c r="B29" s="3">
        <f>'creep_res-40'!O29</f>
        <v>-1.2959366857142858E-3</v>
      </c>
      <c r="C29" s="2">
        <f>IF('Modell einstellen'!$B$2="Ja",creep_res0!O29,creep_res0!C29)</f>
        <v>-1.8263416571428573E-3</v>
      </c>
      <c r="D29" s="2">
        <f>IF('Modell einstellen'!$B$2="Ja",creep_res25!O29,creep_res25!C29)</f>
        <v>-2.3419146285714289E-3</v>
      </c>
      <c r="E29" s="2">
        <f>IF('Modell einstellen'!$B$2="Ja",creep_res50!O29,creep_res50!C29)</f>
        <v>-3.3312539428571432E-3</v>
      </c>
      <c r="F29" s="2">
        <f>IF('Modell einstellen'!$B$2="Ja",creep_res80!O29,creep_res80!C29)</f>
        <v>-8.7140394285714282E-3</v>
      </c>
      <c r="G29" s="2">
        <f>IF('Modell einstellen'!$B$2="Ja",creep_res125!O29,creep_res125!C29)</f>
        <v>-2.0948164000000002E-2</v>
      </c>
      <c r="H29" s="2">
        <f>IF('Modell einstellen'!$B$2="Ja",creep_res160!O29,creep_res160!C29)</f>
        <v>-2.1741901142857144E-2</v>
      </c>
      <c r="M29" s="9">
        <f t="shared" si="26"/>
        <v>-10</v>
      </c>
      <c r="N29" s="2">
        <f t="shared" si="4"/>
        <v>100000000000</v>
      </c>
      <c r="O29" s="2">
        <f t="shared" si="5"/>
        <v>7716.426358042535</v>
      </c>
      <c r="P29" s="2">
        <f t="shared" si="6"/>
        <v>5475.4267696242969</v>
      </c>
      <c r="Q29" s="2">
        <f t="shared" si="7"/>
        <v>4270.0104768977053</v>
      </c>
      <c r="R29" s="2">
        <f t="shared" si="27"/>
        <v>3001.8726196007801</v>
      </c>
      <c r="S29" s="2">
        <f t="shared" si="8"/>
        <v>1147.5734166650875</v>
      </c>
      <c r="T29" s="2">
        <f t="shared" si="9"/>
        <v>477.36880425415796</v>
      </c>
      <c r="U29" s="2">
        <f t="shared" si="10"/>
        <v>459.94137928850324</v>
      </c>
      <c r="Z29" s="2">
        <v>100000000000</v>
      </c>
      <c r="AA29" s="3">
        <f>IF('Modell einstellen'!$B$2="Ja",'creep_res-40'!P29,'creep_res-40'!L29)</f>
        <v>0.37863557002696607</v>
      </c>
      <c r="AB29" s="2">
        <f>IF('Modell einstellen'!$B$2="Ja",creep_res0!P29,creep_res0!L29)</f>
        <v>0.37554569276491812</v>
      </c>
      <c r="AC29" s="2">
        <f>IF('Modell einstellen'!$B$2="Ja",creep_res25!P29,creep_res25!L29)</f>
        <v>0.37530017563651091</v>
      </c>
      <c r="AD29" s="2">
        <f>IF('Modell einstellen'!$B$2="Ja",creep_res50!P29,creep_res50!L29)</f>
        <v>0.37656615413665595</v>
      </c>
      <c r="AE29" s="2">
        <f>IF('Modell einstellen'!$B$2="Ja",creep_res80!P29,creep_res80!L29)</f>
        <v>0.38411431824728953</v>
      </c>
      <c r="AF29" s="2">
        <f>IF('Modell einstellen'!$B$2="Ja",creep_res125!P29,creep_res125!L29)</f>
        <v>0.38985856435232907</v>
      </c>
      <c r="AG29" s="2">
        <f>IF('Modell einstellen'!$B$2="Ja",creep_res160!P29,creep_res160!L29)</f>
        <v>0.39158578509903996</v>
      </c>
      <c r="AL29" s="2">
        <f t="shared" si="11"/>
        <v>100000000000</v>
      </c>
      <c r="AM29" s="2">
        <f t="shared" si="12"/>
        <v>2798.5736498484516</v>
      </c>
      <c r="AN29" s="2">
        <f t="shared" si="13"/>
        <v>1990.2744047049448</v>
      </c>
      <c r="AO29" s="2">
        <f t="shared" si="14"/>
        <v>1552.3921804639763</v>
      </c>
      <c r="AP29" s="2">
        <f t="shared" si="15"/>
        <v>1090.3481138846798</v>
      </c>
      <c r="AQ29" s="2">
        <f t="shared" si="16"/>
        <v>414.55153000594095</v>
      </c>
      <c r="AR29" s="2">
        <f t="shared" si="17"/>
        <v>171.73287142228415</v>
      </c>
      <c r="AS29" s="2">
        <f t="shared" si="18"/>
        <v>165.25800429032441</v>
      </c>
      <c r="AX29" s="2">
        <f t="shared" si="28"/>
        <v>100000000000</v>
      </c>
      <c r="AY29" s="37">
        <f t="shared" si="19"/>
        <v>10596.770898685134</v>
      </c>
      <c r="AZ29" s="37">
        <f t="shared" si="20"/>
        <v>7332.5797117407874</v>
      </c>
      <c r="BA29" s="37">
        <f t="shared" si="21"/>
        <v>5707.0522468566833</v>
      </c>
      <c r="BB29" s="37">
        <f t="shared" si="22"/>
        <v>4053.281332744843</v>
      </c>
      <c r="BC29" s="37">
        <f t="shared" si="23"/>
        <v>1650.4388913117341</v>
      </c>
      <c r="BD29" s="37">
        <f t="shared" si="24"/>
        <v>722.35727551437105</v>
      </c>
      <c r="BE29" s="37">
        <f t="shared" si="25"/>
        <v>707.07422101532052</v>
      </c>
    </row>
    <row r="30" spans="1:57" x14ac:dyDescent="0.25">
      <c r="A30" s="2">
        <f>'creep_res-40'!A30</f>
        <v>1000000000000</v>
      </c>
      <c r="B30" s="3">
        <f>'creep_res-40'!O30</f>
        <v>-1.4036457142857144E-3</v>
      </c>
      <c r="C30" s="2">
        <f>IF('Modell einstellen'!$B$2="Ja",creep_res0!O30,creep_res0!C30)</f>
        <v>-1.9920576000000004E-3</v>
      </c>
      <c r="D30" s="2">
        <f>IF('Modell einstellen'!$B$2="Ja",creep_res25!O30,creep_res25!C30)</f>
        <v>-2.686055542857143E-3</v>
      </c>
      <c r="E30" s="2">
        <f>IF('Modell einstellen'!$B$2="Ja",creep_res50!O30,creep_res50!C30)</f>
        <v>-4.3332200000000005E-3</v>
      </c>
      <c r="F30" s="2">
        <f>IF('Modell einstellen'!$B$2="Ja",creep_res80!O30,creep_res80!C30)</f>
        <v>-1.2172076571428572E-2</v>
      </c>
      <c r="G30" s="2">
        <f>IF('Modell einstellen'!$B$2="Ja",creep_res125!O30,creep_res125!C30)</f>
        <v>-2.1848025714285717E-2</v>
      </c>
      <c r="H30" s="2">
        <f>IF('Modell einstellen'!$B$2="Ja",creep_res160!O30,creep_res160!C30)</f>
        <v>-2.2120389142857143E-2</v>
      </c>
      <c r="M30" s="9">
        <f t="shared" si="26"/>
        <v>-10</v>
      </c>
      <c r="N30" s="2">
        <f t="shared" si="4"/>
        <v>1000000000000</v>
      </c>
      <c r="O30" s="2">
        <f t="shared" si="5"/>
        <v>7124.3048713961189</v>
      </c>
      <c r="P30" s="2">
        <f t="shared" si="6"/>
        <v>5019.9351665333361</v>
      </c>
      <c r="Q30" s="2">
        <f t="shared" si="7"/>
        <v>3722.9312054221532</v>
      </c>
      <c r="R30" s="2">
        <f t="shared" si="27"/>
        <v>2307.7526643004508</v>
      </c>
      <c r="S30" s="2">
        <f t="shared" si="8"/>
        <v>821.55250513892827</v>
      </c>
      <c r="T30" s="2">
        <f t="shared" si="9"/>
        <v>457.70726063643014</v>
      </c>
      <c r="U30" s="2">
        <f t="shared" si="10"/>
        <v>452.07161300003997</v>
      </c>
      <c r="Z30" s="2">
        <v>1000000000000</v>
      </c>
      <c r="AA30" s="3">
        <f>IF('Modell einstellen'!$B$2="Ja",'creep_res-40'!P30,'creep_res-40'!L30)</f>
        <v>0.37508754752929113</v>
      </c>
      <c r="AB30" s="2">
        <f>IF('Modell einstellen'!$B$2="Ja",creep_res0!P30,creep_res0!L30)</f>
        <v>0.37281913936625122</v>
      </c>
      <c r="AC30" s="2">
        <f>IF('Modell einstellen'!$B$2="Ja",creep_res25!P30,creep_res25!L30)</f>
        <v>0.37340344754492044</v>
      </c>
      <c r="AD30" s="2">
        <f>IF('Modell einstellen'!$B$2="Ja",creep_res50!P30,creep_res50!L30)</f>
        <v>0.37588547480692353</v>
      </c>
      <c r="AE30" s="2">
        <f>IF('Modell einstellen'!$B$2="Ja",creep_res80!P30,creep_res80!L30)</f>
        <v>0.38418375754079576</v>
      </c>
      <c r="AF30" s="2">
        <f>IF('Modell einstellen'!$B$2="Ja",creep_res125!P30,creep_res125!L30)</f>
        <v>0.38798727678434231</v>
      </c>
      <c r="AG30" s="2">
        <f>IF('Modell einstellen'!$B$2="Ja",creep_res160!P30,creep_res160!L30)</f>
        <v>0.38693297594015463</v>
      </c>
      <c r="AL30" s="2">
        <f t="shared" si="11"/>
        <v>1000000000000</v>
      </c>
      <c r="AM30" s="2">
        <f t="shared" si="12"/>
        <v>2590.4913778751102</v>
      </c>
      <c r="AN30" s="2">
        <f t="shared" si="13"/>
        <v>1828.3308494849296</v>
      </c>
      <c r="AO30" s="2">
        <f t="shared" si="14"/>
        <v>1355.3669215252155</v>
      </c>
      <c r="AP30" s="2">
        <f t="shared" si="15"/>
        <v>838.64271647474698</v>
      </c>
      <c r="AQ30" s="2">
        <f t="shared" si="16"/>
        <v>296.76424848335745</v>
      </c>
      <c r="AR30" s="2">
        <f t="shared" si="17"/>
        <v>164.88164851800227</v>
      </c>
      <c r="AS30" s="2">
        <f t="shared" si="18"/>
        <v>162.97529182821398</v>
      </c>
      <c r="AX30" s="2">
        <f t="shared" si="28"/>
        <v>1000000000000</v>
      </c>
      <c r="AY30" s="37">
        <f t="shared" si="19"/>
        <v>9505.7307878181327</v>
      </c>
      <c r="AZ30" s="37">
        <f t="shared" si="20"/>
        <v>6578.47302589234</v>
      </c>
      <c r="BA30" s="37">
        <f t="shared" si="21"/>
        <v>4901.3067275840267</v>
      </c>
      <c r="BB30" s="37">
        <f t="shared" si="22"/>
        <v>3098.9559316424861</v>
      </c>
      <c r="BC30" s="37">
        <f t="shared" si="23"/>
        <v>1182.2643751491598</v>
      </c>
      <c r="BD30" s="37">
        <f t="shared" si="24"/>
        <v>681.03462936558253</v>
      </c>
      <c r="BE30" s="37">
        <f t="shared" si="25"/>
        <v>666.37704016566681</v>
      </c>
    </row>
    <row r="31" spans="1:57" x14ac:dyDescent="0.25">
      <c r="A31" s="2">
        <f>'creep_res-40'!A31</f>
        <v>10000000000000</v>
      </c>
      <c r="B31" s="3">
        <f>'creep_res-40'!O31</f>
        <v>-1.5006965714285713E-3</v>
      </c>
      <c r="C31" s="2">
        <f>IF('Modell einstellen'!$B$2="Ja",creep_res0!O31,creep_res0!C31)</f>
        <v>-2.1900582857142855E-3</v>
      </c>
      <c r="D31" s="2">
        <f>IF('Modell einstellen'!$B$2="Ja",creep_res25!O31,creep_res25!C31)</f>
        <v>-3.2099524E-3</v>
      </c>
      <c r="E31" s="2">
        <f>IF('Modell einstellen'!$B$2="Ja",creep_res50!O31,creep_res50!C31)</f>
        <v>-6.0493674285714292E-3</v>
      </c>
      <c r="F31" s="2">
        <f>IF('Modell einstellen'!$B$2="Ja",creep_res80!O31,creep_res80!C31)</f>
        <v>-1.5275055428571429E-2</v>
      </c>
      <c r="G31" s="2">
        <f>IF('Modell einstellen'!$B$2="Ja",creep_res125!O31,creep_res125!C31)</f>
        <v>-2.1887568571428574E-2</v>
      </c>
      <c r="H31" s="2">
        <f>IF('Modell einstellen'!$B$2="Ja",creep_res160!O31,creep_res160!C31)</f>
        <v>-2.2129644E-2</v>
      </c>
      <c r="M31" s="9">
        <f t="shared" si="26"/>
        <v>-10</v>
      </c>
      <c r="N31" s="2">
        <f t="shared" si="4"/>
        <v>10000000000000</v>
      </c>
      <c r="O31" s="2">
        <f t="shared" si="5"/>
        <v>6663.5722306479402</v>
      </c>
      <c r="P31" s="2">
        <f t="shared" si="6"/>
        <v>4566.0885215840317</v>
      </c>
      <c r="Q31" s="2">
        <f t="shared" si="7"/>
        <v>3115.3109933966621</v>
      </c>
      <c r="R31" s="2">
        <f t="shared" si="27"/>
        <v>1653.0654019740243</v>
      </c>
      <c r="S31" s="2">
        <f t="shared" si="8"/>
        <v>654.66210887165539</v>
      </c>
      <c r="T31" s="2">
        <f t="shared" si="9"/>
        <v>456.88035047683292</v>
      </c>
      <c r="U31" s="2">
        <f t="shared" si="10"/>
        <v>451.88255174823416</v>
      </c>
      <c r="Z31" s="2">
        <v>10000000000000</v>
      </c>
      <c r="AA31" s="3">
        <f>IF('Modell einstellen'!$B$2="Ja",'creep_res-40'!P31,'creep_res-40'!L31)</f>
        <v>0.37211206681544845</v>
      </c>
      <c r="AB31" s="2">
        <f>IF('Modell einstellen'!$B$2="Ja",creep_res0!P31,creep_res0!L31)</f>
        <v>0.37105240773761544</v>
      </c>
      <c r="AC31" s="2">
        <f>IF('Modell einstellen'!$B$2="Ja",creep_res25!P31,creep_res25!L31)</f>
        <v>0.37248523863291111</v>
      </c>
      <c r="AD31" s="2">
        <f>IF('Modell einstellen'!$B$2="Ja",creep_res50!P31,creep_res50!L31)</f>
        <v>0.37630053975891509</v>
      </c>
      <c r="AE31" s="2">
        <f>IF('Modell einstellen'!$B$2="Ja",creep_res80!P31,creep_res80!L31)</f>
        <v>0.38404057977325279</v>
      </c>
      <c r="AF31" s="2">
        <f>IF('Modell einstellen'!$B$2="Ja",creep_res125!P31,creep_res125!L31)</f>
        <v>0.38868171613136165</v>
      </c>
      <c r="AG31" s="2">
        <f>IF('Modell einstellen'!$B$2="Ja",creep_res160!P31,creep_res160!L31)</f>
        <v>0.38689559191669393</v>
      </c>
      <c r="AL31" s="2">
        <f t="shared" si="11"/>
        <v>10000000000000</v>
      </c>
      <c r="AM31" s="2">
        <f t="shared" si="12"/>
        <v>2428.2171958860131</v>
      </c>
      <c r="AN31" s="2">
        <f t="shared" si="13"/>
        <v>1665.1765081389453</v>
      </c>
      <c r="AO31" s="2">
        <f t="shared" si="14"/>
        <v>1134.9160288600715</v>
      </c>
      <c r="AP31" s="2">
        <f t="shared" si="15"/>
        <v>600.54666630574377</v>
      </c>
      <c r="AQ31" s="2">
        <f t="shared" si="16"/>
        <v>236.5039430342818</v>
      </c>
      <c r="AR31" s="2">
        <f t="shared" si="17"/>
        <v>164.50146393142782</v>
      </c>
      <c r="AS31" s="2">
        <f t="shared" si="18"/>
        <v>162.91152498499585</v>
      </c>
      <c r="AX31" s="2">
        <f t="shared" si="28"/>
        <v>10000000000000</v>
      </c>
      <c r="AY31" s="37">
        <f t="shared" si="19"/>
        <v>8684.1294883700029</v>
      </c>
      <c r="AZ31" s="37">
        <f t="shared" si="20"/>
        <v>5901.7368238160971</v>
      </c>
      <c r="BA31" s="37">
        <f t="shared" si="21"/>
        <v>4071.8305342290523</v>
      </c>
      <c r="BB31" s="37">
        <f t="shared" si="22"/>
        <v>2227.2603275070496</v>
      </c>
      <c r="BC31" s="37">
        <f t="shared" si="23"/>
        <v>940.93564166891053</v>
      </c>
      <c r="BD31" s="37">
        <f t="shared" si="24"/>
        <v>684.04508615430552</v>
      </c>
      <c r="BE31" s="37">
        <f t="shared" si="25"/>
        <v>665.87819078840846</v>
      </c>
    </row>
    <row r="32" spans="1:57" x14ac:dyDescent="0.25">
      <c r="A32" s="2">
        <f>'creep_res-40'!A32</f>
        <v>100000000000000</v>
      </c>
      <c r="B32" s="3">
        <f>'creep_res-40'!O32</f>
        <v>-1.597299942857143E-3</v>
      </c>
      <c r="C32" s="2">
        <f>IF('Modell einstellen'!$B$2="Ja",creep_res0!O32,creep_res0!C32)</f>
        <v>-2.4504237714285718E-3</v>
      </c>
      <c r="D32" s="2">
        <f>IF('Modell einstellen'!$B$2="Ja",creep_res25!O32,creep_res25!C32)</f>
        <v>-4.0818608571428572E-3</v>
      </c>
      <c r="E32" s="2">
        <f>IF('Modell einstellen'!$B$2="Ja",creep_res50!O32,creep_res50!C32)</f>
        <v>-8.7255600000000003E-3</v>
      </c>
      <c r="F32" s="2">
        <f>IF('Modell einstellen'!$B$2="Ja",creep_res80!O32,creep_res80!C32)</f>
        <v>-1.7486284571428572E-2</v>
      </c>
      <c r="G32" s="2">
        <f>IF('Modell einstellen'!$B$2="Ja",creep_res125!O32,creep_res125!C32)</f>
        <v>-2.213290285714286E-2</v>
      </c>
      <c r="H32" s="2">
        <f>IF('Modell einstellen'!$B$2="Ja",creep_res160!O32,creep_res160!C32)</f>
        <v>-2.2296514285714285E-2</v>
      </c>
      <c r="M32" s="9">
        <f t="shared" si="26"/>
        <v>-10</v>
      </c>
      <c r="N32" s="2">
        <f t="shared" si="4"/>
        <v>100000000000000</v>
      </c>
      <c r="O32" s="2">
        <f t="shared" si="5"/>
        <v>6260.5649269057576</v>
      </c>
      <c r="P32" s="2">
        <f t="shared" si="6"/>
        <v>4080.9267836028635</v>
      </c>
      <c r="Q32" s="2">
        <f t="shared" si="7"/>
        <v>2449.8630281580959</v>
      </c>
      <c r="R32" s="2">
        <f t="shared" si="27"/>
        <v>1146.0582472643589</v>
      </c>
      <c r="S32" s="2">
        <f t="shared" si="8"/>
        <v>571.87677343072266</v>
      </c>
      <c r="T32" s="2">
        <f t="shared" si="9"/>
        <v>451.81601638723777</v>
      </c>
      <c r="U32" s="2">
        <f t="shared" si="10"/>
        <v>448.50059842794133</v>
      </c>
      <c r="Z32" s="2">
        <v>100000000000000</v>
      </c>
      <c r="AA32" s="3">
        <f>IF('Modell einstellen'!$B$2="Ja",'creep_res-40'!P32,'creep_res-40'!L32)</f>
        <v>0.36998525619072381</v>
      </c>
      <c r="AB32" s="2">
        <f>IF('Modell einstellen'!$B$2="Ja",creep_res0!P32,creep_res0!L32)</f>
        <v>0.37005321715082468</v>
      </c>
      <c r="AC32" s="2">
        <f>IF('Modell einstellen'!$B$2="Ja",creep_res25!P32,creep_res25!L32)</f>
        <v>0.37247702080976652</v>
      </c>
      <c r="AD32" s="2">
        <f>IF('Modell einstellen'!$B$2="Ja",creep_res50!P32,creep_res50!L32)</f>
        <v>0.37755150222040601</v>
      </c>
      <c r="AE32" s="2">
        <f>IF('Modell einstellen'!$B$2="Ja",creep_res80!P32,creep_res80!L32)</f>
        <v>0.38369895648501395</v>
      </c>
      <c r="AF32" s="2">
        <f>IF('Modell einstellen'!$B$2="Ja",creep_res125!P32,creep_res125!L32)</f>
        <v>0.38587682514307076</v>
      </c>
      <c r="AG32" s="2">
        <f>IF('Modell einstellen'!$B$2="Ja",creep_res160!P32,creep_res160!L32)</f>
        <v>0.38486946069725192</v>
      </c>
      <c r="AL32" s="2">
        <f t="shared" si="11"/>
        <v>100000000000000</v>
      </c>
      <c r="AM32" s="2">
        <f t="shared" si="12"/>
        <v>2284.9023004500814</v>
      </c>
      <c r="AN32" s="2">
        <f t="shared" si="13"/>
        <v>1489.3314845424752</v>
      </c>
      <c r="AO32" s="2">
        <f t="shared" si="14"/>
        <v>892.49692017162795</v>
      </c>
      <c r="AP32" s="2">
        <f t="shared" si="15"/>
        <v>415.97655166325364</v>
      </c>
      <c r="AQ32" s="2">
        <f t="shared" si="16"/>
        <v>206.64782998877558</v>
      </c>
      <c r="AR32" s="2">
        <f t="shared" si="17"/>
        <v>163.00727748318997</v>
      </c>
      <c r="AS32" s="2">
        <f t="shared" si="18"/>
        <v>161.92883558935978</v>
      </c>
      <c r="AX32" s="2">
        <f t="shared" si="28"/>
        <v>100000000000000</v>
      </c>
      <c r="AY32" s="37">
        <f t="shared" si="19"/>
        <v>8025.4550926029715</v>
      </c>
      <c r="AZ32" s="37">
        <f t="shared" si="20"/>
        <v>5234.1000602011209</v>
      </c>
      <c r="BA32" s="37">
        <f t="shared" si="21"/>
        <v>3201.8582633951432</v>
      </c>
      <c r="BB32" s="37">
        <f t="shared" si="22"/>
        <v>1559.9187523003231</v>
      </c>
      <c r="BC32" s="37">
        <f t="shared" si="23"/>
        <v>819.53517089041009</v>
      </c>
      <c r="BD32" s="37">
        <f t="shared" si="24"/>
        <v>659.83679031254007</v>
      </c>
      <c r="BE32" s="37">
        <f t="shared" si="25"/>
        <v>649.26387204203775</v>
      </c>
    </row>
    <row r="33" spans="1:60" x14ac:dyDescent="0.25">
      <c r="A33" s="2">
        <f>'creep_res-40'!A33</f>
        <v>1000000000000000</v>
      </c>
      <c r="B33" s="3">
        <f>'creep_res-40'!O33</f>
        <v>-1.6886448000000001E-3</v>
      </c>
      <c r="C33" s="2">
        <f>IF('Modell einstellen'!$B$2="Ja",creep_res0!O33,creep_res0!C33)</f>
        <v>-2.8145985714285717E-3</v>
      </c>
      <c r="D33" s="2">
        <f>IF('Modell einstellen'!$B$2="Ja",creep_res25!O33,creep_res25!C33)</f>
        <v>-5.5902430857142863E-3</v>
      </c>
      <c r="E33" s="2">
        <f>IF('Modell einstellen'!$B$2="Ja",creep_res50!O33,creep_res50!C33)</f>
        <v>-1.2177281142857144E-2</v>
      </c>
      <c r="F33" s="2">
        <f>IF('Modell einstellen'!$B$2="Ja",creep_res80!O33,creep_res80!C33)</f>
        <v>-1.8844651428571429E-2</v>
      </c>
      <c r="G33" s="2">
        <f>IF('Modell einstellen'!$B$2="Ja",creep_res125!O33,creep_res125!C33)</f>
        <v>-2.2144656000000002E-2</v>
      </c>
      <c r="H33" s="2">
        <f>IF('Modell einstellen'!$B$2="Ja",creep_res160!O33,creep_res160!C33)</f>
        <v>-2.2364841142857143E-2</v>
      </c>
      <c r="M33" s="9">
        <f>M31</f>
        <v>-10</v>
      </c>
      <c r="N33" s="2">
        <f t="shared" si="4"/>
        <v>1000000000000000</v>
      </c>
      <c r="O33" s="2">
        <f t="shared" si="5"/>
        <v>5921.9085031973564</v>
      </c>
      <c r="P33" s="2">
        <f t="shared" si="6"/>
        <v>3552.9045248269349</v>
      </c>
      <c r="Q33" s="2">
        <f t="shared" si="7"/>
        <v>1788.8309768773254</v>
      </c>
      <c r="R33" s="2">
        <f t="shared" si="27"/>
        <v>821.201373499184</v>
      </c>
      <c r="S33" s="2">
        <f t="shared" si="8"/>
        <v>530.65454874046873</v>
      </c>
      <c r="T33" s="2">
        <f t="shared" si="9"/>
        <v>451.57621775655485</v>
      </c>
      <c r="U33" s="2">
        <f t="shared" si="10"/>
        <v>447.13038362867104</v>
      </c>
      <c r="Z33" s="2">
        <v>1000000000000000</v>
      </c>
      <c r="AA33" s="3">
        <f>IF('Modell einstellen'!$B$2="Ja",'creep_res-40'!P33,'creep_res-40'!L33)</f>
        <v>0.36932124505994396</v>
      </c>
      <c r="AB33" s="2">
        <f>IF('Modell einstellen'!$B$2="Ja",creep_res0!P33,creep_res0!L33)</f>
        <v>0.36958492431552026</v>
      </c>
      <c r="AC33" s="2">
        <f>IF('Modell einstellen'!$B$2="Ja",creep_res25!P33,creep_res25!L33)</f>
        <v>0.37329799121232177</v>
      </c>
      <c r="AD33" s="2">
        <f>IF('Modell einstellen'!$B$2="Ja",creep_res50!P33,creep_res50!L33)</f>
        <v>0.3792783394951591</v>
      </c>
      <c r="AE33" s="2">
        <f>IF('Modell einstellen'!$B$2="Ja",creep_res80!P33,creep_res80!L33)</f>
        <v>0.38330551692727372</v>
      </c>
      <c r="AF33" s="2">
        <f>IF('Modell einstellen'!$B$2="Ja",creep_res125!P33,creep_res125!L33)</f>
        <v>0.38586011128695918</v>
      </c>
      <c r="AG33" s="2">
        <f>IF('Modell einstellen'!$B$2="Ja",creep_res160!P33,creep_res160!L33)</f>
        <v>0.38375611597713882</v>
      </c>
      <c r="AL33" s="2">
        <f t="shared" si="11"/>
        <v>1000000000000000</v>
      </c>
      <c r="AM33" s="2">
        <f t="shared" si="12"/>
        <v>2162.351794570352</v>
      </c>
      <c r="AN33" s="2">
        <f t="shared" si="13"/>
        <v>1297.0734642842888</v>
      </c>
      <c r="AO33" s="2">
        <f t="shared" si="14"/>
        <v>651.2901745739025</v>
      </c>
      <c r="AP33" s="2">
        <f t="shared" si="15"/>
        <v>297.69240550814368</v>
      </c>
      <c r="AQ33" s="2">
        <f t="shared" si="16"/>
        <v>191.80670583863778</v>
      </c>
      <c r="AR33" s="2">
        <f t="shared" si="17"/>
        <v>162.92272722143832</v>
      </c>
      <c r="AS33" s="2">
        <f t="shared" si="18"/>
        <v>161.56401350859798</v>
      </c>
      <c r="AX33" s="2">
        <f>AL33</f>
        <v>1000000000000000</v>
      </c>
      <c r="AY33" s="37">
        <f t="shared" si="19"/>
        <v>7552.7560006646436</v>
      </c>
      <c r="AZ33" s="37">
        <f t="shared" si="20"/>
        <v>4540.5084575532119</v>
      </c>
      <c r="BA33" s="37">
        <f t="shared" si="21"/>
        <v>2353.0684240833825</v>
      </c>
      <c r="BB33" s="37">
        <f t="shared" si="22"/>
        <v>1133.7393389954989</v>
      </c>
      <c r="BC33" s="37">
        <f t="shared" si="23"/>
        <v>757.89722411263494</v>
      </c>
      <c r="BD33" s="37">
        <f t="shared" si="24"/>
        <v>659.39001525263291</v>
      </c>
      <c r="BE33" s="37">
        <f t="shared" si="25"/>
        <v>641.08087260851198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9" zoomScale="120" zoomScaleNormal="120" zoomScaleSheetLayoutView="110" workbookViewId="0">
      <selection activeCell="E76" sqref="E76"/>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110</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6951.7769139036336</v>
      </c>
      <c r="G16" s="26">
        <f>INDEX(Comparison!$AM$3:$AS$33,G14,$B$3)</f>
        <v>6950.7516447504031</v>
      </c>
      <c r="H16" s="26">
        <f>INDEX(Comparison!$AM$3:$AS$33,H14,$B$3)</f>
        <v>6940.1985301294053</v>
      </c>
      <c r="I16" s="26">
        <f>INDEX(Comparison!$AM$3:$AS$33,I14,$B$3)</f>
        <v>6859.1289652487367</v>
      </c>
      <c r="J16" s="26">
        <f>INDEX(Comparison!$AM$3:$AS$33,J14,$B$3)</f>
        <v>6695.6616107202954</v>
      </c>
      <c r="K16" s="26">
        <f>INDEX(Comparison!$AM$3:$AS$33,K14,$B$3)</f>
        <v>6579.8912612434069</v>
      </c>
      <c r="L16" s="26">
        <f>INDEX(Comparison!$AM$3:$AS$33,L14,$B$3)</f>
        <v>6466.0632255652681</v>
      </c>
      <c r="M16" s="26">
        <f>INDEX(Comparison!$AM$3:$AS$33,M14,$B$3)</f>
        <v>6338.9884403076148</v>
      </c>
      <c r="N16" s="26">
        <f>INDEX(Comparison!$AM$3:$AS$33,N14,$B$3)</f>
        <v>6203.5301972004399</v>
      </c>
      <c r="O16" s="26">
        <f>INDEX(Comparison!$AM$3:$AS$33,O14,$B$3)</f>
        <v>6050.6164561665273</v>
      </c>
      <c r="P16" s="26">
        <f>INDEX(Comparison!$AM$3:$AS$33,P14,$B$3)</f>
        <v>5884.895018012654</v>
      </c>
      <c r="Q16" s="26">
        <f>INDEX(Comparison!$AM$3:$AS$33,Q14,$B$3)</f>
        <v>5709.3519393565812</v>
      </c>
      <c r="R16" s="26">
        <f>INDEX(Comparison!$AM$3:$AS$33,R14,$B$3)</f>
        <v>5547.9132434192643</v>
      </c>
      <c r="S16" s="26">
        <f>INDEX(Comparison!$AM$3:$AS$33,S14,$B$3)</f>
        <v>5364.2356794540465</v>
      </c>
      <c r="T16" s="26">
        <f>INDEX(Comparison!$AM$3:$AS$33,T14,$B$3)</f>
        <v>5142.9380897638539</v>
      </c>
      <c r="U16" s="26">
        <f>INDEX(Comparison!$AM$3:$AS$33,U14,$B$3)</f>
        <v>4901.2536857987861</v>
      </c>
      <c r="V16" s="26">
        <f>INDEX(Comparison!$AM$3:$AS$33,V14,$B$3)</f>
        <v>4661.3568218837227</v>
      </c>
      <c r="W16" s="26">
        <f>INDEX(Comparison!$AM$3:$AS$33,W14,$B$3)</f>
        <v>4298.6774546472579</v>
      </c>
      <c r="X16" s="26">
        <f>INDEX(Comparison!$AM$3:$AS$33,X14,$B$3)</f>
        <v>3673.7236771243274</v>
      </c>
      <c r="Y16" s="26">
        <f>INDEX(Comparison!$AM$3:$AS$33,Y14,$B$3)</f>
        <v>3055.9581241953465</v>
      </c>
      <c r="Z16" s="26">
        <f>INDEX(Comparison!$AM$3:$AS$33,Z14,$B$3)</f>
        <v>2586.4007874245467</v>
      </c>
      <c r="AA16" s="26">
        <f>INDEX(Comparison!$AM$3:$AS$33,AA14,$B$3)</f>
        <v>2247.3343211844494</v>
      </c>
      <c r="AB16" s="26">
        <f>INDEX(Comparison!$AM$3:$AS$33,AB14,$B$3)</f>
        <v>1979.307169199863</v>
      </c>
      <c r="AC16" s="26">
        <f>INDEX(Comparison!$AM$3:$AS$33,AC14,$B$3)</f>
        <v>1753.9456058771568</v>
      </c>
      <c r="AD16" s="26">
        <f>INDEX(Comparison!$AM$3:$AS$33,AD14,$B$3)</f>
        <v>1541.283272452644</v>
      </c>
      <c r="AE16" s="26">
        <f>INDEX(Comparison!$AM$3:$AS$33,AE14,$B$3)</f>
        <v>1325.7320252858156</v>
      </c>
      <c r="AF16" s="26">
        <f>INDEX(Comparison!$AM$3:$AS$33,AF14,$B$3)</f>
        <v>1090.3481138846798</v>
      </c>
      <c r="AG16" s="26">
        <f>INDEX(Comparison!$AM$3:$AS$33,AG14,$B$3)</f>
        <v>838.64271647474698</v>
      </c>
      <c r="AH16" s="26">
        <f>INDEX(Comparison!$AM$3:$AS$33,AH14,$B$3)</f>
        <v>600.54666630574377</v>
      </c>
      <c r="AI16" s="26">
        <f>INDEX(Comparison!$AM$3:$AS$33,AI14,$B$3)</f>
        <v>415.97655166325364</v>
      </c>
      <c r="AJ16" s="26">
        <f>INDEX(Comparison!$AM$3:$AS$33,AJ14,$B$3)</f>
        <v>297.69240550814368</v>
      </c>
    </row>
    <row r="17" spans="1:36" x14ac:dyDescent="0.25">
      <c r="A17" s="14" t="s">
        <v>20</v>
      </c>
      <c r="B17" s="105">
        <v>2.494462307592801E-2</v>
      </c>
      <c r="C17" s="18">
        <f t="shared" ref="C17:C48" si="3">ABS(B17/$B$49)</f>
        <v>1.5092527281509501E-2</v>
      </c>
      <c r="D17" s="66"/>
      <c r="E17" s="65" t="s">
        <v>22</v>
      </c>
      <c r="F17" s="27">
        <f>($C$17+SUM(F18:F48))*$B$51</f>
        <v>6953.3284747817806</v>
      </c>
      <c r="G17" s="27">
        <f t="shared" ref="G17:M17" si="4">($C$17+SUM(G18:G48))*$B$51</f>
        <v>6951.7194446085132</v>
      </c>
      <c r="H17" s="27">
        <f t="shared" si="4"/>
        <v>6936.9532158065458</v>
      </c>
      <c r="I17" s="27">
        <f t="shared" si="4"/>
        <v>6859.9617208629379</v>
      </c>
      <c r="J17" s="27">
        <f t="shared" si="4"/>
        <v>6695.5412047052832</v>
      </c>
      <c r="K17" s="27">
        <f t="shared" si="4"/>
        <v>6579.9104618847041</v>
      </c>
      <c r="L17" s="27">
        <f t="shared" si="4"/>
        <v>6466.0451298334992</v>
      </c>
      <c r="M17" s="27">
        <f t="shared" si="4"/>
        <v>6339.0329200673277</v>
      </c>
      <c r="N17" s="27">
        <f t="shared" ref="N17" si="5">($C$17+SUM(N18:N48))*$B$51</f>
        <v>6203.4272042102175</v>
      </c>
      <c r="O17" s="27">
        <f t="shared" ref="O17" si="6">($C$17+SUM(O18:O48))*$B$51</f>
        <v>6050.8270858144951</v>
      </c>
      <c r="P17" s="27">
        <f t="shared" ref="P17" si="7">($C$17+SUM(P18:P48))*$B$51</f>
        <v>5884.5256505491225</v>
      </c>
      <c r="Q17" s="27">
        <f t="shared" ref="Q17" si="8">($C$17+SUM(Q18:Q48))*$B$51</f>
        <v>5709.8943637567645</v>
      </c>
      <c r="R17" s="27">
        <f t="shared" ref="R17" si="9">($C$17+SUM(R18:R48))*$B$51</f>
        <v>5547.2484886629672</v>
      </c>
      <c r="S17" s="27">
        <f t="shared" ref="S17:T17" si="10">($C$17+SUM(S18:S48))*$B$51</f>
        <v>5364.9259395940735</v>
      </c>
      <c r="T17" s="27">
        <f t="shared" si="10"/>
        <v>5142.319723372465</v>
      </c>
      <c r="U17" s="27">
        <f t="shared" ref="U17" si="11">($C$17+SUM(U18:U48))*$B$51</f>
        <v>4901.7348555113131</v>
      </c>
      <c r="V17" s="27">
        <f t="shared" ref="V17" si="12">($C$17+SUM(V18:V48))*$B$51</f>
        <v>4661.0338747745454</v>
      </c>
      <c r="W17" s="27">
        <f t="shared" ref="W17" si="13">($C$17+SUM(W18:W48))*$B$51</f>
        <v>4298.8628737930421</v>
      </c>
      <c r="X17" s="27">
        <f t="shared" ref="X17" si="14">($C$17+SUM(X18:X48))*$B$51</f>
        <v>3673.6333055744376</v>
      </c>
      <c r="Y17" s="27">
        <f t="shared" ref="Y17" si="15">($C$17+SUM(Y18:Y48))*$B$51</f>
        <v>3055.9954635908534</v>
      </c>
      <c r="Z17" s="27">
        <f t="shared" ref="Z17:AA17" si="16">($C$17+SUM(Z18:Z48))*$B$51</f>
        <v>2586.3887582442926</v>
      </c>
      <c r="AA17" s="27">
        <f t="shared" si="16"/>
        <v>2247.3345632615828</v>
      </c>
      <c r="AB17" s="27">
        <f t="shared" ref="AB17" si="17">($C$17+SUM(AB18:AB48))*$B$51</f>
        <v>1979.3172203635761</v>
      </c>
      <c r="AC17" s="27">
        <f t="shared" ref="AC17" si="18">($C$17+SUM(AC18:AC48))*$B$51</f>
        <v>1753.9275520790748</v>
      </c>
      <c r="AD17" s="27">
        <f t="shared" ref="AD17" si="19">($C$17+SUM(AD18:AD48))*$B$51</f>
        <v>1541.3001547322531</v>
      </c>
      <c r="AE17" s="27">
        <f t="shared" ref="AE17" si="20">($C$17+SUM(AE18:AE48))*$B$51</f>
        <v>1325.7248857969844</v>
      </c>
      <c r="AF17" s="27">
        <f t="shared" ref="AF17" si="21">($C$17+SUM(AF18:AF48))*$B$51</f>
        <v>1090.348239089077</v>
      </c>
      <c r="AG17" s="27">
        <f t="shared" ref="AG17:AH17" si="22">($C$17+SUM(AG18:AG48))*$B$51</f>
        <v>838.64314847444916</v>
      </c>
      <c r="AH17" s="27">
        <f t="shared" si="22"/>
        <v>600.54506220760504</v>
      </c>
      <c r="AI17" s="27">
        <f t="shared" ref="AI17" si="23">($C$17+SUM(AI18:AI48))*$B$51</f>
        <v>415.9823814369081</v>
      </c>
      <c r="AJ17" s="27">
        <f t="shared" ref="AJ17" si="24">($C$17+SUM(AJ18:AJ48))*$B$51</f>
        <v>297.68760177159345</v>
      </c>
    </row>
    <row r="18" spans="1:36" x14ac:dyDescent="0.25">
      <c r="A18" s="3">
        <f>0.000000000000001/10^5</f>
        <v>1.0000000000000001E-20</v>
      </c>
      <c r="B18" s="106">
        <v>9.1946676340821619E-3</v>
      </c>
      <c r="C18" s="18">
        <f t="shared" si="3"/>
        <v>5.5631536980694498E-3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1.388654248690566E-2</v>
      </c>
      <c r="C20" s="18">
        <f t="shared" si="3"/>
        <v>8.4019317787052752E-3</v>
      </c>
      <c r="D20" s="17"/>
      <c r="F20" s="3">
        <f t="shared" si="25"/>
        <v>8.3825396278403401E-3</v>
      </c>
      <c r="G20" s="3">
        <f t="shared" si="25"/>
        <v>8.2100120433594333E-3</v>
      </c>
      <c r="H20" s="3">
        <f t="shared" si="25"/>
        <v>6.6684605166210812E-3</v>
      </c>
      <c r="I20" s="3">
        <f t="shared" si="25"/>
        <v>8.3338078556172417E-4</v>
      </c>
      <c r="J20" s="3">
        <f t="shared" si="25"/>
        <v>7.7450187512726662E-13</v>
      </c>
      <c r="K20" s="3">
        <f t="shared" si="25"/>
        <v>3.7223086174604882E-103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4.8272910963427257E-2</v>
      </c>
      <c r="C21" s="18">
        <f t="shared" si="3"/>
        <v>2.9207105012401573E-2</v>
      </c>
      <c r="D21" s="17"/>
      <c r="F21" s="3">
        <f t="shared" si="25"/>
        <v>2.920101752126697E-2</v>
      </c>
      <c r="G21" s="3">
        <f t="shared" si="25"/>
        <v>2.914628716467637E-2</v>
      </c>
      <c r="H21" s="3">
        <f t="shared" si="25"/>
        <v>2.8604593840902706E-2</v>
      </c>
      <c r="I21" s="3">
        <f t="shared" si="25"/>
        <v>2.3711621086878881E-2</v>
      </c>
      <c r="J21" s="3">
        <f t="shared" si="25"/>
        <v>3.6325855724858493E-3</v>
      </c>
      <c r="K21" s="3">
        <f t="shared" si="25"/>
        <v>2.5867944944583662E-11</v>
      </c>
      <c r="L21" s="3">
        <f t="shared" si="25"/>
        <v>8.6740649600564987E-93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2.5041809957960098E-2</v>
      </c>
      <c r="C22" s="18">
        <f t="shared" si="3"/>
        <v>1.5151329359376518E-2</v>
      </c>
      <c r="D22" s="17"/>
      <c r="F22" s="3">
        <f t="shared" si="25"/>
        <v>1.5151044462072711E-2</v>
      </c>
      <c r="G22" s="3">
        <f t="shared" si="25"/>
        <v>1.5148480627393735E-2</v>
      </c>
      <c r="H22" s="3">
        <f t="shared" si="25"/>
        <v>1.5122866130127069E-2</v>
      </c>
      <c r="I22" s="3">
        <f t="shared" si="25"/>
        <v>1.4869091243491377E-2</v>
      </c>
      <c r="J22" s="3">
        <f t="shared" si="25"/>
        <v>1.2554158690936332E-2</v>
      </c>
      <c r="K22" s="3">
        <f t="shared" si="25"/>
        <v>2.3111040022858178E-3</v>
      </c>
      <c r="L22" s="3">
        <f t="shared" si="25"/>
        <v>1.0330902093717976E-10</v>
      </c>
      <c r="M22" s="3">
        <f t="shared" si="25"/>
        <v>3.2909842705320915E-84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2.8120584826114525E-2</v>
      </c>
      <c r="C23" s="18">
        <f t="shared" si="3"/>
        <v>1.7014115321297405E-2</v>
      </c>
      <c r="D23" s="17"/>
      <c r="F23" s="3">
        <f t="shared" si="25"/>
        <v>1.7014086461234187E-2</v>
      </c>
      <c r="G23" s="3">
        <f t="shared" si="25"/>
        <v>1.7013826722868126E-2</v>
      </c>
      <c r="H23" s="3">
        <f t="shared" si="25"/>
        <v>1.7011229557282761E-2</v>
      </c>
      <c r="I23" s="3">
        <f t="shared" si="25"/>
        <v>1.6985279696640841E-2</v>
      </c>
      <c r="J23" s="3">
        <f t="shared" si="25"/>
        <v>1.6727948350499743E-2</v>
      </c>
      <c r="K23" s="3">
        <f t="shared" si="25"/>
        <v>1.4359603217550268E-2</v>
      </c>
      <c r="L23" s="3">
        <f t="shared" si="25"/>
        <v>3.1198955025692702E-3</v>
      </c>
      <c r="M23" s="3">
        <f t="shared" si="25"/>
        <v>7.3133461809022639E-10</v>
      </c>
      <c r="N23" s="3">
        <f t="shared" si="25"/>
        <v>3.6633377855357607E-76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3.2045685131009569E-2</v>
      </c>
      <c r="C24" s="18">
        <f t="shared" si="3"/>
        <v>1.9388963129338931E-2</v>
      </c>
      <c r="D24" s="17"/>
      <c r="F24" s="3">
        <f t="shared" si="25"/>
        <v>1.93889601625311E-2</v>
      </c>
      <c r="G24" s="3">
        <f t="shared" si="25"/>
        <v>1.9388933461281042E-2</v>
      </c>
      <c r="H24" s="3">
        <f t="shared" si="25"/>
        <v>1.9388666450802883E-2</v>
      </c>
      <c r="I24" s="3">
        <f t="shared" si="25"/>
        <v>1.9385996548252175E-2</v>
      </c>
      <c r="J24" s="3">
        <f t="shared" si="25"/>
        <v>1.9359317735530727E-2</v>
      </c>
      <c r="K24" s="3">
        <f t="shared" si="25"/>
        <v>1.9094540625467858E-2</v>
      </c>
      <c r="L24" s="3">
        <f t="shared" si="25"/>
        <v>1.6637990931331611E-2</v>
      </c>
      <c r="M24" s="3">
        <f t="shared" si="25"/>
        <v>4.1977596578102469E-3</v>
      </c>
      <c r="N24" s="3">
        <f t="shared" si="25"/>
        <v>4.3871696817642949E-9</v>
      </c>
      <c r="O24" s="3">
        <f t="shared" si="25"/>
        <v>6.8210786255803546E-69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3.3166189756601384E-2</v>
      </c>
      <c r="C25" s="18">
        <f t="shared" si="3"/>
        <v>2.0066914709498174E-2</v>
      </c>
      <c r="D25" s="17"/>
      <c r="F25" s="3">
        <f t="shared" si="25"/>
        <v>2.0066914432509467E-2</v>
      </c>
      <c r="G25" s="3">
        <f t="shared" si="25"/>
        <v>2.0066911939611309E-2</v>
      </c>
      <c r="H25" s="3">
        <f t="shared" si="25"/>
        <v>2.0066887010646722E-2</v>
      </c>
      <c r="I25" s="3">
        <f t="shared" si="25"/>
        <v>2.0066637722704124E-2</v>
      </c>
      <c r="J25" s="3">
        <f t="shared" si="25"/>
        <v>2.0064145013599512E-2</v>
      </c>
      <c r="K25" s="3">
        <f t="shared" si="25"/>
        <v>2.0039234946860409E-2</v>
      </c>
      <c r="L25" s="3">
        <f t="shared" si="25"/>
        <v>1.9791828910913432E-2</v>
      </c>
      <c r="M25" s="3">
        <f t="shared" si="25"/>
        <v>1.7479694483132326E-2</v>
      </c>
      <c r="N25" s="3">
        <f t="shared" si="25"/>
        <v>5.0467632608418656E-3</v>
      </c>
      <c r="O25" s="3">
        <f t="shared" si="25"/>
        <v>2.0314394651653005E-8</v>
      </c>
      <c r="P25" s="3">
        <f t="shared" si="25"/>
        <v>2.2683674674161238E-62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3.9167082754798549E-2</v>
      </c>
      <c r="C26" s="18">
        <f t="shared" si="3"/>
        <v>2.3697702836183093E-2</v>
      </c>
      <c r="D26" s="17"/>
      <c r="F26" s="3">
        <f t="shared" si="25"/>
        <v>2.3697702806675464E-2</v>
      </c>
      <c r="G26" s="3">
        <f t="shared" si="25"/>
        <v>2.3697702541106817E-2</v>
      </c>
      <c r="H26" s="3">
        <f t="shared" si="25"/>
        <v>2.36976998854205E-2</v>
      </c>
      <c r="I26" s="3">
        <f t="shared" si="25"/>
        <v>2.3697673328573695E-2</v>
      </c>
      <c r="J26" s="3">
        <f t="shared" si="25"/>
        <v>2.3697407761742492E-2</v>
      </c>
      <c r="K26" s="3">
        <f t="shared" si="25"/>
        <v>2.3694752257108372E-2</v>
      </c>
      <c r="L26" s="3">
        <f t="shared" si="25"/>
        <v>2.3668213571772428E-2</v>
      </c>
      <c r="M26" s="3">
        <f t="shared" si="25"/>
        <v>2.340445605528101E-2</v>
      </c>
      <c r="N26" s="3">
        <f t="shared" si="25"/>
        <v>2.0923256450874547E-2</v>
      </c>
      <c r="O26" s="3">
        <f t="shared" si="25"/>
        <v>6.8223899389699269E-3</v>
      </c>
      <c r="P26" s="3">
        <f t="shared" si="25"/>
        <v>9.2684932758049003E-8</v>
      </c>
      <c r="Q26" s="3">
        <f t="shared" si="25"/>
        <v>1.9848840824011576E-56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4.1848961133122205E-2</v>
      </c>
      <c r="C27" s="18">
        <f t="shared" si="3"/>
        <v>2.5320350028218658E-2</v>
      </c>
      <c r="D27" s="17"/>
      <c r="F27" s="3">
        <f t="shared" si="25"/>
        <v>2.5320350025374562E-2</v>
      </c>
      <c r="G27" s="3">
        <f t="shared" si="25"/>
        <v>2.5320349999777694E-2</v>
      </c>
      <c r="H27" s="3">
        <f t="shared" si="25"/>
        <v>2.5320349743808999E-2</v>
      </c>
      <c r="I27" s="3">
        <f t="shared" si="25"/>
        <v>2.5320347184122221E-2</v>
      </c>
      <c r="J27" s="3">
        <f t="shared" si="25"/>
        <v>2.5320321587268636E-2</v>
      </c>
      <c r="K27" s="3">
        <f t="shared" si="25"/>
        <v>2.5320065620156009E-2</v>
      </c>
      <c r="L27" s="3">
        <f t="shared" si="25"/>
        <v>2.5317506091344075E-2</v>
      </c>
      <c r="M27" s="3">
        <f t="shared" si="25"/>
        <v>2.5291925029336266E-2</v>
      </c>
      <c r="N27" s="3">
        <f t="shared" si="25"/>
        <v>2.5037531713627704E-2</v>
      </c>
      <c r="O27" s="3">
        <f t="shared" si="25"/>
        <v>2.2630168016611427E-2</v>
      </c>
      <c r="P27" s="3">
        <f t="shared" si="25"/>
        <v>8.2347503629715962E-3</v>
      </c>
      <c r="Q27" s="3">
        <f t="shared" si="25"/>
        <v>3.3517918047512731E-7</v>
      </c>
      <c r="R27" s="3">
        <f t="shared" si="25"/>
        <v>4.1835311016213527E-51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4.5331604476482101E-2</v>
      </c>
      <c r="C28" s="18">
        <f t="shared" si="3"/>
        <v>2.7427493099149637E-2</v>
      </c>
      <c r="D28" s="17"/>
      <c r="F28" s="3">
        <f t="shared" si="25"/>
        <v>2.7427493098871727E-2</v>
      </c>
      <c r="G28" s="3">
        <f t="shared" si="25"/>
        <v>2.7427493096370516E-2</v>
      </c>
      <c r="H28" s="3">
        <f t="shared" si="25"/>
        <v>2.7427493071358434E-2</v>
      </c>
      <c r="I28" s="3">
        <f t="shared" si="25"/>
        <v>2.742749282123761E-2</v>
      </c>
      <c r="J28" s="3">
        <f t="shared" si="25"/>
        <v>2.7427490320029498E-2</v>
      </c>
      <c r="K28" s="3">
        <f t="shared" si="25"/>
        <v>2.7427465307960919E-2</v>
      </c>
      <c r="L28" s="3">
        <f t="shared" si="25"/>
        <v>2.7427215188529613E-2</v>
      </c>
      <c r="M28" s="3">
        <f t="shared" si="25"/>
        <v>2.7424714119663511E-2</v>
      </c>
      <c r="N28" s="3">
        <f t="shared" si="25"/>
        <v>2.7399715971462592E-2</v>
      </c>
      <c r="O28" s="3">
        <f t="shared" si="25"/>
        <v>2.7150984314419372E-2</v>
      </c>
      <c r="P28" s="3">
        <f t="shared" si="25"/>
        <v>2.478453403515778E-2</v>
      </c>
      <c r="Q28" s="3">
        <f t="shared" si="25"/>
        <v>9.9570927582131648E-3</v>
      </c>
      <c r="R28" s="3">
        <f t="shared" si="25"/>
        <v>1.0905623476179437E-6</v>
      </c>
      <c r="S28" s="3">
        <f t="shared" si="25"/>
        <v>2.7091307323097962E-46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3.4960464244363332E-2</v>
      </c>
      <c r="C29" s="18">
        <f t="shared" si="3"/>
        <v>2.1152524885873075E-2</v>
      </c>
      <c r="D29" s="17"/>
      <c r="F29" s="3">
        <f t="shared" si="25"/>
        <v>2.115252488585374E-2</v>
      </c>
      <c r="G29" s="3">
        <f t="shared" si="25"/>
        <v>2.115252488567973E-2</v>
      </c>
      <c r="H29" s="3">
        <f t="shared" si="25"/>
        <v>2.1152524883939639E-2</v>
      </c>
      <c r="I29" s="3">
        <f t="shared" si="25"/>
        <v>2.1152524866538704E-2</v>
      </c>
      <c r="J29" s="3">
        <f t="shared" si="25"/>
        <v>2.1152524692529373E-2</v>
      </c>
      <c r="K29" s="3">
        <f t="shared" si="25"/>
        <v>2.1152522952436123E-2</v>
      </c>
      <c r="L29" s="3">
        <f t="shared" si="25"/>
        <v>2.1152505551511505E-2</v>
      </c>
      <c r="M29" s="3">
        <f t="shared" si="25"/>
        <v>2.115233154305262E-2</v>
      </c>
      <c r="N29" s="3">
        <f t="shared" si="25"/>
        <v>2.1150591537192096E-2</v>
      </c>
      <c r="O29" s="3">
        <f t="shared" si="25"/>
        <v>2.1133199349021109E-2</v>
      </c>
      <c r="P29" s="3">
        <f t="shared" si="25"/>
        <v>2.0960062120417639E-2</v>
      </c>
      <c r="Q29" s="3">
        <f t="shared" si="25"/>
        <v>1.9304818486518625E-2</v>
      </c>
      <c r="R29" s="3">
        <f t="shared" si="25"/>
        <v>8.4800281368114048E-3</v>
      </c>
      <c r="S29" s="3">
        <f t="shared" si="25"/>
        <v>2.2683653281918315E-6</v>
      </c>
      <c r="T29" s="3">
        <f t="shared" si="25"/>
        <v>4.2547110677789187E-42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5.1803842786491285E-2</v>
      </c>
      <c r="C30" s="18">
        <f t="shared" si="3"/>
        <v>3.1343464608076133E-2</v>
      </c>
      <c r="D30" s="17"/>
      <c r="F30" s="3">
        <f t="shared" si="25"/>
        <v>3.1343464608073544E-2</v>
      </c>
      <c r="G30" s="3">
        <f t="shared" si="25"/>
        <v>3.1343464608050285E-2</v>
      </c>
      <c r="H30" s="3">
        <f t="shared" si="25"/>
        <v>3.1343464607817693E-2</v>
      </c>
      <c r="I30" s="3">
        <f t="shared" si="25"/>
        <v>3.1343464605491721E-2</v>
      </c>
      <c r="J30" s="3">
        <f t="shared" si="25"/>
        <v>3.1343464582232035E-2</v>
      </c>
      <c r="K30" s="3">
        <f t="shared" si="25"/>
        <v>3.1343464349635135E-2</v>
      </c>
      <c r="L30" s="3">
        <f t="shared" si="25"/>
        <v>3.1343462023666252E-2</v>
      </c>
      <c r="M30" s="3">
        <f t="shared" si="25"/>
        <v>3.1343438763986889E-2</v>
      </c>
      <c r="N30" s="3">
        <f t="shared" si="25"/>
        <v>3.1343206168142609E-2</v>
      </c>
      <c r="O30" s="3">
        <f t="shared" si="25"/>
        <v>3.1340880304631294E-2</v>
      </c>
      <c r="P30" s="3">
        <f t="shared" si="25"/>
        <v>3.1317631160060797E-2</v>
      </c>
      <c r="Q30" s="3">
        <f t="shared" si="25"/>
        <v>3.1086086167927639E-2</v>
      </c>
      <c r="R30" s="3">
        <f t="shared" si="25"/>
        <v>2.8862733672942134E-2</v>
      </c>
      <c r="S30" s="3">
        <f t="shared" si="25"/>
        <v>1.3742052928210277E-2</v>
      </c>
      <c r="T30" s="3">
        <f t="shared" si="25"/>
        <v>8.2260844961594849E-6</v>
      </c>
      <c r="U30" s="3">
        <f t="shared" si="25"/>
        <v>4.8596910302828285E-38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5.7279706678293178E-2</v>
      </c>
      <c r="C31" s="18">
        <f t="shared" si="3"/>
        <v>3.4656588439424235E-2</v>
      </c>
      <c r="D31" s="17"/>
      <c r="F31" s="3">
        <f t="shared" si="25"/>
        <v>3.4656588439423978E-2</v>
      </c>
      <c r="G31" s="3">
        <f t="shared" si="25"/>
        <v>3.4656588439421654E-2</v>
      </c>
      <c r="H31" s="3">
        <f t="shared" si="25"/>
        <v>3.4656588439398457E-2</v>
      </c>
      <c r="I31" s="3">
        <f t="shared" si="25"/>
        <v>3.4656588439166455E-2</v>
      </c>
      <c r="J31" s="3">
        <f t="shared" si="25"/>
        <v>3.465658843684645E-2</v>
      </c>
      <c r="K31" s="3">
        <f t="shared" si="25"/>
        <v>3.4656588413646376E-2</v>
      </c>
      <c r="L31" s="3">
        <f t="shared" si="25"/>
        <v>3.4656588181645666E-2</v>
      </c>
      <c r="M31" s="3">
        <f t="shared" si="25"/>
        <v>3.4656585861638625E-2</v>
      </c>
      <c r="N31" s="3">
        <f t="shared" si="25"/>
        <v>3.4656562661576788E-2</v>
      </c>
      <c r="O31" s="3">
        <f t="shared" si="25"/>
        <v>3.4656330661812604E-2</v>
      </c>
      <c r="P31" s="3">
        <f t="shared" si="25"/>
        <v>3.4654010749587606E-2</v>
      </c>
      <c r="Q31" s="3">
        <f t="shared" si="25"/>
        <v>3.4630820166907633E-2</v>
      </c>
      <c r="R31" s="3">
        <f t="shared" si="25"/>
        <v>3.4399766185744071E-2</v>
      </c>
      <c r="S31" s="3">
        <f t="shared" si="25"/>
        <v>3.2172338266002742E-2</v>
      </c>
      <c r="T31" s="3">
        <f t="shared" si="25"/>
        <v>1.6472290109148368E-2</v>
      </c>
      <c r="U31" s="3">
        <f t="shared" si="25"/>
        <v>2.0392362556586943E-5</v>
      </c>
      <c r="V31" s="3">
        <f t="shared" si="26"/>
        <v>1.7242616065610248E-34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6.2723007690100793E-2</v>
      </c>
      <c r="C32" s="18">
        <f t="shared" si="3"/>
        <v>3.7950010383388341E-2</v>
      </c>
      <c r="D32" s="17"/>
      <c r="F32" s="3">
        <f t="shared" si="25"/>
        <v>3.7950010383388313E-2</v>
      </c>
      <c r="G32" s="3">
        <f t="shared" si="25"/>
        <v>3.7950010383388091E-2</v>
      </c>
      <c r="H32" s="3">
        <f t="shared" si="25"/>
        <v>3.7950010383385795E-2</v>
      </c>
      <c r="I32" s="3">
        <f t="shared" si="25"/>
        <v>3.7950010383362875E-2</v>
      </c>
      <c r="J32" s="3">
        <f t="shared" si="25"/>
        <v>3.7950010383133705E-2</v>
      </c>
      <c r="K32" s="3">
        <f t="shared" si="25"/>
        <v>3.7950010380841982E-2</v>
      </c>
      <c r="L32" s="3">
        <f t="shared" si="25"/>
        <v>3.7950010357924759E-2</v>
      </c>
      <c r="M32" s="3">
        <f t="shared" si="25"/>
        <v>3.7950010128752529E-2</v>
      </c>
      <c r="N32" s="3">
        <f t="shared" si="25"/>
        <v>3.7950007837030258E-2</v>
      </c>
      <c r="O32" s="3">
        <f t="shared" si="25"/>
        <v>3.7949984919815161E-2</v>
      </c>
      <c r="P32" s="3">
        <f t="shared" si="25"/>
        <v>3.79497557484254E-2</v>
      </c>
      <c r="Q32" s="3">
        <f t="shared" si="25"/>
        <v>3.7947464110641656E-2</v>
      </c>
      <c r="R32" s="3">
        <f t="shared" si="25"/>
        <v>3.7924555342494504E-2</v>
      </c>
      <c r="S32" s="3">
        <f t="shared" si="25"/>
        <v>3.7696226932516952E-2</v>
      </c>
      <c r="T32" s="3">
        <f t="shared" si="25"/>
        <v>3.5487200556382326E-2</v>
      </c>
      <c r="U32" s="3">
        <f t="shared" si="25"/>
        <v>1.9400383629121075E-2</v>
      </c>
      <c r="V32" s="3">
        <f t="shared" si="26"/>
        <v>4.6258983718195332E-5</v>
      </c>
      <c r="W32" s="3">
        <f t="shared" si="26"/>
        <v>2.7482344669642557E-31</v>
      </c>
      <c r="X32" s="3">
        <f t="shared" si="26"/>
        <v>1.5053265746402461E-293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4.3070112105747432E-2</v>
      </c>
      <c r="C33" s="18">
        <f t="shared" si="3"/>
        <v>2.6059196805461551E-2</v>
      </c>
      <c r="D33" s="17"/>
      <c r="F33" s="3">
        <f t="shared" si="25"/>
        <v>2.6059196805461548E-2</v>
      </c>
      <c r="G33" s="3">
        <f t="shared" si="25"/>
        <v>2.6059196805461537E-2</v>
      </c>
      <c r="H33" s="3">
        <f t="shared" si="25"/>
        <v>2.6059196805461392E-2</v>
      </c>
      <c r="I33" s="3">
        <f t="shared" si="25"/>
        <v>2.6059196805459976E-2</v>
      </c>
      <c r="J33" s="3">
        <f t="shared" si="25"/>
        <v>2.6059196805445779E-2</v>
      </c>
      <c r="K33" s="3">
        <f t="shared" si="25"/>
        <v>2.605919680530382E-2</v>
      </c>
      <c r="L33" s="3">
        <f t="shared" si="25"/>
        <v>2.6059196803884247E-2</v>
      </c>
      <c r="M33" s="3">
        <f t="shared" si="25"/>
        <v>2.6059196789688519E-2</v>
      </c>
      <c r="N33" s="3">
        <f t="shared" si="25"/>
        <v>2.6059196647731223E-2</v>
      </c>
      <c r="O33" s="3">
        <f t="shared" si="25"/>
        <v>2.6059195228158308E-2</v>
      </c>
      <c r="P33" s="3">
        <f t="shared" si="25"/>
        <v>2.6059181032433418E-2</v>
      </c>
      <c r="Q33" s="3">
        <f t="shared" si="25"/>
        <v>2.6059039075609833E-2</v>
      </c>
      <c r="R33" s="3">
        <f t="shared" si="25"/>
        <v>2.605761954990516E-2</v>
      </c>
      <c r="S33" s="3">
        <f t="shared" si="25"/>
        <v>2.604342854511876E-2</v>
      </c>
      <c r="T33" s="3">
        <f t="shared" si="25"/>
        <v>2.5901942867460486E-2</v>
      </c>
      <c r="U33" s="3">
        <f t="shared" ref="P33:AE48" si="27">$C33*EXP(-U$15/$A33)</f>
        <v>2.452868008313544E-2</v>
      </c>
      <c r="V33" s="3">
        <f t="shared" si="27"/>
        <v>1.4226319476445143E-2</v>
      </c>
      <c r="W33" s="3">
        <f t="shared" si="27"/>
        <v>6.1274015327141828E-5</v>
      </c>
      <c r="X33" s="3">
        <f t="shared" si="27"/>
        <v>1.3462142290272637E-28</v>
      </c>
      <c r="Y33" s="3">
        <f t="shared" si="27"/>
        <v>3.5277072186556908E-265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0.14772985692597337</v>
      </c>
      <c r="C34" s="18">
        <f t="shared" si="3"/>
        <v>8.9382665320782775E-2</v>
      </c>
      <c r="D34" s="17"/>
      <c r="F34" s="3">
        <f t="shared" ref="F34:O48" si="28">$C34*EXP(-F$15/$A34)</f>
        <v>8.9382665320782775E-2</v>
      </c>
      <c r="G34" s="3">
        <f t="shared" si="28"/>
        <v>8.9382665320782775E-2</v>
      </c>
      <c r="H34" s="3">
        <f t="shared" si="28"/>
        <v>8.938266532078272E-2</v>
      </c>
      <c r="I34" s="3">
        <f t="shared" si="28"/>
        <v>8.938266532078229E-2</v>
      </c>
      <c r="J34" s="3">
        <f t="shared" si="28"/>
        <v>8.938266532077789E-2</v>
      </c>
      <c r="K34" s="3">
        <f t="shared" si="28"/>
        <v>8.9382665320733967E-2</v>
      </c>
      <c r="L34" s="3">
        <f t="shared" si="28"/>
        <v>8.9382665320294735E-2</v>
      </c>
      <c r="M34" s="3">
        <f t="shared" si="28"/>
        <v>8.9382665315902388E-2</v>
      </c>
      <c r="N34" s="3">
        <f t="shared" si="28"/>
        <v>8.9382665271978926E-2</v>
      </c>
      <c r="O34" s="3">
        <f t="shared" si="28"/>
        <v>8.9382664832744277E-2</v>
      </c>
      <c r="P34" s="3">
        <f t="shared" si="27"/>
        <v>8.9382660440398012E-2</v>
      </c>
      <c r="Q34" s="3">
        <f t="shared" si="27"/>
        <v>8.9382616516947025E-2</v>
      </c>
      <c r="R34" s="3">
        <f t="shared" si="27"/>
        <v>8.938217728362445E-2</v>
      </c>
      <c r="S34" s="3">
        <f t="shared" si="27"/>
        <v>8.9377785069110441E-2</v>
      </c>
      <c r="T34" s="3">
        <f t="shared" si="27"/>
        <v>8.933387479298939E-2</v>
      </c>
      <c r="U34" s="3">
        <f t="shared" si="27"/>
        <v>8.8895956778467108E-2</v>
      </c>
      <c r="V34" s="3">
        <f t="shared" si="27"/>
        <v>8.4633125200815312E-2</v>
      </c>
      <c r="W34" s="3">
        <f t="shared" si="27"/>
        <v>5.1775472831111745E-2</v>
      </c>
      <c r="X34" s="3">
        <f t="shared" si="27"/>
        <v>3.8015528239165999E-4</v>
      </c>
      <c r="Y34" s="3">
        <f t="shared" si="27"/>
        <v>1.7311336082672893E-25</v>
      </c>
      <c r="Z34" s="3">
        <f t="shared" si="27"/>
        <v>6.6378306950153186E-239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0.16842395342913669</v>
      </c>
      <c r="C35" s="18">
        <f t="shared" si="3"/>
        <v>0.10190344846068049</v>
      </c>
      <c r="D35" s="17"/>
      <c r="F35" s="3">
        <f t="shared" si="28"/>
        <v>0.10190344846068049</v>
      </c>
      <c r="G35" s="3">
        <f t="shared" si="28"/>
        <v>0.10190344846068049</v>
      </c>
      <c r="H35" s="3">
        <f t="shared" si="28"/>
        <v>0.10190344846068049</v>
      </c>
      <c r="I35" s="3">
        <f t="shared" si="28"/>
        <v>0.10190344846068045</v>
      </c>
      <c r="J35" s="3">
        <f t="shared" si="28"/>
        <v>0.10190344846067999</v>
      </c>
      <c r="K35" s="3">
        <f t="shared" si="28"/>
        <v>0.10190344846067546</v>
      </c>
      <c r="L35" s="3">
        <f t="shared" si="28"/>
        <v>0.10190344846063031</v>
      </c>
      <c r="M35" s="3">
        <f t="shared" si="28"/>
        <v>0.10190344846017856</v>
      </c>
      <c r="N35" s="3">
        <f t="shared" si="28"/>
        <v>0.10190344845566127</v>
      </c>
      <c r="O35" s="3">
        <f t="shared" si="28"/>
        <v>0.10190344841048829</v>
      </c>
      <c r="P35" s="3">
        <f t="shared" si="27"/>
        <v>0.10190344795875847</v>
      </c>
      <c r="Q35" s="3">
        <f t="shared" si="27"/>
        <v>0.10190344344146043</v>
      </c>
      <c r="R35" s="3">
        <f t="shared" si="27"/>
        <v>0.10190339826849117</v>
      </c>
      <c r="S35" s="3">
        <f t="shared" si="27"/>
        <v>0.10190294653989977</v>
      </c>
      <c r="T35" s="3">
        <f t="shared" si="27"/>
        <v>0.10189842936412034</v>
      </c>
      <c r="U35" s="3">
        <f t="shared" si="27"/>
        <v>0.10185326861797041</v>
      </c>
      <c r="V35" s="3">
        <f t="shared" si="27"/>
        <v>0.10140276051693699</v>
      </c>
      <c r="W35" s="3">
        <f t="shared" si="27"/>
        <v>9.7005833584823953E-2</v>
      </c>
      <c r="X35" s="3">
        <f t="shared" si="27"/>
        <v>6.2269960590195503E-2</v>
      </c>
      <c r="Y35" s="3">
        <f t="shared" si="27"/>
        <v>7.3975171343684668E-4</v>
      </c>
      <c r="Z35" s="3">
        <f t="shared" si="27"/>
        <v>4.1415210086708419E-23</v>
      </c>
      <c r="AA35" s="3">
        <f t="shared" si="27"/>
        <v>1.2528490804789608E-215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0.12718330164013858</v>
      </c>
      <c r="C36" s="18">
        <f t="shared" si="3"/>
        <v>7.6951150711457764E-2</v>
      </c>
      <c r="D36" s="17"/>
      <c r="F36" s="3">
        <f t="shared" si="28"/>
        <v>7.6951150711457764E-2</v>
      </c>
      <c r="G36" s="3">
        <f t="shared" si="28"/>
        <v>7.6951150711457764E-2</v>
      </c>
      <c r="H36" s="3">
        <f t="shared" si="28"/>
        <v>7.6951150711457764E-2</v>
      </c>
      <c r="I36" s="3">
        <f t="shared" si="28"/>
        <v>7.6951150711457764E-2</v>
      </c>
      <c r="J36" s="3">
        <f t="shared" si="28"/>
        <v>7.6951150711457736E-2</v>
      </c>
      <c r="K36" s="3">
        <f t="shared" si="28"/>
        <v>7.6951150711457417E-2</v>
      </c>
      <c r="L36" s="3">
        <f t="shared" si="28"/>
        <v>7.695115071145435E-2</v>
      </c>
      <c r="M36" s="3">
        <f t="shared" si="28"/>
        <v>7.6951150711423569E-2</v>
      </c>
      <c r="N36" s="3">
        <f t="shared" si="28"/>
        <v>7.6951150711115857E-2</v>
      </c>
      <c r="O36" s="3">
        <f t="shared" si="28"/>
        <v>7.6951150708038693E-2</v>
      </c>
      <c r="P36" s="3">
        <f t="shared" si="27"/>
        <v>7.6951150677266975E-2</v>
      </c>
      <c r="Q36" s="3">
        <f t="shared" si="27"/>
        <v>7.6951150369549914E-2</v>
      </c>
      <c r="R36" s="3">
        <f t="shared" si="27"/>
        <v>7.6951147292379313E-2</v>
      </c>
      <c r="S36" s="3">
        <f t="shared" si="27"/>
        <v>7.6951116520680138E-2</v>
      </c>
      <c r="T36" s="3">
        <f t="shared" si="27"/>
        <v>7.695080880436507E-2</v>
      </c>
      <c r="U36" s="3">
        <f t="shared" si="27"/>
        <v>7.6947731708891839E-2</v>
      </c>
      <c r="V36" s="3">
        <f t="shared" si="27"/>
        <v>7.69169675208973E-2</v>
      </c>
      <c r="W36" s="3">
        <f t="shared" si="27"/>
        <v>7.6610001314603646E-2</v>
      </c>
      <c r="X36" s="3">
        <f t="shared" si="27"/>
        <v>7.3606917507438516E-2</v>
      </c>
      <c r="Y36" s="3">
        <f t="shared" si="27"/>
        <v>4.9345805346255468E-2</v>
      </c>
      <c r="Z36" s="3">
        <f t="shared" si="27"/>
        <v>9.0482865425844787E-4</v>
      </c>
      <c r="AA36" s="3">
        <f t="shared" si="27"/>
        <v>3.8880101259673899E-21</v>
      </c>
      <c r="AB36" s="3">
        <f t="shared" si="27"/>
        <v>8.3432989719088621E-195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9.5730687537076697E-2</v>
      </c>
      <c r="C37" s="18">
        <f t="shared" si="3"/>
        <v>5.7921020050419839E-2</v>
      </c>
      <c r="D37" s="17"/>
      <c r="F37" s="3">
        <f t="shared" si="28"/>
        <v>5.7921020050419839E-2</v>
      </c>
      <c r="G37" s="3">
        <f t="shared" si="28"/>
        <v>5.7921020050419839E-2</v>
      </c>
      <c r="H37" s="3">
        <f t="shared" si="28"/>
        <v>5.7921020050419839E-2</v>
      </c>
      <c r="I37" s="3">
        <f t="shared" si="28"/>
        <v>5.7921020050419839E-2</v>
      </c>
      <c r="J37" s="3">
        <f t="shared" si="28"/>
        <v>5.7921020050419839E-2</v>
      </c>
      <c r="K37" s="3">
        <f t="shared" si="28"/>
        <v>5.7921020050419811E-2</v>
      </c>
      <c r="L37" s="3">
        <f t="shared" si="28"/>
        <v>5.792102005041961E-2</v>
      </c>
      <c r="M37" s="3">
        <f t="shared" si="28"/>
        <v>5.7921020050417514E-2</v>
      </c>
      <c r="N37" s="3">
        <f t="shared" si="28"/>
        <v>5.7921020050396621E-2</v>
      </c>
      <c r="O37" s="3">
        <f t="shared" si="28"/>
        <v>5.7921020050187684E-2</v>
      </c>
      <c r="P37" s="3">
        <f t="shared" si="27"/>
        <v>5.79210200480983E-2</v>
      </c>
      <c r="Q37" s="3">
        <f t="shared" si="27"/>
        <v>5.7921020027204409E-2</v>
      </c>
      <c r="R37" s="3">
        <f t="shared" si="27"/>
        <v>5.7921019818265536E-2</v>
      </c>
      <c r="S37" s="3">
        <f t="shared" si="27"/>
        <v>5.7921017728876791E-2</v>
      </c>
      <c r="T37" s="3">
        <f t="shared" si="27"/>
        <v>5.7920996834993591E-2</v>
      </c>
      <c r="U37" s="3">
        <f t="shared" si="27"/>
        <v>5.7920787896576113E-2</v>
      </c>
      <c r="V37" s="3">
        <f t="shared" si="27"/>
        <v>5.7918698553854557E-2</v>
      </c>
      <c r="W37" s="3">
        <f t="shared" si="27"/>
        <v>5.7897809271410514E-2</v>
      </c>
      <c r="X37" s="3">
        <f t="shared" si="27"/>
        <v>5.7689330371456425E-2</v>
      </c>
      <c r="Y37" s="3">
        <f t="shared" si="27"/>
        <v>5.5645386644353464E-2</v>
      </c>
      <c r="Z37" s="3">
        <f t="shared" si="27"/>
        <v>3.8794113240604909E-2</v>
      </c>
      <c r="AA37" s="3">
        <f t="shared" si="27"/>
        <v>1.0522828126924089E-3</v>
      </c>
      <c r="AB37" s="3">
        <f t="shared" si="27"/>
        <v>2.2688143215706703E-19</v>
      </c>
      <c r="AC37" s="3">
        <f t="shared" si="27"/>
        <v>4.925652103485386E-176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4.1791875021455926E-2</v>
      </c>
      <c r="C38" s="18">
        <f t="shared" si="3"/>
        <v>2.5285810572757812E-2</v>
      </c>
      <c r="D38" s="17"/>
      <c r="F38" s="3">
        <f t="shared" si="28"/>
        <v>2.5285810572757812E-2</v>
      </c>
      <c r="G38" s="3">
        <f t="shared" si="28"/>
        <v>2.5285810572757812E-2</v>
      </c>
      <c r="H38" s="3">
        <f t="shared" si="28"/>
        <v>2.5285810572757812E-2</v>
      </c>
      <c r="I38" s="3">
        <f t="shared" si="28"/>
        <v>2.5285810572757812E-2</v>
      </c>
      <c r="J38" s="3">
        <f t="shared" si="28"/>
        <v>2.5285810572757812E-2</v>
      </c>
      <c r="K38" s="3">
        <f t="shared" si="28"/>
        <v>2.5285810572757812E-2</v>
      </c>
      <c r="L38" s="3">
        <f t="shared" si="28"/>
        <v>2.5285810572757805E-2</v>
      </c>
      <c r="M38" s="3">
        <f t="shared" si="28"/>
        <v>2.5285810572757719E-2</v>
      </c>
      <c r="N38" s="3">
        <f t="shared" si="28"/>
        <v>2.5285810572756896E-2</v>
      </c>
      <c r="O38" s="3">
        <f t="shared" si="28"/>
        <v>2.528581057274867E-2</v>
      </c>
      <c r="P38" s="3">
        <f t="shared" si="27"/>
        <v>2.5285810572666389E-2</v>
      </c>
      <c r="Q38" s="3">
        <f t="shared" si="27"/>
        <v>2.5285810571843564E-2</v>
      </c>
      <c r="R38" s="3">
        <f t="shared" si="27"/>
        <v>2.528581056361533E-2</v>
      </c>
      <c r="S38" s="3">
        <f t="shared" si="27"/>
        <v>2.528581048133301E-2</v>
      </c>
      <c r="T38" s="3">
        <f t="shared" si="27"/>
        <v>2.5285809658509829E-2</v>
      </c>
      <c r="U38" s="3">
        <f t="shared" si="27"/>
        <v>2.5285801430279479E-2</v>
      </c>
      <c r="V38" s="3">
        <f t="shared" si="27"/>
        <v>2.528571914812322E-2</v>
      </c>
      <c r="W38" s="3">
        <f t="shared" si="27"/>
        <v>2.5284896341286913E-2</v>
      </c>
      <c r="X38" s="3">
        <f t="shared" si="27"/>
        <v>2.5276669745374569E-2</v>
      </c>
      <c r="Y38" s="3">
        <f t="shared" si="27"/>
        <v>2.519455085419162E-2</v>
      </c>
      <c r="Z38" s="3">
        <f t="shared" si="27"/>
        <v>2.438789319532568E-2</v>
      </c>
      <c r="AA38" s="3">
        <f t="shared" si="27"/>
        <v>1.7613713295205394E-2</v>
      </c>
      <c r="AB38" s="3">
        <f t="shared" si="27"/>
        <v>6.8016974175936205E-4</v>
      </c>
      <c r="AC38" s="3">
        <f t="shared" si="27"/>
        <v>5.0151180191834664E-18</v>
      </c>
      <c r="AD38" s="3">
        <f t="shared" si="27"/>
        <v>2.3818787771734204E-159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5.3495000738699991E-2</v>
      </c>
      <c r="C39" s="18">
        <f t="shared" si="3"/>
        <v>3.2366685021283446E-2</v>
      </c>
      <c r="D39" s="17"/>
      <c r="F39" s="3">
        <f t="shared" si="28"/>
        <v>3.2366685021283446E-2</v>
      </c>
      <c r="G39" s="3">
        <f t="shared" si="28"/>
        <v>3.2366685021283446E-2</v>
      </c>
      <c r="H39" s="3">
        <f t="shared" si="28"/>
        <v>3.2366685021283446E-2</v>
      </c>
      <c r="I39" s="3">
        <f t="shared" si="28"/>
        <v>3.2366685021283446E-2</v>
      </c>
      <c r="J39" s="3">
        <f t="shared" si="28"/>
        <v>3.2366685021283446E-2</v>
      </c>
      <c r="K39" s="3">
        <f t="shared" si="28"/>
        <v>3.2366685021283446E-2</v>
      </c>
      <c r="L39" s="3">
        <f t="shared" si="28"/>
        <v>3.2366685021283439E-2</v>
      </c>
      <c r="M39" s="3">
        <f t="shared" si="28"/>
        <v>3.2366685021283412E-2</v>
      </c>
      <c r="N39" s="3">
        <f t="shared" si="28"/>
        <v>3.236668502128312E-2</v>
      </c>
      <c r="O39" s="3">
        <f t="shared" si="28"/>
        <v>3.2366685021280206E-2</v>
      </c>
      <c r="P39" s="3">
        <f t="shared" si="27"/>
        <v>3.2366685021251083E-2</v>
      </c>
      <c r="Q39" s="3">
        <f t="shared" si="27"/>
        <v>3.2366685020959782E-2</v>
      </c>
      <c r="R39" s="3">
        <f t="shared" si="27"/>
        <v>3.2366685018046779E-2</v>
      </c>
      <c r="S39" s="3">
        <f t="shared" si="27"/>
        <v>3.2366684988916761E-2</v>
      </c>
      <c r="T39" s="3">
        <f t="shared" si="27"/>
        <v>3.2366684697616596E-2</v>
      </c>
      <c r="U39" s="3">
        <f t="shared" si="27"/>
        <v>3.236668178461511E-2</v>
      </c>
      <c r="V39" s="3">
        <f t="shared" si="27"/>
        <v>3.2366652654614608E-2</v>
      </c>
      <c r="W39" s="3">
        <f t="shared" si="27"/>
        <v>3.236636135605156E-2</v>
      </c>
      <c r="X39" s="3">
        <f t="shared" si="27"/>
        <v>3.2363448514609351E-2</v>
      </c>
      <c r="Y39" s="3">
        <f t="shared" si="27"/>
        <v>3.2334334514211575E-2</v>
      </c>
      <c r="Z39" s="3">
        <f t="shared" si="27"/>
        <v>3.2044631124333367E-2</v>
      </c>
      <c r="AA39" s="3">
        <f t="shared" si="27"/>
        <v>2.9286587705041278E-2</v>
      </c>
      <c r="AB39" s="3">
        <f t="shared" si="27"/>
        <v>1.1907037998201848E-2</v>
      </c>
      <c r="AC39" s="3">
        <f t="shared" si="27"/>
        <v>1.4694452266107391E-6</v>
      </c>
      <c r="AD39" s="3">
        <f t="shared" si="27"/>
        <v>1.2040652737110999E-45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5.1746548721972742E-2</v>
      </c>
      <c r="C40" s="18">
        <f t="shared" si="3"/>
        <v>3.1308799332550319E-2</v>
      </c>
      <c r="D40" s="17"/>
      <c r="F40" s="3">
        <f t="shared" si="28"/>
        <v>3.1308799332550319E-2</v>
      </c>
      <c r="G40" s="3">
        <f t="shared" si="28"/>
        <v>3.1308799332550319E-2</v>
      </c>
      <c r="H40" s="3">
        <f t="shared" si="28"/>
        <v>3.1308799332550319E-2</v>
      </c>
      <c r="I40" s="3">
        <f t="shared" si="28"/>
        <v>3.1308799332550319E-2</v>
      </c>
      <c r="J40" s="3">
        <f t="shared" si="28"/>
        <v>3.1308799332550319E-2</v>
      </c>
      <c r="K40" s="3">
        <f t="shared" si="28"/>
        <v>3.1308799332550319E-2</v>
      </c>
      <c r="L40" s="3">
        <f t="shared" si="28"/>
        <v>3.1308799332550319E-2</v>
      </c>
      <c r="M40" s="3">
        <f t="shared" si="28"/>
        <v>3.1308799332550312E-2</v>
      </c>
      <c r="N40" s="3">
        <f t="shared" si="28"/>
        <v>3.1308799332550284E-2</v>
      </c>
      <c r="O40" s="3">
        <f t="shared" si="28"/>
        <v>3.1308799332550007E-2</v>
      </c>
      <c r="P40" s="3">
        <f t="shared" si="27"/>
        <v>3.1308799332547189E-2</v>
      </c>
      <c r="Q40" s="3">
        <f t="shared" si="27"/>
        <v>3.1308799332519011E-2</v>
      </c>
      <c r="R40" s="3">
        <f t="shared" si="27"/>
        <v>3.1308799332237229E-2</v>
      </c>
      <c r="S40" s="3">
        <f t="shared" si="27"/>
        <v>3.1308799329419441E-2</v>
      </c>
      <c r="T40" s="3">
        <f t="shared" si="27"/>
        <v>3.1308799301241523E-2</v>
      </c>
      <c r="U40" s="3">
        <f t="shared" si="27"/>
        <v>3.1308799019462326E-2</v>
      </c>
      <c r="V40" s="3">
        <f t="shared" si="27"/>
        <v>3.1308796201670541E-2</v>
      </c>
      <c r="W40" s="3">
        <f t="shared" si="27"/>
        <v>3.1308768023766642E-2</v>
      </c>
      <c r="X40" s="3">
        <f t="shared" si="27"/>
        <v>3.1308486246122424E-2</v>
      </c>
      <c r="Y40" s="3">
        <f t="shared" si="27"/>
        <v>3.1305668609155846E-2</v>
      </c>
      <c r="Z40" s="3">
        <f t="shared" si="27"/>
        <v>3.1277506182400605E-2</v>
      </c>
      <c r="AA40" s="3">
        <f t="shared" si="27"/>
        <v>3.0997271574077508E-2</v>
      </c>
      <c r="AB40" s="3">
        <f t="shared" si="27"/>
        <v>2.8329373149870805E-2</v>
      </c>
      <c r="AC40" s="3">
        <f t="shared" si="27"/>
        <v>1.1517863602207438E-2</v>
      </c>
      <c r="AD40" s="3">
        <f t="shared" si="27"/>
        <v>1.4214172906455171E-6</v>
      </c>
      <c r="AE40" s="3">
        <f t="shared" si="27"/>
        <v>1.1647111223507763E-45</v>
      </c>
      <c r="AF40" s="3">
        <f t="shared" si="29"/>
        <v>0</v>
      </c>
      <c r="AG40" s="3">
        <f t="shared" si="29"/>
        <v>0</v>
      </c>
      <c r="AH40" s="3">
        <f t="shared" si="29"/>
        <v>0</v>
      </c>
      <c r="AI40" s="3">
        <f t="shared" si="29"/>
        <v>0</v>
      </c>
      <c r="AJ40" s="3">
        <f t="shared" si="29"/>
        <v>0</v>
      </c>
    </row>
    <row r="41" spans="1:36" x14ac:dyDescent="0.25">
      <c r="A41" s="3">
        <f t="shared" si="30"/>
        <v>1000000000</v>
      </c>
      <c r="B41" s="106">
        <v>4.8968577326676081E-2</v>
      </c>
      <c r="C41" s="18">
        <f t="shared" si="3"/>
        <v>2.9628011896189826E-2</v>
      </c>
      <c r="D41" s="17"/>
      <c r="F41" s="3">
        <f t="shared" si="28"/>
        <v>2.9628011896189826E-2</v>
      </c>
      <c r="G41" s="3">
        <f t="shared" si="28"/>
        <v>2.9628011896189826E-2</v>
      </c>
      <c r="H41" s="3">
        <f t="shared" si="28"/>
        <v>2.9628011896189826E-2</v>
      </c>
      <c r="I41" s="3">
        <f t="shared" si="28"/>
        <v>2.9628011896189826E-2</v>
      </c>
      <c r="J41" s="3">
        <f t="shared" si="28"/>
        <v>2.9628011896189826E-2</v>
      </c>
      <c r="K41" s="3">
        <f t="shared" si="28"/>
        <v>2.9628011896189826E-2</v>
      </c>
      <c r="L41" s="3">
        <f t="shared" si="28"/>
        <v>2.9628011896189826E-2</v>
      </c>
      <c r="M41" s="3">
        <f t="shared" si="28"/>
        <v>2.9628011896189826E-2</v>
      </c>
      <c r="N41" s="3">
        <f t="shared" si="28"/>
        <v>2.9628011896189823E-2</v>
      </c>
      <c r="O41" s="3">
        <f t="shared" si="28"/>
        <v>2.9628011896189795E-2</v>
      </c>
      <c r="P41" s="3">
        <f t="shared" si="27"/>
        <v>2.9628011896189532E-2</v>
      </c>
      <c r="Q41" s="3">
        <f t="shared" si="27"/>
        <v>2.9628011896186864E-2</v>
      </c>
      <c r="R41" s="3">
        <f t="shared" si="27"/>
        <v>2.9628011896160197E-2</v>
      </c>
      <c r="S41" s="3">
        <f t="shared" si="27"/>
        <v>2.9628011895893546E-2</v>
      </c>
      <c r="T41" s="3">
        <f t="shared" si="27"/>
        <v>2.9628011893227026E-2</v>
      </c>
      <c r="U41" s="3">
        <f t="shared" si="27"/>
        <v>2.9628011866561815E-2</v>
      </c>
      <c r="V41" s="3">
        <f t="shared" si="27"/>
        <v>2.9628011599909708E-2</v>
      </c>
      <c r="W41" s="3">
        <f t="shared" si="27"/>
        <v>2.9628008933388787E-2</v>
      </c>
      <c r="X41" s="3">
        <f t="shared" si="27"/>
        <v>2.9627982268192746E-2</v>
      </c>
      <c r="Y41" s="3">
        <f t="shared" si="27"/>
        <v>2.9627715617552262E-2</v>
      </c>
      <c r="Z41" s="3">
        <f t="shared" si="27"/>
        <v>2.9625049243135328E-2</v>
      </c>
      <c r="AA41" s="3">
        <f t="shared" si="27"/>
        <v>2.9598398693362817E-2</v>
      </c>
      <c r="AB41" s="3">
        <f t="shared" si="27"/>
        <v>2.9333208252141113E-2</v>
      </c>
      <c r="AC41" s="3">
        <f t="shared" si="27"/>
        <v>2.6808533785687094E-2</v>
      </c>
      <c r="AD41" s="3">
        <f t="shared" si="27"/>
        <v>1.0899536459391158E-2</v>
      </c>
      <c r="AE41" s="3">
        <f t="shared" si="27"/>
        <v>1.3451096590890838E-6</v>
      </c>
      <c r="AF41" s="3">
        <f t="shared" si="29"/>
        <v>1.1021845527227531E-45</v>
      </c>
      <c r="AG41" s="3">
        <f t="shared" si="29"/>
        <v>0</v>
      </c>
      <c r="AH41" s="3">
        <f t="shared" si="29"/>
        <v>0</v>
      </c>
      <c r="AI41" s="3">
        <f t="shared" si="29"/>
        <v>0</v>
      </c>
      <c r="AJ41" s="3">
        <f t="shared" si="29"/>
        <v>0</v>
      </c>
    </row>
    <row r="42" spans="1:36" x14ac:dyDescent="0.25">
      <c r="A42" s="3">
        <f t="shared" si="30"/>
        <v>10000000000</v>
      </c>
      <c r="B42" s="106">
        <v>5.1034948558832206E-2</v>
      </c>
      <c r="C42" s="18">
        <f t="shared" si="3"/>
        <v>3.0878251841692891E-2</v>
      </c>
      <c r="D42" s="17"/>
      <c r="F42" s="3">
        <f t="shared" si="28"/>
        <v>3.0878251841692891E-2</v>
      </c>
      <c r="G42" s="3">
        <f t="shared" si="28"/>
        <v>3.0878251841692891E-2</v>
      </c>
      <c r="H42" s="3">
        <f t="shared" si="28"/>
        <v>3.0878251841692891E-2</v>
      </c>
      <c r="I42" s="3">
        <f t="shared" si="28"/>
        <v>3.0878251841692891E-2</v>
      </c>
      <c r="J42" s="3">
        <f t="shared" si="28"/>
        <v>3.0878251841692891E-2</v>
      </c>
      <c r="K42" s="3">
        <f t="shared" si="28"/>
        <v>3.0878251841692891E-2</v>
      </c>
      <c r="L42" s="3">
        <f t="shared" si="28"/>
        <v>3.0878251841692891E-2</v>
      </c>
      <c r="M42" s="3">
        <f t="shared" si="28"/>
        <v>3.0878251841692891E-2</v>
      </c>
      <c r="N42" s="3">
        <f t="shared" si="28"/>
        <v>3.0878251841692891E-2</v>
      </c>
      <c r="O42" s="3">
        <f t="shared" si="28"/>
        <v>3.0878251841692888E-2</v>
      </c>
      <c r="P42" s="3">
        <f t="shared" si="27"/>
        <v>3.087825184169286E-2</v>
      </c>
      <c r="Q42" s="3">
        <f t="shared" si="27"/>
        <v>3.0878251841692583E-2</v>
      </c>
      <c r="R42" s="3">
        <f t="shared" si="27"/>
        <v>3.0878251841689804E-2</v>
      </c>
      <c r="S42" s="3">
        <f t="shared" si="27"/>
        <v>3.0878251841662013E-2</v>
      </c>
      <c r="T42" s="3">
        <f t="shared" si="27"/>
        <v>3.0878251841384107E-2</v>
      </c>
      <c r="U42" s="3">
        <f t="shared" si="27"/>
        <v>3.0878251838605066E-2</v>
      </c>
      <c r="V42" s="3">
        <f t="shared" si="27"/>
        <v>3.087825181081464E-2</v>
      </c>
      <c r="W42" s="3">
        <f t="shared" si="27"/>
        <v>3.0878251532910374E-2</v>
      </c>
      <c r="X42" s="3">
        <f t="shared" si="27"/>
        <v>3.0878248753867864E-2</v>
      </c>
      <c r="Y42" s="3">
        <f t="shared" si="27"/>
        <v>3.087822096345649E-2</v>
      </c>
      <c r="Z42" s="3">
        <f t="shared" si="27"/>
        <v>3.0877943060718383E-2</v>
      </c>
      <c r="AA42" s="3">
        <f t="shared" si="27"/>
        <v>3.0875164170894837E-2</v>
      </c>
      <c r="AB42" s="3">
        <f t="shared" si="27"/>
        <v>3.0847389023832033E-2</v>
      </c>
      <c r="AC42" s="3">
        <f t="shared" si="27"/>
        <v>3.057100810233299E-2</v>
      </c>
      <c r="AD42" s="3">
        <f t="shared" si="27"/>
        <v>2.7939797669901508E-2</v>
      </c>
      <c r="AE42" s="3">
        <f t="shared" si="27"/>
        <v>1.135947403187304E-2</v>
      </c>
      <c r="AF42" s="3">
        <f t="shared" si="29"/>
        <v>1.4018704648011759E-6</v>
      </c>
      <c r="AG42" s="3">
        <f t="shared" si="29"/>
        <v>1.1486944285780287E-45</v>
      </c>
      <c r="AH42" s="3">
        <f t="shared" si="29"/>
        <v>0</v>
      </c>
      <c r="AI42" s="3">
        <f t="shared" si="29"/>
        <v>0</v>
      </c>
      <c r="AJ42" s="3">
        <f t="shared" si="29"/>
        <v>0</v>
      </c>
    </row>
    <row r="43" spans="1:36" x14ac:dyDescent="0.25">
      <c r="A43" s="3">
        <f t="shared" si="30"/>
        <v>100000000000</v>
      </c>
      <c r="B43" s="106">
        <v>5.787366067127591E-2</v>
      </c>
      <c r="C43" s="18">
        <f t="shared" si="3"/>
        <v>3.5015955138041704E-2</v>
      </c>
      <c r="D43" s="17"/>
      <c r="F43" s="3">
        <f t="shared" si="28"/>
        <v>3.5015955138041704E-2</v>
      </c>
      <c r="G43" s="3">
        <f t="shared" si="28"/>
        <v>3.5015955138041704E-2</v>
      </c>
      <c r="H43" s="3">
        <f t="shared" si="28"/>
        <v>3.5015955138041704E-2</v>
      </c>
      <c r="I43" s="3">
        <f t="shared" si="28"/>
        <v>3.5015955138041704E-2</v>
      </c>
      <c r="J43" s="3">
        <f t="shared" si="28"/>
        <v>3.5015955138041704E-2</v>
      </c>
      <c r="K43" s="3">
        <f t="shared" si="28"/>
        <v>3.5015955138041704E-2</v>
      </c>
      <c r="L43" s="3">
        <f t="shared" si="28"/>
        <v>3.5015955138041704E-2</v>
      </c>
      <c r="M43" s="3">
        <f t="shared" si="28"/>
        <v>3.5015955138041704E-2</v>
      </c>
      <c r="N43" s="3">
        <f t="shared" si="28"/>
        <v>3.5015955138041704E-2</v>
      </c>
      <c r="O43" s="3">
        <f t="shared" si="28"/>
        <v>3.5015955138041704E-2</v>
      </c>
      <c r="P43" s="3">
        <f t="shared" si="27"/>
        <v>3.5015955138041698E-2</v>
      </c>
      <c r="Q43" s="3">
        <f t="shared" si="27"/>
        <v>3.501595513804167E-2</v>
      </c>
      <c r="R43" s="3">
        <f t="shared" si="27"/>
        <v>3.5015955138041358E-2</v>
      </c>
      <c r="S43" s="3">
        <f t="shared" si="27"/>
        <v>3.50159551380382E-2</v>
      </c>
      <c r="T43" s="3">
        <f t="shared" si="27"/>
        <v>3.5015955138006691E-2</v>
      </c>
      <c r="U43" s="3">
        <f t="shared" si="27"/>
        <v>3.5015955137691547E-2</v>
      </c>
      <c r="V43" s="3">
        <f t="shared" si="27"/>
        <v>3.501595513454011E-2</v>
      </c>
      <c r="W43" s="3">
        <f t="shared" si="27"/>
        <v>3.5015955103025749E-2</v>
      </c>
      <c r="X43" s="3">
        <f t="shared" si="27"/>
        <v>3.5015954787882157E-2</v>
      </c>
      <c r="Y43" s="3">
        <f t="shared" si="27"/>
        <v>3.5015951636446364E-2</v>
      </c>
      <c r="Z43" s="3">
        <f t="shared" si="27"/>
        <v>3.5015920122104076E-2</v>
      </c>
      <c r="AA43" s="3">
        <f t="shared" si="27"/>
        <v>3.5015604980241116E-2</v>
      </c>
      <c r="AB43" s="3">
        <f t="shared" si="27"/>
        <v>3.5012453717601838E-2</v>
      </c>
      <c r="AC43" s="3">
        <f t="shared" si="27"/>
        <v>3.49809566850467E-2</v>
      </c>
      <c r="AD43" s="3">
        <f t="shared" si="27"/>
        <v>3.4667540562986515E-2</v>
      </c>
      <c r="AE43" s="3">
        <f t="shared" si="27"/>
        <v>3.1683746437168647E-2</v>
      </c>
      <c r="AF43" s="3">
        <f t="shared" si="29"/>
        <v>1.2881650008267078E-2</v>
      </c>
      <c r="AG43" s="3">
        <f t="shared" si="29"/>
        <v>1.5897219038334141E-6</v>
      </c>
      <c r="AH43" s="3">
        <f t="shared" si="29"/>
        <v>1.302620134864523E-45</v>
      </c>
      <c r="AI43" s="3">
        <f t="shared" si="29"/>
        <v>0</v>
      </c>
      <c r="AJ43" s="3">
        <f t="shared" si="29"/>
        <v>0</v>
      </c>
    </row>
    <row r="44" spans="1:36" x14ac:dyDescent="0.25">
      <c r="A44" s="3">
        <f t="shared" si="30"/>
        <v>1000000000000</v>
      </c>
      <c r="B44" s="106">
        <v>6.1567384492173624E-2</v>
      </c>
      <c r="C44" s="18">
        <f t="shared" si="3"/>
        <v>3.7250810616417634E-2</v>
      </c>
      <c r="D44" s="17"/>
      <c r="F44" s="3">
        <f t="shared" si="28"/>
        <v>3.7250810616417634E-2</v>
      </c>
      <c r="G44" s="3">
        <f t="shared" si="28"/>
        <v>3.7250810616417634E-2</v>
      </c>
      <c r="H44" s="3">
        <f t="shared" si="28"/>
        <v>3.7250810616417634E-2</v>
      </c>
      <c r="I44" s="3">
        <f t="shared" si="28"/>
        <v>3.7250810616417634E-2</v>
      </c>
      <c r="J44" s="3">
        <f t="shared" si="28"/>
        <v>3.7250810616417634E-2</v>
      </c>
      <c r="K44" s="3">
        <f t="shared" si="28"/>
        <v>3.7250810616417634E-2</v>
      </c>
      <c r="L44" s="3">
        <f t="shared" si="28"/>
        <v>3.7250810616417634E-2</v>
      </c>
      <c r="M44" s="3">
        <f t="shared" si="28"/>
        <v>3.7250810616417634E-2</v>
      </c>
      <c r="N44" s="3">
        <f t="shared" si="28"/>
        <v>3.7250810616417634E-2</v>
      </c>
      <c r="O44" s="3">
        <f t="shared" si="28"/>
        <v>3.7250810616417634E-2</v>
      </c>
      <c r="P44" s="3">
        <f t="shared" si="27"/>
        <v>3.7250810616417634E-2</v>
      </c>
      <c r="Q44" s="3">
        <f t="shared" si="27"/>
        <v>3.7250810616417628E-2</v>
      </c>
      <c r="R44" s="3">
        <f t="shared" si="27"/>
        <v>3.72508106164176E-2</v>
      </c>
      <c r="S44" s="3">
        <f t="shared" si="27"/>
        <v>3.725081061641726E-2</v>
      </c>
      <c r="T44" s="3">
        <f t="shared" si="27"/>
        <v>3.7250810616413908E-2</v>
      </c>
      <c r="U44" s="3">
        <f t="shared" si="27"/>
        <v>3.7250810616380386E-2</v>
      </c>
      <c r="V44" s="3">
        <f t="shared" si="27"/>
        <v>3.7250810616045127E-2</v>
      </c>
      <c r="W44" s="3">
        <f t="shared" si="27"/>
        <v>3.7250810612692552E-2</v>
      </c>
      <c r="X44" s="3">
        <f t="shared" si="27"/>
        <v>3.7250810579166828E-2</v>
      </c>
      <c r="Y44" s="3">
        <f t="shared" si="27"/>
        <v>3.7250810243909534E-2</v>
      </c>
      <c r="Z44" s="3">
        <f t="shared" si="27"/>
        <v>3.7250806891336759E-2</v>
      </c>
      <c r="AA44" s="3">
        <f t="shared" si="27"/>
        <v>3.7250773365625642E-2</v>
      </c>
      <c r="AB44" s="3">
        <f t="shared" si="27"/>
        <v>3.7250438110174006E-2</v>
      </c>
      <c r="AC44" s="3">
        <f t="shared" si="27"/>
        <v>3.7247085721603838E-2</v>
      </c>
      <c r="AD44" s="3">
        <f t="shared" si="27"/>
        <v>3.7213578424999609E-2</v>
      </c>
      <c r="AE44" s="3">
        <f t="shared" si="27"/>
        <v>3.6880158857806024E-2</v>
      </c>
      <c r="AF44" s="3">
        <f t="shared" si="29"/>
        <v>3.3705927297905842E-2</v>
      </c>
      <c r="AG44" s="3">
        <f t="shared" si="29"/>
        <v>1.370380739275095E-2</v>
      </c>
      <c r="AH44" s="3">
        <f t="shared" si="29"/>
        <v>1.6911841855809857E-6</v>
      </c>
      <c r="AI44" s="3">
        <f t="shared" si="29"/>
        <v>1.3857584566143715E-45</v>
      </c>
      <c r="AJ44" s="3">
        <f t="shared" si="29"/>
        <v>0</v>
      </c>
    </row>
    <row r="45" spans="1:36" x14ac:dyDescent="0.25">
      <c r="A45" s="3">
        <f t="shared" si="30"/>
        <v>10000000000000</v>
      </c>
      <c r="B45" s="106">
        <v>5.6026466413904893E-2</v>
      </c>
      <c r="C45" s="18">
        <f t="shared" si="3"/>
        <v>3.3898326315238474E-2</v>
      </c>
      <c r="D45" s="17"/>
      <c r="F45" s="3">
        <f t="shared" si="28"/>
        <v>3.3898326315238474E-2</v>
      </c>
      <c r="G45" s="3">
        <f t="shared" si="28"/>
        <v>3.3898326315238474E-2</v>
      </c>
      <c r="H45" s="3">
        <f t="shared" si="28"/>
        <v>3.3898326315238474E-2</v>
      </c>
      <c r="I45" s="3">
        <f t="shared" si="28"/>
        <v>3.3898326315238474E-2</v>
      </c>
      <c r="J45" s="3">
        <f t="shared" si="28"/>
        <v>3.3898326315238474E-2</v>
      </c>
      <c r="K45" s="3">
        <f t="shared" si="28"/>
        <v>3.3898326315238474E-2</v>
      </c>
      <c r="L45" s="3">
        <f t="shared" si="28"/>
        <v>3.3898326315238474E-2</v>
      </c>
      <c r="M45" s="3">
        <f t="shared" si="28"/>
        <v>3.3898326315238474E-2</v>
      </c>
      <c r="N45" s="3">
        <f t="shared" si="28"/>
        <v>3.3898326315238474E-2</v>
      </c>
      <c r="O45" s="3">
        <f t="shared" si="28"/>
        <v>3.3898326315238474E-2</v>
      </c>
      <c r="P45" s="3">
        <f t="shared" si="27"/>
        <v>3.3898326315238474E-2</v>
      </c>
      <c r="Q45" s="3">
        <f t="shared" si="27"/>
        <v>3.3898326315238474E-2</v>
      </c>
      <c r="R45" s="3">
        <f t="shared" si="27"/>
        <v>3.3898326315238467E-2</v>
      </c>
      <c r="S45" s="3">
        <f t="shared" si="27"/>
        <v>3.3898326315238439E-2</v>
      </c>
      <c r="T45" s="3">
        <f t="shared" si="27"/>
        <v>3.3898326315238134E-2</v>
      </c>
      <c r="U45" s="3">
        <f t="shared" si="27"/>
        <v>3.3898326315235081E-2</v>
      </c>
      <c r="V45" s="3">
        <f t="shared" si="27"/>
        <v>3.3898326315204577E-2</v>
      </c>
      <c r="W45" s="3">
        <f t="shared" si="27"/>
        <v>3.3898326314899488E-2</v>
      </c>
      <c r="X45" s="3">
        <f t="shared" si="27"/>
        <v>3.3898326311848644E-2</v>
      </c>
      <c r="Y45" s="3">
        <f t="shared" si="27"/>
        <v>3.3898326281340145E-2</v>
      </c>
      <c r="Z45" s="3">
        <f t="shared" si="27"/>
        <v>3.3898325976255216E-2</v>
      </c>
      <c r="AA45" s="3">
        <f t="shared" si="27"/>
        <v>3.389832292540601E-2</v>
      </c>
      <c r="AB45" s="3">
        <f t="shared" si="27"/>
        <v>3.3898292416929106E-2</v>
      </c>
      <c r="AC45" s="3">
        <f t="shared" si="27"/>
        <v>3.3897987333670235E-2</v>
      </c>
      <c r="AD45" s="3">
        <f t="shared" si="27"/>
        <v>3.3894936652092929E-2</v>
      </c>
      <c r="AE45" s="3">
        <f t="shared" si="27"/>
        <v>3.3864444932438086E-2</v>
      </c>
      <c r="AF45" s="3">
        <f t="shared" si="29"/>
        <v>3.3561032332776901E-2</v>
      </c>
      <c r="AG45" s="3">
        <f t="shared" si="29"/>
        <v>3.0672474058820801E-2</v>
      </c>
      <c r="AH45" s="3">
        <f t="shared" si="29"/>
        <v>1.2470497341497128E-2</v>
      </c>
      <c r="AI45" s="3">
        <f t="shared" si="29"/>
        <v>1.5389816337776188E-6</v>
      </c>
      <c r="AJ45" s="3">
        <f t="shared" si="29"/>
        <v>1.2610434935263355E-45</v>
      </c>
    </row>
    <row r="46" spans="1:36" x14ac:dyDescent="0.25">
      <c r="A46" s="3">
        <f t="shared" si="30"/>
        <v>100000000000000</v>
      </c>
      <c r="B46" s="106">
        <v>3.9223573690235075E-2</v>
      </c>
      <c r="C46" s="18">
        <f t="shared" si="3"/>
        <v>2.3731882185441592E-2</v>
      </c>
      <c r="D46" s="17"/>
      <c r="F46" s="3">
        <f t="shared" si="28"/>
        <v>2.3731882185441592E-2</v>
      </c>
      <c r="G46" s="3">
        <f t="shared" si="28"/>
        <v>2.3731882185441592E-2</v>
      </c>
      <c r="H46" s="3">
        <f t="shared" si="28"/>
        <v>2.3731882185441592E-2</v>
      </c>
      <c r="I46" s="3">
        <f t="shared" si="28"/>
        <v>2.3731882185441592E-2</v>
      </c>
      <c r="J46" s="3">
        <f t="shared" si="28"/>
        <v>2.3731882185441592E-2</v>
      </c>
      <c r="K46" s="3">
        <f t="shared" si="28"/>
        <v>2.3731882185441592E-2</v>
      </c>
      <c r="L46" s="3">
        <f t="shared" si="28"/>
        <v>2.3731882185441592E-2</v>
      </c>
      <c r="M46" s="3">
        <f t="shared" si="28"/>
        <v>2.3731882185441592E-2</v>
      </c>
      <c r="N46" s="3">
        <f t="shared" si="28"/>
        <v>2.3731882185441592E-2</v>
      </c>
      <c r="O46" s="3">
        <f t="shared" si="28"/>
        <v>2.3731882185441592E-2</v>
      </c>
      <c r="P46" s="3">
        <f t="shared" si="27"/>
        <v>2.3731882185441592E-2</v>
      </c>
      <c r="Q46" s="3">
        <f t="shared" si="27"/>
        <v>2.3731882185441592E-2</v>
      </c>
      <c r="R46" s="3">
        <f t="shared" si="27"/>
        <v>2.3731882185441592E-2</v>
      </c>
      <c r="S46" s="3">
        <f t="shared" si="27"/>
        <v>2.3731882185441588E-2</v>
      </c>
      <c r="T46" s="3">
        <f t="shared" si="27"/>
        <v>2.3731882185441568E-2</v>
      </c>
      <c r="U46" s="3">
        <f t="shared" si="27"/>
        <v>2.3731882185441356E-2</v>
      </c>
      <c r="V46" s="3">
        <f t="shared" si="27"/>
        <v>2.3731882185439219E-2</v>
      </c>
      <c r="W46" s="3">
        <f t="shared" si="27"/>
        <v>2.3731882185417861E-2</v>
      </c>
      <c r="X46" s="3">
        <f t="shared" si="27"/>
        <v>2.3731882185204275E-2</v>
      </c>
      <c r="Y46" s="3">
        <f t="shared" si="27"/>
        <v>2.3731882183068403E-2</v>
      </c>
      <c r="Z46" s="3">
        <f t="shared" si="27"/>
        <v>2.3731882161709711E-2</v>
      </c>
      <c r="AA46" s="3">
        <f t="shared" si="27"/>
        <v>2.3731881948122771E-2</v>
      </c>
      <c r="AB46" s="3">
        <f t="shared" si="27"/>
        <v>2.3731879812253494E-2</v>
      </c>
      <c r="AC46" s="3">
        <f t="shared" si="27"/>
        <v>2.3731858453571272E-2</v>
      </c>
      <c r="AD46" s="3">
        <f t="shared" si="27"/>
        <v>2.3731644867806326E-2</v>
      </c>
      <c r="AE46" s="3">
        <f t="shared" si="27"/>
        <v>2.3729509115878504E-2</v>
      </c>
      <c r="AF46" s="3">
        <f t="shared" si="29"/>
        <v>2.3708162165242918E-2</v>
      </c>
      <c r="AG46" s="3">
        <f t="shared" si="29"/>
        <v>2.3495746012251292E-2</v>
      </c>
      <c r="AH46" s="3">
        <f t="shared" si="29"/>
        <v>2.1473495001808555E-2</v>
      </c>
      <c r="AI46" s="3">
        <f t="shared" si="29"/>
        <v>8.7304715563267608E-3</v>
      </c>
      <c r="AJ46" s="3">
        <f t="shared" si="29"/>
        <v>1.0774257843506138E-6</v>
      </c>
    </row>
    <row r="47" spans="1:36" x14ac:dyDescent="0.25">
      <c r="A47" s="3">
        <f t="shared" si="30"/>
        <v>1000000000000000</v>
      </c>
      <c r="B47" s="106">
        <v>1.8421999386109937E-2</v>
      </c>
      <c r="C47" s="18">
        <f t="shared" si="3"/>
        <v>1.1146070536665017E-2</v>
      </c>
      <c r="D47" s="17"/>
      <c r="F47" s="3">
        <f t="shared" si="28"/>
        <v>1.1146070536665017E-2</v>
      </c>
      <c r="G47" s="3">
        <f t="shared" si="28"/>
        <v>1.1146070536665017E-2</v>
      </c>
      <c r="H47" s="3">
        <f t="shared" si="28"/>
        <v>1.1146070536665017E-2</v>
      </c>
      <c r="I47" s="3">
        <f t="shared" si="28"/>
        <v>1.1146070536665017E-2</v>
      </c>
      <c r="J47" s="3">
        <f t="shared" si="28"/>
        <v>1.1146070536665017E-2</v>
      </c>
      <c r="K47" s="3">
        <f t="shared" si="28"/>
        <v>1.1146070536665017E-2</v>
      </c>
      <c r="L47" s="3">
        <f t="shared" si="28"/>
        <v>1.1146070536665017E-2</v>
      </c>
      <c r="M47" s="3">
        <f t="shared" si="28"/>
        <v>1.1146070536665017E-2</v>
      </c>
      <c r="N47" s="3">
        <f t="shared" si="28"/>
        <v>1.1146070536665017E-2</v>
      </c>
      <c r="O47" s="3">
        <f t="shared" si="28"/>
        <v>1.1146070536665017E-2</v>
      </c>
      <c r="P47" s="3">
        <f t="shared" si="27"/>
        <v>1.1146070536665017E-2</v>
      </c>
      <c r="Q47" s="3">
        <f t="shared" si="27"/>
        <v>1.1146070536665017E-2</v>
      </c>
      <c r="R47" s="3">
        <f t="shared" si="27"/>
        <v>1.1146070536665017E-2</v>
      </c>
      <c r="S47" s="3">
        <f t="shared" si="27"/>
        <v>1.1146070536665017E-2</v>
      </c>
      <c r="T47" s="3">
        <f t="shared" si="27"/>
        <v>1.1146070536665015E-2</v>
      </c>
      <c r="U47" s="3">
        <f t="shared" si="27"/>
        <v>1.1146070536665007E-2</v>
      </c>
      <c r="V47" s="3">
        <f t="shared" si="27"/>
        <v>1.1146070536664906E-2</v>
      </c>
      <c r="W47" s="3">
        <f t="shared" si="27"/>
        <v>1.1146070536663902E-2</v>
      </c>
      <c r="X47" s="3">
        <f t="shared" si="27"/>
        <v>1.1146070536653872E-2</v>
      </c>
      <c r="Y47" s="3">
        <f t="shared" si="27"/>
        <v>1.1146070536553556E-2</v>
      </c>
      <c r="Z47" s="3">
        <f t="shared" si="27"/>
        <v>1.1146070535550411E-2</v>
      </c>
      <c r="AA47" s="3">
        <f t="shared" si="27"/>
        <v>1.1146070525518947E-2</v>
      </c>
      <c r="AB47" s="3">
        <f t="shared" si="27"/>
        <v>1.1146070425204312E-2</v>
      </c>
      <c r="AC47" s="3">
        <f t="shared" si="27"/>
        <v>1.114606942205802E-2</v>
      </c>
      <c r="AD47" s="3">
        <f t="shared" si="27"/>
        <v>1.1146059390600054E-2</v>
      </c>
      <c r="AE47" s="3">
        <f t="shared" si="27"/>
        <v>1.1145959076516953E-2</v>
      </c>
      <c r="AF47" s="3">
        <f t="shared" si="29"/>
        <v>1.1144955985339846E-2</v>
      </c>
      <c r="AG47" s="3">
        <f t="shared" si="29"/>
        <v>1.1134930037306407E-2</v>
      </c>
      <c r="AH47" s="3">
        <f t="shared" si="29"/>
        <v>1.1035165281781702E-2</v>
      </c>
      <c r="AI47" s="3">
        <f t="shared" si="29"/>
        <v>1.0085381685642656E-2</v>
      </c>
      <c r="AJ47" s="3">
        <f t="shared" si="29"/>
        <v>4.1004102002858049E-3</v>
      </c>
    </row>
    <row r="48" spans="1:36" x14ac:dyDescent="0.25">
      <c r="A48" s="3">
        <f t="shared" si="30"/>
        <v>1E+16</v>
      </c>
      <c r="B48" s="106">
        <v>4.270409381993219E-2</v>
      </c>
      <c r="C48" s="18">
        <f t="shared" si="3"/>
        <v>2.58377406244087E-2</v>
      </c>
      <c r="D48" s="17"/>
      <c r="F48" s="3">
        <f t="shared" si="28"/>
        <v>2.58377406244087E-2</v>
      </c>
      <c r="G48" s="3">
        <f t="shared" si="28"/>
        <v>2.58377406244087E-2</v>
      </c>
      <c r="H48" s="3">
        <f t="shared" si="28"/>
        <v>2.58377406244087E-2</v>
      </c>
      <c r="I48" s="3">
        <f t="shared" si="28"/>
        <v>2.58377406244087E-2</v>
      </c>
      <c r="J48" s="3">
        <f t="shared" si="28"/>
        <v>2.58377406244087E-2</v>
      </c>
      <c r="K48" s="3">
        <f t="shared" si="28"/>
        <v>2.58377406244087E-2</v>
      </c>
      <c r="L48" s="3">
        <f t="shared" si="28"/>
        <v>2.58377406244087E-2</v>
      </c>
      <c r="M48" s="3">
        <f t="shared" si="28"/>
        <v>2.58377406244087E-2</v>
      </c>
      <c r="N48" s="3">
        <f t="shared" si="28"/>
        <v>2.58377406244087E-2</v>
      </c>
      <c r="O48" s="3">
        <f t="shared" si="28"/>
        <v>2.58377406244087E-2</v>
      </c>
      <c r="P48" s="3">
        <f t="shared" si="27"/>
        <v>2.58377406244087E-2</v>
      </c>
      <c r="Q48" s="3">
        <f t="shared" si="27"/>
        <v>2.58377406244087E-2</v>
      </c>
      <c r="R48" s="3">
        <f t="shared" si="27"/>
        <v>2.58377406244087E-2</v>
      </c>
      <c r="S48" s="3">
        <f t="shared" si="27"/>
        <v>2.58377406244087E-2</v>
      </c>
      <c r="T48" s="3">
        <f t="shared" si="27"/>
        <v>2.58377406244087E-2</v>
      </c>
      <c r="U48" s="3">
        <f t="shared" si="27"/>
        <v>2.5837740624408696E-2</v>
      </c>
      <c r="V48" s="3">
        <f t="shared" si="27"/>
        <v>2.5837740624408675E-2</v>
      </c>
      <c r="W48" s="3">
        <f t="shared" si="27"/>
        <v>2.5837740624408443E-2</v>
      </c>
      <c r="X48" s="3">
        <f t="shared" si="27"/>
        <v>2.5837740624406115E-2</v>
      </c>
      <c r="Y48" s="3">
        <f t="shared" si="27"/>
        <v>2.5837740624382863E-2</v>
      </c>
      <c r="Z48" s="3">
        <f t="shared" si="27"/>
        <v>2.5837740624150323E-2</v>
      </c>
      <c r="AA48" s="3">
        <f t="shared" si="27"/>
        <v>2.5837740621824926E-2</v>
      </c>
      <c r="AB48" s="3">
        <f t="shared" si="27"/>
        <v>2.5837740598570962E-2</v>
      </c>
      <c r="AC48" s="3">
        <f t="shared" si="27"/>
        <v>2.5837740366031293E-2</v>
      </c>
      <c r="AD48" s="3">
        <f t="shared" si="27"/>
        <v>2.5837738040634769E-2</v>
      </c>
      <c r="AE48" s="3">
        <f t="shared" si="27"/>
        <v>2.5837714786680996E-2</v>
      </c>
      <c r="AF48" s="3">
        <f t="shared" si="29"/>
        <v>2.5837482248294338E-2</v>
      </c>
      <c r="AG48" s="3">
        <f t="shared" si="29"/>
        <v>2.5835156979530656E-2</v>
      </c>
      <c r="AH48" s="3">
        <f t="shared" si="29"/>
        <v>2.5811915798349391E-2</v>
      </c>
      <c r="AI48" s="3">
        <f t="shared" si="29"/>
        <v>2.5580650809649962E-2</v>
      </c>
      <c r="AJ48" s="3">
        <f t="shared" si="29"/>
        <v>2.3378954514472788E-2</v>
      </c>
    </row>
    <row r="49" spans="1:36" x14ac:dyDescent="0.25">
      <c r="B49" s="16">
        <f>SUM(B17:B48)</f>
        <v>1.6527797240750217</v>
      </c>
      <c r="C49" s="18">
        <f>SUM(C17:C48)</f>
        <v>1</v>
      </c>
      <c r="F49" s="3">
        <f t="shared" ref="F49:AJ49" si="31">F16-F17</f>
        <v>-1.5515608781470291</v>
      </c>
      <c r="G49" s="3">
        <f t="shared" si="31"/>
        <v>-0.96779985811008373</v>
      </c>
      <c r="H49" s="3">
        <f t="shared" si="31"/>
        <v>3.2453143228594854</v>
      </c>
      <c r="I49" s="3">
        <f t="shared" si="31"/>
        <v>-0.83275561420123267</v>
      </c>
      <c r="J49" s="3">
        <f t="shared" si="31"/>
        <v>0.12040601501212223</v>
      </c>
      <c r="K49" s="3">
        <f t="shared" si="31"/>
        <v>-1.9200641297175025E-2</v>
      </c>
      <c r="L49" s="3">
        <f t="shared" si="31"/>
        <v>1.8095731768880796E-2</v>
      </c>
      <c r="M49" s="3">
        <f t="shared" si="31"/>
        <v>-4.4479759712885425E-2</v>
      </c>
      <c r="N49" s="3">
        <f t="shared" si="31"/>
        <v>0.10299299022244668</v>
      </c>
      <c r="O49" s="3">
        <f t="shared" si="31"/>
        <v>-0.2106296479678349</v>
      </c>
      <c r="P49" s="3">
        <f t="shared" si="31"/>
        <v>0.36936746353148919</v>
      </c>
      <c r="Q49" s="3">
        <f t="shared" si="31"/>
        <v>-0.54242440018333582</v>
      </c>
      <c r="R49" s="3">
        <f t="shared" si="31"/>
        <v>0.66475475629704306</v>
      </c>
      <c r="S49" s="3">
        <f t="shared" si="31"/>
        <v>-0.69026014002702141</v>
      </c>
      <c r="T49" s="3">
        <f t="shared" si="31"/>
        <v>0.61836639138891769</v>
      </c>
      <c r="U49" s="3">
        <f t="shared" si="31"/>
        <v>-0.48116971252693475</v>
      </c>
      <c r="V49" s="3">
        <f t="shared" si="31"/>
        <v>0.32294710917722114</v>
      </c>
      <c r="W49" s="3">
        <f t="shared" si="31"/>
        <v>-0.18541914578418073</v>
      </c>
      <c r="X49" s="3">
        <f t="shared" si="31"/>
        <v>9.0371549889823655E-2</v>
      </c>
      <c r="Y49" s="3">
        <f t="shared" si="31"/>
        <v>-3.7339395506933215E-2</v>
      </c>
      <c r="Z49" s="3">
        <f t="shared" si="31"/>
        <v>1.2029180254103267E-2</v>
      </c>
      <c r="AA49" s="3">
        <f t="shared" si="31"/>
        <v>-2.4207713340729242E-4</v>
      </c>
      <c r="AB49" s="3">
        <f t="shared" si="31"/>
        <v>-1.0051163713114875E-2</v>
      </c>
      <c r="AC49" s="3">
        <f t="shared" si="31"/>
        <v>1.8053798082064532E-2</v>
      </c>
      <c r="AD49" s="3">
        <f t="shared" si="31"/>
        <v>-1.6882279609035322E-2</v>
      </c>
      <c r="AE49" s="3">
        <f t="shared" si="31"/>
        <v>7.1394888311715476E-3</v>
      </c>
      <c r="AF49" s="3">
        <f t="shared" si="31"/>
        <v>-1.2520439713625819E-4</v>
      </c>
      <c r="AG49" s="3">
        <f t="shared" si="31"/>
        <v>-4.319997021866584E-4</v>
      </c>
      <c r="AH49" s="3">
        <f t="shared" si="31"/>
        <v>1.6040981387277498E-3</v>
      </c>
      <c r="AI49" s="3">
        <f t="shared" si="31"/>
        <v>-5.8297736544545842E-3</v>
      </c>
      <c r="AJ49" s="3">
        <f t="shared" si="31"/>
        <v>4.803736550229587E-3</v>
      </c>
    </row>
    <row r="50" spans="1:36" x14ac:dyDescent="0.25">
      <c r="F50" s="57">
        <f t="shared" ref="F50:AJ50" si="32">F49/F17</f>
        <v>-2.2313930425898979E-4</v>
      </c>
      <c r="G50" s="57">
        <f t="shared" si="32"/>
        <v>-1.3921733548390999E-4</v>
      </c>
      <c r="H50" s="57">
        <f t="shared" si="32"/>
        <v>4.6782992790908698E-4</v>
      </c>
      <c r="I50" s="57">
        <f t="shared" si="32"/>
        <v>-1.2139362405895139E-4</v>
      </c>
      <c r="J50" s="57">
        <f t="shared" si="32"/>
        <v>1.7983014566097667E-5</v>
      </c>
      <c r="K50" s="57">
        <f t="shared" si="32"/>
        <v>-2.9180703002568406E-6</v>
      </c>
      <c r="L50" s="57">
        <f t="shared" si="32"/>
        <v>2.7985780187938095E-6</v>
      </c>
      <c r="M50" s="57">
        <f t="shared" si="32"/>
        <v>-7.0168052877714036E-6</v>
      </c>
      <c r="N50" s="57">
        <f t="shared" si="32"/>
        <v>1.6602595119121597E-5</v>
      </c>
      <c r="O50" s="57">
        <f t="shared" si="32"/>
        <v>-3.4810059018482478E-5</v>
      </c>
      <c r="P50" s="57">
        <f t="shared" si="32"/>
        <v>6.2769284300259815E-5</v>
      </c>
      <c r="Q50" s="57">
        <f t="shared" si="32"/>
        <v>-9.4997274139841252E-5</v>
      </c>
      <c r="R50" s="57">
        <f t="shared" si="32"/>
        <v>1.1983504212144397E-4</v>
      </c>
      <c r="S50" s="57">
        <f t="shared" si="32"/>
        <v>-1.2866163443800468E-4</v>
      </c>
      <c r="T50" s="57">
        <f t="shared" si="32"/>
        <v>1.2025047539894644E-4</v>
      </c>
      <c r="U50" s="57">
        <f t="shared" si="32"/>
        <v>-9.8163145643409688E-5</v>
      </c>
      <c r="V50" s="57">
        <f t="shared" si="32"/>
        <v>6.9286582731141837E-5</v>
      </c>
      <c r="W50" s="57">
        <f t="shared" si="32"/>
        <v>-4.3132137783352625E-5</v>
      </c>
      <c r="X50" s="57">
        <f t="shared" si="32"/>
        <v>2.4600046431605524E-5</v>
      </c>
      <c r="Y50" s="57">
        <f t="shared" si="32"/>
        <v>-1.2218406719445423E-5</v>
      </c>
      <c r="Z50" s="57">
        <f t="shared" si="32"/>
        <v>4.6509559770391921E-6</v>
      </c>
      <c r="AA50" s="57">
        <f t="shared" si="32"/>
        <v>-1.0771744330579915E-7</v>
      </c>
      <c r="AB50" s="57">
        <f t="shared" si="32"/>
        <v>-5.0780964312878557E-6</v>
      </c>
      <c r="AC50" s="57">
        <f t="shared" si="32"/>
        <v>1.0293354512085677E-5</v>
      </c>
      <c r="AD50" s="57">
        <f t="shared" si="32"/>
        <v>-1.0953271857659695E-5</v>
      </c>
      <c r="AE50" s="57">
        <f t="shared" si="32"/>
        <v>5.3853472222326955E-6</v>
      </c>
      <c r="AF50" s="57">
        <f t="shared" si="32"/>
        <v>-1.1482973296756937E-7</v>
      </c>
      <c r="AG50" s="57">
        <f t="shared" si="32"/>
        <v>-5.1511742863755128E-7</v>
      </c>
      <c r="AH50" s="57">
        <f t="shared" si="32"/>
        <v>2.6710703986659738E-6</v>
      </c>
      <c r="AI50" s="57">
        <f t="shared" si="32"/>
        <v>-1.4014472522410865E-5</v>
      </c>
      <c r="AJ50" s="57">
        <f t="shared" si="32"/>
        <v>1.6136837818040357E-5</v>
      </c>
    </row>
    <row r="51" spans="1:36" x14ac:dyDescent="0.25">
      <c r="A51" s="13" t="s">
        <v>21</v>
      </c>
      <c r="B51" s="3">
        <f>STUTT!D8</f>
        <v>6992.4087</v>
      </c>
      <c r="E51" s="11" t="s">
        <v>24</v>
      </c>
      <c r="F51" s="20">
        <f t="shared" ref="F51:AJ51" si="33">(F16-F17)^2</f>
        <v>2.4073411585963802</v>
      </c>
      <c r="G51" s="20">
        <f t="shared" si="33"/>
        <v>0.93663656535789819</v>
      </c>
      <c r="H51" s="20">
        <f t="shared" si="33"/>
        <v>10.53206505415692</v>
      </c>
      <c r="I51" s="20">
        <f t="shared" si="33"/>
        <v>0.69348191298367223</v>
      </c>
      <c r="J51" s="20">
        <f t="shared" si="33"/>
        <v>1.4497608451099403E-2</v>
      </c>
      <c r="K51" s="20">
        <f t="shared" si="33"/>
        <v>3.6866462622278304E-4</v>
      </c>
      <c r="L51" s="20">
        <f t="shared" si="33"/>
        <v>3.2745550825128171E-4</v>
      </c>
      <c r="M51" s="20">
        <f t="shared" si="33"/>
        <v>1.9784490241160253E-3</v>
      </c>
      <c r="N51" s="20">
        <f t="shared" si="33"/>
        <v>1.0607556034960997E-2</v>
      </c>
      <c r="O51" s="20">
        <f t="shared" si="33"/>
        <v>4.4364848603054056E-2</v>
      </c>
      <c r="P51" s="20">
        <f t="shared" si="33"/>
        <v>0.13643232311568601</v>
      </c>
      <c r="Q51" s="20">
        <f t="shared" si="33"/>
        <v>0.29422422991425162</v>
      </c>
      <c r="R51" s="20">
        <f t="shared" si="33"/>
        <v>0.44189888601954108</v>
      </c>
      <c r="S51" s="20">
        <f t="shared" si="33"/>
        <v>0.47645906091012319</v>
      </c>
      <c r="T51" s="20">
        <f t="shared" si="33"/>
        <v>0.38237699399935215</v>
      </c>
      <c r="U51" s="20">
        <f t="shared" si="33"/>
        <v>0.23152429225325302</v>
      </c>
      <c r="V51" s="20">
        <f t="shared" si="33"/>
        <v>0.10429483532592398</v>
      </c>
      <c r="W51" s="20">
        <f t="shared" si="33"/>
        <v>3.4380259623335269E-2</v>
      </c>
      <c r="X51" s="20">
        <f t="shared" si="33"/>
        <v>8.1670170294888857E-3</v>
      </c>
      <c r="Y51" s="20">
        <f t="shared" si="33"/>
        <v>1.3942304568231843E-3</v>
      </c>
      <c r="Z51" s="20">
        <f t="shared" si="33"/>
        <v>1.4470117758570792E-4</v>
      </c>
      <c r="AA51" s="20">
        <f t="shared" si="33"/>
        <v>5.8601338518692052E-8</v>
      </c>
      <c r="AB51" s="20">
        <f t="shared" si="33"/>
        <v>1.0102589198783719E-4</v>
      </c>
      <c r="AC51" s="20">
        <f t="shared" si="33"/>
        <v>3.2593962518795698E-4</v>
      </c>
      <c r="AD51" s="20">
        <f t="shared" si="33"/>
        <v>2.8501136479764982E-4</v>
      </c>
      <c r="AE51" s="20">
        <f t="shared" si="33"/>
        <v>5.0972300770423269E-5</v>
      </c>
      <c r="AF51" s="20">
        <f t="shared" si="33"/>
        <v>1.5676141062253861E-8</v>
      </c>
      <c r="AG51" s="20">
        <f t="shared" si="33"/>
        <v>1.8662374268936156E-7</v>
      </c>
      <c r="AH51" s="20">
        <f t="shared" si="33"/>
        <v>2.5731308386698309E-6</v>
      </c>
      <c r="AI51" s="20">
        <f t="shared" si="33"/>
        <v>3.3986260862172761E-5</v>
      </c>
      <c r="AJ51" s="20">
        <f t="shared" si="33"/>
        <v>2.3075884844011652E-5</v>
      </c>
    </row>
    <row r="52" spans="1:36" x14ac:dyDescent="0.25">
      <c r="A52" s="13"/>
    </row>
    <row r="53" spans="1:36" x14ac:dyDescent="0.25">
      <c r="E53" s="119" t="s">
        <v>25</v>
      </c>
      <c r="F53" s="119"/>
      <c r="G53" s="104">
        <f>SUM(F51:AJ51)</f>
        <v>16.753788948528456</v>
      </c>
      <c r="I53" s="3">
        <f>G53+C123</f>
        <v>16.753788948528456</v>
      </c>
      <c r="K53" s="3">
        <f>SUM(Z51:AJ51)</f>
        <v>9.6754653809669959E-4</v>
      </c>
    </row>
    <row r="55" spans="1:36" x14ac:dyDescent="0.25">
      <c r="E55" s="30" t="s">
        <v>30</v>
      </c>
      <c r="F55" s="31">
        <f t="shared" ref="F55:AJ55" si="34">ABS(F17-F16)/F16</f>
        <v>2.2318910652093706E-4</v>
      </c>
      <c r="G55" s="31">
        <f t="shared" si="34"/>
        <v>1.3923671964902103E-4</v>
      </c>
      <c r="H55" s="31">
        <f t="shared" si="34"/>
        <v>4.6761116541128313E-4</v>
      </c>
      <c r="I55" s="31">
        <f t="shared" si="34"/>
        <v>1.2140836226003719E-4</v>
      </c>
      <c r="J55" s="31">
        <f t="shared" si="34"/>
        <v>1.7982691183100183E-5</v>
      </c>
      <c r="K55" s="31">
        <f t="shared" si="34"/>
        <v>2.9180788154159656E-6</v>
      </c>
      <c r="L55" s="31">
        <f t="shared" si="34"/>
        <v>2.798570186776801E-6</v>
      </c>
      <c r="M55" s="31">
        <f t="shared" si="34"/>
        <v>7.0168545236733285E-6</v>
      </c>
      <c r="N55" s="31">
        <f t="shared" si="34"/>
        <v>1.660231947753327E-5</v>
      </c>
      <c r="O55" s="31">
        <f t="shared" si="34"/>
        <v>3.4811270800873563E-5</v>
      </c>
      <c r="P55" s="31">
        <f t="shared" si="34"/>
        <v>6.2765344564502635E-5</v>
      </c>
      <c r="Q55" s="31">
        <f t="shared" si="34"/>
        <v>9.5006299479317909E-5</v>
      </c>
      <c r="R55" s="31">
        <f t="shared" si="34"/>
        <v>1.1982068340480113E-4</v>
      </c>
      <c r="S55" s="31">
        <f t="shared" si="34"/>
        <v>1.2867819038429605E-4</v>
      </c>
      <c r="T55" s="31">
        <f t="shared" si="34"/>
        <v>1.2023601696074685E-4</v>
      </c>
      <c r="U55" s="31">
        <f t="shared" si="34"/>
        <v>9.8172782592565534E-5</v>
      </c>
      <c r="V55" s="31">
        <f t="shared" si="34"/>
        <v>6.9281782433191523E-5</v>
      </c>
      <c r="W55" s="31">
        <f t="shared" si="34"/>
        <v>4.3133998244908076E-5</v>
      </c>
      <c r="X55" s="31">
        <f t="shared" si="34"/>
        <v>2.4599441284207742E-5</v>
      </c>
      <c r="Y55" s="31">
        <f t="shared" si="34"/>
        <v>1.2218556010732287E-5</v>
      </c>
      <c r="Z55" s="31">
        <f t="shared" si="34"/>
        <v>4.6509343457482979E-6</v>
      </c>
      <c r="AA55" s="31">
        <f t="shared" si="34"/>
        <v>1.0771745490884799E-7</v>
      </c>
      <c r="AB55" s="31">
        <f t="shared" si="34"/>
        <v>5.0781222184821714E-6</v>
      </c>
      <c r="AC55" s="31">
        <f t="shared" si="34"/>
        <v>1.0293248560029168E-5</v>
      </c>
      <c r="AD55" s="31">
        <f t="shared" si="34"/>
        <v>1.0953391833138208E-5</v>
      </c>
      <c r="AE55" s="31">
        <f t="shared" si="34"/>
        <v>5.3853182204241767E-6</v>
      </c>
      <c r="AF55" s="31">
        <f t="shared" si="34"/>
        <v>1.1482974615343846E-7</v>
      </c>
      <c r="AG55" s="31">
        <f t="shared" si="34"/>
        <v>5.1511769398365329E-7</v>
      </c>
      <c r="AH55" s="31">
        <f t="shared" si="34"/>
        <v>2.6710632640679565E-6</v>
      </c>
      <c r="AI55" s="31">
        <f t="shared" si="34"/>
        <v>1.4014668930603504E-5</v>
      </c>
      <c r="AJ55" s="31">
        <f t="shared" si="34"/>
        <v>1.6136577424707518E-5</v>
      </c>
    </row>
    <row r="56" spans="1:36" x14ac:dyDescent="0.25">
      <c r="E56" s="13" t="s">
        <v>31</v>
      </c>
      <c r="F56" s="32">
        <f>AVERAGE(F55:AJ55)</f>
        <v>6.0561587867102204E-5</v>
      </c>
    </row>
    <row r="57" spans="1:36" x14ac:dyDescent="0.25">
      <c r="A57" s="42"/>
      <c r="B57" s="15"/>
      <c r="C57" s="15"/>
      <c r="D57" s="15"/>
      <c r="F57" s="60">
        <f>AVERAGE(S55:X55)</f>
        <v>8.0683701983319279E-5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-16.493953451907874</v>
      </c>
    </row>
    <row r="119" spans="1:14" x14ac:dyDescent="0.25">
      <c r="L119" s="11">
        <f>L118+1</f>
        <v>2</v>
      </c>
      <c r="M119" s="11">
        <f t="shared" ref="M119:M124" si="35">INDEX($B$125:$K$126,1,L119)</f>
        <v>0</v>
      </c>
      <c r="N119" s="11">
        <f t="shared" ref="N119:N124" si="36">IF(L119=$B$3,0,INDEX($B$125:$K$126,2,L119))</f>
        <v>-10.106244522226985</v>
      </c>
    </row>
    <row r="120" spans="1:14" x14ac:dyDescent="0.25">
      <c r="L120" s="11">
        <f t="shared" ref="L120:L124" si="37">L119+1</f>
        <v>3</v>
      </c>
      <c r="M120" s="11">
        <f t="shared" si="35"/>
        <v>25</v>
      </c>
      <c r="N120" s="11">
        <f t="shared" si="36"/>
        <v>-3.3343249227798801</v>
      </c>
    </row>
    <row r="121" spans="1:14" x14ac:dyDescent="0.25">
      <c r="A121" s="103">
        <f>(A165+A204+A243+A282+A321+A360+A399)*10^9</f>
        <v>7797443098763639</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4.1698072196281935</v>
      </c>
    </row>
    <row r="123" spans="1:14" x14ac:dyDescent="0.25">
      <c r="A123" s="119"/>
      <c r="B123" s="119"/>
      <c r="C123" s="3"/>
      <c r="D123" s="3"/>
      <c r="E123" s="3"/>
      <c r="F123" s="3"/>
      <c r="G123" s="3"/>
      <c r="H123" s="3"/>
      <c r="I123" s="3"/>
      <c r="J123" s="3"/>
      <c r="K123" s="3"/>
      <c r="L123" s="11">
        <f t="shared" si="37"/>
        <v>6</v>
      </c>
      <c r="M123" s="11">
        <f t="shared" si="35"/>
        <v>125</v>
      </c>
      <c r="N123" s="11">
        <f t="shared" si="36"/>
        <v>16.378591910573874</v>
      </c>
    </row>
    <row r="124" spans="1:14" x14ac:dyDescent="0.25">
      <c r="B124" s="3"/>
      <c r="C124" s="3"/>
      <c r="D124" s="3"/>
      <c r="E124" s="3"/>
      <c r="F124" s="3"/>
      <c r="G124" s="3"/>
      <c r="H124" s="3"/>
      <c r="I124" s="3"/>
      <c r="J124" s="3"/>
      <c r="K124" s="3"/>
      <c r="L124" s="11">
        <f t="shared" si="37"/>
        <v>7</v>
      </c>
      <c r="M124" s="11">
        <f t="shared" si="35"/>
        <v>160</v>
      </c>
      <c r="N124" s="11">
        <f t="shared" si="36"/>
        <v>31.219924643662296</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-16.493953451907874</v>
      </c>
      <c r="C126" s="107">
        <v>-10.106244522226985</v>
      </c>
      <c r="D126" s="107">
        <v>-3.3343249227798801</v>
      </c>
      <c r="E126" s="107">
        <v>4.317807419495078E-5</v>
      </c>
      <c r="F126" s="107">
        <v>4.1698072196281935</v>
      </c>
      <c r="G126" s="107">
        <v>16.378591910573874</v>
      </c>
      <c r="H126" s="107">
        <v>31.219924643662296</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7093.1154116431162</v>
      </c>
      <c r="C130" s="26">
        <f>INDEX(Comparison!$AM$3:$AS$33,G14,$B$122)</f>
        <v>7093.186769557813</v>
      </c>
      <c r="D130" s="26">
        <f>INDEX(Comparison!$AM$3:$AS$33,H14,$B$122)</f>
        <v>7093.1496241627792</v>
      </c>
      <c r="E130" s="26">
        <f>INDEX(Comparison!$AM$3:$AS$33,I14,$B$122)</f>
        <v>7093.139849123485</v>
      </c>
      <c r="F130" s="26">
        <f>INDEX(Comparison!$AM$3:$AS$33,J14,$B$122)</f>
        <v>7093.1370316171597</v>
      </c>
      <c r="G130" s="26">
        <f>INDEX(Comparison!$AM$3:$AS$33,K14,$B$122)</f>
        <v>7093.1361691156708</v>
      </c>
      <c r="H130" s="26">
        <f>INDEX(Comparison!$AM$3:$AS$33,L14,$B$122)</f>
        <v>7093.1358816152215</v>
      </c>
      <c r="I130" s="26">
        <f>INDEX(Comparison!$AM$3:$AS$33,M14,$B$122)</f>
        <v>7093.135709114963</v>
      </c>
      <c r="J130" s="26">
        <f>INDEX(Comparison!$AM$3:$AS$33,N14,$B$122)</f>
        <v>7093.1355366147118</v>
      </c>
      <c r="K130" s="26">
        <f>INDEX(Comparison!$AM$3:$AS$33,O14,$B$122)</f>
        <v>7093.1340991129555</v>
      </c>
      <c r="L130" s="26">
        <f>INDEX(Comparison!$AM$3:$AS$33,P14,$B$122)</f>
        <v>7093.1198391270691</v>
      </c>
      <c r="M130" s="26">
        <f>INDEX(Comparison!$AM$3:$AS$33,Q14,$B$122)</f>
        <v>7092.9771274266232</v>
      </c>
      <c r="N130" s="26">
        <f>INDEX(Comparison!$AM$3:$AS$33,R14,$B$122)</f>
        <v>7091.5625107943715</v>
      </c>
      <c r="O130" s="26">
        <f>INDEX(Comparison!$AM$3:$AS$33,S14,$B$122)</f>
        <v>7078.0585854387473</v>
      </c>
      <c r="P130" s="26">
        <f>INDEX(Comparison!$AM$3:$AS$33,T14,$B$122)</f>
        <v>6980.1771345591078</v>
      </c>
      <c r="Q130" s="26">
        <f>INDEX(Comparison!$AM$3:$AS$33,U14,$B$122)</f>
        <v>6817.7458366168885</v>
      </c>
      <c r="R130" s="26">
        <f>INDEX(Comparison!$AM$3:$AS$33,V14,$B$122)</f>
        <v>6700.2000319833087</v>
      </c>
      <c r="S130" s="26">
        <f>INDEX(Comparison!$AM$3:$AS$33,W14,$B$122)</f>
        <v>6581.4875752007347</v>
      </c>
      <c r="T130" s="26">
        <f>INDEX(Comparison!$AM$3:$AS$33,X14,$B$122)</f>
        <v>6449.3747740231202</v>
      </c>
      <c r="U130" s="26">
        <f>INDEX(Comparison!$AM$3:$AS$33,Y14,$B$122)</f>
        <v>6289.3605252793404</v>
      </c>
      <c r="V130" s="26">
        <f>INDEX(Comparison!$AM$3:$AS$33,Z14,$B$122)</f>
        <v>6015.8011652173718</v>
      </c>
      <c r="W130" s="26">
        <f>INDEX(Comparison!$AM$3:$AS$33,AA14,$B$122)</f>
        <v>5393.4478275395559</v>
      </c>
      <c r="X130" s="26">
        <f>INDEX(Comparison!$AM$3:$AS$33,AB14,$B$122)</f>
        <v>4577.424969740212</v>
      </c>
      <c r="Y130" s="26">
        <f>INDEX(Comparison!$AM$3:$AS$33,AC14,$B$122)</f>
        <v>3914.6236771373719</v>
      </c>
      <c r="Z130" s="26">
        <f>INDEX(Comparison!$AM$3:$AS$33,AD14,$B$122)</f>
        <v>3439.215903424868</v>
      </c>
      <c r="AA130" s="26">
        <f>INDEX(Comparison!$AM$3:$AS$33,AE14,$B$122)</f>
        <v>3078.9760704970804</v>
      </c>
      <c r="AB130" s="26">
        <f>INDEX(Comparison!$AM$3:$AS$33,AF14,$B$122)</f>
        <v>2798.5736498484516</v>
      </c>
      <c r="AC130" s="26">
        <f>INDEX(Comparison!$AM$3:$AS$33,AG14,$B$122)</f>
        <v>2590.4913778751102</v>
      </c>
      <c r="AD130" s="26">
        <f>INDEX(Comparison!$AM$3:$AS$33,AH14,$B$122)</f>
        <v>2428.2171958860131</v>
      </c>
      <c r="AE130" s="26">
        <f>INDEX(Comparison!$AM$3:$AS$33,AI14,$B$122)</f>
        <v>2284.9023004500814</v>
      </c>
      <c r="AF130" s="26">
        <f>INDEX(Comparison!$AM$3:$AS$33,AJ14,$B$122)</f>
        <v>2162.351794570352</v>
      </c>
    </row>
    <row r="131" spans="1:33" x14ac:dyDescent="0.25">
      <c r="A131" s="68" t="s">
        <v>22</v>
      </c>
      <c r="B131" s="27">
        <f>($C$17+SUM(B132:B162))*$B$51</f>
        <v>6992.1424898453115</v>
      </c>
      <c r="C131" s="27">
        <f t="shared" ref="C131:AF131" si="40">($C$17+SUM(C132:C162))*$B$51</f>
        <v>6989.8271012484056</v>
      </c>
      <c r="D131" s="27">
        <f t="shared" si="40"/>
        <v>6973.0845793658873</v>
      </c>
      <c r="E131" s="27">
        <f t="shared" si="40"/>
        <v>6953.5493612627142</v>
      </c>
      <c r="F131" s="27">
        <f t="shared" si="40"/>
        <v>6953.5087317040152</v>
      </c>
      <c r="G131" s="27">
        <f t="shared" si="40"/>
        <v>6953.5076159073642</v>
      </c>
      <c r="H131" s="27">
        <f t="shared" si="40"/>
        <v>6953.4964586185388</v>
      </c>
      <c r="I131" s="27">
        <f t="shared" si="40"/>
        <v>6953.3849534635265</v>
      </c>
      <c r="J131" s="27">
        <f t="shared" si="40"/>
        <v>6952.2766404804543</v>
      </c>
      <c r="K131" s="27">
        <f t="shared" si="40"/>
        <v>6941.8339443002733</v>
      </c>
      <c r="L131" s="27">
        <f t="shared" si="40"/>
        <v>6878.0275516574375</v>
      </c>
      <c r="M131" s="27">
        <f t="shared" si="40"/>
        <v>6724.9675470811299</v>
      </c>
      <c r="N131" s="27">
        <f t="shared" si="40"/>
        <v>6599.0672111547674</v>
      </c>
      <c r="O131" s="27">
        <f t="shared" si="40"/>
        <v>6487.7305466182443</v>
      </c>
      <c r="P131" s="27">
        <f t="shared" si="40"/>
        <v>6363.198808565955</v>
      </c>
      <c r="Q131" s="27">
        <f t="shared" si="40"/>
        <v>6229.0267266174078</v>
      </c>
      <c r="R131" s="27">
        <f t="shared" si="40"/>
        <v>6079.9198994456046</v>
      </c>
      <c r="S131" s="27">
        <f t="shared" si="40"/>
        <v>5914.9167200759357</v>
      </c>
      <c r="T131" s="27">
        <f t="shared" si="40"/>
        <v>5740.5308003548425</v>
      </c>
      <c r="U131" s="27">
        <f t="shared" si="40"/>
        <v>5572.9880108436992</v>
      </c>
      <c r="V131" s="27">
        <f t="shared" si="40"/>
        <v>5399.4172163930325</v>
      </c>
      <c r="W131" s="27">
        <f t="shared" si="40"/>
        <v>5178.9842927295285</v>
      </c>
      <c r="X131" s="27">
        <f t="shared" si="40"/>
        <v>4939.2600619519226</v>
      </c>
      <c r="Y131" s="27">
        <f t="shared" si="40"/>
        <v>4695.5146411103269</v>
      </c>
      <c r="Z131" s="27">
        <f t="shared" si="40"/>
        <v>4380.1809629775789</v>
      </c>
      <c r="AA131" s="27">
        <f t="shared" si="40"/>
        <v>3766.0842443428878</v>
      </c>
      <c r="AB131" s="27">
        <f t="shared" si="40"/>
        <v>3131.7580538695388</v>
      </c>
      <c r="AC131" s="27">
        <f t="shared" si="40"/>
        <v>2644.5322352801804</v>
      </c>
      <c r="AD131" s="27">
        <f t="shared" si="40"/>
        <v>2287.8490120235479</v>
      </c>
      <c r="AE131" s="27">
        <f t="shared" si="40"/>
        <v>2026.9830658846511</v>
      </c>
      <c r="AF131" s="27">
        <f t="shared" si="40"/>
        <v>1790.5077191194364</v>
      </c>
    </row>
    <row r="132" spans="1:33" x14ac:dyDescent="0.25">
      <c r="B132" s="3">
        <f t="shared" ref="B132:Z133" si="41">$C18*EXP(-B$129/$A18/EXP(-$B$126))</f>
        <v>5.5250823904970494E-3</v>
      </c>
      <c r="C132" s="3">
        <f t="shared" ref="C132:AF132" si="42">$C18*EXP(-C$129/$A18/EXP(-$B$126))</f>
        <v>5.1939535070658011E-3</v>
      </c>
      <c r="D132" s="3">
        <f t="shared" si="42"/>
        <v>2.799568183634461E-3</v>
      </c>
      <c r="E132" s="3">
        <f t="shared" si="42"/>
        <v>5.7945666643084104E-6</v>
      </c>
      <c r="F132" s="3">
        <f t="shared" si="42"/>
        <v>8.3621914736948984E-33</v>
      </c>
      <c r="G132" s="3">
        <f t="shared" si="42"/>
        <v>3.2757560172205451E-301</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8.4019317773720778E-3</v>
      </c>
      <c r="C134" s="3">
        <f t="shared" si="44"/>
        <v>8.4019317653732939E-3</v>
      </c>
      <c r="D134" s="3">
        <f t="shared" si="44"/>
        <v>8.4019316453854669E-3</v>
      </c>
      <c r="E134" s="3">
        <f t="shared" si="44"/>
        <v>8.4019304455072892E-3</v>
      </c>
      <c r="F134" s="3">
        <f t="shared" si="44"/>
        <v>8.4019184467349333E-3</v>
      </c>
      <c r="G134" s="3">
        <f t="shared" si="44"/>
        <v>8.4017984599538114E-3</v>
      </c>
      <c r="H134" s="3">
        <f t="shared" si="44"/>
        <v>8.400598686381976E-3</v>
      </c>
      <c r="I134" s="3">
        <f t="shared" si="44"/>
        <v>8.3886103696241086E-3</v>
      </c>
      <c r="J134" s="3">
        <f t="shared" si="44"/>
        <v>8.2696641401038499E-3</v>
      </c>
      <c r="K134" s="3">
        <f t="shared" si="44"/>
        <v>7.1691284071196612E-3</v>
      </c>
      <c r="L134" s="3">
        <f t="shared" si="44"/>
        <v>1.7189024624586356E-3</v>
      </c>
      <c r="M134" s="3">
        <f t="shared" si="44"/>
        <v>1.0791951368780731E-9</v>
      </c>
      <c r="N134" s="3">
        <f t="shared" si="44"/>
        <v>1.0270401895037564E-71</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2.9207105011983502E-2</v>
      </c>
      <c r="C135" s="3">
        <f t="shared" si="47"/>
        <v>2.9207105008220859E-2</v>
      </c>
      <c r="D135" s="3">
        <f t="shared" si="47"/>
        <v>2.9207104970594415E-2</v>
      </c>
      <c r="E135" s="3">
        <f t="shared" si="47"/>
        <v>2.9207104594330006E-2</v>
      </c>
      <c r="F135" s="3">
        <f t="shared" si="47"/>
        <v>2.9207100831686171E-2</v>
      </c>
      <c r="G135" s="3">
        <f t="shared" si="47"/>
        <v>2.9207063205274466E-2</v>
      </c>
      <c r="H135" s="3">
        <f t="shared" si="47"/>
        <v>2.9206686943823407E-2</v>
      </c>
      <c r="I135" s="3">
        <f t="shared" si="47"/>
        <v>2.9202924595898919E-2</v>
      </c>
      <c r="J135" s="3">
        <f t="shared" si="47"/>
        <v>2.9165327762559236E-2</v>
      </c>
      <c r="K135" s="3">
        <f t="shared" si="47"/>
        <v>2.8792011362366244E-2</v>
      </c>
      <c r="L135" s="3">
        <f t="shared" si="47"/>
        <v>2.531182393984396E-2</v>
      </c>
      <c r="M135" s="3">
        <f t="shared" si="47"/>
        <v>6.9797167899051521E-3</v>
      </c>
      <c r="N135" s="3">
        <f t="shared" si="47"/>
        <v>1.7741134993685406E-8</v>
      </c>
      <c r="O135" s="3">
        <f t="shared" si="47"/>
        <v>1.9971808610026489E-64</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1.5151329359356954E-2</v>
      </c>
      <c r="C136" s="3">
        <f t="shared" si="49"/>
        <v>1.5151329359180878E-2</v>
      </c>
      <c r="D136" s="3">
        <f t="shared" si="49"/>
        <v>1.5151329357420111E-2</v>
      </c>
      <c r="E136" s="3">
        <f t="shared" si="49"/>
        <v>1.5151329339812437E-2</v>
      </c>
      <c r="F136" s="3">
        <f t="shared" si="49"/>
        <v>1.5151329163735709E-2</v>
      </c>
      <c r="G136" s="3">
        <f t="shared" si="49"/>
        <v>1.515132740296854E-2</v>
      </c>
      <c r="H136" s="3">
        <f t="shared" si="49"/>
        <v>1.5151309795308094E-2</v>
      </c>
      <c r="I136" s="3">
        <f t="shared" si="49"/>
        <v>1.5151133719829077E-2</v>
      </c>
      <c r="J136" s="3">
        <f t="shared" si="49"/>
        <v>1.5149373077575837E-2</v>
      </c>
      <c r="K136" s="3">
        <f t="shared" si="49"/>
        <v>1.5131777903900696E-2</v>
      </c>
      <c r="L136" s="3">
        <f t="shared" si="49"/>
        <v>1.4956946231037153E-2</v>
      </c>
      <c r="M136" s="3">
        <f t="shared" si="49"/>
        <v>1.33159658654228E-2</v>
      </c>
      <c r="N136" s="3">
        <f t="shared" si="49"/>
        <v>4.1655282214008134E-3</v>
      </c>
      <c r="O136" s="3">
        <f t="shared" si="49"/>
        <v>3.7380418619964215E-8</v>
      </c>
      <c r="P136" s="3">
        <f t="shared" si="49"/>
        <v>1.2658578993743549E-58</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1.7014115321295424E-2</v>
      </c>
      <c r="C137" s="3">
        <f t="shared" si="51"/>
        <v>1.7014115321277588E-2</v>
      </c>
      <c r="D137" s="3">
        <f t="shared" si="51"/>
        <v>1.7014115321099223E-2</v>
      </c>
      <c r="E137" s="3">
        <f t="shared" si="51"/>
        <v>1.7014115319315584E-2</v>
      </c>
      <c r="F137" s="3">
        <f t="shared" si="51"/>
        <v>1.7014115301479185E-2</v>
      </c>
      <c r="G137" s="3">
        <f t="shared" si="51"/>
        <v>1.7014115123115191E-2</v>
      </c>
      <c r="H137" s="3">
        <f t="shared" si="51"/>
        <v>1.7014113339475372E-2</v>
      </c>
      <c r="I137" s="3">
        <f t="shared" si="51"/>
        <v>1.7014095503087471E-2</v>
      </c>
      <c r="J137" s="3">
        <f t="shared" si="51"/>
        <v>1.7013917140236871E-2</v>
      </c>
      <c r="K137" s="3">
        <f t="shared" si="51"/>
        <v>1.701213361456776E-2</v>
      </c>
      <c r="L137" s="3">
        <f t="shared" si="51"/>
        <v>1.6994308637578864E-2</v>
      </c>
      <c r="M137" s="3">
        <f t="shared" si="51"/>
        <v>1.6817082861756528E-2</v>
      </c>
      <c r="N137" s="3">
        <f t="shared" si="51"/>
        <v>1.5143361557587897E-2</v>
      </c>
      <c r="O137" s="3">
        <f t="shared" si="51"/>
        <v>5.3080935258004334E-3</v>
      </c>
      <c r="P137" s="3">
        <f t="shared" si="51"/>
        <v>1.4862823276640957E-7</v>
      </c>
      <c r="Q137" s="3">
        <f t="shared" si="51"/>
        <v>4.4027983016755716E-53</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1.9388963129338726E-2</v>
      </c>
      <c r="C138" s="3">
        <f t="shared" si="53"/>
        <v>1.9388963129336894E-2</v>
      </c>
      <c r="D138" s="3">
        <f t="shared" si="53"/>
        <v>1.9388963129318558E-2</v>
      </c>
      <c r="E138" s="3">
        <f t="shared" si="53"/>
        <v>1.9388963129135198E-2</v>
      </c>
      <c r="F138" s="3">
        <f t="shared" si="53"/>
        <v>1.9388963127301623E-2</v>
      </c>
      <c r="G138" s="3">
        <f t="shared" si="53"/>
        <v>1.9388963108965859E-2</v>
      </c>
      <c r="H138" s="3">
        <f t="shared" si="53"/>
        <v>1.9388962925608228E-2</v>
      </c>
      <c r="I138" s="3">
        <f t="shared" si="53"/>
        <v>1.9388961092032021E-2</v>
      </c>
      <c r="J138" s="3">
        <f t="shared" si="53"/>
        <v>1.9388942756279462E-2</v>
      </c>
      <c r="K138" s="3">
        <f t="shared" si="53"/>
        <v>1.9388759399707554E-2</v>
      </c>
      <c r="L138" s="3">
        <f t="shared" si="53"/>
        <v>1.93869259293535E-2</v>
      </c>
      <c r="M138" s="3">
        <f t="shared" si="53"/>
        <v>1.9368600758981121E-2</v>
      </c>
      <c r="N138" s="3">
        <f t="shared" si="53"/>
        <v>1.9186299044820061E-2</v>
      </c>
      <c r="O138" s="3">
        <f t="shared" si="53"/>
        <v>1.7455039247179033E-2</v>
      </c>
      <c r="P138" s="3">
        <f t="shared" si="53"/>
        <v>6.7798023556861252E-3</v>
      </c>
      <c r="Q138" s="3">
        <f t="shared" si="53"/>
        <v>5.2988188466004093E-7</v>
      </c>
      <c r="R138" s="3">
        <f t="shared" si="53"/>
        <v>4.5060858355194923E-48</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2.0066914709498153E-2</v>
      </c>
      <c r="C139" s="3">
        <f t="shared" si="55"/>
        <v>2.0066914709497983E-2</v>
      </c>
      <c r="D139" s="3">
        <f t="shared" si="55"/>
        <v>2.0066914709496272E-2</v>
      </c>
      <c r="E139" s="3">
        <f t="shared" si="55"/>
        <v>2.0066914709479151E-2</v>
      </c>
      <c r="F139" s="3">
        <f t="shared" si="55"/>
        <v>2.0066914709307968E-2</v>
      </c>
      <c r="G139" s="3">
        <f t="shared" si="55"/>
        <v>2.0066914707596091E-2</v>
      </c>
      <c r="H139" s="3">
        <f t="shared" si="55"/>
        <v>2.0066914690477361E-2</v>
      </c>
      <c r="I139" s="3">
        <f t="shared" si="55"/>
        <v>2.0066914519290036E-2</v>
      </c>
      <c r="J139" s="3">
        <f t="shared" si="55"/>
        <v>2.0066912807416893E-2</v>
      </c>
      <c r="K139" s="3">
        <f t="shared" si="55"/>
        <v>2.0066895688693482E-2</v>
      </c>
      <c r="L139" s="3">
        <f t="shared" si="55"/>
        <v>2.0066724502262573E-2</v>
      </c>
      <c r="M139" s="3">
        <f t="shared" si="55"/>
        <v>2.0065012718270932E-2</v>
      </c>
      <c r="N139" s="3">
        <f t="shared" si="55"/>
        <v>2.0047902907567687E-2</v>
      </c>
      <c r="O139" s="3">
        <f t="shared" si="55"/>
        <v>1.9877605193274576E-2</v>
      </c>
      <c r="P139" s="3">
        <f t="shared" si="55"/>
        <v>1.8252197577662957E-2</v>
      </c>
      <c r="Q139" s="3">
        <f t="shared" si="55"/>
        <v>7.7772519761174618E-3</v>
      </c>
      <c r="R139" s="3">
        <f t="shared" si="55"/>
        <v>1.5343917554301271E-6</v>
      </c>
      <c r="S139" s="3">
        <f t="shared" si="55"/>
        <v>1.3709989423456903E-43</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2.3697702836183089E-2</v>
      </c>
      <c r="C140" s="3">
        <f t="shared" si="57"/>
        <v>2.3697702836183072E-2</v>
      </c>
      <c r="D140" s="3">
        <f t="shared" si="57"/>
        <v>2.3697702836182891E-2</v>
      </c>
      <c r="E140" s="3">
        <f t="shared" si="57"/>
        <v>2.3697702836181066E-2</v>
      </c>
      <c r="F140" s="3">
        <f t="shared" si="57"/>
        <v>2.3697702836162828E-2</v>
      </c>
      <c r="G140" s="3">
        <f t="shared" si="57"/>
        <v>2.3697702835980463E-2</v>
      </c>
      <c r="H140" s="3">
        <f t="shared" si="57"/>
        <v>2.3697702834156804E-2</v>
      </c>
      <c r="I140" s="3">
        <f t="shared" si="57"/>
        <v>2.3697702815920204E-2</v>
      </c>
      <c r="J140" s="3">
        <f t="shared" si="57"/>
        <v>2.3697702633554224E-2</v>
      </c>
      <c r="K140" s="3">
        <f t="shared" si="57"/>
        <v>2.3697700809894456E-2</v>
      </c>
      <c r="L140" s="3">
        <f t="shared" si="57"/>
        <v>2.369768257330453E-2</v>
      </c>
      <c r="M140" s="3">
        <f t="shared" si="57"/>
        <v>2.3697500208177114E-2</v>
      </c>
      <c r="N140" s="3">
        <f t="shared" si="57"/>
        <v>2.3695676634087521E-2</v>
      </c>
      <c r="O140" s="3">
        <f t="shared" si="57"/>
        <v>2.367744860944929E-2</v>
      </c>
      <c r="P140" s="3">
        <f t="shared" si="57"/>
        <v>2.349593779627197E-2</v>
      </c>
      <c r="Q140" s="3">
        <f t="shared" si="57"/>
        <v>2.1755626515542928E-2</v>
      </c>
      <c r="R140" s="3">
        <f t="shared" si="57"/>
        <v>1.0077660013723039E-2</v>
      </c>
      <c r="S140" s="3">
        <f t="shared" si="57"/>
        <v>4.5839596208863778E-6</v>
      </c>
      <c r="T140" s="3">
        <f t="shared" si="57"/>
        <v>1.7380072778648141E-39</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2.5320350028218658E-2</v>
      </c>
      <c r="C141" s="3">
        <f t="shared" si="59"/>
        <v>2.5320350028218655E-2</v>
      </c>
      <c r="D141" s="3">
        <f t="shared" si="59"/>
        <v>2.5320350028218638E-2</v>
      </c>
      <c r="E141" s="3">
        <f t="shared" si="59"/>
        <v>2.5320350028218464E-2</v>
      </c>
      <c r="F141" s="3">
        <f t="shared" si="59"/>
        <v>2.5320350028216705E-2</v>
      </c>
      <c r="G141" s="3">
        <f t="shared" si="59"/>
        <v>2.5320350028199125E-2</v>
      </c>
      <c r="H141" s="3">
        <f t="shared" si="59"/>
        <v>2.5320350028023356E-2</v>
      </c>
      <c r="I141" s="3">
        <f t="shared" si="59"/>
        <v>2.5320350026265617E-2</v>
      </c>
      <c r="J141" s="3">
        <f t="shared" si="59"/>
        <v>2.532035000868825E-2</v>
      </c>
      <c r="K141" s="3">
        <f t="shared" si="59"/>
        <v>2.5320349832914552E-2</v>
      </c>
      <c r="L141" s="3">
        <f t="shared" si="59"/>
        <v>2.5320348075177673E-2</v>
      </c>
      <c r="M141" s="3">
        <f t="shared" si="59"/>
        <v>2.5320330497815575E-2</v>
      </c>
      <c r="N141" s="3">
        <f t="shared" si="59"/>
        <v>2.5320154724865731E-2</v>
      </c>
      <c r="O141" s="3">
        <f t="shared" si="59"/>
        <v>2.5318397062477464E-2</v>
      </c>
      <c r="P141" s="3">
        <f t="shared" si="59"/>
        <v>2.5300827147888613E-2</v>
      </c>
      <c r="Q141" s="3">
        <f t="shared" si="59"/>
        <v>2.5125797211273511E-2</v>
      </c>
      <c r="R141" s="3">
        <f t="shared" si="59"/>
        <v>2.3440731335471504E-2</v>
      </c>
      <c r="S141" s="3">
        <f t="shared" si="59"/>
        <v>1.1708040794743866E-2</v>
      </c>
      <c r="T141" s="3">
        <f t="shared" si="59"/>
        <v>1.1313967433123774E-5</v>
      </c>
      <c r="U141" s="3">
        <f t="shared" si="59"/>
        <v>8.0338163078558575E-36</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2.7427493099149637E-2</v>
      </c>
      <c r="C142" s="3">
        <f t="shared" si="61"/>
        <v>2.7427493099149637E-2</v>
      </c>
      <c r="D142" s="3">
        <f t="shared" si="61"/>
        <v>2.7427493099149634E-2</v>
      </c>
      <c r="E142" s="3">
        <f t="shared" si="61"/>
        <v>2.742749309914962E-2</v>
      </c>
      <c r="F142" s="3">
        <f t="shared" si="61"/>
        <v>2.7427493099149446E-2</v>
      </c>
      <c r="G142" s="3">
        <f t="shared" si="61"/>
        <v>2.7427493099147729E-2</v>
      </c>
      <c r="H142" s="3">
        <f t="shared" si="61"/>
        <v>2.7427493099130555E-2</v>
      </c>
      <c r="I142" s="3">
        <f t="shared" si="61"/>
        <v>2.7427493098958793E-2</v>
      </c>
      <c r="J142" s="3">
        <f t="shared" si="61"/>
        <v>2.7427493097241216E-2</v>
      </c>
      <c r="K142" s="3">
        <f t="shared" si="61"/>
        <v>2.7427493080065417E-2</v>
      </c>
      <c r="L142" s="3">
        <f t="shared" si="61"/>
        <v>2.7427492908307455E-2</v>
      </c>
      <c r="M142" s="3">
        <f t="shared" si="61"/>
        <v>2.742749119072788E-2</v>
      </c>
      <c r="N142" s="3">
        <f t="shared" si="61"/>
        <v>2.742747401493803E-2</v>
      </c>
      <c r="O142" s="3">
        <f t="shared" si="61"/>
        <v>2.7427302257631125E-2</v>
      </c>
      <c r="P142" s="3">
        <f t="shared" si="61"/>
        <v>2.7425584743718114E-2</v>
      </c>
      <c r="Q142" s="3">
        <f t="shared" si="61"/>
        <v>2.740841551882249E-2</v>
      </c>
      <c r="R142" s="3">
        <f t="shared" si="61"/>
        <v>2.7237313325259371E-2</v>
      </c>
      <c r="S142" s="3">
        <f t="shared" si="61"/>
        <v>2.5583952349719895E-2</v>
      </c>
      <c r="T142" s="3">
        <f t="shared" si="61"/>
        <v>1.3677330618289314E-2</v>
      </c>
      <c r="U142" s="3">
        <f t="shared" si="61"/>
        <v>2.6081851695880593E-5</v>
      </c>
      <c r="V142" s="3">
        <f t="shared" si="61"/>
        <v>1.6584759620661646E-32</v>
      </c>
      <c r="W142" s="3">
        <f t="shared" si="61"/>
        <v>1.7923250814870755E-304</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2.1152524885873075E-2</v>
      </c>
      <c r="C143" s="3">
        <f t="shared" si="63"/>
        <v>2.1152524885873075E-2</v>
      </c>
      <c r="D143" s="3">
        <f t="shared" si="63"/>
        <v>2.1152524885873075E-2</v>
      </c>
      <c r="E143" s="3">
        <f t="shared" si="63"/>
        <v>2.1152524885873072E-2</v>
      </c>
      <c r="F143" s="3">
        <f t="shared" si="63"/>
        <v>2.1152524885873061E-2</v>
      </c>
      <c r="G143" s="3">
        <f t="shared" si="63"/>
        <v>2.115252488587294E-2</v>
      </c>
      <c r="H143" s="3">
        <f t="shared" si="63"/>
        <v>2.115252488587175E-2</v>
      </c>
      <c r="I143" s="3">
        <f t="shared" si="63"/>
        <v>2.1152524885859798E-2</v>
      </c>
      <c r="J143" s="3">
        <f t="shared" si="63"/>
        <v>2.1152524885740306E-2</v>
      </c>
      <c r="K143" s="3">
        <f t="shared" si="63"/>
        <v>2.1152524884545384E-2</v>
      </c>
      <c r="L143" s="3">
        <f t="shared" si="63"/>
        <v>2.1152524872596164E-2</v>
      </c>
      <c r="M143" s="3">
        <f t="shared" si="63"/>
        <v>2.115252475310396E-2</v>
      </c>
      <c r="N143" s="3">
        <f t="shared" si="63"/>
        <v>2.1152523558181952E-2</v>
      </c>
      <c r="O143" s="3">
        <f t="shared" si="63"/>
        <v>2.1152511608965582E-2</v>
      </c>
      <c r="P143" s="3">
        <f t="shared" si="63"/>
        <v>2.1152392117173156E-2</v>
      </c>
      <c r="Q143" s="3">
        <f t="shared" si="63"/>
        <v>2.1151197236374156E-2</v>
      </c>
      <c r="R143" s="3">
        <f t="shared" si="63"/>
        <v>2.113925214013462E-2</v>
      </c>
      <c r="S143" s="3">
        <f t="shared" si="63"/>
        <v>2.1020171578139808E-2</v>
      </c>
      <c r="T143" s="3">
        <f t="shared" si="63"/>
        <v>1.9865643362304775E-2</v>
      </c>
      <c r="U143" s="3">
        <f t="shared" si="63"/>
        <v>1.1291884138602572E-2</v>
      </c>
      <c r="V143" s="3">
        <f t="shared" si="63"/>
        <v>3.9756139129849206E-5</v>
      </c>
      <c r="W143" s="3">
        <f t="shared" si="63"/>
        <v>1.1635420570655662E-29</v>
      </c>
      <c r="X143" s="3">
        <f t="shared" si="63"/>
        <v>5.3648912866627849E-275</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3.1343464608076133E-2</v>
      </c>
      <c r="C144" s="3">
        <f t="shared" si="65"/>
        <v>3.1343464608076133E-2</v>
      </c>
      <c r="D144" s="3">
        <f t="shared" si="65"/>
        <v>3.1343464608076133E-2</v>
      </c>
      <c r="E144" s="3">
        <f t="shared" si="65"/>
        <v>3.1343464608076133E-2</v>
      </c>
      <c r="F144" s="3">
        <f t="shared" si="65"/>
        <v>3.1343464608076126E-2</v>
      </c>
      <c r="G144" s="3">
        <f t="shared" si="65"/>
        <v>3.1343464608076112E-2</v>
      </c>
      <c r="H144" s="3">
        <f t="shared" si="65"/>
        <v>3.1343464608075952E-2</v>
      </c>
      <c r="I144" s="3">
        <f t="shared" si="65"/>
        <v>3.1343464608074356E-2</v>
      </c>
      <c r="J144" s="3">
        <f t="shared" si="65"/>
        <v>3.1343464608058383E-2</v>
      </c>
      <c r="K144" s="3">
        <f t="shared" si="65"/>
        <v>3.1343464607898663E-2</v>
      </c>
      <c r="L144" s="3">
        <f t="shared" si="65"/>
        <v>3.134346460630142E-2</v>
      </c>
      <c r="M144" s="3">
        <f t="shared" si="65"/>
        <v>3.1343464590328989E-2</v>
      </c>
      <c r="N144" s="3">
        <f t="shared" si="65"/>
        <v>3.1343464430604706E-2</v>
      </c>
      <c r="O144" s="3">
        <f t="shared" si="65"/>
        <v>3.134346283336191E-2</v>
      </c>
      <c r="P144" s="3">
        <f t="shared" si="65"/>
        <v>3.1343446860938422E-2</v>
      </c>
      <c r="Q144" s="3">
        <f t="shared" si="65"/>
        <v>3.1343287137151225E-2</v>
      </c>
      <c r="R144" s="3">
        <f t="shared" si="65"/>
        <v>3.1341689944045244E-2</v>
      </c>
      <c r="S144" s="3">
        <f t="shared" si="65"/>
        <v>3.1325722488743643E-2</v>
      </c>
      <c r="T144" s="3">
        <f t="shared" si="65"/>
        <v>3.116649466878943E-2</v>
      </c>
      <c r="U144" s="3">
        <f t="shared" si="65"/>
        <v>2.9618058820198617E-2</v>
      </c>
      <c r="V144" s="3">
        <f t="shared" si="65"/>
        <v>1.7792743162866512E-2</v>
      </c>
      <c r="W144" s="3">
        <f t="shared" si="65"/>
        <v>1.0891961431906959E-4</v>
      </c>
      <c r="X144" s="3">
        <f t="shared" si="65"/>
        <v>8.0489262014955587E-27</v>
      </c>
      <c r="Y144" s="3">
        <f t="shared" si="65"/>
        <v>3.9089170255181623E-248</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3.4656588439424235E-2</v>
      </c>
      <c r="C145" s="3">
        <f t="shared" si="68"/>
        <v>3.4656588439424235E-2</v>
      </c>
      <c r="D145" s="3">
        <f t="shared" si="68"/>
        <v>3.4656588439424235E-2</v>
      </c>
      <c r="E145" s="3">
        <f t="shared" si="68"/>
        <v>3.4656588439424235E-2</v>
      </c>
      <c r="F145" s="3">
        <f t="shared" si="68"/>
        <v>3.4656588439424235E-2</v>
      </c>
      <c r="G145" s="3">
        <f t="shared" si="68"/>
        <v>3.4656588439424235E-2</v>
      </c>
      <c r="H145" s="3">
        <f t="shared" si="68"/>
        <v>3.4656588439424214E-2</v>
      </c>
      <c r="I145" s="3">
        <f t="shared" si="68"/>
        <v>3.4656588439424055E-2</v>
      </c>
      <c r="J145" s="3">
        <f t="shared" si="68"/>
        <v>3.4656588439422466E-2</v>
      </c>
      <c r="K145" s="3">
        <f t="shared" si="68"/>
        <v>3.4656588439406534E-2</v>
      </c>
      <c r="L145" s="3">
        <f t="shared" si="68"/>
        <v>3.4656588439247217E-2</v>
      </c>
      <c r="M145" s="3">
        <f t="shared" si="68"/>
        <v>3.4656588437654068E-2</v>
      </c>
      <c r="N145" s="3">
        <f t="shared" si="68"/>
        <v>3.4656588421722583E-2</v>
      </c>
      <c r="O145" s="3">
        <f t="shared" si="68"/>
        <v>3.4656588262407702E-2</v>
      </c>
      <c r="P145" s="3">
        <f t="shared" si="68"/>
        <v>3.4656586669258901E-2</v>
      </c>
      <c r="Q145" s="3">
        <f t="shared" si="68"/>
        <v>3.4656570737774998E-2</v>
      </c>
      <c r="R145" s="3">
        <f t="shared" si="68"/>
        <v>3.465641142333873E-2</v>
      </c>
      <c r="S145" s="3">
        <f t="shared" si="68"/>
        <v>3.4654818319255293E-2</v>
      </c>
      <c r="T145" s="3">
        <f t="shared" si="68"/>
        <v>3.463889130566089E-2</v>
      </c>
      <c r="U145" s="3">
        <f t="shared" si="68"/>
        <v>3.4480023209573864E-2</v>
      </c>
      <c r="V145" s="3">
        <f t="shared" si="68"/>
        <v>3.2930870742027704E-2</v>
      </c>
      <c r="W145" s="3">
        <f t="shared" si="68"/>
        <v>2.0795044881700808E-2</v>
      </c>
      <c r="X145" s="3">
        <f t="shared" si="68"/>
        <v>2.0966519371883412E-4</v>
      </c>
      <c r="Y145" s="3">
        <f t="shared" si="68"/>
        <v>2.2760988350898535E-24</v>
      </c>
      <c r="Z145" s="3">
        <f t="shared" si="68"/>
        <v>5.1741484464792183E-224</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3.7950010383388341E-2</v>
      </c>
      <c r="C146" s="3">
        <f t="shared" si="70"/>
        <v>3.7950010383388341E-2</v>
      </c>
      <c r="D146" s="3">
        <f t="shared" si="70"/>
        <v>3.7950010383388341E-2</v>
      </c>
      <c r="E146" s="3">
        <f t="shared" si="70"/>
        <v>3.7950010383388341E-2</v>
      </c>
      <c r="F146" s="3">
        <f t="shared" si="70"/>
        <v>3.7950010383388341E-2</v>
      </c>
      <c r="G146" s="3">
        <f t="shared" si="70"/>
        <v>3.7950010383388341E-2</v>
      </c>
      <c r="H146" s="3">
        <f t="shared" si="70"/>
        <v>3.7950010383388341E-2</v>
      </c>
      <c r="I146" s="3">
        <f t="shared" si="70"/>
        <v>3.7950010383388327E-2</v>
      </c>
      <c r="J146" s="3">
        <f t="shared" si="70"/>
        <v>3.7950010383388161E-2</v>
      </c>
      <c r="K146" s="3">
        <f t="shared" si="70"/>
        <v>3.7950010383386593E-2</v>
      </c>
      <c r="L146" s="3">
        <f t="shared" si="70"/>
        <v>3.7950010383370855E-2</v>
      </c>
      <c r="M146" s="3">
        <f t="shared" si="70"/>
        <v>3.7950010383213481E-2</v>
      </c>
      <c r="N146" s="3">
        <f t="shared" si="70"/>
        <v>3.7950010381639754E-2</v>
      </c>
      <c r="O146" s="3">
        <f t="shared" si="70"/>
        <v>3.7950010365902502E-2</v>
      </c>
      <c r="P146" s="3">
        <f t="shared" si="70"/>
        <v>3.7950010208529936E-2</v>
      </c>
      <c r="Q146" s="3">
        <f t="shared" si="70"/>
        <v>3.7950008634804293E-2</v>
      </c>
      <c r="R146" s="3">
        <f t="shared" si="70"/>
        <v>3.7949992897551459E-2</v>
      </c>
      <c r="S146" s="3">
        <f t="shared" si="70"/>
        <v>3.7949835525382072E-2</v>
      </c>
      <c r="T146" s="3">
        <f t="shared" si="70"/>
        <v>3.7948261839580506E-2</v>
      </c>
      <c r="U146" s="3">
        <f t="shared" si="70"/>
        <v>3.7932528570245566E-2</v>
      </c>
      <c r="V146" s="3">
        <f t="shared" si="70"/>
        <v>3.7775554194953563E-2</v>
      </c>
      <c r="W146" s="3">
        <f t="shared" si="70"/>
        <v>3.6241098514493079E-2</v>
      </c>
      <c r="X146" s="3">
        <f t="shared" si="70"/>
        <v>2.3939024036047085E-2</v>
      </c>
      <c r="Y146" s="3">
        <f t="shared" si="70"/>
        <v>3.7857969445962824E-4</v>
      </c>
      <c r="Z146" s="3">
        <f t="shared" si="70"/>
        <v>3.7039581610597267E-22</v>
      </c>
      <c r="AA146" s="3">
        <f t="shared" ref="AA146" si="71">$C32*EXP(-AA$129/$A32/EXP(-$B$126))</f>
        <v>2.9768272466475347E-202</v>
      </c>
      <c r="AB146" s="3">
        <f t="shared" si="67"/>
        <v>0</v>
      </c>
      <c r="AC146" s="3">
        <f t="shared" si="67"/>
        <v>0</v>
      </c>
      <c r="AD146" s="3">
        <f t="shared" si="67"/>
        <v>0</v>
      </c>
      <c r="AE146" s="3">
        <f t="shared" si="67"/>
        <v>0</v>
      </c>
      <c r="AF146" s="3">
        <f t="shared" si="67"/>
        <v>0</v>
      </c>
    </row>
    <row r="147" spans="1:32" x14ac:dyDescent="0.25">
      <c r="B147" s="3">
        <f t="shared" ref="B147:Z147" si="72">$C33*EXP(-B$129/$A33/EXP(-$B$126))</f>
        <v>2.6059196805461551E-2</v>
      </c>
      <c r="C147" s="3">
        <f t="shared" si="72"/>
        <v>2.6059196805461551E-2</v>
      </c>
      <c r="D147" s="3">
        <f t="shared" si="72"/>
        <v>2.6059196805461551E-2</v>
      </c>
      <c r="E147" s="3">
        <f t="shared" si="72"/>
        <v>2.6059196805461551E-2</v>
      </c>
      <c r="F147" s="3">
        <f t="shared" si="72"/>
        <v>2.6059196805461551E-2</v>
      </c>
      <c r="G147" s="3">
        <f t="shared" si="72"/>
        <v>2.6059196805461551E-2</v>
      </c>
      <c r="H147" s="3">
        <f t="shared" si="72"/>
        <v>2.6059196805461551E-2</v>
      </c>
      <c r="I147" s="3">
        <f t="shared" si="72"/>
        <v>2.6059196805461551E-2</v>
      </c>
      <c r="J147" s="3">
        <f t="shared" si="72"/>
        <v>2.6059196805461541E-2</v>
      </c>
      <c r="K147" s="3">
        <f t="shared" si="72"/>
        <v>2.6059196805461444E-2</v>
      </c>
      <c r="L147" s="3">
        <f t="shared" si="72"/>
        <v>2.6059196805460469E-2</v>
      </c>
      <c r="M147" s="3">
        <f t="shared" si="72"/>
        <v>2.605919680545072E-2</v>
      </c>
      <c r="N147" s="3">
        <f t="shared" si="72"/>
        <v>2.6059196805353239E-2</v>
      </c>
      <c r="O147" s="3">
        <f t="shared" si="72"/>
        <v>2.6059196804378414E-2</v>
      </c>
      <c r="P147" s="3">
        <f t="shared" si="72"/>
        <v>2.6059196794630209E-2</v>
      </c>
      <c r="Q147" s="3">
        <f t="shared" si="72"/>
        <v>2.6059196697148141E-2</v>
      </c>
      <c r="R147" s="3">
        <f t="shared" si="72"/>
        <v>2.6059195722327445E-2</v>
      </c>
      <c r="S147" s="3">
        <f t="shared" si="72"/>
        <v>2.6059185974122514E-2</v>
      </c>
      <c r="T147" s="3">
        <f t="shared" si="72"/>
        <v>2.6059088492273751E-2</v>
      </c>
      <c r="U147" s="3">
        <f t="shared" si="72"/>
        <v>2.605811369384213E-2</v>
      </c>
      <c r="V147" s="3">
        <f t="shared" si="72"/>
        <v>2.6048367714849127E-2</v>
      </c>
      <c r="W147" s="3">
        <f t="shared" si="72"/>
        <v>2.5951108179960072E-2</v>
      </c>
      <c r="X147" s="3">
        <f t="shared" si="72"/>
        <v>2.499826391499756E-2</v>
      </c>
      <c r="Y147" s="3">
        <f t="shared" si="72"/>
        <v>1.7196863943398297E-2</v>
      </c>
      <c r="Z147" s="3">
        <f t="shared" si="72"/>
        <v>4.0817210439970383E-4</v>
      </c>
      <c r="AA147" s="3">
        <f t="shared" ref="AA147" si="73">$C33*EXP(-AA$129/$A33/EXP(-$B$126))</f>
        <v>2.3162422172236072E-20</v>
      </c>
      <c r="AB147" s="3">
        <f t="shared" si="67"/>
        <v>8.020297877744514E-183</v>
      </c>
      <c r="AC147" s="3">
        <f t="shared" si="67"/>
        <v>0</v>
      </c>
      <c r="AD147" s="3">
        <f t="shared" si="67"/>
        <v>0</v>
      </c>
      <c r="AE147" s="3">
        <f t="shared" si="67"/>
        <v>0</v>
      </c>
      <c r="AF147" s="3">
        <f t="shared" si="67"/>
        <v>0</v>
      </c>
    </row>
    <row r="148" spans="1:32" x14ac:dyDescent="0.25">
      <c r="B148" s="3">
        <f t="shared" ref="B148:Z148" si="74">$C34*EXP(-B$129/$A34/EXP(-$B$126))</f>
        <v>8.9382665320782775E-2</v>
      </c>
      <c r="C148" s="3">
        <f t="shared" si="74"/>
        <v>8.9382665320782775E-2</v>
      </c>
      <c r="D148" s="3">
        <f t="shared" si="74"/>
        <v>8.9382665320782775E-2</v>
      </c>
      <c r="E148" s="3">
        <f t="shared" si="74"/>
        <v>8.9382665320782775E-2</v>
      </c>
      <c r="F148" s="3">
        <f t="shared" si="74"/>
        <v>8.9382665320782775E-2</v>
      </c>
      <c r="G148" s="3">
        <f t="shared" si="74"/>
        <v>8.9382665320782775E-2</v>
      </c>
      <c r="H148" s="3">
        <f t="shared" si="74"/>
        <v>8.9382665320782775E-2</v>
      </c>
      <c r="I148" s="3">
        <f t="shared" si="74"/>
        <v>8.9382665320782775E-2</v>
      </c>
      <c r="J148" s="3">
        <f t="shared" si="74"/>
        <v>8.9382665320782775E-2</v>
      </c>
      <c r="K148" s="3">
        <f t="shared" si="74"/>
        <v>8.9382665320782748E-2</v>
      </c>
      <c r="L148" s="3">
        <f t="shared" si="74"/>
        <v>8.9382665320782442E-2</v>
      </c>
      <c r="M148" s="3">
        <f t="shared" si="74"/>
        <v>8.9382665320779417E-2</v>
      </c>
      <c r="N148" s="3">
        <f t="shared" si="74"/>
        <v>8.9382665320749261E-2</v>
      </c>
      <c r="O148" s="3">
        <f t="shared" si="74"/>
        <v>8.9382665320447641E-2</v>
      </c>
      <c r="P148" s="3">
        <f t="shared" si="74"/>
        <v>8.9382665317431415E-2</v>
      </c>
      <c r="Q148" s="3">
        <f t="shared" si="74"/>
        <v>8.9382665287269181E-2</v>
      </c>
      <c r="R148" s="3">
        <f t="shared" si="74"/>
        <v>8.9382664985646759E-2</v>
      </c>
      <c r="S148" s="3">
        <f t="shared" si="74"/>
        <v>8.9382661969422655E-2</v>
      </c>
      <c r="T148" s="3">
        <f t="shared" si="74"/>
        <v>8.9382631807187168E-2</v>
      </c>
      <c r="U148" s="3">
        <f t="shared" si="74"/>
        <v>8.93823301853921E-2</v>
      </c>
      <c r="V148" s="3">
        <f t="shared" si="74"/>
        <v>8.9379314023421239E-2</v>
      </c>
      <c r="W148" s="3">
        <f t="shared" si="74"/>
        <v>8.9349158000984003E-2</v>
      </c>
      <c r="X148" s="3">
        <f t="shared" si="74"/>
        <v>8.9048156805533865E-2</v>
      </c>
      <c r="Y148" s="3">
        <f t="shared" si="74"/>
        <v>8.6093356013329403E-2</v>
      </c>
      <c r="Z148" s="3">
        <f t="shared" si="74"/>
        <v>6.1435113744589834E-2</v>
      </c>
      <c r="AA148" s="3">
        <f>$C34*EXP(-AA$129/$A34/EXP(-$B$126))</f>
        <v>2.1032309275674562E-3</v>
      </c>
      <c r="AB148" s="3">
        <f t="shared" si="67"/>
        <v>4.6514663768558241E-18</v>
      </c>
      <c r="AC148" s="3">
        <f t="shared" si="67"/>
        <v>1.3020244884564272E-164</v>
      </c>
      <c r="AD148" s="3">
        <f t="shared" si="67"/>
        <v>0</v>
      </c>
      <c r="AE148" s="3">
        <f t="shared" si="67"/>
        <v>0</v>
      </c>
      <c r="AF148" s="3">
        <f t="shared" si="67"/>
        <v>0</v>
      </c>
    </row>
    <row r="149" spans="1:32" x14ac:dyDescent="0.25">
      <c r="B149" s="3">
        <f t="shared" ref="B149:Z149" si="75">$C35*EXP(-B$129/$A35/EXP(-$B$126))</f>
        <v>0.10190344846068049</v>
      </c>
      <c r="C149" s="3">
        <f t="shared" si="75"/>
        <v>0.10190344846068049</v>
      </c>
      <c r="D149" s="3">
        <f t="shared" si="75"/>
        <v>0.10190344846068049</v>
      </c>
      <c r="E149" s="3">
        <f t="shared" si="75"/>
        <v>0.10190344846068049</v>
      </c>
      <c r="F149" s="3">
        <f t="shared" si="75"/>
        <v>0.10190344846068049</v>
      </c>
      <c r="G149" s="3">
        <f t="shared" si="75"/>
        <v>0.10190344846068049</v>
      </c>
      <c r="H149" s="3">
        <f t="shared" si="75"/>
        <v>0.10190344846068049</v>
      </c>
      <c r="I149" s="3">
        <f t="shared" si="75"/>
        <v>0.10190344846068049</v>
      </c>
      <c r="J149" s="3">
        <f t="shared" si="75"/>
        <v>0.10190344846068049</v>
      </c>
      <c r="K149" s="3">
        <f t="shared" si="75"/>
        <v>0.10190344846068049</v>
      </c>
      <c r="L149" s="3">
        <f t="shared" si="75"/>
        <v>0.10190344846068046</v>
      </c>
      <c r="M149" s="3">
        <f t="shared" si="75"/>
        <v>0.10190344846068015</v>
      </c>
      <c r="N149" s="3">
        <f t="shared" si="75"/>
        <v>0.10190344846067703</v>
      </c>
      <c r="O149" s="3">
        <f t="shared" si="75"/>
        <v>0.10190344846064602</v>
      </c>
      <c r="P149" s="3">
        <f t="shared" si="75"/>
        <v>0.10190344846033582</v>
      </c>
      <c r="Q149" s="3">
        <f t="shared" si="75"/>
        <v>0.10190344845723379</v>
      </c>
      <c r="R149" s="3">
        <f t="shared" si="75"/>
        <v>0.1019034484262135</v>
      </c>
      <c r="S149" s="3">
        <f t="shared" si="75"/>
        <v>0.10190344811601065</v>
      </c>
      <c r="T149" s="3">
        <f t="shared" si="75"/>
        <v>0.10190344501398219</v>
      </c>
      <c r="U149" s="3">
        <f t="shared" si="75"/>
        <v>0.10190341399370272</v>
      </c>
      <c r="V149" s="3">
        <f t="shared" si="75"/>
        <v>0.10190310379142739</v>
      </c>
      <c r="W149" s="3">
        <f t="shared" si="75"/>
        <v>0.10190000182060911</v>
      </c>
      <c r="X149" s="3">
        <f t="shared" si="75"/>
        <v>0.10186898730533908</v>
      </c>
      <c r="Y149" s="3">
        <f t="shared" si="75"/>
        <v>0.10155936085951525</v>
      </c>
      <c r="Z149" s="3">
        <f t="shared" si="75"/>
        <v>9.8514387589792168E-2</v>
      </c>
      <c r="AA149" s="3">
        <f t="shared" ref="AA149" si="76">$C35*EXP(-AA$129/$A35/EXP(-$B$126))</f>
        <v>7.2660216954729837E-2</v>
      </c>
      <c r="AB149" s="3">
        <f t="shared" si="67"/>
        <v>3.4615210258912231E-3</v>
      </c>
      <c r="AC149" s="3">
        <f t="shared" si="67"/>
        <v>2.0843459870873437E-16</v>
      </c>
      <c r="AD149" s="3">
        <f t="shared" si="67"/>
        <v>1.3061654029297808E-148</v>
      </c>
      <c r="AE149" s="3">
        <f t="shared" si="67"/>
        <v>0</v>
      </c>
      <c r="AF149" s="3">
        <f t="shared" si="67"/>
        <v>0</v>
      </c>
    </row>
    <row r="150" spans="1:32" x14ac:dyDescent="0.25">
      <c r="B150" s="3">
        <f t="shared" ref="B150:Z150" si="77">$C36*EXP(-B$129/$A36/EXP(-$B$126))</f>
        <v>7.6951150711457764E-2</v>
      </c>
      <c r="C150" s="3">
        <f t="shared" si="77"/>
        <v>7.6951150711457764E-2</v>
      </c>
      <c r="D150" s="3">
        <f t="shared" si="77"/>
        <v>7.6951150711457764E-2</v>
      </c>
      <c r="E150" s="3">
        <f t="shared" si="77"/>
        <v>7.6951150711457764E-2</v>
      </c>
      <c r="F150" s="3">
        <f t="shared" si="77"/>
        <v>7.6951150711457764E-2</v>
      </c>
      <c r="G150" s="3">
        <f t="shared" si="77"/>
        <v>7.6951150711457764E-2</v>
      </c>
      <c r="H150" s="3">
        <f t="shared" si="77"/>
        <v>7.6951150711457764E-2</v>
      </c>
      <c r="I150" s="3">
        <f t="shared" si="77"/>
        <v>7.6951150711457764E-2</v>
      </c>
      <c r="J150" s="3">
        <f t="shared" si="77"/>
        <v>7.6951150711457764E-2</v>
      </c>
      <c r="K150" s="3">
        <f t="shared" si="77"/>
        <v>7.6951150711457764E-2</v>
      </c>
      <c r="L150" s="3">
        <f t="shared" si="77"/>
        <v>7.6951150711457764E-2</v>
      </c>
      <c r="M150" s="3">
        <f t="shared" si="77"/>
        <v>7.6951150711457736E-2</v>
      </c>
      <c r="N150" s="3">
        <f t="shared" si="77"/>
        <v>7.6951150711457528E-2</v>
      </c>
      <c r="O150" s="3">
        <f t="shared" si="77"/>
        <v>7.6951150711455418E-2</v>
      </c>
      <c r="P150" s="3">
        <f t="shared" si="77"/>
        <v>7.6951150711434282E-2</v>
      </c>
      <c r="Q150" s="3">
        <f t="shared" si="77"/>
        <v>7.6951150711222979E-2</v>
      </c>
      <c r="R150" s="3">
        <f t="shared" si="77"/>
        <v>7.6951150709109878E-2</v>
      </c>
      <c r="S150" s="3">
        <f t="shared" si="77"/>
        <v>7.6951150687978961E-2</v>
      </c>
      <c r="T150" s="3">
        <f t="shared" si="77"/>
        <v>7.6951150476669658E-2</v>
      </c>
      <c r="U150" s="3">
        <f t="shared" si="77"/>
        <v>7.6951148363576666E-2</v>
      </c>
      <c r="V150" s="3">
        <f t="shared" si="77"/>
        <v>7.6951127232650018E-2</v>
      </c>
      <c r="W150" s="3">
        <f t="shared" si="77"/>
        <v>7.6950915923702623E-2</v>
      </c>
      <c r="X150" s="3">
        <f t="shared" si="77"/>
        <v>7.6948802866142599E-2</v>
      </c>
      <c r="Y150" s="3">
        <f t="shared" si="77"/>
        <v>7.6927675481608254E-2</v>
      </c>
      <c r="Z150" s="3">
        <f t="shared" si="77"/>
        <v>7.6716720418873036E-2</v>
      </c>
      <c r="AA150" s="3">
        <f t="shared" ref="AA150" si="78">$C36*EXP(-AA$129/$A36/EXP(-$B$126))</f>
        <v>7.4638726525918506E-2</v>
      </c>
      <c r="AB150" s="3">
        <f t="shared" si="67"/>
        <v>5.6716071624887593E-2</v>
      </c>
      <c r="AC150" s="3">
        <f t="shared" si="67"/>
        <v>3.6402009266112566E-3</v>
      </c>
      <c r="AD150" s="3">
        <f t="shared" si="67"/>
        <v>4.3183465488626538E-15</v>
      </c>
      <c r="AE150" s="3">
        <f t="shared" si="67"/>
        <v>2.3836300384913607E-134</v>
      </c>
      <c r="AF150" s="3">
        <f t="shared" si="67"/>
        <v>0</v>
      </c>
    </row>
    <row r="151" spans="1:32" x14ac:dyDescent="0.25">
      <c r="B151" s="3">
        <f t="shared" ref="B151:Z151" si="79">$C37*EXP(-B$129/$A37/EXP(-$B$126))</f>
        <v>5.7921020050419839E-2</v>
      </c>
      <c r="C151" s="3">
        <f t="shared" si="79"/>
        <v>5.7921020050419839E-2</v>
      </c>
      <c r="D151" s="3">
        <f t="shared" si="79"/>
        <v>5.7921020050419839E-2</v>
      </c>
      <c r="E151" s="3">
        <f t="shared" si="79"/>
        <v>5.7921020050419839E-2</v>
      </c>
      <c r="F151" s="3">
        <f t="shared" si="79"/>
        <v>5.7921020050419839E-2</v>
      </c>
      <c r="G151" s="3">
        <f t="shared" si="79"/>
        <v>5.7921020050419839E-2</v>
      </c>
      <c r="H151" s="3">
        <f t="shared" si="79"/>
        <v>5.7921020050419839E-2</v>
      </c>
      <c r="I151" s="3">
        <f t="shared" si="79"/>
        <v>5.7921020050419839E-2</v>
      </c>
      <c r="J151" s="3">
        <f t="shared" si="79"/>
        <v>5.7921020050419839E-2</v>
      </c>
      <c r="K151" s="3">
        <f t="shared" si="79"/>
        <v>5.7921020050419839E-2</v>
      </c>
      <c r="L151" s="3">
        <f t="shared" si="79"/>
        <v>5.7921020050419839E-2</v>
      </c>
      <c r="M151" s="3">
        <f t="shared" si="79"/>
        <v>5.7921020050419839E-2</v>
      </c>
      <c r="N151" s="3">
        <f t="shared" si="79"/>
        <v>5.7921020050419825E-2</v>
      </c>
      <c r="O151" s="3">
        <f t="shared" si="79"/>
        <v>5.7921020050419679E-2</v>
      </c>
      <c r="P151" s="3">
        <f t="shared" si="79"/>
        <v>5.7921020050418243E-2</v>
      </c>
      <c r="Q151" s="3">
        <f t="shared" si="79"/>
        <v>5.79210200504039E-2</v>
      </c>
      <c r="R151" s="3">
        <f t="shared" si="79"/>
        <v>5.7921020050260417E-2</v>
      </c>
      <c r="S151" s="3">
        <f t="shared" si="79"/>
        <v>5.7921020048825635E-2</v>
      </c>
      <c r="T151" s="3">
        <f t="shared" si="79"/>
        <v>5.7921020034477799E-2</v>
      </c>
      <c r="U151" s="3">
        <f t="shared" si="79"/>
        <v>5.792101989099948E-2</v>
      </c>
      <c r="V151" s="3">
        <f t="shared" si="79"/>
        <v>5.7921018456216285E-2</v>
      </c>
      <c r="W151" s="3">
        <f t="shared" si="79"/>
        <v>5.7921004108386236E-2</v>
      </c>
      <c r="X151" s="3">
        <f t="shared" si="79"/>
        <v>5.7920860630281248E-2</v>
      </c>
      <c r="Y151" s="3">
        <f t="shared" si="79"/>
        <v>5.7919425868779059E-2</v>
      </c>
      <c r="Z151" s="3">
        <f t="shared" si="79"/>
        <v>5.7905080208343396E-2</v>
      </c>
      <c r="AA151" s="3">
        <f t="shared" ref="AA151" si="80">$C37*EXP(-AA$129/$A37/EXP(-$B$126))</f>
        <v>5.7761818883584899E-2</v>
      </c>
      <c r="AB151" s="3">
        <f t="shared" si="67"/>
        <v>5.6348555793838108E-2</v>
      </c>
      <c r="AC151" s="3">
        <f t="shared" si="67"/>
        <v>4.3984745289147371E-2</v>
      </c>
      <c r="AD151" s="3">
        <f t="shared" si="67"/>
        <v>3.6939839049771198E-3</v>
      </c>
      <c r="AE151" s="3">
        <f t="shared" si="67"/>
        <v>6.4479873044003631E-14</v>
      </c>
      <c r="AF151" s="3">
        <f t="shared" si="67"/>
        <v>1.6932298742293645E-121</v>
      </c>
    </row>
    <row r="152" spans="1:32" x14ac:dyDescent="0.25">
      <c r="B152" s="3">
        <f t="shared" ref="B152:Z152" si="81">$C38*EXP(-B$129/$A38/EXP(-$B$126))</f>
        <v>2.5285810572757812E-2</v>
      </c>
      <c r="C152" s="3">
        <f t="shared" si="81"/>
        <v>2.5285810572757812E-2</v>
      </c>
      <c r="D152" s="3">
        <f t="shared" si="81"/>
        <v>2.5285810572757812E-2</v>
      </c>
      <c r="E152" s="3">
        <f t="shared" si="81"/>
        <v>2.5285810572757812E-2</v>
      </c>
      <c r="F152" s="3">
        <f t="shared" si="81"/>
        <v>2.5285810572757812E-2</v>
      </c>
      <c r="G152" s="3">
        <f t="shared" si="81"/>
        <v>2.5285810572757812E-2</v>
      </c>
      <c r="H152" s="3">
        <f t="shared" si="81"/>
        <v>2.5285810572757812E-2</v>
      </c>
      <c r="I152" s="3">
        <f t="shared" si="81"/>
        <v>2.5285810572757812E-2</v>
      </c>
      <c r="J152" s="3">
        <f t="shared" si="81"/>
        <v>2.5285810572757812E-2</v>
      </c>
      <c r="K152" s="3">
        <f t="shared" si="81"/>
        <v>2.5285810572757812E-2</v>
      </c>
      <c r="L152" s="3">
        <f t="shared" si="81"/>
        <v>2.5285810572757812E-2</v>
      </c>
      <c r="M152" s="3">
        <f t="shared" si="81"/>
        <v>2.5285810572757812E-2</v>
      </c>
      <c r="N152" s="3">
        <f t="shared" si="81"/>
        <v>2.5285810572757812E-2</v>
      </c>
      <c r="O152" s="3">
        <f t="shared" si="81"/>
        <v>2.5285810572757805E-2</v>
      </c>
      <c r="P152" s="3">
        <f t="shared" si="81"/>
        <v>2.528581057275775E-2</v>
      </c>
      <c r="Q152" s="3">
        <f t="shared" si="81"/>
        <v>2.5285810572757184E-2</v>
      </c>
      <c r="R152" s="3">
        <f t="shared" si="81"/>
        <v>2.5285810572751536E-2</v>
      </c>
      <c r="S152" s="3">
        <f t="shared" si="81"/>
        <v>2.5285810572695029E-2</v>
      </c>
      <c r="T152" s="3">
        <f t="shared" si="81"/>
        <v>2.5285810572129998E-2</v>
      </c>
      <c r="U152" s="3">
        <f t="shared" si="81"/>
        <v>2.5285810566479671E-2</v>
      </c>
      <c r="V152" s="3">
        <f t="shared" si="81"/>
        <v>2.5285810509976407E-2</v>
      </c>
      <c r="W152" s="3">
        <f t="shared" si="81"/>
        <v>2.5285809944943744E-2</v>
      </c>
      <c r="X152" s="3">
        <f t="shared" si="81"/>
        <v>2.5285804294617822E-2</v>
      </c>
      <c r="Y152" s="3">
        <f t="shared" si="81"/>
        <v>2.5285747791428038E-2</v>
      </c>
      <c r="Z152" s="3">
        <f t="shared" si="81"/>
        <v>2.5285182766474526E-2</v>
      </c>
      <c r="AA152" s="3">
        <f t="shared" ref="AA152" si="82">$C38*EXP(-AA$129/$A38/EXP(-$B$126))</f>
        <v>2.5279533211312745E-2</v>
      </c>
      <c r="AB152" s="3">
        <f t="shared" si="67"/>
        <v>2.5223107039651547E-2</v>
      </c>
      <c r="AC152" s="3">
        <f t="shared" si="67"/>
        <v>2.4665726296885244E-2</v>
      </c>
      <c r="AD152" s="3">
        <f t="shared" si="67"/>
        <v>1.9726369299985214E-2</v>
      </c>
      <c r="AE152" s="3">
        <f t="shared" si="67"/>
        <v>2.111444509978353E-3</v>
      </c>
      <c r="AF152" s="3">
        <f t="shared" si="67"/>
        <v>4.1677801589412196E-13</v>
      </c>
    </row>
    <row r="153" spans="1:32" x14ac:dyDescent="0.25">
      <c r="B153" s="3">
        <f t="shared" ref="B153:Z153" si="83">$C39*EXP(-B$129/$A39/EXP(-$B$126))</f>
        <v>3.2366685021283446E-2</v>
      </c>
      <c r="C153" s="3">
        <f t="shared" si="83"/>
        <v>3.2366685021283446E-2</v>
      </c>
      <c r="D153" s="3">
        <f t="shared" si="83"/>
        <v>3.2366685021283446E-2</v>
      </c>
      <c r="E153" s="3">
        <f t="shared" si="83"/>
        <v>3.2366685021283446E-2</v>
      </c>
      <c r="F153" s="3">
        <f t="shared" si="83"/>
        <v>3.2366685021283446E-2</v>
      </c>
      <c r="G153" s="3">
        <f t="shared" si="83"/>
        <v>3.2366685021283446E-2</v>
      </c>
      <c r="H153" s="3">
        <f t="shared" si="83"/>
        <v>3.2366685021283446E-2</v>
      </c>
      <c r="I153" s="3">
        <f t="shared" si="83"/>
        <v>3.2366685021283446E-2</v>
      </c>
      <c r="J153" s="3">
        <f t="shared" si="83"/>
        <v>3.2366685021283446E-2</v>
      </c>
      <c r="K153" s="3">
        <f t="shared" si="83"/>
        <v>3.2366685021283446E-2</v>
      </c>
      <c r="L153" s="3">
        <f t="shared" si="83"/>
        <v>3.2366685021283446E-2</v>
      </c>
      <c r="M153" s="3">
        <f t="shared" si="83"/>
        <v>3.2366685021283446E-2</v>
      </c>
      <c r="N153" s="3">
        <f t="shared" si="83"/>
        <v>3.2366685021283446E-2</v>
      </c>
      <c r="O153" s="3">
        <f t="shared" si="83"/>
        <v>3.2366685021283439E-2</v>
      </c>
      <c r="P153" s="3">
        <f t="shared" si="83"/>
        <v>3.2366685021283426E-2</v>
      </c>
      <c r="Q153" s="3">
        <f t="shared" si="83"/>
        <v>3.2366685021283224E-2</v>
      </c>
      <c r="R153" s="3">
        <f t="shared" si="83"/>
        <v>3.2366685021281219E-2</v>
      </c>
      <c r="S153" s="3">
        <f t="shared" si="83"/>
        <v>3.2366685021261221E-2</v>
      </c>
      <c r="T153" s="3">
        <f t="shared" si="83"/>
        <v>3.2366685021061187E-2</v>
      </c>
      <c r="U153" s="3">
        <f t="shared" si="83"/>
        <v>3.2366685019060829E-2</v>
      </c>
      <c r="V153" s="3">
        <f t="shared" si="83"/>
        <v>3.2366684999057246E-2</v>
      </c>
      <c r="W153" s="3">
        <f t="shared" si="83"/>
        <v>3.2366684799021425E-2</v>
      </c>
      <c r="X153" s="3">
        <f t="shared" si="83"/>
        <v>3.2366682798663345E-2</v>
      </c>
      <c r="Y153" s="3">
        <f t="shared" si="83"/>
        <v>3.2366662795089311E-2</v>
      </c>
      <c r="Z153" s="3">
        <f t="shared" si="83"/>
        <v>3.23664627600289E-2</v>
      </c>
      <c r="AA153" s="3">
        <f t="shared" ref="AA153" si="84">$C39*EXP(-AA$129/$A39/EXP(-$B$126))</f>
        <v>3.2364462477418504E-2</v>
      </c>
      <c r="AB153" s="3">
        <f t="shared" si="67"/>
        <v>3.2344466449134475E-2</v>
      </c>
      <c r="AC153" s="3">
        <f t="shared" si="67"/>
        <v>3.2145184396382163E-2</v>
      </c>
      <c r="AD153" s="3">
        <f t="shared" si="67"/>
        <v>3.0218661267030589E-2</v>
      </c>
      <c r="AE153" s="3">
        <f t="shared" si="67"/>
        <v>1.628801692585773E-2</v>
      </c>
      <c r="AF153" s="3">
        <f t="shared" si="67"/>
        <v>3.3713056341330995E-5</v>
      </c>
    </row>
    <row r="154" spans="1:32" x14ac:dyDescent="0.25">
      <c r="B154" s="3">
        <f t="shared" ref="B154:Z154" si="85">$C40*EXP(-B$129/$A40/EXP(-$B$126))</f>
        <v>3.1308799332550319E-2</v>
      </c>
      <c r="C154" s="3">
        <f t="shared" si="85"/>
        <v>3.1308799332550319E-2</v>
      </c>
      <c r="D154" s="3">
        <f t="shared" si="85"/>
        <v>3.1308799332550319E-2</v>
      </c>
      <c r="E154" s="3">
        <f t="shared" si="85"/>
        <v>3.1308799332550319E-2</v>
      </c>
      <c r="F154" s="3">
        <f t="shared" si="85"/>
        <v>3.1308799332550319E-2</v>
      </c>
      <c r="G154" s="3">
        <f t="shared" si="85"/>
        <v>3.1308799332550319E-2</v>
      </c>
      <c r="H154" s="3">
        <f t="shared" si="85"/>
        <v>3.1308799332550319E-2</v>
      </c>
      <c r="I154" s="3">
        <f t="shared" si="85"/>
        <v>3.1308799332550319E-2</v>
      </c>
      <c r="J154" s="3">
        <f t="shared" si="85"/>
        <v>3.1308799332550319E-2</v>
      </c>
      <c r="K154" s="3">
        <f t="shared" si="85"/>
        <v>3.1308799332550319E-2</v>
      </c>
      <c r="L154" s="3">
        <f t="shared" si="85"/>
        <v>3.1308799332550319E-2</v>
      </c>
      <c r="M154" s="3">
        <f t="shared" si="85"/>
        <v>3.1308799332550319E-2</v>
      </c>
      <c r="N154" s="3">
        <f t="shared" si="85"/>
        <v>3.1308799332550319E-2</v>
      </c>
      <c r="O154" s="3">
        <f t="shared" si="85"/>
        <v>3.1308799332550319E-2</v>
      </c>
      <c r="P154" s="3">
        <f t="shared" si="85"/>
        <v>3.1308799332550312E-2</v>
      </c>
      <c r="Q154" s="3">
        <f t="shared" si="85"/>
        <v>3.1308799332550298E-2</v>
      </c>
      <c r="R154" s="3">
        <f t="shared" si="85"/>
        <v>3.1308799332550104E-2</v>
      </c>
      <c r="S154" s="3">
        <f t="shared" si="85"/>
        <v>3.1308799332548168E-2</v>
      </c>
      <c r="T154" s="3">
        <f t="shared" si="85"/>
        <v>3.1308799332528822E-2</v>
      </c>
      <c r="U154" s="3">
        <f t="shared" si="85"/>
        <v>3.1308799332335324E-2</v>
      </c>
      <c r="V154" s="3">
        <f t="shared" si="85"/>
        <v>3.1308799330400344E-2</v>
      </c>
      <c r="W154" s="3">
        <f t="shared" si="85"/>
        <v>3.1308799311050566E-2</v>
      </c>
      <c r="X154" s="3">
        <f t="shared" si="85"/>
        <v>3.1308799117552799E-2</v>
      </c>
      <c r="Y154" s="3">
        <f t="shared" si="85"/>
        <v>3.1308797182575225E-2</v>
      </c>
      <c r="Z154" s="3">
        <f t="shared" si="85"/>
        <v>3.1308777832806008E-2</v>
      </c>
      <c r="AA154" s="3">
        <f t="shared" ref="AA154:AF154" si="86">$C40*EXP(-AA$129/$A40/EXP(-$B$126))</f>
        <v>3.1308584335771578E-2</v>
      </c>
      <c r="AB154" s="3">
        <f t="shared" si="86"/>
        <v>3.130664943119868E-2</v>
      </c>
      <c r="AC154" s="3">
        <f t="shared" si="86"/>
        <v>3.1287306961106952E-2</v>
      </c>
      <c r="AD154" s="3">
        <f t="shared" si="86"/>
        <v>3.1094538322733942E-2</v>
      </c>
      <c r="AE154" s="3">
        <f t="shared" si="86"/>
        <v>2.9230982446476539E-2</v>
      </c>
      <c r="AF154" s="3">
        <f t="shared" si="86"/>
        <v>1.5755652861005946E-2</v>
      </c>
    </row>
    <row r="155" spans="1:32" x14ac:dyDescent="0.25">
      <c r="B155" s="3">
        <f t="shared" ref="B155:Z155" si="87">$C41*EXP(-B$129/$A41/EXP(-$B$126))</f>
        <v>2.9628011896189826E-2</v>
      </c>
      <c r="C155" s="3">
        <f t="shared" si="87"/>
        <v>2.9628011896189826E-2</v>
      </c>
      <c r="D155" s="3">
        <f t="shared" si="87"/>
        <v>2.9628011896189826E-2</v>
      </c>
      <c r="E155" s="3">
        <f t="shared" si="87"/>
        <v>2.9628011896189826E-2</v>
      </c>
      <c r="F155" s="3">
        <f t="shared" si="87"/>
        <v>2.9628011896189826E-2</v>
      </c>
      <c r="G155" s="3">
        <f t="shared" si="87"/>
        <v>2.9628011896189826E-2</v>
      </c>
      <c r="H155" s="3">
        <f t="shared" si="87"/>
        <v>2.9628011896189826E-2</v>
      </c>
      <c r="I155" s="3">
        <f t="shared" si="87"/>
        <v>2.9628011896189826E-2</v>
      </c>
      <c r="J155" s="3">
        <f t="shared" si="87"/>
        <v>2.9628011896189826E-2</v>
      </c>
      <c r="K155" s="3">
        <f t="shared" si="87"/>
        <v>2.9628011896189826E-2</v>
      </c>
      <c r="L155" s="3">
        <f t="shared" si="87"/>
        <v>2.9628011896189826E-2</v>
      </c>
      <c r="M155" s="3">
        <f t="shared" si="87"/>
        <v>2.9628011896189826E-2</v>
      </c>
      <c r="N155" s="3">
        <f t="shared" si="87"/>
        <v>2.9628011896189826E-2</v>
      </c>
      <c r="O155" s="3">
        <f t="shared" si="87"/>
        <v>2.9628011896189826E-2</v>
      </c>
      <c r="P155" s="3">
        <f t="shared" si="87"/>
        <v>2.9628011896189826E-2</v>
      </c>
      <c r="Q155" s="3">
        <f t="shared" si="87"/>
        <v>2.9628011896189823E-2</v>
      </c>
      <c r="R155" s="3">
        <f t="shared" si="87"/>
        <v>2.9628011896189806E-2</v>
      </c>
      <c r="S155" s="3">
        <f t="shared" si="87"/>
        <v>2.9628011896189622E-2</v>
      </c>
      <c r="T155" s="3">
        <f t="shared" si="87"/>
        <v>2.962801189618779E-2</v>
      </c>
      <c r="U155" s="3">
        <f t="shared" si="87"/>
        <v>2.9628011896169482E-2</v>
      </c>
      <c r="V155" s="3">
        <f t="shared" si="87"/>
        <v>2.9628011895986371E-2</v>
      </c>
      <c r="W155" s="3">
        <f t="shared" si="87"/>
        <v>2.9628011894155273E-2</v>
      </c>
      <c r="X155" s="3">
        <f t="shared" si="87"/>
        <v>2.9628011875844271E-2</v>
      </c>
      <c r="Y155" s="3">
        <f t="shared" si="87"/>
        <v>2.9628011692734275E-2</v>
      </c>
      <c r="Z155" s="3">
        <f t="shared" si="87"/>
        <v>2.9628009861634396E-2</v>
      </c>
      <c r="AA155" s="3">
        <f t="shared" ref="AA155:AF155" si="88">$C41*EXP(-AA$129/$A41/EXP(-$B$126))</f>
        <v>2.9627991550641809E-2</v>
      </c>
      <c r="AB155" s="3">
        <f t="shared" si="88"/>
        <v>2.9627808441338346E-2</v>
      </c>
      <c r="AC155" s="3">
        <f t="shared" si="88"/>
        <v>2.9625977410544263E-2</v>
      </c>
      <c r="AD155" s="3">
        <f t="shared" si="88"/>
        <v>2.9607673325232894E-2</v>
      </c>
      <c r="AE155" s="3">
        <f t="shared" si="88"/>
        <v>2.942525331447924E-2</v>
      </c>
      <c r="AF155" s="3">
        <f t="shared" si="88"/>
        <v>2.7661740920263408E-2</v>
      </c>
    </row>
    <row r="156" spans="1:32" x14ac:dyDescent="0.25">
      <c r="B156" s="3">
        <f t="shared" ref="B156:Z156" si="89">$C42*EXP(-B$129/$A42/EXP(-$B$126))</f>
        <v>3.0878251841692891E-2</v>
      </c>
      <c r="C156" s="3">
        <f t="shared" si="89"/>
        <v>3.0878251841692891E-2</v>
      </c>
      <c r="D156" s="3">
        <f t="shared" si="89"/>
        <v>3.0878251841692891E-2</v>
      </c>
      <c r="E156" s="3">
        <f t="shared" si="89"/>
        <v>3.0878251841692891E-2</v>
      </c>
      <c r="F156" s="3">
        <f t="shared" si="89"/>
        <v>3.0878251841692891E-2</v>
      </c>
      <c r="G156" s="3">
        <f t="shared" si="89"/>
        <v>3.0878251841692891E-2</v>
      </c>
      <c r="H156" s="3">
        <f t="shared" si="89"/>
        <v>3.0878251841692891E-2</v>
      </c>
      <c r="I156" s="3">
        <f t="shared" si="89"/>
        <v>3.0878251841692891E-2</v>
      </c>
      <c r="J156" s="3">
        <f t="shared" si="89"/>
        <v>3.0878251841692891E-2</v>
      </c>
      <c r="K156" s="3">
        <f t="shared" si="89"/>
        <v>3.0878251841692891E-2</v>
      </c>
      <c r="L156" s="3">
        <f t="shared" si="89"/>
        <v>3.0878251841692891E-2</v>
      </c>
      <c r="M156" s="3">
        <f t="shared" si="89"/>
        <v>3.0878251841692891E-2</v>
      </c>
      <c r="N156" s="3">
        <f t="shared" si="89"/>
        <v>3.0878251841692891E-2</v>
      </c>
      <c r="O156" s="3">
        <f t="shared" si="89"/>
        <v>3.0878251841692891E-2</v>
      </c>
      <c r="P156" s="3">
        <f t="shared" si="89"/>
        <v>3.0878251841692891E-2</v>
      </c>
      <c r="Q156" s="3">
        <f t="shared" si="89"/>
        <v>3.0878251841692891E-2</v>
      </c>
      <c r="R156" s="3">
        <f t="shared" si="89"/>
        <v>3.0878251841692888E-2</v>
      </c>
      <c r="S156" s="3">
        <f t="shared" si="89"/>
        <v>3.0878251841692871E-2</v>
      </c>
      <c r="T156" s="3">
        <f t="shared" si="89"/>
        <v>3.087825184169268E-2</v>
      </c>
      <c r="U156" s="3">
        <f t="shared" si="89"/>
        <v>3.0878251841690768E-2</v>
      </c>
      <c r="V156" s="3">
        <f t="shared" si="89"/>
        <v>3.087825184167169E-2</v>
      </c>
      <c r="W156" s="3">
        <f t="shared" si="89"/>
        <v>3.0878251841480853E-2</v>
      </c>
      <c r="X156" s="3">
        <f t="shared" si="89"/>
        <v>3.0878251839572483E-2</v>
      </c>
      <c r="Y156" s="3">
        <f t="shared" si="89"/>
        <v>3.0878251820488797E-2</v>
      </c>
      <c r="Z156" s="3">
        <f t="shared" si="89"/>
        <v>3.0878251629651944E-2</v>
      </c>
      <c r="AA156" s="3">
        <f t="shared" ref="AA156:AF156" si="90">$C42*EXP(-AA$129/$A42/EXP(-$B$126))</f>
        <v>3.0878249721283491E-2</v>
      </c>
      <c r="AB156" s="3">
        <f t="shared" si="90"/>
        <v>3.087823063760543E-2</v>
      </c>
      <c r="AC156" s="3">
        <f t="shared" si="90"/>
        <v>3.0878039801473509E-2</v>
      </c>
      <c r="AD156" s="3">
        <f t="shared" si="90"/>
        <v>3.0876131505021227E-2</v>
      </c>
      <c r="AE156" s="3">
        <f t="shared" si="90"/>
        <v>3.08570550257098E-2</v>
      </c>
      <c r="AF156" s="3">
        <f t="shared" si="90"/>
        <v>3.0666937273200731E-2</v>
      </c>
    </row>
    <row r="157" spans="1:32" x14ac:dyDescent="0.25">
      <c r="B157" s="3">
        <f t="shared" ref="B157:Z157" si="91">$C43*EXP(-B$129/$A43/EXP(-$B$126))</f>
        <v>3.5015955138041704E-2</v>
      </c>
      <c r="C157" s="3">
        <f t="shared" si="91"/>
        <v>3.5015955138041704E-2</v>
      </c>
      <c r="D157" s="3">
        <f t="shared" si="91"/>
        <v>3.5015955138041704E-2</v>
      </c>
      <c r="E157" s="3">
        <f t="shared" si="91"/>
        <v>3.5015955138041704E-2</v>
      </c>
      <c r="F157" s="3">
        <f t="shared" si="91"/>
        <v>3.5015955138041704E-2</v>
      </c>
      <c r="G157" s="3">
        <f t="shared" si="91"/>
        <v>3.5015955138041704E-2</v>
      </c>
      <c r="H157" s="3">
        <f t="shared" si="91"/>
        <v>3.5015955138041704E-2</v>
      </c>
      <c r="I157" s="3">
        <f t="shared" si="91"/>
        <v>3.5015955138041704E-2</v>
      </c>
      <c r="J157" s="3">
        <f t="shared" si="91"/>
        <v>3.5015955138041704E-2</v>
      </c>
      <c r="K157" s="3">
        <f t="shared" si="91"/>
        <v>3.5015955138041704E-2</v>
      </c>
      <c r="L157" s="3">
        <f t="shared" si="91"/>
        <v>3.5015955138041704E-2</v>
      </c>
      <c r="M157" s="3">
        <f t="shared" si="91"/>
        <v>3.5015955138041704E-2</v>
      </c>
      <c r="N157" s="3">
        <f t="shared" si="91"/>
        <v>3.5015955138041704E-2</v>
      </c>
      <c r="O157" s="3">
        <f t="shared" si="91"/>
        <v>3.5015955138041704E-2</v>
      </c>
      <c r="P157" s="3">
        <f t="shared" si="91"/>
        <v>3.5015955138041704E-2</v>
      </c>
      <c r="Q157" s="3">
        <f t="shared" si="91"/>
        <v>3.5015955138041704E-2</v>
      </c>
      <c r="R157" s="3">
        <f t="shared" si="91"/>
        <v>3.5015955138041704E-2</v>
      </c>
      <c r="S157" s="3">
        <f t="shared" si="91"/>
        <v>3.5015955138041698E-2</v>
      </c>
      <c r="T157" s="3">
        <f t="shared" si="91"/>
        <v>3.5015955138041684E-2</v>
      </c>
      <c r="U157" s="3">
        <f t="shared" si="91"/>
        <v>3.5015955138041462E-2</v>
      </c>
      <c r="V157" s="3">
        <f t="shared" si="91"/>
        <v>3.5015955138039297E-2</v>
      </c>
      <c r="W157" s="3">
        <f t="shared" si="91"/>
        <v>3.5015955138017661E-2</v>
      </c>
      <c r="X157" s="3">
        <f t="shared" si="91"/>
        <v>3.5015955137801251E-2</v>
      </c>
      <c r="Y157" s="3">
        <f t="shared" si="91"/>
        <v>3.5015955135637163E-2</v>
      </c>
      <c r="Z157" s="3">
        <f t="shared" si="91"/>
        <v>3.5015955113996251E-2</v>
      </c>
      <c r="AA157" s="3">
        <f t="shared" ref="AA157:AF157" si="92">$C43*EXP(-AA$129/$A43/EXP(-$B$126))</f>
        <v>3.5015954897587152E-2</v>
      </c>
      <c r="AB157" s="3">
        <f t="shared" si="92"/>
        <v>3.5015952733496239E-2</v>
      </c>
      <c r="AC157" s="3">
        <f t="shared" si="92"/>
        <v>3.5015931092594474E-2</v>
      </c>
      <c r="AD157" s="3">
        <f t="shared" si="92"/>
        <v>3.5015714684312409E-2</v>
      </c>
      <c r="AE157" s="3">
        <f t="shared" si="92"/>
        <v>3.501355067505095E-2</v>
      </c>
      <c r="AF157" s="3">
        <f t="shared" si="92"/>
        <v>3.4991917936669732E-2</v>
      </c>
    </row>
    <row r="158" spans="1:32" x14ac:dyDescent="0.25">
      <c r="B158" s="3">
        <f t="shared" ref="B158:Z158" si="93">$C44*EXP(-B$129/$A44/EXP(-$B$126))</f>
        <v>3.7250810616417634E-2</v>
      </c>
      <c r="C158" s="3">
        <f t="shared" si="93"/>
        <v>3.7250810616417634E-2</v>
      </c>
      <c r="D158" s="3">
        <f t="shared" si="93"/>
        <v>3.7250810616417634E-2</v>
      </c>
      <c r="E158" s="3">
        <f t="shared" si="93"/>
        <v>3.7250810616417634E-2</v>
      </c>
      <c r="F158" s="3">
        <f t="shared" si="93"/>
        <v>3.7250810616417634E-2</v>
      </c>
      <c r="G158" s="3">
        <f t="shared" si="93"/>
        <v>3.7250810616417634E-2</v>
      </c>
      <c r="H158" s="3">
        <f t="shared" si="93"/>
        <v>3.7250810616417634E-2</v>
      </c>
      <c r="I158" s="3">
        <f t="shared" si="93"/>
        <v>3.7250810616417634E-2</v>
      </c>
      <c r="J158" s="3">
        <f t="shared" si="93"/>
        <v>3.7250810616417634E-2</v>
      </c>
      <c r="K158" s="3">
        <f t="shared" si="93"/>
        <v>3.7250810616417634E-2</v>
      </c>
      <c r="L158" s="3">
        <f t="shared" si="93"/>
        <v>3.7250810616417634E-2</v>
      </c>
      <c r="M158" s="3">
        <f t="shared" si="93"/>
        <v>3.7250810616417634E-2</v>
      </c>
      <c r="N158" s="3">
        <f t="shared" si="93"/>
        <v>3.7250810616417634E-2</v>
      </c>
      <c r="O158" s="3">
        <f t="shared" si="93"/>
        <v>3.7250810616417634E-2</v>
      </c>
      <c r="P158" s="3">
        <f t="shared" si="93"/>
        <v>3.7250810616417634E-2</v>
      </c>
      <c r="Q158" s="3">
        <f t="shared" si="93"/>
        <v>3.7250810616417634E-2</v>
      </c>
      <c r="R158" s="3">
        <f t="shared" si="93"/>
        <v>3.7250810616417634E-2</v>
      </c>
      <c r="S158" s="3">
        <f t="shared" si="93"/>
        <v>3.7250810616417634E-2</v>
      </c>
      <c r="T158" s="3">
        <f t="shared" si="93"/>
        <v>3.7250810616417628E-2</v>
      </c>
      <c r="U158" s="3">
        <f t="shared" si="93"/>
        <v>3.7250810616417607E-2</v>
      </c>
      <c r="V158" s="3">
        <f t="shared" si="93"/>
        <v>3.7250810616417378E-2</v>
      </c>
      <c r="W158" s="3">
        <f t="shared" si="93"/>
        <v>3.7250810616415074E-2</v>
      </c>
      <c r="X158" s="3">
        <f t="shared" si="93"/>
        <v>3.7250810616392058E-2</v>
      </c>
      <c r="Y158" s="3">
        <f t="shared" si="93"/>
        <v>3.7250810616161832E-2</v>
      </c>
      <c r="Z158" s="3">
        <f t="shared" si="93"/>
        <v>3.7250810613859625E-2</v>
      </c>
      <c r="AA158" s="3">
        <f t="shared" ref="AA158:AF158" si="94">$C44*EXP(-AA$129/$A44/EXP(-$B$126))</f>
        <v>3.7250810590837506E-2</v>
      </c>
      <c r="AB158" s="3">
        <f t="shared" si="94"/>
        <v>3.7250810360616331E-2</v>
      </c>
      <c r="AC158" s="3">
        <f t="shared" si="94"/>
        <v>3.7250808058404652E-2</v>
      </c>
      <c r="AD158" s="3">
        <f t="shared" si="94"/>
        <v>3.7250785036295732E-2</v>
      </c>
      <c r="AE158" s="3">
        <f t="shared" si="94"/>
        <v>3.7250554815989038E-2</v>
      </c>
      <c r="AF158" s="3">
        <f t="shared" si="94"/>
        <v>3.7248252691176133E-2</v>
      </c>
    </row>
    <row r="159" spans="1:32" x14ac:dyDescent="0.25">
      <c r="A159" s="11" t="s">
        <v>75</v>
      </c>
      <c r="B159" s="3">
        <f t="shared" ref="B159:Z159" si="95">$C45*EXP(-B$129/$A45/EXP(-$B$126))</f>
        <v>3.3898326315238474E-2</v>
      </c>
      <c r="C159" s="3">
        <f t="shared" si="95"/>
        <v>3.3898326315238474E-2</v>
      </c>
      <c r="D159" s="3">
        <f t="shared" si="95"/>
        <v>3.3898326315238474E-2</v>
      </c>
      <c r="E159" s="3">
        <f t="shared" si="95"/>
        <v>3.3898326315238474E-2</v>
      </c>
      <c r="F159" s="3">
        <f t="shared" si="95"/>
        <v>3.3898326315238474E-2</v>
      </c>
      <c r="G159" s="3">
        <f t="shared" si="95"/>
        <v>3.3898326315238474E-2</v>
      </c>
      <c r="H159" s="3">
        <f t="shared" si="95"/>
        <v>3.3898326315238474E-2</v>
      </c>
      <c r="I159" s="3">
        <f t="shared" si="95"/>
        <v>3.3898326315238474E-2</v>
      </c>
      <c r="J159" s="3">
        <f t="shared" si="95"/>
        <v>3.3898326315238474E-2</v>
      </c>
      <c r="K159" s="3">
        <f t="shared" si="95"/>
        <v>3.3898326315238474E-2</v>
      </c>
      <c r="L159" s="3">
        <f t="shared" si="95"/>
        <v>3.3898326315238474E-2</v>
      </c>
      <c r="M159" s="3">
        <f t="shared" si="95"/>
        <v>3.3898326315238474E-2</v>
      </c>
      <c r="N159" s="3">
        <f t="shared" si="95"/>
        <v>3.3898326315238474E-2</v>
      </c>
      <c r="O159" s="3">
        <f t="shared" si="95"/>
        <v>3.3898326315238474E-2</v>
      </c>
      <c r="P159" s="3">
        <f t="shared" si="95"/>
        <v>3.3898326315238474E-2</v>
      </c>
      <c r="Q159" s="3">
        <f t="shared" si="95"/>
        <v>3.3898326315238474E-2</v>
      </c>
      <c r="R159" s="3">
        <f t="shared" si="95"/>
        <v>3.3898326315238474E-2</v>
      </c>
      <c r="S159" s="3">
        <f t="shared" si="95"/>
        <v>3.3898326315238474E-2</v>
      </c>
      <c r="T159" s="3">
        <f t="shared" si="95"/>
        <v>3.3898326315238474E-2</v>
      </c>
      <c r="U159" s="3">
        <f t="shared" si="95"/>
        <v>3.3898326315238467E-2</v>
      </c>
      <c r="V159" s="3">
        <f t="shared" si="95"/>
        <v>3.3898326315238453E-2</v>
      </c>
      <c r="W159" s="3">
        <f t="shared" si="95"/>
        <v>3.3898326315238238E-2</v>
      </c>
      <c r="X159" s="3">
        <f t="shared" si="95"/>
        <v>3.3898326315236142E-2</v>
      </c>
      <c r="Y159" s="3">
        <f t="shared" si="95"/>
        <v>3.3898326315215194E-2</v>
      </c>
      <c r="Z159" s="3">
        <f t="shared" si="95"/>
        <v>3.3898326315005695E-2</v>
      </c>
      <c r="AA159" s="3">
        <f t="shared" ref="AA159:AF159" si="96">$C45*EXP(-AA$129/$A45/EXP(-$B$126))</f>
        <v>3.3898326312910676E-2</v>
      </c>
      <c r="AB159" s="3">
        <f t="shared" si="96"/>
        <v>3.3898326291960497E-2</v>
      </c>
      <c r="AC159" s="3">
        <f t="shared" si="96"/>
        <v>3.3898326082458678E-2</v>
      </c>
      <c r="AD159" s="3">
        <f t="shared" si="96"/>
        <v>3.3898323987440575E-2</v>
      </c>
      <c r="AE159" s="3">
        <f t="shared" si="96"/>
        <v>3.389830303726666E-2</v>
      </c>
      <c r="AF159" s="3">
        <f t="shared" si="96"/>
        <v>3.3898093536239668E-2</v>
      </c>
    </row>
    <row r="160" spans="1:32" x14ac:dyDescent="0.25">
      <c r="B160" s="3">
        <f t="shared" ref="B160:Z160" si="97">$C46*EXP(-B$129/$A46/EXP(-$B$126))</f>
        <v>2.3731882185441592E-2</v>
      </c>
      <c r="C160" s="3">
        <f t="shared" si="97"/>
        <v>2.3731882185441592E-2</v>
      </c>
      <c r="D160" s="3">
        <f t="shared" si="97"/>
        <v>2.3731882185441592E-2</v>
      </c>
      <c r="E160" s="3">
        <f t="shared" si="97"/>
        <v>2.3731882185441592E-2</v>
      </c>
      <c r="F160" s="3">
        <f t="shared" si="97"/>
        <v>2.3731882185441592E-2</v>
      </c>
      <c r="G160" s="3">
        <f t="shared" si="97"/>
        <v>2.3731882185441592E-2</v>
      </c>
      <c r="H160" s="3">
        <f t="shared" si="97"/>
        <v>2.3731882185441592E-2</v>
      </c>
      <c r="I160" s="3">
        <f t="shared" si="97"/>
        <v>2.3731882185441592E-2</v>
      </c>
      <c r="J160" s="3">
        <f t="shared" si="97"/>
        <v>2.3731882185441592E-2</v>
      </c>
      <c r="K160" s="3">
        <f t="shared" si="97"/>
        <v>2.3731882185441592E-2</v>
      </c>
      <c r="L160" s="3">
        <f t="shared" si="97"/>
        <v>2.3731882185441592E-2</v>
      </c>
      <c r="M160" s="3">
        <f t="shared" si="97"/>
        <v>2.3731882185441592E-2</v>
      </c>
      <c r="N160" s="3">
        <f t="shared" si="97"/>
        <v>2.3731882185441592E-2</v>
      </c>
      <c r="O160" s="3">
        <f t="shared" si="97"/>
        <v>2.3731882185441592E-2</v>
      </c>
      <c r="P160" s="3">
        <f t="shared" si="97"/>
        <v>2.3731882185441592E-2</v>
      </c>
      <c r="Q160" s="3">
        <f t="shared" si="97"/>
        <v>2.3731882185441592E-2</v>
      </c>
      <c r="R160" s="3">
        <f t="shared" si="97"/>
        <v>2.3731882185441592E-2</v>
      </c>
      <c r="S160" s="3">
        <f t="shared" si="97"/>
        <v>2.3731882185441592E-2</v>
      </c>
      <c r="T160" s="3">
        <f t="shared" si="97"/>
        <v>2.3731882185441592E-2</v>
      </c>
      <c r="U160" s="3">
        <f t="shared" si="97"/>
        <v>2.3731882185441592E-2</v>
      </c>
      <c r="V160" s="3">
        <f t="shared" si="97"/>
        <v>2.3731882185441588E-2</v>
      </c>
      <c r="W160" s="3">
        <f t="shared" si="97"/>
        <v>2.3731882185441575E-2</v>
      </c>
      <c r="X160" s="3">
        <f t="shared" si="97"/>
        <v>2.3731882185441429E-2</v>
      </c>
      <c r="Y160" s="3">
        <f t="shared" si="97"/>
        <v>2.3731882185439961E-2</v>
      </c>
      <c r="Z160" s="3">
        <f t="shared" si="97"/>
        <v>2.3731882185425296E-2</v>
      </c>
      <c r="AA160" s="3">
        <f t="shared" ref="AA160:AF160" si="98">$C46*EXP(-AA$129/$A46/EXP(-$B$126))</f>
        <v>2.3731882185278625E-2</v>
      </c>
      <c r="AB160" s="3">
        <f t="shared" si="98"/>
        <v>2.3731882183811923E-2</v>
      </c>
      <c r="AC160" s="3">
        <f t="shared" si="98"/>
        <v>2.3731882169144909E-2</v>
      </c>
      <c r="AD160" s="3">
        <f t="shared" si="98"/>
        <v>2.3731882022474764E-2</v>
      </c>
      <c r="AE160" s="3">
        <f t="shared" si="98"/>
        <v>2.3731880555773362E-2</v>
      </c>
      <c r="AF160" s="3">
        <f t="shared" si="98"/>
        <v>2.3731865888764303E-2</v>
      </c>
    </row>
    <row r="161" spans="1:34" x14ac:dyDescent="0.25">
      <c r="A161" s="11" t="s">
        <v>75</v>
      </c>
      <c r="B161" s="3">
        <f t="shared" ref="B161:Z161" si="99">$C47*EXP(-B$129/$A47/EXP(-$B$126))</f>
        <v>1.1146070536665017E-2</v>
      </c>
      <c r="C161" s="3">
        <f t="shared" si="99"/>
        <v>1.1146070536665017E-2</v>
      </c>
      <c r="D161" s="3">
        <f t="shared" si="99"/>
        <v>1.1146070536665017E-2</v>
      </c>
      <c r="E161" s="3">
        <f t="shared" si="99"/>
        <v>1.1146070536665017E-2</v>
      </c>
      <c r="F161" s="3">
        <f t="shared" si="99"/>
        <v>1.1146070536665017E-2</v>
      </c>
      <c r="G161" s="3">
        <f t="shared" si="99"/>
        <v>1.1146070536665017E-2</v>
      </c>
      <c r="H161" s="3">
        <f t="shared" si="99"/>
        <v>1.1146070536665017E-2</v>
      </c>
      <c r="I161" s="3">
        <f t="shared" si="99"/>
        <v>1.1146070536665017E-2</v>
      </c>
      <c r="J161" s="3">
        <f t="shared" si="99"/>
        <v>1.1146070536665017E-2</v>
      </c>
      <c r="K161" s="3">
        <f t="shared" si="99"/>
        <v>1.1146070536665017E-2</v>
      </c>
      <c r="L161" s="3">
        <f t="shared" si="99"/>
        <v>1.1146070536665017E-2</v>
      </c>
      <c r="M161" s="3">
        <f t="shared" si="99"/>
        <v>1.1146070536665017E-2</v>
      </c>
      <c r="N161" s="3">
        <f t="shared" si="99"/>
        <v>1.1146070536665017E-2</v>
      </c>
      <c r="O161" s="3">
        <f t="shared" si="99"/>
        <v>1.1146070536665017E-2</v>
      </c>
      <c r="P161" s="3">
        <f t="shared" si="99"/>
        <v>1.1146070536665017E-2</v>
      </c>
      <c r="Q161" s="3">
        <f t="shared" si="99"/>
        <v>1.1146070536665017E-2</v>
      </c>
      <c r="R161" s="3">
        <f t="shared" si="99"/>
        <v>1.1146070536665017E-2</v>
      </c>
      <c r="S161" s="3">
        <f t="shared" si="99"/>
        <v>1.1146070536665017E-2</v>
      </c>
      <c r="T161" s="3">
        <f t="shared" si="99"/>
        <v>1.1146070536665017E-2</v>
      </c>
      <c r="U161" s="3">
        <f t="shared" si="99"/>
        <v>1.1146070536665017E-2</v>
      </c>
      <c r="V161" s="3">
        <f t="shared" si="99"/>
        <v>1.1146070536665017E-2</v>
      </c>
      <c r="W161" s="3">
        <f t="shared" si="99"/>
        <v>1.1146070536665015E-2</v>
      </c>
      <c r="X161" s="3">
        <f t="shared" si="99"/>
        <v>1.114607053666501E-2</v>
      </c>
      <c r="Y161" s="3">
        <f t="shared" si="99"/>
        <v>1.1146070536664941E-2</v>
      </c>
      <c r="Z161" s="3">
        <f t="shared" si="99"/>
        <v>1.114607053666425E-2</v>
      </c>
      <c r="AA161" s="3">
        <f t="shared" ref="AA161:AF161" si="100">$C47*EXP(-AA$129/$A47/EXP(-$B$126))</f>
        <v>1.1146070536657364E-2</v>
      </c>
      <c r="AB161" s="3">
        <f t="shared" si="100"/>
        <v>1.1146070536588478E-2</v>
      </c>
      <c r="AC161" s="3">
        <f t="shared" si="100"/>
        <v>1.1146070535899617E-2</v>
      </c>
      <c r="AD161" s="3">
        <f t="shared" si="100"/>
        <v>1.1146070529011011E-2</v>
      </c>
      <c r="AE161" s="3">
        <f t="shared" si="100"/>
        <v>1.1146070460124953E-2</v>
      </c>
      <c r="AF161" s="3">
        <f t="shared" si="100"/>
        <v>1.114606977126441E-2</v>
      </c>
    </row>
    <row r="162" spans="1:34" x14ac:dyDescent="0.25">
      <c r="B162" s="3">
        <f t="shared" ref="B162:Z162" si="101">$C48*EXP(-B$129/$A48/EXP(-$B$126))</f>
        <v>2.58377406244087E-2</v>
      </c>
      <c r="C162" s="3">
        <f t="shared" si="101"/>
        <v>2.58377406244087E-2</v>
      </c>
      <c r="D162" s="3">
        <f t="shared" si="101"/>
        <v>2.58377406244087E-2</v>
      </c>
      <c r="E162" s="3">
        <f t="shared" si="101"/>
        <v>2.58377406244087E-2</v>
      </c>
      <c r="F162" s="3">
        <f t="shared" si="101"/>
        <v>2.58377406244087E-2</v>
      </c>
      <c r="G162" s="3">
        <f t="shared" si="101"/>
        <v>2.58377406244087E-2</v>
      </c>
      <c r="H162" s="3">
        <f t="shared" si="101"/>
        <v>2.58377406244087E-2</v>
      </c>
      <c r="I162" s="3">
        <f t="shared" si="101"/>
        <v>2.58377406244087E-2</v>
      </c>
      <c r="J162" s="3">
        <f t="shared" si="101"/>
        <v>2.58377406244087E-2</v>
      </c>
      <c r="K162" s="3">
        <f t="shared" si="101"/>
        <v>2.58377406244087E-2</v>
      </c>
      <c r="L162" s="3">
        <f t="shared" si="101"/>
        <v>2.58377406244087E-2</v>
      </c>
      <c r="M162" s="3">
        <f t="shared" si="101"/>
        <v>2.58377406244087E-2</v>
      </c>
      <c r="N162" s="3">
        <f t="shared" si="101"/>
        <v>2.58377406244087E-2</v>
      </c>
      <c r="O162" s="3">
        <f t="shared" si="101"/>
        <v>2.58377406244087E-2</v>
      </c>
      <c r="P162" s="3">
        <f t="shared" si="101"/>
        <v>2.58377406244087E-2</v>
      </c>
      <c r="Q162" s="3">
        <f t="shared" si="101"/>
        <v>2.58377406244087E-2</v>
      </c>
      <c r="R162" s="3">
        <f t="shared" si="101"/>
        <v>2.58377406244087E-2</v>
      </c>
      <c r="S162" s="3">
        <f t="shared" si="101"/>
        <v>2.58377406244087E-2</v>
      </c>
      <c r="T162" s="3">
        <f t="shared" si="101"/>
        <v>2.58377406244087E-2</v>
      </c>
      <c r="U162" s="3">
        <f t="shared" si="101"/>
        <v>2.58377406244087E-2</v>
      </c>
      <c r="V162" s="3">
        <f t="shared" si="101"/>
        <v>2.58377406244087E-2</v>
      </c>
      <c r="W162" s="3">
        <f t="shared" si="101"/>
        <v>2.58377406244087E-2</v>
      </c>
      <c r="X162" s="3">
        <f t="shared" si="101"/>
        <v>2.5837740624408696E-2</v>
      </c>
      <c r="Y162" s="3">
        <f t="shared" si="101"/>
        <v>2.5837740624408682E-2</v>
      </c>
      <c r="Z162" s="3">
        <f t="shared" si="101"/>
        <v>2.5837740624408523E-2</v>
      </c>
      <c r="AA162" s="3">
        <f t="shared" ref="AA162:AF162" si="102">$C48*EXP(-AA$129/$A48/EXP(-$B$126))</f>
        <v>2.5837740624406923E-2</v>
      </c>
      <c r="AB162" s="3">
        <f t="shared" si="102"/>
        <v>2.5837740624390957E-2</v>
      </c>
      <c r="AC162" s="3">
        <f t="shared" si="102"/>
        <v>2.5837740624231272E-2</v>
      </c>
      <c r="AD162" s="3">
        <f t="shared" si="102"/>
        <v>2.5837740622634425E-2</v>
      </c>
      <c r="AE162" s="3">
        <f t="shared" si="102"/>
        <v>2.5837740606665924E-2</v>
      </c>
      <c r="AF162" s="3">
        <f t="shared" si="102"/>
        <v>2.583774044698094E-2</v>
      </c>
    </row>
    <row r="163" spans="1:34" x14ac:dyDescent="0.25">
      <c r="A163" s="79">
        <f>AVERAGE(B163:AF163)</f>
        <v>2.9997660169692384E-2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3.0324073517430158E-2</v>
      </c>
      <c r="M163" s="80">
        <f t="shared" si="103"/>
        <v>5.1883655302157938E-2</v>
      </c>
      <c r="N163" s="80">
        <f t="shared" si="103"/>
        <v>6.9448065766882255E-2</v>
      </c>
      <c r="O163" s="80">
        <f t="shared" si="103"/>
        <v>8.340253640100527E-2</v>
      </c>
      <c r="P163" s="80">
        <f t="shared" si="103"/>
        <v>8.8390067200224895E-2</v>
      </c>
      <c r="Q163" s="80">
        <f t="shared" si="103"/>
        <v>8.6350991091157445E-2</v>
      </c>
      <c r="R163" s="80">
        <f t="shared" si="103"/>
        <v>9.2576360343990582E-2</v>
      </c>
      <c r="S163" s="80">
        <f t="shared" si="103"/>
        <v>0.10127966474273388</v>
      </c>
      <c r="T163" s="80">
        <f t="shared" si="103"/>
        <v>0.10990894443339981</v>
      </c>
      <c r="U163" s="80">
        <f t="shared" si="103"/>
        <v>0.11390228172741358</v>
      </c>
      <c r="V163" s="80">
        <f t="shared" si="103"/>
        <v>0.10246082473406802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10195.530936385583</v>
      </c>
      <c r="C164" s="21">
        <f t="shared" ref="C164:AF164" si="104">(C131-C130)^2</f>
        <v>10683.221033030721</v>
      </c>
      <c r="D164" s="21">
        <f t="shared" si="104"/>
        <v>14415.614982079665</v>
      </c>
      <c r="E164" s="21">
        <f t="shared" si="104"/>
        <v>19485.50430120798</v>
      </c>
      <c r="F164" s="21">
        <f t="shared" si="104"/>
        <v>19496.062136635021</v>
      </c>
      <c r="G164" s="21">
        <f t="shared" si="104"/>
        <v>19496.132871044902</v>
      </c>
      <c r="H164" s="21">
        <f t="shared" si="104"/>
        <v>19499.168454846476</v>
      </c>
      <c r="I164" s="21">
        <f t="shared" si="104"/>
        <v>19530.273705147516</v>
      </c>
      <c r="J164" s="21">
        <f t="shared" si="104"/>
        <v>19841.22862016155</v>
      </c>
      <c r="K164" s="21">
        <f t="shared" si="104"/>
        <v>22891.736846341599</v>
      </c>
      <c r="L164" s="21">
        <f t="shared" si="104"/>
        <v>46264.69212891865</v>
      </c>
      <c r="M164" s="21">
        <f t="shared" si="104"/>
        <v>135431.05122606611</v>
      </c>
      <c r="N164" s="21">
        <f t="shared" si="104"/>
        <v>242551.62016710345</v>
      </c>
      <c r="O164" s="21">
        <f t="shared" si="104"/>
        <v>348487.1934176613</v>
      </c>
      <c r="P164" s="21">
        <f t="shared" si="104"/>
        <v>380662.25474531314</v>
      </c>
      <c r="Q164" s="21">
        <f t="shared" si="104"/>
        <v>346590.19047858065</v>
      </c>
      <c r="R164" s="21">
        <f t="shared" si="104"/>
        <v>384747.44282099168</v>
      </c>
      <c r="S164" s="21">
        <f t="shared" si="104"/>
        <v>444316.70490180573</v>
      </c>
      <c r="T164" s="21">
        <f t="shared" si="104"/>
        <v>502459.77900583384</v>
      </c>
      <c r="U164" s="21">
        <f t="shared" si="104"/>
        <v>513189.57943884307</v>
      </c>
      <c r="V164" s="21">
        <f t="shared" si="104"/>
        <v>379929.17236828577</v>
      </c>
      <c r="W164" s="21">
        <f t="shared" si="104"/>
        <v>45994.60776321181</v>
      </c>
      <c r="X164" s="21">
        <f t="shared" si="104"/>
        <v>130924.63395585712</v>
      </c>
      <c r="Y164" s="21">
        <f t="shared" si="104"/>
        <v>609790.69761461089</v>
      </c>
      <c r="Z164" s="21">
        <f t="shared" si="104"/>
        <v>885415.24329903687</v>
      </c>
      <c r="AA164" s="21">
        <f t="shared" si="104"/>
        <v>472117.64256572031</v>
      </c>
      <c r="AB164" s="21">
        <f t="shared" si="104"/>
        <v>111011.84708288705</v>
      </c>
      <c r="AC164" s="21">
        <f t="shared" si="104"/>
        <v>2920.4142690751369</v>
      </c>
      <c r="AD164" s="21">
        <f t="shared" si="104"/>
        <v>19703.227040846843</v>
      </c>
      <c r="AE164" s="21">
        <f t="shared" si="104"/>
        <v>66522.331558817459</v>
      </c>
      <c r="AF164" s="21">
        <f t="shared" si="104"/>
        <v>138268.01644794623</v>
      </c>
    </row>
    <row r="165" spans="1:34" x14ac:dyDescent="0.25">
      <c r="A165" s="71">
        <f>SUM(B165:AF165)</f>
        <v>3724629.6806994039</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46264.69212891865</v>
      </c>
      <c r="M165" s="60">
        <f t="shared" si="105"/>
        <v>135431.05122606611</v>
      </c>
      <c r="N165" s="60">
        <f t="shared" si="105"/>
        <v>242551.62016710345</v>
      </c>
      <c r="O165" s="60">
        <f t="shared" si="105"/>
        <v>348487.1934176613</v>
      </c>
      <c r="P165" s="60">
        <f t="shared" si="105"/>
        <v>380662.25474531314</v>
      </c>
      <c r="Q165" s="60">
        <f t="shared" si="105"/>
        <v>346590.19047858065</v>
      </c>
      <c r="R165" s="60">
        <f t="shared" si="105"/>
        <v>384747.44282099168</v>
      </c>
      <c r="S165" s="60">
        <f t="shared" si="105"/>
        <v>444316.70490180573</v>
      </c>
      <c r="T165" s="60">
        <f t="shared" si="105"/>
        <v>502459.77900583384</v>
      </c>
      <c r="U165" s="60">
        <f t="shared" si="105"/>
        <v>513189.57943884307</v>
      </c>
      <c r="V165" s="60">
        <f t="shared" si="105"/>
        <v>379929.17236828577</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7031.9211529245395</v>
      </c>
      <c r="C169" s="26">
        <f>INDEX(Comparison!$AM$3:$AS$33,G$14,$C$122)</f>
        <v>7031.9907762783369</v>
      </c>
      <c r="D169" s="26">
        <f>INDEX(Comparison!$AM$3:$AS$33,H$14,$C$122)</f>
        <v>7031.9539299810422</v>
      </c>
      <c r="E169" s="26">
        <f>INDEX(Comparison!$AM$3:$AS$33,I$14,$C$122)</f>
        <v>7031.9433621725511</v>
      </c>
      <c r="F169" s="26">
        <f>INDEX(Comparison!$AM$3:$AS$33,J$14,$C$122)</f>
        <v>7031.9306469370567</v>
      </c>
      <c r="G169" s="26">
        <f>INDEX(Comparison!$AM$3:$AS$33,K$14,$C$122)</f>
        <v>7031.8305090006179</v>
      </c>
      <c r="H169" s="26">
        <f>INDEX(Comparison!$AM$3:$AS$33,L$14,$C$122)</f>
        <v>7030.8436925650376</v>
      </c>
      <c r="I169" s="26">
        <f>INDEX(Comparison!$AM$3:$AS$33,M$14,$C$122)</f>
        <v>7021.3347469085647</v>
      </c>
      <c r="J169" s="26">
        <f>INDEX(Comparison!$AM$3:$AS$33,N$14,$C$122)</f>
        <v>6946.0273669032786</v>
      </c>
      <c r="K169" s="26">
        <f>INDEX(Comparison!$AM$3:$AS$33,O$14,$C$122)</f>
        <v>6777.7782322116691</v>
      </c>
      <c r="L169" s="26">
        <f>INDEX(Comparison!$AM$3:$AS$33,P$14,$C$122)</f>
        <v>6659.4311503256295</v>
      </c>
      <c r="M169" s="26">
        <f>INDEX(Comparison!$AM$3:$AS$33,Q$14,$C$122)</f>
        <v>6544.645454565718</v>
      </c>
      <c r="N169" s="26">
        <f>INDEX(Comparison!$AM$3:$AS$33,R$14,$C$122)</f>
        <v>6415.8365900058752</v>
      </c>
      <c r="O169" s="26">
        <f>INDEX(Comparison!$AM$3:$AS$33,S$14,$C$122)</f>
        <v>6279.1797519689544</v>
      </c>
      <c r="P169" s="26">
        <f>INDEX(Comparison!$AM$3:$AS$33,T$14,$C$122)</f>
        <v>6124.6018825038309</v>
      </c>
      <c r="Q169" s="26">
        <f>INDEX(Comparison!$AM$3:$AS$33,U$14,$C$122)</f>
        <v>5956.8287989294422</v>
      </c>
      <c r="R169" s="26">
        <f>INDEX(Comparison!$AM$3:$AS$33,V$14,$C$122)</f>
        <v>5777.56401011038</v>
      </c>
      <c r="S169" s="26">
        <f>INDEX(Comparison!$AM$3:$AS$33,W$14,$C$122)</f>
        <v>5602.1564627366897</v>
      </c>
      <c r="T169" s="26">
        <f>INDEX(Comparison!$AM$3:$AS$33,X$14,$C$122)</f>
        <v>5348.811853446321</v>
      </c>
      <c r="U169" s="26">
        <f>INDEX(Comparison!$AM$3:$AS$33,Y$14,$C$122)</f>
        <v>4793.3449045957559</v>
      </c>
      <c r="V169" s="26">
        <f>INDEX(Comparison!$AM$3:$AS$33,Z$14,$C$122)</f>
        <v>4005.8829435497059</v>
      </c>
      <c r="W169" s="26">
        <f>INDEX(Comparison!$AM$3:$AS$33,AA$14,$C$122)</f>
        <v>3346.4776601581179</v>
      </c>
      <c r="X169" s="26">
        <f>INDEX(Comparison!$AM$3:$AS$33,AB$14,$C$122)</f>
        <v>2892.1899665732253</v>
      </c>
      <c r="Y169" s="26">
        <f>INDEX(Comparison!$AM$3:$AS$33,AC$14,$C$122)</f>
        <v>2569.6224142495339</v>
      </c>
      <c r="Z169" s="26">
        <f>INDEX(Comparison!$AM$3:$AS$33,AD$14,$C$122)</f>
        <v>2337.0503651981739</v>
      </c>
      <c r="AA169" s="26">
        <f>INDEX(Comparison!$AM$3:$AS$33,AE$14,$C$122)</f>
        <v>2151.250620328482</v>
      </c>
      <c r="AB169" s="26">
        <f>INDEX(Comparison!$AM$3:$AS$33,AF$14,$C$122)</f>
        <v>1990.2744047049448</v>
      </c>
      <c r="AC169" s="26">
        <f>INDEX(Comparison!$AM$3:$AS$33,AG$14,$C$122)</f>
        <v>1828.3308494849296</v>
      </c>
      <c r="AD169" s="26">
        <f>INDEX(Comparison!$AM$3:$AS$33,AH$14,$C$122)</f>
        <v>1665.1765081389453</v>
      </c>
      <c r="AE169" s="26">
        <f>INDEX(Comparison!$AM$3:$AS$33,AI$14,$C$122)</f>
        <v>1489.3314845424752</v>
      </c>
      <c r="AF169" s="26">
        <f>INDEX(Comparison!$AM$3:$AS$33,AJ$14,$C$122)</f>
        <v>1297.0734642842888</v>
      </c>
      <c r="AG169" s="26"/>
      <c r="AH169" s="26"/>
    </row>
    <row r="170" spans="1:34" x14ac:dyDescent="0.25">
      <c r="A170" s="70" t="s">
        <v>22</v>
      </c>
      <c r="B170" s="27">
        <f>($C$17+SUM(B171:B201))*$B$51</f>
        <v>6954.1649805150546</v>
      </c>
      <c r="C170" s="27">
        <f t="shared" ref="C170:AF170" si="106">($C$17+SUM(C171:C201))*$B$51</f>
        <v>6953.5087819780119</v>
      </c>
      <c r="D170" s="27">
        <f t="shared" si="106"/>
        <v>6953.5081186429061</v>
      </c>
      <c r="E170" s="27">
        <f t="shared" si="106"/>
        <v>6953.5014855313611</v>
      </c>
      <c r="F170" s="27">
        <f t="shared" si="106"/>
        <v>6953.4351783598859</v>
      </c>
      <c r="G170" s="27">
        <f t="shared" si="106"/>
        <v>6952.7744937261796</v>
      </c>
      <c r="H170" s="27">
        <f t="shared" si="106"/>
        <v>6946.3992087711958</v>
      </c>
      <c r="I170" s="27">
        <f t="shared" si="106"/>
        <v>6900.0702413129266</v>
      </c>
      <c r="J170" s="27">
        <f t="shared" si="106"/>
        <v>6768.9993497785745</v>
      </c>
      <c r="K170" s="27">
        <f t="shared" si="106"/>
        <v>6624.9054821684513</v>
      </c>
      <c r="L170" s="27">
        <f t="shared" si="106"/>
        <v>6516.0997903237976</v>
      </c>
      <c r="M170" s="27">
        <f t="shared" si="106"/>
        <v>6394.1330071459661</v>
      </c>
      <c r="N170" s="27">
        <f t="shared" si="106"/>
        <v>6260.7494616207723</v>
      </c>
      <c r="O170" s="27">
        <f t="shared" si="106"/>
        <v>6115.4034395904027</v>
      </c>
      <c r="P170" s="27">
        <f t="shared" si="106"/>
        <v>5951.525352705029</v>
      </c>
      <c r="Q170" s="27">
        <f t="shared" si="106"/>
        <v>5777.571015236228</v>
      </c>
      <c r="R170" s="27">
        <f t="shared" si="106"/>
        <v>5604.1196529648641</v>
      </c>
      <c r="S170" s="27">
        <f t="shared" si="106"/>
        <v>5440.1484967767346</v>
      </c>
      <c r="T170" s="27">
        <f t="shared" si="106"/>
        <v>5224.4430228702404</v>
      </c>
      <c r="U170" s="27">
        <f t="shared" si="106"/>
        <v>4987.8381221148584</v>
      </c>
      <c r="V170" s="27">
        <f t="shared" si="106"/>
        <v>4742.360275641212</v>
      </c>
      <c r="W170" s="27">
        <f t="shared" si="106"/>
        <v>4473.4908151412174</v>
      </c>
      <c r="X170" s="27">
        <f t="shared" si="106"/>
        <v>3900.3112810366065</v>
      </c>
      <c r="Y170" s="27">
        <f t="shared" si="106"/>
        <v>3259.8559933945889</v>
      </c>
      <c r="Z170" s="27">
        <f t="shared" si="106"/>
        <v>2745.5510455198983</v>
      </c>
      <c r="AA170" s="27">
        <f t="shared" si="106"/>
        <v>2362.124414538272</v>
      </c>
      <c r="AB170" s="27">
        <f t="shared" si="106"/>
        <v>2095.6101200314301</v>
      </c>
      <c r="AC170" s="27">
        <f t="shared" si="106"/>
        <v>1835.6004043524615</v>
      </c>
      <c r="AD170" s="27">
        <f t="shared" si="106"/>
        <v>1620.0182534436119</v>
      </c>
      <c r="AE170" s="27">
        <f t="shared" si="106"/>
        <v>1408.5104235704641</v>
      </c>
      <c r="AF170" s="27">
        <f t="shared" si="106"/>
        <v>1182.5495930351033</v>
      </c>
      <c r="AG170" s="27"/>
      <c r="AH170" s="27"/>
    </row>
    <row r="171" spans="1:34" x14ac:dyDescent="0.25">
      <c r="B171" s="3">
        <f t="shared" ref="B171:AF171" si="107">$C18*EXP(-B$168/$A18/EXP(-$C$126))</f>
        <v>9.3834933203092868E-5</v>
      </c>
      <c r="C171" s="3">
        <f t="shared" si="107"/>
        <v>1.0369455761796184E-20</v>
      </c>
      <c r="D171" s="3">
        <f t="shared" si="107"/>
        <v>2.8162428550484168E-180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8.4019309861283892E-3</v>
      </c>
      <c r="C173" s="3">
        <f t="shared" si="109"/>
        <v>8.401923852939773E-3</v>
      </c>
      <c r="D173" s="3">
        <f t="shared" si="109"/>
        <v>8.401852521386706E-3</v>
      </c>
      <c r="E173" s="3">
        <f t="shared" si="109"/>
        <v>8.4011392391630801E-3</v>
      </c>
      <c r="F173" s="3">
        <f t="shared" si="109"/>
        <v>8.3940097465863821E-3</v>
      </c>
      <c r="G173" s="3">
        <f t="shared" si="109"/>
        <v>8.3230467432080703E-3</v>
      </c>
      <c r="H173" s="3">
        <f t="shared" si="109"/>
        <v>7.6455895440301833E-3</v>
      </c>
      <c r="I173" s="3">
        <f t="shared" si="109"/>
        <v>3.2711272043021932E-3</v>
      </c>
      <c r="J173" s="3">
        <f t="shared" si="109"/>
        <v>6.7229823451870768E-7</v>
      </c>
      <c r="K173" s="3">
        <f t="shared" si="109"/>
        <v>9.0408101606185681E-44</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2.9207104763860955E-2</v>
      </c>
      <c r="C174" s="3">
        <f t="shared" si="110"/>
        <v>2.9207102526995491E-2</v>
      </c>
      <c r="D174" s="3">
        <f t="shared" si="110"/>
        <v>2.9207080158350236E-2</v>
      </c>
      <c r="E174" s="3">
        <f t="shared" si="110"/>
        <v>2.9206856472839948E-2</v>
      </c>
      <c r="F174" s="3">
        <f t="shared" si="110"/>
        <v>2.9204619711956439E-2</v>
      </c>
      <c r="G174" s="3">
        <f t="shared" si="110"/>
        <v>2.9182261522390722E-2</v>
      </c>
      <c r="H174" s="3">
        <f t="shared" si="110"/>
        <v>2.8959618889994106E-2</v>
      </c>
      <c r="I174" s="3">
        <f t="shared" si="110"/>
        <v>2.6824510954273701E-2</v>
      </c>
      <c r="J174" s="3">
        <f t="shared" si="110"/>
        <v>1.2471581245893298E-2</v>
      </c>
      <c r="K174" s="3">
        <f t="shared" si="110"/>
        <v>5.8859774422037446E-6</v>
      </c>
      <c r="L174" s="3">
        <f t="shared" si="110"/>
        <v>3.2269283622770124E-39</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1.5151329347745809E-2</v>
      </c>
      <c r="C175" s="3">
        <f t="shared" si="111"/>
        <v>1.5151329243069427E-2</v>
      </c>
      <c r="D175" s="3">
        <f t="shared" si="111"/>
        <v>1.5151328196305653E-2</v>
      </c>
      <c r="E175" s="3">
        <f t="shared" si="111"/>
        <v>1.5151317728671882E-2</v>
      </c>
      <c r="F175" s="3">
        <f t="shared" si="111"/>
        <v>1.5151213052731916E-2</v>
      </c>
      <c r="G175" s="3">
        <f t="shared" si="111"/>
        <v>1.5150166333106058E-2</v>
      </c>
      <c r="H175" s="3">
        <f t="shared" si="111"/>
        <v>1.5139703113210371E-2</v>
      </c>
      <c r="I175" s="3">
        <f t="shared" si="111"/>
        <v>1.5035467535969219E-2</v>
      </c>
      <c r="J175" s="3">
        <f t="shared" si="111"/>
        <v>1.4031778543206506E-2</v>
      </c>
      <c r="K175" s="3">
        <f t="shared" si="111"/>
        <v>7.0318656942259423E-3</v>
      </c>
      <c r="L175" s="3">
        <f t="shared" si="111"/>
        <v>7.0250435698090499E-6</v>
      </c>
      <c r="M175" s="3">
        <f t="shared" si="111"/>
        <v>6.9571852933444104E-36</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1.7014115320119226E-2</v>
      </c>
      <c r="C176" s="3">
        <f t="shared" si="112"/>
        <v>1.7014115309515611E-2</v>
      </c>
      <c r="D176" s="3">
        <f t="shared" si="112"/>
        <v>1.7014115203479466E-2</v>
      </c>
      <c r="E176" s="3">
        <f t="shared" si="112"/>
        <v>1.7014114143118066E-2</v>
      </c>
      <c r="F176" s="3">
        <f t="shared" si="112"/>
        <v>1.7014103539507684E-2</v>
      </c>
      <c r="G176" s="3">
        <f t="shared" si="112"/>
        <v>1.7013997503767326E-2</v>
      </c>
      <c r="H176" s="3">
        <f t="shared" si="112"/>
        <v>1.7012937182709183E-2</v>
      </c>
      <c r="I176" s="3">
        <f t="shared" si="112"/>
        <v>1.7002337605834774E-2</v>
      </c>
      <c r="J176" s="3">
        <f t="shared" si="112"/>
        <v>1.6896704371276914E-2</v>
      </c>
      <c r="K176" s="3">
        <f t="shared" si="112"/>
        <v>1.5875803218936672E-2</v>
      </c>
      <c r="L176" s="3">
        <f t="shared" si="112"/>
        <v>8.5128057336805469E-3</v>
      </c>
      <c r="M176" s="3">
        <f t="shared" si="112"/>
        <v>1.6727956016797818E-5</v>
      </c>
      <c r="N176" s="3">
        <f t="shared" si="112"/>
        <v>1.4359669026711769E-32</v>
      </c>
      <c r="O176" s="3">
        <f t="shared" si="112"/>
        <v>3.1200384883739728E-303</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1.9388963129217816E-2</v>
      </c>
      <c r="C177" s="3">
        <f t="shared" si="113"/>
        <v>1.9388963128127767E-2</v>
      </c>
      <c r="D177" s="3">
        <f t="shared" si="113"/>
        <v>1.9388963117227282E-2</v>
      </c>
      <c r="E177" s="3">
        <f t="shared" si="113"/>
        <v>1.9388963008222456E-2</v>
      </c>
      <c r="F177" s="3">
        <f t="shared" si="113"/>
        <v>1.938896191817422E-2</v>
      </c>
      <c r="G177" s="3">
        <f t="shared" si="113"/>
        <v>1.938895101769525E-2</v>
      </c>
      <c r="H177" s="3">
        <f t="shared" si="113"/>
        <v>1.9388842013242581E-2</v>
      </c>
      <c r="I177" s="3">
        <f t="shared" si="113"/>
        <v>1.9387752002420506E-2</v>
      </c>
      <c r="J177" s="3">
        <f t="shared" si="113"/>
        <v>1.9376855263961483E-2</v>
      </c>
      <c r="K177" s="3">
        <f t="shared" si="113"/>
        <v>1.9268224155638641E-2</v>
      </c>
      <c r="L177" s="3">
        <f t="shared" si="113"/>
        <v>1.8214851591618637E-2</v>
      </c>
      <c r="M177" s="3">
        <f t="shared" si="113"/>
        <v>1.0381619517870339E-2</v>
      </c>
      <c r="N177" s="3">
        <f t="shared" si="113"/>
        <v>3.7554312704992495E-5</v>
      </c>
      <c r="O177" s="3">
        <f t="shared" si="113"/>
        <v>1.4408106802896779E-29</v>
      </c>
      <c r="P177" s="3">
        <f t="shared" si="113"/>
        <v>9.955840452131298E-274</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2.0066914709486863E-2</v>
      </c>
      <c r="C178" s="3">
        <f t="shared" si="114"/>
        <v>2.0066914709385094E-2</v>
      </c>
      <c r="D178" s="3">
        <f t="shared" si="114"/>
        <v>2.0066914708367401E-2</v>
      </c>
      <c r="E178" s="3">
        <f t="shared" si="114"/>
        <v>2.0066914698190434E-2</v>
      </c>
      <c r="F178" s="3">
        <f t="shared" si="114"/>
        <v>2.0066914596420769E-2</v>
      </c>
      <c r="G178" s="3">
        <f t="shared" si="114"/>
        <v>2.0066913578724158E-2</v>
      </c>
      <c r="H178" s="3">
        <f t="shared" si="114"/>
        <v>2.0066903401760889E-2</v>
      </c>
      <c r="I178" s="3">
        <f t="shared" si="114"/>
        <v>2.0066801632412076E-2</v>
      </c>
      <c r="J178" s="3">
        <f t="shared" si="114"/>
        <v>2.0065783967310284E-2</v>
      </c>
      <c r="K178" s="3">
        <f t="shared" si="114"/>
        <v>2.0055610154395834E-2</v>
      </c>
      <c r="L178" s="3">
        <f t="shared" si="114"/>
        <v>1.9954155303759932E-2</v>
      </c>
      <c r="M178" s="3">
        <f t="shared" si="114"/>
        <v>1.8967410221207064E-2</v>
      </c>
      <c r="N178" s="3">
        <f t="shared" si="114"/>
        <v>1.1422335907766559E-2</v>
      </c>
      <c r="O178" s="3">
        <f t="shared" si="114"/>
        <v>7.1651260379615122E-5</v>
      </c>
      <c r="P178" s="3">
        <f t="shared" si="114"/>
        <v>6.7594739601675699E-27</v>
      </c>
      <c r="Q178" s="3">
        <f t="shared" si="114"/>
        <v>3.7740143762835097E-247</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2.3697702836181889E-2</v>
      </c>
      <c r="C179" s="3">
        <f t="shared" si="115"/>
        <v>2.3697702836171047E-2</v>
      </c>
      <c r="D179" s="3">
        <f t="shared" si="115"/>
        <v>2.369770283606263E-2</v>
      </c>
      <c r="E179" s="3">
        <f t="shared" si="115"/>
        <v>2.3697702834978476E-2</v>
      </c>
      <c r="F179" s="3">
        <f t="shared" si="115"/>
        <v>2.3697702824136947E-2</v>
      </c>
      <c r="G179" s="3">
        <f t="shared" si="115"/>
        <v>2.369770271572165E-2</v>
      </c>
      <c r="H179" s="3">
        <f t="shared" si="115"/>
        <v>2.3697701631568677E-2</v>
      </c>
      <c r="I179" s="3">
        <f t="shared" si="115"/>
        <v>2.3697690790041678E-2</v>
      </c>
      <c r="J179" s="3">
        <f t="shared" si="115"/>
        <v>2.3697582375044515E-2</v>
      </c>
      <c r="K179" s="3">
        <f t="shared" si="115"/>
        <v>2.3696498252351934E-2</v>
      </c>
      <c r="L179" s="3">
        <f t="shared" si="115"/>
        <v>2.3685659752870562E-2</v>
      </c>
      <c r="M179" s="3">
        <f t="shared" si="115"/>
        <v>2.3577547041385788E-2</v>
      </c>
      <c r="N179" s="3">
        <f t="shared" si="115"/>
        <v>2.2523192944822738E-2</v>
      </c>
      <c r="O179" s="3">
        <f t="shared" si="115"/>
        <v>1.4254215794799411E-2</v>
      </c>
      <c r="P179" s="3">
        <f t="shared" si="115"/>
        <v>1.4691869092392219E-4</v>
      </c>
      <c r="Q179" s="3">
        <f t="shared" si="115"/>
        <v>1.9879902833785697E-24</v>
      </c>
      <c r="R179" s="3">
        <f t="shared" si="115"/>
        <v>4.0905935652337984E-223</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2.5320350028218544E-2</v>
      </c>
      <c r="C180" s="3">
        <f t="shared" si="116"/>
        <v>2.5320350028217496E-2</v>
      </c>
      <c r="D180" s="3">
        <f t="shared" si="116"/>
        <v>2.532035002820705E-2</v>
      </c>
      <c r="E180" s="3">
        <f t="shared" si="116"/>
        <v>2.532035002810255E-2</v>
      </c>
      <c r="F180" s="3">
        <f t="shared" si="116"/>
        <v>2.5320350027057587E-2</v>
      </c>
      <c r="G180" s="3">
        <f t="shared" si="116"/>
        <v>2.5320350016607967E-2</v>
      </c>
      <c r="H180" s="3">
        <f t="shared" si="116"/>
        <v>2.5320349912111736E-2</v>
      </c>
      <c r="I180" s="3">
        <f t="shared" si="116"/>
        <v>2.5320348867149459E-2</v>
      </c>
      <c r="J180" s="3">
        <f t="shared" si="116"/>
        <v>2.5320338417529058E-2</v>
      </c>
      <c r="K180" s="3">
        <f t="shared" si="116"/>
        <v>2.5320233921562255E-2</v>
      </c>
      <c r="L180" s="3">
        <f t="shared" si="116"/>
        <v>2.5319188985612692E-2</v>
      </c>
      <c r="M180" s="3">
        <f t="shared" si="116"/>
        <v>2.5308741997602982E-2</v>
      </c>
      <c r="N180" s="3">
        <f t="shared" si="116"/>
        <v>2.5204508904376456E-2</v>
      </c>
      <c r="O180" s="3">
        <f t="shared" si="116"/>
        <v>2.4185499047602674E-2</v>
      </c>
      <c r="P180" s="3">
        <f t="shared" si="116"/>
        <v>1.6007488024644401E-2</v>
      </c>
      <c r="Q180" s="3">
        <f t="shared" si="116"/>
        <v>2.582287008729499E-4</v>
      </c>
      <c r="R180" s="3">
        <f t="shared" si="116"/>
        <v>3.0818944295326507E-22</v>
      </c>
      <c r="S180" s="3">
        <f t="shared" si="116"/>
        <v>1.8069670485492211E-201</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2.7427493099149623E-2</v>
      </c>
      <c r="C181" s="3">
        <f t="shared" si="117"/>
        <v>2.7427493099149526E-2</v>
      </c>
      <c r="D181" s="3">
        <f t="shared" si="117"/>
        <v>2.7427493099148503E-2</v>
      </c>
      <c r="E181" s="3">
        <f t="shared" si="117"/>
        <v>2.7427493099138292E-2</v>
      </c>
      <c r="F181" s="3">
        <f t="shared" si="117"/>
        <v>2.7427493099036183E-2</v>
      </c>
      <c r="G181" s="3">
        <f t="shared" si="117"/>
        <v>2.7427493098015097E-2</v>
      </c>
      <c r="H181" s="3">
        <f t="shared" si="117"/>
        <v>2.7427493087804202E-2</v>
      </c>
      <c r="I181" s="3">
        <f t="shared" si="117"/>
        <v>2.7427492985695297E-2</v>
      </c>
      <c r="J181" s="3">
        <f t="shared" si="117"/>
        <v>2.7427491964606258E-2</v>
      </c>
      <c r="K181" s="3">
        <f t="shared" si="117"/>
        <v>2.742748175371796E-2</v>
      </c>
      <c r="L181" s="3">
        <f t="shared" si="117"/>
        <v>2.7427379645044051E-2</v>
      </c>
      <c r="M181" s="3">
        <f t="shared" si="117"/>
        <v>2.7426358579212225E-2</v>
      </c>
      <c r="N181" s="3">
        <f t="shared" si="117"/>
        <v>2.74161500113323E-2</v>
      </c>
      <c r="O181" s="3">
        <f t="shared" si="117"/>
        <v>2.731427308870087E-2</v>
      </c>
      <c r="P181" s="3">
        <f t="shared" si="117"/>
        <v>2.6316094766775919E-2</v>
      </c>
      <c r="Q181" s="3">
        <f t="shared" si="117"/>
        <v>1.813591144392171E-2</v>
      </c>
      <c r="R181" s="3">
        <f t="shared" si="117"/>
        <v>4.3824688197921247E-4</v>
      </c>
      <c r="S181" s="3">
        <f t="shared" si="117"/>
        <v>2.9751804981442721E-20</v>
      </c>
      <c r="T181" s="3">
        <f t="shared" si="117"/>
        <v>6.1866871651314336E-182</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2.1152524885873075E-2</v>
      </c>
      <c r="C182" s="3">
        <f t="shared" si="118"/>
        <v>2.1152524885873068E-2</v>
      </c>
      <c r="D182" s="3">
        <f t="shared" si="118"/>
        <v>2.1152524885872995E-2</v>
      </c>
      <c r="E182" s="3">
        <f t="shared" si="118"/>
        <v>2.1152524885872288E-2</v>
      </c>
      <c r="F182" s="3">
        <f t="shared" si="118"/>
        <v>2.1152524885865182E-2</v>
      </c>
      <c r="G182" s="3">
        <f t="shared" si="118"/>
        <v>2.1152524885794145E-2</v>
      </c>
      <c r="H182" s="3">
        <f t="shared" si="118"/>
        <v>2.1152524885083773E-2</v>
      </c>
      <c r="I182" s="3">
        <f t="shared" si="118"/>
        <v>2.1152524877980045E-2</v>
      </c>
      <c r="J182" s="3">
        <f t="shared" si="118"/>
        <v>2.1152524806942768E-2</v>
      </c>
      <c r="K182" s="3">
        <f t="shared" si="118"/>
        <v>2.1152524096569997E-2</v>
      </c>
      <c r="L182" s="3">
        <f t="shared" si="118"/>
        <v>2.1152516992843599E-2</v>
      </c>
      <c r="M182" s="3">
        <f t="shared" si="118"/>
        <v>2.1152445955710836E-2</v>
      </c>
      <c r="N182" s="3">
        <f t="shared" si="118"/>
        <v>2.1151735597504218E-2</v>
      </c>
      <c r="O182" s="3">
        <f t="shared" si="118"/>
        <v>2.1144633327375525E-2</v>
      </c>
      <c r="P182" s="3">
        <f t="shared" si="118"/>
        <v>2.1073741656965666E-2</v>
      </c>
      <c r="Q182" s="3">
        <f t="shared" si="118"/>
        <v>2.0377766675922063E-2</v>
      </c>
      <c r="R182" s="3">
        <f t="shared" si="118"/>
        <v>1.4564846800363601E-2</v>
      </c>
      <c r="S182" s="3">
        <f t="shared" si="118"/>
        <v>5.0675644031498751E-4</v>
      </c>
      <c r="T182" s="3">
        <f t="shared" si="118"/>
        <v>1.3174460388377391E-18</v>
      </c>
      <c r="U182" s="3">
        <f t="shared" si="118"/>
        <v>1.8580971968927756E-164</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3.1343464608076133E-2</v>
      </c>
      <c r="C183" s="3">
        <f t="shared" si="119"/>
        <v>3.1343464608076133E-2</v>
      </c>
      <c r="D183" s="3">
        <f t="shared" si="119"/>
        <v>3.1343464608076119E-2</v>
      </c>
      <c r="E183" s="3">
        <f t="shared" si="119"/>
        <v>3.1343464608076028E-2</v>
      </c>
      <c r="F183" s="3">
        <f t="shared" si="119"/>
        <v>3.1343464608075078E-2</v>
      </c>
      <c r="G183" s="3">
        <f t="shared" si="119"/>
        <v>3.1343464608065578E-2</v>
      </c>
      <c r="H183" s="3">
        <f t="shared" si="119"/>
        <v>3.1343464607970627E-2</v>
      </c>
      <c r="I183" s="3">
        <f t="shared" si="119"/>
        <v>3.1343464607021081E-2</v>
      </c>
      <c r="J183" s="3">
        <f t="shared" si="119"/>
        <v>3.1343464597525579E-2</v>
      </c>
      <c r="K183" s="3">
        <f t="shared" si="119"/>
        <v>3.1343464502570612E-2</v>
      </c>
      <c r="L183" s="3">
        <f t="shared" si="119"/>
        <v>3.134346355302095E-2</v>
      </c>
      <c r="M183" s="3">
        <f t="shared" si="119"/>
        <v>3.1343454057525907E-2</v>
      </c>
      <c r="N183" s="3">
        <f t="shared" si="119"/>
        <v>3.1343359102733691E-2</v>
      </c>
      <c r="O183" s="3">
        <f t="shared" si="119"/>
        <v>3.1342409570632959E-2</v>
      </c>
      <c r="P183" s="3">
        <f t="shared" si="119"/>
        <v>3.1332915831591035E-2</v>
      </c>
      <c r="Q183" s="3">
        <f t="shared" si="119"/>
        <v>3.1238136460532039E-2</v>
      </c>
      <c r="R183" s="3">
        <f t="shared" si="119"/>
        <v>3.0305968985978485E-2</v>
      </c>
      <c r="S183" s="3">
        <f t="shared" si="119"/>
        <v>2.2385084677321216E-2</v>
      </c>
      <c r="T183" s="3">
        <f t="shared" si="119"/>
        <v>1.0820925637424201E-3</v>
      </c>
      <c r="U183" s="3">
        <f t="shared" si="119"/>
        <v>7.5391280942645389E-17</v>
      </c>
      <c r="V183" s="3">
        <f t="shared" si="119"/>
        <v>2.0318339840086842E-148</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3.4656588439424235E-2</v>
      </c>
      <c r="C184" s="3">
        <f t="shared" si="120"/>
        <v>3.4656588439424235E-2</v>
      </c>
      <c r="D184" s="3">
        <f t="shared" si="120"/>
        <v>3.4656588439424235E-2</v>
      </c>
      <c r="E184" s="3">
        <f t="shared" si="120"/>
        <v>3.4656588439424221E-2</v>
      </c>
      <c r="F184" s="3">
        <f t="shared" si="120"/>
        <v>3.4656588439424131E-2</v>
      </c>
      <c r="G184" s="3">
        <f t="shared" si="120"/>
        <v>3.465658843942318E-2</v>
      </c>
      <c r="H184" s="3">
        <f t="shared" si="120"/>
        <v>3.4656588439413709E-2</v>
      </c>
      <c r="I184" s="3">
        <f t="shared" si="120"/>
        <v>3.4656588439319E-2</v>
      </c>
      <c r="J184" s="3">
        <f t="shared" si="120"/>
        <v>3.4656588438371883E-2</v>
      </c>
      <c r="K184" s="3">
        <f t="shared" si="120"/>
        <v>3.4656588428900729E-2</v>
      </c>
      <c r="L184" s="3">
        <f t="shared" si="120"/>
        <v>3.4656588334189144E-2</v>
      </c>
      <c r="M184" s="3">
        <f t="shared" si="120"/>
        <v>3.4656587387073341E-2</v>
      </c>
      <c r="N184" s="3">
        <f t="shared" si="120"/>
        <v>3.4656577915916711E-2</v>
      </c>
      <c r="O184" s="3">
        <f t="shared" si="120"/>
        <v>3.4656483204492772E-2</v>
      </c>
      <c r="P184" s="3">
        <f t="shared" si="120"/>
        <v>3.4655536104489078E-2</v>
      </c>
      <c r="Q184" s="3">
        <f t="shared" si="120"/>
        <v>3.4646066527876072E-2</v>
      </c>
      <c r="R184" s="3">
        <f t="shared" si="120"/>
        <v>3.4551512960316201E-2</v>
      </c>
      <c r="S184" s="3">
        <f t="shared" si="120"/>
        <v>3.3620054401542414E-2</v>
      </c>
      <c r="T184" s="3">
        <f t="shared" si="120"/>
        <v>2.5580665444910899E-2</v>
      </c>
      <c r="U184" s="3">
        <f t="shared" si="120"/>
        <v>1.6635892213611625E-3</v>
      </c>
      <c r="V184" s="3">
        <f t="shared" si="120"/>
        <v>2.251068432778176E-15</v>
      </c>
      <c r="W184" s="3">
        <f t="shared" si="120"/>
        <v>4.6324922078158632E-134</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3.7950010383388341E-2</v>
      </c>
      <c r="C185" s="3">
        <f t="shared" si="121"/>
        <v>3.7950010383388341E-2</v>
      </c>
      <c r="D185" s="3">
        <f t="shared" si="121"/>
        <v>3.7950010383388341E-2</v>
      </c>
      <c r="E185" s="3">
        <f t="shared" si="121"/>
        <v>3.7950010383388341E-2</v>
      </c>
      <c r="F185" s="3">
        <f t="shared" si="121"/>
        <v>3.7950010383388334E-2</v>
      </c>
      <c r="G185" s="3">
        <f t="shared" si="121"/>
        <v>3.7950010383388237E-2</v>
      </c>
      <c r="H185" s="3">
        <f t="shared" si="121"/>
        <v>3.79500103833873E-2</v>
      </c>
      <c r="I185" s="3">
        <f t="shared" si="121"/>
        <v>3.7950010383377947E-2</v>
      </c>
      <c r="J185" s="3">
        <f t="shared" si="121"/>
        <v>3.795001038328439E-2</v>
      </c>
      <c r="K185" s="3">
        <f t="shared" si="121"/>
        <v>3.7950010382348819E-2</v>
      </c>
      <c r="L185" s="3">
        <f t="shared" si="121"/>
        <v>3.7950010372993129E-2</v>
      </c>
      <c r="M185" s="3">
        <f t="shared" si="121"/>
        <v>3.7950010279436244E-2</v>
      </c>
      <c r="N185" s="3">
        <f t="shared" si="121"/>
        <v>3.7950009343867365E-2</v>
      </c>
      <c r="O185" s="3">
        <f t="shared" si="121"/>
        <v>3.7949999988179869E-2</v>
      </c>
      <c r="P185" s="3">
        <f t="shared" si="121"/>
        <v>3.7949906431431729E-2</v>
      </c>
      <c r="Q185" s="3">
        <f t="shared" si="121"/>
        <v>3.7948970876635603E-2</v>
      </c>
      <c r="R185" s="3">
        <f t="shared" si="121"/>
        <v>3.7939616597080374E-2</v>
      </c>
      <c r="S185" s="3">
        <f t="shared" si="121"/>
        <v>3.7846200526516369E-2</v>
      </c>
      <c r="T185" s="3">
        <f t="shared" si="121"/>
        <v>3.692459748597185E-2</v>
      </c>
      <c r="U185" s="3">
        <f t="shared" si="121"/>
        <v>2.8856961913552828E-2</v>
      </c>
      <c r="V185" s="3">
        <f t="shared" si="121"/>
        <v>2.4524432756617984E-3</v>
      </c>
      <c r="W185" s="3">
        <f t="shared" si="121"/>
        <v>4.8203949083367913E-14</v>
      </c>
      <c r="X185" s="3">
        <f t="shared" si="121"/>
        <v>4.1487675153444177E-121</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2.6059196805461551E-2</v>
      </c>
      <c r="C186" s="3">
        <f t="shared" si="122"/>
        <v>2.6059196805461551E-2</v>
      </c>
      <c r="D186" s="3">
        <f t="shared" si="122"/>
        <v>2.6059196805461551E-2</v>
      </c>
      <c r="E186" s="3">
        <f t="shared" si="122"/>
        <v>2.6059196805461551E-2</v>
      </c>
      <c r="F186" s="3">
        <f t="shared" si="122"/>
        <v>2.6059196805461551E-2</v>
      </c>
      <c r="G186" s="3">
        <f t="shared" si="122"/>
        <v>2.6059196805461544E-2</v>
      </c>
      <c r="H186" s="3">
        <f t="shared" si="122"/>
        <v>2.6059196805461489E-2</v>
      </c>
      <c r="I186" s="3">
        <f t="shared" si="122"/>
        <v>2.6059196805460906E-2</v>
      </c>
      <c r="J186" s="3">
        <f t="shared" si="122"/>
        <v>2.6059196805455112E-2</v>
      </c>
      <c r="K186" s="3">
        <f t="shared" si="122"/>
        <v>2.6059196805397158E-2</v>
      </c>
      <c r="L186" s="3">
        <f t="shared" si="122"/>
        <v>2.6059196804817636E-2</v>
      </c>
      <c r="M186" s="3">
        <f t="shared" si="122"/>
        <v>2.6059196799022397E-2</v>
      </c>
      <c r="N186" s="3">
        <f t="shared" si="122"/>
        <v>2.6059196741069986E-2</v>
      </c>
      <c r="O186" s="3">
        <f t="shared" si="122"/>
        <v>2.6059196161545908E-2</v>
      </c>
      <c r="P186" s="3">
        <f t="shared" si="122"/>
        <v>2.6059190366305846E-2</v>
      </c>
      <c r="Q186" s="3">
        <f t="shared" si="122"/>
        <v>2.6059132413976088E-2</v>
      </c>
      <c r="R186" s="3">
        <f t="shared" si="122"/>
        <v>2.6058552897766808E-2</v>
      </c>
      <c r="S186" s="3">
        <f t="shared" si="122"/>
        <v>2.6052758444443356E-2</v>
      </c>
      <c r="T186" s="3">
        <f t="shared" si="122"/>
        <v>2.5994884729860206E-2</v>
      </c>
      <c r="U186" s="3">
        <f t="shared" si="122"/>
        <v>2.5423171522188624E-2</v>
      </c>
      <c r="V186" s="3">
        <f t="shared" si="122"/>
        <v>2.0353919055486506E-2</v>
      </c>
      <c r="W186" s="3">
        <f t="shared" si="122"/>
        <v>2.2020703962385298E-3</v>
      </c>
      <c r="X186" s="3">
        <f t="shared" si="122"/>
        <v>4.837965339123802E-13</v>
      </c>
      <c r="Y186" s="3">
        <f t="shared" si="122"/>
        <v>1.267588509919199E-109</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8.9382665320782775E-2</v>
      </c>
      <c r="C187" s="3">
        <f t="shared" si="123"/>
        <v>8.9382665320782775E-2</v>
      </c>
      <c r="D187" s="3">
        <f t="shared" si="123"/>
        <v>8.9382665320782775E-2</v>
      </c>
      <c r="E187" s="3">
        <f t="shared" si="123"/>
        <v>8.9382665320782775E-2</v>
      </c>
      <c r="F187" s="3">
        <f t="shared" si="123"/>
        <v>8.9382665320782775E-2</v>
      </c>
      <c r="G187" s="3">
        <f t="shared" si="123"/>
        <v>8.9382665320782775E-2</v>
      </c>
      <c r="H187" s="3">
        <f t="shared" si="123"/>
        <v>8.9382665320782761E-2</v>
      </c>
      <c r="I187" s="3">
        <f t="shared" si="123"/>
        <v>8.9382665320782581E-2</v>
      </c>
      <c r="J187" s="3">
        <f t="shared" si="123"/>
        <v>8.9382665320780777E-2</v>
      </c>
      <c r="K187" s="3">
        <f t="shared" si="123"/>
        <v>8.9382665320762847E-2</v>
      </c>
      <c r="L187" s="3">
        <f t="shared" si="123"/>
        <v>8.9382665320583546E-2</v>
      </c>
      <c r="M187" s="3">
        <f t="shared" si="123"/>
        <v>8.9382665318790411E-2</v>
      </c>
      <c r="N187" s="3">
        <f t="shared" si="123"/>
        <v>8.9382665300859185E-2</v>
      </c>
      <c r="O187" s="3">
        <f t="shared" si="123"/>
        <v>8.9382665121546759E-2</v>
      </c>
      <c r="P187" s="3">
        <f t="shared" si="123"/>
        <v>8.9382663328422651E-2</v>
      </c>
      <c r="Q187" s="3">
        <f t="shared" si="123"/>
        <v>8.9382645397183505E-2</v>
      </c>
      <c r="R187" s="3">
        <f t="shared" si="123"/>
        <v>8.9382466084989856E-2</v>
      </c>
      <c r="S187" s="3">
        <f t="shared" si="123"/>
        <v>8.9380672982837986E-2</v>
      </c>
      <c r="T187" s="3">
        <f t="shared" si="123"/>
        <v>8.9362743939628952E-2</v>
      </c>
      <c r="U187" s="3">
        <f t="shared" si="123"/>
        <v>8.9183651191745775E-2</v>
      </c>
      <c r="V187" s="3">
        <f t="shared" si="123"/>
        <v>8.7412346183697365E-2</v>
      </c>
      <c r="W187" s="3">
        <f t="shared" si="123"/>
        <v>7.1523385432519557E-2</v>
      </c>
      <c r="X187" s="3">
        <f t="shared" si="123"/>
        <v>9.6205725894346634E-3</v>
      </c>
      <c r="Y187" s="3">
        <f t="shared" si="123"/>
        <v>1.8652175812813151E-11</v>
      </c>
      <c r="Z187" s="3">
        <f t="shared" si="123"/>
        <v>1.3996366189151255E-98</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0.10190344846068049</v>
      </c>
      <c r="C188" s="3">
        <f t="shared" si="124"/>
        <v>0.10190344846068049</v>
      </c>
      <c r="D188" s="3">
        <f t="shared" si="124"/>
        <v>0.10190344846068049</v>
      </c>
      <c r="E188" s="3">
        <f t="shared" si="124"/>
        <v>0.10190344846068049</v>
      </c>
      <c r="F188" s="3">
        <f t="shared" si="124"/>
        <v>0.10190344846068049</v>
      </c>
      <c r="G188" s="3">
        <f t="shared" si="124"/>
        <v>0.10190344846068049</v>
      </c>
      <c r="H188" s="3">
        <f t="shared" si="124"/>
        <v>0.10190344846068049</v>
      </c>
      <c r="I188" s="3">
        <f t="shared" si="124"/>
        <v>0.10190344846068046</v>
      </c>
      <c r="J188" s="3">
        <f t="shared" si="124"/>
        <v>0.10190344846068028</v>
      </c>
      <c r="K188" s="3">
        <f t="shared" si="124"/>
        <v>0.10190344846067843</v>
      </c>
      <c r="L188" s="3">
        <f t="shared" si="124"/>
        <v>0.10190344846066</v>
      </c>
      <c r="M188" s="3">
        <f t="shared" si="124"/>
        <v>0.10190344846047558</v>
      </c>
      <c r="N188" s="3">
        <f t="shared" si="124"/>
        <v>0.10190344845863145</v>
      </c>
      <c r="O188" s="3">
        <f t="shared" si="124"/>
        <v>0.10190344844019011</v>
      </c>
      <c r="P188" s="3">
        <f t="shared" si="124"/>
        <v>0.10190344825577669</v>
      </c>
      <c r="Q188" s="3">
        <f t="shared" si="124"/>
        <v>0.10190344641164248</v>
      </c>
      <c r="R188" s="3">
        <f t="shared" si="124"/>
        <v>0.10190342797030232</v>
      </c>
      <c r="S188" s="3">
        <f t="shared" si="124"/>
        <v>0.10190324355708411</v>
      </c>
      <c r="T188" s="3">
        <f t="shared" si="124"/>
        <v>0.10190139944325709</v>
      </c>
      <c r="U188" s="3">
        <f t="shared" si="124"/>
        <v>0.10188296014036938</v>
      </c>
      <c r="V188" s="3">
        <f t="shared" si="124"/>
        <v>0.10169875052689288</v>
      </c>
      <c r="W188" s="3">
        <f t="shared" si="124"/>
        <v>9.9874873712328616E-2</v>
      </c>
      <c r="X188" s="3">
        <f t="shared" si="124"/>
        <v>8.3341728392827885E-2</v>
      </c>
      <c r="Y188" s="3">
        <f t="shared" si="124"/>
        <v>1.3643478158835591E-2</v>
      </c>
      <c r="Z188" s="3">
        <f t="shared" si="124"/>
        <v>1.8860407459792778E-10</v>
      </c>
      <c r="AA188" s="3">
        <f t="shared" si="124"/>
        <v>4.8062989585922921E-89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7.6951150711457764E-2</v>
      </c>
      <c r="C189" s="3">
        <f t="shared" si="125"/>
        <v>7.6951150711457764E-2</v>
      </c>
      <c r="D189" s="3">
        <f t="shared" si="125"/>
        <v>7.6951150711457764E-2</v>
      </c>
      <c r="E189" s="3">
        <f t="shared" si="125"/>
        <v>7.6951150711457764E-2</v>
      </c>
      <c r="F189" s="3">
        <f t="shared" si="125"/>
        <v>7.6951150711457764E-2</v>
      </c>
      <c r="G189" s="3">
        <f t="shared" si="125"/>
        <v>7.6951150711457764E-2</v>
      </c>
      <c r="H189" s="3">
        <f t="shared" si="125"/>
        <v>7.6951150711457764E-2</v>
      </c>
      <c r="I189" s="3">
        <f t="shared" si="125"/>
        <v>7.6951150711457764E-2</v>
      </c>
      <c r="J189" s="3">
        <f t="shared" si="125"/>
        <v>7.695115071145775E-2</v>
      </c>
      <c r="K189" s="3">
        <f t="shared" si="125"/>
        <v>7.6951150711457625E-2</v>
      </c>
      <c r="L189" s="3">
        <f t="shared" si="125"/>
        <v>7.6951150711456376E-2</v>
      </c>
      <c r="M189" s="3">
        <f t="shared" si="125"/>
        <v>7.6951150711443803E-2</v>
      </c>
      <c r="N189" s="3">
        <f t="shared" si="125"/>
        <v>7.6951150711318181E-2</v>
      </c>
      <c r="O189" s="3">
        <f t="shared" si="125"/>
        <v>7.6951150710061964E-2</v>
      </c>
      <c r="P189" s="3">
        <f t="shared" si="125"/>
        <v>7.6951150697499776E-2</v>
      </c>
      <c r="Q189" s="3">
        <f t="shared" si="125"/>
        <v>7.6951150571877874E-2</v>
      </c>
      <c r="R189" s="3">
        <f t="shared" si="125"/>
        <v>7.6951149315658898E-2</v>
      </c>
      <c r="S189" s="3">
        <f t="shared" si="125"/>
        <v>7.6951136753470206E-2</v>
      </c>
      <c r="T189" s="3">
        <f t="shared" si="125"/>
        <v>7.695101113169614E-2</v>
      </c>
      <c r="U189" s="3">
        <f t="shared" si="125"/>
        <v>7.6949754925234592E-2</v>
      </c>
      <c r="V189" s="3">
        <f t="shared" si="125"/>
        <v>7.6937193988463423E-2</v>
      </c>
      <c r="W189" s="3">
        <f t="shared" si="125"/>
        <v>7.6811697337083734E-2</v>
      </c>
      <c r="X189" s="3">
        <f t="shared" si="125"/>
        <v>7.5567934669754366E-2</v>
      </c>
      <c r="Y189" s="3">
        <f t="shared" si="125"/>
        <v>6.4185874210636373E-2</v>
      </c>
      <c r="Z189" s="3">
        <f t="shared" si="125"/>
        <v>1.2544649731350371E-2</v>
      </c>
      <c r="AA189" s="3">
        <f t="shared" si="125"/>
        <v>1.0201154577802989E-9</v>
      </c>
      <c r="AB189" s="3">
        <f t="shared" si="125"/>
        <v>1.2899034893668295E-80</v>
      </c>
      <c r="AC189" s="3">
        <f t="shared" si="125"/>
        <v>0</v>
      </c>
      <c r="AD189" s="3">
        <f t="shared" si="125"/>
        <v>0</v>
      </c>
      <c r="AE189" s="3">
        <f t="shared" si="125"/>
        <v>0</v>
      </c>
      <c r="AF189" s="3">
        <f t="shared" si="125"/>
        <v>0</v>
      </c>
      <c r="AG189" s="3"/>
      <c r="AH189" s="3"/>
    </row>
    <row r="190" spans="2:34" x14ac:dyDescent="0.25">
      <c r="B190" s="3">
        <f t="shared" ref="B190:AF190" si="126">$C37*EXP(-B$168/$A37/EXP(-$C$126))</f>
        <v>5.7921020050419839E-2</v>
      </c>
      <c r="C190" s="3">
        <f t="shared" si="126"/>
        <v>5.7921020050419839E-2</v>
      </c>
      <c r="D190" s="3">
        <f t="shared" si="126"/>
        <v>5.7921020050419839E-2</v>
      </c>
      <c r="E190" s="3">
        <f t="shared" si="126"/>
        <v>5.7921020050419839E-2</v>
      </c>
      <c r="F190" s="3">
        <f t="shared" si="126"/>
        <v>5.7921020050419839E-2</v>
      </c>
      <c r="G190" s="3">
        <f t="shared" si="126"/>
        <v>5.7921020050419839E-2</v>
      </c>
      <c r="H190" s="3">
        <f t="shared" si="126"/>
        <v>5.7921020050419839E-2</v>
      </c>
      <c r="I190" s="3">
        <f t="shared" si="126"/>
        <v>5.7921020050419839E-2</v>
      </c>
      <c r="J190" s="3">
        <f t="shared" si="126"/>
        <v>5.7921020050419839E-2</v>
      </c>
      <c r="K190" s="3">
        <f t="shared" si="126"/>
        <v>5.7921020050419832E-2</v>
      </c>
      <c r="L190" s="3">
        <f t="shared" si="126"/>
        <v>5.7921020050419741E-2</v>
      </c>
      <c r="M190" s="3">
        <f t="shared" si="126"/>
        <v>5.7921020050418895E-2</v>
      </c>
      <c r="N190" s="3">
        <f t="shared" si="126"/>
        <v>5.792102005041036E-2</v>
      </c>
      <c r="O190" s="3">
        <f t="shared" si="126"/>
        <v>5.7921020050325067E-2</v>
      </c>
      <c r="P190" s="3">
        <f t="shared" si="126"/>
        <v>5.7921020049472097E-2</v>
      </c>
      <c r="Q190" s="3">
        <f t="shared" si="126"/>
        <v>5.7921020040942406E-2</v>
      </c>
      <c r="R190" s="3">
        <f t="shared" si="126"/>
        <v>5.7921019955645553E-2</v>
      </c>
      <c r="S190" s="3">
        <f t="shared" si="126"/>
        <v>5.7921019102676989E-2</v>
      </c>
      <c r="T190" s="3">
        <f t="shared" si="126"/>
        <v>5.7921010572992038E-2</v>
      </c>
      <c r="U190" s="3">
        <f t="shared" si="126"/>
        <v>5.7920925276211614E-2</v>
      </c>
      <c r="V190" s="3">
        <f t="shared" si="126"/>
        <v>5.7920072315315992E-2</v>
      </c>
      <c r="W190" s="3">
        <f t="shared" si="126"/>
        <v>5.7911543397181929E-2</v>
      </c>
      <c r="X190" s="3">
        <f t="shared" si="126"/>
        <v>5.7826323260429843E-2</v>
      </c>
      <c r="Y190" s="3">
        <f t="shared" si="126"/>
        <v>5.6980988878685732E-2</v>
      </c>
      <c r="Z190" s="3">
        <f t="shared" si="126"/>
        <v>4.9178355801170422E-2</v>
      </c>
      <c r="AA190" s="3">
        <f t="shared" si="126"/>
        <v>1.1277536265370945E-2</v>
      </c>
      <c r="AB190" s="3">
        <f t="shared" si="126"/>
        <v>4.535409533602728E-9</v>
      </c>
      <c r="AC190" s="3">
        <f t="shared" si="126"/>
        <v>5.019255129773045E-73</v>
      </c>
      <c r="AD190" s="3">
        <f t="shared" si="126"/>
        <v>0</v>
      </c>
      <c r="AE190" s="3">
        <f t="shared" si="126"/>
        <v>0</v>
      </c>
      <c r="AF190" s="3">
        <f t="shared" si="126"/>
        <v>0</v>
      </c>
      <c r="AG190" s="3"/>
      <c r="AH190" s="3"/>
    </row>
    <row r="191" spans="2:34" x14ac:dyDescent="0.25">
      <c r="B191" s="3">
        <f t="shared" ref="B191:AF191" si="127">$C38*EXP(-B$168/$A38/EXP(-$C$126))</f>
        <v>2.5285810572757812E-2</v>
      </c>
      <c r="C191" s="3">
        <f t="shared" si="127"/>
        <v>2.5285810572757812E-2</v>
      </c>
      <c r="D191" s="3">
        <f t="shared" si="127"/>
        <v>2.5285810572757812E-2</v>
      </c>
      <c r="E191" s="3">
        <f t="shared" si="127"/>
        <v>2.5285810572757812E-2</v>
      </c>
      <c r="F191" s="3">
        <f t="shared" si="127"/>
        <v>2.5285810572757812E-2</v>
      </c>
      <c r="G191" s="3">
        <f t="shared" si="127"/>
        <v>2.5285810572757812E-2</v>
      </c>
      <c r="H191" s="3">
        <f t="shared" si="127"/>
        <v>2.5285810572757812E-2</v>
      </c>
      <c r="I191" s="3">
        <f t="shared" si="127"/>
        <v>2.5285810572757812E-2</v>
      </c>
      <c r="J191" s="3">
        <f t="shared" si="127"/>
        <v>2.5285810572757812E-2</v>
      </c>
      <c r="K191" s="3">
        <f t="shared" si="127"/>
        <v>2.5285810572757812E-2</v>
      </c>
      <c r="L191" s="3">
        <f t="shared" si="127"/>
        <v>2.5285810572757809E-2</v>
      </c>
      <c r="M191" s="3">
        <f t="shared" si="127"/>
        <v>2.5285810572757774E-2</v>
      </c>
      <c r="N191" s="3">
        <f t="shared" si="127"/>
        <v>2.5285810572757438E-2</v>
      </c>
      <c r="O191" s="3">
        <f t="shared" si="127"/>
        <v>2.5285810572754079E-2</v>
      </c>
      <c r="P191" s="3">
        <f t="shared" si="127"/>
        <v>2.5285810572720488E-2</v>
      </c>
      <c r="Q191" s="3">
        <f t="shared" si="127"/>
        <v>2.528581057238458E-2</v>
      </c>
      <c r="R191" s="3">
        <f t="shared" si="127"/>
        <v>2.5285810569025503E-2</v>
      </c>
      <c r="S191" s="3">
        <f t="shared" si="127"/>
        <v>2.5285810535434702E-2</v>
      </c>
      <c r="T191" s="3">
        <f t="shared" si="127"/>
        <v>2.5285810199526745E-2</v>
      </c>
      <c r="U191" s="3">
        <f t="shared" si="127"/>
        <v>2.528580684044739E-2</v>
      </c>
      <c r="V191" s="3">
        <f t="shared" si="127"/>
        <v>2.528577324967838E-2</v>
      </c>
      <c r="W191" s="3">
        <f t="shared" si="127"/>
        <v>2.528543734444258E-2</v>
      </c>
      <c r="X191" s="3">
        <f t="shared" si="127"/>
        <v>2.528207853750045E-2</v>
      </c>
      <c r="Y191" s="3">
        <f t="shared" si="127"/>
        <v>2.5248514997610237E-2</v>
      </c>
      <c r="Z191" s="3">
        <f t="shared" si="127"/>
        <v>2.4915320537675943E-2</v>
      </c>
      <c r="AA191" s="3">
        <f t="shared" si="127"/>
        <v>2.1815886561255562E-2</v>
      </c>
      <c r="AB191" s="3">
        <f t="shared" si="127"/>
        <v>5.7787877801970073E-3</v>
      </c>
      <c r="AC191" s="3">
        <f t="shared" si="127"/>
        <v>9.8282350967792127E-9</v>
      </c>
      <c r="AD191" s="3">
        <f t="shared" si="127"/>
        <v>1.9900475056980038E-66</v>
      </c>
      <c r="AE191" s="3">
        <f t="shared" si="127"/>
        <v>0</v>
      </c>
      <c r="AF191" s="3">
        <f t="shared" si="127"/>
        <v>0</v>
      </c>
      <c r="AG191" s="3"/>
      <c r="AH191" s="3"/>
    </row>
    <row r="192" spans="2:34" x14ac:dyDescent="0.25">
      <c r="B192" s="3">
        <f t="shared" ref="B192:AF192" si="128">$C39*EXP(-B$168/$A39/EXP(-$C$126))</f>
        <v>3.2366685021283446E-2</v>
      </c>
      <c r="C192" s="3">
        <f t="shared" si="128"/>
        <v>3.2366685021283446E-2</v>
      </c>
      <c r="D192" s="3">
        <f t="shared" si="128"/>
        <v>3.2366685021283446E-2</v>
      </c>
      <c r="E192" s="3">
        <f t="shared" si="128"/>
        <v>3.2366685021283446E-2</v>
      </c>
      <c r="F192" s="3">
        <f t="shared" si="128"/>
        <v>3.2366685021283446E-2</v>
      </c>
      <c r="G192" s="3">
        <f t="shared" si="128"/>
        <v>3.2366685021283446E-2</v>
      </c>
      <c r="H192" s="3">
        <f t="shared" si="128"/>
        <v>3.2366685021283446E-2</v>
      </c>
      <c r="I192" s="3">
        <f t="shared" si="128"/>
        <v>3.2366685021283446E-2</v>
      </c>
      <c r="J192" s="3">
        <f t="shared" si="128"/>
        <v>3.2366685021283446E-2</v>
      </c>
      <c r="K192" s="3">
        <f t="shared" si="128"/>
        <v>3.2366685021283446E-2</v>
      </c>
      <c r="L192" s="3">
        <f t="shared" si="128"/>
        <v>3.2366685021283446E-2</v>
      </c>
      <c r="M192" s="3">
        <f t="shared" si="128"/>
        <v>3.2366685021283433E-2</v>
      </c>
      <c r="N192" s="3">
        <f t="shared" si="128"/>
        <v>3.2366685021283315E-2</v>
      </c>
      <c r="O192" s="3">
        <f t="shared" si="128"/>
        <v>3.2366685021282121E-2</v>
      </c>
      <c r="P192" s="3">
        <f t="shared" si="128"/>
        <v>3.2366685021270235E-2</v>
      </c>
      <c r="Q192" s="3">
        <f t="shared" si="128"/>
        <v>3.2366685021151316E-2</v>
      </c>
      <c r="R192" s="3">
        <f t="shared" si="128"/>
        <v>3.2366685019962115E-2</v>
      </c>
      <c r="S192" s="3">
        <f t="shared" si="128"/>
        <v>3.2366685008070127E-2</v>
      </c>
      <c r="T192" s="3">
        <f t="shared" si="128"/>
        <v>3.2366684889150232E-2</v>
      </c>
      <c r="U192" s="3">
        <f t="shared" si="128"/>
        <v>3.2366683699951354E-2</v>
      </c>
      <c r="V192" s="3">
        <f t="shared" si="128"/>
        <v>3.2366671807964931E-2</v>
      </c>
      <c r="W192" s="3">
        <f t="shared" si="128"/>
        <v>3.2366552888341033E-2</v>
      </c>
      <c r="X192" s="3">
        <f t="shared" si="128"/>
        <v>3.2365363716132765E-2</v>
      </c>
      <c r="Y192" s="3">
        <f t="shared" si="128"/>
        <v>3.2353474396796179E-2</v>
      </c>
      <c r="Z192" s="3">
        <f t="shared" si="128"/>
        <v>3.2234821151720237E-2</v>
      </c>
      <c r="AA192" s="3">
        <f t="shared" si="128"/>
        <v>3.1071960517135302E-2</v>
      </c>
      <c r="AB192" s="3">
        <f t="shared" si="128"/>
        <v>2.1518033064533801E-2</v>
      </c>
      <c r="AC192" s="3">
        <f t="shared" si="128"/>
        <v>5.4593597297727644E-4</v>
      </c>
      <c r="AD192" s="3">
        <f t="shared" si="128"/>
        <v>6.0329972296228298E-20</v>
      </c>
      <c r="AE192" s="3">
        <f t="shared" si="128"/>
        <v>1.6385030933879149E-179</v>
      </c>
      <c r="AF192" s="3">
        <f t="shared" si="128"/>
        <v>0</v>
      </c>
      <c r="AG192" s="3"/>
      <c r="AH192" s="3"/>
    </row>
    <row r="193" spans="1:34" x14ac:dyDescent="0.25">
      <c r="B193" s="3">
        <f t="shared" ref="B193:AF193" si="129">$C40*EXP(-B$168/$A40/EXP(-$C$126))</f>
        <v>3.1308799332550319E-2</v>
      </c>
      <c r="C193" s="3">
        <f t="shared" si="129"/>
        <v>3.1308799332550319E-2</v>
      </c>
      <c r="D193" s="3">
        <f t="shared" si="129"/>
        <v>3.1308799332550319E-2</v>
      </c>
      <c r="E193" s="3">
        <f t="shared" si="129"/>
        <v>3.1308799332550319E-2</v>
      </c>
      <c r="F193" s="3">
        <f t="shared" si="129"/>
        <v>3.1308799332550319E-2</v>
      </c>
      <c r="G193" s="3">
        <f t="shared" si="129"/>
        <v>3.1308799332550319E-2</v>
      </c>
      <c r="H193" s="3">
        <f t="shared" si="129"/>
        <v>3.1308799332550319E-2</v>
      </c>
      <c r="I193" s="3">
        <f t="shared" si="129"/>
        <v>3.1308799332550319E-2</v>
      </c>
      <c r="J193" s="3">
        <f t="shared" si="129"/>
        <v>3.1308799332550319E-2</v>
      </c>
      <c r="K193" s="3">
        <f t="shared" si="129"/>
        <v>3.1308799332550319E-2</v>
      </c>
      <c r="L193" s="3">
        <f t="shared" si="129"/>
        <v>3.1308799332550319E-2</v>
      </c>
      <c r="M193" s="3">
        <f t="shared" si="129"/>
        <v>3.1308799332550319E-2</v>
      </c>
      <c r="N193" s="3">
        <f t="shared" si="129"/>
        <v>3.1308799332550305E-2</v>
      </c>
      <c r="O193" s="3">
        <f t="shared" si="129"/>
        <v>3.1308799332550187E-2</v>
      </c>
      <c r="P193" s="3">
        <f t="shared" si="129"/>
        <v>3.1308799332549042E-2</v>
      </c>
      <c r="Q193" s="3">
        <f t="shared" si="129"/>
        <v>3.1308799332537537E-2</v>
      </c>
      <c r="R193" s="3">
        <f t="shared" si="129"/>
        <v>3.1308799332422504E-2</v>
      </c>
      <c r="S193" s="3">
        <f t="shared" si="129"/>
        <v>3.1308799331272175E-2</v>
      </c>
      <c r="T193" s="3">
        <f t="shared" si="129"/>
        <v>3.1308799319768869E-2</v>
      </c>
      <c r="U193" s="3">
        <f t="shared" si="129"/>
        <v>3.1308799204735803E-2</v>
      </c>
      <c r="V193" s="3">
        <f t="shared" si="129"/>
        <v>3.1308798054405174E-2</v>
      </c>
      <c r="W193" s="3">
        <f t="shared" si="129"/>
        <v>3.1308786551101191E-2</v>
      </c>
      <c r="X193" s="3">
        <f t="shared" si="129"/>
        <v>3.1308671518293883E-2</v>
      </c>
      <c r="Y193" s="3">
        <f t="shared" si="129"/>
        <v>3.1307521213466062E-2</v>
      </c>
      <c r="Z193" s="3">
        <f t="shared" si="129"/>
        <v>3.1296020489401645E-2</v>
      </c>
      <c r="AA193" s="3">
        <f t="shared" si="129"/>
        <v>3.1181245354481409E-2</v>
      </c>
      <c r="AB193" s="3">
        <f t="shared" si="129"/>
        <v>3.0056392122338509E-2</v>
      </c>
      <c r="AC193" s="3">
        <f t="shared" si="129"/>
        <v>2.0814729058773317E-2</v>
      </c>
      <c r="AD193" s="3">
        <f t="shared" si="129"/>
        <v>5.2809238311327014E-4</v>
      </c>
      <c r="AE193" s="3">
        <f t="shared" si="129"/>
        <v>5.835812333326288E-20</v>
      </c>
      <c r="AF193" s="3">
        <f t="shared" si="129"/>
        <v>1.584949602435714E-179</v>
      </c>
      <c r="AG193" s="3"/>
      <c r="AH193" s="3"/>
    </row>
    <row r="194" spans="1:34" x14ac:dyDescent="0.25">
      <c r="B194" s="3">
        <f t="shared" ref="B194:AF194" si="130">$C41*EXP(-B$168/$A41/EXP(-$C$126))</f>
        <v>2.9628011896189826E-2</v>
      </c>
      <c r="C194" s="3">
        <f t="shared" si="130"/>
        <v>2.9628011896189826E-2</v>
      </c>
      <c r="D194" s="3">
        <f t="shared" si="130"/>
        <v>2.9628011896189826E-2</v>
      </c>
      <c r="E194" s="3">
        <f t="shared" si="130"/>
        <v>2.9628011896189826E-2</v>
      </c>
      <c r="F194" s="3">
        <f t="shared" si="130"/>
        <v>2.9628011896189826E-2</v>
      </c>
      <c r="G194" s="3">
        <f t="shared" si="130"/>
        <v>2.9628011896189826E-2</v>
      </c>
      <c r="H194" s="3">
        <f t="shared" si="130"/>
        <v>2.9628011896189826E-2</v>
      </c>
      <c r="I194" s="3">
        <f t="shared" si="130"/>
        <v>2.9628011896189826E-2</v>
      </c>
      <c r="J194" s="3">
        <f t="shared" si="130"/>
        <v>2.9628011896189826E-2</v>
      </c>
      <c r="K194" s="3">
        <f t="shared" si="130"/>
        <v>2.9628011896189826E-2</v>
      </c>
      <c r="L194" s="3">
        <f t="shared" si="130"/>
        <v>2.9628011896189826E-2</v>
      </c>
      <c r="M194" s="3">
        <f t="shared" si="130"/>
        <v>2.9628011896189826E-2</v>
      </c>
      <c r="N194" s="3">
        <f t="shared" si="130"/>
        <v>2.9628011896189826E-2</v>
      </c>
      <c r="O194" s="3">
        <f t="shared" si="130"/>
        <v>2.9628011896189813E-2</v>
      </c>
      <c r="P194" s="3">
        <f t="shared" si="130"/>
        <v>2.9628011896189705E-2</v>
      </c>
      <c r="Q194" s="3">
        <f t="shared" si="130"/>
        <v>2.9628011896188616E-2</v>
      </c>
      <c r="R194" s="3">
        <f t="shared" si="130"/>
        <v>2.9628011896177732E-2</v>
      </c>
      <c r="S194" s="3">
        <f t="shared" si="130"/>
        <v>2.9628011896068875E-2</v>
      </c>
      <c r="T194" s="3">
        <f t="shared" si="130"/>
        <v>2.9628011894980297E-2</v>
      </c>
      <c r="U194" s="3">
        <f t="shared" si="130"/>
        <v>2.9628011884094536E-2</v>
      </c>
      <c r="V194" s="3">
        <f t="shared" si="130"/>
        <v>2.9628011775236929E-2</v>
      </c>
      <c r="W194" s="3">
        <f t="shared" si="130"/>
        <v>2.9628010686660863E-2</v>
      </c>
      <c r="X194" s="3">
        <f t="shared" si="130"/>
        <v>2.9627999800902406E-2</v>
      </c>
      <c r="Y194" s="3">
        <f t="shared" si="130"/>
        <v>2.9627890943537825E-2</v>
      </c>
      <c r="Z194" s="3">
        <f t="shared" si="130"/>
        <v>2.9626802391889428E-2</v>
      </c>
      <c r="AA194" s="3">
        <f t="shared" si="130"/>
        <v>2.9615919074845672E-2</v>
      </c>
      <c r="AB194" s="3">
        <f t="shared" si="130"/>
        <v>2.9507305549725017E-2</v>
      </c>
      <c r="AC194" s="3">
        <f t="shared" si="130"/>
        <v>2.844283914878103E-2</v>
      </c>
      <c r="AD194" s="3">
        <f t="shared" si="130"/>
        <v>1.9697307252793634E-2</v>
      </c>
      <c r="AE194" s="3">
        <f t="shared" si="130"/>
        <v>4.9974217289452027E-4</v>
      </c>
      <c r="AF194" s="3">
        <f t="shared" si="130"/>
        <v>5.5225214930539591E-20</v>
      </c>
      <c r="AG194" s="3"/>
      <c r="AH194" s="3"/>
    </row>
    <row r="195" spans="1:34" x14ac:dyDescent="0.25">
      <c r="B195" s="3">
        <f t="shared" ref="B195:AF195" si="131">$C42*EXP(-B$168/$A42/EXP(-$C$126))</f>
        <v>3.0878251841692891E-2</v>
      </c>
      <c r="C195" s="3">
        <f t="shared" si="131"/>
        <v>3.0878251841692891E-2</v>
      </c>
      <c r="D195" s="3">
        <f t="shared" si="131"/>
        <v>3.0878251841692891E-2</v>
      </c>
      <c r="E195" s="3">
        <f t="shared" si="131"/>
        <v>3.0878251841692891E-2</v>
      </c>
      <c r="F195" s="3">
        <f t="shared" si="131"/>
        <v>3.0878251841692891E-2</v>
      </c>
      <c r="G195" s="3">
        <f t="shared" si="131"/>
        <v>3.0878251841692891E-2</v>
      </c>
      <c r="H195" s="3">
        <f t="shared" si="131"/>
        <v>3.0878251841692891E-2</v>
      </c>
      <c r="I195" s="3">
        <f t="shared" si="131"/>
        <v>3.0878251841692891E-2</v>
      </c>
      <c r="J195" s="3">
        <f t="shared" si="131"/>
        <v>3.0878251841692891E-2</v>
      </c>
      <c r="K195" s="3">
        <f t="shared" si="131"/>
        <v>3.0878251841692891E-2</v>
      </c>
      <c r="L195" s="3">
        <f t="shared" si="131"/>
        <v>3.0878251841692891E-2</v>
      </c>
      <c r="M195" s="3">
        <f t="shared" si="131"/>
        <v>3.0878251841692891E-2</v>
      </c>
      <c r="N195" s="3">
        <f t="shared" si="131"/>
        <v>3.0878251841692891E-2</v>
      </c>
      <c r="O195" s="3">
        <f t="shared" si="131"/>
        <v>3.0878251841692891E-2</v>
      </c>
      <c r="P195" s="3">
        <f t="shared" si="131"/>
        <v>3.0878251841692878E-2</v>
      </c>
      <c r="Q195" s="3">
        <f t="shared" si="131"/>
        <v>3.0878251841692763E-2</v>
      </c>
      <c r="R195" s="3">
        <f t="shared" si="131"/>
        <v>3.0878251841691629E-2</v>
      </c>
      <c r="S195" s="3">
        <f t="shared" si="131"/>
        <v>3.0878251841680287E-2</v>
      </c>
      <c r="T195" s="3">
        <f t="shared" si="131"/>
        <v>3.0878251841566833E-2</v>
      </c>
      <c r="U195" s="3">
        <f t="shared" si="131"/>
        <v>3.0878251840432323E-2</v>
      </c>
      <c r="V195" s="3">
        <f t="shared" si="131"/>
        <v>3.0878251829087204E-2</v>
      </c>
      <c r="W195" s="3">
        <f t="shared" si="131"/>
        <v>3.0878251715636035E-2</v>
      </c>
      <c r="X195" s="3">
        <f t="shared" si="131"/>
        <v>3.0878250581124343E-2</v>
      </c>
      <c r="Y195" s="3">
        <f t="shared" si="131"/>
        <v>3.0878239236009717E-2</v>
      </c>
      <c r="Z195" s="3">
        <f t="shared" si="131"/>
        <v>3.0878125785092723E-2</v>
      </c>
      <c r="AA195" s="3">
        <f t="shared" si="131"/>
        <v>3.0876991298848432E-2</v>
      </c>
      <c r="AB195" s="3">
        <f t="shared" si="131"/>
        <v>3.0865648728657508E-2</v>
      </c>
      <c r="AC195" s="3">
        <f t="shared" si="131"/>
        <v>3.0752451940636746E-2</v>
      </c>
      <c r="AD195" s="3">
        <f t="shared" si="131"/>
        <v>2.964306729071375E-2</v>
      </c>
      <c r="AE195" s="3">
        <f t="shared" si="131"/>
        <v>2.0528492295940483E-2</v>
      </c>
      <c r="AF195" s="3">
        <f t="shared" si="131"/>
        <v>5.2083024418308284E-4</v>
      </c>
      <c r="AG195" s="3"/>
      <c r="AH195" s="3"/>
    </row>
    <row r="196" spans="1:34" x14ac:dyDescent="0.25">
      <c r="B196" s="3">
        <f t="shared" ref="B196:AF196" si="132">$C43*EXP(-B$168/$A43/EXP(-$C$126))</f>
        <v>3.5015955138041704E-2</v>
      </c>
      <c r="C196" s="3">
        <f t="shared" si="132"/>
        <v>3.5015955138041704E-2</v>
      </c>
      <c r="D196" s="3">
        <f t="shared" si="132"/>
        <v>3.5015955138041704E-2</v>
      </c>
      <c r="E196" s="3">
        <f t="shared" si="132"/>
        <v>3.5015955138041704E-2</v>
      </c>
      <c r="F196" s="3">
        <f t="shared" si="132"/>
        <v>3.5015955138041704E-2</v>
      </c>
      <c r="G196" s="3">
        <f t="shared" si="132"/>
        <v>3.5015955138041704E-2</v>
      </c>
      <c r="H196" s="3">
        <f t="shared" si="132"/>
        <v>3.5015955138041704E-2</v>
      </c>
      <c r="I196" s="3">
        <f t="shared" si="132"/>
        <v>3.5015955138041704E-2</v>
      </c>
      <c r="J196" s="3">
        <f t="shared" si="132"/>
        <v>3.5015955138041704E-2</v>
      </c>
      <c r="K196" s="3">
        <f t="shared" si="132"/>
        <v>3.5015955138041704E-2</v>
      </c>
      <c r="L196" s="3">
        <f t="shared" si="132"/>
        <v>3.5015955138041704E-2</v>
      </c>
      <c r="M196" s="3">
        <f t="shared" si="132"/>
        <v>3.5015955138041704E-2</v>
      </c>
      <c r="N196" s="3">
        <f t="shared" si="132"/>
        <v>3.5015955138041704E-2</v>
      </c>
      <c r="O196" s="3">
        <f t="shared" si="132"/>
        <v>3.5015955138041704E-2</v>
      </c>
      <c r="P196" s="3">
        <f t="shared" si="132"/>
        <v>3.5015955138041704E-2</v>
      </c>
      <c r="Q196" s="3">
        <f t="shared" si="132"/>
        <v>3.5015955138041691E-2</v>
      </c>
      <c r="R196" s="3">
        <f t="shared" si="132"/>
        <v>3.5015955138041559E-2</v>
      </c>
      <c r="S196" s="3">
        <f t="shared" si="132"/>
        <v>3.5015955138040275E-2</v>
      </c>
      <c r="T196" s="3">
        <f t="shared" si="132"/>
        <v>3.501595513802741E-2</v>
      </c>
      <c r="U196" s="3">
        <f t="shared" si="132"/>
        <v>3.5015955137898756E-2</v>
      </c>
      <c r="V196" s="3">
        <f t="shared" si="132"/>
        <v>3.5015955136612223E-2</v>
      </c>
      <c r="W196" s="3">
        <f t="shared" si="132"/>
        <v>3.5015955123746847E-2</v>
      </c>
      <c r="X196" s="3">
        <f t="shared" si="132"/>
        <v>3.5015954995093156E-2</v>
      </c>
      <c r="Y196" s="3">
        <f t="shared" si="132"/>
        <v>3.5015953708556258E-2</v>
      </c>
      <c r="Z196" s="3">
        <f t="shared" si="132"/>
        <v>3.5015940843189819E-2</v>
      </c>
      <c r="AA196" s="3">
        <f t="shared" si="132"/>
        <v>3.5015812189785472E-2</v>
      </c>
      <c r="AB196" s="3">
        <f t="shared" si="132"/>
        <v>3.5014525681739662E-2</v>
      </c>
      <c r="AC196" s="3">
        <f t="shared" si="132"/>
        <v>3.5001663200696635E-2</v>
      </c>
      <c r="AD196" s="3">
        <f t="shared" si="132"/>
        <v>3.487329797874604E-2</v>
      </c>
      <c r="AE196" s="3">
        <f t="shared" si="132"/>
        <v>3.3615255155217919E-2</v>
      </c>
      <c r="AF196" s="3">
        <f t="shared" si="132"/>
        <v>2.3279321930903627E-2</v>
      </c>
      <c r="AG196" s="3"/>
      <c r="AH196" s="3"/>
    </row>
    <row r="197" spans="1:34" x14ac:dyDescent="0.25">
      <c r="B197" s="3">
        <f t="shared" ref="B197:AF197" si="133">$C44*EXP(-B$168/$A44/EXP(-$C$126))</f>
        <v>3.7250810616417634E-2</v>
      </c>
      <c r="C197" s="3">
        <f t="shared" si="133"/>
        <v>3.7250810616417634E-2</v>
      </c>
      <c r="D197" s="3">
        <f t="shared" si="133"/>
        <v>3.7250810616417634E-2</v>
      </c>
      <c r="E197" s="3">
        <f t="shared" si="133"/>
        <v>3.7250810616417634E-2</v>
      </c>
      <c r="F197" s="3">
        <f t="shared" si="133"/>
        <v>3.7250810616417634E-2</v>
      </c>
      <c r="G197" s="3">
        <f t="shared" si="133"/>
        <v>3.7250810616417634E-2</v>
      </c>
      <c r="H197" s="3">
        <f t="shared" si="133"/>
        <v>3.7250810616417634E-2</v>
      </c>
      <c r="I197" s="3">
        <f t="shared" si="133"/>
        <v>3.7250810616417634E-2</v>
      </c>
      <c r="J197" s="3">
        <f t="shared" si="133"/>
        <v>3.7250810616417634E-2</v>
      </c>
      <c r="K197" s="3">
        <f t="shared" si="133"/>
        <v>3.7250810616417634E-2</v>
      </c>
      <c r="L197" s="3">
        <f t="shared" si="133"/>
        <v>3.7250810616417634E-2</v>
      </c>
      <c r="M197" s="3">
        <f t="shared" si="133"/>
        <v>3.7250810616417634E-2</v>
      </c>
      <c r="N197" s="3">
        <f t="shared" si="133"/>
        <v>3.7250810616417634E-2</v>
      </c>
      <c r="O197" s="3">
        <f t="shared" si="133"/>
        <v>3.7250810616417634E-2</v>
      </c>
      <c r="P197" s="3">
        <f t="shared" si="133"/>
        <v>3.7250810616417634E-2</v>
      </c>
      <c r="Q197" s="3">
        <f t="shared" si="133"/>
        <v>3.7250810616417634E-2</v>
      </c>
      <c r="R197" s="3">
        <f t="shared" si="133"/>
        <v>3.7250810616417621E-2</v>
      </c>
      <c r="S197" s="3">
        <f t="shared" si="133"/>
        <v>3.7250810616417482E-2</v>
      </c>
      <c r="T197" s="3">
        <f t="shared" si="133"/>
        <v>3.7250810616416115E-2</v>
      </c>
      <c r="U197" s="3">
        <f t="shared" si="133"/>
        <v>3.7250810616402424E-2</v>
      </c>
      <c r="V197" s="3">
        <f t="shared" si="133"/>
        <v>3.7250810616265562E-2</v>
      </c>
      <c r="W197" s="3">
        <f t="shared" si="133"/>
        <v>3.7250810614896913E-2</v>
      </c>
      <c r="X197" s="3">
        <f t="shared" si="133"/>
        <v>3.7250810601210424E-2</v>
      </c>
      <c r="Y197" s="3">
        <f t="shared" si="133"/>
        <v>3.725081046434555E-2</v>
      </c>
      <c r="Z197" s="3">
        <f t="shared" si="133"/>
        <v>3.7250809095696821E-2</v>
      </c>
      <c r="AA197" s="3">
        <f t="shared" si="133"/>
        <v>3.7250795409212285E-2</v>
      </c>
      <c r="AB197" s="3">
        <f t="shared" si="133"/>
        <v>3.7250658544643496E-2</v>
      </c>
      <c r="AC197" s="3">
        <f t="shared" si="133"/>
        <v>3.7249289926612604E-2</v>
      </c>
      <c r="AD197" s="3">
        <f t="shared" si="133"/>
        <v>3.7235606511623581E-2</v>
      </c>
      <c r="AE197" s="3">
        <f t="shared" si="133"/>
        <v>3.7099048518167005E-2</v>
      </c>
      <c r="AF197" s="3">
        <f t="shared" si="133"/>
        <v>3.5760712471589295E-2</v>
      </c>
      <c r="AG197" s="3"/>
      <c r="AH197" s="3"/>
    </row>
    <row r="198" spans="1:34" x14ac:dyDescent="0.25">
      <c r="B198" s="3">
        <f t="shared" ref="B198:AF198" si="134">$C45*EXP(-B$168/$A45/EXP(-$C$126))</f>
        <v>3.3898326315238474E-2</v>
      </c>
      <c r="C198" s="3">
        <f t="shared" si="134"/>
        <v>3.3898326315238474E-2</v>
      </c>
      <c r="D198" s="3">
        <f t="shared" si="134"/>
        <v>3.3898326315238474E-2</v>
      </c>
      <c r="E198" s="3">
        <f t="shared" si="134"/>
        <v>3.3898326315238474E-2</v>
      </c>
      <c r="F198" s="3">
        <f t="shared" si="134"/>
        <v>3.3898326315238474E-2</v>
      </c>
      <c r="G198" s="3">
        <f t="shared" si="134"/>
        <v>3.3898326315238474E-2</v>
      </c>
      <c r="H198" s="3">
        <f t="shared" si="134"/>
        <v>3.3898326315238474E-2</v>
      </c>
      <c r="I198" s="3">
        <f t="shared" si="134"/>
        <v>3.3898326315238474E-2</v>
      </c>
      <c r="J198" s="3">
        <f t="shared" si="134"/>
        <v>3.3898326315238474E-2</v>
      </c>
      <c r="K198" s="3">
        <f t="shared" si="134"/>
        <v>3.3898326315238474E-2</v>
      </c>
      <c r="L198" s="3">
        <f t="shared" si="134"/>
        <v>3.3898326315238474E-2</v>
      </c>
      <c r="M198" s="3">
        <f t="shared" si="134"/>
        <v>3.3898326315238474E-2</v>
      </c>
      <c r="N198" s="3">
        <f t="shared" si="134"/>
        <v>3.3898326315238474E-2</v>
      </c>
      <c r="O198" s="3">
        <f t="shared" si="134"/>
        <v>3.3898326315238474E-2</v>
      </c>
      <c r="P198" s="3">
        <f t="shared" si="134"/>
        <v>3.3898326315238474E-2</v>
      </c>
      <c r="Q198" s="3">
        <f t="shared" si="134"/>
        <v>3.3898326315238474E-2</v>
      </c>
      <c r="R198" s="3">
        <f t="shared" si="134"/>
        <v>3.3898326315238474E-2</v>
      </c>
      <c r="S198" s="3">
        <f t="shared" si="134"/>
        <v>3.389832631523846E-2</v>
      </c>
      <c r="T198" s="3">
        <f t="shared" si="134"/>
        <v>3.3898326315238335E-2</v>
      </c>
      <c r="U198" s="3">
        <f t="shared" si="134"/>
        <v>3.3898326315237086E-2</v>
      </c>
      <c r="V198" s="3">
        <f t="shared" si="134"/>
        <v>3.3898326315224638E-2</v>
      </c>
      <c r="W198" s="3">
        <f t="shared" si="134"/>
        <v>3.3898326315100084E-2</v>
      </c>
      <c r="X198" s="3">
        <f t="shared" si="134"/>
        <v>3.3898326313854615E-2</v>
      </c>
      <c r="Y198" s="3">
        <f t="shared" si="134"/>
        <v>3.3898326301399877E-2</v>
      </c>
      <c r="Z198" s="3">
        <f t="shared" si="134"/>
        <v>3.3898326176852518E-2</v>
      </c>
      <c r="AA198" s="3">
        <f t="shared" si="134"/>
        <v>3.3898324931378912E-2</v>
      </c>
      <c r="AB198" s="3">
        <f t="shared" si="134"/>
        <v>3.3898312476645411E-2</v>
      </c>
      <c r="AC198" s="3">
        <f t="shared" si="134"/>
        <v>3.389818792956209E-2</v>
      </c>
      <c r="AD198" s="3">
        <f t="shared" si="134"/>
        <v>3.3896942483896762E-2</v>
      </c>
      <c r="AE198" s="3">
        <f t="shared" si="134"/>
        <v>3.3884490543691186E-2</v>
      </c>
      <c r="AF198" s="3">
        <f t="shared" si="134"/>
        <v>3.3760222444647325E-2</v>
      </c>
      <c r="AG198" s="3"/>
      <c r="AH198" s="3"/>
    </row>
    <row r="199" spans="1:34" x14ac:dyDescent="0.25">
      <c r="B199" s="3">
        <f t="shared" ref="B199:AF199" si="135">$C46*EXP(-B$168/$A46/EXP(-$C$126))</f>
        <v>2.3731882185441592E-2</v>
      </c>
      <c r="C199" s="3">
        <f t="shared" si="135"/>
        <v>2.3731882185441592E-2</v>
      </c>
      <c r="D199" s="3">
        <f t="shared" si="135"/>
        <v>2.3731882185441592E-2</v>
      </c>
      <c r="E199" s="3">
        <f t="shared" si="135"/>
        <v>2.3731882185441592E-2</v>
      </c>
      <c r="F199" s="3">
        <f t="shared" si="135"/>
        <v>2.3731882185441592E-2</v>
      </c>
      <c r="G199" s="3">
        <f t="shared" si="135"/>
        <v>2.3731882185441592E-2</v>
      </c>
      <c r="H199" s="3">
        <f t="shared" si="135"/>
        <v>2.3731882185441592E-2</v>
      </c>
      <c r="I199" s="3">
        <f t="shared" si="135"/>
        <v>2.3731882185441592E-2</v>
      </c>
      <c r="J199" s="3">
        <f t="shared" si="135"/>
        <v>2.3731882185441592E-2</v>
      </c>
      <c r="K199" s="3">
        <f t="shared" si="135"/>
        <v>2.3731882185441592E-2</v>
      </c>
      <c r="L199" s="3">
        <f t="shared" si="135"/>
        <v>2.3731882185441592E-2</v>
      </c>
      <c r="M199" s="3">
        <f t="shared" si="135"/>
        <v>2.3731882185441592E-2</v>
      </c>
      <c r="N199" s="3">
        <f t="shared" si="135"/>
        <v>2.3731882185441592E-2</v>
      </c>
      <c r="O199" s="3">
        <f t="shared" si="135"/>
        <v>2.3731882185441592E-2</v>
      </c>
      <c r="P199" s="3">
        <f t="shared" si="135"/>
        <v>2.3731882185441592E-2</v>
      </c>
      <c r="Q199" s="3">
        <f t="shared" si="135"/>
        <v>2.3731882185441592E-2</v>
      </c>
      <c r="R199" s="3">
        <f t="shared" si="135"/>
        <v>2.3731882185441592E-2</v>
      </c>
      <c r="S199" s="3">
        <f t="shared" si="135"/>
        <v>2.3731882185441592E-2</v>
      </c>
      <c r="T199" s="3">
        <f t="shared" si="135"/>
        <v>2.3731882185441582E-2</v>
      </c>
      <c r="U199" s="3">
        <f t="shared" si="135"/>
        <v>2.3731882185441495E-2</v>
      </c>
      <c r="V199" s="3">
        <f t="shared" si="135"/>
        <v>2.3731882185440624E-2</v>
      </c>
      <c r="W199" s="3">
        <f t="shared" si="135"/>
        <v>2.3731882185431905E-2</v>
      </c>
      <c r="X199" s="3">
        <f t="shared" si="135"/>
        <v>2.3731882185344708E-2</v>
      </c>
      <c r="Y199" s="3">
        <f t="shared" si="135"/>
        <v>2.3731882184472766E-2</v>
      </c>
      <c r="Z199" s="3">
        <f t="shared" si="135"/>
        <v>2.3731882175753328E-2</v>
      </c>
      <c r="AA199" s="3">
        <f t="shared" si="135"/>
        <v>2.3731882088558955E-2</v>
      </c>
      <c r="AB199" s="3">
        <f t="shared" si="135"/>
        <v>2.3731881216615233E-2</v>
      </c>
      <c r="AC199" s="3">
        <f t="shared" si="135"/>
        <v>2.3731872497179785E-2</v>
      </c>
      <c r="AD199" s="3">
        <f t="shared" si="135"/>
        <v>2.3731785303001511E-2</v>
      </c>
      <c r="AE199" s="3">
        <f t="shared" si="135"/>
        <v>2.3730913378838557E-2</v>
      </c>
      <c r="AF199" s="3">
        <f t="shared" si="135"/>
        <v>2.3722195898949115E-2</v>
      </c>
      <c r="AG199" s="3"/>
      <c r="AH199" s="3"/>
    </row>
    <row r="200" spans="1:34" x14ac:dyDescent="0.25">
      <c r="B200" s="3">
        <f t="shared" ref="B200:AF200" si="136">$C47*EXP(-B$168/$A47/EXP(-$C$126))</f>
        <v>1.1146070536665017E-2</v>
      </c>
      <c r="C200" s="3">
        <f t="shared" si="136"/>
        <v>1.1146070536665017E-2</v>
      </c>
      <c r="D200" s="3">
        <f t="shared" si="136"/>
        <v>1.1146070536665017E-2</v>
      </c>
      <c r="E200" s="3">
        <f t="shared" si="136"/>
        <v>1.1146070536665017E-2</v>
      </c>
      <c r="F200" s="3">
        <f t="shared" si="136"/>
        <v>1.1146070536665017E-2</v>
      </c>
      <c r="G200" s="3">
        <f t="shared" si="136"/>
        <v>1.1146070536665017E-2</v>
      </c>
      <c r="H200" s="3">
        <f t="shared" si="136"/>
        <v>1.1146070536665017E-2</v>
      </c>
      <c r="I200" s="3">
        <f t="shared" si="136"/>
        <v>1.1146070536665017E-2</v>
      </c>
      <c r="J200" s="3">
        <f t="shared" si="136"/>
        <v>1.1146070536665017E-2</v>
      </c>
      <c r="K200" s="3">
        <f t="shared" si="136"/>
        <v>1.1146070536665017E-2</v>
      </c>
      <c r="L200" s="3">
        <f t="shared" si="136"/>
        <v>1.1146070536665017E-2</v>
      </c>
      <c r="M200" s="3">
        <f t="shared" si="136"/>
        <v>1.1146070536665017E-2</v>
      </c>
      <c r="N200" s="3">
        <f t="shared" si="136"/>
        <v>1.1146070536665017E-2</v>
      </c>
      <c r="O200" s="3">
        <f t="shared" si="136"/>
        <v>1.1146070536665017E-2</v>
      </c>
      <c r="P200" s="3">
        <f t="shared" si="136"/>
        <v>1.1146070536665017E-2</v>
      </c>
      <c r="Q200" s="3">
        <f t="shared" si="136"/>
        <v>1.1146070536665017E-2</v>
      </c>
      <c r="R200" s="3">
        <f t="shared" si="136"/>
        <v>1.1146070536665017E-2</v>
      </c>
      <c r="S200" s="3">
        <f t="shared" si="136"/>
        <v>1.1146070536665017E-2</v>
      </c>
      <c r="T200" s="3">
        <f t="shared" si="136"/>
        <v>1.1146070536665017E-2</v>
      </c>
      <c r="U200" s="3">
        <f t="shared" si="136"/>
        <v>1.1146070536665012E-2</v>
      </c>
      <c r="V200" s="3">
        <f t="shared" si="136"/>
        <v>1.1146070536664972E-2</v>
      </c>
      <c r="W200" s="3">
        <f t="shared" si="136"/>
        <v>1.1146070536664561E-2</v>
      </c>
      <c r="X200" s="3">
        <f t="shared" si="136"/>
        <v>1.1146070536660467E-2</v>
      </c>
      <c r="Y200" s="3">
        <f t="shared" si="136"/>
        <v>1.1146070536619514E-2</v>
      </c>
      <c r="Z200" s="3">
        <f t="shared" si="136"/>
        <v>1.1146070536209992E-2</v>
      </c>
      <c r="AA200" s="3">
        <f t="shared" si="136"/>
        <v>1.1146070532114765E-2</v>
      </c>
      <c r="AB200" s="3">
        <f t="shared" si="136"/>
        <v>1.1146070491162487E-2</v>
      </c>
      <c r="AC200" s="3">
        <f t="shared" si="136"/>
        <v>1.1146070081639713E-2</v>
      </c>
      <c r="AD200" s="3">
        <f t="shared" si="136"/>
        <v>1.1146065986412802E-2</v>
      </c>
      <c r="AE200" s="3">
        <f t="shared" si="136"/>
        <v>1.1146025034226462E-2</v>
      </c>
      <c r="AF200" s="3">
        <f t="shared" si="136"/>
        <v>1.1145615520638499E-2</v>
      </c>
      <c r="AG200" s="3"/>
      <c r="AH200" s="3"/>
    </row>
    <row r="201" spans="1:34" x14ac:dyDescent="0.25">
      <c r="B201" s="3">
        <f t="shared" ref="B201:AF201" si="137">$C48*EXP(-B$168/$A48/EXP(-$C$126))</f>
        <v>2.58377406244087E-2</v>
      </c>
      <c r="C201" s="3">
        <f t="shared" si="137"/>
        <v>2.58377406244087E-2</v>
      </c>
      <c r="D201" s="3">
        <f t="shared" si="137"/>
        <v>2.58377406244087E-2</v>
      </c>
      <c r="E201" s="3">
        <f t="shared" si="137"/>
        <v>2.58377406244087E-2</v>
      </c>
      <c r="F201" s="3">
        <f t="shared" si="137"/>
        <v>2.58377406244087E-2</v>
      </c>
      <c r="G201" s="3">
        <f t="shared" si="137"/>
        <v>2.58377406244087E-2</v>
      </c>
      <c r="H201" s="3">
        <f t="shared" si="137"/>
        <v>2.58377406244087E-2</v>
      </c>
      <c r="I201" s="3">
        <f t="shared" si="137"/>
        <v>2.58377406244087E-2</v>
      </c>
      <c r="J201" s="3">
        <f t="shared" si="137"/>
        <v>2.58377406244087E-2</v>
      </c>
      <c r="K201" s="3">
        <f t="shared" si="137"/>
        <v>2.58377406244087E-2</v>
      </c>
      <c r="L201" s="3">
        <f t="shared" si="137"/>
        <v>2.58377406244087E-2</v>
      </c>
      <c r="M201" s="3">
        <f t="shared" si="137"/>
        <v>2.58377406244087E-2</v>
      </c>
      <c r="N201" s="3">
        <f t="shared" si="137"/>
        <v>2.58377406244087E-2</v>
      </c>
      <c r="O201" s="3">
        <f t="shared" si="137"/>
        <v>2.58377406244087E-2</v>
      </c>
      <c r="P201" s="3">
        <f t="shared" si="137"/>
        <v>2.58377406244087E-2</v>
      </c>
      <c r="Q201" s="3">
        <f t="shared" si="137"/>
        <v>2.58377406244087E-2</v>
      </c>
      <c r="R201" s="3">
        <f t="shared" si="137"/>
        <v>2.58377406244087E-2</v>
      </c>
      <c r="S201" s="3">
        <f t="shared" si="137"/>
        <v>2.58377406244087E-2</v>
      </c>
      <c r="T201" s="3">
        <f t="shared" si="137"/>
        <v>2.58377406244087E-2</v>
      </c>
      <c r="U201" s="3">
        <f t="shared" si="137"/>
        <v>2.58377406244087E-2</v>
      </c>
      <c r="V201" s="3">
        <f t="shared" si="137"/>
        <v>2.5837740624408689E-2</v>
      </c>
      <c r="W201" s="3">
        <f t="shared" si="137"/>
        <v>2.5837740624408592E-2</v>
      </c>
      <c r="X201" s="3">
        <f t="shared" si="137"/>
        <v>2.5837740624407645E-2</v>
      </c>
      <c r="Y201" s="3">
        <f t="shared" si="137"/>
        <v>2.5837740624398153E-2</v>
      </c>
      <c r="Z201" s="3">
        <f t="shared" si="137"/>
        <v>2.5837740624303218E-2</v>
      </c>
      <c r="AA201" s="3">
        <f t="shared" si="137"/>
        <v>2.5837740623353905E-2</v>
      </c>
      <c r="AB201" s="3">
        <f t="shared" si="137"/>
        <v>2.5837740613860745E-2</v>
      </c>
      <c r="AC201" s="3">
        <f t="shared" si="137"/>
        <v>2.5837740518929141E-2</v>
      </c>
      <c r="AD201" s="3">
        <f t="shared" si="137"/>
        <v>2.5837739569613133E-2</v>
      </c>
      <c r="AE201" s="3">
        <f t="shared" si="137"/>
        <v>2.583773007645495E-2</v>
      </c>
      <c r="AF201" s="3">
        <f t="shared" si="137"/>
        <v>2.5837635145064989E-2</v>
      </c>
      <c r="AG201" s="3"/>
      <c r="AH201" s="3"/>
    </row>
    <row r="202" spans="1:34" x14ac:dyDescent="0.25">
      <c r="A202" s="79">
        <f>AVERAGE(B202:AF202)</f>
        <v>1.4830431512307852E-2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2.152306357200244E-2</v>
      </c>
      <c r="M202" s="80">
        <f t="shared" si="138"/>
        <v>2.2997800028227718E-2</v>
      </c>
      <c r="N202" s="80">
        <f t="shared" si="138"/>
        <v>2.4172549629254334E-2</v>
      </c>
      <c r="O202" s="80">
        <f t="shared" si="138"/>
        <v>2.6082437332232214E-2</v>
      </c>
      <c r="P202" s="80">
        <f t="shared" si="138"/>
        <v>2.8259229435505042E-2</v>
      </c>
      <c r="Q202" s="80">
        <f t="shared" si="138"/>
        <v>3.0092821154341427E-2</v>
      </c>
      <c r="R202" s="80">
        <f t="shared" si="138"/>
        <v>3.0020326359344339E-2</v>
      </c>
      <c r="S202" s="80">
        <f t="shared" si="138"/>
        <v>2.8918857771568402E-2</v>
      </c>
      <c r="T202" s="80">
        <f t="shared" si="138"/>
        <v>2.3251674200495186E-2</v>
      </c>
      <c r="U202" s="80">
        <f t="shared" si="138"/>
        <v>4.0575677609309226E-2</v>
      </c>
      <c r="V202" s="80">
        <f t="shared" si="138"/>
        <v>0.18384893978926312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6046.0223477735344</v>
      </c>
      <c r="C203" s="21">
        <f t="shared" ref="C203:AF203" si="139">(C170-C169)^2</f>
        <v>6159.4234293562322</v>
      </c>
      <c r="D203" s="21">
        <f t="shared" si="139"/>
        <v>6153.745316498439</v>
      </c>
      <c r="E203" s="21">
        <f t="shared" si="139"/>
        <v>6153.1280109916679</v>
      </c>
      <c r="F203" s="21">
        <f t="shared" si="139"/>
        <v>6161.5385871496192</v>
      </c>
      <c r="G203" s="21">
        <f t="shared" si="139"/>
        <v>6249.8535510722259</v>
      </c>
      <c r="H203" s="21">
        <f t="shared" si="139"/>
        <v>7130.8708432084031</v>
      </c>
      <c r="I203" s="21">
        <f t="shared" si="139"/>
        <v>14705.080317354565</v>
      </c>
      <c r="J203" s="21">
        <f t="shared" si="139"/>
        <v>31338.918847104527</v>
      </c>
      <c r="K203" s="21">
        <f t="shared" si="139"/>
        <v>23370.077705776155</v>
      </c>
      <c r="L203" s="21">
        <f t="shared" si="139"/>
        <v>20543.878759974723</v>
      </c>
      <c r="M203" s="21">
        <f t="shared" si="139"/>
        <v>22653.996828283573</v>
      </c>
      <c r="N203" s="21">
        <f t="shared" si="139"/>
        <v>24052.017390737394</v>
      </c>
      <c r="O203" s="21">
        <f t="shared" si="139"/>
        <v>26822.680496316934</v>
      </c>
      <c r="P203" s="21">
        <f t="shared" si="139"/>
        <v>29955.485167195548</v>
      </c>
      <c r="Q203" s="21">
        <f t="shared" si="139"/>
        <v>32133.353014603152</v>
      </c>
      <c r="R203" s="21">
        <f t="shared" si="139"/>
        <v>30082.945025621248</v>
      </c>
      <c r="S203" s="21">
        <f t="shared" si="139"/>
        <v>26246.581034481962</v>
      </c>
      <c r="T203" s="21">
        <f t="shared" si="139"/>
        <v>15467.606018861854</v>
      </c>
      <c r="U203" s="21">
        <f t="shared" si="139"/>
        <v>37827.611660932911</v>
      </c>
      <c r="V203" s="21">
        <f t="shared" si="139"/>
        <v>542398.86068462243</v>
      </c>
      <c r="W203" s="21">
        <f t="shared" si="139"/>
        <v>1270158.6515049597</v>
      </c>
      <c r="X203" s="21">
        <f t="shared" si="139"/>
        <v>1016308.5846753755</v>
      </c>
      <c r="Y203" s="21">
        <f t="shared" si="139"/>
        <v>476422.39377939299</v>
      </c>
      <c r="Z203" s="21">
        <f t="shared" si="139"/>
        <v>166872.80582331159</v>
      </c>
      <c r="AA203" s="21">
        <f t="shared" si="139"/>
        <v>44467.75708443288</v>
      </c>
      <c r="AB203" s="21">
        <f t="shared" si="139"/>
        <v>11095.61292334236</v>
      </c>
      <c r="AC203" s="21">
        <f t="shared" si="139"/>
        <v>52.846427972057491</v>
      </c>
      <c r="AD203" s="21">
        <f t="shared" si="139"/>
        <v>2039.2679671286035</v>
      </c>
      <c r="AE203" s="21">
        <f t="shared" si="139"/>
        <v>6532.0438966415331</v>
      </c>
      <c r="AF203" s="21">
        <f t="shared" si="139"/>
        <v>13115.717085900018</v>
      </c>
      <c r="AG203" s="3"/>
      <c r="AH203" s="3"/>
    </row>
    <row r="204" spans="1:34" x14ac:dyDescent="0.25">
      <c r="A204" s="71">
        <f>SUM(B204:AF204)</f>
        <v>808185.01608163165</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20543.878759974723</v>
      </c>
      <c r="M204" s="60">
        <f t="shared" ref="M204" si="150">IF($A$64&lt;=M168,IF($B$64&gt;=M168,ABS(M203),0),0)</f>
        <v>22653.996828283573</v>
      </c>
      <c r="N204" s="60">
        <f t="shared" ref="N204" si="151">IF($A$64&lt;=N168,IF($B$64&gt;=N168,ABS(N203),0),0)</f>
        <v>24052.017390737394</v>
      </c>
      <c r="O204" s="60">
        <f t="shared" ref="O204" si="152">IF($A$64&lt;=O168,IF($B$64&gt;=O168,ABS(O203),0),0)</f>
        <v>26822.680496316934</v>
      </c>
      <c r="P204" s="60">
        <f t="shared" ref="P204" si="153">IF($A$64&lt;=P168,IF($B$64&gt;=P168,ABS(P203),0),0)</f>
        <v>29955.485167195548</v>
      </c>
      <c r="Q204" s="60">
        <f t="shared" ref="Q204" si="154">IF($A$64&lt;=Q168,IF($B$64&gt;=Q168,ABS(Q203),0),0)</f>
        <v>32133.353014603152</v>
      </c>
      <c r="R204" s="60">
        <f t="shared" ref="R204" si="155">IF($A$64&lt;=R168,IF($B$64&gt;=R168,ABS(R203),0),0)</f>
        <v>30082.945025621248</v>
      </c>
      <c r="S204" s="60">
        <f t="shared" ref="S204" si="156">IF($A$64&lt;=S168,IF($B$64&gt;=S168,ABS(S203),0),0)</f>
        <v>26246.581034481962</v>
      </c>
      <c r="T204" s="60">
        <f t="shared" ref="T204" si="157">IF($A$64&lt;=T168,IF($B$64&gt;=T168,ABS(T203),0),0)</f>
        <v>15467.606018861854</v>
      </c>
      <c r="U204" s="60">
        <f t="shared" ref="U204" si="158">IF($A$64&lt;=U168,IF($B$64&gt;=U168,ABS(U203),0),0)</f>
        <v>37827.611660932911</v>
      </c>
      <c r="V204" s="60">
        <f t="shared" ref="V204" si="159">IF($A$64&lt;=V168,IF($B$64&gt;=V168,ABS(V203),0),0)</f>
        <v>542398.86068462243</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6992.3964680806075</v>
      </c>
      <c r="C208" s="26">
        <f>INDEX(Comparison!$AM$3:$AS$33,G$14,$D$122)</f>
        <v>6992.459052459466</v>
      </c>
      <c r="D208" s="26">
        <f>INDEX(Comparison!$AM$3:$AS$33,H$14,$D$122)</f>
        <v>6992.3628853177524</v>
      </c>
      <c r="E208" s="26">
        <f>INDEX(Comparison!$AM$3:$AS$33,I$14,$D$122)</f>
        <v>6991.7590094248426</v>
      </c>
      <c r="F208" s="26">
        <f>INDEX(Comparison!$AM$3:$AS$33,J$14,$D$122)</f>
        <v>6985.9675385002447</v>
      </c>
      <c r="G208" s="26">
        <f>INDEX(Comparison!$AM$3:$AS$33,K$14,$D$122)</f>
        <v>6936.0316435873456</v>
      </c>
      <c r="H208" s="26">
        <f>INDEX(Comparison!$AM$3:$AS$33,L$14,$D$122)</f>
        <v>6767.3497232459458</v>
      </c>
      <c r="I208" s="26">
        <f>INDEX(Comparison!$AM$3:$AS$33,M$14,$D$122)</f>
        <v>6644.5309370841214</v>
      </c>
      <c r="J208" s="26">
        <f>INDEX(Comparison!$AM$3:$AS$33,N$14,$D$122)</f>
        <v>6532.7504586905397</v>
      </c>
      <c r="K208" s="26">
        <f>INDEX(Comparison!$AM$3:$AS$33,O$14,$D$122)</f>
        <v>6406.2589516029093</v>
      </c>
      <c r="L208" s="26">
        <f>INDEX(Comparison!$AM$3:$AS$33,P$14,$D$122)</f>
        <v>6273.617616065887</v>
      </c>
      <c r="M208" s="26">
        <f>INDEX(Comparison!$AM$3:$AS$33,Q$14,$D$122)</f>
        <v>6123.1895749079549</v>
      </c>
      <c r="N208" s="26">
        <f>INDEX(Comparison!$AM$3:$AS$33,R$14,$D$122)</f>
        <v>5959.0875608576071</v>
      </c>
      <c r="O208" s="26">
        <f>INDEX(Comparison!$AM$3:$AS$33,S$14,$D$122)</f>
        <v>5781.2083401997561</v>
      </c>
      <c r="P208" s="26">
        <f>INDEX(Comparison!$AM$3:$AS$33,T$14,$D$122)</f>
        <v>5618.3452185734377</v>
      </c>
      <c r="Q208" s="26">
        <f>INDEX(Comparison!$AM$3:$AS$33,U$14,$D$122)</f>
        <v>5440.9922001853329</v>
      </c>
      <c r="R208" s="26">
        <f>INDEX(Comparison!$AM$3:$AS$33,V$14,$D$122)</f>
        <v>5221.4874412485688</v>
      </c>
      <c r="S208" s="26">
        <f>INDEX(Comparison!$AM$3:$AS$33,W$14,$D$122)</f>
        <v>4926.1795387850607</v>
      </c>
      <c r="T208" s="26">
        <f>INDEX(Comparison!$AM$3:$AS$33,X$14,$D$122)</f>
        <v>4442.9821588725517</v>
      </c>
      <c r="U208" s="26">
        <f>INDEX(Comparison!$AM$3:$AS$33,Y$14,$D$122)</f>
        <v>3752.7744100380223</v>
      </c>
      <c r="V208" s="26">
        <f>INDEX(Comparison!$AM$3:$AS$33,Z$14,$D$122)</f>
        <v>3130.6377978974938</v>
      </c>
      <c r="W208" s="26">
        <f>INDEX(Comparison!$AM$3:$AS$33,AA$14,$D$122)</f>
        <v>2685.7977977575347</v>
      </c>
      <c r="X208" s="26">
        <f>INDEX(Comparison!$AM$3:$AS$33,AB$14,$D$122)</f>
        <v>2368.346654493816</v>
      </c>
      <c r="Y208" s="26">
        <f>INDEX(Comparison!$AM$3:$AS$33,AC$14,$D$122)</f>
        <v>2132.4244867059297</v>
      </c>
      <c r="Z208" s="26">
        <f>INDEX(Comparison!$AM$3:$AS$33,AD$14,$D$122)</f>
        <v>1927.1689592855932</v>
      </c>
      <c r="AA208" s="26">
        <f>INDEX(Comparison!$AM$3:$AS$33,AE$14,$D$122)</f>
        <v>1740.579877269425</v>
      </c>
      <c r="AB208" s="26">
        <f>INDEX(Comparison!$AM$3:$AS$33,AF$14,$D$122)</f>
        <v>1552.3921804639763</v>
      </c>
      <c r="AC208" s="26">
        <f>INDEX(Comparison!$AM$3:$AS$33,AG$14,$D$122)</f>
        <v>1355.3669215252155</v>
      </c>
      <c r="AD208" s="26">
        <f>INDEX(Comparison!$AM$3:$AS$33,AH$14,$D$122)</f>
        <v>1134.9160288600715</v>
      </c>
      <c r="AE208" s="26">
        <f>INDEX(Comparison!$AM$3:$AS$33,AI$14,$D$122)</f>
        <v>892.49692017162795</v>
      </c>
      <c r="AF208" s="26">
        <f>INDEX(Comparison!$AM$3:$AS$33,AJ$14,$D$122)</f>
        <v>651.2901745739025</v>
      </c>
      <c r="AG208" s="26"/>
      <c r="AH208" s="26"/>
    </row>
    <row r="209" spans="1:34" x14ac:dyDescent="0.25">
      <c r="A209" s="70" t="s">
        <v>22</v>
      </c>
      <c r="B209" s="27">
        <f>($C$17+SUM(B210:B240))*$B$51</f>
        <v>6953.5024216133752</v>
      </c>
      <c r="C209" s="27">
        <f t="shared" ref="C209:AF209" si="170">($C$17+SUM(C210:C240))*$B$51</f>
        <v>6953.444533427094</v>
      </c>
      <c r="D209" s="27">
        <f t="shared" si="170"/>
        <v>6952.8674715553188</v>
      </c>
      <c r="E209" s="27">
        <f t="shared" si="170"/>
        <v>6947.274081540183</v>
      </c>
      <c r="F209" s="27">
        <f t="shared" si="170"/>
        <v>6905.1342314591266</v>
      </c>
      <c r="G209" s="27">
        <f t="shared" si="170"/>
        <v>6780.0412013990035</v>
      </c>
      <c r="H209" s="27">
        <f t="shared" si="170"/>
        <v>6631.1200266780615</v>
      </c>
      <c r="I209" s="27">
        <f t="shared" si="170"/>
        <v>6522.7797648738115</v>
      </c>
      <c r="J209" s="27">
        <f t="shared" si="170"/>
        <v>6401.3626837342954</v>
      </c>
      <c r="K209" s="27">
        <f t="shared" si="170"/>
        <v>6268.1271393813622</v>
      </c>
      <c r="L209" s="27">
        <f t="shared" si="170"/>
        <v>6123.6711036918623</v>
      </c>
      <c r="M209" s="27">
        <f t="shared" si="170"/>
        <v>5960.2196633062194</v>
      </c>
      <c r="N209" s="27">
        <f t="shared" si="170"/>
        <v>5786.6197017452796</v>
      </c>
      <c r="O209" s="27">
        <f t="shared" si="170"/>
        <v>5612.1917779605446</v>
      </c>
      <c r="P209" s="27">
        <f t="shared" si="170"/>
        <v>5450.1424411043381</v>
      </c>
      <c r="Q209" s="27">
        <f t="shared" si="170"/>
        <v>5236.4895719574843</v>
      </c>
      <c r="R209" s="27">
        <f t="shared" si="170"/>
        <v>5001.211186942277</v>
      </c>
      <c r="S209" s="27">
        <f t="shared" si="170"/>
        <v>4755.9614143997869</v>
      </c>
      <c r="T209" s="27">
        <f t="shared" si="170"/>
        <v>4495.4478046887552</v>
      </c>
      <c r="U209" s="27">
        <f t="shared" si="170"/>
        <v>3938.708913223008</v>
      </c>
      <c r="V209" s="27">
        <f t="shared" si="170"/>
        <v>3298.9500614518256</v>
      </c>
      <c r="W209" s="27">
        <f t="shared" si="170"/>
        <v>2775.9554362948029</v>
      </c>
      <c r="X209" s="27">
        <f t="shared" si="170"/>
        <v>2384.4821343725539</v>
      </c>
      <c r="Y209" s="27">
        <f t="shared" si="170"/>
        <v>2113.1624010975179</v>
      </c>
      <c r="Z209" s="27">
        <f t="shared" si="170"/>
        <v>1847.1003755916256</v>
      </c>
      <c r="AA209" s="27">
        <f t="shared" si="170"/>
        <v>1631.076450092874</v>
      </c>
      <c r="AB209" s="27">
        <f t="shared" si="170"/>
        <v>1419.8940644165534</v>
      </c>
      <c r="AC209" s="27">
        <f t="shared" si="170"/>
        <v>1195.1188993953556</v>
      </c>
      <c r="AD209" s="27">
        <f t="shared" si="170"/>
        <v>947.50967899413513</v>
      </c>
      <c r="AE209" s="27">
        <f t="shared" si="170"/>
        <v>697.27911064132377</v>
      </c>
      <c r="AF209" s="27">
        <f t="shared" si="170"/>
        <v>483.67615060291263</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8.4012398985800398E-3</v>
      </c>
      <c r="C212" s="3">
        <f t="shared" si="173"/>
        <v>8.395015540754525E-3</v>
      </c>
      <c r="D212" s="3">
        <f t="shared" si="173"/>
        <v>8.333025034137416E-3</v>
      </c>
      <c r="E212" s="3">
        <f t="shared" si="173"/>
        <v>7.7377466795214506E-3</v>
      </c>
      <c r="F212" s="3">
        <f t="shared" si="173"/>
        <v>3.687505848908272E-3</v>
      </c>
      <c r="G212" s="3">
        <f t="shared" si="173"/>
        <v>2.2279981227484348E-6</v>
      </c>
      <c r="H212" s="3">
        <f t="shared" si="173"/>
        <v>1.4445608745130143E-38</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2.9206888040709131E-2</v>
      </c>
      <c r="C213" s="3">
        <f t="shared" si="174"/>
        <v>2.9204935368007785E-2</v>
      </c>
      <c r="D213" s="3">
        <f t="shared" si="174"/>
        <v>2.9185415819750642E-2</v>
      </c>
      <c r="E213" s="3">
        <f t="shared" si="174"/>
        <v>2.8990936440116088E-2</v>
      </c>
      <c r="F213" s="3">
        <f t="shared" si="174"/>
        <v>2.7116012694452629E-2</v>
      </c>
      <c r="G213" s="3">
        <f t="shared" si="174"/>
        <v>1.3895099986826169E-2</v>
      </c>
      <c r="H213" s="3">
        <f t="shared" si="174"/>
        <v>1.7346831224459522E-5</v>
      </c>
      <c r="I213" s="3">
        <f t="shared" si="174"/>
        <v>1.5951624623998132E-34</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1.5151319205932889E-2</v>
      </c>
      <c r="C214" s="3">
        <f t="shared" si="175"/>
        <v>1.5151227825246413E-2</v>
      </c>
      <c r="D214" s="3">
        <f t="shared" si="175"/>
        <v>1.5150314048693559E-2</v>
      </c>
      <c r="E214" s="3">
        <f t="shared" si="175"/>
        <v>1.5141179313679101E-2</v>
      </c>
      <c r="F214" s="3">
        <f t="shared" si="175"/>
        <v>1.5050134339757075E-2</v>
      </c>
      <c r="G214" s="3">
        <f t="shared" si="175"/>
        <v>1.4169258202212041E-2</v>
      </c>
      <c r="H214" s="3">
        <f t="shared" si="175"/>
        <v>7.7520130121165641E-3</v>
      </c>
      <c r="I214" s="3">
        <f t="shared" si="175"/>
        <v>1.862465683173943E-5</v>
      </c>
      <c r="J214" s="3">
        <f t="shared" si="175"/>
        <v>1.1935102228062733E-31</v>
      </c>
      <c r="K214" s="3">
        <f t="shared" si="175"/>
        <v>1.393813868568637E-293</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1.7014114292763248E-2</v>
      </c>
      <c r="C215" s="3">
        <f t="shared" si="176"/>
        <v>1.7014105035958644E-2</v>
      </c>
      <c r="D215" s="3">
        <f t="shared" si="176"/>
        <v>1.701401246818959E-2</v>
      </c>
      <c r="E215" s="3">
        <f t="shared" si="176"/>
        <v>1.701308681819818E-2</v>
      </c>
      <c r="F215" s="3">
        <f t="shared" si="176"/>
        <v>1.7003833087639291E-2</v>
      </c>
      <c r="G215" s="3">
        <f t="shared" si="176"/>
        <v>1.6911572160898058E-2</v>
      </c>
      <c r="H215" s="3">
        <f t="shared" si="176"/>
        <v>1.6016052419069799E-2</v>
      </c>
      <c r="I215" s="3">
        <f t="shared" si="176"/>
        <v>9.2954510108496594E-3</v>
      </c>
      <c r="J215" s="3">
        <f t="shared" si="176"/>
        <v>4.0310697675307932E-5</v>
      </c>
      <c r="K215" s="3">
        <f t="shared" si="176"/>
        <v>9.4824115070817807E-29</v>
      </c>
      <c r="L215" s="3">
        <f t="shared" si="176"/>
        <v>4.9193036996183987E-265</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1.9388963023605935E-2</v>
      </c>
      <c r="C216" s="3">
        <f t="shared" si="177"/>
        <v>1.9388962072009009E-2</v>
      </c>
      <c r="D216" s="3">
        <f t="shared" si="177"/>
        <v>1.9388952556042293E-2</v>
      </c>
      <c r="E216" s="3">
        <f t="shared" si="177"/>
        <v>1.9388857396631997E-2</v>
      </c>
      <c r="F216" s="3">
        <f t="shared" si="177"/>
        <v>1.9387905828215587E-2</v>
      </c>
      <c r="G216" s="3">
        <f t="shared" si="177"/>
        <v>1.937839271223803E-2</v>
      </c>
      <c r="H216" s="3">
        <f t="shared" si="177"/>
        <v>1.9283517905364526E-2</v>
      </c>
      <c r="I216" s="3">
        <f t="shared" si="177"/>
        <v>1.8359945654935501E-2</v>
      </c>
      <c r="J216" s="3">
        <f t="shared" si="177"/>
        <v>1.1238870075232422E-2</v>
      </c>
      <c r="K216" s="3">
        <f t="shared" si="177"/>
        <v>8.3030039340679839E-5</v>
      </c>
      <c r="L216" s="3">
        <f t="shared" si="177"/>
        <v>4.0212509267523191E-26</v>
      </c>
      <c r="M216" s="3">
        <f t="shared" si="177"/>
        <v>2.8550944316315371E-239</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2.0066914699626674E-2</v>
      </c>
      <c r="C217" s="3">
        <f t="shared" si="178"/>
        <v>2.0066914610783176E-2</v>
      </c>
      <c r="D217" s="3">
        <f t="shared" si="178"/>
        <v>2.0066913722348208E-2</v>
      </c>
      <c r="E217" s="3">
        <f t="shared" si="178"/>
        <v>2.0066904838000686E-2</v>
      </c>
      <c r="F217" s="3">
        <f t="shared" si="178"/>
        <v>2.0066815994741825E-2</v>
      </c>
      <c r="G217" s="3">
        <f t="shared" si="178"/>
        <v>2.0065927583786662E-2</v>
      </c>
      <c r="H217" s="3">
        <f t="shared" si="178"/>
        <v>2.0057045637224217E-2</v>
      </c>
      <c r="I217" s="3">
        <f t="shared" si="178"/>
        <v>1.9968442116614499E-2</v>
      </c>
      <c r="J217" s="3">
        <f t="shared" si="178"/>
        <v>1.9103651817446634E-2</v>
      </c>
      <c r="K217" s="3">
        <f t="shared" si="178"/>
        <v>1.2269828647923359E-2</v>
      </c>
      <c r="L217" s="3">
        <f t="shared" si="178"/>
        <v>1.4657487549371719E-4</v>
      </c>
      <c r="M217" s="3">
        <f t="shared" si="178"/>
        <v>8.675008247913485E-24</v>
      </c>
      <c r="N217" s="3">
        <f t="shared" si="178"/>
        <v>4.5748148337429457E-216</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2.3697702835131482E-2</v>
      </c>
      <c r="C218" s="3">
        <f t="shared" si="179"/>
        <v>2.3697702825666977E-2</v>
      </c>
      <c r="D218" s="3">
        <f t="shared" si="179"/>
        <v>2.3697702731021932E-2</v>
      </c>
      <c r="E218" s="3">
        <f t="shared" si="179"/>
        <v>2.3697701784571482E-2</v>
      </c>
      <c r="F218" s="3">
        <f t="shared" si="179"/>
        <v>2.3697692320069103E-2</v>
      </c>
      <c r="G218" s="3">
        <f t="shared" si="179"/>
        <v>2.369759767525317E-2</v>
      </c>
      <c r="H218" s="3">
        <f t="shared" si="179"/>
        <v>2.3696651247883397E-2</v>
      </c>
      <c r="I218" s="3">
        <f t="shared" si="179"/>
        <v>2.368718905283354E-2</v>
      </c>
      <c r="J218" s="3">
        <f t="shared" si="179"/>
        <v>2.3592774660279255E-2</v>
      </c>
      <c r="K218" s="3">
        <f t="shared" si="179"/>
        <v>2.2669083064822789E-2</v>
      </c>
      <c r="L218" s="3">
        <f t="shared" si="179"/>
        <v>1.5204890445940644E-2</v>
      </c>
      <c r="M218" s="3">
        <f t="shared" si="179"/>
        <v>2.8020553525842401E-4</v>
      </c>
      <c r="N218" s="3">
        <f t="shared" si="179"/>
        <v>1.2659334023315222E-21</v>
      </c>
      <c r="O218" s="3">
        <f t="shared" si="179"/>
        <v>4.4848957050763853E-195</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2.5320350028117299E-2</v>
      </c>
      <c r="C219" s="3">
        <f t="shared" si="180"/>
        <v>2.532035002720506E-2</v>
      </c>
      <c r="D219" s="3">
        <f t="shared" si="180"/>
        <v>2.5320350018082687E-2</v>
      </c>
      <c r="E219" s="3">
        <f t="shared" si="180"/>
        <v>2.5320349926858932E-2</v>
      </c>
      <c r="F219" s="3">
        <f t="shared" si="180"/>
        <v>2.5320349014621418E-2</v>
      </c>
      <c r="G219" s="3">
        <f t="shared" si="180"/>
        <v>2.5320339892248078E-2</v>
      </c>
      <c r="H219" s="3">
        <f t="shared" si="180"/>
        <v>2.5320248668695446E-2</v>
      </c>
      <c r="I219" s="3">
        <f t="shared" si="180"/>
        <v>2.5319336451245129E-2</v>
      </c>
      <c r="J219" s="3">
        <f t="shared" si="180"/>
        <v>2.531021608410141E-2</v>
      </c>
      <c r="K219" s="3">
        <f t="shared" si="180"/>
        <v>2.5219192907915629E-2</v>
      </c>
      <c r="L219" s="3">
        <f t="shared" si="180"/>
        <v>2.4326772366693405E-2</v>
      </c>
      <c r="M219" s="3">
        <f t="shared" si="180"/>
        <v>1.6967488661404295E-2</v>
      </c>
      <c r="N219" s="3">
        <f t="shared" si="180"/>
        <v>4.6232601396862177E-4</v>
      </c>
      <c r="O219" s="3">
        <f t="shared" si="180"/>
        <v>1.0429319271316631E-19</v>
      </c>
      <c r="P219" s="3">
        <f t="shared" si="180"/>
        <v>3.5590351805984346E-176</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2.7427493099139732E-2</v>
      </c>
      <c r="C220" s="3">
        <f t="shared" si="181"/>
        <v>2.7427493099050595E-2</v>
      </c>
      <c r="D220" s="3">
        <f t="shared" si="181"/>
        <v>2.7427493098159197E-2</v>
      </c>
      <c r="E220" s="3">
        <f t="shared" si="181"/>
        <v>2.742749308924523E-2</v>
      </c>
      <c r="F220" s="3">
        <f t="shared" si="181"/>
        <v>2.7427493000105579E-2</v>
      </c>
      <c r="G220" s="3">
        <f t="shared" si="181"/>
        <v>2.7427492108709067E-2</v>
      </c>
      <c r="H220" s="3">
        <f t="shared" si="181"/>
        <v>2.7427483194745562E-2</v>
      </c>
      <c r="I220" s="3">
        <f t="shared" si="181"/>
        <v>2.7427394055269838E-2</v>
      </c>
      <c r="J220" s="3">
        <f t="shared" si="181"/>
        <v>2.7426502676446137E-2</v>
      </c>
      <c r="K220" s="3">
        <f t="shared" si="181"/>
        <v>2.7417590481372937E-2</v>
      </c>
      <c r="L220" s="3">
        <f t="shared" si="181"/>
        <v>2.7328627655607271E-2</v>
      </c>
      <c r="M220" s="3">
        <f t="shared" si="181"/>
        <v>2.6454722198232014E-2</v>
      </c>
      <c r="N220" s="3">
        <f t="shared" si="181"/>
        <v>1.9114239500627479E-2</v>
      </c>
      <c r="O220" s="3">
        <f t="shared" si="181"/>
        <v>7.4113138319560113E-4</v>
      </c>
      <c r="P220" s="3">
        <f t="shared" si="181"/>
        <v>5.6921588105652792E-18</v>
      </c>
      <c r="Q220" s="3">
        <f t="shared" si="181"/>
        <v>4.0653229649173032E-159</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2.1152524885872388E-2</v>
      </c>
      <c r="C221" s="3">
        <f t="shared" si="182"/>
        <v>2.1152524885866185E-2</v>
      </c>
      <c r="D221" s="3">
        <f t="shared" si="182"/>
        <v>2.1152524885804172E-2</v>
      </c>
      <c r="E221" s="3">
        <f t="shared" si="182"/>
        <v>2.1152524885184022E-2</v>
      </c>
      <c r="F221" s="3">
        <f t="shared" si="182"/>
        <v>2.115252487898257E-2</v>
      </c>
      <c r="G221" s="3">
        <f t="shared" si="182"/>
        <v>2.1152524816968016E-2</v>
      </c>
      <c r="H221" s="3">
        <f t="shared" si="182"/>
        <v>2.1152524196822481E-2</v>
      </c>
      <c r="I221" s="3">
        <f t="shared" si="182"/>
        <v>2.1152517995368127E-2</v>
      </c>
      <c r="J221" s="3">
        <f t="shared" si="182"/>
        <v>2.1152455980924596E-2</v>
      </c>
      <c r="K221" s="3">
        <f t="shared" si="182"/>
        <v>2.1151835846488866E-2</v>
      </c>
      <c r="L221" s="3">
        <f t="shared" si="182"/>
        <v>2.1145635501982812E-2</v>
      </c>
      <c r="M221" s="3">
        <f t="shared" si="182"/>
        <v>2.1083731933671492E-2</v>
      </c>
      <c r="N221" s="3">
        <f t="shared" si="182"/>
        <v>2.0474576427691332E-2</v>
      </c>
      <c r="O221" s="3">
        <f t="shared" si="182"/>
        <v>1.5271768342034236E-2</v>
      </c>
      <c r="P221" s="3">
        <f t="shared" si="182"/>
        <v>8.1401675490159597E-4</v>
      </c>
      <c r="Q221" s="3">
        <f t="shared" si="182"/>
        <v>1.5068620957847827E-16</v>
      </c>
      <c r="R221" s="3">
        <f t="shared" si="182"/>
        <v>7.1199206569276588E-144</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3.1343464608076042E-2</v>
      </c>
      <c r="C222" s="3">
        <f t="shared" si="183"/>
        <v>3.134346460807521E-2</v>
      </c>
      <c r="D222" s="3">
        <f t="shared" si="183"/>
        <v>3.1343464608066925E-2</v>
      </c>
      <c r="E222" s="3">
        <f t="shared" si="183"/>
        <v>3.1343464607984026E-2</v>
      </c>
      <c r="F222" s="3">
        <f t="shared" si="183"/>
        <v>3.1343464607155085E-2</v>
      </c>
      <c r="G222" s="3">
        <f t="shared" si="183"/>
        <v>3.1343464598865646E-2</v>
      </c>
      <c r="H222" s="3">
        <f t="shared" si="183"/>
        <v>3.1343464515971281E-2</v>
      </c>
      <c r="I222" s="3">
        <f t="shared" si="183"/>
        <v>3.1343463687027652E-2</v>
      </c>
      <c r="J222" s="3">
        <f t="shared" si="183"/>
        <v>3.1343455397592555E-2</v>
      </c>
      <c r="K222" s="3">
        <f t="shared" si="183"/>
        <v>3.1343372503362159E-2</v>
      </c>
      <c r="L222" s="3">
        <f t="shared" si="183"/>
        <v>3.1342543573115826E-2</v>
      </c>
      <c r="M222" s="3">
        <f t="shared" si="183"/>
        <v>3.1334255476294773E-2</v>
      </c>
      <c r="N222" s="3">
        <f t="shared" si="183"/>
        <v>3.125149495442188E-2</v>
      </c>
      <c r="O222" s="3">
        <f t="shared" si="183"/>
        <v>3.0435817336725086E-2</v>
      </c>
      <c r="P222" s="3">
        <f t="shared" si="183"/>
        <v>2.3362896595694908E-2</v>
      </c>
      <c r="Q222" s="3">
        <f t="shared" si="183"/>
        <v>1.6593724101503294E-3</v>
      </c>
      <c r="R222" s="3">
        <f t="shared" si="183"/>
        <v>5.4214523670934634E-15</v>
      </c>
      <c r="S222" s="3">
        <f t="shared" si="183"/>
        <v>7.5133472450331484E-130</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3.4656588439424228E-2</v>
      </c>
      <c r="C223" s="3">
        <f t="shared" si="184"/>
        <v>3.4656588439424145E-2</v>
      </c>
      <c r="D223" s="3">
        <f t="shared" si="184"/>
        <v>3.4656588439423312E-2</v>
      </c>
      <c r="E223" s="3">
        <f t="shared" si="184"/>
        <v>3.4656588439415048E-2</v>
      </c>
      <c r="F223" s="3">
        <f t="shared" si="184"/>
        <v>3.4656588439332364E-2</v>
      </c>
      <c r="G223" s="3">
        <f t="shared" si="184"/>
        <v>3.4656588438505546E-2</v>
      </c>
      <c r="H223" s="3">
        <f t="shared" si="184"/>
        <v>3.4656588430237355E-2</v>
      </c>
      <c r="I223" s="3">
        <f t="shared" si="184"/>
        <v>3.4656588347555466E-2</v>
      </c>
      <c r="J223" s="3">
        <f t="shared" si="184"/>
        <v>3.4656587520736561E-2</v>
      </c>
      <c r="K223" s="3">
        <f t="shared" si="184"/>
        <v>3.4656579252548579E-2</v>
      </c>
      <c r="L223" s="3">
        <f t="shared" si="184"/>
        <v>3.4656496570777254E-2</v>
      </c>
      <c r="M223" s="3">
        <f t="shared" si="184"/>
        <v>3.465566976391312E-2</v>
      </c>
      <c r="N223" s="3">
        <f t="shared" si="184"/>
        <v>3.4647402780085268E-2</v>
      </c>
      <c r="O223" s="3">
        <f t="shared" si="184"/>
        <v>3.4564841327462174E-2</v>
      </c>
      <c r="P223" s="3">
        <f t="shared" si="184"/>
        <v>3.3749970299332618E-2</v>
      </c>
      <c r="Q223" s="3">
        <f t="shared" si="184"/>
        <v>2.6586530675709107E-2</v>
      </c>
      <c r="R223" s="3">
        <f t="shared" si="184"/>
        <v>2.4464954419308352E-3</v>
      </c>
      <c r="S223" s="3">
        <f t="shared" si="184"/>
        <v>1.0650544934345793E-13</v>
      </c>
      <c r="T223" s="3">
        <f t="shared" si="184"/>
        <v>2.604030155845629E-117</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3.7950010383388341E-2</v>
      </c>
      <c r="C224" s="3">
        <f t="shared" si="185"/>
        <v>3.7950010383388334E-2</v>
      </c>
      <c r="D224" s="3">
        <f t="shared" si="185"/>
        <v>3.7950010383388251E-2</v>
      </c>
      <c r="E224" s="3">
        <f t="shared" si="185"/>
        <v>3.7950010383387432E-2</v>
      </c>
      <c r="F224" s="3">
        <f t="shared" si="185"/>
        <v>3.7950010383379265E-2</v>
      </c>
      <c r="G224" s="3">
        <f t="shared" si="185"/>
        <v>3.7950010383297594E-2</v>
      </c>
      <c r="H224" s="3">
        <f t="shared" si="185"/>
        <v>3.7950010382480859E-2</v>
      </c>
      <c r="I224" s="3">
        <f t="shared" si="185"/>
        <v>3.7950010374313468E-2</v>
      </c>
      <c r="J224" s="3">
        <f t="shared" si="185"/>
        <v>3.7950010292639606E-2</v>
      </c>
      <c r="K224" s="3">
        <f t="shared" si="185"/>
        <v>3.7950009475901006E-2</v>
      </c>
      <c r="L224" s="3">
        <f t="shared" si="185"/>
        <v>3.7950001308515988E-2</v>
      </c>
      <c r="M224" s="3">
        <f t="shared" si="185"/>
        <v>3.794991963476247E-2</v>
      </c>
      <c r="N224" s="3">
        <f t="shared" si="185"/>
        <v>3.7949102906894724E-2</v>
      </c>
      <c r="O224" s="3">
        <f t="shared" si="185"/>
        <v>3.7940936594887974E-2</v>
      </c>
      <c r="P224" s="3">
        <f t="shared" si="185"/>
        <v>3.7859370064955732E-2</v>
      </c>
      <c r="Q224" s="3">
        <f t="shared" si="185"/>
        <v>3.7053287305876814E-2</v>
      </c>
      <c r="R224" s="3">
        <f t="shared" si="185"/>
        <v>2.9878607110648474E-2</v>
      </c>
      <c r="S224" s="3">
        <f t="shared" si="185"/>
        <v>3.4729328324323515E-3</v>
      </c>
      <c r="T224" s="3">
        <f t="shared" si="185"/>
        <v>1.5633519098991074E-12</v>
      </c>
      <c r="U224" s="3">
        <f t="shared" si="185"/>
        <v>5.3414650844499946E-106</v>
      </c>
      <c r="V224" s="3">
        <f t="shared" si="185"/>
        <v>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2.6059196805461551E-2</v>
      </c>
      <c r="C225" s="3">
        <f t="shared" si="186"/>
        <v>2.6059196805461551E-2</v>
      </c>
      <c r="D225" s="3">
        <f t="shared" si="186"/>
        <v>2.6059196805461544E-2</v>
      </c>
      <c r="E225" s="3">
        <f t="shared" si="186"/>
        <v>2.6059196805461496E-2</v>
      </c>
      <c r="F225" s="3">
        <f t="shared" si="186"/>
        <v>2.6059196805460989E-2</v>
      </c>
      <c r="G225" s="3">
        <f t="shared" si="186"/>
        <v>2.6059196805455931E-2</v>
      </c>
      <c r="H225" s="3">
        <f t="shared" si="186"/>
        <v>2.6059196805405336E-2</v>
      </c>
      <c r="I225" s="3">
        <f t="shared" si="186"/>
        <v>2.6059196804899421E-2</v>
      </c>
      <c r="J225" s="3">
        <f t="shared" si="186"/>
        <v>2.605919679984026E-2</v>
      </c>
      <c r="K225" s="3">
        <f t="shared" si="186"/>
        <v>2.6059196749248611E-2</v>
      </c>
      <c r="L225" s="3">
        <f t="shared" si="186"/>
        <v>2.6059196243332167E-2</v>
      </c>
      <c r="M225" s="3">
        <f t="shared" si="186"/>
        <v>2.6059191184168228E-2</v>
      </c>
      <c r="N225" s="3">
        <f t="shared" si="186"/>
        <v>2.6059140592582884E-2</v>
      </c>
      <c r="O225" s="3">
        <f t="shared" si="186"/>
        <v>2.6058634682131456E-2</v>
      </c>
      <c r="P225" s="3">
        <f t="shared" si="186"/>
        <v>2.6053576117779902E-2</v>
      </c>
      <c r="Q225" s="3">
        <f t="shared" si="186"/>
        <v>2.6003044451755636E-2</v>
      </c>
      <c r="R225" s="3">
        <f t="shared" si="186"/>
        <v>2.5503086967920995E-2</v>
      </c>
      <c r="S225" s="3">
        <f t="shared" si="186"/>
        <v>2.1002852709049644E-2</v>
      </c>
      <c r="T225" s="3">
        <f t="shared" si="186"/>
        <v>3.0139332870761436E-3</v>
      </c>
      <c r="U225" s="3">
        <f t="shared" si="186"/>
        <v>1.1160589083483309E-11</v>
      </c>
      <c r="V225" s="3">
        <f t="shared" si="186"/>
        <v>5.4103075243029528E-96</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8.9382665320782775E-2</v>
      </c>
      <c r="C226" s="3">
        <f t="shared" si="187"/>
        <v>8.9382665320782775E-2</v>
      </c>
      <c r="D226" s="3">
        <f t="shared" si="187"/>
        <v>8.9382665320782775E-2</v>
      </c>
      <c r="E226" s="3">
        <f t="shared" si="187"/>
        <v>8.9382665320782761E-2</v>
      </c>
      <c r="F226" s="3">
        <f t="shared" si="187"/>
        <v>8.9382665320782595E-2</v>
      </c>
      <c r="G226" s="3">
        <f t="shared" si="187"/>
        <v>8.9382665320781041E-2</v>
      </c>
      <c r="H226" s="3">
        <f t="shared" si="187"/>
        <v>8.9382665320765373E-2</v>
      </c>
      <c r="I226" s="3">
        <f t="shared" si="187"/>
        <v>8.9382665320608845E-2</v>
      </c>
      <c r="J226" s="3">
        <f t="shared" si="187"/>
        <v>8.9382665319043472E-2</v>
      </c>
      <c r="K226" s="3">
        <f t="shared" si="187"/>
        <v>8.9382665303389758E-2</v>
      </c>
      <c r="L226" s="3">
        <f t="shared" si="187"/>
        <v>8.9382665146852516E-2</v>
      </c>
      <c r="M226" s="3">
        <f t="shared" si="187"/>
        <v>8.9382663581480129E-2</v>
      </c>
      <c r="N226" s="3">
        <f t="shared" si="187"/>
        <v>8.9382647927757894E-2</v>
      </c>
      <c r="O226" s="3">
        <f t="shared" si="187"/>
        <v>8.9382491390686256E-2</v>
      </c>
      <c r="P226" s="3">
        <f t="shared" si="187"/>
        <v>8.9380926035047784E-2</v>
      </c>
      <c r="Q226" s="3">
        <f t="shared" si="187"/>
        <v>8.9365273986357935E-2</v>
      </c>
      <c r="R226" s="3">
        <f t="shared" si="187"/>
        <v>8.9208904171296829E-2</v>
      </c>
      <c r="S226" s="3">
        <f t="shared" si="187"/>
        <v>8.766017602675033E-2</v>
      </c>
      <c r="T226" s="3">
        <f t="shared" si="187"/>
        <v>7.3577271142271694E-2</v>
      </c>
      <c r="U226" s="3">
        <f t="shared" si="187"/>
        <v>1.2769005024380548E-2</v>
      </c>
      <c r="V226" s="3">
        <f t="shared" si="187"/>
        <v>3.1643963216211157E-10</v>
      </c>
      <c r="W226" s="3">
        <f t="shared" si="187"/>
        <v>2.7645789857858553E-86</v>
      </c>
      <c r="X226" s="3">
        <f t="shared" si="187"/>
        <v>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0.10190344846068049</v>
      </c>
      <c r="C227" s="3">
        <f t="shared" si="188"/>
        <v>0.10190344846068049</v>
      </c>
      <c r="D227" s="3">
        <f t="shared" si="188"/>
        <v>0.10190344846068049</v>
      </c>
      <c r="E227" s="3">
        <f t="shared" si="188"/>
        <v>0.10190344846068049</v>
      </c>
      <c r="F227" s="3">
        <f t="shared" si="188"/>
        <v>0.10190344846068046</v>
      </c>
      <c r="G227" s="3">
        <f t="shared" si="188"/>
        <v>0.10190344846068031</v>
      </c>
      <c r="H227" s="3">
        <f t="shared" si="188"/>
        <v>0.1019034484606787</v>
      </c>
      <c r="I227" s="3">
        <f t="shared" si="188"/>
        <v>0.1019034484606626</v>
      </c>
      <c r="J227" s="3">
        <f t="shared" si="188"/>
        <v>0.1019034484605016</v>
      </c>
      <c r="K227" s="3">
        <f t="shared" si="188"/>
        <v>0.1019034484588917</v>
      </c>
      <c r="L227" s="3">
        <f t="shared" si="188"/>
        <v>0.10190344844279267</v>
      </c>
      <c r="M227" s="3">
        <f t="shared" si="188"/>
        <v>0.10190344828180233</v>
      </c>
      <c r="N227" s="3">
        <f t="shared" si="188"/>
        <v>0.10190344667189885</v>
      </c>
      <c r="O227" s="3">
        <f t="shared" si="188"/>
        <v>0.10190343057286554</v>
      </c>
      <c r="P227" s="3">
        <f t="shared" si="188"/>
        <v>0.10190326958267226</v>
      </c>
      <c r="Q227" s="3">
        <f t="shared" si="188"/>
        <v>0.10190165969472811</v>
      </c>
      <c r="R227" s="3">
        <f t="shared" si="188"/>
        <v>0.10188556221405316</v>
      </c>
      <c r="S227" s="3">
        <f t="shared" si="188"/>
        <v>0.1017247272022449</v>
      </c>
      <c r="T227" s="3">
        <f t="shared" si="188"/>
        <v>0.10013027520700483</v>
      </c>
      <c r="U227" s="3">
        <f t="shared" si="188"/>
        <v>8.5497648332370654E-2</v>
      </c>
      <c r="V227" s="3">
        <f t="shared" si="188"/>
        <v>1.7613341864590442E-2</v>
      </c>
      <c r="W227" s="3">
        <f t="shared" si="188"/>
        <v>2.4250333576081315E-9</v>
      </c>
      <c r="X227" s="3">
        <f t="shared" si="188"/>
        <v>5.9357724044197102E-78</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7.6951150711457764E-2</v>
      </c>
      <c r="C228" s="3">
        <f t="shared" si="189"/>
        <v>7.6951150711457764E-2</v>
      </c>
      <c r="D228" s="3">
        <f t="shared" si="189"/>
        <v>7.6951150711457764E-2</v>
      </c>
      <c r="E228" s="3">
        <f t="shared" si="189"/>
        <v>7.6951150711457764E-2</v>
      </c>
      <c r="F228" s="3">
        <f t="shared" si="189"/>
        <v>7.6951150711457764E-2</v>
      </c>
      <c r="G228" s="3">
        <f t="shared" si="189"/>
        <v>7.695115071145775E-2</v>
      </c>
      <c r="H228" s="3">
        <f t="shared" si="189"/>
        <v>7.6951150711457639E-2</v>
      </c>
      <c r="I228" s="3">
        <f t="shared" si="189"/>
        <v>7.6951150711456542E-2</v>
      </c>
      <c r="J228" s="3">
        <f t="shared" si="189"/>
        <v>7.6951150711445579E-2</v>
      </c>
      <c r="K228" s="3">
        <f t="shared" si="189"/>
        <v>7.6951150711335917E-2</v>
      </c>
      <c r="L228" s="3">
        <f t="shared" si="189"/>
        <v>7.6951150710239252E-2</v>
      </c>
      <c r="M228" s="3">
        <f t="shared" si="189"/>
        <v>7.6951150699272636E-2</v>
      </c>
      <c r="N228" s="3">
        <f t="shared" si="189"/>
        <v>7.6951150589606457E-2</v>
      </c>
      <c r="O228" s="3">
        <f t="shared" si="189"/>
        <v>7.6951149492944793E-2</v>
      </c>
      <c r="P228" s="3">
        <f t="shared" si="189"/>
        <v>7.6951138526328913E-2</v>
      </c>
      <c r="Q228" s="3">
        <f t="shared" si="189"/>
        <v>7.6951028860256149E-2</v>
      </c>
      <c r="R228" s="3">
        <f t="shared" si="189"/>
        <v>7.694993220812435E-2</v>
      </c>
      <c r="S228" s="3">
        <f t="shared" si="189"/>
        <v>7.6938966546349088E-2</v>
      </c>
      <c r="T228" s="3">
        <f t="shared" si="189"/>
        <v>7.6829395837561723E-2</v>
      </c>
      <c r="U228" s="3">
        <f t="shared" si="189"/>
        <v>7.5742234518427487E-2</v>
      </c>
      <c r="V228" s="3">
        <f t="shared" si="189"/>
        <v>6.5681803100056668E-2</v>
      </c>
      <c r="W228" s="3">
        <f t="shared" si="189"/>
        <v>1.579481699623507E-2</v>
      </c>
      <c r="X228" s="3">
        <f t="shared" si="189"/>
        <v>1.0214330755942618E-8</v>
      </c>
      <c r="Y228" s="3">
        <f t="shared" si="189"/>
        <v>1.3066615199875785E-70</v>
      </c>
      <c r="Z228" s="3">
        <f t="shared" si="189"/>
        <v>0</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5.7921020050419839E-2</v>
      </c>
      <c r="C229" s="3">
        <f t="shared" si="190"/>
        <v>5.7921020050419839E-2</v>
      </c>
      <c r="D229" s="3">
        <f t="shared" si="190"/>
        <v>5.7921020050419839E-2</v>
      </c>
      <c r="E229" s="3">
        <f t="shared" si="190"/>
        <v>5.7921020050419839E-2</v>
      </c>
      <c r="F229" s="3">
        <f t="shared" si="190"/>
        <v>5.7921020050419839E-2</v>
      </c>
      <c r="G229" s="3">
        <f t="shared" si="190"/>
        <v>5.7921020050419839E-2</v>
      </c>
      <c r="H229" s="3">
        <f t="shared" si="190"/>
        <v>5.7921020050419832E-2</v>
      </c>
      <c r="I229" s="3">
        <f t="shared" si="190"/>
        <v>5.7921020050419755E-2</v>
      </c>
      <c r="J229" s="3">
        <f t="shared" si="190"/>
        <v>5.7921020050419006E-2</v>
      </c>
      <c r="K229" s="3">
        <f t="shared" si="190"/>
        <v>5.792102005041156E-2</v>
      </c>
      <c r="L229" s="3">
        <f t="shared" si="190"/>
        <v>5.7921020050337106E-2</v>
      </c>
      <c r="M229" s="3">
        <f t="shared" si="190"/>
        <v>5.7921020049592473E-2</v>
      </c>
      <c r="N229" s="3">
        <f t="shared" si="190"/>
        <v>5.7921020042146179E-2</v>
      </c>
      <c r="O229" s="3">
        <f t="shared" si="190"/>
        <v>5.7921019967683209E-2</v>
      </c>
      <c r="P229" s="3">
        <f t="shared" si="190"/>
        <v>5.7921019223053531E-2</v>
      </c>
      <c r="Q229" s="3">
        <f t="shared" si="190"/>
        <v>5.7921011776757299E-2</v>
      </c>
      <c r="R229" s="3">
        <f t="shared" si="190"/>
        <v>5.7920937313847648E-2</v>
      </c>
      <c r="S229" s="3">
        <f t="shared" si="190"/>
        <v>5.792019269001622E-2</v>
      </c>
      <c r="T229" s="3">
        <f t="shared" si="190"/>
        <v>5.7912746978184736E-2</v>
      </c>
      <c r="U229" s="3">
        <f t="shared" si="190"/>
        <v>5.7838342483119427E-2</v>
      </c>
      <c r="V229" s="3">
        <f t="shared" si="190"/>
        <v>5.7099534911959647E-2</v>
      </c>
      <c r="W229" s="3">
        <f t="shared" si="190"/>
        <v>5.0211118246114121E-2</v>
      </c>
      <c r="X229" s="3">
        <f t="shared" si="190"/>
        <v>1.388267386643619E-2</v>
      </c>
      <c r="Y229" s="3">
        <f t="shared" si="190"/>
        <v>3.6241436044809863E-8</v>
      </c>
      <c r="Z229" s="3">
        <f t="shared" si="190"/>
        <v>5.3275577391959749E-64</v>
      </c>
      <c r="AA229" s="3">
        <f t="shared" si="190"/>
        <v>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2.5285810572757812E-2</v>
      </c>
      <c r="C230" s="3">
        <f t="shared" si="191"/>
        <v>2.5285810572757812E-2</v>
      </c>
      <c r="D230" s="3">
        <f t="shared" si="191"/>
        <v>2.5285810572757812E-2</v>
      </c>
      <c r="E230" s="3">
        <f t="shared" si="191"/>
        <v>2.5285810572757812E-2</v>
      </c>
      <c r="F230" s="3">
        <f t="shared" si="191"/>
        <v>2.5285810572757812E-2</v>
      </c>
      <c r="G230" s="3">
        <f t="shared" si="191"/>
        <v>2.5285810572757812E-2</v>
      </c>
      <c r="H230" s="3">
        <f t="shared" si="191"/>
        <v>2.5285810572757812E-2</v>
      </c>
      <c r="I230" s="3">
        <f t="shared" si="191"/>
        <v>2.5285810572757809E-2</v>
      </c>
      <c r="J230" s="3">
        <f t="shared" si="191"/>
        <v>2.5285810572757778E-2</v>
      </c>
      <c r="K230" s="3">
        <f t="shared" si="191"/>
        <v>2.5285810572757486E-2</v>
      </c>
      <c r="L230" s="3">
        <f t="shared" si="191"/>
        <v>2.5285810572754554E-2</v>
      </c>
      <c r="M230" s="3">
        <f t="shared" si="191"/>
        <v>2.5285810572725231E-2</v>
      </c>
      <c r="N230" s="3">
        <f t="shared" si="191"/>
        <v>2.5285810572431986E-2</v>
      </c>
      <c r="O230" s="3">
        <f t="shared" si="191"/>
        <v>2.5285810569499557E-2</v>
      </c>
      <c r="P230" s="3">
        <f t="shared" si="191"/>
        <v>2.5285810540175261E-2</v>
      </c>
      <c r="Q230" s="3">
        <f t="shared" si="191"/>
        <v>2.5285810246932289E-2</v>
      </c>
      <c r="R230" s="3">
        <f t="shared" si="191"/>
        <v>2.5285807314502771E-2</v>
      </c>
      <c r="S230" s="3">
        <f t="shared" si="191"/>
        <v>2.528577799022632E-2</v>
      </c>
      <c r="T230" s="3">
        <f t="shared" si="191"/>
        <v>2.5285484749332194E-2</v>
      </c>
      <c r="U230" s="3">
        <f t="shared" si="191"/>
        <v>2.5282552527424833E-2</v>
      </c>
      <c r="V230" s="3">
        <f t="shared" si="191"/>
        <v>2.5253249003718174E-2</v>
      </c>
      <c r="W230" s="3">
        <f t="shared" si="191"/>
        <v>2.4962075306102973E-2</v>
      </c>
      <c r="X230" s="3">
        <f t="shared" si="191"/>
        <v>2.2228746307303249E-2</v>
      </c>
      <c r="Y230" s="3">
        <f t="shared" si="191"/>
        <v>6.970401145486021E-3</v>
      </c>
      <c r="Z230" s="3">
        <f t="shared" si="191"/>
        <v>6.4074585125977026E-8</v>
      </c>
      <c r="AA230" s="3">
        <f t="shared" si="191"/>
        <v>2.7603624287465768E-58</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3.2366685021283446E-2</v>
      </c>
      <c r="C231" s="3">
        <f t="shared" si="192"/>
        <v>3.2366685021283446E-2</v>
      </c>
      <c r="D231" s="3">
        <f t="shared" si="192"/>
        <v>3.2366685021283446E-2</v>
      </c>
      <c r="E231" s="3">
        <f t="shared" si="192"/>
        <v>3.2366685021283446E-2</v>
      </c>
      <c r="F231" s="3">
        <f t="shared" si="192"/>
        <v>3.2366685021283446E-2</v>
      </c>
      <c r="G231" s="3">
        <f t="shared" si="192"/>
        <v>3.2366685021283446E-2</v>
      </c>
      <c r="H231" s="3">
        <f t="shared" si="192"/>
        <v>3.2366685021283446E-2</v>
      </c>
      <c r="I231" s="3">
        <f t="shared" si="192"/>
        <v>3.2366685021283446E-2</v>
      </c>
      <c r="J231" s="3">
        <f t="shared" si="192"/>
        <v>3.2366685021283433E-2</v>
      </c>
      <c r="K231" s="3">
        <f t="shared" si="192"/>
        <v>3.2366685021283328E-2</v>
      </c>
      <c r="L231" s="3">
        <f t="shared" si="192"/>
        <v>3.2366685021282295E-2</v>
      </c>
      <c r="M231" s="3">
        <f t="shared" si="192"/>
        <v>3.2366685021271914E-2</v>
      </c>
      <c r="N231" s="3">
        <f t="shared" si="192"/>
        <v>3.2366685021168094E-2</v>
      </c>
      <c r="O231" s="3">
        <f t="shared" si="192"/>
        <v>3.2366685020129946E-2</v>
      </c>
      <c r="P231" s="3">
        <f t="shared" si="192"/>
        <v>3.2366685009748403E-2</v>
      </c>
      <c r="Q231" s="3">
        <f t="shared" si="192"/>
        <v>3.2366684905932995E-2</v>
      </c>
      <c r="R231" s="3">
        <f t="shared" si="192"/>
        <v>3.2366683867778932E-2</v>
      </c>
      <c r="S231" s="3">
        <f t="shared" si="192"/>
        <v>3.2366673486240144E-2</v>
      </c>
      <c r="T231" s="3">
        <f t="shared" si="192"/>
        <v>3.2366569671035399E-2</v>
      </c>
      <c r="U231" s="3">
        <f t="shared" si="192"/>
        <v>3.2365531537301949E-2</v>
      </c>
      <c r="V231" s="3">
        <f t="shared" si="192"/>
        <v>3.235515203114657E-2</v>
      </c>
      <c r="W231" s="3">
        <f t="shared" si="192"/>
        <v>3.2251539870375642E-2</v>
      </c>
      <c r="X231" s="3">
        <f t="shared" si="192"/>
        <v>3.1233493130106954E-2</v>
      </c>
      <c r="Y231" s="3">
        <f t="shared" si="192"/>
        <v>2.2663218602744853E-2</v>
      </c>
      <c r="Z231" s="3">
        <f t="shared" si="192"/>
        <v>9.1692092866787317E-4</v>
      </c>
      <c r="AA231" s="3">
        <f t="shared" si="192"/>
        <v>1.0775436270003775E-17</v>
      </c>
      <c r="AB231" s="3">
        <f t="shared" si="192"/>
        <v>5.4133316289485197E-157</v>
      </c>
      <c r="AC231" s="3">
        <f t="shared" si="192"/>
        <v>0</v>
      </c>
      <c r="AD231" s="3">
        <f t="shared" si="192"/>
        <v>0</v>
      </c>
      <c r="AE231" s="3">
        <f t="shared" si="192"/>
        <v>0</v>
      </c>
      <c r="AF231" s="3">
        <f t="shared" si="192"/>
        <v>0</v>
      </c>
      <c r="AG231" s="3"/>
      <c r="AH231" s="3"/>
    </row>
    <row r="232" spans="2:34" x14ac:dyDescent="0.25">
      <c r="B232" s="3">
        <f t="shared" ref="B232:AF232" si="193">$C40*EXP(-B$207/$A40/EXP(-$D$126))</f>
        <v>3.1308799332550319E-2</v>
      </c>
      <c r="C232" s="3">
        <f t="shared" si="193"/>
        <v>3.1308799332550319E-2</v>
      </c>
      <c r="D232" s="3">
        <f t="shared" si="193"/>
        <v>3.1308799332550319E-2</v>
      </c>
      <c r="E232" s="3">
        <f t="shared" si="193"/>
        <v>3.1308799332550319E-2</v>
      </c>
      <c r="F232" s="3">
        <f t="shared" si="193"/>
        <v>3.1308799332550319E-2</v>
      </c>
      <c r="G232" s="3">
        <f t="shared" si="193"/>
        <v>3.1308799332550319E-2</v>
      </c>
      <c r="H232" s="3">
        <f t="shared" si="193"/>
        <v>3.1308799332550319E-2</v>
      </c>
      <c r="I232" s="3">
        <f t="shared" si="193"/>
        <v>3.1308799332550319E-2</v>
      </c>
      <c r="J232" s="3">
        <f t="shared" si="193"/>
        <v>3.1308799332550319E-2</v>
      </c>
      <c r="K232" s="3">
        <f t="shared" si="193"/>
        <v>3.1308799332550305E-2</v>
      </c>
      <c r="L232" s="3">
        <f t="shared" si="193"/>
        <v>3.1308799332550208E-2</v>
      </c>
      <c r="M232" s="3">
        <f t="shared" si="193"/>
        <v>3.1308799332549202E-2</v>
      </c>
      <c r="N232" s="3">
        <f t="shared" si="193"/>
        <v>3.1308799332539161E-2</v>
      </c>
      <c r="O232" s="3">
        <f t="shared" si="193"/>
        <v>3.1308799332438741E-2</v>
      </c>
      <c r="P232" s="3">
        <f t="shared" si="193"/>
        <v>3.1308799331434517E-2</v>
      </c>
      <c r="Q232" s="3">
        <f t="shared" si="193"/>
        <v>3.1308799321392293E-2</v>
      </c>
      <c r="R232" s="3">
        <f t="shared" si="193"/>
        <v>3.1308799220970025E-2</v>
      </c>
      <c r="S232" s="3">
        <f t="shared" si="193"/>
        <v>3.130879821674741E-2</v>
      </c>
      <c r="T232" s="3">
        <f t="shared" si="193"/>
        <v>3.130878817452299E-2</v>
      </c>
      <c r="U232" s="3">
        <f t="shared" si="193"/>
        <v>3.1308687752455953E-2</v>
      </c>
      <c r="V232" s="3">
        <f t="shared" si="193"/>
        <v>3.1307683549500982E-2</v>
      </c>
      <c r="W232" s="3">
        <f t="shared" si="193"/>
        <v>3.1297643291279417E-2</v>
      </c>
      <c r="X232" s="3">
        <f t="shared" si="193"/>
        <v>3.1197417631844238E-2</v>
      </c>
      <c r="Y232" s="3">
        <f t="shared" si="193"/>
        <v>3.0212645138730714E-2</v>
      </c>
      <c r="Z232" s="3">
        <f t="shared" si="193"/>
        <v>2.1922484894467072E-2</v>
      </c>
      <c r="AA232" s="3">
        <f t="shared" si="193"/>
        <v>8.8695191801695897E-4</v>
      </c>
      <c r="AB232" s="3">
        <f t="shared" si="193"/>
        <v>1.0423247597842969E-17</v>
      </c>
      <c r="AC232" s="3">
        <f t="shared" si="193"/>
        <v>5.236400131179585E-157</v>
      </c>
      <c r="AD232" s="3">
        <f t="shared" si="193"/>
        <v>0</v>
      </c>
      <c r="AE232" s="3">
        <f t="shared" si="193"/>
        <v>0</v>
      </c>
      <c r="AF232" s="3">
        <f t="shared" si="193"/>
        <v>0</v>
      </c>
      <c r="AG232" s="3"/>
      <c r="AH232" s="3"/>
    </row>
    <row r="233" spans="2:34" x14ac:dyDescent="0.25">
      <c r="B233" s="3">
        <f t="shared" ref="B233:AF233" si="194">$C41*EXP(-B$207/$A41/EXP(-$D$126))</f>
        <v>2.9628011896189826E-2</v>
      </c>
      <c r="C233" s="3">
        <f t="shared" si="194"/>
        <v>2.9628011896189826E-2</v>
      </c>
      <c r="D233" s="3">
        <f t="shared" si="194"/>
        <v>2.9628011896189826E-2</v>
      </c>
      <c r="E233" s="3">
        <f t="shared" si="194"/>
        <v>2.9628011896189826E-2</v>
      </c>
      <c r="F233" s="3">
        <f t="shared" si="194"/>
        <v>2.9628011896189826E-2</v>
      </c>
      <c r="G233" s="3">
        <f t="shared" si="194"/>
        <v>2.9628011896189826E-2</v>
      </c>
      <c r="H233" s="3">
        <f t="shared" si="194"/>
        <v>2.9628011896189826E-2</v>
      </c>
      <c r="I233" s="3">
        <f t="shared" si="194"/>
        <v>2.9628011896189826E-2</v>
      </c>
      <c r="J233" s="3">
        <f t="shared" si="194"/>
        <v>2.9628011896189826E-2</v>
      </c>
      <c r="K233" s="3">
        <f t="shared" si="194"/>
        <v>2.9628011896189826E-2</v>
      </c>
      <c r="L233" s="3">
        <f t="shared" si="194"/>
        <v>2.9628011896189816E-2</v>
      </c>
      <c r="M233" s="3">
        <f t="shared" si="194"/>
        <v>2.9628011896189722E-2</v>
      </c>
      <c r="N233" s="3">
        <f t="shared" si="194"/>
        <v>2.9628011896188772E-2</v>
      </c>
      <c r="O233" s="3">
        <f t="shared" si="194"/>
        <v>2.9628011896179269E-2</v>
      </c>
      <c r="P233" s="3">
        <f t="shared" si="194"/>
        <v>2.9628011896084237E-2</v>
      </c>
      <c r="Q233" s="3">
        <f t="shared" si="194"/>
        <v>2.9628011895133925E-2</v>
      </c>
      <c r="R233" s="3">
        <f t="shared" si="194"/>
        <v>2.9628011885630808E-2</v>
      </c>
      <c r="S233" s="3">
        <f t="shared" si="194"/>
        <v>2.962801179059963E-2</v>
      </c>
      <c r="T233" s="3">
        <f t="shared" si="194"/>
        <v>2.9628010840287888E-2</v>
      </c>
      <c r="U233" s="3">
        <f t="shared" si="194"/>
        <v>2.9628001337172121E-2</v>
      </c>
      <c r="V233" s="3">
        <f t="shared" si="194"/>
        <v>2.9627906306182103E-2</v>
      </c>
      <c r="W233" s="3">
        <f t="shared" si="194"/>
        <v>2.9626956013046296E-2</v>
      </c>
      <c r="X233" s="3">
        <f t="shared" si="194"/>
        <v>2.9617454757924065E-2</v>
      </c>
      <c r="Y233" s="3">
        <f t="shared" si="194"/>
        <v>2.952260963152659E-2</v>
      </c>
      <c r="Z233" s="3">
        <f t="shared" si="194"/>
        <v>2.8590703849030671E-2</v>
      </c>
      <c r="AA233" s="3">
        <f t="shared" si="194"/>
        <v>2.0745594117115709E-2</v>
      </c>
      <c r="AB233" s="3">
        <f t="shared" si="194"/>
        <v>8.3933662543980627E-4</v>
      </c>
      <c r="AC233" s="3">
        <f t="shared" si="194"/>
        <v>9.8636840252368755E-18</v>
      </c>
      <c r="AD233" s="3">
        <f t="shared" si="194"/>
        <v>4.9552882476238082E-157</v>
      </c>
      <c r="AE233" s="3">
        <f t="shared" si="194"/>
        <v>0</v>
      </c>
      <c r="AF233" s="3">
        <f t="shared" si="194"/>
        <v>0</v>
      </c>
      <c r="AG233" s="3"/>
      <c r="AH233" s="3"/>
    </row>
    <row r="234" spans="2:34" x14ac:dyDescent="0.25">
      <c r="B234" s="3">
        <f t="shared" ref="B234:AF234" si="195">$C42*EXP(-B$207/$A42/EXP(-$D$126))</f>
        <v>3.0878251841692891E-2</v>
      </c>
      <c r="C234" s="3">
        <f t="shared" si="195"/>
        <v>3.0878251841692891E-2</v>
      </c>
      <c r="D234" s="3">
        <f t="shared" si="195"/>
        <v>3.0878251841692891E-2</v>
      </c>
      <c r="E234" s="3">
        <f t="shared" si="195"/>
        <v>3.0878251841692891E-2</v>
      </c>
      <c r="F234" s="3">
        <f t="shared" si="195"/>
        <v>3.0878251841692891E-2</v>
      </c>
      <c r="G234" s="3">
        <f t="shared" si="195"/>
        <v>3.0878251841692891E-2</v>
      </c>
      <c r="H234" s="3">
        <f t="shared" si="195"/>
        <v>3.0878251841692891E-2</v>
      </c>
      <c r="I234" s="3">
        <f t="shared" si="195"/>
        <v>3.0878251841692891E-2</v>
      </c>
      <c r="J234" s="3">
        <f t="shared" si="195"/>
        <v>3.0878251841692891E-2</v>
      </c>
      <c r="K234" s="3">
        <f t="shared" si="195"/>
        <v>3.0878251841692891E-2</v>
      </c>
      <c r="L234" s="3">
        <f t="shared" si="195"/>
        <v>3.0878251841692891E-2</v>
      </c>
      <c r="M234" s="3">
        <f t="shared" si="195"/>
        <v>3.0878251841692881E-2</v>
      </c>
      <c r="N234" s="3">
        <f t="shared" si="195"/>
        <v>3.087825184169278E-2</v>
      </c>
      <c r="O234" s="3">
        <f t="shared" si="195"/>
        <v>3.0878251841691792E-2</v>
      </c>
      <c r="P234" s="3">
        <f t="shared" si="195"/>
        <v>3.0878251841681886E-2</v>
      </c>
      <c r="Q234" s="3">
        <f t="shared" si="195"/>
        <v>3.0878251841582847E-2</v>
      </c>
      <c r="R234" s="3">
        <f t="shared" si="195"/>
        <v>3.0878251840592435E-2</v>
      </c>
      <c r="S234" s="3">
        <f t="shared" si="195"/>
        <v>3.0878251830688302E-2</v>
      </c>
      <c r="T234" s="3">
        <f t="shared" si="195"/>
        <v>3.0878251731647013E-2</v>
      </c>
      <c r="U234" s="3">
        <f t="shared" si="195"/>
        <v>3.0878250741234105E-2</v>
      </c>
      <c r="V234" s="3">
        <f t="shared" si="195"/>
        <v>3.0878240837106791E-2</v>
      </c>
      <c r="W234" s="3">
        <f t="shared" si="195"/>
        <v>3.0878141796008361E-2</v>
      </c>
      <c r="X234" s="3">
        <f t="shared" si="195"/>
        <v>3.0877151402495841E-2</v>
      </c>
      <c r="Y234" s="3">
        <f t="shared" si="195"/>
        <v>3.0867249214340101E-2</v>
      </c>
      <c r="Z234" s="3">
        <f t="shared" si="195"/>
        <v>3.0768401822583957E-2</v>
      </c>
      <c r="AA234" s="3">
        <f t="shared" si="195"/>
        <v>2.9797171571109022E-2</v>
      </c>
      <c r="AB234" s="3">
        <f t="shared" si="195"/>
        <v>2.162101466673912E-2</v>
      </c>
      <c r="AC234" s="3">
        <f t="shared" si="195"/>
        <v>8.7475487019160946E-4</v>
      </c>
      <c r="AD234" s="3">
        <f t="shared" si="195"/>
        <v>1.0279910798109121E-17</v>
      </c>
      <c r="AE234" s="3">
        <f t="shared" si="195"/>
        <v>5.164391015989372E-157</v>
      </c>
      <c r="AF234" s="3">
        <f t="shared" si="195"/>
        <v>0</v>
      </c>
      <c r="AG234" s="3"/>
      <c r="AH234" s="3"/>
    </row>
    <row r="235" spans="2:34" x14ac:dyDescent="0.25">
      <c r="B235" s="3">
        <f t="shared" ref="B235:AF235" si="196">$C43*EXP(-B$207/$A43/EXP(-$D$126))</f>
        <v>3.5015955138041704E-2</v>
      </c>
      <c r="C235" s="3">
        <f t="shared" si="196"/>
        <v>3.5015955138041704E-2</v>
      </c>
      <c r="D235" s="3">
        <f t="shared" si="196"/>
        <v>3.5015955138041704E-2</v>
      </c>
      <c r="E235" s="3">
        <f t="shared" si="196"/>
        <v>3.5015955138041704E-2</v>
      </c>
      <c r="F235" s="3">
        <f t="shared" si="196"/>
        <v>3.5015955138041704E-2</v>
      </c>
      <c r="G235" s="3">
        <f t="shared" si="196"/>
        <v>3.5015955138041704E-2</v>
      </c>
      <c r="H235" s="3">
        <f t="shared" si="196"/>
        <v>3.5015955138041704E-2</v>
      </c>
      <c r="I235" s="3">
        <f t="shared" si="196"/>
        <v>3.5015955138041704E-2</v>
      </c>
      <c r="J235" s="3">
        <f t="shared" si="196"/>
        <v>3.5015955138041704E-2</v>
      </c>
      <c r="K235" s="3">
        <f t="shared" si="196"/>
        <v>3.5015955138041704E-2</v>
      </c>
      <c r="L235" s="3">
        <f t="shared" si="196"/>
        <v>3.5015955138041704E-2</v>
      </c>
      <c r="M235" s="3">
        <f t="shared" si="196"/>
        <v>3.5015955138041704E-2</v>
      </c>
      <c r="N235" s="3">
        <f t="shared" si="196"/>
        <v>3.5015955138041691E-2</v>
      </c>
      <c r="O235" s="3">
        <f t="shared" si="196"/>
        <v>3.501595513804158E-2</v>
      </c>
      <c r="P235" s="3">
        <f t="shared" si="196"/>
        <v>3.5015955138040455E-2</v>
      </c>
      <c r="Q235" s="3">
        <f t="shared" si="196"/>
        <v>3.5015955138029228E-2</v>
      </c>
      <c r="R235" s="3">
        <f t="shared" si="196"/>
        <v>3.5015955137916915E-2</v>
      </c>
      <c r="S235" s="3">
        <f t="shared" si="196"/>
        <v>3.5015955136793786E-2</v>
      </c>
      <c r="T235" s="3">
        <f t="shared" si="196"/>
        <v>3.5015955125562492E-2</v>
      </c>
      <c r="U235" s="3">
        <f t="shared" si="196"/>
        <v>3.5015955013249618E-2</v>
      </c>
      <c r="V235" s="3">
        <f t="shared" si="196"/>
        <v>3.5015953890120813E-2</v>
      </c>
      <c r="W235" s="3">
        <f t="shared" si="196"/>
        <v>3.5015942658834814E-2</v>
      </c>
      <c r="X235" s="3">
        <f t="shared" si="196"/>
        <v>3.5015830346172901E-2</v>
      </c>
      <c r="Y235" s="3">
        <f t="shared" si="196"/>
        <v>3.5014707239366817E-2</v>
      </c>
      <c r="Z235" s="3">
        <f t="shared" si="196"/>
        <v>3.5003478152370329E-2</v>
      </c>
      <c r="AA235" s="3">
        <f t="shared" si="196"/>
        <v>3.489138515393924E-2</v>
      </c>
      <c r="AB235" s="3">
        <f t="shared" si="196"/>
        <v>3.3790009496770863E-2</v>
      </c>
      <c r="AC235" s="3">
        <f t="shared" si="196"/>
        <v>2.4518242920321103E-2</v>
      </c>
      <c r="AD235" s="3">
        <f t="shared" si="196"/>
        <v>9.9197251996159617E-4</v>
      </c>
      <c r="AE235" s="3">
        <f t="shared" si="196"/>
        <v>1.1657424687612261E-17</v>
      </c>
      <c r="AF235" s="3">
        <f t="shared" si="196"/>
        <v>5.8564223472981162E-157</v>
      </c>
      <c r="AG235" s="3"/>
      <c r="AH235" s="3"/>
    </row>
    <row r="236" spans="2:34" x14ac:dyDescent="0.25">
      <c r="B236" s="3">
        <f t="shared" ref="B236:AF236" si="197">$C44*EXP(-B$207/$A44/EXP(-$D$126))</f>
        <v>3.7250810616417634E-2</v>
      </c>
      <c r="C236" s="3">
        <f t="shared" si="197"/>
        <v>3.7250810616417634E-2</v>
      </c>
      <c r="D236" s="3">
        <f t="shared" si="197"/>
        <v>3.7250810616417634E-2</v>
      </c>
      <c r="E236" s="3">
        <f t="shared" si="197"/>
        <v>3.7250810616417634E-2</v>
      </c>
      <c r="F236" s="3">
        <f t="shared" si="197"/>
        <v>3.7250810616417634E-2</v>
      </c>
      <c r="G236" s="3">
        <f t="shared" si="197"/>
        <v>3.7250810616417634E-2</v>
      </c>
      <c r="H236" s="3">
        <f t="shared" si="197"/>
        <v>3.7250810616417634E-2</v>
      </c>
      <c r="I236" s="3">
        <f t="shared" si="197"/>
        <v>3.7250810616417634E-2</v>
      </c>
      <c r="J236" s="3">
        <f t="shared" si="197"/>
        <v>3.7250810616417634E-2</v>
      </c>
      <c r="K236" s="3">
        <f t="shared" si="197"/>
        <v>3.7250810616417634E-2</v>
      </c>
      <c r="L236" s="3">
        <f t="shared" si="197"/>
        <v>3.7250810616417634E-2</v>
      </c>
      <c r="M236" s="3">
        <f t="shared" si="197"/>
        <v>3.7250810616417634E-2</v>
      </c>
      <c r="N236" s="3">
        <f t="shared" si="197"/>
        <v>3.7250810616417634E-2</v>
      </c>
      <c r="O236" s="3">
        <f t="shared" si="197"/>
        <v>3.7250810616417621E-2</v>
      </c>
      <c r="P236" s="3">
        <f t="shared" si="197"/>
        <v>3.7250810616417503E-2</v>
      </c>
      <c r="Q236" s="3">
        <f t="shared" si="197"/>
        <v>3.7250810616416309E-2</v>
      </c>
      <c r="R236" s="3">
        <f t="shared" si="197"/>
        <v>3.725081061640436E-2</v>
      </c>
      <c r="S236" s="3">
        <f t="shared" si="197"/>
        <v>3.725081061628488E-2</v>
      </c>
      <c r="T236" s="3">
        <f t="shared" si="197"/>
        <v>3.7250810615090064E-2</v>
      </c>
      <c r="U236" s="3">
        <f t="shared" si="197"/>
        <v>3.7250810603141955E-2</v>
      </c>
      <c r="V236" s="3">
        <f t="shared" si="197"/>
        <v>3.7250810483660822E-2</v>
      </c>
      <c r="W236" s="3">
        <f t="shared" si="197"/>
        <v>3.7250809288849544E-2</v>
      </c>
      <c r="X236" s="3">
        <f t="shared" si="197"/>
        <v>3.7250797340738856E-2</v>
      </c>
      <c r="Y236" s="3">
        <f t="shared" si="197"/>
        <v>3.7250677859842728E-2</v>
      </c>
      <c r="Z236" s="3">
        <f t="shared" si="197"/>
        <v>3.7249483071959015E-2</v>
      </c>
      <c r="AA236" s="3">
        <f t="shared" si="197"/>
        <v>3.7237537300625567E-2</v>
      </c>
      <c r="AB236" s="3">
        <f t="shared" si="197"/>
        <v>3.7118290087761553E-2</v>
      </c>
      <c r="AC236" s="3">
        <f t="shared" si="197"/>
        <v>3.5946620320052157E-2</v>
      </c>
      <c r="AD236" s="3">
        <f t="shared" si="197"/>
        <v>2.6083093266245319E-2</v>
      </c>
      <c r="AE236" s="3">
        <f t="shared" si="197"/>
        <v>1.0552840935541172E-3</v>
      </c>
      <c r="AF236" s="3">
        <f t="shared" si="197"/>
        <v>1.2401447214604854E-17</v>
      </c>
      <c r="AG236" s="3"/>
      <c r="AH236" s="3"/>
    </row>
    <row r="237" spans="2:34" x14ac:dyDescent="0.25">
      <c r="B237" s="3">
        <f t="shared" ref="B237:AF237" si="198">$C45*EXP(-B$207/$A45/EXP(-$D$126))</f>
        <v>3.3898326315238474E-2</v>
      </c>
      <c r="C237" s="3">
        <f t="shared" si="198"/>
        <v>3.3898326315238474E-2</v>
      </c>
      <c r="D237" s="3">
        <f t="shared" si="198"/>
        <v>3.3898326315238474E-2</v>
      </c>
      <c r="E237" s="3">
        <f t="shared" si="198"/>
        <v>3.3898326315238474E-2</v>
      </c>
      <c r="F237" s="3">
        <f t="shared" si="198"/>
        <v>3.3898326315238474E-2</v>
      </c>
      <c r="G237" s="3">
        <f t="shared" si="198"/>
        <v>3.3898326315238474E-2</v>
      </c>
      <c r="H237" s="3">
        <f t="shared" si="198"/>
        <v>3.3898326315238474E-2</v>
      </c>
      <c r="I237" s="3">
        <f t="shared" si="198"/>
        <v>3.3898326315238474E-2</v>
      </c>
      <c r="J237" s="3">
        <f t="shared" si="198"/>
        <v>3.3898326315238474E-2</v>
      </c>
      <c r="K237" s="3">
        <f t="shared" si="198"/>
        <v>3.3898326315238474E-2</v>
      </c>
      <c r="L237" s="3">
        <f t="shared" si="198"/>
        <v>3.3898326315238474E-2</v>
      </c>
      <c r="M237" s="3">
        <f t="shared" si="198"/>
        <v>3.3898326315238474E-2</v>
      </c>
      <c r="N237" s="3">
        <f t="shared" si="198"/>
        <v>3.3898326315238474E-2</v>
      </c>
      <c r="O237" s="3">
        <f t="shared" si="198"/>
        <v>3.3898326315238474E-2</v>
      </c>
      <c r="P237" s="3">
        <f t="shared" si="198"/>
        <v>3.389832631523846E-2</v>
      </c>
      <c r="Q237" s="3">
        <f t="shared" si="198"/>
        <v>3.3898326315238356E-2</v>
      </c>
      <c r="R237" s="3">
        <f t="shared" si="198"/>
        <v>3.3898326315237266E-2</v>
      </c>
      <c r="S237" s="3">
        <f t="shared" si="198"/>
        <v>3.3898326315226393E-2</v>
      </c>
      <c r="T237" s="3">
        <f t="shared" si="198"/>
        <v>3.3898326315117668E-2</v>
      </c>
      <c r="U237" s="3">
        <f t="shared" si="198"/>
        <v>3.3898326314030384E-2</v>
      </c>
      <c r="V237" s="3">
        <f t="shared" si="198"/>
        <v>3.3898326303157575E-2</v>
      </c>
      <c r="W237" s="3">
        <f t="shared" si="198"/>
        <v>3.3898326194429458E-2</v>
      </c>
      <c r="X237" s="3">
        <f t="shared" si="198"/>
        <v>3.3898325107148353E-2</v>
      </c>
      <c r="Y237" s="3">
        <f t="shared" si="198"/>
        <v>3.3898314234339186E-2</v>
      </c>
      <c r="Z237" s="3">
        <f t="shared" si="198"/>
        <v>3.3898205506439356E-2</v>
      </c>
      <c r="AA237" s="3">
        <f t="shared" si="198"/>
        <v>3.3897118246621671E-2</v>
      </c>
      <c r="AB237" s="3">
        <f t="shared" si="198"/>
        <v>3.3886247566278137E-2</v>
      </c>
      <c r="AC237" s="3">
        <f t="shared" si="198"/>
        <v>3.3777732318771937E-2</v>
      </c>
      <c r="AD237" s="3">
        <f t="shared" si="198"/>
        <v>3.2711510041665094E-2</v>
      </c>
      <c r="AE237" s="3">
        <f t="shared" si="198"/>
        <v>2.3735676948203097E-2</v>
      </c>
      <c r="AF237" s="3">
        <f t="shared" si="198"/>
        <v>9.6031103663585997E-4</v>
      </c>
      <c r="AG237" s="3"/>
      <c r="AH237" s="3"/>
    </row>
    <row r="238" spans="2:34" x14ac:dyDescent="0.25">
      <c r="B238" s="3">
        <f t="shared" ref="B238:AF238" si="199">$C46*EXP(-B$207/$A46/EXP(-$D$126))</f>
        <v>2.3731882185441592E-2</v>
      </c>
      <c r="C238" s="3">
        <f t="shared" si="199"/>
        <v>2.3731882185441592E-2</v>
      </c>
      <c r="D238" s="3">
        <f t="shared" si="199"/>
        <v>2.3731882185441592E-2</v>
      </c>
      <c r="E238" s="3">
        <f t="shared" si="199"/>
        <v>2.3731882185441592E-2</v>
      </c>
      <c r="F238" s="3">
        <f t="shared" si="199"/>
        <v>2.3731882185441592E-2</v>
      </c>
      <c r="G238" s="3">
        <f t="shared" si="199"/>
        <v>2.3731882185441592E-2</v>
      </c>
      <c r="H238" s="3">
        <f t="shared" si="199"/>
        <v>2.3731882185441592E-2</v>
      </c>
      <c r="I238" s="3">
        <f t="shared" si="199"/>
        <v>2.3731882185441592E-2</v>
      </c>
      <c r="J238" s="3">
        <f t="shared" si="199"/>
        <v>2.3731882185441592E-2</v>
      </c>
      <c r="K238" s="3">
        <f t="shared" si="199"/>
        <v>2.3731882185441592E-2</v>
      </c>
      <c r="L238" s="3">
        <f t="shared" si="199"/>
        <v>2.3731882185441592E-2</v>
      </c>
      <c r="M238" s="3">
        <f t="shared" si="199"/>
        <v>2.3731882185441592E-2</v>
      </c>
      <c r="N238" s="3">
        <f t="shared" si="199"/>
        <v>2.3731882185441592E-2</v>
      </c>
      <c r="O238" s="3">
        <f t="shared" si="199"/>
        <v>2.3731882185441592E-2</v>
      </c>
      <c r="P238" s="3">
        <f t="shared" si="199"/>
        <v>2.3731882185441592E-2</v>
      </c>
      <c r="Q238" s="3">
        <f t="shared" si="199"/>
        <v>2.3731882185441585E-2</v>
      </c>
      <c r="R238" s="3">
        <f t="shared" si="199"/>
        <v>2.3731882185441509E-2</v>
      </c>
      <c r="S238" s="3">
        <f t="shared" si="199"/>
        <v>2.3731882185440745E-2</v>
      </c>
      <c r="T238" s="3">
        <f t="shared" si="199"/>
        <v>2.3731882185433133E-2</v>
      </c>
      <c r="U238" s="3">
        <f t="shared" si="199"/>
        <v>2.3731882185357017E-2</v>
      </c>
      <c r="V238" s="3">
        <f t="shared" si="199"/>
        <v>2.3731882184595821E-2</v>
      </c>
      <c r="W238" s="3">
        <f t="shared" si="199"/>
        <v>2.3731882176983871E-2</v>
      </c>
      <c r="X238" s="3">
        <f t="shared" si="199"/>
        <v>2.3731882100864399E-2</v>
      </c>
      <c r="Y238" s="3">
        <f t="shared" si="199"/>
        <v>2.3731881339669674E-2</v>
      </c>
      <c r="Z238" s="3">
        <f t="shared" si="199"/>
        <v>2.3731873727723774E-2</v>
      </c>
      <c r="AA238" s="3">
        <f t="shared" si="199"/>
        <v>2.3731797608399028E-2</v>
      </c>
      <c r="AB238" s="3">
        <f t="shared" si="199"/>
        <v>2.3731036428579756E-2</v>
      </c>
      <c r="AC238" s="3">
        <f t="shared" si="199"/>
        <v>2.3723425973043125E-2</v>
      </c>
      <c r="AD238" s="3">
        <f t="shared" si="199"/>
        <v>2.3647455524083719E-2</v>
      </c>
      <c r="AE238" s="3">
        <f t="shared" si="199"/>
        <v>2.2901003878404144E-2</v>
      </c>
      <c r="AF238" s="3">
        <f t="shared" si="199"/>
        <v>1.6617112116040909E-2</v>
      </c>
      <c r="AG238" s="3"/>
      <c r="AH238" s="3"/>
    </row>
    <row r="239" spans="2:34" x14ac:dyDescent="0.25">
      <c r="B239" s="3">
        <f t="shared" ref="B239:AF239" si="200">$C47*EXP(-B$207/$A47/EXP(-$D$126))</f>
        <v>1.1146070536665017E-2</v>
      </c>
      <c r="C239" s="3">
        <f t="shared" si="200"/>
        <v>1.1146070536665017E-2</v>
      </c>
      <c r="D239" s="3">
        <f t="shared" si="200"/>
        <v>1.1146070536665017E-2</v>
      </c>
      <c r="E239" s="3">
        <f t="shared" si="200"/>
        <v>1.1146070536665017E-2</v>
      </c>
      <c r="F239" s="3">
        <f t="shared" si="200"/>
        <v>1.1146070536665017E-2</v>
      </c>
      <c r="G239" s="3">
        <f t="shared" si="200"/>
        <v>1.1146070536665017E-2</v>
      </c>
      <c r="H239" s="3">
        <f t="shared" si="200"/>
        <v>1.1146070536665017E-2</v>
      </c>
      <c r="I239" s="3">
        <f t="shared" si="200"/>
        <v>1.1146070536665017E-2</v>
      </c>
      <c r="J239" s="3">
        <f t="shared" si="200"/>
        <v>1.1146070536665017E-2</v>
      </c>
      <c r="K239" s="3">
        <f t="shared" si="200"/>
        <v>1.1146070536665017E-2</v>
      </c>
      <c r="L239" s="3">
        <f t="shared" si="200"/>
        <v>1.1146070536665017E-2</v>
      </c>
      <c r="M239" s="3">
        <f t="shared" si="200"/>
        <v>1.1146070536665017E-2</v>
      </c>
      <c r="N239" s="3">
        <f t="shared" si="200"/>
        <v>1.1146070536665017E-2</v>
      </c>
      <c r="O239" s="3">
        <f t="shared" si="200"/>
        <v>1.1146070536665017E-2</v>
      </c>
      <c r="P239" s="3">
        <f t="shared" si="200"/>
        <v>1.1146070536665017E-2</v>
      </c>
      <c r="Q239" s="3">
        <f t="shared" si="200"/>
        <v>1.1146070536665017E-2</v>
      </c>
      <c r="R239" s="3">
        <f t="shared" si="200"/>
        <v>1.1146070536665014E-2</v>
      </c>
      <c r="S239" s="3">
        <f t="shared" si="200"/>
        <v>1.1146070536664977E-2</v>
      </c>
      <c r="T239" s="3">
        <f t="shared" si="200"/>
        <v>1.114607053666462E-2</v>
      </c>
      <c r="U239" s="3">
        <f t="shared" si="200"/>
        <v>1.1146070536661045E-2</v>
      </c>
      <c r="V239" s="3">
        <f t="shared" si="200"/>
        <v>1.1146070536625296E-2</v>
      </c>
      <c r="W239" s="3">
        <f t="shared" si="200"/>
        <v>1.1146070536267786E-2</v>
      </c>
      <c r="X239" s="3">
        <f t="shared" si="200"/>
        <v>1.114607053269271E-2</v>
      </c>
      <c r="Y239" s="3">
        <f t="shared" si="200"/>
        <v>1.1146070496941942E-2</v>
      </c>
      <c r="Z239" s="3">
        <f t="shared" si="200"/>
        <v>1.1146070139434264E-2</v>
      </c>
      <c r="AA239" s="3">
        <f t="shared" si="200"/>
        <v>1.1146066564358115E-2</v>
      </c>
      <c r="AB239" s="3">
        <f t="shared" si="200"/>
        <v>1.1146030813659702E-2</v>
      </c>
      <c r="AC239" s="3">
        <f t="shared" si="200"/>
        <v>1.1145673312982326E-2</v>
      </c>
      <c r="AD239" s="3">
        <f t="shared" si="200"/>
        <v>1.1142098936809185E-2</v>
      </c>
      <c r="AE239" s="3">
        <f t="shared" si="200"/>
        <v>1.110641816036731E-2</v>
      </c>
      <c r="AF239" s="3">
        <f t="shared" si="200"/>
        <v>1.0755834813039799E-2</v>
      </c>
      <c r="AG239" s="3"/>
      <c r="AH239" s="3"/>
    </row>
    <row r="240" spans="2:34" x14ac:dyDescent="0.25">
      <c r="B240" s="3">
        <f t="shared" ref="B240:AF240" si="201">$C48*EXP(-B$207/$A48/EXP(-$D$126))</f>
        <v>2.58377406244087E-2</v>
      </c>
      <c r="C240" s="3">
        <f t="shared" si="201"/>
        <v>2.58377406244087E-2</v>
      </c>
      <c r="D240" s="3">
        <f t="shared" si="201"/>
        <v>2.58377406244087E-2</v>
      </c>
      <c r="E240" s="3">
        <f t="shared" si="201"/>
        <v>2.58377406244087E-2</v>
      </c>
      <c r="F240" s="3">
        <f t="shared" si="201"/>
        <v>2.58377406244087E-2</v>
      </c>
      <c r="G240" s="3">
        <f t="shared" si="201"/>
        <v>2.58377406244087E-2</v>
      </c>
      <c r="H240" s="3">
        <f t="shared" si="201"/>
        <v>2.58377406244087E-2</v>
      </c>
      <c r="I240" s="3">
        <f t="shared" si="201"/>
        <v>2.58377406244087E-2</v>
      </c>
      <c r="J240" s="3">
        <f t="shared" si="201"/>
        <v>2.58377406244087E-2</v>
      </c>
      <c r="K240" s="3">
        <f t="shared" si="201"/>
        <v>2.58377406244087E-2</v>
      </c>
      <c r="L240" s="3">
        <f t="shared" si="201"/>
        <v>2.58377406244087E-2</v>
      </c>
      <c r="M240" s="3">
        <f t="shared" si="201"/>
        <v>2.58377406244087E-2</v>
      </c>
      <c r="N240" s="3">
        <f t="shared" si="201"/>
        <v>2.58377406244087E-2</v>
      </c>
      <c r="O240" s="3">
        <f t="shared" si="201"/>
        <v>2.58377406244087E-2</v>
      </c>
      <c r="P240" s="3">
        <f t="shared" si="201"/>
        <v>2.58377406244087E-2</v>
      </c>
      <c r="Q240" s="3">
        <f t="shared" si="201"/>
        <v>2.58377406244087E-2</v>
      </c>
      <c r="R240" s="3">
        <f t="shared" si="201"/>
        <v>2.58377406244087E-2</v>
      </c>
      <c r="S240" s="3">
        <f t="shared" si="201"/>
        <v>2.5837740624408693E-2</v>
      </c>
      <c r="T240" s="3">
        <f t="shared" si="201"/>
        <v>2.583774062440861E-2</v>
      </c>
      <c r="U240" s="3">
        <f t="shared" si="201"/>
        <v>2.583774062440778E-2</v>
      </c>
      <c r="V240" s="3">
        <f t="shared" si="201"/>
        <v>2.5837740624399492E-2</v>
      </c>
      <c r="W240" s="3">
        <f t="shared" si="201"/>
        <v>2.5837740624316617E-2</v>
      </c>
      <c r="X240" s="3">
        <f t="shared" si="201"/>
        <v>2.5837740623487877E-2</v>
      </c>
      <c r="Y240" s="3">
        <f t="shared" si="201"/>
        <v>2.5837740615200482E-2</v>
      </c>
      <c r="Z240" s="3">
        <f t="shared" si="201"/>
        <v>2.5837740532326514E-2</v>
      </c>
      <c r="AA240" s="3">
        <f t="shared" si="201"/>
        <v>2.5837739703586861E-2</v>
      </c>
      <c r="AB240" s="3">
        <f t="shared" si="201"/>
        <v>2.5837731416191771E-2</v>
      </c>
      <c r="AC240" s="3">
        <f t="shared" si="201"/>
        <v>2.5837648542387077E-2</v>
      </c>
      <c r="AD240" s="3">
        <f t="shared" si="201"/>
        <v>2.5836819818959866E-2</v>
      </c>
      <c r="AE240" s="3">
        <f t="shared" si="201"/>
        <v>2.5828534046484993E-2</v>
      </c>
      <c r="AF240" s="3">
        <f t="shared" si="201"/>
        <v>2.5745822328130972E-2</v>
      </c>
      <c r="AG240" s="3"/>
      <c r="AH240" s="3"/>
    </row>
    <row r="241" spans="1:34" x14ac:dyDescent="0.25">
      <c r="A241" s="79">
        <f>AVERAGE(B241:AF241)</f>
        <v>1.1873394730755975E-2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2.3901123968734072E-2</v>
      </c>
      <c r="M241" s="80">
        <f t="shared" si="202"/>
        <v>2.6615199416585966E-2</v>
      </c>
      <c r="N241" s="80">
        <f t="shared" si="202"/>
        <v>2.894199109360068E-2</v>
      </c>
      <c r="O241" s="80">
        <f t="shared" si="202"/>
        <v>2.9235507923828168E-2</v>
      </c>
      <c r="P241" s="80">
        <f t="shared" si="202"/>
        <v>2.9938134971316022E-2</v>
      </c>
      <c r="Q241" s="80">
        <f t="shared" si="202"/>
        <v>3.7585539678017324E-2</v>
      </c>
      <c r="R241" s="80">
        <f t="shared" si="202"/>
        <v>4.2186495090682251E-2</v>
      </c>
      <c r="S241" s="80">
        <f t="shared" si="202"/>
        <v>3.4553780073402381E-2</v>
      </c>
      <c r="T241" s="80">
        <f t="shared" si="202"/>
        <v>1.1808655524630141E-2</v>
      </c>
      <c r="U241" s="80">
        <f t="shared" si="202"/>
        <v>4.9545878027638185E-2</v>
      </c>
      <c r="V241" s="80">
        <f t="shared" si="202"/>
        <v>5.3762930885000088E-2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1512.7468505952277</v>
      </c>
      <c r="C242" s="21">
        <f t="shared" ref="C242:AF242" si="203">(C209-C208)^2</f>
        <v>1522.1326953273121</v>
      </c>
      <c r="D242" s="21">
        <f t="shared" si="203"/>
        <v>1559.8877082658294</v>
      </c>
      <c r="E242" s="21">
        <f t="shared" si="203"/>
        <v>1978.9088089033612</v>
      </c>
      <c r="F242" s="21">
        <f t="shared" si="203"/>
        <v>6534.023527203678</v>
      </c>
      <c r="G242" s="21">
        <f t="shared" si="203"/>
        <v>24333.018054114487</v>
      </c>
      <c r="H242" s="21">
        <f t="shared" si="203"/>
        <v>18558.530226977822</v>
      </c>
      <c r="I242" s="21">
        <f t="shared" si="203"/>
        <v>14823.347934584552</v>
      </c>
      <c r="J242" s="21">
        <f t="shared" si="203"/>
        <v>17262.747407952713</v>
      </c>
      <c r="K242" s="21">
        <f t="shared" si="203"/>
        <v>19080.397547608743</v>
      </c>
      <c r="L242" s="21">
        <f t="shared" si="203"/>
        <v>22483.956573133535</v>
      </c>
      <c r="M242" s="21">
        <f t="shared" si="203"/>
        <v>26559.192087477477</v>
      </c>
      <c r="N242" s="21">
        <f t="shared" si="203"/>
        <v>29745.162426789633</v>
      </c>
      <c r="O242" s="21">
        <f t="shared" si="203"/>
        <v>28566.59831116124</v>
      </c>
      <c r="P242" s="21">
        <f t="shared" si="203"/>
        <v>28292.17434831944</v>
      </c>
      <c r="Q242" s="21">
        <f t="shared" si="203"/>
        <v>41821.324952097668</v>
      </c>
      <c r="R242" s="21">
        <f t="shared" si="203"/>
        <v>48521.628211210125</v>
      </c>
      <c r="S242" s="21">
        <f t="shared" si="203"/>
        <v>28974.209869240531</v>
      </c>
      <c r="T242" s="21">
        <f t="shared" si="203"/>
        <v>2752.6439909113124</v>
      </c>
      <c r="U242" s="21">
        <f t="shared" si="203"/>
        <v>34571.639474647462</v>
      </c>
      <c r="V242" s="21">
        <f t="shared" si="203"/>
        <v>28329.018062782856</v>
      </c>
      <c r="W242" s="21">
        <f t="shared" si="203"/>
        <v>8128.3997866167101</v>
      </c>
      <c r="X242" s="21">
        <f t="shared" si="203"/>
        <v>260.35371091715552</v>
      </c>
      <c r="Y242" s="21">
        <f t="shared" si="203"/>
        <v>371.02794198578425</v>
      </c>
      <c r="Z242" s="21">
        <f t="shared" si="203"/>
        <v>6410.9780947579002</v>
      </c>
      <c r="AA242" s="21">
        <f t="shared" si="203"/>
        <v>11991.000563410205</v>
      </c>
      <c r="AB242" s="21">
        <f t="shared" si="203"/>
        <v>17555.750756116333</v>
      </c>
      <c r="AC242" s="21">
        <f t="shared" si="203"/>
        <v>25679.428596532074</v>
      </c>
      <c r="AD242" s="21">
        <f t="shared" si="203"/>
        <v>35121.139970073746</v>
      </c>
      <c r="AE242" s="21">
        <f t="shared" si="203"/>
        <v>38109.993157810124</v>
      </c>
      <c r="AF242" s="21">
        <f t="shared" si="203"/>
        <v>28094.461031747567</v>
      </c>
      <c r="AG242" s="3"/>
      <c r="AH242" s="3"/>
    </row>
    <row r="243" spans="1:34" x14ac:dyDescent="0.25">
      <c r="A243" s="71">
        <f>SUM(B243:AF243)</f>
        <v>320617.54830777133</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22483.956573133535</v>
      </c>
      <c r="M243" s="60">
        <f t="shared" ref="M243" si="214">IF($A$64&lt;=M207,IF($B$64&gt;=M207,ABS(M242),0),0)</f>
        <v>26559.192087477477</v>
      </c>
      <c r="N243" s="60">
        <f t="shared" ref="N243" si="215">IF($A$64&lt;=N207,IF($B$64&gt;=N207,ABS(N242),0),0)</f>
        <v>29745.162426789633</v>
      </c>
      <c r="O243" s="60">
        <f t="shared" ref="O243" si="216">IF($A$64&lt;=O207,IF($B$64&gt;=O207,ABS(O242),0),0)</f>
        <v>28566.59831116124</v>
      </c>
      <c r="P243" s="60">
        <f t="shared" ref="P243" si="217">IF($A$64&lt;=P207,IF($B$64&gt;=P207,ABS(P242),0),0)</f>
        <v>28292.17434831944</v>
      </c>
      <c r="Q243" s="60">
        <f t="shared" ref="Q243" si="218">IF($A$64&lt;=Q207,IF($B$64&gt;=Q207,ABS(Q242),0),0)</f>
        <v>41821.324952097668</v>
      </c>
      <c r="R243" s="60">
        <f t="shared" ref="R243" si="219">IF($A$64&lt;=R207,IF($B$64&gt;=R207,ABS(R242),0),0)</f>
        <v>48521.628211210125</v>
      </c>
      <c r="S243" s="60">
        <f t="shared" ref="S243" si="220">IF($A$64&lt;=S207,IF($B$64&gt;=S207,ABS(S242),0),0)</f>
        <v>28974.209869240531</v>
      </c>
      <c r="T243" s="60">
        <f t="shared" ref="T243" si="221">IF($A$64&lt;=T207,IF($B$64&gt;=T207,ABS(T242),0),0)</f>
        <v>2752.6439909113124</v>
      </c>
      <c r="U243" s="60">
        <f t="shared" ref="U243" si="222">IF($A$64&lt;=U207,IF($B$64&gt;=U207,ABS(U242),0),0)</f>
        <v>34571.639474647462</v>
      </c>
      <c r="V243" s="60">
        <f t="shared" ref="V243" si="223">IF($A$64&lt;=V207,IF($B$64&gt;=V207,ABS(V242),0),0)</f>
        <v>28329.018062782856</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6951.7769139036336</v>
      </c>
      <c r="C247" s="26">
        <f>INDEX(Comparison!$AM$3:$AS$33,G$14,$E$122)</f>
        <v>6950.7516447504031</v>
      </c>
      <c r="D247" s="26">
        <f>INDEX(Comparison!$AM$3:$AS$33,H$14,$E$122)</f>
        <v>6940.1985301294053</v>
      </c>
      <c r="E247" s="26">
        <f>INDEX(Comparison!$AM$3:$AS$33,I$14,$E$122)</f>
        <v>6859.1289652487367</v>
      </c>
      <c r="F247" s="26">
        <f>INDEX(Comparison!$AM$3:$AS$33,J$14,$E$122)</f>
        <v>6695.6616107202954</v>
      </c>
      <c r="G247" s="26">
        <f>INDEX(Comparison!$AM$3:$AS$33,K$14,$E$122)</f>
        <v>6579.8912612434069</v>
      </c>
      <c r="H247" s="26">
        <f>INDEX(Comparison!$AM$3:$AS$33,L$14,$E$122)</f>
        <v>6466.0632255652681</v>
      </c>
      <c r="I247" s="26">
        <f>INDEX(Comparison!$AM$3:$AS$33,M$14,$E$122)</f>
        <v>6338.9884403076148</v>
      </c>
      <c r="J247" s="26">
        <f>INDEX(Comparison!$AM$3:$AS$33,N$14,$E$122)</f>
        <v>6203.5301972004399</v>
      </c>
      <c r="K247" s="26">
        <f>INDEX(Comparison!$AM$3:$AS$33,O$14,$E$122)</f>
        <v>6050.6164561665273</v>
      </c>
      <c r="L247" s="26">
        <f>INDEX(Comparison!$AM$3:$AS$33,P$14,$E$122)</f>
        <v>5884.895018012654</v>
      </c>
      <c r="M247" s="26">
        <f>INDEX(Comparison!$AM$3:$AS$33,Q$14,$E$122)</f>
        <v>5709.3519393565812</v>
      </c>
      <c r="N247" s="26">
        <f>INDEX(Comparison!$AM$3:$AS$33,R$14,$E$122)</f>
        <v>5547.9132434192643</v>
      </c>
      <c r="O247" s="26">
        <f>INDEX(Comparison!$AM$3:$AS$33,S$14,$E$122)</f>
        <v>5364.2356794540465</v>
      </c>
      <c r="P247" s="26">
        <f>INDEX(Comparison!$AM$3:$AS$33,T$14,$E$122)</f>
        <v>5142.9380897638539</v>
      </c>
      <c r="Q247" s="26">
        <f>INDEX(Comparison!$AM$3:$AS$33,U$14,$E$122)</f>
        <v>4901.2536857987861</v>
      </c>
      <c r="R247" s="26">
        <f>INDEX(Comparison!$AM$3:$AS$33,V$14,$E$122)</f>
        <v>4661.3568218837227</v>
      </c>
      <c r="S247" s="26">
        <f>INDEX(Comparison!$AM$3:$AS$33,W$14,$E$122)</f>
        <v>4298.6774546472579</v>
      </c>
      <c r="T247" s="26">
        <f>INDEX(Comparison!$AM$3:$AS$33,X$14,$E$122)</f>
        <v>3673.7236771243274</v>
      </c>
      <c r="U247" s="26">
        <f>INDEX(Comparison!$AM$3:$AS$33,Y$14,$E$122)</f>
        <v>3055.9581241953465</v>
      </c>
      <c r="V247" s="26">
        <f>INDEX(Comparison!$AM$3:$AS$33,Z$14,$E$122)</f>
        <v>2586.4007874245467</v>
      </c>
      <c r="W247" s="26">
        <f>INDEX(Comparison!$AM$3:$AS$33,AA$14,$E$122)</f>
        <v>2247.3343211844494</v>
      </c>
      <c r="X247" s="26">
        <f>INDEX(Comparison!$AM$3:$AS$33,AB$14,$E$122)</f>
        <v>1979.307169199863</v>
      </c>
      <c r="Y247" s="26">
        <f>INDEX(Comparison!$AM$3:$AS$33,AC$14,$E$122)</f>
        <v>1753.9456058771568</v>
      </c>
      <c r="Z247" s="26">
        <f>INDEX(Comparison!$AM$3:$AS$33,AD$14,$E$122)</f>
        <v>1541.283272452644</v>
      </c>
      <c r="AA247" s="26">
        <f>INDEX(Comparison!$AM$3:$AS$33,AE$14,$E$122)</f>
        <v>1325.7320252858156</v>
      </c>
      <c r="AB247" s="26">
        <f>INDEX(Comparison!$AM$3:$AS$33,AF$14,$E$122)</f>
        <v>1090.3481138846798</v>
      </c>
      <c r="AC247" s="26">
        <f>INDEX(Comparison!$AM$3:$AS$33,AG$14,$E$122)</f>
        <v>838.64271647474698</v>
      </c>
      <c r="AD247" s="26">
        <f>INDEX(Comparison!$AM$3:$AS$33,AH$14,$E$122)</f>
        <v>600.54666630574377</v>
      </c>
      <c r="AE247" s="26">
        <f>INDEX(Comparison!$AM$3:$AS$33,AI$14,$E$122)</f>
        <v>415.97655166325364</v>
      </c>
      <c r="AF247" s="26">
        <f>INDEX(Comparison!$AM$3:$AS$33,AJ$14,$E$122)</f>
        <v>297.69240550814368</v>
      </c>
      <c r="AG247" s="26"/>
      <c r="AH247" s="26"/>
    </row>
    <row r="248" spans="1:34" x14ac:dyDescent="0.25">
      <c r="A248" s="70" t="s">
        <v>22</v>
      </c>
      <c r="B248" s="27">
        <f>($C$17+SUM(B249:B279))*$B$51</f>
        <v>6953.3284670000676</v>
      </c>
      <c r="C248" s="27">
        <f t="shared" ref="C248:AF248" si="234">($C$17+SUM(C249:C279))*$B$51</f>
        <v>6951.719368029665</v>
      </c>
      <c r="D248" s="27">
        <f t="shared" si="234"/>
        <v>6936.9525609929187</v>
      </c>
      <c r="E248" s="27">
        <f t="shared" si="234"/>
        <v>6859.9595530738579</v>
      </c>
      <c r="F248" s="27">
        <f t="shared" si="234"/>
        <v>6695.5381103462032</v>
      </c>
      <c r="G248" s="27">
        <f t="shared" si="234"/>
        <v>6579.9083168961279</v>
      </c>
      <c r="H248" s="27">
        <f t="shared" si="234"/>
        <v>6466.0426710819838</v>
      </c>
      <c r="I248" s="27">
        <f t="shared" si="234"/>
        <v>6339.0301548519674</v>
      </c>
      <c r="J248" s="27">
        <f t="shared" si="234"/>
        <v>6203.4242204213651</v>
      </c>
      <c r="K248" s="27">
        <f t="shared" si="234"/>
        <v>6050.8236637063646</v>
      </c>
      <c r="L248" s="27">
        <f t="shared" si="234"/>
        <v>5884.5220328355181</v>
      </c>
      <c r="M248" s="27">
        <f t="shared" si="234"/>
        <v>5709.8906977636279</v>
      </c>
      <c r="N248" s="27">
        <f t="shared" si="234"/>
        <v>5547.2453409959162</v>
      </c>
      <c r="O248" s="27">
        <f t="shared" si="234"/>
        <v>5364.9217070286149</v>
      </c>
      <c r="P248" s="27">
        <f t="shared" si="234"/>
        <v>5142.3152210957614</v>
      </c>
      <c r="Q248" s="27">
        <f t="shared" si="234"/>
        <v>4901.7302684960787</v>
      </c>
      <c r="R248" s="27">
        <f t="shared" si="234"/>
        <v>4661.0296242031955</v>
      </c>
      <c r="S248" s="27">
        <f t="shared" si="234"/>
        <v>4298.8526737648272</v>
      </c>
      <c r="T248" s="27">
        <f t="shared" si="234"/>
        <v>3673.6223576411739</v>
      </c>
      <c r="U248" s="27">
        <f t="shared" si="234"/>
        <v>3055.9870321835369</v>
      </c>
      <c r="V248" s="27">
        <f t="shared" si="234"/>
        <v>2586.3824764619744</v>
      </c>
      <c r="W248" s="27">
        <f t="shared" si="234"/>
        <v>2247.3303793398832</v>
      </c>
      <c r="X248" s="27">
        <f t="shared" si="234"/>
        <v>1979.311928558875</v>
      </c>
      <c r="Y248" s="27">
        <f t="shared" si="234"/>
        <v>1753.9231566711962</v>
      </c>
      <c r="Z248" s="27">
        <f t="shared" si="234"/>
        <v>1541.2958990910549</v>
      </c>
      <c r="AA248" s="27">
        <f t="shared" si="234"/>
        <v>1325.7203731553284</v>
      </c>
      <c r="AB248" s="27">
        <f t="shared" si="234"/>
        <v>1090.343219079132</v>
      </c>
      <c r="AC248" s="27">
        <f t="shared" si="234"/>
        <v>838.63800508043767</v>
      </c>
      <c r="AD248" s="27">
        <f t="shared" si="234"/>
        <v>600.54060257686149</v>
      </c>
      <c r="AE248" s="27">
        <f t="shared" si="234"/>
        <v>415.97935916143035</v>
      </c>
      <c r="AF248" s="27">
        <f t="shared" si="234"/>
        <v>297.6856546604198</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8.3825387914736281E-3</v>
      </c>
      <c r="C251" s="3">
        <f t="shared" si="237"/>
        <v>8.2100038518351445E-3</v>
      </c>
      <c r="D251" s="3">
        <f t="shared" si="237"/>
        <v>6.6683939824786851E-3</v>
      </c>
      <c r="E251" s="3">
        <f t="shared" si="237"/>
        <v>8.3329763925495365E-4</v>
      </c>
      <c r="F251" s="3">
        <f t="shared" si="237"/>
        <v>7.737295023133477E-13</v>
      </c>
      <c r="G251" s="3">
        <f t="shared" si="237"/>
        <v>3.6853539974187062E-103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2.9201017258442548E-2</v>
      </c>
      <c r="C252" s="3">
        <f t="shared" si="238"/>
        <v>2.9146284541358262E-2</v>
      </c>
      <c r="D252" s="3">
        <f t="shared" si="238"/>
        <v>2.8604568095284371E-2</v>
      </c>
      <c r="E252" s="3">
        <f t="shared" si="238"/>
        <v>2.3711407670852919E-2</v>
      </c>
      <c r="F252" s="3">
        <f t="shared" si="238"/>
        <v>3.6322586355061401E-3</v>
      </c>
      <c r="G252" s="3">
        <f t="shared" si="238"/>
        <v>2.5844672916330485E-11</v>
      </c>
      <c r="H252" s="3">
        <f t="shared" si="238"/>
        <v>8.5963441292818779E-93</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1.5151044449771243E-2</v>
      </c>
      <c r="C253" s="3">
        <f t="shared" si="239"/>
        <v>1.5148480504399884E-2</v>
      </c>
      <c r="D253" s="3">
        <f t="shared" si="239"/>
        <v>1.5122864902268296E-2</v>
      </c>
      <c r="E253" s="3">
        <f t="shared" si="239"/>
        <v>1.4869079170953467E-2</v>
      </c>
      <c r="F253" s="3">
        <f t="shared" si="239"/>
        <v>1.2554056761369486E-2</v>
      </c>
      <c r="G253" s="3">
        <f t="shared" si="239"/>
        <v>2.3109163662768956E-3</v>
      </c>
      <c r="H253" s="3">
        <f t="shared" si="239"/>
        <v>1.0322517610907053E-10</v>
      </c>
      <c r="I253" s="3">
        <f t="shared" si="239"/>
        <v>3.2643722248163748E-84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1.7014086459988038E-2</v>
      </c>
      <c r="C254" s="3">
        <f t="shared" si="240"/>
        <v>1.7013826710406837E-2</v>
      </c>
      <c r="D254" s="3">
        <f t="shared" si="240"/>
        <v>1.7011229432688905E-2</v>
      </c>
      <c r="E254" s="3">
        <f t="shared" si="240"/>
        <v>1.6985278452602958E-2</v>
      </c>
      <c r="F254" s="3">
        <f t="shared" si="240"/>
        <v>1.6727936098599887E-2</v>
      </c>
      <c r="G254" s="3">
        <f t="shared" si="240"/>
        <v>1.435949804515429E-2</v>
      </c>
      <c r="H254" s="3">
        <f t="shared" si="240"/>
        <v>3.1196670031701118E-3</v>
      </c>
      <c r="I254" s="3">
        <f t="shared" si="240"/>
        <v>7.3079916920772354E-10</v>
      </c>
      <c r="J254" s="3">
        <f t="shared" si="240"/>
        <v>3.6366047409709027E-76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1.9388960162402994E-2</v>
      </c>
      <c r="C255" s="3">
        <f t="shared" si="241"/>
        <v>1.9388933460000007E-2</v>
      </c>
      <c r="D255" s="3">
        <f t="shared" si="241"/>
        <v>1.93886664379927E-2</v>
      </c>
      <c r="E255" s="3">
        <f t="shared" si="241"/>
        <v>1.9385996420167952E-2</v>
      </c>
      <c r="F255" s="3">
        <f t="shared" si="241"/>
        <v>1.9359316456451215E-2</v>
      </c>
      <c r="G255" s="3">
        <f t="shared" si="241"/>
        <v>1.9094528009615998E-2</v>
      </c>
      <c r="H255" s="3">
        <f t="shared" si="241"/>
        <v>1.6637881003678009E-2</v>
      </c>
      <c r="I255" s="3">
        <f t="shared" si="241"/>
        <v>4.1974823189464081E-3</v>
      </c>
      <c r="J255" s="3">
        <f t="shared" si="241"/>
        <v>4.3842720147363877E-9</v>
      </c>
      <c r="K255" s="3">
        <f t="shared" si="241"/>
        <v>6.7761599799955358E-69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2.0066914432497508E-2</v>
      </c>
      <c r="C256" s="3">
        <f t="shared" si="242"/>
        <v>2.0066911939491706E-2</v>
      </c>
      <c r="D256" s="3">
        <f t="shared" si="242"/>
        <v>2.0066887009450713E-2</v>
      </c>
      <c r="E256" s="3">
        <f t="shared" si="242"/>
        <v>2.0066637710744194E-2</v>
      </c>
      <c r="F256" s="3">
        <f t="shared" si="242"/>
        <v>2.0064144894015049E-2</v>
      </c>
      <c r="G256" s="3">
        <f t="shared" si="242"/>
        <v>2.0039233752500479E-2</v>
      </c>
      <c r="H256" s="3">
        <f t="shared" si="242"/>
        <v>1.9791817114773951E-2</v>
      </c>
      <c r="I256" s="3">
        <f t="shared" si="242"/>
        <v>1.7479590302582813E-2</v>
      </c>
      <c r="J256" s="3">
        <f t="shared" si="242"/>
        <v>5.0464624772846838E-3</v>
      </c>
      <c r="K256" s="3">
        <f t="shared" si="242"/>
        <v>2.0302290661265554E-8</v>
      </c>
      <c r="L256" s="3">
        <f t="shared" si="242"/>
        <v>2.2548879627802662E-62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2.369770280667419E-2</v>
      </c>
      <c r="C257" s="3">
        <f t="shared" si="243"/>
        <v>2.3697702541094073E-2</v>
      </c>
      <c r="D257" s="3">
        <f t="shared" si="243"/>
        <v>2.3697699885293088E-2</v>
      </c>
      <c r="E257" s="3">
        <f t="shared" si="243"/>
        <v>2.3697673327299586E-2</v>
      </c>
      <c r="F257" s="3">
        <f t="shared" si="243"/>
        <v>2.3697407749001552E-2</v>
      </c>
      <c r="G257" s="3">
        <f t="shared" si="243"/>
        <v>2.3694752129713233E-2</v>
      </c>
      <c r="H257" s="3">
        <f t="shared" si="243"/>
        <v>2.3668212299247912E-2</v>
      </c>
      <c r="I257" s="3">
        <f t="shared" si="243"/>
        <v>2.3404443471848425E-2</v>
      </c>
      <c r="J257" s="3">
        <f t="shared" si="243"/>
        <v>2.0923143957018941E-2</v>
      </c>
      <c r="K257" s="3">
        <f t="shared" si="243"/>
        <v>6.8220231421559458E-3</v>
      </c>
      <c r="L257" s="3">
        <f t="shared" si="243"/>
        <v>9.2635113978241919E-8</v>
      </c>
      <c r="M257" s="3">
        <f t="shared" si="243"/>
        <v>1.9742409646142565E-56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2.5320350025374441E-2</v>
      </c>
      <c r="C258" s="3">
        <f t="shared" si="244"/>
        <v>2.5320349999776462E-2</v>
      </c>
      <c r="D258" s="3">
        <f t="shared" si="244"/>
        <v>2.5320349743796718E-2</v>
      </c>
      <c r="E258" s="3">
        <f t="shared" si="244"/>
        <v>2.5320347183999413E-2</v>
      </c>
      <c r="F258" s="3">
        <f t="shared" si="244"/>
        <v>2.5320321586040584E-2</v>
      </c>
      <c r="G258" s="3">
        <f t="shared" si="244"/>
        <v>2.5320065607875621E-2</v>
      </c>
      <c r="H258" s="3">
        <f t="shared" si="244"/>
        <v>2.53175059685526E-2</v>
      </c>
      <c r="I258" s="3">
        <f t="shared" si="244"/>
        <v>2.5291923802662274E-2</v>
      </c>
      <c r="J258" s="3">
        <f t="shared" si="244"/>
        <v>2.5037519570272761E-2</v>
      </c>
      <c r="K258" s="3">
        <f t="shared" si="244"/>
        <v>2.2630058259161676E-2</v>
      </c>
      <c r="L258" s="3">
        <f t="shared" si="244"/>
        <v>8.2343509821660443E-3</v>
      </c>
      <c r="M258" s="3">
        <f t="shared" si="244"/>
        <v>3.3501665591339748E-7</v>
      </c>
      <c r="N258" s="3">
        <f t="shared" si="244"/>
        <v>4.1632898421349624E-51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2.7427493098871714E-2</v>
      </c>
      <c r="C259" s="3">
        <f t="shared" si="245"/>
        <v>2.7427493096370395E-2</v>
      </c>
      <c r="D259" s="3">
        <f t="shared" si="245"/>
        <v>2.7427493071357233E-2</v>
      </c>
      <c r="E259" s="3">
        <f t="shared" si="245"/>
        <v>2.742749282122561E-2</v>
      </c>
      <c r="F259" s="3">
        <f t="shared" si="245"/>
        <v>2.7427490319909497E-2</v>
      </c>
      <c r="G259" s="3">
        <f t="shared" si="245"/>
        <v>2.742746530676092E-2</v>
      </c>
      <c r="H259" s="3">
        <f t="shared" si="245"/>
        <v>2.7427215176529771E-2</v>
      </c>
      <c r="I259" s="3">
        <f t="shared" si="245"/>
        <v>2.7424713999676015E-2</v>
      </c>
      <c r="J259" s="3">
        <f t="shared" si="245"/>
        <v>2.739971477268139E-2</v>
      </c>
      <c r="K259" s="3">
        <f t="shared" si="245"/>
        <v>2.7150972435433737E-2</v>
      </c>
      <c r="L259" s="3">
        <f t="shared" si="245"/>
        <v>2.4784425599109691E-2</v>
      </c>
      <c r="M259" s="3">
        <f t="shared" si="245"/>
        <v>9.9566571290702482E-3</v>
      </c>
      <c r="N259" s="3">
        <f t="shared" si="245"/>
        <v>1.0900853135776349E-6</v>
      </c>
      <c r="O259" s="3">
        <f t="shared" si="245"/>
        <v>2.6973037450553785E-46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2.115252488585374E-2</v>
      </c>
      <c r="C260" s="3">
        <f t="shared" si="246"/>
        <v>2.1152524885679723E-2</v>
      </c>
      <c r="D260" s="3">
        <f t="shared" si="246"/>
        <v>2.1152524883939552E-2</v>
      </c>
      <c r="E260" s="3">
        <f t="shared" si="246"/>
        <v>2.1152524866537868E-2</v>
      </c>
      <c r="F260" s="3">
        <f t="shared" si="246"/>
        <v>2.1152524692521022E-2</v>
      </c>
      <c r="G260" s="3">
        <f t="shared" si="246"/>
        <v>2.1152522952352638E-2</v>
      </c>
      <c r="H260" s="3">
        <f t="shared" si="246"/>
        <v>2.1152505550676666E-2</v>
      </c>
      <c r="I260" s="3">
        <f t="shared" si="246"/>
        <v>2.1152331534704309E-2</v>
      </c>
      <c r="J260" s="3">
        <f t="shared" si="246"/>
        <v>2.1150591453715839E-2</v>
      </c>
      <c r="K260" s="3">
        <f t="shared" si="246"/>
        <v>2.1133198514944954E-2</v>
      </c>
      <c r="L260" s="3">
        <f t="shared" si="246"/>
        <v>2.0960053847990628E-2</v>
      </c>
      <c r="M260" s="3">
        <f t="shared" si="246"/>
        <v>1.9304742295228106E-2</v>
      </c>
      <c r="N260" s="3">
        <f t="shared" si="246"/>
        <v>8.4796934572530808E-3</v>
      </c>
      <c r="O260" s="3">
        <f t="shared" si="246"/>
        <v>2.2674702360080789E-6</v>
      </c>
      <c r="P260" s="3">
        <f t="shared" si="246"/>
        <v>4.2379518481845695E-42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3.1343464608073544E-2</v>
      </c>
      <c r="C261" s="3">
        <f t="shared" si="247"/>
        <v>3.1343464608050285E-2</v>
      </c>
      <c r="D261" s="3">
        <f t="shared" si="247"/>
        <v>3.134346460781768E-2</v>
      </c>
      <c r="E261" s="3">
        <f t="shared" si="247"/>
        <v>3.134346460549161E-2</v>
      </c>
      <c r="F261" s="3">
        <f t="shared" si="247"/>
        <v>3.1343464582230918E-2</v>
      </c>
      <c r="G261" s="3">
        <f t="shared" si="247"/>
        <v>3.1343464349623977E-2</v>
      </c>
      <c r="H261" s="3">
        <f t="shared" si="247"/>
        <v>3.1343462023554661E-2</v>
      </c>
      <c r="I261" s="3">
        <f t="shared" si="247"/>
        <v>3.1343438762870969E-2</v>
      </c>
      <c r="J261" s="3">
        <f t="shared" si="247"/>
        <v>3.1343206156983473E-2</v>
      </c>
      <c r="K261" s="3">
        <f t="shared" si="247"/>
        <v>3.1340880193048246E-2</v>
      </c>
      <c r="L261" s="3">
        <f t="shared" si="247"/>
        <v>3.1317630045058012E-2</v>
      </c>
      <c r="M261" s="3">
        <f t="shared" si="247"/>
        <v>3.108607510033861E-2</v>
      </c>
      <c r="N261" s="3">
        <f t="shared" si="247"/>
        <v>2.8862630913025329E-2</v>
      </c>
      <c r="O261" s="3">
        <f t="shared" si="247"/>
        <v>1.3741563678090181E-2</v>
      </c>
      <c r="P261" s="3">
        <f t="shared" si="247"/>
        <v>8.2231562814863286E-6</v>
      </c>
      <c r="Q261" s="3">
        <f t="shared" si="247"/>
        <v>4.8424198175747718E-38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3.4656588439423978E-2</v>
      </c>
      <c r="C262" s="3">
        <f t="shared" si="248"/>
        <v>3.4656588439421654E-2</v>
      </c>
      <c r="D262" s="3">
        <f t="shared" si="248"/>
        <v>3.4656588439398457E-2</v>
      </c>
      <c r="E262" s="3">
        <f t="shared" si="248"/>
        <v>3.4656588439166448E-2</v>
      </c>
      <c r="F262" s="3">
        <f t="shared" si="248"/>
        <v>3.4656588436846339E-2</v>
      </c>
      <c r="G262" s="3">
        <f t="shared" si="248"/>
        <v>3.4656588413645266E-2</v>
      </c>
      <c r="H262" s="3">
        <f t="shared" si="248"/>
        <v>3.4656588181634536E-2</v>
      </c>
      <c r="I262" s="3">
        <f t="shared" si="248"/>
        <v>3.4656585861527325E-2</v>
      </c>
      <c r="J262" s="3">
        <f t="shared" si="248"/>
        <v>3.4656562660463727E-2</v>
      </c>
      <c r="K262" s="3">
        <f t="shared" si="248"/>
        <v>3.4656330650682063E-2</v>
      </c>
      <c r="L262" s="3">
        <f t="shared" si="248"/>
        <v>3.4654010638289656E-2</v>
      </c>
      <c r="M262" s="3">
        <f t="shared" si="248"/>
        <v>3.4630819054672995E-2</v>
      </c>
      <c r="N262" s="3">
        <f t="shared" si="248"/>
        <v>3.4399755137606659E-2</v>
      </c>
      <c r="O262" s="3">
        <f t="shared" si="248"/>
        <v>3.2172234938585273E-2</v>
      </c>
      <c r="P262" s="3">
        <f t="shared" si="248"/>
        <v>1.6471761078717288E-2</v>
      </c>
      <c r="Q262" s="3">
        <f t="shared" si="248"/>
        <v>2.0385814213115575E-5</v>
      </c>
      <c r="R262" s="3">
        <f t="shared" si="248"/>
        <v>1.7187326957902304E-34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3.7950010383388313E-2</v>
      </c>
      <c r="C263" s="3">
        <f t="shared" si="249"/>
        <v>3.7950010383388091E-2</v>
      </c>
      <c r="D263" s="3">
        <f t="shared" si="249"/>
        <v>3.7950010383385795E-2</v>
      </c>
      <c r="E263" s="3">
        <f t="shared" si="249"/>
        <v>3.7950010383362875E-2</v>
      </c>
      <c r="F263" s="3">
        <f t="shared" si="249"/>
        <v>3.7950010383133691E-2</v>
      </c>
      <c r="G263" s="3">
        <f t="shared" si="249"/>
        <v>3.7950010380841878E-2</v>
      </c>
      <c r="H263" s="3">
        <f t="shared" si="249"/>
        <v>3.7950010357923662E-2</v>
      </c>
      <c r="I263" s="3">
        <f t="shared" si="249"/>
        <v>3.7950010128741531E-2</v>
      </c>
      <c r="J263" s="3">
        <f t="shared" si="249"/>
        <v>3.7950007836920305E-2</v>
      </c>
      <c r="K263" s="3">
        <f t="shared" si="249"/>
        <v>3.7949984918715672E-2</v>
      </c>
      <c r="L263" s="3">
        <f t="shared" si="249"/>
        <v>3.7949755737430549E-2</v>
      </c>
      <c r="M263" s="3">
        <f t="shared" si="249"/>
        <v>3.7947464000699822E-2</v>
      </c>
      <c r="N263" s="3">
        <f t="shared" si="249"/>
        <v>3.7924554243739847E-2</v>
      </c>
      <c r="O263" s="3">
        <f t="shared" si="249"/>
        <v>3.7696216011123398E-2</v>
      </c>
      <c r="P263" s="3">
        <f t="shared" si="249"/>
        <v>3.5487097742597055E-2</v>
      </c>
      <c r="Q263" s="3">
        <f t="shared" si="249"/>
        <v>1.9399821567070305E-2</v>
      </c>
      <c r="R263" s="3">
        <f t="shared" si="249"/>
        <v>4.6245583452370438E-5</v>
      </c>
      <c r="S263" s="3">
        <f t="shared" si="249"/>
        <v>2.740283772775227E-31</v>
      </c>
      <c r="T263" s="3">
        <f t="shared" si="249"/>
        <v>1.4623397922143091E-293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2.6059196805461548E-2</v>
      </c>
      <c r="C264" s="3">
        <f t="shared" si="250"/>
        <v>2.6059196805461537E-2</v>
      </c>
      <c r="D264" s="3">
        <f t="shared" si="250"/>
        <v>2.6059196805461392E-2</v>
      </c>
      <c r="E264" s="3">
        <f t="shared" si="250"/>
        <v>2.6059196805459976E-2</v>
      </c>
      <c r="F264" s="3">
        <f t="shared" si="250"/>
        <v>2.6059196805445779E-2</v>
      </c>
      <c r="G264" s="3">
        <f t="shared" si="250"/>
        <v>2.6059196805303813E-2</v>
      </c>
      <c r="H264" s="3">
        <f t="shared" si="250"/>
        <v>2.6059196803884178E-2</v>
      </c>
      <c r="I264" s="3">
        <f t="shared" si="250"/>
        <v>2.6059196789687839E-2</v>
      </c>
      <c r="J264" s="3">
        <f t="shared" si="250"/>
        <v>2.6059196647724412E-2</v>
      </c>
      <c r="K264" s="3">
        <f t="shared" si="250"/>
        <v>2.60591952280902E-2</v>
      </c>
      <c r="L264" s="3">
        <f t="shared" si="250"/>
        <v>2.6059181031752351E-2</v>
      </c>
      <c r="M264" s="3">
        <f t="shared" si="250"/>
        <v>2.6059039068799236E-2</v>
      </c>
      <c r="N264" s="3">
        <f t="shared" si="250"/>
        <v>2.6057619481802893E-2</v>
      </c>
      <c r="O264" s="3">
        <f t="shared" si="250"/>
        <v>2.6043427864466989E-2</v>
      </c>
      <c r="P264" s="3">
        <f t="shared" si="250"/>
        <v>2.5901936097921213E-2</v>
      </c>
      <c r="Q264" s="3">
        <f t="shared" si="250"/>
        <v>2.4528615976875629E-2</v>
      </c>
      <c r="R264" s="3">
        <f t="shared" si="250"/>
        <v>1.4225947672742864E-2</v>
      </c>
      <c r="S264" s="3">
        <f t="shared" si="250"/>
        <v>6.1258003296298566E-5</v>
      </c>
      <c r="T264" s="3">
        <f t="shared" si="250"/>
        <v>1.3427004567818098E-28</v>
      </c>
      <c r="U264" s="3">
        <f t="shared" si="250"/>
        <v>3.4367040483611336E-265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8.9382665320782775E-2</v>
      </c>
      <c r="C265" s="3">
        <f t="shared" si="251"/>
        <v>8.9382665320782775E-2</v>
      </c>
      <c r="D265" s="3">
        <f t="shared" si="251"/>
        <v>8.938266532078272E-2</v>
      </c>
      <c r="E265" s="3">
        <f t="shared" si="251"/>
        <v>8.938266532078229E-2</v>
      </c>
      <c r="F265" s="3">
        <f t="shared" si="251"/>
        <v>8.938266532077789E-2</v>
      </c>
      <c r="G265" s="3">
        <f t="shared" si="251"/>
        <v>8.9382665320733967E-2</v>
      </c>
      <c r="H265" s="3">
        <f t="shared" si="251"/>
        <v>8.9382665320294721E-2</v>
      </c>
      <c r="I265" s="3">
        <f t="shared" si="251"/>
        <v>8.9382665315902179E-2</v>
      </c>
      <c r="J265" s="3">
        <f t="shared" si="251"/>
        <v>8.9382665271976816E-2</v>
      </c>
      <c r="K265" s="3">
        <f t="shared" si="251"/>
        <v>8.938266483272321E-2</v>
      </c>
      <c r="L265" s="3">
        <f t="shared" si="251"/>
        <v>8.9382660440187264E-2</v>
      </c>
      <c r="M265" s="3">
        <f t="shared" si="251"/>
        <v>8.9382616514839724E-2</v>
      </c>
      <c r="N265" s="3">
        <f t="shared" si="251"/>
        <v>8.9382177262551543E-2</v>
      </c>
      <c r="O265" s="3">
        <f t="shared" si="251"/>
        <v>8.937778485839179E-2</v>
      </c>
      <c r="P265" s="3">
        <f t="shared" si="251"/>
        <v>8.9333872686838012E-2</v>
      </c>
      <c r="Q265" s="3">
        <f t="shared" si="251"/>
        <v>8.8895935820199737E-2</v>
      </c>
      <c r="R265" s="3">
        <f t="shared" si="251"/>
        <v>8.4632925668480255E-2</v>
      </c>
      <c r="S265" s="3">
        <f t="shared" si="251"/>
        <v>5.1774252177689585E-2</v>
      </c>
      <c r="T265" s="3">
        <f t="shared" si="251"/>
        <v>3.8006566686646446E-4</v>
      </c>
      <c r="U265" s="3">
        <f t="shared" si="251"/>
        <v>1.7270570640531744E-25</v>
      </c>
      <c r="V265" s="3">
        <f t="shared" si="251"/>
        <v>6.4831663716924333E-239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0.10190344846068049</v>
      </c>
      <c r="C266" s="3">
        <f t="shared" si="252"/>
        <v>0.10190344846068049</v>
      </c>
      <c r="D266" s="3">
        <f t="shared" si="252"/>
        <v>0.10190344846068049</v>
      </c>
      <c r="E266" s="3">
        <f t="shared" si="252"/>
        <v>0.10190344846068045</v>
      </c>
      <c r="F266" s="3">
        <f t="shared" si="252"/>
        <v>0.10190344846067999</v>
      </c>
      <c r="G266" s="3">
        <f t="shared" si="252"/>
        <v>0.10190344846067546</v>
      </c>
      <c r="H266" s="3">
        <f t="shared" si="252"/>
        <v>0.10190344846063029</v>
      </c>
      <c r="I266" s="3">
        <f t="shared" si="252"/>
        <v>0.10190344846017854</v>
      </c>
      <c r="J266" s="3">
        <f t="shared" si="252"/>
        <v>0.10190344845566104</v>
      </c>
      <c r="K266" s="3">
        <f t="shared" si="252"/>
        <v>0.10190344841048612</v>
      </c>
      <c r="L266" s="3">
        <f t="shared" si="252"/>
        <v>0.10190344795873681</v>
      </c>
      <c r="M266" s="3">
        <f t="shared" si="252"/>
        <v>0.10190344344124372</v>
      </c>
      <c r="N266" s="3">
        <f t="shared" si="252"/>
        <v>0.10190339826632391</v>
      </c>
      <c r="O266" s="3">
        <f t="shared" si="252"/>
        <v>0.10190294651822739</v>
      </c>
      <c r="P266" s="3">
        <f t="shared" si="252"/>
        <v>0.10189842914740609</v>
      </c>
      <c r="Q266" s="3">
        <f t="shared" si="252"/>
        <v>0.10185326645178824</v>
      </c>
      <c r="R266" s="3">
        <f t="shared" si="252"/>
        <v>0.10140273895092998</v>
      </c>
      <c r="S266" s="3">
        <f t="shared" si="252"/>
        <v>9.7005627276191692E-2</v>
      </c>
      <c r="T266" s="3">
        <f t="shared" si="252"/>
        <v>6.2268636267010319E-2</v>
      </c>
      <c r="U266" s="3">
        <f t="shared" si="252"/>
        <v>7.3959440217736996E-4</v>
      </c>
      <c r="V266" s="3">
        <f t="shared" si="252"/>
        <v>4.1327223161999216E-23</v>
      </c>
      <c r="W266" s="3">
        <f t="shared" si="252"/>
        <v>1.2264852362897705E-215</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7.6951150711457764E-2</v>
      </c>
      <c r="C267" s="3">
        <f t="shared" si="253"/>
        <v>7.6951150711457764E-2</v>
      </c>
      <c r="D267" s="3">
        <f t="shared" si="253"/>
        <v>7.6951150711457764E-2</v>
      </c>
      <c r="E267" s="3">
        <f t="shared" si="253"/>
        <v>7.6951150711457764E-2</v>
      </c>
      <c r="F267" s="3">
        <f t="shared" si="253"/>
        <v>7.6951150711457736E-2</v>
      </c>
      <c r="G267" s="3">
        <f t="shared" si="253"/>
        <v>7.6951150711457417E-2</v>
      </c>
      <c r="H267" s="3">
        <f t="shared" si="253"/>
        <v>7.695115071145435E-2</v>
      </c>
      <c r="I267" s="3">
        <f t="shared" si="253"/>
        <v>7.6951150711423569E-2</v>
      </c>
      <c r="J267" s="3">
        <f t="shared" si="253"/>
        <v>7.6951150711115843E-2</v>
      </c>
      <c r="K267" s="3">
        <f t="shared" si="253"/>
        <v>7.695115070803854E-2</v>
      </c>
      <c r="L267" s="3">
        <f t="shared" si="253"/>
        <v>7.6951150677265504E-2</v>
      </c>
      <c r="M267" s="3">
        <f t="shared" si="253"/>
        <v>7.6951150369535148E-2</v>
      </c>
      <c r="N267" s="3">
        <f t="shared" si="253"/>
        <v>7.6951147292231695E-2</v>
      </c>
      <c r="O267" s="3">
        <f t="shared" si="253"/>
        <v>7.6951116519203819E-2</v>
      </c>
      <c r="P267" s="3">
        <f t="shared" si="253"/>
        <v>7.6950808789601893E-2</v>
      </c>
      <c r="Q267" s="3">
        <f t="shared" si="253"/>
        <v>7.6947731561265983E-2</v>
      </c>
      <c r="R267" s="3">
        <f t="shared" si="253"/>
        <v>7.6916966045228991E-2</v>
      </c>
      <c r="S267" s="3">
        <f t="shared" si="253"/>
        <v>7.6609986616813952E-2</v>
      </c>
      <c r="T267" s="3">
        <f t="shared" si="253"/>
        <v>7.36067762911429E-2</v>
      </c>
      <c r="U267" s="3">
        <f t="shared" si="253"/>
        <v>4.9344858645604145E-2</v>
      </c>
      <c r="V267" s="3">
        <f t="shared" si="253"/>
        <v>9.0465507761471617E-4</v>
      </c>
      <c r="W267" s="3">
        <f t="shared" si="253"/>
        <v>3.8805580469194733E-21</v>
      </c>
      <c r="X267" s="3">
        <f t="shared" si="253"/>
        <v>8.1847567094029011E-195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5.7921020050419839E-2</v>
      </c>
      <c r="C268" s="3">
        <f t="shared" si="254"/>
        <v>5.7921020050419839E-2</v>
      </c>
      <c r="D268" s="3">
        <f t="shared" si="254"/>
        <v>5.7921020050419839E-2</v>
      </c>
      <c r="E268" s="3">
        <f t="shared" si="254"/>
        <v>5.7921020050419839E-2</v>
      </c>
      <c r="F268" s="3">
        <f t="shared" si="254"/>
        <v>5.7921020050419839E-2</v>
      </c>
      <c r="G268" s="3">
        <f t="shared" si="254"/>
        <v>5.7921020050419811E-2</v>
      </c>
      <c r="H268" s="3">
        <f t="shared" si="254"/>
        <v>5.792102005041961E-2</v>
      </c>
      <c r="I268" s="3">
        <f t="shared" si="254"/>
        <v>5.7921020050417514E-2</v>
      </c>
      <c r="J268" s="3">
        <f t="shared" si="254"/>
        <v>5.7921020050396621E-2</v>
      </c>
      <c r="K268" s="3">
        <f t="shared" si="254"/>
        <v>5.7921020050187677E-2</v>
      </c>
      <c r="L268" s="3">
        <f t="shared" si="254"/>
        <v>5.7921020048098196E-2</v>
      </c>
      <c r="M268" s="3">
        <f t="shared" si="254"/>
        <v>5.7921020027203403E-2</v>
      </c>
      <c r="N268" s="3">
        <f t="shared" si="254"/>
        <v>5.7921019818255509E-2</v>
      </c>
      <c r="O268" s="3">
        <f t="shared" si="254"/>
        <v>5.7921017728776551E-2</v>
      </c>
      <c r="P268" s="3">
        <f t="shared" si="254"/>
        <v>5.7920996833991177E-2</v>
      </c>
      <c r="Q268" s="3">
        <f t="shared" si="254"/>
        <v>5.7920787886551958E-2</v>
      </c>
      <c r="R268" s="3">
        <f t="shared" si="254"/>
        <v>5.7918698453616649E-2</v>
      </c>
      <c r="S268" s="3">
        <f t="shared" si="254"/>
        <v>5.7897808269392989E-2</v>
      </c>
      <c r="T268" s="3">
        <f t="shared" si="254"/>
        <v>5.768932038736263E-2</v>
      </c>
      <c r="U268" s="3">
        <f t="shared" si="254"/>
        <v>5.5645290340873635E-2</v>
      </c>
      <c r="V268" s="3">
        <f t="shared" si="254"/>
        <v>3.8793441849995329E-2</v>
      </c>
      <c r="W268" s="3">
        <f t="shared" si="254"/>
        <v>1.0521007134713057E-3</v>
      </c>
      <c r="X268" s="3">
        <f t="shared" si="254"/>
        <v>2.2648911582199349E-19</v>
      </c>
      <c r="Y268" s="3">
        <f t="shared" si="254"/>
        <v>4.8411389604656866E-176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2.5285810572757812E-2</v>
      </c>
      <c r="C269" s="3">
        <f t="shared" si="255"/>
        <v>2.5285810572757812E-2</v>
      </c>
      <c r="D269" s="3">
        <f t="shared" si="255"/>
        <v>2.5285810572757812E-2</v>
      </c>
      <c r="E269" s="3">
        <f t="shared" si="255"/>
        <v>2.5285810572757812E-2</v>
      </c>
      <c r="F269" s="3">
        <f t="shared" si="255"/>
        <v>2.5285810572757812E-2</v>
      </c>
      <c r="G269" s="3">
        <f t="shared" si="255"/>
        <v>2.5285810572757812E-2</v>
      </c>
      <c r="H269" s="3">
        <f t="shared" si="255"/>
        <v>2.5285810572757805E-2</v>
      </c>
      <c r="I269" s="3">
        <f t="shared" si="255"/>
        <v>2.5285810572757719E-2</v>
      </c>
      <c r="J269" s="3">
        <f t="shared" si="255"/>
        <v>2.5285810572756896E-2</v>
      </c>
      <c r="K269" s="3">
        <f t="shared" si="255"/>
        <v>2.528581057274867E-2</v>
      </c>
      <c r="L269" s="3">
        <f t="shared" si="255"/>
        <v>2.5285810572666385E-2</v>
      </c>
      <c r="M269" s="3">
        <f t="shared" si="255"/>
        <v>2.5285810571843526E-2</v>
      </c>
      <c r="N269" s="3">
        <f t="shared" si="255"/>
        <v>2.5285810563614938E-2</v>
      </c>
      <c r="O269" s="3">
        <f t="shared" si="255"/>
        <v>2.5285810481329066E-2</v>
      </c>
      <c r="P269" s="3">
        <f t="shared" si="255"/>
        <v>2.5285809658470354E-2</v>
      </c>
      <c r="Q269" s="3">
        <f t="shared" si="255"/>
        <v>2.5285801429884715E-2</v>
      </c>
      <c r="R269" s="3">
        <f t="shared" si="255"/>
        <v>2.52857191441756E-2</v>
      </c>
      <c r="S269" s="3">
        <f t="shared" si="255"/>
        <v>2.5284896301812021E-2</v>
      </c>
      <c r="T269" s="3">
        <f t="shared" si="255"/>
        <v>2.527666935075408E-2</v>
      </c>
      <c r="U269" s="3">
        <f t="shared" si="255"/>
        <v>2.5194546920807418E-2</v>
      </c>
      <c r="V269" s="3">
        <f t="shared" si="255"/>
        <v>2.4387855120867843E-2</v>
      </c>
      <c r="W269" s="3">
        <f t="shared" si="255"/>
        <v>1.7613438311274879E-2</v>
      </c>
      <c r="X269" s="3">
        <f t="shared" si="255"/>
        <v>6.8006356164476906E-4</v>
      </c>
      <c r="Y269" s="3">
        <f t="shared" si="255"/>
        <v>5.0072945032213204E-18</v>
      </c>
      <c r="Z269" s="3">
        <f t="shared" si="255"/>
        <v>2.3449815495477094E-159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3.2366685021283446E-2</v>
      </c>
      <c r="C270" s="3">
        <f t="shared" si="256"/>
        <v>3.2366685021283446E-2</v>
      </c>
      <c r="D270" s="3">
        <f t="shared" si="256"/>
        <v>3.2366685021283446E-2</v>
      </c>
      <c r="E270" s="3">
        <f t="shared" si="256"/>
        <v>3.2366685021283446E-2</v>
      </c>
      <c r="F270" s="3">
        <f t="shared" si="256"/>
        <v>3.2366685021283446E-2</v>
      </c>
      <c r="G270" s="3">
        <f t="shared" si="256"/>
        <v>3.2366685021283446E-2</v>
      </c>
      <c r="H270" s="3">
        <f t="shared" si="256"/>
        <v>3.2366685021283439E-2</v>
      </c>
      <c r="I270" s="3">
        <f t="shared" si="256"/>
        <v>3.2366685021283412E-2</v>
      </c>
      <c r="J270" s="3">
        <f t="shared" si="256"/>
        <v>3.236668502128312E-2</v>
      </c>
      <c r="K270" s="3">
        <f t="shared" si="256"/>
        <v>3.2366685021280206E-2</v>
      </c>
      <c r="L270" s="3">
        <f t="shared" si="256"/>
        <v>3.2366685021251076E-2</v>
      </c>
      <c r="M270" s="3">
        <f t="shared" si="256"/>
        <v>3.2366685020959768E-2</v>
      </c>
      <c r="N270" s="3">
        <f t="shared" si="256"/>
        <v>3.236668501804664E-2</v>
      </c>
      <c r="O270" s="3">
        <f t="shared" si="256"/>
        <v>3.2366684988915366E-2</v>
      </c>
      <c r="P270" s="3">
        <f t="shared" si="256"/>
        <v>3.2366684697602621E-2</v>
      </c>
      <c r="Q270" s="3">
        <f t="shared" si="256"/>
        <v>3.2366681784475347E-2</v>
      </c>
      <c r="R270" s="3">
        <f t="shared" si="256"/>
        <v>3.2366652653217046E-2</v>
      </c>
      <c r="S270" s="3">
        <f t="shared" si="256"/>
        <v>3.2366361342076093E-2</v>
      </c>
      <c r="T270" s="3">
        <f t="shared" si="256"/>
        <v>3.2363448374867196E-2</v>
      </c>
      <c r="U270" s="3">
        <f t="shared" si="256"/>
        <v>3.2334333118047169E-2</v>
      </c>
      <c r="V270" s="3">
        <f t="shared" si="256"/>
        <v>3.2044617287783031E-2</v>
      </c>
      <c r="W270" s="3">
        <f t="shared" si="256"/>
        <v>2.9286461248738554E-2</v>
      </c>
      <c r="X270" s="3">
        <f t="shared" si="256"/>
        <v>1.1906523875231879E-2</v>
      </c>
      <c r="Y270" s="3">
        <f t="shared" si="256"/>
        <v>1.4688108717264931E-6</v>
      </c>
      <c r="Z270" s="3">
        <f t="shared" si="256"/>
        <v>1.198877447816014E-45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3.1308799332550319E-2</v>
      </c>
      <c r="C271" s="3">
        <f t="shared" si="257"/>
        <v>3.1308799332550319E-2</v>
      </c>
      <c r="D271" s="3">
        <f t="shared" si="257"/>
        <v>3.1308799332550319E-2</v>
      </c>
      <c r="E271" s="3">
        <f t="shared" si="257"/>
        <v>3.1308799332550319E-2</v>
      </c>
      <c r="F271" s="3">
        <f t="shared" si="257"/>
        <v>3.1308799332550319E-2</v>
      </c>
      <c r="G271" s="3">
        <f t="shared" si="257"/>
        <v>3.1308799332550319E-2</v>
      </c>
      <c r="H271" s="3">
        <f t="shared" si="257"/>
        <v>3.1308799332550319E-2</v>
      </c>
      <c r="I271" s="3">
        <f t="shared" si="257"/>
        <v>3.1308799332550312E-2</v>
      </c>
      <c r="J271" s="3">
        <f t="shared" si="257"/>
        <v>3.1308799332550284E-2</v>
      </c>
      <c r="K271" s="3">
        <f t="shared" si="257"/>
        <v>3.1308799332550007E-2</v>
      </c>
      <c r="L271" s="3">
        <f t="shared" si="257"/>
        <v>3.1308799332547189E-2</v>
      </c>
      <c r="M271" s="3">
        <f t="shared" si="257"/>
        <v>3.1308799332519011E-2</v>
      </c>
      <c r="N271" s="3">
        <f t="shared" si="257"/>
        <v>3.1308799332237215E-2</v>
      </c>
      <c r="O271" s="3">
        <f t="shared" si="257"/>
        <v>3.1308799329419303E-2</v>
      </c>
      <c r="P271" s="3">
        <f t="shared" si="257"/>
        <v>3.130879930124017E-2</v>
      </c>
      <c r="Q271" s="3">
        <f t="shared" si="257"/>
        <v>3.1308799019448809E-2</v>
      </c>
      <c r="R271" s="3">
        <f t="shared" si="257"/>
        <v>3.1308796201535351E-2</v>
      </c>
      <c r="S271" s="3">
        <f t="shared" si="257"/>
        <v>3.1308768022414758E-2</v>
      </c>
      <c r="T271" s="3">
        <f t="shared" si="257"/>
        <v>3.1308486232603738E-2</v>
      </c>
      <c r="U271" s="3">
        <f t="shared" si="257"/>
        <v>3.1305668473981078E-2</v>
      </c>
      <c r="V271" s="3">
        <f t="shared" si="257"/>
        <v>3.1277504831868995E-2</v>
      </c>
      <c r="W271" s="3">
        <f t="shared" si="257"/>
        <v>3.0997258189766525E-2</v>
      </c>
      <c r="X271" s="3">
        <f t="shared" si="257"/>
        <v>2.8329250826716491E-2</v>
      </c>
      <c r="Y271" s="3">
        <f t="shared" si="257"/>
        <v>1.151736628303841E-2</v>
      </c>
      <c r="Z271" s="3">
        <f t="shared" si="257"/>
        <v>1.4208036692702229E-6</v>
      </c>
      <c r="AA271" s="3">
        <f t="shared" si="257"/>
        <v>1.15969285743379E-45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2.9628011896189826E-2</v>
      </c>
      <c r="C272" s="3">
        <f t="shared" si="258"/>
        <v>2.9628011896189826E-2</v>
      </c>
      <c r="D272" s="3">
        <f t="shared" si="258"/>
        <v>2.9628011896189826E-2</v>
      </c>
      <c r="E272" s="3">
        <f t="shared" si="258"/>
        <v>2.9628011896189826E-2</v>
      </c>
      <c r="F272" s="3">
        <f t="shared" si="258"/>
        <v>2.9628011896189826E-2</v>
      </c>
      <c r="G272" s="3">
        <f t="shared" si="258"/>
        <v>2.9628011896189826E-2</v>
      </c>
      <c r="H272" s="3">
        <f t="shared" si="258"/>
        <v>2.9628011896189826E-2</v>
      </c>
      <c r="I272" s="3">
        <f t="shared" si="258"/>
        <v>2.9628011896189826E-2</v>
      </c>
      <c r="J272" s="3">
        <f t="shared" si="258"/>
        <v>2.9628011896189823E-2</v>
      </c>
      <c r="K272" s="3">
        <f t="shared" si="258"/>
        <v>2.9628011896189795E-2</v>
      </c>
      <c r="L272" s="3">
        <f t="shared" si="258"/>
        <v>2.9628011896189532E-2</v>
      </c>
      <c r="M272" s="3">
        <f t="shared" si="258"/>
        <v>2.9628011896186864E-2</v>
      </c>
      <c r="N272" s="3">
        <f t="shared" si="258"/>
        <v>2.9628011896160197E-2</v>
      </c>
      <c r="O272" s="3">
        <f t="shared" si="258"/>
        <v>2.9628011895893532E-2</v>
      </c>
      <c r="P272" s="3">
        <f t="shared" si="258"/>
        <v>2.9628011893226898E-2</v>
      </c>
      <c r="Q272" s="3">
        <f t="shared" si="258"/>
        <v>2.9628011866560534E-2</v>
      </c>
      <c r="R272" s="3">
        <f t="shared" si="258"/>
        <v>2.9628011599896916E-2</v>
      </c>
      <c r="S272" s="3">
        <f t="shared" si="258"/>
        <v>2.9628008933260851E-2</v>
      </c>
      <c r="T272" s="3">
        <f t="shared" si="258"/>
        <v>2.9627982266913436E-2</v>
      </c>
      <c r="U272" s="3">
        <f t="shared" si="258"/>
        <v>2.9627715604759308E-2</v>
      </c>
      <c r="V272" s="3">
        <f t="shared" si="258"/>
        <v>2.9625049115217312E-2</v>
      </c>
      <c r="W272" s="3">
        <f t="shared" si="258"/>
        <v>2.9598397415333402E-2</v>
      </c>
      <c r="X272" s="3">
        <f t="shared" si="258"/>
        <v>2.9333195586355984E-2</v>
      </c>
      <c r="Y272" s="3">
        <f t="shared" si="258"/>
        <v>2.6808418029351869E-2</v>
      </c>
      <c r="Z272" s="3">
        <f t="shared" si="258"/>
        <v>1.0899065838397372E-2</v>
      </c>
      <c r="AA272" s="3">
        <f t="shared" si="258"/>
        <v>1.3445289794784137E-6</v>
      </c>
      <c r="AB272" s="3">
        <f t="shared" si="258"/>
        <v>1.0974356892777047E-45</v>
      </c>
      <c r="AC272" s="3">
        <f t="shared" si="258"/>
        <v>0</v>
      </c>
      <c r="AD272" s="3">
        <f t="shared" si="258"/>
        <v>0</v>
      </c>
      <c r="AE272" s="3">
        <f t="shared" si="258"/>
        <v>0</v>
      </c>
      <c r="AF272" s="3">
        <f t="shared" si="258"/>
        <v>0</v>
      </c>
      <c r="AG272" s="3"/>
      <c r="AH272" s="3"/>
    </row>
    <row r="273" spans="1:34" x14ac:dyDescent="0.25">
      <c r="B273" s="3">
        <f t="shared" ref="B273:AF273" si="259">$C42*EXP(-B$246/$A42/EXP(-$E$126))</f>
        <v>3.0878251841692891E-2</v>
      </c>
      <c r="C273" s="3">
        <f t="shared" si="259"/>
        <v>3.0878251841692891E-2</v>
      </c>
      <c r="D273" s="3">
        <f t="shared" si="259"/>
        <v>3.0878251841692891E-2</v>
      </c>
      <c r="E273" s="3">
        <f t="shared" si="259"/>
        <v>3.0878251841692891E-2</v>
      </c>
      <c r="F273" s="3">
        <f t="shared" si="259"/>
        <v>3.0878251841692891E-2</v>
      </c>
      <c r="G273" s="3">
        <f t="shared" si="259"/>
        <v>3.0878251841692891E-2</v>
      </c>
      <c r="H273" s="3">
        <f t="shared" si="259"/>
        <v>3.0878251841692891E-2</v>
      </c>
      <c r="I273" s="3">
        <f t="shared" si="259"/>
        <v>3.0878251841692891E-2</v>
      </c>
      <c r="J273" s="3">
        <f t="shared" si="259"/>
        <v>3.0878251841692891E-2</v>
      </c>
      <c r="K273" s="3">
        <f t="shared" si="259"/>
        <v>3.0878251841692888E-2</v>
      </c>
      <c r="L273" s="3">
        <f t="shared" si="259"/>
        <v>3.087825184169286E-2</v>
      </c>
      <c r="M273" s="3">
        <f t="shared" si="259"/>
        <v>3.0878251841692583E-2</v>
      </c>
      <c r="N273" s="3">
        <f t="shared" si="259"/>
        <v>3.0878251841689804E-2</v>
      </c>
      <c r="O273" s="3">
        <f t="shared" si="259"/>
        <v>3.087825184166201E-2</v>
      </c>
      <c r="P273" s="3">
        <f t="shared" si="259"/>
        <v>3.0878251841384097E-2</v>
      </c>
      <c r="Q273" s="3">
        <f t="shared" si="259"/>
        <v>3.0878251838604931E-2</v>
      </c>
      <c r="R273" s="3">
        <f t="shared" si="259"/>
        <v>3.0878251810813308E-2</v>
      </c>
      <c r="S273" s="3">
        <f t="shared" si="259"/>
        <v>3.0878251532897041E-2</v>
      </c>
      <c r="T273" s="3">
        <f t="shared" si="259"/>
        <v>3.087824875373453E-2</v>
      </c>
      <c r="U273" s="3">
        <f t="shared" si="259"/>
        <v>3.0878220962123198E-2</v>
      </c>
      <c r="V273" s="3">
        <f t="shared" si="259"/>
        <v>3.0877943047385593E-2</v>
      </c>
      <c r="W273" s="3">
        <f t="shared" si="259"/>
        <v>3.0875164037578947E-2</v>
      </c>
      <c r="X273" s="3">
        <f t="shared" si="259"/>
        <v>3.0847387691872452E-2</v>
      </c>
      <c r="Y273" s="3">
        <f t="shared" si="259"/>
        <v>3.0570994902078302E-2</v>
      </c>
      <c r="Z273" s="3">
        <f t="shared" si="259"/>
        <v>2.7939677028891777E-2</v>
      </c>
      <c r="AA273" s="3">
        <f t="shared" si="259"/>
        <v>1.135898355166063E-2</v>
      </c>
      <c r="AB273" s="3">
        <f t="shared" si="259"/>
        <v>1.4012652817291414E-6</v>
      </c>
      <c r="AC273" s="3">
        <f t="shared" si="259"/>
        <v>1.1437451730582253E-45</v>
      </c>
      <c r="AD273" s="3">
        <f t="shared" si="259"/>
        <v>0</v>
      </c>
      <c r="AE273" s="3">
        <f t="shared" si="259"/>
        <v>0</v>
      </c>
      <c r="AF273" s="3">
        <f t="shared" si="259"/>
        <v>0</v>
      </c>
      <c r="AG273" s="3"/>
      <c r="AH273" s="3"/>
    </row>
    <row r="274" spans="1:34" x14ac:dyDescent="0.25">
      <c r="B274" s="3">
        <f t="shared" ref="B274:AF274" si="260">$C43*EXP(-B$246/$A43/EXP(-$E$126))</f>
        <v>3.5015955138041704E-2</v>
      </c>
      <c r="C274" s="3">
        <f t="shared" si="260"/>
        <v>3.5015955138041704E-2</v>
      </c>
      <c r="D274" s="3">
        <f t="shared" si="260"/>
        <v>3.5015955138041704E-2</v>
      </c>
      <c r="E274" s="3">
        <f t="shared" si="260"/>
        <v>3.5015955138041704E-2</v>
      </c>
      <c r="F274" s="3">
        <f t="shared" si="260"/>
        <v>3.5015955138041704E-2</v>
      </c>
      <c r="G274" s="3">
        <f t="shared" si="260"/>
        <v>3.5015955138041704E-2</v>
      </c>
      <c r="H274" s="3">
        <f t="shared" si="260"/>
        <v>3.5015955138041704E-2</v>
      </c>
      <c r="I274" s="3">
        <f t="shared" si="260"/>
        <v>3.5015955138041704E-2</v>
      </c>
      <c r="J274" s="3">
        <f t="shared" si="260"/>
        <v>3.5015955138041704E-2</v>
      </c>
      <c r="K274" s="3">
        <f t="shared" si="260"/>
        <v>3.5015955138041704E-2</v>
      </c>
      <c r="L274" s="3">
        <f t="shared" si="260"/>
        <v>3.5015955138041698E-2</v>
      </c>
      <c r="M274" s="3">
        <f t="shared" si="260"/>
        <v>3.501595513804167E-2</v>
      </c>
      <c r="N274" s="3">
        <f t="shared" si="260"/>
        <v>3.5015955138041358E-2</v>
      </c>
      <c r="O274" s="3">
        <f t="shared" si="260"/>
        <v>3.50159551380382E-2</v>
      </c>
      <c r="P274" s="3">
        <f t="shared" si="260"/>
        <v>3.5015955138006684E-2</v>
      </c>
      <c r="Q274" s="3">
        <f t="shared" si="260"/>
        <v>3.5015955137691526E-2</v>
      </c>
      <c r="R274" s="3">
        <f t="shared" si="260"/>
        <v>3.5015955134539957E-2</v>
      </c>
      <c r="S274" s="3">
        <f t="shared" si="260"/>
        <v>3.5015955103024236E-2</v>
      </c>
      <c r="T274" s="3">
        <f t="shared" si="260"/>
        <v>3.5015954787867037E-2</v>
      </c>
      <c r="U274" s="3">
        <f t="shared" si="260"/>
        <v>3.5015951636295166E-2</v>
      </c>
      <c r="V274" s="3">
        <f t="shared" si="260"/>
        <v>3.5015920120592119E-2</v>
      </c>
      <c r="W274" s="3">
        <f t="shared" si="260"/>
        <v>3.5015604965121724E-2</v>
      </c>
      <c r="X274" s="3">
        <f t="shared" si="260"/>
        <v>3.5012453566421547E-2</v>
      </c>
      <c r="Y274" s="3">
        <f t="shared" si="260"/>
        <v>3.4980955174603784E-2</v>
      </c>
      <c r="Z274" s="3">
        <f t="shared" si="260"/>
        <v>3.4667525593890199E-2</v>
      </c>
      <c r="AA274" s="3">
        <f t="shared" si="260"/>
        <v>3.168360963019505E-2</v>
      </c>
      <c r="AB274" s="3">
        <f t="shared" si="260"/>
        <v>1.2881093803427441E-2</v>
      </c>
      <c r="AC274" s="3">
        <f t="shared" si="260"/>
        <v>1.589035625885773E-6</v>
      </c>
      <c r="AD274" s="3">
        <f t="shared" si="260"/>
        <v>1.2970076762921716E-45</v>
      </c>
      <c r="AE274" s="3">
        <f t="shared" si="260"/>
        <v>0</v>
      </c>
      <c r="AF274" s="3">
        <f t="shared" si="260"/>
        <v>0</v>
      </c>
      <c r="AG274" s="3"/>
      <c r="AH274" s="3"/>
    </row>
    <row r="275" spans="1:34" x14ac:dyDescent="0.25">
      <c r="B275" s="3">
        <f t="shared" ref="B275:AF275" si="261">$C44*EXP(-B$246/$A44/EXP(-$E$126))</f>
        <v>3.7250810616417634E-2</v>
      </c>
      <c r="C275" s="3">
        <f t="shared" si="261"/>
        <v>3.7250810616417634E-2</v>
      </c>
      <c r="D275" s="3">
        <f t="shared" si="261"/>
        <v>3.7250810616417634E-2</v>
      </c>
      <c r="E275" s="3">
        <f t="shared" si="261"/>
        <v>3.7250810616417634E-2</v>
      </c>
      <c r="F275" s="3">
        <f t="shared" si="261"/>
        <v>3.7250810616417634E-2</v>
      </c>
      <c r="G275" s="3">
        <f t="shared" si="261"/>
        <v>3.7250810616417634E-2</v>
      </c>
      <c r="H275" s="3">
        <f t="shared" si="261"/>
        <v>3.7250810616417634E-2</v>
      </c>
      <c r="I275" s="3">
        <f t="shared" si="261"/>
        <v>3.7250810616417634E-2</v>
      </c>
      <c r="J275" s="3">
        <f t="shared" si="261"/>
        <v>3.7250810616417634E-2</v>
      </c>
      <c r="K275" s="3">
        <f t="shared" si="261"/>
        <v>3.7250810616417634E-2</v>
      </c>
      <c r="L275" s="3">
        <f t="shared" si="261"/>
        <v>3.7250810616417634E-2</v>
      </c>
      <c r="M275" s="3">
        <f t="shared" si="261"/>
        <v>3.7250810616417628E-2</v>
      </c>
      <c r="N275" s="3">
        <f t="shared" si="261"/>
        <v>3.72508106164176E-2</v>
      </c>
      <c r="O275" s="3">
        <f t="shared" si="261"/>
        <v>3.725081061641726E-2</v>
      </c>
      <c r="P275" s="3">
        <f t="shared" si="261"/>
        <v>3.7250810616413908E-2</v>
      </c>
      <c r="Q275" s="3">
        <f t="shared" si="261"/>
        <v>3.725081061638038E-2</v>
      </c>
      <c r="R275" s="3">
        <f t="shared" si="261"/>
        <v>3.7250810616045113E-2</v>
      </c>
      <c r="S275" s="3">
        <f t="shared" si="261"/>
        <v>3.7250810612692392E-2</v>
      </c>
      <c r="T275" s="3">
        <f t="shared" si="261"/>
        <v>3.7250810579165218E-2</v>
      </c>
      <c r="U275" s="3">
        <f t="shared" si="261"/>
        <v>3.7250810243893449E-2</v>
      </c>
      <c r="V275" s="3">
        <f t="shared" si="261"/>
        <v>3.7250806891175915E-2</v>
      </c>
      <c r="W275" s="3">
        <f t="shared" si="261"/>
        <v>3.7250773364017192E-2</v>
      </c>
      <c r="X275" s="3">
        <f t="shared" si="261"/>
        <v>3.7250438094089636E-2</v>
      </c>
      <c r="Y275" s="3">
        <f t="shared" si="261"/>
        <v>3.724708556077462E-2</v>
      </c>
      <c r="Z275" s="3">
        <f t="shared" si="261"/>
        <v>3.7213576818154306E-2</v>
      </c>
      <c r="AA275" s="3">
        <f t="shared" si="261"/>
        <v>3.6880142933323312E-2</v>
      </c>
      <c r="AB275" s="3">
        <f t="shared" si="261"/>
        <v>3.3705781759375067E-2</v>
      </c>
      <c r="AC275" s="3">
        <f t="shared" si="261"/>
        <v>1.3703215688738777E-2</v>
      </c>
      <c r="AD275" s="3">
        <f t="shared" si="261"/>
        <v>1.6904541066853218E-6</v>
      </c>
      <c r="AE275" s="3">
        <f t="shared" si="261"/>
        <v>1.3797877889416791E-45</v>
      </c>
      <c r="AF275" s="3">
        <f t="shared" si="261"/>
        <v>0</v>
      </c>
      <c r="AG275" s="3"/>
      <c r="AH275" s="3"/>
    </row>
    <row r="276" spans="1:34" x14ac:dyDescent="0.25">
      <c r="B276" s="3">
        <f t="shared" ref="B276:AF276" si="262">$C45*EXP(-B$246/$A45/EXP(-$E$126))</f>
        <v>3.3898326315238474E-2</v>
      </c>
      <c r="C276" s="3">
        <f t="shared" si="262"/>
        <v>3.3898326315238474E-2</v>
      </c>
      <c r="D276" s="3">
        <f t="shared" si="262"/>
        <v>3.3898326315238474E-2</v>
      </c>
      <c r="E276" s="3">
        <f t="shared" si="262"/>
        <v>3.3898326315238474E-2</v>
      </c>
      <c r="F276" s="3">
        <f t="shared" si="262"/>
        <v>3.3898326315238474E-2</v>
      </c>
      <c r="G276" s="3">
        <f t="shared" si="262"/>
        <v>3.3898326315238474E-2</v>
      </c>
      <c r="H276" s="3">
        <f t="shared" si="262"/>
        <v>3.3898326315238474E-2</v>
      </c>
      <c r="I276" s="3">
        <f t="shared" si="262"/>
        <v>3.3898326315238474E-2</v>
      </c>
      <c r="J276" s="3">
        <f t="shared" si="262"/>
        <v>3.3898326315238474E-2</v>
      </c>
      <c r="K276" s="3">
        <f t="shared" si="262"/>
        <v>3.3898326315238474E-2</v>
      </c>
      <c r="L276" s="3">
        <f t="shared" si="262"/>
        <v>3.3898326315238474E-2</v>
      </c>
      <c r="M276" s="3">
        <f t="shared" si="262"/>
        <v>3.3898326315238474E-2</v>
      </c>
      <c r="N276" s="3">
        <f t="shared" si="262"/>
        <v>3.3898326315238467E-2</v>
      </c>
      <c r="O276" s="3">
        <f t="shared" si="262"/>
        <v>3.3898326315238439E-2</v>
      </c>
      <c r="P276" s="3">
        <f t="shared" si="262"/>
        <v>3.3898326315238134E-2</v>
      </c>
      <c r="Q276" s="3">
        <f t="shared" si="262"/>
        <v>3.3898326315235081E-2</v>
      </c>
      <c r="R276" s="3">
        <f t="shared" si="262"/>
        <v>3.389832631520457E-2</v>
      </c>
      <c r="S276" s="3">
        <f t="shared" si="262"/>
        <v>3.3898326314899474E-2</v>
      </c>
      <c r="T276" s="3">
        <f t="shared" si="262"/>
        <v>3.3898326311848491E-2</v>
      </c>
      <c r="U276" s="3">
        <f t="shared" si="262"/>
        <v>3.3898326281338681E-2</v>
      </c>
      <c r="V276" s="3">
        <f t="shared" si="262"/>
        <v>3.3898325976240574E-2</v>
      </c>
      <c r="W276" s="3">
        <f t="shared" si="262"/>
        <v>3.3898322925259641E-2</v>
      </c>
      <c r="X276" s="3">
        <f t="shared" si="262"/>
        <v>3.3898292415465409E-2</v>
      </c>
      <c r="Y276" s="3">
        <f t="shared" si="262"/>
        <v>3.3897987319033415E-2</v>
      </c>
      <c r="Z276" s="3">
        <f t="shared" si="262"/>
        <v>3.3894936505737966E-2</v>
      </c>
      <c r="AA276" s="3">
        <f t="shared" si="262"/>
        <v>3.3864443470205036E-2</v>
      </c>
      <c r="AB276" s="3">
        <f t="shared" si="262"/>
        <v>3.3561017841459734E-2</v>
      </c>
      <c r="AC276" s="3">
        <f t="shared" si="262"/>
        <v>3.0672341618411425E-2</v>
      </c>
      <c r="AD276" s="3">
        <f t="shared" si="262"/>
        <v>1.2469958889437837E-2</v>
      </c>
      <c r="AE276" s="3">
        <f t="shared" si="262"/>
        <v>1.5383172602450283E-6</v>
      </c>
      <c r="AF276" s="3">
        <f t="shared" si="262"/>
        <v>1.2556101717344181E-45</v>
      </c>
      <c r="AG276" s="3"/>
      <c r="AH276" s="3"/>
    </row>
    <row r="277" spans="1:34" x14ac:dyDescent="0.25">
      <c r="B277" s="3">
        <f t="shared" ref="B277:AF277" si="263">$C46*EXP(-B$246/$A46/EXP(-$E$126))</f>
        <v>2.3731882185441592E-2</v>
      </c>
      <c r="C277" s="3">
        <f t="shared" si="263"/>
        <v>2.3731882185441592E-2</v>
      </c>
      <c r="D277" s="3">
        <f t="shared" si="263"/>
        <v>2.3731882185441592E-2</v>
      </c>
      <c r="E277" s="3">
        <f t="shared" si="263"/>
        <v>2.3731882185441592E-2</v>
      </c>
      <c r="F277" s="3">
        <f t="shared" si="263"/>
        <v>2.3731882185441592E-2</v>
      </c>
      <c r="G277" s="3">
        <f t="shared" si="263"/>
        <v>2.3731882185441592E-2</v>
      </c>
      <c r="H277" s="3">
        <f t="shared" si="263"/>
        <v>2.3731882185441592E-2</v>
      </c>
      <c r="I277" s="3">
        <f t="shared" si="263"/>
        <v>2.3731882185441592E-2</v>
      </c>
      <c r="J277" s="3">
        <f t="shared" si="263"/>
        <v>2.3731882185441592E-2</v>
      </c>
      <c r="K277" s="3">
        <f t="shared" si="263"/>
        <v>2.3731882185441592E-2</v>
      </c>
      <c r="L277" s="3">
        <f t="shared" si="263"/>
        <v>2.3731882185441592E-2</v>
      </c>
      <c r="M277" s="3">
        <f t="shared" si="263"/>
        <v>2.3731882185441592E-2</v>
      </c>
      <c r="N277" s="3">
        <f t="shared" si="263"/>
        <v>2.3731882185441592E-2</v>
      </c>
      <c r="O277" s="3">
        <f t="shared" si="263"/>
        <v>2.3731882185441588E-2</v>
      </c>
      <c r="P277" s="3">
        <f t="shared" si="263"/>
        <v>2.3731882185441568E-2</v>
      </c>
      <c r="Q277" s="3">
        <f t="shared" si="263"/>
        <v>2.3731882185441356E-2</v>
      </c>
      <c r="R277" s="3">
        <f t="shared" si="263"/>
        <v>2.3731882185439219E-2</v>
      </c>
      <c r="S277" s="3">
        <f t="shared" si="263"/>
        <v>2.3731882185417857E-2</v>
      </c>
      <c r="T277" s="3">
        <f t="shared" si="263"/>
        <v>2.3731882185204261E-2</v>
      </c>
      <c r="U277" s="3">
        <f t="shared" si="263"/>
        <v>2.3731882183068299E-2</v>
      </c>
      <c r="V277" s="3">
        <f t="shared" si="263"/>
        <v>2.3731882161708684E-2</v>
      </c>
      <c r="W277" s="3">
        <f t="shared" si="263"/>
        <v>2.3731881948112526E-2</v>
      </c>
      <c r="X277" s="3">
        <f t="shared" si="263"/>
        <v>2.3731879812151017E-2</v>
      </c>
      <c r="Y277" s="3">
        <f t="shared" si="263"/>
        <v>2.3731858452546554E-2</v>
      </c>
      <c r="Z277" s="3">
        <f t="shared" si="263"/>
        <v>2.3731644857559239E-2</v>
      </c>
      <c r="AA277" s="3">
        <f t="shared" si="263"/>
        <v>2.3729509013416843E-2</v>
      </c>
      <c r="AB277" s="3">
        <f t="shared" si="263"/>
        <v>2.3708161141548056E-2</v>
      </c>
      <c r="AC277" s="3">
        <f t="shared" si="263"/>
        <v>2.3495735867023811E-2</v>
      </c>
      <c r="AD277" s="3">
        <f t="shared" si="263"/>
        <v>2.1473402281590961E-2</v>
      </c>
      <c r="AE277" s="3">
        <f t="shared" si="263"/>
        <v>8.7300945913782613E-3</v>
      </c>
      <c r="AF277" s="3">
        <f t="shared" si="263"/>
        <v>1.0769606630270436E-6</v>
      </c>
      <c r="AG277" s="3"/>
      <c r="AH277" s="3"/>
    </row>
    <row r="278" spans="1:34" x14ac:dyDescent="0.25">
      <c r="B278" s="3">
        <f t="shared" ref="B278:AF278" si="264">$C47*EXP(-B$246/$A47/EXP(-$E$126))</f>
        <v>1.1146070536665017E-2</v>
      </c>
      <c r="C278" s="3">
        <f t="shared" si="264"/>
        <v>1.1146070536665017E-2</v>
      </c>
      <c r="D278" s="3">
        <f t="shared" si="264"/>
        <v>1.1146070536665017E-2</v>
      </c>
      <c r="E278" s="3">
        <f t="shared" si="264"/>
        <v>1.1146070536665017E-2</v>
      </c>
      <c r="F278" s="3">
        <f t="shared" si="264"/>
        <v>1.1146070536665017E-2</v>
      </c>
      <c r="G278" s="3">
        <f t="shared" si="264"/>
        <v>1.1146070536665017E-2</v>
      </c>
      <c r="H278" s="3">
        <f t="shared" si="264"/>
        <v>1.1146070536665017E-2</v>
      </c>
      <c r="I278" s="3">
        <f t="shared" si="264"/>
        <v>1.1146070536665017E-2</v>
      </c>
      <c r="J278" s="3">
        <f t="shared" si="264"/>
        <v>1.1146070536665017E-2</v>
      </c>
      <c r="K278" s="3">
        <f t="shared" si="264"/>
        <v>1.1146070536665017E-2</v>
      </c>
      <c r="L278" s="3">
        <f t="shared" si="264"/>
        <v>1.1146070536665017E-2</v>
      </c>
      <c r="M278" s="3">
        <f t="shared" si="264"/>
        <v>1.1146070536665017E-2</v>
      </c>
      <c r="N278" s="3">
        <f t="shared" si="264"/>
        <v>1.1146070536665017E-2</v>
      </c>
      <c r="O278" s="3">
        <f t="shared" si="264"/>
        <v>1.1146070536665017E-2</v>
      </c>
      <c r="P278" s="3">
        <f t="shared" si="264"/>
        <v>1.1146070536665015E-2</v>
      </c>
      <c r="Q278" s="3">
        <f t="shared" si="264"/>
        <v>1.1146070536665007E-2</v>
      </c>
      <c r="R278" s="3">
        <f t="shared" si="264"/>
        <v>1.1146070536664906E-2</v>
      </c>
      <c r="S278" s="3">
        <f t="shared" si="264"/>
        <v>1.1146070536663902E-2</v>
      </c>
      <c r="T278" s="3">
        <f t="shared" si="264"/>
        <v>1.114607053665387E-2</v>
      </c>
      <c r="U278" s="3">
        <f t="shared" si="264"/>
        <v>1.1146070536553551E-2</v>
      </c>
      <c r="V278" s="3">
        <f t="shared" si="264"/>
        <v>1.1146070535550362E-2</v>
      </c>
      <c r="W278" s="3">
        <f t="shared" si="264"/>
        <v>1.1146070525518465E-2</v>
      </c>
      <c r="X278" s="3">
        <f t="shared" si="264"/>
        <v>1.11460704251995E-2</v>
      </c>
      <c r="Y278" s="3">
        <f t="shared" si="264"/>
        <v>1.114606942200989E-2</v>
      </c>
      <c r="Z278" s="3">
        <f t="shared" si="264"/>
        <v>1.1146059390118777E-2</v>
      </c>
      <c r="AA278" s="3">
        <f t="shared" si="264"/>
        <v>1.1145959071704238E-2</v>
      </c>
      <c r="AB278" s="3">
        <f t="shared" si="264"/>
        <v>1.1144955937217033E-2</v>
      </c>
      <c r="AC278" s="3">
        <f t="shared" si="264"/>
        <v>1.1134929556511202E-2</v>
      </c>
      <c r="AD278" s="3">
        <f t="shared" si="264"/>
        <v>1.1035160516908008E-2</v>
      </c>
      <c r="AE278" s="3">
        <f t="shared" si="264"/>
        <v>1.0085338138060658E-2</v>
      </c>
      <c r="AF278" s="3">
        <f t="shared" si="264"/>
        <v>4.1002331524700028E-3</v>
      </c>
      <c r="AG278" s="3"/>
      <c r="AH278" s="3"/>
    </row>
    <row r="279" spans="1:34" x14ac:dyDescent="0.25">
      <c r="B279" s="3">
        <f t="shared" ref="B279:AF279" si="265">$C48*EXP(-B$246/$A48/EXP(-$E$126))</f>
        <v>2.58377406244087E-2</v>
      </c>
      <c r="C279" s="3">
        <f t="shared" si="265"/>
        <v>2.58377406244087E-2</v>
      </c>
      <c r="D279" s="3">
        <f t="shared" si="265"/>
        <v>2.58377406244087E-2</v>
      </c>
      <c r="E279" s="3">
        <f t="shared" si="265"/>
        <v>2.58377406244087E-2</v>
      </c>
      <c r="F279" s="3">
        <f t="shared" si="265"/>
        <v>2.58377406244087E-2</v>
      </c>
      <c r="G279" s="3">
        <f t="shared" si="265"/>
        <v>2.58377406244087E-2</v>
      </c>
      <c r="H279" s="3">
        <f t="shared" si="265"/>
        <v>2.58377406244087E-2</v>
      </c>
      <c r="I279" s="3">
        <f t="shared" si="265"/>
        <v>2.58377406244087E-2</v>
      </c>
      <c r="J279" s="3">
        <f t="shared" si="265"/>
        <v>2.58377406244087E-2</v>
      </c>
      <c r="K279" s="3">
        <f t="shared" si="265"/>
        <v>2.58377406244087E-2</v>
      </c>
      <c r="L279" s="3">
        <f t="shared" si="265"/>
        <v>2.58377406244087E-2</v>
      </c>
      <c r="M279" s="3">
        <f t="shared" si="265"/>
        <v>2.58377406244087E-2</v>
      </c>
      <c r="N279" s="3">
        <f t="shared" si="265"/>
        <v>2.58377406244087E-2</v>
      </c>
      <c r="O279" s="3">
        <f t="shared" si="265"/>
        <v>2.58377406244087E-2</v>
      </c>
      <c r="P279" s="3">
        <f t="shared" si="265"/>
        <v>2.58377406244087E-2</v>
      </c>
      <c r="Q279" s="3">
        <f t="shared" si="265"/>
        <v>2.5837740624408696E-2</v>
      </c>
      <c r="R279" s="3">
        <f t="shared" si="265"/>
        <v>2.5837740624408675E-2</v>
      </c>
      <c r="S279" s="3">
        <f t="shared" si="265"/>
        <v>2.5837740624408443E-2</v>
      </c>
      <c r="T279" s="3">
        <f t="shared" si="265"/>
        <v>2.5837740624406115E-2</v>
      </c>
      <c r="U279" s="3">
        <f t="shared" si="265"/>
        <v>2.5837740624382859E-2</v>
      </c>
      <c r="V279" s="3">
        <f t="shared" si="265"/>
        <v>2.5837740624150309E-2</v>
      </c>
      <c r="W279" s="3">
        <f t="shared" si="265"/>
        <v>2.5837740621824815E-2</v>
      </c>
      <c r="X279" s="3">
        <f t="shared" si="265"/>
        <v>2.5837740598569844E-2</v>
      </c>
      <c r="Y279" s="3">
        <f t="shared" si="265"/>
        <v>2.5837740366020139E-2</v>
      </c>
      <c r="Z279" s="3">
        <f t="shared" si="265"/>
        <v>2.5837738040523202E-2</v>
      </c>
      <c r="AA279" s="3">
        <f t="shared" si="265"/>
        <v>2.5837714785565347E-2</v>
      </c>
      <c r="AB279" s="3">
        <f t="shared" si="265"/>
        <v>2.5837482237137971E-2</v>
      </c>
      <c r="AC279" s="3">
        <f t="shared" si="265"/>
        <v>2.5835156867977015E-2</v>
      </c>
      <c r="AD279" s="3">
        <f t="shared" si="265"/>
        <v>2.5811914683816536E-2</v>
      </c>
      <c r="AE279" s="3">
        <f t="shared" si="265"/>
        <v>2.5580639764181498E-2</v>
      </c>
      <c r="AF279" s="3">
        <f t="shared" si="265"/>
        <v>2.3378853566688115E-2</v>
      </c>
      <c r="AG279" s="3"/>
      <c r="AH279" s="3"/>
    </row>
    <row r="280" spans="1:34" x14ac:dyDescent="0.25">
      <c r="A280" s="79">
        <f>AVERAGE(B280:AF280)</f>
        <v>5.9023810965269012E-5</v>
      </c>
      <c r="B280" s="80">
        <f>IF($D$61&lt;=B246,IF($E$61&gt;=B246,ABS((B248-B247)/B247),0),0)</f>
        <v>2.2318798713618661E-4</v>
      </c>
      <c r="C280" s="80">
        <f t="shared" ref="C280:AF280" si="266">IF($D$61&lt;=C246,IF($E$61&gt;=C246,ABS((C248-C247)/C247),0),0)</f>
        <v>1.3922570230124633E-4</v>
      </c>
      <c r="D280" s="80">
        <f t="shared" si="266"/>
        <v>4.6770551626079221E-4</v>
      </c>
      <c r="E280" s="80">
        <f t="shared" si="266"/>
        <v>1.2109231789187333E-4</v>
      </c>
      <c r="F280" s="80">
        <f t="shared" si="266"/>
        <v>1.8444835069683265E-5</v>
      </c>
      <c r="G280" s="80">
        <f t="shared" si="266"/>
        <v>2.5920873223872288E-6</v>
      </c>
      <c r="H280" s="80">
        <f t="shared" si="266"/>
        <v>3.1788249769996983E-6</v>
      </c>
      <c r="I280" s="80">
        <f t="shared" si="266"/>
        <v>6.5806310810246374E-6</v>
      </c>
      <c r="J280" s="80">
        <f t="shared" si="266"/>
        <v>1.7083301879087173E-5</v>
      </c>
      <c r="K280" s="80">
        <f t="shared" si="266"/>
        <v>3.4245690722331309E-5</v>
      </c>
      <c r="L280" s="80">
        <f t="shared" si="266"/>
        <v>6.3380090213035995E-5</v>
      </c>
      <c r="M280" s="80">
        <f t="shared" si="266"/>
        <v>9.4364196281703855E-5</v>
      </c>
      <c r="N280" s="80">
        <f t="shared" si="266"/>
        <v>1.2038804394433129E-4</v>
      </c>
      <c r="O280" s="80">
        <f t="shared" si="266"/>
        <v>1.278891561748629E-4</v>
      </c>
      <c r="P280" s="80">
        <f t="shared" si="266"/>
        <v>1.2111144587413283E-4</v>
      </c>
      <c r="Q280" s="80">
        <f t="shared" si="266"/>
        <v>9.723689648495943E-5</v>
      </c>
      <c r="R280" s="80">
        <f t="shared" si="266"/>
        <v>7.0193656703367477E-5</v>
      </c>
      <c r="S280" s="80">
        <f t="shared" si="266"/>
        <v>4.0761168852011818E-5</v>
      </c>
      <c r="T280" s="80">
        <f t="shared" si="266"/>
        <v>2.7579505716332033E-5</v>
      </c>
      <c r="U280" s="80">
        <f t="shared" si="266"/>
        <v>9.4595498418524943E-6</v>
      </c>
      <c r="V280" s="80">
        <f t="shared" si="266"/>
        <v>7.0797080875156351E-6</v>
      </c>
      <c r="W280" s="80">
        <f t="shared" si="266"/>
        <v>1.7540089737039713E-6</v>
      </c>
      <c r="X280" s="80">
        <f t="shared" si="266"/>
        <v>2.4045580625898318E-6</v>
      </c>
      <c r="Y280" s="80">
        <f t="shared" si="266"/>
        <v>1.2799260071327401E-5</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2.4073170110538191</v>
      </c>
      <c r="C281" s="21">
        <f t="shared" ref="C281:AF281" si="267">(C248-C247)^2</f>
        <v>0.93648834522544</v>
      </c>
      <c r="D281" s="21">
        <f t="shared" si="267"/>
        <v>10.536315635023335</v>
      </c>
      <c r="E281" s="21">
        <f t="shared" si="267"/>
        <v>0.68987613523965841</v>
      </c>
      <c r="F281" s="21">
        <f t="shared" si="267"/>
        <v>1.5252342400899919E-2</v>
      </c>
      <c r="G281" s="21">
        <f t="shared" si="267"/>
        <v>2.9089528973783843E-4</v>
      </c>
      <c r="H281" s="21">
        <f t="shared" si="267"/>
        <v>4.2248678308399697E-4</v>
      </c>
      <c r="I281" s="21">
        <f t="shared" si="267"/>
        <v>1.7401032105403755E-3</v>
      </c>
      <c r="J281" s="21">
        <f t="shared" si="267"/>
        <v>1.1231077703070724E-2</v>
      </c>
      <c r="K281" s="21">
        <f t="shared" si="267"/>
        <v>4.2934964565437543E-2</v>
      </c>
      <c r="L281" s="21">
        <f t="shared" si="267"/>
        <v>0.1391179423630898</v>
      </c>
      <c r="M281" s="21">
        <f t="shared" si="267"/>
        <v>0.29026062116357421</v>
      </c>
      <c r="N281" s="21">
        <f t="shared" si="267"/>
        <v>0.44609364711425914</v>
      </c>
      <c r="O281" s="21">
        <f t="shared" si="267"/>
        <v>0.47063383306829809</v>
      </c>
      <c r="P281" s="21">
        <f t="shared" si="267"/>
        <v>0.38796537769126405</v>
      </c>
      <c r="Q281" s="21">
        <f t="shared" si="267"/>
        <v>0.22713106735863514</v>
      </c>
      <c r="R281" s="21">
        <f t="shared" si="267"/>
        <v>0.10705832214238363</v>
      </c>
      <c r="S281" s="21">
        <f t="shared" si="267"/>
        <v>3.0701739161733781E-2</v>
      </c>
      <c r="T281" s="21">
        <f t="shared" si="267"/>
        <v>1.0265637666487248E-2</v>
      </c>
      <c r="U281" s="21">
        <f t="shared" si="267"/>
        <v>8.3567178121861482E-4</v>
      </c>
      <c r="V281" s="21">
        <f t="shared" si="267"/>
        <v>3.3529135032367229E-4</v>
      </c>
      <c r="W281" s="21">
        <f t="shared" si="267"/>
        <v>1.5538138584635849E-5</v>
      </c>
      <c r="X281" s="21">
        <f t="shared" si="267"/>
        <v>2.2651498205499561E-5</v>
      </c>
      <c r="Y281" s="21">
        <f t="shared" si="267"/>
        <v>5.0396684826070409E-4</v>
      </c>
      <c r="Z281" s="21">
        <f t="shared" si="267"/>
        <v>1.5943199755944016E-4</v>
      </c>
      <c r="AA281" s="21">
        <f t="shared" si="267"/>
        <v>1.357721448898958E-4</v>
      </c>
      <c r="AB281" s="21">
        <f t="shared" si="267"/>
        <v>2.3959121350697325E-5</v>
      </c>
      <c r="AC281" s="21">
        <f t="shared" si="267"/>
        <v>2.2197236337807039E-5</v>
      </c>
      <c r="AD281" s="21">
        <f t="shared" si="267"/>
        <v>3.6768807957818411E-5</v>
      </c>
      <c r="AE281" s="21">
        <f t="shared" si="267"/>
        <v>7.8820460122168791E-6</v>
      </c>
      <c r="AF281" s="21">
        <f t="shared" si="267"/>
        <v>4.5573944991000997E-5</v>
      </c>
      <c r="AG281" s="3"/>
      <c r="AH281" s="3"/>
    </row>
    <row r="282" spans="1:34" s="3" customFormat="1" x14ac:dyDescent="0.25">
      <c r="A282" s="71">
        <f>SUM(B282:AF282)</f>
        <v>16.75281030384134</v>
      </c>
      <c r="B282" s="21">
        <f>IF($D$61&lt;=B246,IF($E$61&gt;=B246,ABS(B281),0),0)</f>
        <v>2.4073170110538191</v>
      </c>
      <c r="C282" s="21">
        <f t="shared" ref="C282:AF282" si="268">IF($D$61&lt;=C246,IF($E$61&gt;=C246,ABS(C281),0),0)</f>
        <v>0.93648834522544</v>
      </c>
      <c r="D282" s="21">
        <f t="shared" si="268"/>
        <v>10.536315635023335</v>
      </c>
      <c r="E282" s="21">
        <f t="shared" si="268"/>
        <v>0.68987613523965841</v>
      </c>
      <c r="F282" s="21">
        <f t="shared" si="268"/>
        <v>1.5252342400899919E-2</v>
      </c>
      <c r="G282" s="21">
        <f t="shared" si="268"/>
        <v>2.9089528973783843E-4</v>
      </c>
      <c r="H282" s="21">
        <f t="shared" si="268"/>
        <v>4.2248678308399697E-4</v>
      </c>
      <c r="I282" s="21">
        <f t="shared" si="268"/>
        <v>1.7401032105403755E-3</v>
      </c>
      <c r="J282" s="21">
        <f t="shared" si="268"/>
        <v>1.1231077703070724E-2</v>
      </c>
      <c r="K282" s="21">
        <f t="shared" si="268"/>
        <v>4.2934964565437543E-2</v>
      </c>
      <c r="L282" s="21">
        <f t="shared" si="268"/>
        <v>0.1391179423630898</v>
      </c>
      <c r="M282" s="21">
        <f t="shared" si="268"/>
        <v>0.29026062116357421</v>
      </c>
      <c r="N282" s="21">
        <f t="shared" si="268"/>
        <v>0.44609364711425914</v>
      </c>
      <c r="O282" s="21">
        <f t="shared" si="268"/>
        <v>0.47063383306829809</v>
      </c>
      <c r="P282" s="21">
        <f t="shared" si="268"/>
        <v>0.38796537769126405</v>
      </c>
      <c r="Q282" s="21">
        <f t="shared" si="268"/>
        <v>0.22713106735863514</v>
      </c>
      <c r="R282" s="21">
        <f t="shared" si="268"/>
        <v>0.10705832214238363</v>
      </c>
      <c r="S282" s="21">
        <f t="shared" si="268"/>
        <v>3.0701739161733781E-2</v>
      </c>
      <c r="T282" s="21">
        <f t="shared" si="268"/>
        <v>1.0265637666487248E-2</v>
      </c>
      <c r="U282" s="21">
        <f t="shared" si="268"/>
        <v>8.3567178121861482E-4</v>
      </c>
      <c r="V282" s="21">
        <f t="shared" si="268"/>
        <v>3.3529135032367229E-4</v>
      </c>
      <c r="W282" s="21">
        <f t="shared" si="268"/>
        <v>1.5538138584635849E-5</v>
      </c>
      <c r="X282" s="21">
        <f t="shared" si="268"/>
        <v>2.2651498205499561E-5</v>
      </c>
      <c r="Y282" s="21">
        <f t="shared" si="268"/>
        <v>5.0396684826070409E-4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6840.5863197092085</v>
      </c>
      <c r="C286" s="26">
        <f>INDEX(Comparison!$AM$3:$AS$33,G$14,$F$122)</f>
        <v>6643.5965561721414</v>
      </c>
      <c r="D286" s="26">
        <f>INDEX(Comparison!$AM$3:$AS$33,H$14,$F$122)</f>
        <v>6527.1577578820725</v>
      </c>
      <c r="E286" s="26">
        <f>INDEX(Comparison!$AM$3:$AS$33,I$14,$F$122)</f>
        <v>6412.9995296962652</v>
      </c>
      <c r="F286" s="26">
        <f>INDEX(Comparison!$AM$3:$AS$33,J$14,$F$122)</f>
        <v>6286.8028992665704</v>
      </c>
      <c r="G286" s="26">
        <f>INDEX(Comparison!$AM$3:$AS$33,K$14,$F$122)</f>
        <v>6151.4165633211096</v>
      </c>
      <c r="H286" s="26">
        <f>INDEX(Comparison!$AM$3:$AS$33,L$14,$F$122)</f>
        <v>5999.0572498672</v>
      </c>
      <c r="I286" s="26">
        <f>INDEX(Comparison!$AM$3:$AS$33,M$14,$F$122)</f>
        <v>5834.1918541119712</v>
      </c>
      <c r="J286" s="26">
        <f>INDEX(Comparison!$AM$3:$AS$33,N$14,$F$122)</f>
        <v>5660.667941479277</v>
      </c>
      <c r="K286" s="26">
        <f>INDEX(Comparison!$AM$3:$AS$33,O$14,$F$122)</f>
        <v>5500.6338050295499</v>
      </c>
      <c r="L286" s="26">
        <f>INDEX(Comparison!$AM$3:$AS$33,P$14,$F$122)</f>
        <v>5316.0543139142828</v>
      </c>
      <c r="M286" s="26">
        <f>INDEX(Comparison!$AM$3:$AS$33,Q$14,$F$122)</f>
        <v>5094.9618199282804</v>
      </c>
      <c r="N286" s="26">
        <f>INDEX(Comparison!$AM$3:$AS$33,R$14,$F$122)</f>
        <v>4859.6753740182503</v>
      </c>
      <c r="O286" s="26">
        <f>INDEX(Comparison!$AM$3:$AS$33,S$14,$F$122)</f>
        <v>4653.8175879978271</v>
      </c>
      <c r="P286" s="26">
        <f>INDEX(Comparison!$AM$3:$AS$33,T$14,$F$122)</f>
        <v>4469.1753341299773</v>
      </c>
      <c r="Q286" s="26">
        <f>INDEX(Comparison!$AM$3:$AS$33,U$14,$F$122)</f>
        <v>4267.9652571239076</v>
      </c>
      <c r="R286" s="26">
        <f>INDEX(Comparison!$AM$3:$AS$33,V$14,$F$122)</f>
        <v>3976.7785402340392</v>
      </c>
      <c r="S286" s="26">
        <f>INDEX(Comparison!$AM$3:$AS$33,W$14,$F$122)</f>
        <v>3445.6591436468279</v>
      </c>
      <c r="T286" s="26">
        <f>INDEX(Comparison!$AM$3:$AS$33,X$14,$F$122)</f>
        <v>2839.3657389117534</v>
      </c>
      <c r="U286" s="26">
        <f>INDEX(Comparison!$AM$3:$AS$33,Y$14,$F$122)</f>
        <v>2338.5721090290958</v>
      </c>
      <c r="V286" s="26">
        <f>INDEX(Comparison!$AM$3:$AS$33,Z$14,$F$122)</f>
        <v>1960.3272335044344</v>
      </c>
      <c r="W286" s="26">
        <f>INDEX(Comparison!$AM$3:$AS$33,AA$14,$F$122)</f>
        <v>1656.3185875611684</v>
      </c>
      <c r="X286" s="26">
        <f>INDEX(Comparison!$AM$3:$AS$33,AB$14,$F$122)</f>
        <v>1387.2108481854204</v>
      </c>
      <c r="Y286" s="26">
        <f>INDEX(Comparison!$AM$3:$AS$33,AC$14,$F$122)</f>
        <v>1120.1049206759617</v>
      </c>
      <c r="Z286" s="26">
        <f>INDEX(Comparison!$AM$3:$AS$33,AD$14,$F$122)</f>
        <v>849.29779427462438</v>
      </c>
      <c r="AA286" s="26">
        <f>INDEX(Comparison!$AM$3:$AS$33,AE$14,$F$122)</f>
        <v>602.02056954985051</v>
      </c>
      <c r="AB286" s="26">
        <f>INDEX(Comparison!$AM$3:$AS$33,AF$14,$F$122)</f>
        <v>414.55153000594095</v>
      </c>
      <c r="AC286" s="26">
        <f>INDEX(Comparison!$AM$3:$AS$33,AG$14,$F$122)</f>
        <v>296.76424848335745</v>
      </c>
      <c r="AD286" s="26">
        <f>INDEX(Comparison!$AM$3:$AS$33,AH$14,$F$122)</f>
        <v>236.5039430342818</v>
      </c>
      <c r="AE286" s="26">
        <f>INDEX(Comparison!$AM$3:$AS$33,AI$14,$F$122)</f>
        <v>206.64782998877558</v>
      </c>
      <c r="AF286" s="26">
        <f>INDEX(Comparison!$AM$3:$AS$33,AJ$14,$F$122)</f>
        <v>191.80670583863778</v>
      </c>
      <c r="AG286" s="26"/>
      <c r="AH286" s="26"/>
    </row>
    <row r="287" spans="1:34" x14ac:dyDescent="0.25">
      <c r="A287" s="70" t="s">
        <v>22</v>
      </c>
      <c r="B287" s="27">
        <f>($C$17+SUM(B288:B318))*$B$51</f>
        <v>6942.4709103196537</v>
      </c>
      <c r="C287" s="27">
        <f t="shared" ref="C287:AF287" si="269">($C$17+SUM(C288:C318))*$B$51</f>
        <v>6880.7379726765821</v>
      </c>
      <c r="D287" s="27">
        <f t="shared" si="269"/>
        <v>6729.9602482096479</v>
      </c>
      <c r="E287" s="27">
        <f t="shared" si="269"/>
        <v>6602.1281492461294</v>
      </c>
      <c r="F287" s="27">
        <f t="shared" si="269"/>
        <v>6491.1426685337765</v>
      </c>
      <c r="G287" s="27">
        <f t="shared" si="269"/>
        <v>6366.9572875876938</v>
      </c>
      <c r="H287" s="27">
        <f t="shared" si="269"/>
        <v>6232.9305973507671</v>
      </c>
      <c r="I287" s="27">
        <f t="shared" si="269"/>
        <v>6084.3106391274168</v>
      </c>
      <c r="J287" s="27">
        <f t="shared" si="269"/>
        <v>5919.4494454775222</v>
      </c>
      <c r="K287" s="27">
        <f t="shared" si="269"/>
        <v>5745.0816027195115</v>
      </c>
      <c r="L287" s="27">
        <f t="shared" si="269"/>
        <v>5576.7511441754559</v>
      </c>
      <c r="M287" s="27">
        <f t="shared" si="269"/>
        <v>5404.4322209741813</v>
      </c>
      <c r="N287" s="27">
        <f t="shared" si="269"/>
        <v>5184.3674878038464</v>
      </c>
      <c r="O287" s="27">
        <f t="shared" si="269"/>
        <v>4944.848704046658</v>
      </c>
      <c r="P287" s="27">
        <f t="shared" si="269"/>
        <v>4700.6985044684125</v>
      </c>
      <c r="Q287" s="27">
        <f t="shared" si="269"/>
        <v>4391.8105381571731</v>
      </c>
      <c r="R287" s="27">
        <f t="shared" si="269"/>
        <v>3780.654569307917</v>
      </c>
      <c r="S287" s="27">
        <f t="shared" si="269"/>
        <v>3144.6955366238367</v>
      </c>
      <c r="T287" s="27">
        <f t="shared" si="269"/>
        <v>2654.7141696405183</v>
      </c>
      <c r="U287" s="27">
        <f t="shared" si="269"/>
        <v>2295.2286192660899</v>
      </c>
      <c r="V287" s="27">
        <f t="shared" si="269"/>
        <v>2034.7728207402138</v>
      </c>
      <c r="W287" s="27">
        <f t="shared" si="269"/>
        <v>1795.9455711091546</v>
      </c>
      <c r="X287" s="27">
        <f t="shared" si="269"/>
        <v>1581.8668088101597</v>
      </c>
      <c r="Y287" s="27">
        <f t="shared" si="269"/>
        <v>1368.6193974713824</v>
      </c>
      <c r="Z287" s="27">
        <f t="shared" si="269"/>
        <v>1138.1593089272346</v>
      </c>
      <c r="AA287" s="27">
        <f t="shared" si="269"/>
        <v>887.89217105329521</v>
      </c>
      <c r="AB287" s="27">
        <f t="shared" si="269"/>
        <v>643.57803056861599</v>
      </c>
      <c r="AC287" s="27">
        <f t="shared" si="269"/>
        <v>445.34535713383451</v>
      </c>
      <c r="AD287" s="27">
        <f t="shared" si="269"/>
        <v>315.94673376196977</v>
      </c>
      <c r="AE287" s="27">
        <f t="shared" si="269"/>
        <v>200.25137417603321</v>
      </c>
      <c r="AF287" s="27">
        <f t="shared" si="269"/>
        <v>105.81293132365919</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7.2351477643633252E-3</v>
      </c>
      <c r="C290" s="3">
        <f t="shared" si="272"/>
        <v>1.8839166922716517E-3</v>
      </c>
      <c r="D290" s="3">
        <f t="shared" si="272"/>
        <v>2.6990105604407927E-9</v>
      </c>
      <c r="E290" s="3">
        <f t="shared" si="272"/>
        <v>9.8318100735605142E-68</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2.8815829678713829E-2</v>
      </c>
      <c r="C291" s="3">
        <f t="shared" si="273"/>
        <v>2.5521998320216652E-2</v>
      </c>
      <c r="D291" s="3">
        <f t="shared" si="273"/>
        <v>7.5814128702647058E-3</v>
      </c>
      <c r="E291" s="3">
        <f t="shared" si="273"/>
        <v>4.0560646868342517E-8</v>
      </c>
      <c r="F291" s="3">
        <f t="shared" si="273"/>
        <v>7.7920569236236218E-61</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1.5132906691493832E-2</v>
      </c>
      <c r="C292" s="3">
        <f t="shared" si="274"/>
        <v>1.4968107433673694E-2</v>
      </c>
      <c r="D292" s="3">
        <f t="shared" si="274"/>
        <v>1.3415666872987127E-2</v>
      </c>
      <c r="E292" s="3">
        <f t="shared" si="274"/>
        <v>4.4881359738626041E-3</v>
      </c>
      <c r="F292" s="3">
        <f t="shared" si="274"/>
        <v>7.8814007108315839E-8</v>
      </c>
      <c r="G292" s="3">
        <f t="shared" si="274"/>
        <v>2.197745686685389E-55</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1.7012248090162385E-2</v>
      </c>
      <c r="C293" s="3">
        <f t="shared" si="275"/>
        <v>1.6995452228700837E-2</v>
      </c>
      <c r="D293" s="3">
        <f t="shared" si="275"/>
        <v>1.6828402940639125E-2</v>
      </c>
      <c r="E293" s="3">
        <f t="shared" si="275"/>
        <v>1.5245605353250074E-2</v>
      </c>
      <c r="F293" s="3">
        <f t="shared" si="275"/>
        <v>5.6775685373324667E-3</v>
      </c>
      <c r="G293" s="3">
        <f t="shared" si="275"/>
        <v>2.912993439073442E-7</v>
      </c>
      <c r="H293" s="3">
        <f t="shared" si="275"/>
        <v>3.6822283352056032E-50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1.9388771168974295E-2</v>
      </c>
      <c r="C294" s="3">
        <f t="shared" si="276"/>
        <v>1.9387043611212948E-2</v>
      </c>
      <c r="D294" s="3">
        <f t="shared" si="276"/>
        <v>1.9369776497323157E-2</v>
      </c>
      <c r="E294" s="3">
        <f t="shared" si="276"/>
        <v>1.9197948947040765E-2</v>
      </c>
      <c r="F294" s="3">
        <f t="shared" si="276"/>
        <v>1.7561316144007987E-2</v>
      </c>
      <c r="G294" s="3">
        <f t="shared" si="276"/>
        <v>7.2040936477709792E-3</v>
      </c>
      <c r="H294" s="3">
        <f t="shared" si="276"/>
        <v>9.7230436145293777E-7</v>
      </c>
      <c r="I294" s="3">
        <f t="shared" si="276"/>
        <v>1.9499841246929848E-45</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2.0066896787512199E-2</v>
      </c>
      <c r="C295" s="3">
        <f t="shared" si="277"/>
        <v>2.0066735490358718E-2</v>
      </c>
      <c r="D295" s="3">
        <f t="shared" si="277"/>
        <v>2.006512259012978E-2</v>
      </c>
      <c r="E295" s="3">
        <f t="shared" si="277"/>
        <v>2.0049000716309197E-2</v>
      </c>
      <c r="F295" s="3">
        <f t="shared" si="277"/>
        <v>1.9888492709483563E-2</v>
      </c>
      <c r="G295" s="3">
        <f t="shared" si="277"/>
        <v>1.8352416700597028E-2</v>
      </c>
      <c r="H295" s="3">
        <f t="shared" si="277"/>
        <v>8.2149925183648519E-3</v>
      </c>
      <c r="I295" s="3">
        <f t="shared" si="277"/>
        <v>2.6530551587000781E-6</v>
      </c>
      <c r="J295" s="3">
        <f t="shared" si="277"/>
        <v>3.2744423619728084E-41</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2.3697700926951795E-2</v>
      </c>
      <c r="C296" s="3">
        <f t="shared" si="278"/>
        <v>2.3697683743877044E-2</v>
      </c>
      <c r="D296" s="3">
        <f t="shared" si="278"/>
        <v>2.3697511913814799E-2</v>
      </c>
      <c r="E296" s="3">
        <f t="shared" si="278"/>
        <v>2.3695793681716808E-2</v>
      </c>
      <c r="F296" s="3">
        <f t="shared" si="278"/>
        <v>2.3678618211345107E-2</v>
      </c>
      <c r="G296" s="3">
        <f t="shared" si="278"/>
        <v>2.3507546734091521E-2</v>
      </c>
      <c r="H296" s="3">
        <f t="shared" si="278"/>
        <v>2.1863356622950369E-2</v>
      </c>
      <c r="I296" s="3">
        <f t="shared" si="278"/>
        <v>1.0587956420597944E-2</v>
      </c>
      <c r="J296" s="3">
        <f t="shared" si="278"/>
        <v>7.5121665511547997E-6</v>
      </c>
      <c r="K296" s="3">
        <f t="shared" si="278"/>
        <v>2.4282636430202219E-37</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2.5320349844197142E-2</v>
      </c>
      <c r="C297" s="3">
        <f t="shared" si="279"/>
        <v>2.5320348188003543E-2</v>
      </c>
      <c r="D297" s="3">
        <f t="shared" si="279"/>
        <v>2.5320331626073535E-2</v>
      </c>
      <c r="E297" s="3">
        <f t="shared" si="279"/>
        <v>2.5320166007369249E-2</v>
      </c>
      <c r="F297" s="3">
        <f t="shared" si="279"/>
        <v>2.5318509879906807E-2</v>
      </c>
      <c r="G297" s="3">
        <f t="shared" si="279"/>
        <v>2.5301954561882452E-2</v>
      </c>
      <c r="H297" s="3">
        <f t="shared" si="279"/>
        <v>2.513699560257629E-2</v>
      </c>
      <c r="I297" s="3">
        <f t="shared" si="279"/>
        <v>2.3545414811858605E-2</v>
      </c>
      <c r="J297" s="3">
        <f t="shared" si="279"/>
        <v>1.2241541656581716E-2</v>
      </c>
      <c r="K297" s="3">
        <f t="shared" si="279"/>
        <v>1.7665820042704597E-5</v>
      </c>
      <c r="L297" s="3">
        <f t="shared" si="279"/>
        <v>6.9200729882122894E-34</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2.7427493081167899E-2</v>
      </c>
      <c r="C298" s="3">
        <f t="shared" si="280"/>
        <v>2.7427492919332282E-2</v>
      </c>
      <c r="D298" s="3">
        <f t="shared" si="280"/>
        <v>2.7427491300976128E-2</v>
      </c>
      <c r="E298" s="3">
        <f t="shared" si="280"/>
        <v>2.7427475117419851E-2</v>
      </c>
      <c r="F298" s="3">
        <f t="shared" si="280"/>
        <v>2.74273132823823E-2</v>
      </c>
      <c r="G298" s="3">
        <f t="shared" si="280"/>
        <v>2.742569498452551E-2</v>
      </c>
      <c r="H298" s="3">
        <f t="shared" si="280"/>
        <v>2.7409517256684952E-2</v>
      </c>
      <c r="I298" s="3">
        <f t="shared" si="280"/>
        <v>2.7248263906493486E-2</v>
      </c>
      <c r="J298" s="3">
        <f t="shared" si="280"/>
        <v>2.5686997224784552E-2</v>
      </c>
      <c r="K298" s="3">
        <f t="shared" si="280"/>
        <v>1.4238307165870243E-2</v>
      </c>
      <c r="L298" s="3">
        <f t="shared" si="280"/>
        <v>3.8985988298831316E-5</v>
      </c>
      <c r="M298" s="3">
        <f t="shared" si="280"/>
        <v>9.2344375988598288E-31</v>
      </c>
      <c r="N298" s="3">
        <f t="shared" si="280"/>
        <v>5.1336880971955375E-287</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2.1152524884622083E-2</v>
      </c>
      <c r="C299" s="3">
        <f t="shared" si="281"/>
        <v>2.1152524873363162E-2</v>
      </c>
      <c r="D299" s="3">
        <f t="shared" si="281"/>
        <v>2.1152524760773943E-2</v>
      </c>
      <c r="E299" s="3">
        <f t="shared" si="281"/>
        <v>2.1152523634881779E-2</v>
      </c>
      <c r="F299" s="3">
        <f t="shared" si="281"/>
        <v>2.115251237596345E-2</v>
      </c>
      <c r="G299" s="3">
        <f t="shared" si="281"/>
        <v>2.1152399787109772E-2</v>
      </c>
      <c r="H299" s="3">
        <f t="shared" si="281"/>
        <v>2.1151273931532759E-2</v>
      </c>
      <c r="I299" s="3">
        <f t="shared" si="281"/>
        <v>2.1140018671093823E-2</v>
      </c>
      <c r="J299" s="3">
        <f t="shared" si="281"/>
        <v>2.1027794951757335E-2</v>
      </c>
      <c r="K299" s="3">
        <f t="shared" si="281"/>
        <v>1.9937807672354015E-2</v>
      </c>
      <c r="L299" s="3">
        <f t="shared" si="281"/>
        <v>1.1708845922181535E-2</v>
      </c>
      <c r="M299" s="3">
        <f t="shared" si="281"/>
        <v>5.7132204117981158E-5</v>
      </c>
      <c r="N299" s="3">
        <f t="shared" si="281"/>
        <v>4.3706885410654066E-28</v>
      </c>
      <c r="O299" s="3">
        <f t="shared" si="281"/>
        <v>3.0008111304705195E-259</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3.1343464607908912E-2</v>
      </c>
      <c r="C300" s="3">
        <f t="shared" si="282"/>
        <v>3.1343464606403942E-2</v>
      </c>
      <c r="D300" s="3">
        <f t="shared" si="282"/>
        <v>3.1343464591354231E-2</v>
      </c>
      <c r="E300" s="3">
        <f t="shared" si="282"/>
        <v>3.1343464440857116E-2</v>
      </c>
      <c r="F300" s="3">
        <f t="shared" si="282"/>
        <v>3.1343462935885968E-2</v>
      </c>
      <c r="G300" s="3">
        <f t="shared" si="282"/>
        <v>3.1343447886178467E-2</v>
      </c>
      <c r="H300" s="3">
        <f t="shared" si="282"/>
        <v>3.134329738950091E-2</v>
      </c>
      <c r="I300" s="3">
        <f t="shared" si="282"/>
        <v>3.1341792462468619E-2</v>
      </c>
      <c r="J300" s="3">
        <f t="shared" si="282"/>
        <v>3.1326747165765723E-2</v>
      </c>
      <c r="K300" s="3">
        <f t="shared" si="282"/>
        <v>3.1176690855704146E-2</v>
      </c>
      <c r="L300" s="3">
        <f t="shared" si="282"/>
        <v>2.971509772112094E-2</v>
      </c>
      <c r="M300" s="3">
        <f t="shared" si="282"/>
        <v>1.8384364633657238E-2</v>
      </c>
      <c r="N300" s="3">
        <f t="shared" si="282"/>
        <v>1.5106478914288408E-4</v>
      </c>
      <c r="O300" s="3">
        <f t="shared" si="282"/>
        <v>2.1198712519494576E-25</v>
      </c>
      <c r="P300" s="3">
        <f t="shared" si="282"/>
        <v>6.2772850501752275E-234</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3.4656588439407554E-2</v>
      </c>
      <c r="C301" s="3">
        <f t="shared" si="283"/>
        <v>3.4656588439257445E-2</v>
      </c>
      <c r="D301" s="3">
        <f t="shared" si="283"/>
        <v>3.4656588437756333E-2</v>
      </c>
      <c r="E301" s="3">
        <f t="shared" si="283"/>
        <v>3.4656588422745195E-2</v>
      </c>
      <c r="F301" s="3">
        <f t="shared" si="283"/>
        <v>3.4656588272633827E-2</v>
      </c>
      <c r="G301" s="3">
        <f t="shared" si="283"/>
        <v>3.465658677152017E-2</v>
      </c>
      <c r="H301" s="3">
        <f t="shared" si="283"/>
        <v>3.4656571760387229E-2</v>
      </c>
      <c r="I301" s="3">
        <f t="shared" si="283"/>
        <v>3.4656421649415389E-2</v>
      </c>
      <c r="J301" s="3">
        <f t="shared" si="283"/>
        <v>3.4654920575456875E-2</v>
      </c>
      <c r="K301" s="3">
        <f t="shared" si="283"/>
        <v>3.4639913411288949E-2</v>
      </c>
      <c r="L301" s="3">
        <f t="shared" si="283"/>
        <v>3.4490198738987739E-2</v>
      </c>
      <c r="M301" s="3">
        <f t="shared" si="283"/>
        <v>3.3028183436527504E-2</v>
      </c>
      <c r="N301" s="3">
        <f t="shared" si="283"/>
        <v>2.1417787194026344E-2</v>
      </c>
      <c r="O301" s="3">
        <f t="shared" si="283"/>
        <v>2.8162662499063329E-4</v>
      </c>
      <c r="P301" s="3">
        <f t="shared" si="283"/>
        <v>4.3517588943763776E-23</v>
      </c>
      <c r="Q301" s="3">
        <f t="shared" si="283"/>
        <v>3.3773492695530692E-211</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3.7950010383386697E-2</v>
      </c>
      <c r="C302" s="3">
        <f t="shared" si="284"/>
        <v>3.7950010383371868E-2</v>
      </c>
      <c r="D302" s="3">
        <f t="shared" si="284"/>
        <v>3.7950010383223584E-2</v>
      </c>
      <c r="E302" s="3">
        <f t="shared" si="284"/>
        <v>3.795001038174077E-2</v>
      </c>
      <c r="F302" s="3">
        <f t="shared" si="284"/>
        <v>3.7950010366912645E-2</v>
      </c>
      <c r="G302" s="3">
        <f t="shared" si="284"/>
        <v>3.7950010218631383E-2</v>
      </c>
      <c r="H302" s="3">
        <f t="shared" si="284"/>
        <v>3.7950008735818823E-2</v>
      </c>
      <c r="I302" s="3">
        <f t="shared" si="284"/>
        <v>3.7949993907696385E-2</v>
      </c>
      <c r="J302" s="3">
        <f t="shared" si="284"/>
        <v>3.7949845626790615E-2</v>
      </c>
      <c r="K302" s="3">
        <f t="shared" si="284"/>
        <v>3.7948362849598093E-2</v>
      </c>
      <c r="L302" s="3">
        <f t="shared" si="284"/>
        <v>3.7933538263730068E-2</v>
      </c>
      <c r="M302" s="3">
        <f t="shared" si="284"/>
        <v>3.77856105506423E-2</v>
      </c>
      <c r="N302" s="3">
        <f t="shared" si="284"/>
        <v>3.6337692805595408E-2</v>
      </c>
      <c r="O302" s="3">
        <f t="shared" si="284"/>
        <v>2.4584784156512249E-2</v>
      </c>
      <c r="P302" s="3">
        <f t="shared" si="284"/>
        <v>4.9403407641652455E-4</v>
      </c>
      <c r="Q302" s="3">
        <f t="shared" si="284"/>
        <v>5.3047139040711168E-21</v>
      </c>
      <c r="R302" s="3">
        <f t="shared" si="284"/>
        <v>1.0807184648245464E-190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2.6059196805461451E-2</v>
      </c>
      <c r="C303" s="3">
        <f t="shared" si="285"/>
        <v>2.6059196805460531E-2</v>
      </c>
      <c r="D303" s="3">
        <f t="shared" si="285"/>
        <v>2.6059196805451344E-2</v>
      </c>
      <c r="E303" s="3">
        <f t="shared" si="285"/>
        <v>2.6059196805359494E-2</v>
      </c>
      <c r="F303" s="3">
        <f t="shared" si="285"/>
        <v>2.6059196804440989E-2</v>
      </c>
      <c r="G303" s="3">
        <f t="shared" si="285"/>
        <v>2.605919679525593E-2</v>
      </c>
      <c r="H303" s="3">
        <f t="shared" si="285"/>
        <v>2.6059196703405334E-2</v>
      </c>
      <c r="I303" s="3">
        <f t="shared" si="285"/>
        <v>2.6059195784899378E-2</v>
      </c>
      <c r="J303" s="3">
        <f t="shared" si="285"/>
        <v>2.6059186599841626E-2</v>
      </c>
      <c r="K303" s="3">
        <f t="shared" si="285"/>
        <v>2.6059094749442159E-2</v>
      </c>
      <c r="L303" s="3">
        <f t="shared" si="285"/>
        <v>2.6058176263253189E-2</v>
      </c>
      <c r="M303" s="3">
        <f t="shared" si="285"/>
        <v>2.6048993181702475E-2</v>
      </c>
      <c r="N303" s="3">
        <f t="shared" si="285"/>
        <v>2.5957340168133246E-2</v>
      </c>
      <c r="O303" s="3">
        <f t="shared" si="285"/>
        <v>2.5058360518345171E-2</v>
      </c>
      <c r="P303" s="3">
        <f t="shared" si="285"/>
        <v>1.7614783102770173E-2</v>
      </c>
      <c r="Q303" s="3">
        <f t="shared" si="285"/>
        <v>5.1894790987071313E-4</v>
      </c>
      <c r="R303" s="3">
        <f t="shared" si="285"/>
        <v>2.5561623807690757E-19</v>
      </c>
      <c r="S303" s="3">
        <f t="shared" si="285"/>
        <v>2.1489937776633538E-172</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8.9382665320782748E-2</v>
      </c>
      <c r="C304" s="3">
        <f t="shared" si="286"/>
        <v>8.9382665320782456E-2</v>
      </c>
      <c r="D304" s="3">
        <f t="shared" si="286"/>
        <v>8.9382665320779625E-2</v>
      </c>
      <c r="E304" s="3">
        <f t="shared" si="286"/>
        <v>8.9382665320751203E-2</v>
      </c>
      <c r="F304" s="3">
        <f t="shared" si="286"/>
        <v>8.9382665320467E-2</v>
      </c>
      <c r="G304" s="3">
        <f t="shared" si="286"/>
        <v>8.9382665317625024E-2</v>
      </c>
      <c r="H304" s="3">
        <f t="shared" si="286"/>
        <v>8.9382665289205229E-2</v>
      </c>
      <c r="I304" s="3">
        <f t="shared" si="286"/>
        <v>8.9382665005007342E-2</v>
      </c>
      <c r="J304" s="3">
        <f t="shared" si="286"/>
        <v>8.9382662163028481E-2</v>
      </c>
      <c r="K304" s="3">
        <f t="shared" si="286"/>
        <v>8.9382633743244899E-2</v>
      </c>
      <c r="L304" s="3">
        <f t="shared" si="286"/>
        <v>8.9382349545906029E-2</v>
      </c>
      <c r="M304" s="3">
        <f t="shared" si="286"/>
        <v>8.9379507622216123E-2</v>
      </c>
      <c r="N304" s="3">
        <f t="shared" si="286"/>
        <v>8.9351093354606712E-2</v>
      </c>
      <c r="O304" s="3">
        <f t="shared" si="286"/>
        <v>8.9067447023380875E-2</v>
      </c>
      <c r="P304" s="3">
        <f t="shared" si="286"/>
        <v>8.6280039211566809E-2</v>
      </c>
      <c r="Q304" s="3">
        <f t="shared" si="286"/>
        <v>6.278033524682762E-2</v>
      </c>
      <c r="R304" s="3">
        <f t="shared" si="286"/>
        <v>2.6119003132758843E-3</v>
      </c>
      <c r="S304" s="3">
        <f t="shared" si="286"/>
        <v>4.0577591643624743E-17</v>
      </c>
      <c r="T304" s="3">
        <f t="shared" si="286"/>
        <v>3.3234026753883663E-155</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0.10190344846068049</v>
      </c>
      <c r="C305" s="3">
        <f t="shared" si="287"/>
        <v>0.10190344846068046</v>
      </c>
      <c r="D305" s="3">
        <f t="shared" si="287"/>
        <v>0.10190344846068015</v>
      </c>
      <c r="E305" s="3">
        <f t="shared" si="287"/>
        <v>0.10190344846067724</v>
      </c>
      <c r="F305" s="3">
        <f t="shared" si="287"/>
        <v>0.101903448460648</v>
      </c>
      <c r="G305" s="3">
        <f t="shared" si="287"/>
        <v>0.10190344846035573</v>
      </c>
      <c r="H305" s="3">
        <f t="shared" si="287"/>
        <v>0.10190344845743289</v>
      </c>
      <c r="I305" s="3">
        <f t="shared" si="287"/>
        <v>0.10190344842820465</v>
      </c>
      <c r="J305" s="3">
        <f t="shared" si="287"/>
        <v>0.101903448135922</v>
      </c>
      <c r="K305" s="3">
        <f t="shared" si="287"/>
        <v>0.10190344521309565</v>
      </c>
      <c r="L305" s="3">
        <f t="shared" si="287"/>
        <v>0.10190341598483674</v>
      </c>
      <c r="M305" s="3">
        <f t="shared" si="287"/>
        <v>0.10190312370270867</v>
      </c>
      <c r="N305" s="3">
        <f t="shared" si="287"/>
        <v>0.10190020092753586</v>
      </c>
      <c r="O305" s="3">
        <f t="shared" si="287"/>
        <v>0.10187097778610214</v>
      </c>
      <c r="P305" s="3">
        <f t="shared" si="287"/>
        <v>0.10157920691229777</v>
      </c>
      <c r="Q305" s="3">
        <f t="shared" si="287"/>
        <v>9.8707067208037957E-2</v>
      </c>
      <c r="R305" s="3">
        <f t="shared" si="287"/>
        <v>7.4093916950353542E-2</v>
      </c>
      <c r="S305" s="3">
        <f t="shared" si="287"/>
        <v>4.2084833504705344E-3</v>
      </c>
      <c r="T305" s="3">
        <f t="shared" si="287"/>
        <v>1.4708087497846938E-15</v>
      </c>
      <c r="U305" s="3">
        <f t="shared" si="287"/>
        <v>3.9981779453979554E-140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7.6951150711457764E-2</v>
      </c>
      <c r="C306" s="3">
        <f t="shared" si="288"/>
        <v>7.6951150711457764E-2</v>
      </c>
      <c r="D306" s="3">
        <f t="shared" si="288"/>
        <v>7.6951150711457736E-2</v>
      </c>
      <c r="E306" s="3">
        <f t="shared" si="288"/>
        <v>7.6951150711457542E-2</v>
      </c>
      <c r="F306" s="3">
        <f t="shared" si="288"/>
        <v>7.6951150711455557E-2</v>
      </c>
      <c r="G306" s="3">
        <f t="shared" si="288"/>
        <v>7.6951150711435642E-2</v>
      </c>
      <c r="H306" s="3">
        <f t="shared" si="288"/>
        <v>7.6951150711236538E-2</v>
      </c>
      <c r="I306" s="3">
        <f t="shared" si="288"/>
        <v>7.6951150709245519E-2</v>
      </c>
      <c r="J306" s="3">
        <f t="shared" si="288"/>
        <v>7.6951150689335307E-2</v>
      </c>
      <c r="K306" s="3">
        <f t="shared" si="288"/>
        <v>7.6951150490233197E-2</v>
      </c>
      <c r="L306" s="3">
        <f t="shared" si="288"/>
        <v>7.6951148499212196E-2</v>
      </c>
      <c r="M306" s="3">
        <f t="shared" si="288"/>
        <v>7.6951128589004894E-2</v>
      </c>
      <c r="N306" s="3">
        <f t="shared" si="288"/>
        <v>7.6950929487215228E-2</v>
      </c>
      <c r="O306" s="3">
        <f t="shared" si="288"/>
        <v>7.6948938497651817E-2</v>
      </c>
      <c r="P306" s="3">
        <f t="shared" si="288"/>
        <v>7.6929031435060011E-2</v>
      </c>
      <c r="Q306" s="3">
        <f t="shared" si="288"/>
        <v>7.673024384235505E-2</v>
      </c>
      <c r="R306" s="3">
        <f t="shared" si="288"/>
        <v>7.4770402144979167E-2</v>
      </c>
      <c r="S306" s="3">
        <f t="shared" si="288"/>
        <v>5.7724621978044781E-2</v>
      </c>
      <c r="T306" s="3">
        <f t="shared" si="288"/>
        <v>4.3418509258313365E-3</v>
      </c>
      <c r="U306" s="3">
        <f t="shared" si="288"/>
        <v>2.516593177712319E-14</v>
      </c>
      <c r="V306" s="3">
        <f t="shared" si="288"/>
        <v>1.0769463835678913E-126</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5.7921020050419839E-2</v>
      </c>
      <c r="C307" s="3">
        <f t="shared" si="289"/>
        <v>5.7921020050419839E-2</v>
      </c>
      <c r="D307" s="3">
        <f t="shared" si="289"/>
        <v>5.7921020050419839E-2</v>
      </c>
      <c r="E307" s="3">
        <f t="shared" si="289"/>
        <v>5.7921020050419825E-2</v>
      </c>
      <c r="F307" s="3">
        <f t="shared" si="289"/>
        <v>5.7921020050419693E-2</v>
      </c>
      <c r="G307" s="3">
        <f t="shared" si="289"/>
        <v>5.7921020050418333E-2</v>
      </c>
      <c r="H307" s="3">
        <f t="shared" si="289"/>
        <v>5.7921020050404816E-2</v>
      </c>
      <c r="I307" s="3">
        <f t="shared" si="289"/>
        <v>5.7921020050269625E-2</v>
      </c>
      <c r="J307" s="3">
        <f t="shared" si="289"/>
        <v>5.7921020048917735E-2</v>
      </c>
      <c r="K307" s="3">
        <f t="shared" si="289"/>
        <v>5.7921020035398764E-2</v>
      </c>
      <c r="L307" s="3">
        <f t="shared" si="289"/>
        <v>5.7921019900209092E-2</v>
      </c>
      <c r="M307" s="3">
        <f t="shared" si="289"/>
        <v>5.7921018548312359E-2</v>
      </c>
      <c r="N307" s="3">
        <f t="shared" si="289"/>
        <v>5.7921005029346773E-2</v>
      </c>
      <c r="O307" s="3">
        <f t="shared" si="289"/>
        <v>5.7920869839864449E-2</v>
      </c>
      <c r="P307" s="3">
        <f t="shared" si="289"/>
        <v>5.7919517962395632E-2</v>
      </c>
      <c r="Q307" s="3">
        <f t="shared" si="289"/>
        <v>5.7906000922996706E-2</v>
      </c>
      <c r="R307" s="3">
        <f t="shared" si="289"/>
        <v>5.7771003908162984E-2</v>
      </c>
      <c r="S307" s="3">
        <f t="shared" si="289"/>
        <v>5.6438222876582615E-2</v>
      </c>
      <c r="T307" s="3">
        <f t="shared" si="289"/>
        <v>4.4689704995114037E-2</v>
      </c>
      <c r="U307" s="3">
        <f t="shared" si="289"/>
        <v>4.330609889776898E-3</v>
      </c>
      <c r="V307" s="3">
        <f t="shared" si="289"/>
        <v>3.1620215014308809E-13</v>
      </c>
      <c r="W307" s="3">
        <f t="shared" si="289"/>
        <v>1.361828356189619E-114</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2.5285810572757812E-2</v>
      </c>
      <c r="C308" s="3">
        <f t="shared" si="290"/>
        <v>2.5285810572757812E-2</v>
      </c>
      <c r="D308" s="3">
        <f t="shared" si="290"/>
        <v>2.5285810572757812E-2</v>
      </c>
      <c r="E308" s="3">
        <f t="shared" si="290"/>
        <v>2.5285810572757812E-2</v>
      </c>
      <c r="F308" s="3">
        <f t="shared" si="290"/>
        <v>2.5285810572757805E-2</v>
      </c>
      <c r="G308" s="3">
        <f t="shared" si="290"/>
        <v>2.5285810572757753E-2</v>
      </c>
      <c r="H308" s="3">
        <f t="shared" si="290"/>
        <v>2.5285810572757219E-2</v>
      </c>
      <c r="I308" s="3">
        <f t="shared" si="290"/>
        <v>2.5285810572751897E-2</v>
      </c>
      <c r="J308" s="3">
        <f t="shared" si="290"/>
        <v>2.5285810572698658E-2</v>
      </c>
      <c r="K308" s="3">
        <f t="shared" si="290"/>
        <v>2.5285810572166265E-2</v>
      </c>
      <c r="L308" s="3">
        <f t="shared" si="290"/>
        <v>2.5285810566842353E-2</v>
      </c>
      <c r="M308" s="3">
        <f t="shared" si="290"/>
        <v>2.5285810513603242E-2</v>
      </c>
      <c r="N308" s="3">
        <f t="shared" si="290"/>
        <v>2.5285809981212142E-2</v>
      </c>
      <c r="O308" s="3">
        <f t="shared" si="290"/>
        <v>2.5285804657301743E-2</v>
      </c>
      <c r="P308" s="3">
        <f t="shared" si="290"/>
        <v>2.528575141825937E-2</v>
      </c>
      <c r="Q308" s="3">
        <f t="shared" si="290"/>
        <v>2.5285219034000803E-2</v>
      </c>
      <c r="R308" s="3">
        <f t="shared" si="290"/>
        <v>2.5279895807882119E-2</v>
      </c>
      <c r="S308" s="3">
        <f t="shared" si="290"/>
        <v>2.5226725145393536E-2</v>
      </c>
      <c r="T308" s="3">
        <f t="shared" si="290"/>
        <v>2.4701130672006223E-2</v>
      </c>
      <c r="U308" s="3">
        <f t="shared" si="290"/>
        <v>2.0011351039799029E-2</v>
      </c>
      <c r="V308" s="3">
        <f t="shared" si="290"/>
        <v>2.4370934548156461E-3</v>
      </c>
      <c r="W308" s="3">
        <f t="shared" si="290"/>
        <v>1.7491615097004763E-12</v>
      </c>
      <c r="X308" s="3">
        <f t="shared" si="290"/>
        <v>6.3446431449751671E-104</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3.2366685021283446E-2</v>
      </c>
      <c r="C309" s="3">
        <f t="shared" si="291"/>
        <v>3.2366685021283446E-2</v>
      </c>
      <c r="D309" s="3">
        <f t="shared" si="291"/>
        <v>3.2366685021283446E-2</v>
      </c>
      <c r="E309" s="3">
        <f t="shared" si="291"/>
        <v>3.2366685021283446E-2</v>
      </c>
      <c r="F309" s="3">
        <f t="shared" si="291"/>
        <v>3.2366685021283439E-2</v>
      </c>
      <c r="G309" s="3">
        <f t="shared" si="291"/>
        <v>3.2366685021283426E-2</v>
      </c>
      <c r="H309" s="3">
        <f t="shared" si="291"/>
        <v>3.2366685021283238E-2</v>
      </c>
      <c r="I309" s="3">
        <f t="shared" si="291"/>
        <v>3.2366685021281351E-2</v>
      </c>
      <c r="J309" s="3">
        <f t="shared" si="291"/>
        <v>3.2366685021262505E-2</v>
      </c>
      <c r="K309" s="3">
        <f t="shared" si="291"/>
        <v>3.2366685021074024E-2</v>
      </c>
      <c r="L309" s="3">
        <f t="shared" si="291"/>
        <v>3.2366685019189226E-2</v>
      </c>
      <c r="M309" s="3">
        <f t="shared" si="291"/>
        <v>3.236668500034124E-2</v>
      </c>
      <c r="N309" s="3">
        <f t="shared" si="291"/>
        <v>3.2366684811861356E-2</v>
      </c>
      <c r="O309" s="3">
        <f t="shared" si="291"/>
        <v>3.2366682927062622E-2</v>
      </c>
      <c r="P309" s="3">
        <f t="shared" si="291"/>
        <v>3.2366664079081314E-2</v>
      </c>
      <c r="Q309" s="3">
        <f t="shared" si="291"/>
        <v>3.236647559987188E-2</v>
      </c>
      <c r="R309" s="3">
        <f t="shared" si="291"/>
        <v>3.2364590868142376E-2</v>
      </c>
      <c r="S309" s="3">
        <f t="shared" si="291"/>
        <v>3.2345749586031092E-2</v>
      </c>
      <c r="T309" s="3">
        <f t="shared" si="291"/>
        <v>3.2157938984968229E-2</v>
      </c>
      <c r="U309" s="3">
        <f t="shared" si="291"/>
        <v>3.0338777393981841E-2</v>
      </c>
      <c r="V309" s="3">
        <f t="shared" si="291"/>
        <v>1.6947153409889074E-2</v>
      </c>
      <c r="W309" s="3">
        <f t="shared" si="291"/>
        <v>5.0128373675025932E-5</v>
      </c>
      <c r="X309" s="3">
        <f t="shared" si="291"/>
        <v>2.5701126319132002E-30</v>
      </c>
      <c r="Y309" s="3">
        <f t="shared" si="291"/>
        <v>3.2258009708457741E-283</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3.1308799332550319E-2</v>
      </c>
      <c r="C310" s="3">
        <f t="shared" si="292"/>
        <v>3.1308799332550319E-2</v>
      </c>
      <c r="D310" s="3">
        <f t="shared" si="292"/>
        <v>3.1308799332550319E-2</v>
      </c>
      <c r="E310" s="3">
        <f t="shared" si="292"/>
        <v>3.1308799332550319E-2</v>
      </c>
      <c r="F310" s="3">
        <f t="shared" si="292"/>
        <v>3.1308799332550319E-2</v>
      </c>
      <c r="G310" s="3">
        <f t="shared" si="292"/>
        <v>3.1308799332550312E-2</v>
      </c>
      <c r="H310" s="3">
        <f t="shared" si="292"/>
        <v>3.1308799332550298E-2</v>
      </c>
      <c r="I310" s="3">
        <f t="shared" si="292"/>
        <v>3.1308799332550118E-2</v>
      </c>
      <c r="J310" s="3">
        <f t="shared" si="292"/>
        <v>3.1308799332548293E-2</v>
      </c>
      <c r="K310" s="3">
        <f t="shared" si="292"/>
        <v>3.1308799332530064E-2</v>
      </c>
      <c r="L310" s="3">
        <f t="shared" si="292"/>
        <v>3.1308799332347745E-2</v>
      </c>
      <c r="M310" s="3">
        <f t="shared" si="292"/>
        <v>3.1308799330524544E-2</v>
      </c>
      <c r="N310" s="3">
        <f t="shared" si="292"/>
        <v>3.1308799312292593E-2</v>
      </c>
      <c r="O310" s="3">
        <f t="shared" si="292"/>
        <v>3.1308799129973065E-2</v>
      </c>
      <c r="P310" s="3">
        <f t="shared" si="292"/>
        <v>3.1308797306777846E-2</v>
      </c>
      <c r="Q310" s="3">
        <f t="shared" si="292"/>
        <v>3.1308779074831504E-2</v>
      </c>
      <c r="R310" s="3">
        <f t="shared" si="292"/>
        <v>3.130859675595199E-2</v>
      </c>
      <c r="S310" s="3">
        <f t="shared" si="292"/>
        <v>3.1306773625548748E-2</v>
      </c>
      <c r="T310" s="3">
        <f t="shared" si="292"/>
        <v>3.1288548159443638E-2</v>
      </c>
      <c r="U310" s="3">
        <f t="shared" si="292"/>
        <v>3.1106876035241354E-2</v>
      </c>
      <c r="V310" s="3">
        <f t="shared" si="292"/>
        <v>2.9347172649855317E-2</v>
      </c>
      <c r="W310" s="3">
        <f t="shared" si="292"/>
        <v>1.6393245864358925E-2</v>
      </c>
      <c r="X310" s="3">
        <f t="shared" si="292"/>
        <v>4.8489957844816405E-5</v>
      </c>
      <c r="Y310" s="3">
        <f t="shared" si="292"/>
        <v>2.4861100419060573E-30</v>
      </c>
      <c r="Z310" s="3">
        <f t="shared" si="292"/>
        <v>3.1203676007148756E-283</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2.9628011896189826E-2</v>
      </c>
      <c r="C311" s="3">
        <f t="shared" si="293"/>
        <v>2.9628011896189826E-2</v>
      </c>
      <c r="D311" s="3">
        <f t="shared" si="293"/>
        <v>2.9628011896189826E-2</v>
      </c>
      <c r="E311" s="3">
        <f t="shared" si="293"/>
        <v>2.9628011896189826E-2</v>
      </c>
      <c r="F311" s="3">
        <f t="shared" si="293"/>
        <v>2.9628011896189826E-2</v>
      </c>
      <c r="G311" s="3">
        <f t="shared" si="293"/>
        <v>2.9628011896189826E-2</v>
      </c>
      <c r="H311" s="3">
        <f t="shared" si="293"/>
        <v>2.9628011896189823E-2</v>
      </c>
      <c r="I311" s="3">
        <f t="shared" si="293"/>
        <v>2.9628011896189806E-2</v>
      </c>
      <c r="J311" s="3">
        <f t="shared" si="293"/>
        <v>2.9628011896189636E-2</v>
      </c>
      <c r="K311" s="3">
        <f t="shared" si="293"/>
        <v>2.9628011896187908E-2</v>
      </c>
      <c r="L311" s="3">
        <f t="shared" si="293"/>
        <v>2.9628011896170654E-2</v>
      </c>
      <c r="M311" s="3">
        <f t="shared" si="293"/>
        <v>2.9628011895998126E-2</v>
      </c>
      <c r="N311" s="3">
        <f t="shared" si="293"/>
        <v>2.9628011894272804E-2</v>
      </c>
      <c r="O311" s="3">
        <f t="shared" si="293"/>
        <v>2.9628011877019619E-2</v>
      </c>
      <c r="P311" s="3">
        <f t="shared" si="293"/>
        <v>2.9628011704487769E-2</v>
      </c>
      <c r="Q311" s="3">
        <f t="shared" si="293"/>
        <v>2.9628009979169305E-2</v>
      </c>
      <c r="R311" s="3">
        <f t="shared" si="293"/>
        <v>2.9627992725990177E-2</v>
      </c>
      <c r="S311" s="3">
        <f t="shared" si="293"/>
        <v>2.9627820194751475E-2</v>
      </c>
      <c r="T311" s="3">
        <f t="shared" si="293"/>
        <v>2.9626094937621618E-2</v>
      </c>
      <c r="U311" s="3">
        <f t="shared" si="293"/>
        <v>2.9608847890846036E-2</v>
      </c>
      <c r="V311" s="3">
        <f t="shared" si="293"/>
        <v>2.9436928686921941E-2</v>
      </c>
      <c r="W311" s="3">
        <f t="shared" si="293"/>
        <v>2.7771693547042942E-2</v>
      </c>
      <c r="X311" s="3">
        <f t="shared" si="293"/>
        <v>1.5513187788757895E-2</v>
      </c>
      <c r="Y311" s="3">
        <f t="shared" si="293"/>
        <v>4.5886813882969097E-5</v>
      </c>
      <c r="Z311" s="3">
        <f t="shared" si="293"/>
        <v>2.3526452456530424E-30</v>
      </c>
      <c r="AA311" s="3">
        <f t="shared" si="293"/>
        <v>2.9528532031041298E-283</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3.0878251841692891E-2</v>
      </c>
      <c r="C312" s="3">
        <f t="shared" si="294"/>
        <v>3.0878251841692891E-2</v>
      </c>
      <c r="D312" s="3">
        <f t="shared" si="294"/>
        <v>3.0878251841692891E-2</v>
      </c>
      <c r="E312" s="3">
        <f t="shared" si="294"/>
        <v>3.0878251841692891E-2</v>
      </c>
      <c r="F312" s="3">
        <f t="shared" si="294"/>
        <v>3.0878251841692891E-2</v>
      </c>
      <c r="G312" s="3">
        <f t="shared" si="294"/>
        <v>3.0878251841692891E-2</v>
      </c>
      <c r="H312" s="3">
        <f t="shared" si="294"/>
        <v>3.0878251841692891E-2</v>
      </c>
      <c r="I312" s="3">
        <f t="shared" si="294"/>
        <v>3.0878251841692888E-2</v>
      </c>
      <c r="J312" s="3">
        <f t="shared" si="294"/>
        <v>3.0878251841692871E-2</v>
      </c>
      <c r="K312" s="3">
        <f t="shared" si="294"/>
        <v>3.0878251841692694E-2</v>
      </c>
      <c r="L312" s="3">
        <f t="shared" si="294"/>
        <v>3.0878251841690893E-2</v>
      </c>
      <c r="M312" s="3">
        <f t="shared" si="294"/>
        <v>3.0878251841672911E-2</v>
      </c>
      <c r="N312" s="3">
        <f t="shared" si="294"/>
        <v>3.08782518414931E-2</v>
      </c>
      <c r="O312" s="3">
        <f t="shared" si="294"/>
        <v>3.0878251839694976E-2</v>
      </c>
      <c r="P312" s="3">
        <f t="shared" si="294"/>
        <v>3.0878251821713745E-2</v>
      </c>
      <c r="Q312" s="3">
        <f t="shared" si="294"/>
        <v>3.0878251641901409E-2</v>
      </c>
      <c r="R312" s="3">
        <f t="shared" si="294"/>
        <v>3.0878249843778124E-2</v>
      </c>
      <c r="S312" s="3">
        <f t="shared" si="294"/>
        <v>3.0878231862551033E-2</v>
      </c>
      <c r="T312" s="3">
        <f t="shared" si="294"/>
        <v>3.0878052050856013E-2</v>
      </c>
      <c r="U312" s="3">
        <f t="shared" si="294"/>
        <v>3.0876253991494688E-2</v>
      </c>
      <c r="V312" s="3">
        <f t="shared" si="294"/>
        <v>3.0858279155527704E-2</v>
      </c>
      <c r="W312" s="3">
        <f t="shared" si="294"/>
        <v>3.0679105321866785E-2</v>
      </c>
      <c r="X312" s="3">
        <f t="shared" si="294"/>
        <v>2.8943600752576633E-2</v>
      </c>
      <c r="Y312" s="3">
        <f t="shared" si="294"/>
        <v>1.6167811768373945E-2</v>
      </c>
      <c r="Z312" s="3">
        <f t="shared" si="294"/>
        <v>4.7823141163022955E-5</v>
      </c>
      <c r="AA312" s="3">
        <f t="shared" si="294"/>
        <v>2.4519219394122874E-30</v>
      </c>
      <c r="AB312" s="3">
        <f t="shared" si="294"/>
        <v>3.0774574134933602E-283</v>
      </c>
      <c r="AC312" s="3">
        <f t="shared" si="294"/>
        <v>0</v>
      </c>
      <c r="AD312" s="3">
        <f t="shared" si="294"/>
        <v>0</v>
      </c>
      <c r="AE312" s="3">
        <f t="shared" si="294"/>
        <v>0</v>
      </c>
      <c r="AF312" s="3">
        <f t="shared" si="294"/>
        <v>0</v>
      </c>
      <c r="AG312" s="3"/>
      <c r="AH312" s="3"/>
    </row>
    <row r="313" spans="1:34" x14ac:dyDescent="0.25">
      <c r="B313" s="3">
        <f t="shared" ref="B313:AF313" si="295">$C43*EXP(-B$285/$A43/EXP(-$F$126))</f>
        <v>3.5015955138041704E-2</v>
      </c>
      <c r="C313" s="3">
        <f t="shared" si="295"/>
        <v>3.5015955138041704E-2</v>
      </c>
      <c r="D313" s="3">
        <f t="shared" si="295"/>
        <v>3.5015955138041704E-2</v>
      </c>
      <c r="E313" s="3">
        <f t="shared" si="295"/>
        <v>3.5015955138041704E-2</v>
      </c>
      <c r="F313" s="3">
        <f t="shared" si="295"/>
        <v>3.5015955138041704E-2</v>
      </c>
      <c r="G313" s="3">
        <f t="shared" si="295"/>
        <v>3.5015955138041704E-2</v>
      </c>
      <c r="H313" s="3">
        <f t="shared" si="295"/>
        <v>3.5015955138041704E-2</v>
      </c>
      <c r="I313" s="3">
        <f t="shared" si="295"/>
        <v>3.5015955138041704E-2</v>
      </c>
      <c r="J313" s="3">
        <f t="shared" si="295"/>
        <v>3.5015955138041698E-2</v>
      </c>
      <c r="K313" s="3">
        <f t="shared" si="295"/>
        <v>3.5015955138041684E-2</v>
      </c>
      <c r="L313" s="3">
        <f t="shared" si="295"/>
        <v>3.5015955138041482E-2</v>
      </c>
      <c r="M313" s="3">
        <f t="shared" si="295"/>
        <v>3.5015955138039435E-2</v>
      </c>
      <c r="N313" s="3">
        <f t="shared" si="295"/>
        <v>3.5015955138019049E-2</v>
      </c>
      <c r="O313" s="3">
        <f t="shared" si="295"/>
        <v>3.5015955137815143E-2</v>
      </c>
      <c r="P313" s="3">
        <f t="shared" si="295"/>
        <v>3.5015955135776065E-2</v>
      </c>
      <c r="Q313" s="3">
        <f t="shared" si="295"/>
        <v>3.5015955115385342E-2</v>
      </c>
      <c r="R313" s="3">
        <f t="shared" si="295"/>
        <v>3.5015954911478048E-2</v>
      </c>
      <c r="S313" s="3">
        <f t="shared" si="295"/>
        <v>3.501595287240522E-2</v>
      </c>
      <c r="T313" s="3">
        <f t="shared" si="295"/>
        <v>3.5015932481683484E-2</v>
      </c>
      <c r="U313" s="3">
        <f t="shared" si="295"/>
        <v>3.5015728575119136E-2</v>
      </c>
      <c r="V313" s="3">
        <f t="shared" si="295"/>
        <v>3.5013689574781466E-2</v>
      </c>
      <c r="W313" s="3">
        <f t="shared" si="295"/>
        <v>3.4993306100578964E-2</v>
      </c>
      <c r="X313" s="3">
        <f t="shared" si="295"/>
        <v>3.4790122871374569E-2</v>
      </c>
      <c r="Y313" s="3">
        <f t="shared" si="295"/>
        <v>3.2822059703430717E-2</v>
      </c>
      <c r="Z313" s="3">
        <f t="shared" si="295"/>
        <v>1.8334307734263457E-2</v>
      </c>
      <c r="AA313" s="3">
        <f t="shared" si="295"/>
        <v>5.4231469259007103E-5</v>
      </c>
      <c r="AB313" s="3">
        <f t="shared" si="295"/>
        <v>2.7804808728360253E-30</v>
      </c>
      <c r="AC313" s="3">
        <f t="shared" si="295"/>
        <v>3.4898384559651756E-283</v>
      </c>
      <c r="AD313" s="3">
        <f t="shared" si="295"/>
        <v>0</v>
      </c>
      <c r="AE313" s="3">
        <f t="shared" si="295"/>
        <v>0</v>
      </c>
      <c r="AF313" s="3">
        <f t="shared" si="295"/>
        <v>0</v>
      </c>
      <c r="AG313" s="3"/>
      <c r="AH313" s="3"/>
    </row>
    <row r="314" spans="1:34" x14ac:dyDescent="0.25">
      <c r="B314" s="3">
        <f t="shared" ref="B314:AF314" si="296">$C44*EXP(-B$285/$A44/EXP(-$F$126))</f>
        <v>3.7250810616417634E-2</v>
      </c>
      <c r="C314" s="3">
        <f t="shared" si="296"/>
        <v>3.7250810616417634E-2</v>
      </c>
      <c r="D314" s="3">
        <f t="shared" si="296"/>
        <v>3.7250810616417634E-2</v>
      </c>
      <c r="E314" s="3">
        <f t="shared" si="296"/>
        <v>3.7250810616417634E-2</v>
      </c>
      <c r="F314" s="3">
        <f t="shared" si="296"/>
        <v>3.7250810616417634E-2</v>
      </c>
      <c r="G314" s="3">
        <f t="shared" si="296"/>
        <v>3.7250810616417634E-2</v>
      </c>
      <c r="H314" s="3">
        <f t="shared" si="296"/>
        <v>3.7250810616417634E-2</v>
      </c>
      <c r="I314" s="3">
        <f t="shared" si="296"/>
        <v>3.7250810616417634E-2</v>
      </c>
      <c r="J314" s="3">
        <f t="shared" si="296"/>
        <v>3.7250810616417634E-2</v>
      </c>
      <c r="K314" s="3">
        <f t="shared" si="296"/>
        <v>3.7250810616417628E-2</v>
      </c>
      <c r="L314" s="3">
        <f t="shared" si="296"/>
        <v>3.7250810616417607E-2</v>
      </c>
      <c r="M314" s="3">
        <f t="shared" si="296"/>
        <v>3.7250810616417392E-2</v>
      </c>
      <c r="N314" s="3">
        <f t="shared" si="296"/>
        <v>3.7250810616415227E-2</v>
      </c>
      <c r="O314" s="3">
        <f t="shared" si="296"/>
        <v>3.7250810616393529E-2</v>
      </c>
      <c r="P314" s="3">
        <f t="shared" si="296"/>
        <v>3.7250810616176612E-2</v>
      </c>
      <c r="Q314" s="3">
        <f t="shared" si="296"/>
        <v>3.7250810614007396E-2</v>
      </c>
      <c r="R314" s="3">
        <f t="shared" si="296"/>
        <v>3.7250810592315255E-2</v>
      </c>
      <c r="S314" s="3">
        <f t="shared" si="296"/>
        <v>3.7250810375393802E-2</v>
      </c>
      <c r="T314" s="3">
        <f t="shared" si="296"/>
        <v>3.7250808206179355E-2</v>
      </c>
      <c r="U314" s="3">
        <f t="shared" si="296"/>
        <v>3.7250786514041845E-2</v>
      </c>
      <c r="V314" s="3">
        <f t="shared" si="296"/>
        <v>3.7250569593361482E-2</v>
      </c>
      <c r="W314" s="3">
        <f t="shared" si="296"/>
        <v>3.7248400456031783E-2</v>
      </c>
      <c r="X314" s="3">
        <f t="shared" si="296"/>
        <v>3.7226716028626365E-2</v>
      </c>
      <c r="Y314" s="3">
        <f t="shared" si="296"/>
        <v>3.7010564849494249E-2</v>
      </c>
      <c r="Z314" s="3">
        <f t="shared" si="296"/>
        <v>3.4916892177673381E-2</v>
      </c>
      <c r="AA314" s="3">
        <f t="shared" si="296"/>
        <v>1.9504475102842065E-2</v>
      </c>
      <c r="AB314" s="3">
        <f t="shared" si="296"/>
        <v>5.7692734150856233E-5</v>
      </c>
      <c r="AC314" s="3">
        <f t="shared" si="296"/>
        <v>2.9579420583635952E-30</v>
      </c>
      <c r="AD314" s="3">
        <f t="shared" si="296"/>
        <v>3.7125736222976094E-283</v>
      </c>
      <c r="AE314" s="3">
        <f t="shared" si="296"/>
        <v>0</v>
      </c>
      <c r="AF314" s="3">
        <f t="shared" si="296"/>
        <v>0</v>
      </c>
      <c r="AG314" s="3"/>
      <c r="AH314" s="3"/>
    </row>
    <row r="315" spans="1:34" x14ac:dyDescent="0.25">
      <c r="B315" s="3">
        <f t="shared" ref="B315:AF315" si="297">$C45*EXP(-B$285/$A45/EXP(-$F$126))</f>
        <v>3.3898326315238474E-2</v>
      </c>
      <c r="C315" s="3">
        <f t="shared" si="297"/>
        <v>3.3898326315238474E-2</v>
      </c>
      <c r="D315" s="3">
        <f t="shared" si="297"/>
        <v>3.3898326315238474E-2</v>
      </c>
      <c r="E315" s="3">
        <f t="shared" si="297"/>
        <v>3.3898326315238474E-2</v>
      </c>
      <c r="F315" s="3">
        <f t="shared" si="297"/>
        <v>3.3898326315238474E-2</v>
      </c>
      <c r="G315" s="3">
        <f t="shared" si="297"/>
        <v>3.3898326315238474E-2</v>
      </c>
      <c r="H315" s="3">
        <f t="shared" si="297"/>
        <v>3.3898326315238474E-2</v>
      </c>
      <c r="I315" s="3">
        <f t="shared" si="297"/>
        <v>3.3898326315238474E-2</v>
      </c>
      <c r="J315" s="3">
        <f t="shared" si="297"/>
        <v>3.3898326315238474E-2</v>
      </c>
      <c r="K315" s="3">
        <f t="shared" si="297"/>
        <v>3.3898326315238474E-2</v>
      </c>
      <c r="L315" s="3">
        <f t="shared" si="297"/>
        <v>3.3898326315238467E-2</v>
      </c>
      <c r="M315" s="3">
        <f t="shared" si="297"/>
        <v>3.3898326315238453E-2</v>
      </c>
      <c r="N315" s="3">
        <f t="shared" si="297"/>
        <v>3.3898326315238259E-2</v>
      </c>
      <c r="O315" s="3">
        <f t="shared" si="297"/>
        <v>3.3898326315236281E-2</v>
      </c>
      <c r="P315" s="3">
        <f t="shared" si="297"/>
        <v>3.389832631521654E-2</v>
      </c>
      <c r="Q315" s="3">
        <f t="shared" si="297"/>
        <v>3.3898326315019142E-2</v>
      </c>
      <c r="R315" s="3">
        <f t="shared" si="297"/>
        <v>3.3898326313045152E-2</v>
      </c>
      <c r="S315" s="3">
        <f t="shared" si="297"/>
        <v>3.3898326293305248E-2</v>
      </c>
      <c r="T315" s="3">
        <f t="shared" si="297"/>
        <v>3.3898326095906206E-2</v>
      </c>
      <c r="U315" s="3">
        <f t="shared" si="297"/>
        <v>3.3898324121915901E-2</v>
      </c>
      <c r="V315" s="3">
        <f t="shared" si="297"/>
        <v>3.3898304382019143E-2</v>
      </c>
      <c r="W315" s="3">
        <f t="shared" si="297"/>
        <v>3.3898106983683757E-2</v>
      </c>
      <c r="X315" s="3">
        <f t="shared" si="297"/>
        <v>3.3896133063551333E-2</v>
      </c>
      <c r="Y315" s="3">
        <f t="shared" si="297"/>
        <v>3.3876400183005001E-2</v>
      </c>
      <c r="Z315" s="3">
        <f t="shared" si="297"/>
        <v>3.3679702095570238E-2</v>
      </c>
      <c r="AA315" s="3">
        <f t="shared" si="297"/>
        <v>3.1774454981420147E-2</v>
      </c>
      <c r="AB315" s="3">
        <f t="shared" si="297"/>
        <v>1.774911876285952E-2</v>
      </c>
      <c r="AC315" s="3">
        <f t="shared" si="297"/>
        <v>5.2500525381911894E-5</v>
      </c>
      <c r="AD315" s="3">
        <f t="shared" si="297"/>
        <v>2.6917343128040655E-30</v>
      </c>
      <c r="AE315" s="3">
        <f t="shared" si="297"/>
        <v>3.3784508319538449E-283</v>
      </c>
      <c r="AF315" s="3">
        <f t="shared" si="297"/>
        <v>0</v>
      </c>
      <c r="AG315" s="3"/>
      <c r="AH315" s="3"/>
    </row>
    <row r="316" spans="1:34" x14ac:dyDescent="0.25">
      <c r="B316" s="3">
        <f t="shared" ref="B316:AF316" si="298">$C46*EXP(-B$285/$A46/EXP(-$F$126))</f>
        <v>2.3731882185441592E-2</v>
      </c>
      <c r="C316" s="3">
        <f t="shared" si="298"/>
        <v>2.3731882185441592E-2</v>
      </c>
      <c r="D316" s="3">
        <f t="shared" si="298"/>
        <v>2.3731882185441592E-2</v>
      </c>
      <c r="E316" s="3">
        <f t="shared" si="298"/>
        <v>2.3731882185441592E-2</v>
      </c>
      <c r="F316" s="3">
        <f t="shared" si="298"/>
        <v>2.3731882185441592E-2</v>
      </c>
      <c r="G316" s="3">
        <f t="shared" si="298"/>
        <v>2.3731882185441592E-2</v>
      </c>
      <c r="H316" s="3">
        <f t="shared" si="298"/>
        <v>2.3731882185441592E-2</v>
      </c>
      <c r="I316" s="3">
        <f t="shared" si="298"/>
        <v>2.3731882185441592E-2</v>
      </c>
      <c r="J316" s="3">
        <f t="shared" si="298"/>
        <v>2.3731882185441592E-2</v>
      </c>
      <c r="K316" s="3">
        <f t="shared" si="298"/>
        <v>2.3731882185441592E-2</v>
      </c>
      <c r="L316" s="3">
        <f t="shared" si="298"/>
        <v>2.3731882185441592E-2</v>
      </c>
      <c r="M316" s="3">
        <f t="shared" si="298"/>
        <v>2.3731882185441588E-2</v>
      </c>
      <c r="N316" s="3">
        <f t="shared" si="298"/>
        <v>2.3731882185441575E-2</v>
      </c>
      <c r="O316" s="3">
        <f t="shared" si="298"/>
        <v>2.3731882185441439E-2</v>
      </c>
      <c r="P316" s="3">
        <f t="shared" si="298"/>
        <v>2.3731882185440055E-2</v>
      </c>
      <c r="Q316" s="3">
        <f t="shared" si="298"/>
        <v>2.3731882185426236E-2</v>
      </c>
      <c r="R316" s="3">
        <f t="shared" si="298"/>
        <v>2.3731882185288041E-2</v>
      </c>
      <c r="S316" s="3">
        <f t="shared" si="298"/>
        <v>2.3731882183906067E-2</v>
      </c>
      <c r="T316" s="3">
        <f t="shared" si="298"/>
        <v>2.3731882170086357E-2</v>
      </c>
      <c r="U316" s="3">
        <f t="shared" si="298"/>
        <v>2.3731882031889247E-2</v>
      </c>
      <c r="V316" s="3">
        <f t="shared" si="298"/>
        <v>2.3731880649918206E-2</v>
      </c>
      <c r="W316" s="3">
        <f t="shared" si="298"/>
        <v>2.3731866830212184E-2</v>
      </c>
      <c r="X316" s="3">
        <f t="shared" si="298"/>
        <v>2.3731728633594587E-2</v>
      </c>
      <c r="Y316" s="3">
        <f t="shared" si="298"/>
        <v>2.3730346711679312E-2</v>
      </c>
      <c r="Z316" s="3">
        <f t="shared" si="298"/>
        <v>2.3716531917640518E-2</v>
      </c>
      <c r="AA316" s="3">
        <f t="shared" si="298"/>
        <v>2.3578825536691404E-2</v>
      </c>
      <c r="AB316" s="3">
        <f t="shared" si="298"/>
        <v>2.2244980920686375E-2</v>
      </c>
      <c r="AC316" s="3">
        <f t="shared" si="298"/>
        <v>1.2425982081193193E-2</v>
      </c>
      <c r="AD316" s="3">
        <f t="shared" si="298"/>
        <v>3.6755097329900544E-5</v>
      </c>
      <c r="AE316" s="3">
        <f t="shared" si="298"/>
        <v>1.8844565065520781E-30</v>
      </c>
      <c r="AF316" s="3">
        <f t="shared" si="298"/>
        <v>2.3652199335043109E-283</v>
      </c>
      <c r="AG316" s="3"/>
      <c r="AH316" s="3"/>
    </row>
    <row r="317" spans="1:34" x14ac:dyDescent="0.25">
      <c r="B317" s="3">
        <f t="shared" ref="B317:AF317" si="299">$C47*EXP(-B$285/$A47/EXP(-$F$126))</f>
        <v>1.1146070536665017E-2</v>
      </c>
      <c r="C317" s="3">
        <f t="shared" si="299"/>
        <v>1.1146070536665017E-2</v>
      </c>
      <c r="D317" s="3">
        <f t="shared" si="299"/>
        <v>1.1146070536665017E-2</v>
      </c>
      <c r="E317" s="3">
        <f t="shared" si="299"/>
        <v>1.1146070536665017E-2</v>
      </c>
      <c r="F317" s="3">
        <f t="shared" si="299"/>
        <v>1.1146070536665017E-2</v>
      </c>
      <c r="G317" s="3">
        <f t="shared" si="299"/>
        <v>1.1146070536665017E-2</v>
      </c>
      <c r="H317" s="3">
        <f t="shared" si="299"/>
        <v>1.1146070536665017E-2</v>
      </c>
      <c r="I317" s="3">
        <f t="shared" si="299"/>
        <v>1.1146070536665017E-2</v>
      </c>
      <c r="J317" s="3">
        <f t="shared" si="299"/>
        <v>1.1146070536665017E-2</v>
      </c>
      <c r="K317" s="3">
        <f t="shared" si="299"/>
        <v>1.1146070536665017E-2</v>
      </c>
      <c r="L317" s="3">
        <f t="shared" si="299"/>
        <v>1.1146070536665017E-2</v>
      </c>
      <c r="M317" s="3">
        <f t="shared" si="299"/>
        <v>1.1146070536665017E-2</v>
      </c>
      <c r="N317" s="3">
        <f t="shared" si="299"/>
        <v>1.1146070536665015E-2</v>
      </c>
      <c r="O317" s="3">
        <f t="shared" si="299"/>
        <v>1.114607053666501E-2</v>
      </c>
      <c r="P317" s="3">
        <f t="shared" si="299"/>
        <v>1.1146070536664946E-2</v>
      </c>
      <c r="Q317" s="3">
        <f t="shared" si="299"/>
        <v>1.1146070536664296E-2</v>
      </c>
      <c r="R317" s="3">
        <f t="shared" si="299"/>
        <v>1.1146070536657806E-2</v>
      </c>
      <c r="S317" s="3">
        <f t="shared" si="299"/>
        <v>1.11460705365929E-2</v>
      </c>
      <c r="T317" s="3">
        <f t="shared" si="299"/>
        <v>1.1146070535943832E-2</v>
      </c>
      <c r="U317" s="3">
        <f t="shared" si="299"/>
        <v>1.1146070529453178E-2</v>
      </c>
      <c r="V317" s="3">
        <f t="shared" si="299"/>
        <v>1.1146070464546623E-2</v>
      </c>
      <c r="W317" s="3">
        <f t="shared" si="299"/>
        <v>1.114606981548109E-2</v>
      </c>
      <c r="X317" s="3">
        <f t="shared" si="299"/>
        <v>1.1146063324827846E-2</v>
      </c>
      <c r="Y317" s="3">
        <f t="shared" si="299"/>
        <v>1.1145998418503281E-2</v>
      </c>
      <c r="Z317" s="3">
        <f t="shared" si="299"/>
        <v>1.1145349376045399E-2</v>
      </c>
      <c r="AA317" s="3">
        <f t="shared" si="299"/>
        <v>1.1138861029794448E-2</v>
      </c>
      <c r="AB317" s="3">
        <f t="shared" si="299"/>
        <v>1.1074184952970282E-2</v>
      </c>
      <c r="AC317" s="3">
        <f t="shared" si="299"/>
        <v>1.0447722792962459E-2</v>
      </c>
      <c r="AD317" s="3">
        <f t="shared" si="299"/>
        <v>5.8360677708605329E-3</v>
      </c>
      <c r="AE317" s="3">
        <f t="shared" si="299"/>
        <v>1.7262638682420903E-5</v>
      </c>
      <c r="AF317" s="3">
        <f t="shared" si="299"/>
        <v>8.8506613091952565E-31</v>
      </c>
      <c r="AG317" s="3"/>
      <c r="AH317" s="3"/>
    </row>
    <row r="318" spans="1:34" x14ac:dyDescent="0.25">
      <c r="B318" s="3">
        <f t="shared" ref="B318:AF318" si="300">$C48*EXP(-B$285/$A48/EXP(-$F$126))</f>
        <v>2.58377406244087E-2</v>
      </c>
      <c r="C318" s="3">
        <f t="shared" si="300"/>
        <v>2.58377406244087E-2</v>
      </c>
      <c r="D318" s="3">
        <f t="shared" si="300"/>
        <v>2.58377406244087E-2</v>
      </c>
      <c r="E318" s="3">
        <f t="shared" si="300"/>
        <v>2.58377406244087E-2</v>
      </c>
      <c r="F318" s="3">
        <f t="shared" si="300"/>
        <v>2.58377406244087E-2</v>
      </c>
      <c r="G318" s="3">
        <f t="shared" si="300"/>
        <v>2.58377406244087E-2</v>
      </c>
      <c r="H318" s="3">
        <f t="shared" si="300"/>
        <v>2.58377406244087E-2</v>
      </c>
      <c r="I318" s="3">
        <f t="shared" si="300"/>
        <v>2.58377406244087E-2</v>
      </c>
      <c r="J318" s="3">
        <f t="shared" si="300"/>
        <v>2.58377406244087E-2</v>
      </c>
      <c r="K318" s="3">
        <f t="shared" si="300"/>
        <v>2.58377406244087E-2</v>
      </c>
      <c r="L318" s="3">
        <f t="shared" si="300"/>
        <v>2.58377406244087E-2</v>
      </c>
      <c r="M318" s="3">
        <f t="shared" si="300"/>
        <v>2.58377406244087E-2</v>
      </c>
      <c r="N318" s="3">
        <f t="shared" si="300"/>
        <v>2.58377406244087E-2</v>
      </c>
      <c r="O318" s="3">
        <f t="shared" si="300"/>
        <v>2.5837740624408696E-2</v>
      </c>
      <c r="P318" s="3">
        <f t="shared" si="300"/>
        <v>2.5837740624408682E-2</v>
      </c>
      <c r="Q318" s="3">
        <f t="shared" si="300"/>
        <v>2.5837740624408533E-2</v>
      </c>
      <c r="R318" s="3">
        <f t="shared" si="300"/>
        <v>2.5837740624407027E-2</v>
      </c>
      <c r="S318" s="3">
        <f t="shared" si="300"/>
        <v>2.583774062439198E-2</v>
      </c>
      <c r="T318" s="3">
        <f t="shared" si="300"/>
        <v>2.5837740624241521E-2</v>
      </c>
      <c r="U318" s="3">
        <f t="shared" si="300"/>
        <v>2.5837740622736919E-2</v>
      </c>
      <c r="V318" s="3">
        <f t="shared" si="300"/>
        <v>2.5837740607690913E-2</v>
      </c>
      <c r="W318" s="3">
        <f t="shared" si="300"/>
        <v>2.5837740457230824E-2</v>
      </c>
      <c r="X318" s="3">
        <f t="shared" si="300"/>
        <v>2.5837738952630005E-2</v>
      </c>
      <c r="Y318" s="3">
        <f t="shared" si="300"/>
        <v>2.5837723906626621E-2</v>
      </c>
      <c r="Z318" s="3">
        <f t="shared" si="300"/>
        <v>2.5837573447074668E-2</v>
      </c>
      <c r="AA318" s="3">
        <f t="shared" si="300"/>
        <v>2.5836068899743318E-2</v>
      </c>
      <c r="AB318" s="3">
        <f t="shared" si="300"/>
        <v>2.582102824420808E-2</v>
      </c>
      <c r="AC318" s="3">
        <f t="shared" si="300"/>
        <v>2.5671102430255072E-2</v>
      </c>
      <c r="AD318" s="3">
        <f t="shared" si="300"/>
        <v>2.4218898557325695E-2</v>
      </c>
      <c r="AE318" s="3">
        <f t="shared" si="300"/>
        <v>1.3528606770784279E-2</v>
      </c>
      <c r="AF318" s="3">
        <f t="shared" si="300"/>
        <v>4.0016576182796181E-5</v>
      </c>
      <c r="AG318" s="3"/>
      <c r="AH318" s="3"/>
    </row>
    <row r="319" spans="1:34" x14ac:dyDescent="0.25">
      <c r="A319" s="79">
        <f>AVERAGE(B319:AF319)</f>
        <v>1.8650238058425209E-2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4.9039534750204325E-2</v>
      </c>
      <c r="M319" s="80">
        <f t="shared" si="301"/>
        <v>6.0740474999331232E-2</v>
      </c>
      <c r="N319" s="80">
        <f t="shared" si="301"/>
        <v>6.6813539752372919E-2</v>
      </c>
      <c r="O319" s="80">
        <f t="shared" si="301"/>
        <v>6.2535995566177477E-2</v>
      </c>
      <c r="P319" s="80">
        <f t="shared" si="301"/>
        <v>5.1804450044810393E-2</v>
      </c>
      <c r="Q319" s="80">
        <f t="shared" si="301"/>
        <v>2.9017406087490576E-2</v>
      </c>
      <c r="R319" s="80">
        <f t="shared" si="301"/>
        <v>4.931729764227203E-2</v>
      </c>
      <c r="S319" s="80">
        <f t="shared" si="301"/>
        <v>8.7345728197727762E-2</v>
      </c>
      <c r="T319" s="80">
        <f t="shared" si="301"/>
        <v>6.5032682032011374E-2</v>
      </c>
      <c r="U319" s="80">
        <f t="shared" si="301"/>
        <v>1.8534168604705029E-2</v>
      </c>
      <c r="V319" s="80">
        <f t="shared" si="301"/>
        <v>3.7976102134078212E-2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10380.469803858025</v>
      </c>
      <c r="C320" s="21">
        <f t="shared" ref="C320:AF320" si="302">(C287-C286)^2</f>
        <v>56236.051421732627</v>
      </c>
      <c r="D320" s="21">
        <f t="shared" si="302"/>
        <v>41128.85008306634</v>
      </c>
      <c r="E320" s="21">
        <f t="shared" si="302"/>
        <v>35769.634732837272</v>
      </c>
      <c r="F320" s="21">
        <f t="shared" si="302"/>
        <v>41754.741304175011</v>
      </c>
      <c r="G320" s="21">
        <f t="shared" si="302"/>
        <v>46457.803817363689</v>
      </c>
      <c r="H320" s="21">
        <f t="shared" si="302"/>
        <v>54696.742663169352</v>
      </c>
      <c r="I320" s="21">
        <f t="shared" si="302"/>
        <v>62559.406617602697</v>
      </c>
      <c r="J320" s="21">
        <f t="shared" si="302"/>
        <v>66967.866811593776</v>
      </c>
      <c r="K320" s="21">
        <f t="shared" si="302"/>
        <v>59754.72579547239</v>
      </c>
      <c r="L320" s="21">
        <f t="shared" si="302"/>
        <v>67962.837308222894</v>
      </c>
      <c r="M320" s="21">
        <f t="shared" si="302"/>
        <v>95771.929123510723</v>
      </c>
      <c r="N320" s="21">
        <f t="shared" si="302"/>
        <v>105424.9687545585</v>
      </c>
      <c r="O320" s="21">
        <f t="shared" si="302"/>
        <v>84699.110508628073</v>
      </c>
      <c r="P320" s="21">
        <f t="shared" si="302"/>
        <v>53602.978403560075</v>
      </c>
      <c r="Q320" s="21">
        <f t="shared" si="302"/>
        <v>15337.653634208527</v>
      </c>
      <c r="R320" s="21">
        <f t="shared" si="302"/>
        <v>38464.611971830418</v>
      </c>
      <c r="S320" s="21">
        <f t="shared" si="302"/>
        <v>90579.092752289507</v>
      </c>
      <c r="T320" s="21">
        <f t="shared" si="302"/>
        <v>34096.202034329726</v>
      </c>
      <c r="U320" s="21">
        <f t="shared" si="302"/>
        <v>1878.6581048357964</v>
      </c>
      <c r="V320" s="21">
        <f t="shared" si="302"/>
        <v>5542.1454588800389</v>
      </c>
      <c r="W320" s="21">
        <f t="shared" si="302"/>
        <v>19495.69453470959</v>
      </c>
      <c r="X320" s="21">
        <f t="shared" si="302"/>
        <v>37890.943006740032</v>
      </c>
      <c r="Y320" s="21">
        <f t="shared" si="302"/>
        <v>61759.445176901696</v>
      </c>
      <c r="Z320" s="21">
        <f t="shared" si="302"/>
        <v>83440.974647400173</v>
      </c>
      <c r="AA320" s="21">
        <f t="shared" si="302"/>
        <v>81722.572546144293</v>
      </c>
      <c r="AB320" s="21">
        <f t="shared" si="302"/>
        <v>52453.13795998499</v>
      </c>
      <c r="AC320" s="21">
        <f t="shared" si="302"/>
        <v>22076.345847804871</v>
      </c>
      <c r="AD320" s="21">
        <f t="shared" si="302"/>
        <v>6311.1569986032246</v>
      </c>
      <c r="AE320" s="21">
        <f t="shared" si="302"/>
        <v>40.914646964365708</v>
      </c>
      <c r="AF320" s="21">
        <f t="shared" si="302"/>
        <v>7394.9292553329824</v>
      </c>
      <c r="AG320" s="3"/>
      <c r="AH320" s="3"/>
    </row>
    <row r="321" spans="1:34" x14ac:dyDescent="0.25">
      <c r="A321" s="71">
        <f>SUM(B321:AF321)</f>
        <v>593360.18805485428</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67962.837308222894</v>
      </c>
      <c r="M321" s="60">
        <f t="shared" ref="M321" si="313">IF($A$64&lt;=M285,IF($B$64&gt;=M285,ABS(M320),0),0)</f>
        <v>95771.929123510723</v>
      </c>
      <c r="N321" s="60">
        <f t="shared" ref="N321" si="314">IF($A$64&lt;=N285,IF($B$64&gt;=N285,ABS(N320),0),0)</f>
        <v>105424.9687545585</v>
      </c>
      <c r="O321" s="60">
        <f t="shared" ref="O321" si="315">IF($A$64&lt;=O285,IF($B$64&gt;=O285,ABS(O320),0),0)</f>
        <v>84699.110508628073</v>
      </c>
      <c r="P321" s="60">
        <f t="shared" ref="P321" si="316">IF($A$64&lt;=P285,IF($B$64&gt;=P285,ABS(P320),0),0)</f>
        <v>53602.978403560075</v>
      </c>
      <c r="Q321" s="60">
        <f t="shared" ref="Q321" si="317">IF($A$64&lt;=Q285,IF($B$64&gt;=Q285,ABS(Q320),0),0)</f>
        <v>15337.653634208527</v>
      </c>
      <c r="R321" s="60">
        <f t="shared" ref="R321" si="318">IF($A$64&lt;=R285,IF($B$64&gt;=R285,ABS(R320),0),0)</f>
        <v>38464.611971830418</v>
      </c>
      <c r="S321" s="60">
        <f t="shared" ref="S321" si="319">IF($A$64&lt;=S285,IF($B$64&gt;=S285,ABS(S320),0),0)</f>
        <v>90579.092752289507</v>
      </c>
      <c r="T321" s="60">
        <f t="shared" ref="T321" si="320">IF($A$64&lt;=T285,IF($B$64&gt;=T285,ABS(T320),0),0)</f>
        <v>34096.202034329726</v>
      </c>
      <c r="U321" s="60">
        <f t="shared" ref="U321" si="321">IF($A$64&lt;=U285,IF($B$64&gt;=U285,ABS(U320),0),0)</f>
        <v>1878.6581048357964</v>
      </c>
      <c r="V321" s="60">
        <f t="shared" ref="V321" si="322">IF($A$64&lt;=V285,IF($B$64&gt;=V285,ABS(V320),0),0)</f>
        <v>5542.1454588800389</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5776.5900052436255</v>
      </c>
      <c r="C325" s="26">
        <f>INDEX(Comparison!$AM$3:$AS$33,G$14,$G$122)</f>
        <v>5571.6920956359099</v>
      </c>
      <c r="D325" s="26">
        <f>INDEX(Comparison!$AM$3:$AS$33,H$14,$G$122)</f>
        <v>5400.7646013667554</v>
      </c>
      <c r="E325" s="26">
        <f>INDEX(Comparison!$AM$3:$AS$33,I$14,$G$122)</f>
        <v>5215.0678795321228</v>
      </c>
      <c r="F325" s="26">
        <f>INDEX(Comparison!$AM$3:$AS$33,J$14,$G$122)</f>
        <v>4985.425095489265</v>
      </c>
      <c r="G325" s="26">
        <f>INDEX(Comparison!$AM$3:$AS$33,K$14,$G$122)</f>
        <v>4758.3350912889036</v>
      </c>
      <c r="H325" s="26">
        <f>INDEX(Comparison!$AM$3:$AS$33,L$14,$G$122)</f>
        <v>4565.5114420012915</v>
      </c>
      <c r="I325" s="26">
        <f>INDEX(Comparison!$AM$3:$AS$33,M$14,$G$122)</f>
        <v>4384.874474223483</v>
      </c>
      <c r="J325" s="26">
        <f>INDEX(Comparison!$AM$3:$AS$33,N$14,$G$122)</f>
        <v>4203.1654341512503</v>
      </c>
      <c r="K325" s="26">
        <f>INDEX(Comparison!$AM$3:$AS$33,O$14,$G$122)</f>
        <v>4026.8171479490911</v>
      </c>
      <c r="L325" s="26">
        <f>INDEX(Comparison!$AM$3:$AS$33,P$14,$G$122)</f>
        <v>3842.8247437350828</v>
      </c>
      <c r="M325" s="26">
        <f>INDEX(Comparison!$AM$3:$AS$33,Q$14,$G$122)</f>
        <v>3637.9090125528774</v>
      </c>
      <c r="N325" s="26">
        <f>INDEX(Comparison!$AM$3:$AS$33,R$14,$G$122)</f>
        <v>3407.0475124340101</v>
      </c>
      <c r="O325" s="26">
        <f>INDEX(Comparison!$AM$3:$AS$33,S$14,$G$122)</f>
        <v>3145.7192687287707</v>
      </c>
      <c r="P325" s="26">
        <f>INDEX(Comparison!$AM$3:$AS$33,T$14,$G$122)</f>
        <v>2837.9758401657195</v>
      </c>
      <c r="Q325" s="26">
        <f>INDEX(Comparison!$AM$3:$AS$33,U$14,$G$122)</f>
        <v>2426.1662837806571</v>
      </c>
      <c r="R325" s="26">
        <f>INDEX(Comparison!$AM$3:$AS$33,V$14,$G$122)</f>
        <v>1854.808278855141</v>
      </c>
      <c r="S325" s="26">
        <f>INDEX(Comparison!$AM$3:$AS$33,W$14,$G$122)</f>
        <v>1269.173844412863</v>
      </c>
      <c r="T325" s="26">
        <f>INDEX(Comparison!$AM$3:$AS$33,X$14,$G$122)</f>
        <v>808.20803145416335</v>
      </c>
      <c r="U325" s="26">
        <f>INDEX(Comparison!$AM$3:$AS$33,Y$14,$G$122)</f>
        <v>509.02880387480866</v>
      </c>
      <c r="V325" s="26">
        <f>INDEX(Comparison!$AM$3:$AS$33,Z$14,$G$122)</f>
        <v>344.05387649356049</v>
      </c>
      <c r="W325" s="26">
        <f>INDEX(Comparison!$AM$3:$AS$33,AA$14,$G$122)</f>
        <v>262.73242624087396</v>
      </c>
      <c r="X325" s="26">
        <f>INDEX(Comparison!$AM$3:$AS$33,AB$14,$G$122)</f>
        <v>222.939887660718</v>
      </c>
      <c r="Y325" s="26">
        <f>INDEX(Comparison!$AM$3:$AS$33,AC$14,$G$122)</f>
        <v>201.32214117210117</v>
      </c>
      <c r="Z325" s="26">
        <f>INDEX(Comparison!$AM$3:$AS$33,AD$14,$G$122)</f>
        <v>188.02569432355588</v>
      </c>
      <c r="AA325" s="26">
        <f>INDEX(Comparison!$AM$3:$AS$33,AE$14,$G$122)</f>
        <v>181.14617749166206</v>
      </c>
      <c r="AB325" s="26">
        <f>INDEX(Comparison!$AM$3:$AS$33,AF$14,$G$122)</f>
        <v>171.73287142228415</v>
      </c>
      <c r="AC325" s="26">
        <f>INDEX(Comparison!$AM$3:$AS$33,AG$14,$G$122)</f>
        <v>164.88164851800227</v>
      </c>
      <c r="AD325" s="26">
        <f>INDEX(Comparison!$AM$3:$AS$33,AH$14,$G$122)</f>
        <v>164.50146393142782</v>
      </c>
      <c r="AE325" s="26">
        <f>INDEX(Comparison!$AM$3:$AS$33,AI$14,$G$122)</f>
        <v>163.00727748318997</v>
      </c>
      <c r="AF325" s="26">
        <f>INDEX(Comparison!$AM$3:$AS$33,AJ$14,$G$122)</f>
        <v>162.92272722143832</v>
      </c>
      <c r="AG325" s="26"/>
      <c r="AH325" s="26"/>
    </row>
    <row r="326" spans="1:34" x14ac:dyDescent="0.25">
      <c r="A326" s="77" t="s">
        <v>22</v>
      </c>
      <c r="B326" s="27">
        <f>($C$17+SUM(B327:B357))*$B$51</f>
        <v>6322.707572541749</v>
      </c>
      <c r="C326" s="27">
        <f t="shared" ref="C326:AF326" si="333">($C$17+SUM(C327:C357))*$B$51</f>
        <v>6185.5718176130358</v>
      </c>
      <c r="D326" s="27">
        <f t="shared" si="333"/>
        <v>6030.2365580173446</v>
      </c>
      <c r="E326" s="27">
        <f t="shared" si="333"/>
        <v>5862.5597255384864</v>
      </c>
      <c r="F326" s="27">
        <f t="shared" si="333"/>
        <v>5687.5543497326535</v>
      </c>
      <c r="G326" s="27">
        <f t="shared" si="333"/>
        <v>5527.6395434776368</v>
      </c>
      <c r="H326" s="27">
        <f t="shared" si="333"/>
        <v>5338.5094867832859</v>
      </c>
      <c r="I326" s="27">
        <f t="shared" si="333"/>
        <v>5114.0534906139101</v>
      </c>
      <c r="J326" s="27">
        <f t="shared" si="333"/>
        <v>4872.8721743276774</v>
      </c>
      <c r="K326" s="27">
        <f t="shared" si="333"/>
        <v>4633.7058201936734</v>
      </c>
      <c r="L326" s="27">
        <f t="shared" si="333"/>
        <v>4233.5842803141859</v>
      </c>
      <c r="M326" s="27">
        <f t="shared" si="333"/>
        <v>3604.8689503870128</v>
      </c>
      <c r="N326" s="27">
        <f t="shared" si="333"/>
        <v>3004.4063520253276</v>
      </c>
      <c r="O326" s="27">
        <f t="shared" si="333"/>
        <v>2548.6865972919013</v>
      </c>
      <c r="P326" s="27">
        <f t="shared" si="333"/>
        <v>2222.9287214315941</v>
      </c>
      <c r="Q326" s="27">
        <f t="shared" si="333"/>
        <v>1948.2639831433464</v>
      </c>
      <c r="R326" s="27">
        <f t="shared" si="333"/>
        <v>1726.9763736024772</v>
      </c>
      <c r="S326" s="27">
        <f t="shared" si="333"/>
        <v>1515.141366688546</v>
      </c>
      <c r="T326" s="27">
        <f t="shared" si="333"/>
        <v>1297.9346446665768</v>
      </c>
      <c r="U326" s="27">
        <f t="shared" si="333"/>
        <v>1059.4960161346889</v>
      </c>
      <c r="V326" s="27">
        <f t="shared" si="333"/>
        <v>807.16467557679027</v>
      </c>
      <c r="W326" s="27">
        <f t="shared" si="333"/>
        <v>573.40514760510871</v>
      </c>
      <c r="X326" s="27">
        <f t="shared" si="333"/>
        <v>397.66065898021537</v>
      </c>
      <c r="Y326" s="27">
        <f t="shared" si="333"/>
        <v>285.50792516055049</v>
      </c>
      <c r="Z326" s="27">
        <f t="shared" si="333"/>
        <v>154.89068784825486</v>
      </c>
      <c r="AA326" s="27">
        <f t="shared" si="333"/>
        <v>105.53353746627641</v>
      </c>
      <c r="AB326" s="27">
        <f t="shared" si="333"/>
        <v>105.53311906821439</v>
      </c>
      <c r="AC326" s="27">
        <f t="shared" si="333"/>
        <v>105.53311906821439</v>
      </c>
      <c r="AD326" s="27">
        <f t="shared" si="333"/>
        <v>105.53311906821439</v>
      </c>
      <c r="AE326" s="27">
        <f t="shared" si="333"/>
        <v>105.53311906821439</v>
      </c>
      <c r="AF326" s="27">
        <f t="shared" si="333"/>
        <v>105.53311906821439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1.6463208053277694E-108</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4.6987331933263944E-12</v>
      </c>
      <c r="C332" s="3">
        <f t="shared" si="339"/>
        <v>4.3905962700870736E-98</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2.6623719219337097E-3</v>
      </c>
      <c r="C333" s="3">
        <f t="shared" si="340"/>
        <v>4.6205745483830407E-11</v>
      </c>
      <c r="D333" s="3">
        <f t="shared" si="340"/>
        <v>1.145429997218706E-88</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1.6776263801811075E-2</v>
      </c>
      <c r="C334" s="3">
        <f t="shared" si="341"/>
        <v>3.3467789094425212E-3</v>
      </c>
      <c r="D334" s="3">
        <f t="shared" si="341"/>
        <v>3.3415255943906655E-10</v>
      </c>
      <c r="E334" s="3">
        <f t="shared" si="341"/>
        <v>3.2894438412981481E-80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2.3317896098265983E-2</v>
      </c>
      <c r="C335" s="3">
        <f t="shared" si="342"/>
        <v>2.0162175238452453E-2</v>
      </c>
      <c r="D335" s="3">
        <f t="shared" si="342"/>
        <v>4.7099642174367835E-3</v>
      </c>
      <c r="E335" s="3">
        <f t="shared" si="342"/>
        <v>2.27939627488711E-9</v>
      </c>
      <c r="F335" s="3">
        <f t="shared" si="342"/>
        <v>1.6063571064753273E-72</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2.5283472654978451E-2</v>
      </c>
      <c r="C336" s="3">
        <f t="shared" si="343"/>
        <v>2.4953983855540905E-2</v>
      </c>
      <c r="D336" s="3">
        <f t="shared" si="343"/>
        <v>2.1886259897027537E-2</v>
      </c>
      <c r="E336" s="3">
        <f t="shared" si="343"/>
        <v>5.8950592650101434E-3</v>
      </c>
      <c r="F336" s="3">
        <f t="shared" si="343"/>
        <v>1.1848255475468174E-8</v>
      </c>
      <c r="G336" s="3">
        <f t="shared" si="343"/>
        <v>1.2744322541630561E-65</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2.7423887222371338E-2</v>
      </c>
      <c r="C337" s="3">
        <f t="shared" si="344"/>
        <v>2.7391455656704176E-2</v>
      </c>
      <c r="D337" s="3">
        <f t="shared" si="344"/>
        <v>2.7069241985085719E-2</v>
      </c>
      <c r="E337" s="3">
        <f t="shared" si="344"/>
        <v>2.4048384917520645E-2</v>
      </c>
      <c r="F337" s="3">
        <f t="shared" si="344"/>
        <v>7.3651927308080777E-3</v>
      </c>
      <c r="G337" s="3">
        <f t="shared" si="344"/>
        <v>5.3476888262247893E-8</v>
      </c>
      <c r="H337" s="3">
        <f t="shared" si="344"/>
        <v>2.1776408452423029E-59</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2.1152274009624342E-2</v>
      </c>
      <c r="C338" s="3">
        <f t="shared" si="345"/>
        <v>2.1150016257278054E-2</v>
      </c>
      <c r="D338" s="3">
        <f t="shared" si="345"/>
        <v>2.1127451983915621E-2</v>
      </c>
      <c r="E338" s="3">
        <f t="shared" si="345"/>
        <v>2.0903129042092794E-2</v>
      </c>
      <c r="F338" s="3">
        <f t="shared" si="345"/>
        <v>1.8786811771425421E-2</v>
      </c>
      <c r="G338" s="3">
        <f t="shared" si="345"/>
        <v>6.4605710819283027E-3</v>
      </c>
      <c r="H338" s="3">
        <f t="shared" si="345"/>
        <v>1.4943390973943724E-7</v>
      </c>
      <c r="I338" s="3">
        <f t="shared" si="345"/>
        <v>6.5498546324448989E-54</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3.1343431073465593E-2</v>
      </c>
      <c r="C339" s="3">
        <f t="shared" si="346"/>
        <v>3.1343129263585304E-2</v>
      </c>
      <c r="D339" s="3">
        <f t="shared" si="346"/>
        <v>3.1340111324616927E-2</v>
      </c>
      <c r="E339" s="3">
        <f t="shared" si="346"/>
        <v>3.130994791268954E-2</v>
      </c>
      <c r="F339" s="3">
        <f t="shared" si="346"/>
        <v>3.1009905891146348E-2</v>
      </c>
      <c r="G339" s="3">
        <f t="shared" si="346"/>
        <v>2.8163166286452216E-2</v>
      </c>
      <c r="H339" s="3">
        <f t="shared" si="346"/>
        <v>1.0752062774138933E-2</v>
      </c>
      <c r="I339" s="3">
        <f t="shared" si="346"/>
        <v>7.0728575242793965E-7</v>
      </c>
      <c r="J339" s="3">
        <f t="shared" si="346"/>
        <v>1.0730651596073222E-48</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3.4656585094557046E-2</v>
      </c>
      <c r="C340" s="3">
        <f t="shared" si="347"/>
        <v>3.4656554990766912E-2</v>
      </c>
      <c r="D340" s="3">
        <f t="shared" si="347"/>
        <v>3.4656253954303752E-2</v>
      </c>
      <c r="E340" s="3">
        <f t="shared" si="347"/>
        <v>3.4653243733487146E-2</v>
      </c>
      <c r="F340" s="3">
        <f t="shared" si="347"/>
        <v>3.4623155902200074E-2</v>
      </c>
      <c r="G340" s="3">
        <f t="shared" si="347"/>
        <v>3.4323710667311901E-2</v>
      </c>
      <c r="H340" s="3">
        <f t="shared" si="347"/>
        <v>3.1468065360280816E-2</v>
      </c>
      <c r="I340" s="3">
        <f t="shared" si="347"/>
        <v>1.3201648181422493E-2</v>
      </c>
      <c r="J340" s="3">
        <f t="shared" si="347"/>
        <v>2.2295091925730964E-6</v>
      </c>
      <c r="K340" s="3">
        <f t="shared" si="347"/>
        <v>4.2074638457343904E-44</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3.7950010052979564E-2</v>
      </c>
      <c r="C341" s="3">
        <f t="shared" si="348"/>
        <v>3.7950007079300685E-2</v>
      </c>
      <c r="D341" s="3">
        <f t="shared" si="348"/>
        <v>3.7949977342524692E-2</v>
      </c>
      <c r="E341" s="3">
        <f t="shared" si="348"/>
        <v>3.7949679976046327E-2</v>
      </c>
      <c r="F341" s="3">
        <f t="shared" si="348"/>
        <v>3.7946706439414619E-2</v>
      </c>
      <c r="G341" s="3">
        <f t="shared" si="348"/>
        <v>3.7916983884570786E-2</v>
      </c>
      <c r="H341" s="3">
        <f t="shared" si="348"/>
        <v>3.7621035776880009E-2</v>
      </c>
      <c r="I341" s="3">
        <f t="shared" si="348"/>
        <v>3.4785671518712348E-2</v>
      </c>
      <c r="J341" s="3">
        <f t="shared" si="348"/>
        <v>1.5889009490599952E-2</v>
      </c>
      <c r="K341" s="3">
        <f t="shared" si="348"/>
        <v>6.2814680184860027E-6</v>
      </c>
      <c r="L341" s="3">
        <f t="shared" si="348"/>
        <v>5.8573939989380216E-40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2.6059196784994874E-2</v>
      </c>
      <c r="C342" s="3">
        <f t="shared" si="349"/>
        <v>2.6059196600794803E-2</v>
      </c>
      <c r="D342" s="3">
        <f t="shared" si="349"/>
        <v>2.6059194758794112E-2</v>
      </c>
      <c r="E342" s="3">
        <f t="shared" si="349"/>
        <v>2.6059176338794388E-2</v>
      </c>
      <c r="F342" s="3">
        <f t="shared" si="349"/>
        <v>2.6058992139513272E-2</v>
      </c>
      <c r="G342" s="3">
        <f t="shared" si="349"/>
        <v>2.6057150218311263E-2</v>
      </c>
      <c r="H342" s="3">
        <f t="shared" si="349"/>
        <v>2.6038738165335983E-2</v>
      </c>
      <c r="I342" s="3">
        <f t="shared" si="349"/>
        <v>2.5855331671254908E-2</v>
      </c>
      <c r="J342" s="3">
        <f t="shared" si="349"/>
        <v>2.4090837625540772E-2</v>
      </c>
      <c r="K342" s="3">
        <f t="shared" si="349"/>
        <v>1.1881458962910188E-2</v>
      </c>
      <c r="L342" s="3">
        <f t="shared" si="349"/>
        <v>1.0116924089531779E-5</v>
      </c>
      <c r="M342" s="3">
        <f t="shared" si="349"/>
        <v>2.0269156757905033E-36</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8.9382665314450119E-2</v>
      </c>
      <c r="C343" s="3">
        <f t="shared" si="350"/>
        <v>8.9382665257456181E-2</v>
      </c>
      <c r="D343" s="3">
        <f t="shared" si="350"/>
        <v>8.9382664687516794E-2</v>
      </c>
      <c r="E343" s="3">
        <f t="shared" si="350"/>
        <v>8.9382658988123115E-2</v>
      </c>
      <c r="F343" s="3">
        <f t="shared" si="350"/>
        <v>8.9382601994206376E-2</v>
      </c>
      <c r="G343" s="3">
        <f t="shared" si="350"/>
        <v>8.938203205703768E-2</v>
      </c>
      <c r="H343" s="3">
        <f t="shared" si="350"/>
        <v>8.9376332885224369E-2</v>
      </c>
      <c r="I343" s="3">
        <f t="shared" si="350"/>
        <v>8.9319361149732573E-2</v>
      </c>
      <c r="J343" s="3">
        <f t="shared" si="350"/>
        <v>8.875163735254088E-2</v>
      </c>
      <c r="K343" s="3">
        <f t="shared" si="350"/>
        <v>8.3269130962338248E-2</v>
      </c>
      <c r="L343" s="3">
        <f t="shared" si="350"/>
        <v>4.4010936930186727E-2</v>
      </c>
      <c r="M343" s="3">
        <f t="shared" si="350"/>
        <v>7.4873206790245571E-5</v>
      </c>
      <c r="N343" s="3">
        <f t="shared" si="350"/>
        <v>1.5204937326605374E-32</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0.10190344846002922</v>
      </c>
      <c r="C344" s="3">
        <f t="shared" si="351"/>
        <v>0.10190344845416768</v>
      </c>
      <c r="D344" s="3">
        <f t="shared" si="351"/>
        <v>0.1019034483955524</v>
      </c>
      <c r="E344" s="3">
        <f t="shared" si="351"/>
        <v>0.1019034478093996</v>
      </c>
      <c r="F344" s="3">
        <f t="shared" si="351"/>
        <v>0.10190344194787181</v>
      </c>
      <c r="G344" s="3">
        <f t="shared" si="351"/>
        <v>0.10190338333261241</v>
      </c>
      <c r="H344" s="3">
        <f t="shared" si="351"/>
        <v>0.10190279718187273</v>
      </c>
      <c r="I344" s="3">
        <f t="shared" si="351"/>
        <v>0.10189693585990812</v>
      </c>
      <c r="J344" s="3">
        <f t="shared" si="351"/>
        <v>0.10183834117953959</v>
      </c>
      <c r="K344" s="3">
        <f t="shared" si="351"/>
        <v>0.10125424436402364</v>
      </c>
      <c r="L344" s="3">
        <f t="shared" si="351"/>
        <v>9.5594397623712468E-2</v>
      </c>
      <c r="M344" s="3">
        <f t="shared" si="351"/>
        <v>5.3780455974982634E-2</v>
      </c>
      <c r="N344" s="3">
        <f t="shared" si="351"/>
        <v>1.7082242058700096E-4</v>
      </c>
      <c r="O344" s="3">
        <f t="shared" si="351"/>
        <v>1.7854545000680319E-29</v>
      </c>
      <c r="P344" s="3">
        <f t="shared" si="351"/>
        <v>2.7783563269113951E-279</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7.6951150711413396E-2</v>
      </c>
      <c r="C345" s="3">
        <f t="shared" si="352"/>
        <v>7.6951150711014105E-2</v>
      </c>
      <c r="D345" s="3">
        <f t="shared" si="352"/>
        <v>7.6951150707021257E-2</v>
      </c>
      <c r="E345" s="3">
        <f t="shared" si="352"/>
        <v>7.6951150667092696E-2</v>
      </c>
      <c r="F345" s="3">
        <f t="shared" si="352"/>
        <v>7.6951150267807078E-2</v>
      </c>
      <c r="G345" s="3">
        <f t="shared" si="352"/>
        <v>7.6951146274950977E-2</v>
      </c>
      <c r="H345" s="3">
        <f t="shared" si="352"/>
        <v>7.6951106346401371E-2</v>
      </c>
      <c r="I345" s="3">
        <f t="shared" si="352"/>
        <v>7.695070706204489E-2</v>
      </c>
      <c r="J345" s="3">
        <f t="shared" si="352"/>
        <v>7.6946714332427696E-2</v>
      </c>
      <c r="K345" s="3">
        <f t="shared" si="352"/>
        <v>7.690679842884085E-2</v>
      </c>
      <c r="L345" s="3">
        <f t="shared" si="352"/>
        <v>7.6508776467282047E-2</v>
      </c>
      <c r="M345" s="3">
        <f t="shared" si="352"/>
        <v>7.2640111223524817E-2</v>
      </c>
      <c r="N345" s="3">
        <f t="shared" si="352"/>
        <v>4.3234350374004513E-2</v>
      </c>
      <c r="O345" s="3">
        <f t="shared" si="352"/>
        <v>2.4118667522036424E-4</v>
      </c>
      <c r="P345" s="3">
        <f t="shared" si="352"/>
        <v>7.040395240048368E-27</v>
      </c>
      <c r="Q345" s="3">
        <f t="shared" si="352"/>
        <v>3.1625277088817186E-252</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5.7921020050416827E-2</v>
      </c>
      <c r="C346" s="3">
        <f t="shared" si="353"/>
        <v>5.7921020050389717E-2</v>
      </c>
      <c r="D346" s="3">
        <f t="shared" si="353"/>
        <v>5.79210200501186E-2</v>
      </c>
      <c r="E346" s="3">
        <f t="shared" si="353"/>
        <v>5.7921020047407464E-2</v>
      </c>
      <c r="F346" s="3">
        <f t="shared" si="353"/>
        <v>5.7921020020296102E-2</v>
      </c>
      <c r="G346" s="3">
        <f t="shared" si="353"/>
        <v>5.792101974918247E-2</v>
      </c>
      <c r="H346" s="3">
        <f t="shared" si="353"/>
        <v>5.7921017038046287E-2</v>
      </c>
      <c r="I346" s="3">
        <f t="shared" si="353"/>
        <v>5.7920989926691382E-2</v>
      </c>
      <c r="J346" s="3">
        <f t="shared" si="353"/>
        <v>5.7920718813840269E-2</v>
      </c>
      <c r="K346" s="3">
        <f t="shared" si="353"/>
        <v>5.7918007755123582E-2</v>
      </c>
      <c r="L346" s="3">
        <f t="shared" si="353"/>
        <v>5.7890904146192045E-2</v>
      </c>
      <c r="M346" s="3">
        <f t="shared" si="353"/>
        <v>5.7620564673378866E-2</v>
      </c>
      <c r="N346" s="3">
        <f t="shared" si="353"/>
        <v>5.4985640098114207E-2</v>
      </c>
      <c r="O346" s="3">
        <f t="shared" si="353"/>
        <v>3.443237951246586E-2</v>
      </c>
      <c r="P346" s="3">
        <f t="shared" si="353"/>
        <v>3.1926002974884556E-4</v>
      </c>
      <c r="Q346" s="3">
        <f t="shared" si="353"/>
        <v>1.4994075142995937E-24</v>
      </c>
      <c r="R346" s="3">
        <f t="shared" si="353"/>
        <v>7.8283640721906189E-228</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2.5285810572757694E-2</v>
      </c>
      <c r="C347" s="3">
        <f t="shared" si="354"/>
        <v>2.5285810572756626E-2</v>
      </c>
      <c r="D347" s="3">
        <f t="shared" si="354"/>
        <v>2.528581057274595E-2</v>
      </c>
      <c r="E347" s="3">
        <f t="shared" si="354"/>
        <v>2.5285810572639181E-2</v>
      </c>
      <c r="F347" s="3">
        <f t="shared" si="354"/>
        <v>2.5285810571571508E-2</v>
      </c>
      <c r="G347" s="3">
        <f t="shared" si="354"/>
        <v>2.5285810560894767E-2</v>
      </c>
      <c r="H347" s="3">
        <f t="shared" si="354"/>
        <v>2.528581045412738E-2</v>
      </c>
      <c r="I347" s="3">
        <f t="shared" si="354"/>
        <v>2.5285809386453535E-2</v>
      </c>
      <c r="J347" s="3">
        <f t="shared" si="354"/>
        <v>2.5285798709717543E-2</v>
      </c>
      <c r="K347" s="3">
        <f t="shared" si="354"/>
        <v>2.5285691942605586E-2</v>
      </c>
      <c r="L347" s="3">
        <f t="shared" si="354"/>
        <v>2.5284624296280495E-2</v>
      </c>
      <c r="M347" s="3">
        <f t="shared" si="354"/>
        <v>2.5273950312093139E-2</v>
      </c>
      <c r="N347" s="3">
        <f t="shared" si="354"/>
        <v>2.5167457989705624E-2</v>
      </c>
      <c r="O347" s="3">
        <f t="shared" si="354"/>
        <v>2.4126904344276692E-2</v>
      </c>
      <c r="P347" s="3">
        <f t="shared" si="354"/>
        <v>1.581699956279015E-2</v>
      </c>
      <c r="Q347" s="3">
        <f t="shared" si="354"/>
        <v>2.319258223095616E-4</v>
      </c>
      <c r="R347" s="3">
        <f t="shared" si="354"/>
        <v>1.0656120671046534E-22</v>
      </c>
      <c r="S347" s="3">
        <f t="shared" si="354"/>
        <v>4.4678581620251482E-206</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3.2366685021283405E-2</v>
      </c>
      <c r="C348" s="3">
        <f t="shared" si="355"/>
        <v>3.2366685021283023E-2</v>
      </c>
      <c r="D348" s="3">
        <f t="shared" si="355"/>
        <v>3.2366685021279248E-2</v>
      </c>
      <c r="E348" s="3">
        <f t="shared" si="355"/>
        <v>3.2366685021241445E-2</v>
      </c>
      <c r="F348" s="3">
        <f t="shared" si="355"/>
        <v>3.2366685020863463E-2</v>
      </c>
      <c r="G348" s="3">
        <f t="shared" si="355"/>
        <v>3.2366685017083625E-2</v>
      </c>
      <c r="H348" s="3">
        <f t="shared" si="355"/>
        <v>3.2366684979285285E-2</v>
      </c>
      <c r="I348" s="3">
        <f t="shared" si="355"/>
        <v>3.2366684601301807E-2</v>
      </c>
      <c r="J348" s="3">
        <f t="shared" si="355"/>
        <v>3.2366680821467278E-2</v>
      </c>
      <c r="K348" s="3">
        <f t="shared" si="355"/>
        <v>3.2366643023146263E-2</v>
      </c>
      <c r="L348" s="3">
        <f t="shared" si="355"/>
        <v>3.2366265042363902E-2</v>
      </c>
      <c r="M348" s="3">
        <f t="shared" si="355"/>
        <v>3.2362485477307065E-2</v>
      </c>
      <c r="N348" s="3">
        <f t="shared" si="355"/>
        <v>3.2324714092930064E-2</v>
      </c>
      <c r="O348" s="3">
        <f t="shared" si="355"/>
        <v>3.1949416415742594E-2</v>
      </c>
      <c r="P348" s="3">
        <f t="shared" si="355"/>
        <v>2.842793440833534E-2</v>
      </c>
      <c r="Q348" s="3">
        <f t="shared" si="355"/>
        <v>8.8423775428093689E-3</v>
      </c>
      <c r="R348" s="3">
        <f t="shared" si="355"/>
        <v>7.4956024943976577E-8</v>
      </c>
      <c r="S348" s="3">
        <f t="shared" si="355"/>
        <v>1.4360894023080044E-58</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3.1308799332550312E-2</v>
      </c>
      <c r="C349" s="3">
        <f t="shared" si="356"/>
        <v>3.1308799332550277E-2</v>
      </c>
      <c r="D349" s="3">
        <f t="shared" si="356"/>
        <v>3.1308799332549909E-2</v>
      </c>
      <c r="E349" s="3">
        <f t="shared" si="356"/>
        <v>3.1308799332546253E-2</v>
      </c>
      <c r="F349" s="3">
        <f t="shared" si="356"/>
        <v>3.1308799332509692E-2</v>
      </c>
      <c r="G349" s="3">
        <f t="shared" si="356"/>
        <v>3.1308799332144067E-2</v>
      </c>
      <c r="H349" s="3">
        <f t="shared" si="356"/>
        <v>3.130879932848777E-2</v>
      </c>
      <c r="I349" s="3">
        <f t="shared" si="356"/>
        <v>3.1308799291924844E-2</v>
      </c>
      <c r="J349" s="3">
        <f t="shared" si="356"/>
        <v>3.1308798926295525E-2</v>
      </c>
      <c r="K349" s="3">
        <f t="shared" si="356"/>
        <v>3.1308795270002618E-2</v>
      </c>
      <c r="L349" s="3">
        <f t="shared" si="356"/>
        <v>3.130875870709706E-2</v>
      </c>
      <c r="M349" s="3">
        <f t="shared" si="356"/>
        <v>3.1308393080389886E-2</v>
      </c>
      <c r="N349" s="3">
        <f t="shared" si="356"/>
        <v>3.1304737048150219E-2</v>
      </c>
      <c r="O349" s="3">
        <f t="shared" si="356"/>
        <v>3.1268200198819054E-2</v>
      </c>
      <c r="P349" s="3">
        <f t="shared" si="356"/>
        <v>3.0905168901134157E-2</v>
      </c>
      <c r="Q349" s="3">
        <f t="shared" si="356"/>
        <v>2.7498784421209795E-2</v>
      </c>
      <c r="R349" s="3">
        <f t="shared" si="356"/>
        <v>8.5533697358386469E-3</v>
      </c>
      <c r="S349" s="3">
        <f t="shared" si="356"/>
        <v>7.2506132221863886E-8</v>
      </c>
      <c r="T349" s="3">
        <f t="shared" si="356"/>
        <v>1.3891516814557159E-58</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2.9628011896189826E-2</v>
      </c>
      <c r="C350" s="3">
        <f t="shared" si="357"/>
        <v>2.9628011896189823E-2</v>
      </c>
      <c r="D350" s="3">
        <f t="shared" si="357"/>
        <v>2.9628011896189788E-2</v>
      </c>
      <c r="E350" s="3">
        <f t="shared" si="357"/>
        <v>2.9628011896189441E-2</v>
      </c>
      <c r="F350" s="3">
        <f t="shared" si="357"/>
        <v>2.9628011896185982E-2</v>
      </c>
      <c r="G350" s="3">
        <f t="shared" si="357"/>
        <v>2.9628011896151382E-2</v>
      </c>
      <c r="H350" s="3">
        <f t="shared" si="357"/>
        <v>2.962801189580538E-2</v>
      </c>
      <c r="I350" s="3">
        <f t="shared" si="357"/>
        <v>2.962801189234537E-2</v>
      </c>
      <c r="J350" s="3">
        <f t="shared" si="357"/>
        <v>2.9628011857745294E-2</v>
      </c>
      <c r="K350" s="3">
        <f t="shared" si="357"/>
        <v>2.9628011511744493E-2</v>
      </c>
      <c r="L350" s="3">
        <f t="shared" si="357"/>
        <v>2.9628008051736699E-2</v>
      </c>
      <c r="M350" s="3">
        <f t="shared" si="357"/>
        <v>2.9627973451680997E-2</v>
      </c>
      <c r="N350" s="3">
        <f t="shared" si="357"/>
        <v>2.9627627453346322E-2</v>
      </c>
      <c r="O350" s="3">
        <f t="shared" si="357"/>
        <v>2.9624167692224885E-2</v>
      </c>
      <c r="P350" s="3">
        <f t="shared" si="357"/>
        <v>2.9589592293943555E-2</v>
      </c>
      <c r="Q350" s="3">
        <f t="shared" si="357"/>
        <v>2.9246050036310093E-2</v>
      </c>
      <c r="R350" s="3">
        <f t="shared" si="357"/>
        <v>2.6022534537609096E-2</v>
      </c>
      <c r="S350" s="3">
        <f t="shared" si="357"/>
        <v>8.0941890359388213E-3</v>
      </c>
      <c r="T350" s="3">
        <f t="shared" si="357"/>
        <v>6.8613699465079707E-8</v>
      </c>
      <c r="U350" s="3">
        <f t="shared" si="357"/>
        <v>1.3145762028948895E-58</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3.0878251841692891E-2</v>
      </c>
      <c r="C351" s="3">
        <f t="shared" si="358"/>
        <v>3.0878251841692891E-2</v>
      </c>
      <c r="D351" s="3">
        <f t="shared" si="358"/>
        <v>3.0878251841692888E-2</v>
      </c>
      <c r="E351" s="3">
        <f t="shared" si="358"/>
        <v>3.087825184169285E-2</v>
      </c>
      <c r="F351" s="3">
        <f t="shared" si="358"/>
        <v>3.0878251841692489E-2</v>
      </c>
      <c r="G351" s="3">
        <f t="shared" si="358"/>
        <v>3.0878251841688884E-2</v>
      </c>
      <c r="H351" s="3">
        <f t="shared" si="358"/>
        <v>3.0878251841652823E-2</v>
      </c>
      <c r="I351" s="3">
        <f t="shared" si="358"/>
        <v>3.0878251841292222E-2</v>
      </c>
      <c r="J351" s="3">
        <f t="shared" si="358"/>
        <v>3.0878251837686208E-2</v>
      </c>
      <c r="K351" s="3">
        <f t="shared" si="358"/>
        <v>3.087825180162608E-2</v>
      </c>
      <c r="L351" s="3">
        <f t="shared" si="358"/>
        <v>3.0878251441024771E-2</v>
      </c>
      <c r="M351" s="3">
        <f t="shared" si="358"/>
        <v>3.0878247835011908E-2</v>
      </c>
      <c r="N351" s="3">
        <f t="shared" si="358"/>
        <v>3.087821177490644E-2</v>
      </c>
      <c r="O351" s="3">
        <f t="shared" si="358"/>
        <v>3.0877851176167911E-2</v>
      </c>
      <c r="P351" s="3">
        <f t="shared" si="358"/>
        <v>3.0874245420385374E-2</v>
      </c>
      <c r="Q351" s="3">
        <f t="shared" si="358"/>
        <v>3.0838211012832194E-2</v>
      </c>
      <c r="R351" s="3">
        <f t="shared" si="358"/>
        <v>3.0480171992642861E-2</v>
      </c>
      <c r="S351" s="3">
        <f t="shared" si="358"/>
        <v>2.712063090250005E-2</v>
      </c>
      <c r="T351" s="3">
        <f t="shared" si="358"/>
        <v>8.4357468324808525E-3</v>
      </c>
      <c r="U351" s="3">
        <f t="shared" si="358"/>
        <v>7.1509053638034412E-8</v>
      </c>
      <c r="V351" s="3">
        <f t="shared" si="358"/>
        <v>1.3700485608116315E-58</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3.5015955138041704E-2</v>
      </c>
      <c r="C352" s="3">
        <f t="shared" si="359"/>
        <v>3.5015955138041704E-2</v>
      </c>
      <c r="D352" s="3">
        <f t="shared" si="359"/>
        <v>3.5015955138041704E-2</v>
      </c>
      <c r="E352" s="3">
        <f t="shared" si="359"/>
        <v>3.5015955138041698E-2</v>
      </c>
      <c r="F352" s="3">
        <f t="shared" si="359"/>
        <v>3.5015955138041656E-2</v>
      </c>
      <c r="G352" s="3">
        <f t="shared" si="359"/>
        <v>3.5015955138041246E-2</v>
      </c>
      <c r="H352" s="3">
        <f t="shared" si="359"/>
        <v>3.5015955138037159E-2</v>
      </c>
      <c r="I352" s="3">
        <f t="shared" si="359"/>
        <v>3.5015955137996269E-2</v>
      </c>
      <c r="J352" s="3">
        <f t="shared" si="359"/>
        <v>3.5015955137587346E-2</v>
      </c>
      <c r="K352" s="3">
        <f t="shared" si="359"/>
        <v>3.5015955133498124E-2</v>
      </c>
      <c r="L352" s="3">
        <f t="shared" si="359"/>
        <v>3.5015955092605917E-2</v>
      </c>
      <c r="M352" s="3">
        <f t="shared" si="359"/>
        <v>3.5015954683683827E-2</v>
      </c>
      <c r="N352" s="3">
        <f t="shared" si="359"/>
        <v>3.5015950594463191E-2</v>
      </c>
      <c r="O352" s="3">
        <f t="shared" si="359"/>
        <v>3.5015909702283098E-2</v>
      </c>
      <c r="P352" s="3">
        <f t="shared" si="359"/>
        <v>3.5015500783108659E-2</v>
      </c>
      <c r="Q352" s="3">
        <f t="shared" si="359"/>
        <v>3.5011411854001938E-2</v>
      </c>
      <c r="R352" s="3">
        <f t="shared" si="359"/>
        <v>3.4970548815356592E-2</v>
      </c>
      <c r="S352" s="3">
        <f t="shared" si="359"/>
        <v>3.4564532362971481E-2</v>
      </c>
      <c r="T352" s="3">
        <f t="shared" si="359"/>
        <v>3.0754810857364416E-2</v>
      </c>
      <c r="U352" s="3">
        <f t="shared" si="359"/>
        <v>9.5661417024647359E-3</v>
      </c>
      <c r="V352" s="3">
        <f t="shared" si="359"/>
        <v>8.1091307467487512E-8</v>
      </c>
      <c r="W352" s="3">
        <f t="shared" si="359"/>
        <v>1.5536358466233869E-58</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3.7250810616417634E-2</v>
      </c>
      <c r="C353" s="3">
        <f t="shared" si="360"/>
        <v>3.7250810616417634E-2</v>
      </c>
      <c r="D353" s="3">
        <f t="shared" si="360"/>
        <v>3.7250810616417634E-2</v>
      </c>
      <c r="E353" s="3">
        <f t="shared" si="360"/>
        <v>3.7250810616417634E-2</v>
      </c>
      <c r="F353" s="3">
        <f t="shared" si="360"/>
        <v>3.7250810616417628E-2</v>
      </c>
      <c r="G353" s="3">
        <f t="shared" si="360"/>
        <v>3.7250810616417586E-2</v>
      </c>
      <c r="H353" s="3">
        <f t="shared" si="360"/>
        <v>3.7250810616417149E-2</v>
      </c>
      <c r="I353" s="3">
        <f t="shared" si="360"/>
        <v>3.7250810616412798E-2</v>
      </c>
      <c r="J353" s="3">
        <f t="shared" si="360"/>
        <v>3.7250810616369298E-2</v>
      </c>
      <c r="K353" s="3">
        <f t="shared" si="360"/>
        <v>3.7250810615934278E-2</v>
      </c>
      <c r="L353" s="3">
        <f t="shared" si="360"/>
        <v>3.7250810611584063E-2</v>
      </c>
      <c r="M353" s="3">
        <f t="shared" si="360"/>
        <v>3.7250810568081959E-2</v>
      </c>
      <c r="N353" s="3">
        <f t="shared" si="360"/>
        <v>3.7250810133060856E-2</v>
      </c>
      <c r="O353" s="3">
        <f t="shared" si="360"/>
        <v>3.7250805782850137E-2</v>
      </c>
      <c r="P353" s="3">
        <f t="shared" si="360"/>
        <v>3.7250762280770858E-2</v>
      </c>
      <c r="Q353" s="3">
        <f t="shared" si="360"/>
        <v>3.7250327262772227E-2</v>
      </c>
      <c r="R353" s="3">
        <f t="shared" si="360"/>
        <v>3.7245977362186107E-2</v>
      </c>
      <c r="S353" s="3">
        <f t="shared" si="360"/>
        <v>3.7202506284279235E-2</v>
      </c>
      <c r="T353" s="3">
        <f t="shared" si="360"/>
        <v>3.6770576270794719E-2</v>
      </c>
      <c r="U353" s="3">
        <f t="shared" si="360"/>
        <v>3.2717703409060786E-2</v>
      </c>
      <c r="V353" s="3">
        <f t="shared" si="360"/>
        <v>1.0176690353969247E-2</v>
      </c>
      <c r="W353" s="3">
        <f t="shared" si="360"/>
        <v>8.626687249285774E-8</v>
      </c>
      <c r="X353" s="3">
        <f t="shared" si="360"/>
        <v>1.6527949747848038E-58</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3.3898326315238474E-2</v>
      </c>
      <c r="C354" s="3">
        <f t="shared" si="361"/>
        <v>3.3898326315238474E-2</v>
      </c>
      <c r="D354" s="3">
        <f t="shared" si="361"/>
        <v>3.3898326315238474E-2</v>
      </c>
      <c r="E354" s="3">
        <f t="shared" si="361"/>
        <v>3.3898326315238474E-2</v>
      </c>
      <c r="F354" s="3">
        <f t="shared" si="361"/>
        <v>3.3898326315238474E-2</v>
      </c>
      <c r="G354" s="3">
        <f t="shared" si="361"/>
        <v>3.3898326315238467E-2</v>
      </c>
      <c r="H354" s="3">
        <f t="shared" si="361"/>
        <v>3.3898326315238425E-2</v>
      </c>
      <c r="I354" s="3">
        <f t="shared" si="361"/>
        <v>3.3898326315238037E-2</v>
      </c>
      <c r="J354" s="3">
        <f t="shared" si="361"/>
        <v>3.3898326315234074E-2</v>
      </c>
      <c r="K354" s="3">
        <f t="shared" si="361"/>
        <v>3.3898326315194488E-2</v>
      </c>
      <c r="L354" s="3">
        <f t="shared" si="361"/>
        <v>3.3898326314798617E-2</v>
      </c>
      <c r="M354" s="3">
        <f t="shared" si="361"/>
        <v>3.3898326310839916E-2</v>
      </c>
      <c r="N354" s="3">
        <f t="shared" si="361"/>
        <v>3.3898326271252895E-2</v>
      </c>
      <c r="O354" s="3">
        <f t="shared" si="361"/>
        <v>3.3898325875382655E-2</v>
      </c>
      <c r="P354" s="3">
        <f t="shared" si="361"/>
        <v>3.3898321916680546E-2</v>
      </c>
      <c r="Q354" s="3">
        <f t="shared" si="361"/>
        <v>3.3898282329684871E-2</v>
      </c>
      <c r="R354" s="3">
        <f t="shared" si="361"/>
        <v>3.3897886462270807E-2</v>
      </c>
      <c r="S354" s="3">
        <f t="shared" si="361"/>
        <v>3.3893928042384981E-2</v>
      </c>
      <c r="T354" s="3">
        <f t="shared" si="361"/>
        <v>3.3854369258031633E-2</v>
      </c>
      <c r="U354" s="3">
        <f t="shared" si="361"/>
        <v>3.3461311917797797E-2</v>
      </c>
      <c r="V354" s="3">
        <f t="shared" si="361"/>
        <v>2.9773187968068743E-2</v>
      </c>
      <c r="W354" s="3">
        <f t="shared" si="361"/>
        <v>9.2608124419163267E-3</v>
      </c>
      <c r="X354" s="3">
        <f t="shared" si="361"/>
        <v>7.8503059277564465E-8</v>
      </c>
      <c r="Y354" s="3">
        <f t="shared" si="361"/>
        <v>1.5040473605894827E-58</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2.3731882185441592E-2</v>
      </c>
      <c r="C355" s="3">
        <f t="shared" si="362"/>
        <v>2.3731882185441592E-2</v>
      </c>
      <c r="D355" s="3">
        <f t="shared" si="362"/>
        <v>2.3731882185441592E-2</v>
      </c>
      <c r="E355" s="3">
        <f t="shared" si="362"/>
        <v>2.3731882185441592E-2</v>
      </c>
      <c r="F355" s="3">
        <f t="shared" si="362"/>
        <v>2.3731882185441592E-2</v>
      </c>
      <c r="G355" s="3">
        <f t="shared" si="362"/>
        <v>2.3731882185441592E-2</v>
      </c>
      <c r="H355" s="3">
        <f t="shared" si="362"/>
        <v>2.3731882185441588E-2</v>
      </c>
      <c r="I355" s="3">
        <f t="shared" si="362"/>
        <v>2.3731882185441561E-2</v>
      </c>
      <c r="J355" s="3">
        <f t="shared" si="362"/>
        <v>2.3731882185441283E-2</v>
      </c>
      <c r="K355" s="3">
        <f t="shared" si="362"/>
        <v>2.3731882185438511E-2</v>
      </c>
      <c r="L355" s="3">
        <f t="shared" si="362"/>
        <v>2.3731882185410797E-2</v>
      </c>
      <c r="M355" s="3">
        <f t="shared" si="362"/>
        <v>2.3731882185133654E-2</v>
      </c>
      <c r="N355" s="3">
        <f t="shared" si="362"/>
        <v>2.3731882182362204E-2</v>
      </c>
      <c r="O355" s="3">
        <f t="shared" si="362"/>
        <v>2.3731882154647724E-2</v>
      </c>
      <c r="P355" s="3">
        <f t="shared" si="362"/>
        <v>2.3731881877502897E-2</v>
      </c>
      <c r="Q355" s="3">
        <f t="shared" si="362"/>
        <v>2.3731879106054794E-2</v>
      </c>
      <c r="R355" s="3">
        <f t="shared" si="362"/>
        <v>2.3731851391591587E-2</v>
      </c>
      <c r="S355" s="3">
        <f t="shared" si="362"/>
        <v>2.3731574248739628E-2</v>
      </c>
      <c r="T355" s="3">
        <f t="shared" si="362"/>
        <v>2.3728802998221318E-2</v>
      </c>
      <c r="U355" s="3">
        <f t="shared" si="362"/>
        <v>2.3701108285481155E-2</v>
      </c>
      <c r="V355" s="3">
        <f t="shared" si="362"/>
        <v>2.3425932738352175E-2</v>
      </c>
      <c r="W355" s="3">
        <f t="shared" si="362"/>
        <v>2.0843913725191354E-2</v>
      </c>
      <c r="X355" s="3">
        <f t="shared" si="362"/>
        <v>6.4834029789321117E-3</v>
      </c>
      <c r="Y355" s="3">
        <f t="shared" si="362"/>
        <v>5.4959213521241108E-8</v>
      </c>
      <c r="Z355" s="3">
        <f t="shared" si="362"/>
        <v>1.0529686460298295E-58</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1.1146070536665017E-2</v>
      </c>
      <c r="C356" s="3">
        <f t="shared" si="363"/>
        <v>1.1146070536665017E-2</v>
      </c>
      <c r="D356" s="3">
        <f t="shared" si="363"/>
        <v>1.1146070536665017E-2</v>
      </c>
      <c r="E356" s="3">
        <f t="shared" si="363"/>
        <v>1.1146070536665017E-2</v>
      </c>
      <c r="F356" s="3">
        <f t="shared" si="363"/>
        <v>1.1146070536665017E-2</v>
      </c>
      <c r="G356" s="3">
        <f t="shared" si="363"/>
        <v>1.1146070536665017E-2</v>
      </c>
      <c r="H356" s="3">
        <f t="shared" si="363"/>
        <v>1.1146070536665017E-2</v>
      </c>
      <c r="I356" s="3">
        <f t="shared" si="363"/>
        <v>1.1146070536665015E-2</v>
      </c>
      <c r="J356" s="3">
        <f t="shared" si="363"/>
        <v>1.1146070536665002E-2</v>
      </c>
      <c r="K356" s="3">
        <f t="shared" si="363"/>
        <v>1.1146070536664873E-2</v>
      </c>
      <c r="L356" s="3">
        <f t="shared" si="363"/>
        <v>1.114607053666357E-2</v>
      </c>
      <c r="M356" s="3">
        <f t="shared" si="363"/>
        <v>1.1146070536650553E-2</v>
      </c>
      <c r="N356" s="3">
        <f t="shared" si="363"/>
        <v>1.1146070536520388E-2</v>
      </c>
      <c r="O356" s="3">
        <f t="shared" si="363"/>
        <v>1.1146070535218731E-2</v>
      </c>
      <c r="P356" s="3">
        <f t="shared" si="363"/>
        <v>1.1146070522202168E-2</v>
      </c>
      <c r="Q356" s="3">
        <f t="shared" si="363"/>
        <v>1.1146070392036521E-2</v>
      </c>
      <c r="R356" s="3">
        <f t="shared" si="363"/>
        <v>1.1146069090380134E-2</v>
      </c>
      <c r="S356" s="3">
        <f t="shared" si="363"/>
        <v>1.1146056073824625E-2</v>
      </c>
      <c r="T356" s="3">
        <f t="shared" si="363"/>
        <v>1.1145925909105597E-2</v>
      </c>
      <c r="U356" s="3">
        <f t="shared" si="363"/>
        <v>1.1144624345516562E-2</v>
      </c>
      <c r="V356" s="3">
        <f t="shared" si="363"/>
        <v>1.1131617066140975E-2</v>
      </c>
      <c r="W356" s="3">
        <f t="shared" si="363"/>
        <v>1.1002376324327984E-2</v>
      </c>
      <c r="X356" s="3">
        <f t="shared" si="363"/>
        <v>9.7896884379303547E-3</v>
      </c>
      <c r="Y356" s="3">
        <f t="shared" si="363"/>
        <v>3.045037319675062E-3</v>
      </c>
      <c r="Z356" s="3">
        <f t="shared" si="363"/>
        <v>2.5812502597167622E-8</v>
      </c>
      <c r="AA356" s="3">
        <f t="shared" si="363"/>
        <v>4.9454412042989634E-59</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2.58377406244087E-2</v>
      </c>
      <c r="C357" s="3">
        <f t="shared" si="364"/>
        <v>2.58377406244087E-2</v>
      </c>
      <c r="D357" s="3">
        <f t="shared" si="364"/>
        <v>2.58377406244087E-2</v>
      </c>
      <c r="E357" s="3">
        <f t="shared" si="364"/>
        <v>2.58377406244087E-2</v>
      </c>
      <c r="F357" s="3">
        <f t="shared" si="364"/>
        <v>2.58377406244087E-2</v>
      </c>
      <c r="G357" s="3">
        <f t="shared" si="364"/>
        <v>2.58377406244087E-2</v>
      </c>
      <c r="H357" s="3">
        <f t="shared" si="364"/>
        <v>2.58377406244087E-2</v>
      </c>
      <c r="I357" s="3">
        <f t="shared" si="364"/>
        <v>2.58377406244087E-2</v>
      </c>
      <c r="J357" s="3">
        <f t="shared" si="364"/>
        <v>2.5837740624408696E-2</v>
      </c>
      <c r="K357" s="3">
        <f t="shared" si="364"/>
        <v>2.5837740624408665E-2</v>
      </c>
      <c r="L357" s="3">
        <f t="shared" si="364"/>
        <v>2.5837740624408363E-2</v>
      </c>
      <c r="M357" s="3">
        <f t="shared" si="364"/>
        <v>2.5837740624405345E-2</v>
      </c>
      <c r="N357" s="3">
        <f t="shared" si="364"/>
        <v>2.5837740624375171E-2</v>
      </c>
      <c r="O357" s="3">
        <f t="shared" si="364"/>
        <v>2.5837740624073437E-2</v>
      </c>
      <c r="P357" s="3">
        <f t="shared" si="364"/>
        <v>2.5837740621056062E-2</v>
      </c>
      <c r="Q357" s="3">
        <f t="shared" si="364"/>
        <v>2.5837740590882324E-2</v>
      </c>
      <c r="R357" s="3">
        <f t="shared" si="364"/>
        <v>2.5837740289144935E-2</v>
      </c>
      <c r="S357" s="3">
        <f t="shared" si="364"/>
        <v>2.5837737271771233E-2</v>
      </c>
      <c r="T357" s="3">
        <f t="shared" si="364"/>
        <v>2.5837707098053605E-2</v>
      </c>
      <c r="U357" s="3">
        <f t="shared" si="364"/>
        <v>2.5837405362815376E-2</v>
      </c>
      <c r="V357" s="3">
        <f t="shared" si="364"/>
        <v>2.5834388204229394E-2</v>
      </c>
      <c r="W357" s="3">
        <f t="shared" si="364"/>
        <v>2.5804235989632319E-2</v>
      </c>
      <c r="X357" s="3">
        <f t="shared" si="364"/>
        <v>2.5504642625846789E-2</v>
      </c>
      <c r="Y357" s="3">
        <f t="shared" si="364"/>
        <v>2.2693507081348485E-2</v>
      </c>
      <c r="Z357" s="3">
        <f t="shared" si="364"/>
        <v>7.0587104395760988E-3</v>
      </c>
      <c r="AA357" s="3">
        <f t="shared" si="364"/>
        <v>5.9836042197885201E-8</v>
      </c>
      <c r="AB357" s="3">
        <f t="shared" si="364"/>
        <v>1.1464042569048051E-58</v>
      </c>
      <c r="AC357" s="3">
        <f t="shared" si="364"/>
        <v>0</v>
      </c>
      <c r="AD357" s="3">
        <f t="shared" si="364"/>
        <v>0</v>
      </c>
      <c r="AE357" s="3">
        <f t="shared" si="364"/>
        <v>0</v>
      </c>
      <c r="AF357" s="3">
        <f t="shared" si="364"/>
        <v>0</v>
      </c>
      <c r="AG357" s="3"/>
      <c r="AH357" s="3"/>
    </row>
    <row r="358" spans="1:34" x14ac:dyDescent="0.25">
      <c r="A358" s="79">
        <f>AVERAGE(B358:AF358)</f>
        <v>0.1331789509112892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0.10168549508175054</v>
      </c>
      <c r="M358" s="80">
        <f t="shared" si="365"/>
        <v>9.082157374430579E-3</v>
      </c>
      <c r="N358" s="80">
        <f t="shared" si="365"/>
        <v>0.11817890972733569</v>
      </c>
      <c r="O358" s="80">
        <f t="shared" si="365"/>
        <v>0.18979210172118716</v>
      </c>
      <c r="P358" s="80">
        <f t="shared" si="365"/>
        <v>0.21672035047987254</v>
      </c>
      <c r="Q358" s="80">
        <f t="shared" si="365"/>
        <v>0.19697837853578731</v>
      </c>
      <c r="R358" s="80">
        <f t="shared" si="365"/>
        <v>6.891920135894937E-2</v>
      </c>
      <c r="S358" s="80">
        <f t="shared" si="365"/>
        <v>0.1938012852679539</v>
      </c>
      <c r="T358" s="80">
        <f t="shared" si="365"/>
        <v>0.6059412851061079</v>
      </c>
      <c r="U358" s="80">
        <f t="shared" si="365"/>
        <v>1.0814068046240917</v>
      </c>
      <c r="V358" s="80">
        <f t="shared" si="365"/>
        <v>1.3460415089724984</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298244.39731162047</v>
      </c>
      <c r="C359" s="21">
        <f t="shared" ref="C359:AF359" si="366">(C326-C325)^2</f>
        <v>376848.31305471336</v>
      </c>
      <c r="D359" s="21">
        <f t="shared" si="366"/>
        <v>396234.94420952123</v>
      </c>
      <c r="E359" s="21">
        <f t="shared" si="366"/>
        <v>419245.69064472849</v>
      </c>
      <c r="F359" s="21">
        <f t="shared" si="366"/>
        <v>492985.48966437683</v>
      </c>
      <c r="G359" s="21">
        <f t="shared" si="366"/>
        <v>591829.34015740687</v>
      </c>
      <c r="H359" s="21">
        <f t="shared" si="366"/>
        <v>597525.97723678616</v>
      </c>
      <c r="I359" s="21">
        <f t="shared" si="366"/>
        <v>531702.03794411069</v>
      </c>
      <c r="J359" s="21">
        <f t="shared" si="366"/>
        <v>448507.11783773638</v>
      </c>
      <c r="K359" s="21">
        <f t="shared" si="366"/>
        <v>368313.86049879203</v>
      </c>
      <c r="L359" s="21">
        <f t="shared" si="366"/>
        <v>152693.01542751538</v>
      </c>
      <c r="M359" s="21">
        <f t="shared" si="366"/>
        <v>1091.6457079241964</v>
      </c>
      <c r="N359" s="21">
        <f t="shared" si="366"/>
        <v>162119.90405525037</v>
      </c>
      <c r="O359" s="21">
        <f t="shared" si="366"/>
        <v>356448.01076304482</v>
      </c>
      <c r="P359" s="21">
        <f t="shared" si="366"/>
        <v>378282.95826314937</v>
      </c>
      <c r="Q359" s="21">
        <f t="shared" si="366"/>
        <v>228390.60895443446</v>
      </c>
      <c r="R359" s="21">
        <f t="shared" si="366"/>
        <v>16340.996000526007</v>
      </c>
      <c r="S359" s="21">
        <f t="shared" si="366"/>
        <v>60500.022014438611</v>
      </c>
      <c r="T359" s="21">
        <f t="shared" si="366"/>
        <v>239832.15568850079</v>
      </c>
      <c r="U359" s="21">
        <f t="shared" si="366"/>
        <v>303014.15177316411</v>
      </c>
      <c r="V359" s="21">
        <f t="shared" si="366"/>
        <v>214471.61222750763</v>
      </c>
      <c r="W359" s="21">
        <f t="shared" si="366"/>
        <v>96517.539799859442</v>
      </c>
      <c r="X359" s="21">
        <f t="shared" si="366"/>
        <v>30527.347930480097</v>
      </c>
      <c r="Y359" s="21">
        <f t="shared" si="366"/>
        <v>7087.2462257498491</v>
      </c>
      <c r="Z359" s="21">
        <f t="shared" si="366"/>
        <v>1097.928654118241</v>
      </c>
      <c r="AA359" s="21">
        <f t="shared" si="366"/>
        <v>5717.271331608551</v>
      </c>
      <c r="AB359" s="21">
        <f t="shared" si="366"/>
        <v>4382.4072117401647</v>
      </c>
      <c r="AC359" s="21">
        <f t="shared" si="366"/>
        <v>3522.2479478523387</v>
      </c>
      <c r="AD359" s="21">
        <f t="shared" si="366"/>
        <v>3477.26569590687</v>
      </c>
      <c r="AE359" s="21">
        <f t="shared" si="366"/>
        <v>3303.2788855097078</v>
      </c>
      <c r="AF359" s="21">
        <f t="shared" si="366"/>
        <v>3293.567123980587</v>
      </c>
      <c r="AG359" s="3"/>
      <c r="AH359" s="3"/>
    </row>
    <row r="360" spans="1:34" x14ac:dyDescent="0.25">
      <c r="A360" s="71">
        <f>SUM(B360:AF360)</f>
        <v>2113185.0808754554</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152693.01542751538</v>
      </c>
      <c r="M360" s="60">
        <f t="shared" si="367"/>
        <v>1091.6457079241964</v>
      </c>
      <c r="N360" s="60">
        <f t="shared" si="367"/>
        <v>162119.90405525037</v>
      </c>
      <c r="O360" s="60">
        <f t="shared" si="367"/>
        <v>356448.01076304482</v>
      </c>
      <c r="P360" s="60">
        <f t="shared" si="367"/>
        <v>378282.95826314937</v>
      </c>
      <c r="Q360" s="60">
        <f t="shared" si="367"/>
        <v>228390.60895443446</v>
      </c>
      <c r="R360" s="60">
        <f t="shared" si="367"/>
        <v>16340.996000526007</v>
      </c>
      <c r="S360" s="60">
        <f t="shared" si="367"/>
        <v>60500.022014438611</v>
      </c>
      <c r="T360" s="60">
        <f t="shared" si="367"/>
        <v>239832.15568850079</v>
      </c>
      <c r="U360" s="60">
        <f t="shared" si="367"/>
        <v>303014.15177316411</v>
      </c>
      <c r="V360" s="60">
        <f t="shared" si="367"/>
        <v>214471.61222750763</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4536.230397827354</v>
      </c>
      <c r="C364" s="26">
        <f>INDEX(Comparison!$AM$3:$AS$33,G$14,$H$122)</f>
        <v>4303.1205029931816</v>
      </c>
      <c r="D364" s="26">
        <f>INDEX(Comparison!$AM$3:$AS$33,H$14,$H$122)</f>
        <v>4127.6064584710148</v>
      </c>
      <c r="E364" s="26">
        <f>INDEX(Comparison!$AM$3:$AS$33,I$14,$H$122)</f>
        <v>3945.604356178083</v>
      </c>
      <c r="F364" s="26">
        <f>INDEX(Comparison!$AM$3:$AS$33,J$14,$H$122)</f>
        <v>3766.6240058114313</v>
      </c>
      <c r="G364" s="26">
        <f>INDEX(Comparison!$AM$3:$AS$33,K$14,$H$122)</f>
        <v>3551.9419942460731</v>
      </c>
      <c r="H364" s="26">
        <f>INDEX(Comparison!$AM$3:$AS$33,L$14,$H$122)</f>
        <v>3318.4500658255338</v>
      </c>
      <c r="I364" s="26">
        <f>INDEX(Comparison!$AM$3:$AS$33,M$14,$H$122)</f>
        <v>3050.6755206683788</v>
      </c>
      <c r="J364" s="26">
        <f>INDEX(Comparison!$AM$3:$AS$33,N$14,$H$122)</f>
        <v>2745.1346410108995</v>
      </c>
      <c r="K364" s="26">
        <f>INDEX(Comparison!$AM$3:$AS$33,O$14,$H$122)</f>
        <v>2379.9691784471511</v>
      </c>
      <c r="L364" s="26">
        <f>INDEX(Comparison!$AM$3:$AS$33,P$14,$H$122)</f>
        <v>1948.7143373862357</v>
      </c>
      <c r="M364" s="26">
        <f>INDEX(Comparison!$AM$3:$AS$33,Q$14,$H$122)</f>
        <v>1482.8611668944652</v>
      </c>
      <c r="N364" s="26">
        <f>INDEX(Comparison!$AM$3:$AS$33,R$14,$H$122)</f>
        <v>1064.7698916660522</v>
      </c>
      <c r="O364" s="26">
        <f>INDEX(Comparison!$AM$3:$AS$33,S$14,$H$122)</f>
        <v>756.04671038027936</v>
      </c>
      <c r="P364" s="26">
        <f>INDEX(Comparison!$AM$3:$AS$33,T$14,$H$122)</f>
        <v>574.27764486440731</v>
      </c>
      <c r="Q364" s="26">
        <f>INDEX(Comparison!$AM$3:$AS$33,U$14,$H$122)</f>
        <v>472.36033693576201</v>
      </c>
      <c r="R364" s="26">
        <f>INDEX(Comparison!$AM$3:$AS$33,V$14,$H$122)</f>
        <v>404.76609252146119</v>
      </c>
      <c r="S364" s="26">
        <f>INDEX(Comparison!$AM$3:$AS$33,W$14,$H$122)</f>
        <v>332.62382454066642</v>
      </c>
      <c r="T364" s="26">
        <f>INDEX(Comparison!$AM$3:$AS$33,X$14,$H$122)</f>
        <v>270.11210763785351</v>
      </c>
      <c r="U364" s="26">
        <f>INDEX(Comparison!$AM$3:$AS$33,Y$14,$H$122)</f>
        <v>230.23496622900356</v>
      </c>
      <c r="V364" s="26">
        <f>INDEX(Comparison!$AM$3:$AS$33,Z$14,$H$122)</f>
        <v>198.97748766430533</v>
      </c>
      <c r="W364" s="26">
        <f>INDEX(Comparison!$AM$3:$AS$33,AA$14,$H$122)</f>
        <v>182.67861803771595</v>
      </c>
      <c r="X364" s="26">
        <f>INDEX(Comparison!$AM$3:$AS$33,AB$14,$H$122)</f>
        <v>174.62746722417066</v>
      </c>
      <c r="Y364" s="26">
        <f>INDEX(Comparison!$AM$3:$AS$33,AC$14,$H$122)</f>
        <v>169.86894542912563</v>
      </c>
      <c r="Z364" s="26">
        <f>INDEX(Comparison!$AM$3:$AS$33,AD$14,$H$122)</f>
        <v>166.84170745231376</v>
      </c>
      <c r="AA364" s="26">
        <f>INDEX(Comparison!$AM$3:$AS$33,AE$14,$H$122)</f>
        <v>166.12540478353452</v>
      </c>
      <c r="AB364" s="26">
        <f>INDEX(Comparison!$AM$3:$AS$33,AF$14,$H$122)</f>
        <v>165.25800429032441</v>
      </c>
      <c r="AC364" s="26">
        <f>INDEX(Comparison!$AM$3:$AS$33,AG$14,$H$122)</f>
        <v>162.97529182821398</v>
      </c>
      <c r="AD364" s="26">
        <f>INDEX(Comparison!$AM$3:$AS$33,AH$14,$H$122)</f>
        <v>162.91152498499585</v>
      </c>
      <c r="AE364" s="26">
        <f>INDEX(Comparison!$AM$3:$AS$33,AI$14,$H$122)</f>
        <v>161.92883558935978</v>
      </c>
      <c r="AF364" s="26">
        <f>INDEX(Comparison!$AM$3:$AS$33,AJ$14,$H$122)</f>
        <v>161.56401350859798</v>
      </c>
      <c r="AG364" s="26"/>
      <c r="AH364" s="26"/>
    </row>
    <row r="365" spans="1:34" x14ac:dyDescent="0.25">
      <c r="A365" s="70" t="s">
        <v>22</v>
      </c>
      <c r="B365" s="27">
        <f>($C$17+SUM(B366:B396))*$B$51</f>
        <v>5235.0982145246435</v>
      </c>
      <c r="C365" s="27">
        <f t="shared" ref="C365:AF365" si="368">($C$17+SUM(C366:C396))*$B$51</f>
        <v>4999.6598930981818</v>
      </c>
      <c r="D365" s="27">
        <f t="shared" si="368"/>
        <v>4754.3725504141039</v>
      </c>
      <c r="E365" s="27">
        <f t="shared" si="368"/>
        <v>4492.9861128604944</v>
      </c>
      <c r="F365" s="27">
        <f t="shared" si="368"/>
        <v>3934.2659158049455</v>
      </c>
      <c r="G365" s="27">
        <f t="shared" si="368"/>
        <v>3294.3981011954052</v>
      </c>
      <c r="H365" s="27">
        <f t="shared" si="368"/>
        <v>2772.431611370504</v>
      </c>
      <c r="I365" s="27">
        <f t="shared" si="368"/>
        <v>2381.897028612942</v>
      </c>
      <c r="J365" s="27">
        <f t="shared" si="368"/>
        <v>2111.1843562515746</v>
      </c>
      <c r="K365" s="27">
        <f t="shared" si="368"/>
        <v>1845.7796397577283</v>
      </c>
      <c r="L365" s="27">
        <f t="shared" si="368"/>
        <v>1629.8063713300542</v>
      </c>
      <c r="M365" s="27">
        <f t="shared" si="368"/>
        <v>1418.5918574978962</v>
      </c>
      <c r="N365" s="27">
        <f t="shared" si="368"/>
        <v>1193.6843927772031</v>
      </c>
      <c r="O365" s="27">
        <f t="shared" si="368"/>
        <v>945.98717155277245</v>
      </c>
      <c r="P365" s="27">
        <f t="shared" si="368"/>
        <v>695.86615224944603</v>
      </c>
      <c r="Q365" s="27">
        <f t="shared" si="368"/>
        <v>482.61744096609056</v>
      </c>
      <c r="R365" s="27">
        <f t="shared" si="368"/>
        <v>338.49565172814687</v>
      </c>
      <c r="S365" s="27">
        <f t="shared" si="368"/>
        <v>233.42473733357787</v>
      </c>
      <c r="T365" s="27">
        <f t="shared" si="368"/>
        <v>110.37461874387137</v>
      </c>
      <c r="U365" s="27">
        <f t="shared" si="368"/>
        <v>105.53311906821442</v>
      </c>
      <c r="V365" s="27">
        <f t="shared" si="368"/>
        <v>105.53311906821439</v>
      </c>
      <c r="W365" s="27">
        <f t="shared" si="368"/>
        <v>105.53311906821439</v>
      </c>
      <c r="X365" s="27">
        <f t="shared" si="368"/>
        <v>105.53311906821439</v>
      </c>
      <c r="Y365" s="27">
        <f t="shared" si="368"/>
        <v>105.53311906821439</v>
      </c>
      <c r="Z365" s="27">
        <f t="shared" si="368"/>
        <v>105.53311906821439</v>
      </c>
      <c r="AA365" s="27">
        <f t="shared" si="368"/>
        <v>105.53311906821439</v>
      </c>
      <c r="AB365" s="27">
        <f t="shared" si="368"/>
        <v>105.53311906821439</v>
      </c>
      <c r="AC365" s="27">
        <f t="shared" si="368"/>
        <v>105.53311906821439</v>
      </c>
      <c r="AD365" s="27">
        <f t="shared" si="368"/>
        <v>105.53311906821439</v>
      </c>
      <c r="AE365" s="27">
        <f t="shared" si="368"/>
        <v>105.53311906821439</v>
      </c>
      <c r="AF365" s="27">
        <f t="shared" si="368"/>
        <v>105.53311906821439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1.4574057703584282E-161</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9.0670863093661127E-17</v>
      </c>
      <c r="C377" s="3">
        <f t="shared" si="380"/>
        <v>4.4301411727995532E-146</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1.5850515465817693E-3</v>
      </c>
      <c r="C378" s="3">
        <f t="shared" si="381"/>
        <v>3.4285532524367632E-15</v>
      </c>
      <c r="D378" s="3">
        <f t="shared" si="381"/>
        <v>7.6875152506289179E-132</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2.6476860105872184E-2</v>
      </c>
      <c r="C379" s="3">
        <f t="shared" si="382"/>
        <v>2.3474293334289375E-3</v>
      </c>
      <c r="D379" s="3">
        <f t="shared" si="382"/>
        <v>7.0445457106483988E-14</v>
      </c>
      <c r="E379" s="3">
        <f t="shared" si="382"/>
        <v>4.1730888802560412E-119</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3.7039473349419177E-2</v>
      </c>
      <c r="C380" s="3">
        <f t="shared" si="383"/>
        <v>2.9767402395671973E-2</v>
      </c>
      <c r="D380" s="3">
        <f t="shared" si="383"/>
        <v>3.3458178316063043E-3</v>
      </c>
      <c r="E380" s="3">
        <f t="shared" si="383"/>
        <v>1.0767523359669243E-12</v>
      </c>
      <c r="F380" s="3">
        <f t="shared" si="383"/>
        <v>1.2830723162166018E-107</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2.6002169798751903E-2</v>
      </c>
      <c r="C381" s="3">
        <f t="shared" si="384"/>
        <v>2.5494509904733342E-2</v>
      </c>
      <c r="D381" s="3">
        <f t="shared" si="384"/>
        <v>2.0932323832143315E-2</v>
      </c>
      <c r="E381" s="3">
        <f t="shared" si="384"/>
        <v>2.914239338463459E-3</v>
      </c>
      <c r="F381" s="3">
        <f t="shared" si="384"/>
        <v>7.9726542594703989E-12</v>
      </c>
      <c r="G381" s="3">
        <f t="shared" si="384"/>
        <v>1.8723200050938771E-97</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8.9365002821365613E-2</v>
      </c>
      <c r="C382" s="3">
        <f t="shared" si="385"/>
        <v>8.9206197303133075E-2</v>
      </c>
      <c r="D382" s="3">
        <f t="shared" si="385"/>
        <v>8.7633580907703609E-2</v>
      </c>
      <c r="E382" s="3">
        <f t="shared" si="385"/>
        <v>7.3354350425219692E-2</v>
      </c>
      <c r="F382" s="3">
        <f t="shared" si="385"/>
        <v>1.238736826188026E-2</v>
      </c>
      <c r="G382" s="3">
        <f t="shared" si="385"/>
        <v>2.3362040956404628E-10</v>
      </c>
      <c r="H382" s="3">
        <f t="shared" si="385"/>
        <v>1.3299279156845777E-87</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0.1019016318018533</v>
      </c>
      <c r="C383" s="3">
        <f t="shared" si="386"/>
        <v>0.10188528332971114</v>
      </c>
      <c r="D383" s="3">
        <f t="shared" si="386"/>
        <v>0.10172194279554801</v>
      </c>
      <c r="E383" s="3">
        <f t="shared" si="386"/>
        <v>0.10010287094869706</v>
      </c>
      <c r="F383" s="3">
        <f t="shared" si="386"/>
        <v>8.5263941181215247E-2</v>
      </c>
      <c r="G383" s="3">
        <f t="shared" si="386"/>
        <v>1.7137761876242399E-2</v>
      </c>
      <c r="H383" s="3">
        <f t="shared" si="386"/>
        <v>1.8443405407769482E-9</v>
      </c>
      <c r="I383" s="3">
        <f t="shared" si="386"/>
        <v>3.8433611672397102E-79</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7.6951026960170865E-2</v>
      </c>
      <c r="C384" s="3">
        <f t="shared" si="387"/>
        <v>7.6949913207544351E-2</v>
      </c>
      <c r="D384" s="3">
        <f t="shared" si="387"/>
        <v>7.6938776567836611E-2</v>
      </c>
      <c r="E384" s="3">
        <f t="shared" si="387"/>
        <v>7.6827498779047723E-2</v>
      </c>
      <c r="F384" s="3">
        <f t="shared" si="387"/>
        <v>7.5723534451250255E-2</v>
      </c>
      <c r="G384" s="3">
        <f t="shared" si="387"/>
        <v>6.5519820761568218E-2</v>
      </c>
      <c r="H384" s="3">
        <f t="shared" si="387"/>
        <v>1.5409584892437676E-2</v>
      </c>
      <c r="I384" s="3">
        <f t="shared" si="387"/>
        <v>7.9794568442681006E-9</v>
      </c>
      <c r="J384" s="3">
        <f t="shared" si="387"/>
        <v>1.1061072411126476E-71</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5.7921011647741945E-2</v>
      </c>
      <c r="C385" s="3">
        <f t="shared" si="388"/>
        <v>5.7920936023695774E-2</v>
      </c>
      <c r="D385" s="3">
        <f t="shared" si="388"/>
        <v>5.7920179788664622E-2</v>
      </c>
      <c r="E385" s="3">
        <f t="shared" si="388"/>
        <v>5.7912617981382912E-2</v>
      </c>
      <c r="F385" s="3">
        <f t="shared" si="388"/>
        <v>5.7837054185325275E-2</v>
      </c>
      <c r="G385" s="3">
        <f t="shared" si="388"/>
        <v>5.708681777158929E-2</v>
      </c>
      <c r="H385" s="3">
        <f t="shared" si="388"/>
        <v>5.0099400654882671E-2</v>
      </c>
      <c r="I385" s="3">
        <f t="shared" si="388"/>
        <v>1.3576864667845516E-2</v>
      </c>
      <c r="J385" s="3">
        <f t="shared" si="388"/>
        <v>2.9004746602125728E-8</v>
      </c>
      <c r="K385" s="3">
        <f t="shared" si="388"/>
        <v>5.7433454850288179E-65</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2.5285810241851531E-2</v>
      </c>
      <c r="C386" s="3">
        <f t="shared" si="389"/>
        <v>2.5285807263695174E-2</v>
      </c>
      <c r="D386" s="3">
        <f t="shared" si="389"/>
        <v>2.5285777482150919E-2</v>
      </c>
      <c r="E386" s="3">
        <f t="shared" si="389"/>
        <v>2.5285479668637565E-2</v>
      </c>
      <c r="F386" s="3">
        <f t="shared" si="389"/>
        <v>2.5282501726416298E-2</v>
      </c>
      <c r="G386" s="3">
        <f t="shared" si="389"/>
        <v>2.5252741587025607E-2</v>
      </c>
      <c r="H386" s="3">
        <f t="shared" si="389"/>
        <v>2.4957060098559865E-2</v>
      </c>
      <c r="I386" s="3">
        <f t="shared" si="389"/>
        <v>2.2184126203763529E-2</v>
      </c>
      <c r="J386" s="3">
        <f t="shared" si="389"/>
        <v>6.8317403395345968E-3</v>
      </c>
      <c r="K386" s="3">
        <f t="shared" si="389"/>
        <v>5.2410896975751705E-8</v>
      </c>
      <c r="L386" s="3">
        <f t="shared" si="389"/>
        <v>3.7010419101843325E-59</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3.2366684904134274E-2</v>
      </c>
      <c r="C387" s="3">
        <f t="shared" si="390"/>
        <v>3.2366683849791758E-2</v>
      </c>
      <c r="D387" s="3">
        <f t="shared" si="390"/>
        <v>3.2366673306368471E-2</v>
      </c>
      <c r="E387" s="3">
        <f t="shared" si="390"/>
        <v>3.2366567872324462E-2</v>
      </c>
      <c r="F387" s="3">
        <f t="shared" si="390"/>
        <v>3.2365513550773981E-2</v>
      </c>
      <c r="G387" s="3">
        <f t="shared" si="390"/>
        <v>3.2354972223998711E-2</v>
      </c>
      <c r="H387" s="3">
        <f t="shared" si="390"/>
        <v>3.2249747601752435E-2</v>
      </c>
      <c r="I387" s="3">
        <f t="shared" si="390"/>
        <v>3.1216140528248674E-2</v>
      </c>
      <c r="J387" s="3">
        <f t="shared" si="390"/>
        <v>2.253762135979363E-2</v>
      </c>
      <c r="K387" s="3">
        <f t="shared" si="390"/>
        <v>8.673548072547886E-4</v>
      </c>
      <c r="L387" s="3">
        <f t="shared" si="390"/>
        <v>6.1813581223122992E-18</v>
      </c>
      <c r="M387" s="3">
        <f t="shared" si="390"/>
        <v>2.0890799562296976E-159</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3.1308799321218293E-2</v>
      </c>
      <c r="C388" s="3">
        <f t="shared" si="391"/>
        <v>3.1308799219230098E-2</v>
      </c>
      <c r="D388" s="3">
        <f t="shared" si="391"/>
        <v>3.1308798199348134E-2</v>
      </c>
      <c r="E388" s="3">
        <f t="shared" si="391"/>
        <v>3.1308788000530309E-2</v>
      </c>
      <c r="F388" s="3">
        <f t="shared" si="391"/>
        <v>3.1308686012534802E-2</v>
      </c>
      <c r="G388" s="3">
        <f t="shared" si="391"/>
        <v>3.1307666150851891E-2</v>
      </c>
      <c r="H388" s="3">
        <f t="shared" si="391"/>
        <v>3.1297469361020347E-2</v>
      </c>
      <c r="I388" s="3">
        <f t="shared" si="391"/>
        <v>3.1195683942446106E-2</v>
      </c>
      <c r="J388" s="3">
        <f t="shared" si="391"/>
        <v>3.0195859696257342E-2</v>
      </c>
      <c r="K388" s="3">
        <f t="shared" si="391"/>
        <v>2.1800992722077604E-2</v>
      </c>
      <c r="L388" s="3">
        <f t="shared" si="391"/>
        <v>8.3900583555610009E-4</v>
      </c>
      <c r="M388" s="3">
        <f t="shared" si="391"/>
        <v>5.9793241392143362E-18</v>
      </c>
      <c r="N388" s="3">
        <f t="shared" si="391"/>
        <v>2.0207996307387988E-159</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2.9628011895117459E-2</v>
      </c>
      <c r="C389" s="3">
        <f t="shared" si="392"/>
        <v>2.9628011885466154E-2</v>
      </c>
      <c r="D389" s="3">
        <f t="shared" si="392"/>
        <v>2.962801178895311E-2</v>
      </c>
      <c r="E389" s="3">
        <f t="shared" si="392"/>
        <v>2.962801082382268E-2</v>
      </c>
      <c r="F389" s="3">
        <f t="shared" si="392"/>
        <v>2.96280011725201E-2</v>
      </c>
      <c r="G389" s="3">
        <f t="shared" si="392"/>
        <v>2.962790465966721E-2</v>
      </c>
      <c r="H389" s="3">
        <f t="shared" si="392"/>
        <v>2.9626939548429539E-2</v>
      </c>
      <c r="I389" s="3">
        <f t="shared" si="392"/>
        <v>2.9617290164969542E-2</v>
      </c>
      <c r="J389" s="3">
        <f t="shared" si="392"/>
        <v>2.9520969013834209E-2</v>
      </c>
      <c r="K389" s="3">
        <f t="shared" si="392"/>
        <v>2.8574819519388978E-2</v>
      </c>
      <c r="L389" s="3">
        <f t="shared" si="392"/>
        <v>2.0630624153221026E-2</v>
      </c>
      <c r="M389" s="3">
        <f t="shared" si="392"/>
        <v>7.939644894330081E-4</v>
      </c>
      <c r="N389" s="3">
        <f t="shared" si="392"/>
        <v>5.6583289843260432E-18</v>
      </c>
      <c r="O389" s="3">
        <f t="shared" si="392"/>
        <v>1.9123146455858719E-159</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3.087825184158113E-2</v>
      </c>
      <c r="C390" s="3">
        <f t="shared" si="393"/>
        <v>3.0878251840575272E-2</v>
      </c>
      <c r="D390" s="3">
        <f t="shared" si="393"/>
        <v>3.0878251830516703E-2</v>
      </c>
      <c r="E390" s="3">
        <f t="shared" si="393"/>
        <v>3.087825172993101E-2</v>
      </c>
      <c r="F390" s="3">
        <f t="shared" si="393"/>
        <v>3.0878250724074099E-2</v>
      </c>
      <c r="G390" s="3">
        <f t="shared" si="393"/>
        <v>3.08782406655068E-2</v>
      </c>
      <c r="H390" s="3">
        <f t="shared" si="393"/>
        <v>3.087814008001399E-2</v>
      </c>
      <c r="I390" s="3">
        <f t="shared" si="393"/>
        <v>3.0877134243106796E-2</v>
      </c>
      <c r="J390" s="3">
        <f t="shared" si="393"/>
        <v>3.0867077675908197E-2</v>
      </c>
      <c r="K390" s="3">
        <f t="shared" si="393"/>
        <v>3.0766691974266805E-2</v>
      </c>
      <c r="L390" s="3">
        <f t="shared" si="393"/>
        <v>2.9780616956080135E-2</v>
      </c>
      <c r="M390" s="3">
        <f t="shared" si="393"/>
        <v>2.1501193211563224E-2</v>
      </c>
      <c r="N390" s="3">
        <f t="shared" si="393"/>
        <v>8.2746812523139073E-4</v>
      </c>
      <c r="O390" s="3">
        <f t="shared" si="393"/>
        <v>5.8970985968734164E-18</v>
      </c>
      <c r="P390" s="3">
        <f t="shared" si="393"/>
        <v>1.9930103117905104E-159</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3.5015955138029034E-2</v>
      </c>
      <c r="C391" s="3">
        <f t="shared" si="394"/>
        <v>3.5015955137914966E-2</v>
      </c>
      <c r="D391" s="3">
        <f t="shared" si="394"/>
        <v>3.5015955136774322E-2</v>
      </c>
      <c r="E391" s="3">
        <f t="shared" si="394"/>
        <v>3.5015955125367898E-2</v>
      </c>
      <c r="F391" s="3">
        <f t="shared" si="394"/>
        <v>3.5015955011303668E-2</v>
      </c>
      <c r="G391" s="3">
        <f t="shared" si="394"/>
        <v>3.5015953870661358E-2</v>
      </c>
      <c r="H391" s="3">
        <f t="shared" si="394"/>
        <v>3.5015942464240321E-2</v>
      </c>
      <c r="I391" s="3">
        <f t="shared" si="394"/>
        <v>3.501582840023431E-2</v>
      </c>
      <c r="J391" s="3">
        <f t="shared" si="394"/>
        <v>3.5014687780609892E-2</v>
      </c>
      <c r="K391" s="3">
        <f t="shared" si="394"/>
        <v>3.5003283627691055E-2</v>
      </c>
      <c r="L391" s="3">
        <f t="shared" si="394"/>
        <v>3.4889446184975803E-2</v>
      </c>
      <c r="M391" s="3">
        <f t="shared" si="394"/>
        <v>3.3771236553919337E-2</v>
      </c>
      <c r="N391" s="3">
        <f t="shared" si="394"/>
        <v>2.4382365322051468E-2</v>
      </c>
      <c r="O391" s="3">
        <f t="shared" si="394"/>
        <v>9.3834932430142816E-4</v>
      </c>
      <c r="P391" s="3">
        <f t="shared" si="394"/>
        <v>6.6873131604527817E-18</v>
      </c>
      <c r="Q391" s="3">
        <f t="shared" si="394"/>
        <v>2.2600748262920094E-159</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3.7250810616416288E-2</v>
      </c>
      <c r="C392" s="3">
        <f t="shared" si="395"/>
        <v>3.7250810616404152E-2</v>
      </c>
      <c r="D392" s="3">
        <f t="shared" si="395"/>
        <v>3.7250810616282805E-2</v>
      </c>
      <c r="E392" s="3">
        <f t="shared" si="395"/>
        <v>3.7250810615069366E-2</v>
      </c>
      <c r="F392" s="3">
        <f t="shared" si="395"/>
        <v>3.725081060293494E-2</v>
      </c>
      <c r="G392" s="3">
        <f t="shared" si="395"/>
        <v>3.7250810481590679E-2</v>
      </c>
      <c r="H392" s="3">
        <f t="shared" si="395"/>
        <v>3.7250809268148111E-2</v>
      </c>
      <c r="I392" s="3">
        <f t="shared" si="395"/>
        <v>3.7250797133724582E-2</v>
      </c>
      <c r="J392" s="3">
        <f t="shared" si="395"/>
        <v>3.7250675789706707E-2</v>
      </c>
      <c r="K392" s="3">
        <f t="shared" si="395"/>
        <v>3.7249462371267965E-2</v>
      </c>
      <c r="L392" s="3">
        <f t="shared" si="395"/>
        <v>3.7237330360618957E-2</v>
      </c>
      <c r="M392" s="3">
        <f t="shared" si="395"/>
        <v>3.7116227366200384E-2</v>
      </c>
      <c r="N392" s="3">
        <f t="shared" si="395"/>
        <v>3.5926649214419938E-2</v>
      </c>
      <c r="O392" s="3">
        <f t="shared" si="395"/>
        <v>2.5938543427173336E-2</v>
      </c>
      <c r="P392" s="3">
        <f t="shared" si="395"/>
        <v>9.9823845540689712E-4</v>
      </c>
      <c r="Q392" s="3">
        <f t="shared" si="395"/>
        <v>7.1141236927754245E-18</v>
      </c>
      <c r="R392" s="3">
        <f t="shared" si="395"/>
        <v>2.4043216585479383E-159</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3.3898326315238349E-2</v>
      </c>
      <c r="C393" s="3">
        <f t="shared" si="396"/>
        <v>3.3898326315237245E-2</v>
      </c>
      <c r="D393" s="3">
        <f t="shared" si="396"/>
        <v>3.3898326315226206E-2</v>
      </c>
      <c r="E393" s="3">
        <f t="shared" si="396"/>
        <v>3.389832631511578E-2</v>
      </c>
      <c r="F393" s="3">
        <f t="shared" si="396"/>
        <v>3.3898326314011545E-2</v>
      </c>
      <c r="G393" s="3">
        <f t="shared" si="396"/>
        <v>3.3898326302969191E-2</v>
      </c>
      <c r="H393" s="3">
        <f t="shared" si="396"/>
        <v>3.3898326192545625E-2</v>
      </c>
      <c r="I393" s="3">
        <f t="shared" si="396"/>
        <v>3.3898325088309998E-2</v>
      </c>
      <c r="J393" s="3">
        <f t="shared" si="396"/>
        <v>3.389831404595571E-2</v>
      </c>
      <c r="K393" s="3">
        <f t="shared" si="396"/>
        <v>3.3898203622610652E-2</v>
      </c>
      <c r="L393" s="3">
        <f t="shared" si="396"/>
        <v>3.3897099408943546E-2</v>
      </c>
      <c r="M393" s="3">
        <f t="shared" si="396"/>
        <v>3.3886059250379616E-2</v>
      </c>
      <c r="N393" s="3">
        <f t="shared" si="396"/>
        <v>3.3775855237242143E-2</v>
      </c>
      <c r="O393" s="3">
        <f t="shared" si="396"/>
        <v>3.2693336288009953E-2</v>
      </c>
      <c r="P393" s="3">
        <f t="shared" si="396"/>
        <v>2.3604136250629182E-2</v>
      </c>
      <c r="Q393" s="3">
        <f t="shared" si="396"/>
        <v>9.0839937015729951E-4</v>
      </c>
      <c r="R393" s="3">
        <f t="shared" si="396"/>
        <v>6.4738694915375895E-18</v>
      </c>
      <c r="S393" s="3">
        <f t="shared" si="396"/>
        <v>2.1879384313943655E-159</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2.3731882185441585E-2</v>
      </c>
      <c r="C394" s="3">
        <f t="shared" si="397"/>
        <v>2.3731882185441505E-2</v>
      </c>
      <c r="D394" s="3">
        <f t="shared" si="397"/>
        <v>2.3731882185440731E-2</v>
      </c>
      <c r="E394" s="3">
        <f t="shared" si="397"/>
        <v>2.3731882185433002E-2</v>
      </c>
      <c r="F394" s="3">
        <f t="shared" si="397"/>
        <v>2.3731882185355695E-2</v>
      </c>
      <c r="G394" s="3">
        <f t="shared" si="397"/>
        <v>2.373188218458263E-2</v>
      </c>
      <c r="H394" s="3">
        <f t="shared" si="397"/>
        <v>2.3731882176851987E-2</v>
      </c>
      <c r="I394" s="3">
        <f t="shared" si="397"/>
        <v>2.3731882099545545E-2</v>
      </c>
      <c r="J394" s="3">
        <f t="shared" si="397"/>
        <v>2.373188132648113E-2</v>
      </c>
      <c r="K394" s="3">
        <f t="shared" si="397"/>
        <v>2.3731873595838365E-2</v>
      </c>
      <c r="L394" s="3">
        <f t="shared" si="397"/>
        <v>2.3731796289549228E-2</v>
      </c>
      <c r="M394" s="3">
        <f t="shared" si="397"/>
        <v>2.3731023240508058E-2</v>
      </c>
      <c r="N394" s="3">
        <f t="shared" si="397"/>
        <v>2.3723294134949533E-2</v>
      </c>
      <c r="O394" s="3">
        <f t="shared" si="397"/>
        <v>2.3646141397914086E-2</v>
      </c>
      <c r="P394" s="3">
        <f t="shared" si="397"/>
        <v>2.2888280613644691E-2</v>
      </c>
      <c r="Q394" s="3">
        <f t="shared" si="397"/>
        <v>1.6525021777763306E-2</v>
      </c>
      <c r="R394" s="3">
        <f t="shared" si="397"/>
        <v>6.3596139317979535E-4</v>
      </c>
      <c r="S394" s="3">
        <f t="shared" si="397"/>
        <v>4.5322918491120172E-18</v>
      </c>
      <c r="T394" s="3">
        <f t="shared" si="397"/>
        <v>1.5317540046072828E-159</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1.1146070536665017E-2</v>
      </c>
      <c r="C395" s="3">
        <f t="shared" si="398"/>
        <v>1.1146070536665014E-2</v>
      </c>
      <c r="D395" s="3">
        <f t="shared" si="398"/>
        <v>1.1146070536664976E-2</v>
      </c>
      <c r="E395" s="3">
        <f t="shared" si="398"/>
        <v>1.1146070536664613E-2</v>
      </c>
      <c r="F395" s="3">
        <f t="shared" si="398"/>
        <v>1.1146070536660982E-2</v>
      </c>
      <c r="G395" s="3">
        <f t="shared" si="398"/>
        <v>1.1146070536624674E-2</v>
      </c>
      <c r="H395" s="3">
        <f t="shared" si="398"/>
        <v>1.1146070536261592E-2</v>
      </c>
      <c r="I395" s="3">
        <f t="shared" si="398"/>
        <v>1.1146070532630767E-2</v>
      </c>
      <c r="J395" s="3">
        <f t="shared" si="398"/>
        <v>1.1146070496322521E-2</v>
      </c>
      <c r="K395" s="3">
        <f t="shared" si="398"/>
        <v>1.1146070133240045E-2</v>
      </c>
      <c r="L395" s="3">
        <f t="shared" si="398"/>
        <v>1.1146066502415956E-2</v>
      </c>
      <c r="M395" s="3">
        <f t="shared" si="398"/>
        <v>1.1146030194240106E-2</v>
      </c>
      <c r="N395" s="3">
        <f t="shared" si="398"/>
        <v>1.1145667118986577E-2</v>
      </c>
      <c r="O395" s="3">
        <f t="shared" si="398"/>
        <v>1.1142037016870467E-2</v>
      </c>
      <c r="P395" s="3">
        <f t="shared" si="398"/>
        <v>1.1105800959301405E-2</v>
      </c>
      <c r="Q395" s="3">
        <f t="shared" si="398"/>
        <v>1.0749859121547765E-2</v>
      </c>
      <c r="R395" s="3">
        <f t="shared" si="398"/>
        <v>7.761249483526713E-3</v>
      </c>
      <c r="S395" s="3">
        <f t="shared" si="398"/>
        <v>2.986897748601753E-4</v>
      </c>
      <c r="T395" s="3">
        <f t="shared" si="398"/>
        <v>2.1286657437539637E-18</v>
      </c>
      <c r="U395" s="3">
        <f t="shared" si="398"/>
        <v>7.1941357397456667E-160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2.58377406244087E-2</v>
      </c>
      <c r="C396" s="3">
        <f t="shared" si="399"/>
        <v>2.58377406244087E-2</v>
      </c>
      <c r="D396" s="3">
        <f t="shared" si="399"/>
        <v>2.5837740624408693E-2</v>
      </c>
      <c r="E396" s="3">
        <f t="shared" si="399"/>
        <v>2.5837740624408606E-2</v>
      </c>
      <c r="F396" s="3">
        <f t="shared" si="399"/>
        <v>2.5837740624407763E-2</v>
      </c>
      <c r="G396" s="3">
        <f t="shared" si="399"/>
        <v>2.583774062439935E-2</v>
      </c>
      <c r="H396" s="3">
        <f t="shared" si="399"/>
        <v>2.5837740624315181E-2</v>
      </c>
      <c r="I396" s="3">
        <f t="shared" si="399"/>
        <v>2.5837740623473517E-2</v>
      </c>
      <c r="J396" s="3">
        <f t="shared" si="399"/>
        <v>2.5837740615056892E-2</v>
      </c>
      <c r="K396" s="3">
        <f t="shared" si="399"/>
        <v>2.5837740530890631E-2</v>
      </c>
      <c r="L396" s="3">
        <f t="shared" si="399"/>
        <v>2.5837739689228024E-2</v>
      </c>
      <c r="M396" s="3">
        <f t="shared" si="399"/>
        <v>2.583773127260346E-2</v>
      </c>
      <c r="N396" s="3">
        <f t="shared" si="399"/>
        <v>2.5837647106508592E-2</v>
      </c>
      <c r="O396" s="3">
        <f t="shared" si="399"/>
        <v>2.5836805460639139E-2</v>
      </c>
      <c r="P396" s="3">
        <f t="shared" si="399"/>
        <v>2.582839050968332E-2</v>
      </c>
      <c r="Q396" s="3">
        <f t="shared" si="399"/>
        <v>2.5744391592428958E-2</v>
      </c>
      <c r="R396" s="3">
        <f t="shared" si="399"/>
        <v>2.491928171617246E-2</v>
      </c>
      <c r="S396" s="3">
        <f t="shared" si="399"/>
        <v>1.7991376460164597E-2</v>
      </c>
      <c r="T396" s="3">
        <f t="shared" si="399"/>
        <v>6.9239369198441847E-4</v>
      </c>
      <c r="U396" s="3">
        <f t="shared" si="399"/>
        <v>4.9344666519251459E-18</v>
      </c>
      <c r="V396" s="3">
        <f t="shared" si="399"/>
        <v>1.6676748334660532E-159</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9.2816624662996491E-2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0.16365044375048074</v>
      </c>
      <c r="M397" s="80">
        <f t="shared" si="400"/>
        <v>4.3341420512863882E-2</v>
      </c>
      <c r="N397" s="80">
        <f t="shared" si="400"/>
        <v>0.12107263937510251</v>
      </c>
      <c r="O397" s="80">
        <f t="shared" si="400"/>
        <v>0.25122847380283697</v>
      </c>
      <c r="P397" s="80">
        <f t="shared" si="400"/>
        <v>0.21172425650270085</v>
      </c>
      <c r="Q397" s="80">
        <f t="shared" si="400"/>
        <v>2.1714575141653879E-2</v>
      </c>
      <c r="R397" s="80">
        <f t="shared" si="400"/>
        <v>0.16372527743242371</v>
      </c>
      <c r="S397" s="80">
        <f t="shared" si="400"/>
        <v>0.29823205642012129</v>
      </c>
      <c r="T397" s="80">
        <f t="shared" si="400"/>
        <v>0.59137478245938702</v>
      </c>
      <c r="U397" s="80">
        <f t="shared" si="400"/>
        <v>0.54162862054912309</v>
      </c>
      <c r="V397" s="80">
        <f t="shared" si="400"/>
        <v>0.46962281860619737</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488416.22521523625</v>
      </c>
      <c r="C398" s="21">
        <f t="shared" ref="C398:AF398" si="401">(C365-C364)^2</f>
        <v>485167.1219678456</v>
      </c>
      <c r="D398" s="21">
        <f t="shared" si="401"/>
        <v>392835.73400961288</v>
      </c>
      <c r="E398" s="21">
        <f t="shared" si="401"/>
        <v>299626.78754872264</v>
      </c>
      <c r="F398" s="21">
        <f t="shared" si="401"/>
        <v>28103.809986273522</v>
      </c>
      <c r="G398" s="21">
        <f t="shared" si="401"/>
        <v>66328.856847693911</v>
      </c>
      <c r="H398" s="21">
        <f t="shared" si="401"/>
        <v>298136.15260545944</v>
      </c>
      <c r="I398" s="21">
        <f t="shared" si="401"/>
        <v>447264.67143594392</v>
      </c>
      <c r="J398" s="21">
        <f t="shared" si="401"/>
        <v>401892.96354642906</v>
      </c>
      <c r="K398" s="21">
        <f t="shared" si="401"/>
        <v>285358.46324521827</v>
      </c>
      <c r="L398" s="21">
        <f t="shared" si="401"/>
        <v>101702.29081409062</v>
      </c>
      <c r="M398" s="21">
        <f t="shared" si="401"/>
        <v>4130.5441303119178</v>
      </c>
      <c r="N398" s="21">
        <f t="shared" si="401"/>
        <v>16618.948596736929</v>
      </c>
      <c r="O398" s="21">
        <f t="shared" si="401"/>
        <v>36077.378790419352</v>
      </c>
      <c r="P398" s="21">
        <f t="shared" si="401"/>
        <v>14783.765128121617</v>
      </c>
      <c r="Q398" s="21">
        <f t="shared" si="401"/>
        <v>105.20818308898215</v>
      </c>
      <c r="R398" s="21">
        <f t="shared" si="401"/>
        <v>4391.7713229401788</v>
      </c>
      <c r="S398" s="21">
        <f t="shared" si="401"/>
        <v>9840.4589027195598</v>
      </c>
      <c r="T398" s="21">
        <f t="shared" si="401"/>
        <v>25516.065358155069</v>
      </c>
      <c r="U398" s="21">
        <f t="shared" si="401"/>
        <v>15550.550685312815</v>
      </c>
      <c r="V398" s="21">
        <f t="shared" si="401"/>
        <v>8731.8500223221072</v>
      </c>
      <c r="W398" s="21">
        <f t="shared" si="401"/>
        <v>5951.4280112533661</v>
      </c>
      <c r="X398" s="21">
        <f t="shared" si="401"/>
        <v>4774.0289470964972</v>
      </c>
      <c r="Y398" s="21">
        <f t="shared" si="401"/>
        <v>4139.098553541322</v>
      </c>
      <c r="Z398" s="21">
        <f t="shared" si="401"/>
        <v>3758.7430096509238</v>
      </c>
      <c r="AA398" s="21">
        <f t="shared" si="401"/>
        <v>3671.4250882069878</v>
      </c>
      <c r="AB398" s="21">
        <f t="shared" si="401"/>
        <v>3567.0619147942157</v>
      </c>
      <c r="AC398" s="21">
        <f t="shared" si="401"/>
        <v>3299.6032113896395</v>
      </c>
      <c r="AD398" s="21">
        <f t="shared" si="401"/>
        <v>3292.2814655509419</v>
      </c>
      <c r="AE398" s="21">
        <f t="shared" si="401"/>
        <v>3180.4768419333909</v>
      </c>
      <c r="AF398" s="21">
        <f t="shared" si="401"/>
        <v>3139.4611317894087</v>
      </c>
      <c r="AG398" s="3"/>
      <c r="AH398" s="3"/>
    </row>
    <row r="399" spans="1:34" x14ac:dyDescent="0.25">
      <c r="A399" s="71">
        <f>SUM(B399:AF399)</f>
        <v>237448.83193421914</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101702.29081409062</v>
      </c>
      <c r="M399" s="60">
        <f t="shared" ref="M399" si="412">IF($A$64&lt;=M363,IF($B$64&gt;=M363,ABS(M398),0),0)</f>
        <v>4130.5441303119178</v>
      </c>
      <c r="N399" s="60">
        <f t="shared" ref="N399" si="413">IF($A$64&lt;=N363,IF($B$64&gt;=N363,ABS(N398),0),0)</f>
        <v>16618.948596736929</v>
      </c>
      <c r="O399" s="60">
        <f t="shared" ref="O399" si="414">IF($A$64&lt;=O363,IF($B$64&gt;=O363,ABS(O398),0),0)</f>
        <v>36077.378790419352</v>
      </c>
      <c r="P399" s="60">
        <f t="shared" ref="P399" si="415">IF($A$64&lt;=P363,IF($B$64&gt;=P363,ABS(P398),0),0)</f>
        <v>14783.765128121617</v>
      </c>
      <c r="Q399" s="60">
        <f t="shared" ref="Q399" si="416">IF($A$64&lt;=Q363,IF($B$64&gt;=Q363,ABS(Q398),0),0)</f>
        <v>105.20818308898215</v>
      </c>
      <c r="R399" s="60">
        <f t="shared" ref="R399" si="417">IF($A$64&lt;=R363,IF($B$64&gt;=R363,ABS(R398),0),0)</f>
        <v>4391.7713229401788</v>
      </c>
      <c r="S399" s="60">
        <f t="shared" ref="S399" si="418">IF($A$64&lt;=S363,IF($B$64&gt;=S363,ABS(S398),0),0)</f>
        <v>9840.4589027195598</v>
      </c>
      <c r="T399" s="60">
        <f t="shared" ref="T399" si="419">IF($A$64&lt;=T363,IF($B$64&gt;=T363,ABS(T398),0),0)</f>
        <v>25516.065358155069</v>
      </c>
      <c r="U399" s="60">
        <f t="shared" ref="U399" si="420">IF($A$64&lt;=U363,IF($B$64&gt;=U363,ABS(U398),0),0)</f>
        <v>15550.550685312815</v>
      </c>
      <c r="V399" s="60">
        <f t="shared" ref="V399" si="421">IF($A$64&lt;=V363,IF($B$64&gt;=V363,ABS(V398),0),0)</f>
        <v>8731.8500223221072</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162</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-16.493953451907874</v>
      </c>
      <c r="C403" s="107">
        <f t="shared" ref="C403:H403" si="432">IF(C125=$B$2,0,C126)</f>
        <v>-10.106244522226985</v>
      </c>
      <c r="D403" s="107">
        <f t="shared" si="432"/>
        <v>-3.3343249227798801</v>
      </c>
      <c r="E403" s="107">
        <f t="shared" si="432"/>
        <v>0</v>
      </c>
      <c r="F403" s="107">
        <f t="shared" si="432"/>
        <v>4.1698072196281935</v>
      </c>
      <c r="G403" s="107">
        <f t="shared" si="432"/>
        <v>16.378591910573874</v>
      </c>
      <c r="H403" s="107">
        <f t="shared" si="432"/>
        <v>31.219924643662296</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6.8669997418416781E-23</v>
      </c>
      <c r="C404" s="3">
        <f t="shared" ref="C404:H419" si="433">$A404/EXP(-C$403)</f>
        <v>4.0823832294357115E-20</v>
      </c>
      <c r="D404" s="3">
        <f t="shared" si="433"/>
        <v>3.5638636924358001E-17</v>
      </c>
      <c r="E404" s="3">
        <f t="shared" si="433"/>
        <v>1.0000000000000001E-15</v>
      </c>
      <c r="F404" s="3">
        <f t="shared" si="433"/>
        <v>6.4702977440958206E-14</v>
      </c>
      <c r="G404" s="3">
        <f t="shared" si="433"/>
        <v>1.2975738604182271E-8</v>
      </c>
      <c r="H404" s="3">
        <f t="shared" si="433"/>
        <v>3.6194368040405954E-2</v>
      </c>
      <c r="I404" s="109">
        <f>Comparison!AL3</f>
        <v>1.0000000000000001E-15</v>
      </c>
      <c r="J404" s="3">
        <f>Comparison!AM3</f>
        <v>7093.1154116431162</v>
      </c>
      <c r="K404" s="3">
        <f>Comparison!AN3</f>
        <v>7031.9211529245395</v>
      </c>
      <c r="L404" s="3">
        <f>Comparison!AO3</f>
        <v>6992.3964680806075</v>
      </c>
      <c r="M404" s="3">
        <f>Comparison!AP3</f>
        <v>6951.7769139036336</v>
      </c>
      <c r="N404" s="3">
        <f>Comparison!AQ3</f>
        <v>6840.5863197092085</v>
      </c>
      <c r="O404" s="3">
        <f>Comparison!AR3</f>
        <v>5776.5900052436255</v>
      </c>
      <c r="P404" s="3">
        <f>Comparison!AS3</f>
        <v>4536.230397827354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6.8669997418416774E-22</v>
      </c>
      <c r="C405" s="3">
        <f t="shared" si="433"/>
        <v>4.0823832294357112E-19</v>
      </c>
      <c r="D405" s="3">
        <f t="shared" si="433"/>
        <v>3.5638636924357999E-16</v>
      </c>
      <c r="E405" s="3">
        <f t="shared" si="433"/>
        <v>1E-14</v>
      </c>
      <c r="F405" s="3">
        <f t="shared" si="433"/>
        <v>6.4702977440958206E-13</v>
      </c>
      <c r="G405" s="3">
        <f t="shared" si="433"/>
        <v>1.2975738604182271E-7</v>
      </c>
      <c r="H405" s="3">
        <f t="shared" si="433"/>
        <v>0.3619436804040595</v>
      </c>
      <c r="I405" s="109">
        <f>Comparison!AL4</f>
        <v>1E-14</v>
      </c>
      <c r="J405" s="3">
        <f>Comparison!AM4</f>
        <v>7093.186769557813</v>
      </c>
      <c r="K405" s="3">
        <f>Comparison!AN4</f>
        <v>7031.9907762783369</v>
      </c>
      <c r="L405" s="3">
        <f>Comparison!AO4</f>
        <v>6992.459052459466</v>
      </c>
      <c r="M405" s="3">
        <f>Comparison!AP4</f>
        <v>6950.7516447504031</v>
      </c>
      <c r="N405" s="3">
        <f>Comparison!AQ4</f>
        <v>6643.5965561721414</v>
      </c>
      <c r="O405" s="3">
        <f>Comparison!AR4</f>
        <v>5571.6920956359099</v>
      </c>
      <c r="P405" s="3">
        <f>Comparison!AS4</f>
        <v>4303.1205029931816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6.8669997418416777E-21</v>
      </c>
      <c r="C406" s="3">
        <f t="shared" si="433"/>
        <v>4.0823832294357113E-18</v>
      </c>
      <c r="D406" s="3">
        <f t="shared" si="433"/>
        <v>3.5638636924358002E-15</v>
      </c>
      <c r="E406" s="3">
        <f t="shared" si="433"/>
        <v>1E-13</v>
      </c>
      <c r="F406" s="3">
        <f t="shared" si="433"/>
        <v>6.4702977440958202E-12</v>
      </c>
      <c r="G406" s="3">
        <f t="shared" si="433"/>
        <v>1.2975738604182271E-6</v>
      </c>
      <c r="H406" s="3">
        <f t="shared" si="433"/>
        <v>3.6194368040405953</v>
      </c>
      <c r="I406" s="109">
        <f>Comparison!AL5</f>
        <v>1E-13</v>
      </c>
      <c r="J406" s="3">
        <f>Comparison!AM5</f>
        <v>7093.1496241627792</v>
      </c>
      <c r="K406" s="3">
        <f>Comparison!AN5</f>
        <v>7031.9539299810422</v>
      </c>
      <c r="L406" s="3">
        <f>Comparison!AO5</f>
        <v>6992.3628853177524</v>
      </c>
      <c r="M406" s="3">
        <f>Comparison!AP5</f>
        <v>6940.1985301294053</v>
      </c>
      <c r="N406" s="3">
        <f>Comparison!AQ5</f>
        <v>6527.1577578820725</v>
      </c>
      <c r="O406" s="3">
        <f>Comparison!AR5</f>
        <v>5400.7646013667554</v>
      </c>
      <c r="P406" s="3">
        <f>Comparison!AS5</f>
        <v>4127.6064584710148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6.8669997418416771E-20</v>
      </c>
      <c r="C407" s="3">
        <f t="shared" si="433"/>
        <v>4.0823832294357111E-17</v>
      </c>
      <c r="D407" s="3">
        <f t="shared" si="433"/>
        <v>3.5638636924358002E-14</v>
      </c>
      <c r="E407" s="3">
        <f t="shared" si="433"/>
        <v>9.9999999999999998E-13</v>
      </c>
      <c r="F407" s="3">
        <f t="shared" si="433"/>
        <v>6.4702977440958197E-11</v>
      </c>
      <c r="G407" s="3">
        <f t="shared" si="433"/>
        <v>1.297573860418227E-5</v>
      </c>
      <c r="H407" s="3">
        <f t="shared" si="433"/>
        <v>36.194368040405955</v>
      </c>
      <c r="I407" s="109">
        <f>Comparison!AL6</f>
        <v>9.9999999999999998E-13</v>
      </c>
      <c r="J407" s="3">
        <f>Comparison!AM6</f>
        <v>7093.139849123485</v>
      </c>
      <c r="K407" s="3">
        <f>Comparison!AN6</f>
        <v>7031.9433621725511</v>
      </c>
      <c r="L407" s="3">
        <f>Comparison!AO6</f>
        <v>6991.7590094248426</v>
      </c>
      <c r="M407" s="3">
        <f>Comparison!AP6</f>
        <v>6859.1289652487367</v>
      </c>
      <c r="N407" s="3">
        <f>Comparison!AQ6</f>
        <v>6412.9995296962652</v>
      </c>
      <c r="O407" s="3">
        <f>Comparison!AR6</f>
        <v>5215.0678795321228</v>
      </c>
      <c r="P407" s="3">
        <f>Comparison!AS6</f>
        <v>3945.604356178083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6.8669997418416776E-19</v>
      </c>
      <c r="C408" s="3">
        <f t="shared" si="433"/>
        <v>4.0823832294357112E-16</v>
      </c>
      <c r="D408" s="3">
        <f t="shared" si="433"/>
        <v>3.5638636924357998E-13</v>
      </c>
      <c r="E408" s="3">
        <f t="shared" si="433"/>
        <v>9.9999999999999994E-12</v>
      </c>
      <c r="F408" s="3">
        <f t="shared" si="433"/>
        <v>6.4702977440958197E-10</v>
      </c>
      <c r="G408" s="3">
        <f t="shared" si="433"/>
        <v>1.2975738604182271E-4</v>
      </c>
      <c r="H408" s="3">
        <f t="shared" si="433"/>
        <v>361.94368040405948</v>
      </c>
      <c r="I408" s="109">
        <f>Comparison!AL7</f>
        <v>9.9999999999999994E-12</v>
      </c>
      <c r="J408" s="3">
        <f>Comparison!AM7</f>
        <v>7093.1370316171597</v>
      </c>
      <c r="K408" s="3">
        <f>Comparison!AN7</f>
        <v>7031.9306469370567</v>
      </c>
      <c r="L408" s="3">
        <f>Comparison!AO7</f>
        <v>6985.9675385002447</v>
      </c>
      <c r="M408" s="3">
        <f>Comparison!AP7</f>
        <v>6695.6616107202954</v>
      </c>
      <c r="N408" s="3">
        <f>Comparison!AQ7</f>
        <v>6286.8028992665704</v>
      </c>
      <c r="O408" s="3">
        <f>Comparison!AR7</f>
        <v>4985.425095489265</v>
      </c>
      <c r="P408" s="3">
        <f>Comparison!AS7</f>
        <v>3766.6240058114313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6.8669997418416778E-18</v>
      </c>
      <c r="C409" s="3">
        <f t="shared" si="433"/>
        <v>4.0823832294357113E-15</v>
      </c>
      <c r="D409" s="3">
        <f t="shared" si="433"/>
        <v>3.5638636924358003E-12</v>
      </c>
      <c r="E409" s="3">
        <f t="shared" si="433"/>
        <v>1E-10</v>
      </c>
      <c r="F409" s="3">
        <f t="shared" si="433"/>
        <v>6.4702977440958205E-9</v>
      </c>
      <c r="G409" s="3">
        <f t="shared" si="433"/>
        <v>1.2975738604182271E-3</v>
      </c>
      <c r="H409" s="3">
        <f t="shared" si="433"/>
        <v>3619.4368040405952</v>
      </c>
      <c r="I409" s="109">
        <f>Comparison!AL8</f>
        <v>1E-10</v>
      </c>
      <c r="J409" s="3">
        <f>Comparison!AM8</f>
        <v>7093.1361691156708</v>
      </c>
      <c r="K409" s="3">
        <f>Comparison!AN8</f>
        <v>7031.8305090006179</v>
      </c>
      <c r="L409" s="3">
        <f>Comparison!AO8</f>
        <v>6936.0316435873456</v>
      </c>
      <c r="M409" s="3">
        <f>Comparison!AP8</f>
        <v>6579.8912612434069</v>
      </c>
      <c r="N409" s="3">
        <f>Comparison!AQ8</f>
        <v>6151.4165633211096</v>
      </c>
      <c r="O409" s="3">
        <f>Comparison!AR8</f>
        <v>4758.3350912889036</v>
      </c>
      <c r="P409" s="3">
        <f>Comparison!AS8</f>
        <v>3551.9419942460731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6.8669997418416784E-17</v>
      </c>
      <c r="C410" s="3">
        <f t="shared" si="433"/>
        <v>4.0823832294357118E-14</v>
      </c>
      <c r="D410" s="3">
        <f t="shared" si="433"/>
        <v>3.5638636924358004E-11</v>
      </c>
      <c r="E410" s="3">
        <f t="shared" si="433"/>
        <v>1.0000000000000001E-9</v>
      </c>
      <c r="F410" s="3">
        <f t="shared" si="433"/>
        <v>6.4702977440958209E-8</v>
      </c>
      <c r="G410" s="3">
        <f t="shared" si="433"/>
        <v>1.2975738604182271E-2</v>
      </c>
      <c r="H410" s="3">
        <f t="shared" si="433"/>
        <v>36194.368040405956</v>
      </c>
      <c r="I410" s="109">
        <f>Comparison!AL9</f>
        <v>1.0000000000000001E-9</v>
      </c>
      <c r="J410" s="3">
        <f>Comparison!AM9</f>
        <v>7093.1358816152215</v>
      </c>
      <c r="K410" s="3">
        <f>Comparison!AN9</f>
        <v>7030.8436925650376</v>
      </c>
      <c r="L410" s="3">
        <f>Comparison!AO9</f>
        <v>6767.3497232459458</v>
      </c>
      <c r="M410" s="3">
        <f>Comparison!AP9</f>
        <v>6466.0632255652681</v>
      </c>
      <c r="N410" s="3">
        <f>Comparison!AQ9</f>
        <v>5999.0572498672</v>
      </c>
      <c r="O410" s="3">
        <f>Comparison!AR9</f>
        <v>4565.5114420012915</v>
      </c>
      <c r="P410" s="3">
        <f>Comparison!AS9</f>
        <v>3318.4500658255338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6.8669997418416784E-16</v>
      </c>
      <c r="C411" s="3">
        <f t="shared" si="433"/>
        <v>4.0823832294357117E-13</v>
      </c>
      <c r="D411" s="3">
        <f t="shared" si="433"/>
        <v>3.5638636924357999E-10</v>
      </c>
      <c r="E411" s="3">
        <f t="shared" si="433"/>
        <v>1E-8</v>
      </c>
      <c r="F411" s="3">
        <f t="shared" si="433"/>
        <v>6.4702977440958206E-7</v>
      </c>
      <c r="G411" s="3">
        <f t="shared" si="433"/>
        <v>0.12975738604182271</v>
      </c>
      <c r="H411" s="3">
        <f t="shared" si="433"/>
        <v>361943.68040405953</v>
      </c>
      <c r="I411" s="109">
        <f>Comparison!AL10</f>
        <v>1E-8</v>
      </c>
      <c r="J411" s="3">
        <f>Comparison!AM10</f>
        <v>7093.135709114963</v>
      </c>
      <c r="K411" s="3">
        <f>Comparison!AN10</f>
        <v>7021.3347469085647</v>
      </c>
      <c r="L411" s="3">
        <f>Comparison!AO10</f>
        <v>6644.5309370841214</v>
      </c>
      <c r="M411" s="3">
        <f>Comparison!AP10</f>
        <v>6338.9884403076148</v>
      </c>
      <c r="N411" s="3">
        <f>Comparison!AQ10</f>
        <v>5834.1918541119712</v>
      </c>
      <c r="O411" s="3">
        <f>Comparison!AR10</f>
        <v>4384.874474223483</v>
      </c>
      <c r="P411" s="3">
        <f>Comparison!AS10</f>
        <v>3050.6755206683788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6.8669997418416776E-15</v>
      </c>
      <c r="C412" s="3">
        <f t="shared" si="433"/>
        <v>4.0823832294357113E-12</v>
      </c>
      <c r="D412" s="3">
        <f t="shared" si="433"/>
        <v>3.5638636924357998E-9</v>
      </c>
      <c r="E412" s="3">
        <f t="shared" si="433"/>
        <v>9.9999999999999995E-8</v>
      </c>
      <c r="F412" s="3">
        <f t="shared" si="433"/>
        <v>6.4702977440958197E-6</v>
      </c>
      <c r="G412" s="3">
        <f t="shared" si="433"/>
        <v>1.297573860418227</v>
      </c>
      <c r="H412" s="3">
        <f t="shared" si="433"/>
        <v>3619436.804040595</v>
      </c>
      <c r="I412" s="109">
        <f>Comparison!AL11</f>
        <v>9.9999999999999995E-8</v>
      </c>
      <c r="J412" s="3">
        <f>Comparison!AM11</f>
        <v>7093.1355366147118</v>
      </c>
      <c r="K412" s="3">
        <f>Comparison!AN11</f>
        <v>6946.0273669032786</v>
      </c>
      <c r="L412" s="3">
        <f>Comparison!AO11</f>
        <v>6532.7504586905397</v>
      </c>
      <c r="M412" s="3">
        <f>Comparison!AP11</f>
        <v>6203.5301972004399</v>
      </c>
      <c r="N412" s="3">
        <f>Comparison!AQ11</f>
        <v>5660.667941479277</v>
      </c>
      <c r="O412" s="3">
        <f>Comparison!AR11</f>
        <v>4203.1654341512503</v>
      </c>
      <c r="P412" s="3">
        <f>Comparison!AS11</f>
        <v>2745.1346410108995</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6.8669997418416778E-14</v>
      </c>
      <c r="C413" s="3">
        <f t="shared" si="433"/>
        <v>4.0823832294357109E-11</v>
      </c>
      <c r="D413" s="3">
        <f t="shared" si="433"/>
        <v>3.5638636924357998E-8</v>
      </c>
      <c r="E413" s="3">
        <f t="shared" si="433"/>
        <v>9.9999999999999995E-7</v>
      </c>
      <c r="F413" s="3">
        <f t="shared" si="433"/>
        <v>6.4702977440958201E-5</v>
      </c>
      <c r="G413" s="3">
        <f t="shared" si="433"/>
        <v>12.97573860418227</v>
      </c>
      <c r="H413" s="3">
        <f t="shared" si="433"/>
        <v>36194368.040405951</v>
      </c>
      <c r="I413" s="109">
        <f>Comparison!AL12</f>
        <v>9.9999999999999995E-7</v>
      </c>
      <c r="J413" s="3">
        <f>Comparison!AM12</f>
        <v>7093.1340991129555</v>
      </c>
      <c r="K413" s="3">
        <f>Comparison!AN12</f>
        <v>6777.7782322116691</v>
      </c>
      <c r="L413" s="3">
        <f>Comparison!AO12</f>
        <v>6406.2589516029093</v>
      </c>
      <c r="M413" s="3">
        <f>Comparison!AP12</f>
        <v>6050.6164561665273</v>
      </c>
      <c r="N413" s="3">
        <f>Comparison!AQ12</f>
        <v>5500.6338050295499</v>
      </c>
      <c r="O413" s="3">
        <f>Comparison!AR12</f>
        <v>4026.8171479490911</v>
      </c>
      <c r="P413" s="3">
        <f>Comparison!AS12</f>
        <v>2379.9691784471511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6.8669997418416785E-13</v>
      </c>
      <c r="C414" s="3">
        <f t="shared" si="433"/>
        <v>4.0823832294357116E-10</v>
      </c>
      <c r="D414" s="3">
        <f t="shared" si="433"/>
        <v>3.5638636924358003E-7</v>
      </c>
      <c r="E414" s="3">
        <f t="shared" si="433"/>
        <v>1.0000000000000001E-5</v>
      </c>
      <c r="F414" s="3">
        <f t="shared" si="433"/>
        <v>6.4702977440958206E-4</v>
      </c>
      <c r="G414" s="3">
        <f t="shared" si="433"/>
        <v>129.75738604182271</v>
      </c>
      <c r="H414" s="3">
        <f t="shared" si="433"/>
        <v>361943680.40405953</v>
      </c>
      <c r="I414" s="109">
        <f>Comparison!AL13</f>
        <v>1.0000000000000001E-5</v>
      </c>
      <c r="J414" s="3">
        <f>Comparison!AM13</f>
        <v>7093.1198391270691</v>
      </c>
      <c r="K414" s="3">
        <f>Comparison!AN13</f>
        <v>6659.4311503256295</v>
      </c>
      <c r="L414" s="3">
        <f>Comparison!AO13</f>
        <v>6273.617616065887</v>
      </c>
      <c r="M414" s="3">
        <f>Comparison!AP13</f>
        <v>5884.895018012654</v>
      </c>
      <c r="N414" s="3">
        <f>Comparison!AQ13</f>
        <v>5316.0543139142828</v>
      </c>
      <c r="O414" s="3">
        <f>Comparison!AR13</f>
        <v>3842.8247437350828</v>
      </c>
      <c r="P414" s="3">
        <f>Comparison!AS13</f>
        <v>1948.7143373862357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6.8669997418416779E-12</v>
      </c>
      <c r="C415" s="3">
        <f t="shared" si="433"/>
        <v>4.0823832294357113E-9</v>
      </c>
      <c r="D415" s="3">
        <f t="shared" si="433"/>
        <v>3.5638636924358E-6</v>
      </c>
      <c r="E415" s="3">
        <f t="shared" si="433"/>
        <v>1E-4</v>
      </c>
      <c r="F415" s="3">
        <f t="shared" si="433"/>
        <v>6.4702977440958204E-3</v>
      </c>
      <c r="G415" s="3">
        <f t="shared" si="433"/>
        <v>1297.573860418227</v>
      </c>
      <c r="H415" s="3">
        <f t="shared" si="433"/>
        <v>3619436804.0405955</v>
      </c>
      <c r="I415" s="109">
        <f>Comparison!AL14</f>
        <v>1E-4</v>
      </c>
      <c r="J415" s="3">
        <f>Comparison!AM14</f>
        <v>7092.9771274266232</v>
      </c>
      <c r="K415" s="3">
        <f>Comparison!AN14</f>
        <v>6544.645454565718</v>
      </c>
      <c r="L415" s="3">
        <f>Comparison!AO14</f>
        <v>6123.1895749079549</v>
      </c>
      <c r="M415" s="3">
        <f>Comparison!AP14</f>
        <v>5709.3519393565812</v>
      </c>
      <c r="N415" s="3">
        <f>Comparison!AQ14</f>
        <v>5094.9618199282804</v>
      </c>
      <c r="O415" s="3">
        <f>Comparison!AR14</f>
        <v>3637.9090125528774</v>
      </c>
      <c r="P415" s="3">
        <f>Comparison!AS14</f>
        <v>1482.8611668944652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6.8669997418416775E-11</v>
      </c>
      <c r="C416" s="3">
        <f t="shared" si="433"/>
        <v>4.0823832294357113E-8</v>
      </c>
      <c r="D416" s="3">
        <f t="shared" si="433"/>
        <v>3.5638636924358002E-5</v>
      </c>
      <c r="E416" s="3">
        <f t="shared" si="433"/>
        <v>1E-3</v>
      </c>
      <c r="F416" s="3">
        <f t="shared" si="433"/>
        <v>6.4702977440958209E-2</v>
      </c>
      <c r="G416" s="3">
        <f t="shared" si="433"/>
        <v>12975.73860418227</v>
      </c>
      <c r="H416" s="3">
        <f t="shared" si="433"/>
        <v>36194368040.405952</v>
      </c>
      <c r="I416" s="109">
        <f>Comparison!AL15</f>
        <v>1E-3</v>
      </c>
      <c r="J416" s="3">
        <f>Comparison!AM15</f>
        <v>7091.5625107943715</v>
      </c>
      <c r="K416" s="3">
        <f>Comparison!AN15</f>
        <v>6415.8365900058752</v>
      </c>
      <c r="L416" s="3">
        <f>Comparison!AO15</f>
        <v>5959.0875608576071</v>
      </c>
      <c r="M416" s="3">
        <f>Comparison!AP15</f>
        <v>5547.9132434192643</v>
      </c>
      <c r="N416" s="3">
        <f>Comparison!AQ15</f>
        <v>4859.6753740182503</v>
      </c>
      <c r="O416" s="3">
        <f>Comparison!AR15</f>
        <v>3407.0475124340101</v>
      </c>
      <c r="P416" s="3">
        <f>Comparison!AS15</f>
        <v>1064.7698916660522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6.866999741841678E-10</v>
      </c>
      <c r="C417" s="3">
        <f t="shared" si="433"/>
        <v>4.0823832294357115E-7</v>
      </c>
      <c r="D417" s="3">
        <f t="shared" si="433"/>
        <v>3.5638636924358003E-4</v>
      </c>
      <c r="E417" s="3">
        <f t="shared" si="433"/>
        <v>0.01</v>
      </c>
      <c r="F417" s="3">
        <f t="shared" si="433"/>
        <v>0.64702977440958209</v>
      </c>
      <c r="G417" s="3">
        <f t="shared" si="433"/>
        <v>129757.3860418227</v>
      </c>
      <c r="H417" s="3">
        <f t="shared" si="433"/>
        <v>361943680404.05951</v>
      </c>
      <c r="I417" s="109">
        <f>Comparison!AL16</f>
        <v>0.01</v>
      </c>
      <c r="J417" s="3">
        <f>Comparison!AM16</f>
        <v>7078.0585854387473</v>
      </c>
      <c r="K417" s="3">
        <f>Comparison!AN16</f>
        <v>6279.1797519689544</v>
      </c>
      <c r="L417" s="3">
        <f>Comparison!AO16</f>
        <v>5781.2083401997561</v>
      </c>
      <c r="M417" s="3">
        <f>Comparison!AP16</f>
        <v>5364.2356794540465</v>
      </c>
      <c r="N417" s="3">
        <f>Comparison!AQ16</f>
        <v>4653.8175879978271</v>
      </c>
      <c r="O417" s="3">
        <f>Comparison!AR16</f>
        <v>3145.7192687287707</v>
      </c>
      <c r="P417" s="3">
        <f>Comparison!AS16</f>
        <v>756.04671038027936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6.8669997418416784E-9</v>
      </c>
      <c r="C418" s="3">
        <f t="shared" si="433"/>
        <v>4.0823832294357113E-6</v>
      </c>
      <c r="D418" s="3">
        <f t="shared" si="433"/>
        <v>3.5638636924358001E-3</v>
      </c>
      <c r="E418" s="3">
        <f t="shared" si="433"/>
        <v>0.1</v>
      </c>
      <c r="F418" s="3">
        <f t="shared" si="433"/>
        <v>6.4702977440958209</v>
      </c>
      <c r="G418" s="3">
        <f t="shared" si="433"/>
        <v>1297573.860418227</v>
      </c>
      <c r="H418" s="3">
        <f t="shared" si="433"/>
        <v>3619436804040.5952</v>
      </c>
      <c r="I418" s="109">
        <f>Comparison!AL17</f>
        <v>0.1</v>
      </c>
      <c r="J418" s="3">
        <f>Comparison!AM17</f>
        <v>6980.1771345591078</v>
      </c>
      <c r="K418" s="3">
        <f>Comparison!AN17</f>
        <v>6124.6018825038309</v>
      </c>
      <c r="L418" s="3">
        <f>Comparison!AO17</f>
        <v>5618.3452185734377</v>
      </c>
      <c r="M418" s="3">
        <f>Comparison!AP17</f>
        <v>5142.9380897638539</v>
      </c>
      <c r="N418" s="3">
        <f>Comparison!AQ17</f>
        <v>4469.1753341299773</v>
      </c>
      <c r="O418" s="3">
        <f>Comparison!AR17</f>
        <v>2837.9758401657195</v>
      </c>
      <c r="P418" s="3">
        <f>Comparison!AS17</f>
        <v>574.27764486440731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6.8669997418416774E-8</v>
      </c>
      <c r="C419" s="3">
        <f t="shared" si="433"/>
        <v>4.0823832294357117E-5</v>
      </c>
      <c r="D419" s="3">
        <f t="shared" si="433"/>
        <v>3.5638636924358001E-2</v>
      </c>
      <c r="E419" s="3">
        <f t="shared" si="433"/>
        <v>1</v>
      </c>
      <c r="F419" s="3">
        <f t="shared" si="433"/>
        <v>64.702977440958207</v>
      </c>
      <c r="G419" s="3">
        <f t="shared" si="433"/>
        <v>12975738.604182269</v>
      </c>
      <c r="H419" s="3">
        <f t="shared" si="433"/>
        <v>36194368040405.953</v>
      </c>
      <c r="I419" s="109">
        <f>Comparison!AL18</f>
        <v>1</v>
      </c>
      <c r="J419" s="3">
        <f>Comparison!AM18</f>
        <v>6817.7458366168885</v>
      </c>
      <c r="K419" s="3">
        <f>Comparison!AN18</f>
        <v>5956.8287989294422</v>
      </c>
      <c r="L419" s="3">
        <f>Comparison!AO18</f>
        <v>5440.9922001853329</v>
      </c>
      <c r="M419" s="3">
        <f>Comparison!AP18</f>
        <v>4901.2536857987861</v>
      </c>
      <c r="N419" s="3">
        <f>Comparison!AQ18</f>
        <v>4267.9652571239076</v>
      </c>
      <c r="O419" s="3">
        <f>Comparison!AR18</f>
        <v>2426.1662837806571</v>
      </c>
      <c r="P419" s="3">
        <f>Comparison!AS18</f>
        <v>472.36033693576201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6.8669997418416777E-7</v>
      </c>
      <c r="C420" s="3">
        <f t="shared" si="434"/>
        <v>4.0823832294357114E-4</v>
      </c>
      <c r="D420" s="3">
        <f t="shared" si="434"/>
        <v>0.35638636924358003</v>
      </c>
      <c r="E420" s="3">
        <f t="shared" si="434"/>
        <v>10</v>
      </c>
      <c r="F420" s="3">
        <f t="shared" si="434"/>
        <v>647.02977440958205</v>
      </c>
      <c r="G420" s="3">
        <f t="shared" si="434"/>
        <v>129757386.0418227</v>
      </c>
      <c r="H420" s="3">
        <f t="shared" si="434"/>
        <v>361943680404059.5</v>
      </c>
      <c r="I420" s="109">
        <f>Comparison!AL19</f>
        <v>10</v>
      </c>
      <c r="J420" s="3">
        <f>Comparison!AM19</f>
        <v>6700.2000319833087</v>
      </c>
      <c r="K420" s="3">
        <f>Comparison!AN19</f>
        <v>5777.56401011038</v>
      </c>
      <c r="L420" s="3">
        <f>Comparison!AO19</f>
        <v>5221.4874412485688</v>
      </c>
      <c r="M420" s="3">
        <f>Comparison!AP19</f>
        <v>4661.3568218837227</v>
      </c>
      <c r="N420" s="3">
        <f>Comparison!AQ19</f>
        <v>3976.7785402340392</v>
      </c>
      <c r="O420" s="3">
        <f>Comparison!AR19</f>
        <v>1854.808278855141</v>
      </c>
      <c r="P420" s="3">
        <f>Comparison!AS19</f>
        <v>404.76609252146119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6.8669997418416775E-6</v>
      </c>
      <c r="C421" s="3">
        <f t="shared" si="434"/>
        <v>4.0823832294357111E-3</v>
      </c>
      <c r="D421" s="3">
        <f t="shared" si="434"/>
        <v>3.5638636924357998</v>
      </c>
      <c r="E421" s="3">
        <f t="shared" si="434"/>
        <v>100</v>
      </c>
      <c r="F421" s="3">
        <f t="shared" si="434"/>
        <v>6470.2977440958202</v>
      </c>
      <c r="G421" s="3">
        <f t="shared" si="434"/>
        <v>1297573860.418227</v>
      </c>
      <c r="H421" s="3">
        <f t="shared" si="434"/>
        <v>3619436804040595</v>
      </c>
      <c r="I421" s="109">
        <f>Comparison!AL20</f>
        <v>100</v>
      </c>
      <c r="J421" s="3">
        <f>Comparison!AM20</f>
        <v>6581.4875752007347</v>
      </c>
      <c r="K421" s="3">
        <f>Comparison!AN20</f>
        <v>5602.1564627366897</v>
      </c>
      <c r="L421" s="3">
        <f>Comparison!AO20</f>
        <v>4926.1795387850607</v>
      </c>
      <c r="M421" s="3">
        <f>Comparison!AP20</f>
        <v>4298.6774546472579</v>
      </c>
      <c r="N421" s="3">
        <f>Comparison!AQ20</f>
        <v>3445.6591436468279</v>
      </c>
      <c r="O421" s="3">
        <f>Comparison!AR20</f>
        <v>1269.173844412863</v>
      </c>
      <c r="P421" s="3">
        <f>Comparison!AS20</f>
        <v>332.62382454066642</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6.8669997418416783E-5</v>
      </c>
      <c r="C422" s="3">
        <f t="shared" si="434"/>
        <v>4.0823832294357112E-2</v>
      </c>
      <c r="D422" s="3">
        <f t="shared" si="434"/>
        <v>35.638636924358003</v>
      </c>
      <c r="E422" s="3">
        <f t="shared" si="434"/>
        <v>1000</v>
      </c>
      <c r="F422" s="3">
        <f t="shared" si="434"/>
        <v>64702.977440958202</v>
      </c>
      <c r="G422" s="3">
        <f t="shared" si="434"/>
        <v>12975738604.18227</v>
      </c>
      <c r="H422" s="3">
        <f t="shared" si="434"/>
        <v>3.6194368040405952E+16</v>
      </c>
      <c r="I422" s="109">
        <f>Comparison!AL21</f>
        <v>1000</v>
      </c>
      <c r="J422" s="3">
        <f>Comparison!AM21</f>
        <v>6449.3747740231202</v>
      </c>
      <c r="K422" s="3">
        <f>Comparison!AN21</f>
        <v>5348.811853446321</v>
      </c>
      <c r="L422" s="3">
        <f>Comparison!AO21</f>
        <v>4442.9821588725517</v>
      </c>
      <c r="M422" s="3">
        <f>Comparison!AP21</f>
        <v>3673.7236771243274</v>
      </c>
      <c r="N422" s="3">
        <f>Comparison!AQ21</f>
        <v>2839.3657389117534</v>
      </c>
      <c r="O422" s="3">
        <f>Comparison!AR21</f>
        <v>808.20803145416335</v>
      </c>
      <c r="P422" s="3">
        <f>Comparison!AS21</f>
        <v>270.11210763785351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6.8669997418416783E-4</v>
      </c>
      <c r="C423" s="3">
        <f t="shared" si="434"/>
        <v>0.40823832294357115</v>
      </c>
      <c r="D423" s="3">
        <f t="shared" si="434"/>
        <v>356.38636924358002</v>
      </c>
      <c r="E423" s="3">
        <f t="shared" si="434"/>
        <v>10000</v>
      </c>
      <c r="F423" s="3">
        <f t="shared" si="434"/>
        <v>647029.77440958202</v>
      </c>
      <c r="G423" s="3">
        <f t="shared" si="434"/>
        <v>129757386041.82271</v>
      </c>
      <c r="H423" s="3">
        <f t="shared" si="434"/>
        <v>3.6194368040405952E+17</v>
      </c>
      <c r="I423" s="109">
        <f>Comparison!AL22</f>
        <v>10000</v>
      </c>
      <c r="J423" s="3">
        <f>Comparison!AM22</f>
        <v>6289.3605252793404</v>
      </c>
      <c r="K423" s="3">
        <f>Comparison!AN22</f>
        <v>4793.3449045957559</v>
      </c>
      <c r="L423" s="3">
        <f>Comparison!AO22</f>
        <v>3752.7744100380223</v>
      </c>
      <c r="M423" s="3">
        <f>Comparison!AP22</f>
        <v>3055.9581241953465</v>
      </c>
      <c r="N423" s="3">
        <f>Comparison!AQ22</f>
        <v>2338.5721090290958</v>
      </c>
      <c r="O423" s="3">
        <f>Comparison!AR22</f>
        <v>509.02880387480866</v>
      </c>
      <c r="P423" s="3">
        <f>Comparison!AS22</f>
        <v>230.23496622900356</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6.8669997418416779E-3</v>
      </c>
      <c r="C424" s="3">
        <f t="shared" si="434"/>
        <v>4.0823832294357114</v>
      </c>
      <c r="D424" s="3">
        <f t="shared" si="434"/>
        <v>3563.8636924358002</v>
      </c>
      <c r="E424" s="3">
        <f t="shared" si="434"/>
        <v>100000</v>
      </c>
      <c r="F424" s="3">
        <f t="shared" si="434"/>
        <v>6470297.74409582</v>
      </c>
      <c r="G424" s="3">
        <f t="shared" si="434"/>
        <v>1297573860418.2271</v>
      </c>
      <c r="H424" s="3">
        <f t="shared" si="434"/>
        <v>3.6194368040405955E+18</v>
      </c>
      <c r="I424" s="109">
        <f>Comparison!AL23</f>
        <v>100000</v>
      </c>
      <c r="J424" s="3">
        <f>Comparison!AM23</f>
        <v>6015.8011652173718</v>
      </c>
      <c r="K424" s="3">
        <f>Comparison!AN23</f>
        <v>4005.8829435497059</v>
      </c>
      <c r="L424" s="3">
        <f>Comparison!AO23</f>
        <v>3130.6377978974938</v>
      </c>
      <c r="M424" s="3">
        <f>Comparison!AP23</f>
        <v>2586.4007874245467</v>
      </c>
      <c r="N424" s="3">
        <f>Comparison!AQ23</f>
        <v>1960.3272335044344</v>
      </c>
      <c r="O424" s="3">
        <f>Comparison!AR23</f>
        <v>344.05387649356049</v>
      </c>
      <c r="P424" s="3">
        <f>Comparison!AS23</f>
        <v>198.97748766430533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6.8669997418416784E-2</v>
      </c>
      <c r="C425" s="3">
        <f t="shared" si="434"/>
        <v>40.823832294357111</v>
      </c>
      <c r="D425" s="3">
        <f t="shared" si="434"/>
        <v>35638.636924357997</v>
      </c>
      <c r="E425" s="3">
        <f t="shared" si="434"/>
        <v>1000000</v>
      </c>
      <c r="F425" s="3">
        <f t="shared" si="434"/>
        <v>64702977.440958202</v>
      </c>
      <c r="G425" s="3">
        <f t="shared" si="434"/>
        <v>12975738604182.27</v>
      </c>
      <c r="H425" s="3">
        <f t="shared" si="434"/>
        <v>3.619436804040595E+19</v>
      </c>
      <c r="I425" s="109">
        <f>Comparison!AL24</f>
        <v>1000000</v>
      </c>
      <c r="J425" s="3">
        <f>Comparison!AM24</f>
        <v>5393.4478275395559</v>
      </c>
      <c r="K425" s="3">
        <f>Comparison!AN24</f>
        <v>3346.4776601581179</v>
      </c>
      <c r="L425" s="3">
        <f>Comparison!AO24</f>
        <v>2685.7977977575347</v>
      </c>
      <c r="M425" s="3">
        <f>Comparison!AP24</f>
        <v>2247.3343211844494</v>
      </c>
      <c r="N425" s="3">
        <f>Comparison!AQ24</f>
        <v>1656.3185875611684</v>
      </c>
      <c r="O425" s="3">
        <f>Comparison!AR24</f>
        <v>262.73242624087396</v>
      </c>
      <c r="P425" s="3">
        <f>Comparison!AS24</f>
        <v>182.67861803771595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0.68669997418416773</v>
      </c>
      <c r="C426" s="3">
        <f t="shared" si="434"/>
        <v>408.23832294357112</v>
      </c>
      <c r="D426" s="3">
        <f t="shared" si="434"/>
        <v>356386.36924357997</v>
      </c>
      <c r="E426" s="3">
        <f t="shared" si="434"/>
        <v>10000000</v>
      </c>
      <c r="F426" s="3">
        <f t="shared" si="434"/>
        <v>647029774.40958202</v>
      </c>
      <c r="G426" s="3">
        <f t="shared" si="434"/>
        <v>129757386041822.7</v>
      </c>
      <c r="H426" s="3">
        <f t="shared" si="434"/>
        <v>3.6194368040405952E+20</v>
      </c>
      <c r="I426" s="109">
        <f>Comparison!AL25</f>
        <v>10000000</v>
      </c>
      <c r="J426" s="3">
        <f>Comparison!AM25</f>
        <v>4577.424969740212</v>
      </c>
      <c r="K426" s="3">
        <f>Comparison!AN25</f>
        <v>2892.1899665732253</v>
      </c>
      <c r="L426" s="3">
        <f>Comparison!AO25</f>
        <v>2368.346654493816</v>
      </c>
      <c r="M426" s="3">
        <f>Comparison!AP25</f>
        <v>1979.307169199863</v>
      </c>
      <c r="N426" s="3">
        <f>Comparison!AQ25</f>
        <v>1387.2108481854204</v>
      </c>
      <c r="O426" s="3">
        <f>Comparison!AR25</f>
        <v>222.939887660718</v>
      </c>
      <c r="P426" s="3">
        <f>Comparison!AS25</f>
        <v>174.62746722417066</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6.8669997418416777</v>
      </c>
      <c r="C427" s="3">
        <f t="shared" si="434"/>
        <v>4082.3832294357112</v>
      </c>
      <c r="D427" s="3">
        <f t="shared" si="434"/>
        <v>3563863.6924358001</v>
      </c>
      <c r="E427" s="3">
        <f t="shared" si="434"/>
        <v>100000000</v>
      </c>
      <c r="F427" s="3">
        <f t="shared" si="434"/>
        <v>6470297744.0958204</v>
      </c>
      <c r="G427" s="3">
        <f t="shared" si="434"/>
        <v>1297573860418227</v>
      </c>
      <c r="H427" s="3">
        <f t="shared" si="434"/>
        <v>3.6194368040405953E+21</v>
      </c>
      <c r="I427" s="109">
        <f>Comparison!AL26</f>
        <v>100000000</v>
      </c>
      <c r="J427" s="3">
        <f>Comparison!AM26</f>
        <v>3914.6236771373719</v>
      </c>
      <c r="K427" s="3">
        <f>Comparison!AN26</f>
        <v>2569.6224142495339</v>
      </c>
      <c r="L427" s="3">
        <f>Comparison!AO26</f>
        <v>2132.4244867059297</v>
      </c>
      <c r="M427" s="3">
        <f>Comparison!AP26</f>
        <v>1753.9456058771568</v>
      </c>
      <c r="N427" s="3">
        <f>Comparison!AQ26</f>
        <v>1120.1049206759617</v>
      </c>
      <c r="O427" s="3">
        <f>Comparison!AR26</f>
        <v>201.32214117210117</v>
      </c>
      <c r="P427" s="3">
        <f>Comparison!AS26</f>
        <v>169.86894542912563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68.669997418416784</v>
      </c>
      <c r="C428" s="3">
        <f t="shared" si="434"/>
        <v>40823.832294357111</v>
      </c>
      <c r="D428" s="3">
        <f t="shared" si="434"/>
        <v>35638636.924358003</v>
      </c>
      <c r="E428" s="3">
        <f t="shared" si="434"/>
        <v>1000000000</v>
      </c>
      <c r="F428" s="3">
        <f t="shared" si="434"/>
        <v>64702977440.958206</v>
      </c>
      <c r="G428" s="3">
        <f t="shared" si="434"/>
        <v>1.297573860418227E+16</v>
      </c>
      <c r="H428" s="3">
        <f t="shared" si="434"/>
        <v>3.6194368040405951E+22</v>
      </c>
      <c r="I428" s="109">
        <f>Comparison!AL27</f>
        <v>1000000000</v>
      </c>
      <c r="J428" s="3">
        <f>Comparison!AM27</f>
        <v>3439.215903424868</v>
      </c>
      <c r="K428" s="3">
        <f>Comparison!AN27</f>
        <v>2337.0503651981739</v>
      </c>
      <c r="L428" s="3">
        <f>Comparison!AO27</f>
        <v>1927.1689592855932</v>
      </c>
      <c r="M428" s="3">
        <f>Comparison!AP27</f>
        <v>1541.283272452644</v>
      </c>
      <c r="N428" s="3">
        <f>Comparison!AQ27</f>
        <v>849.29779427462438</v>
      </c>
      <c r="O428" s="3">
        <f>Comparison!AR27</f>
        <v>188.02569432355588</v>
      </c>
      <c r="P428" s="3">
        <f>Comparison!AS27</f>
        <v>166.84170745231376</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686.69997418416779</v>
      </c>
      <c r="C429" s="3">
        <f t="shared" si="434"/>
        <v>408238.32294357114</v>
      </c>
      <c r="D429" s="3">
        <f t="shared" si="434"/>
        <v>356386369.24357998</v>
      </c>
      <c r="E429" s="3">
        <f t="shared" si="434"/>
        <v>10000000000</v>
      </c>
      <c r="F429" s="3">
        <f t="shared" si="434"/>
        <v>647029774409.58203</v>
      </c>
      <c r="G429" s="3">
        <f t="shared" si="434"/>
        <v>1.297573860418227E+17</v>
      </c>
      <c r="H429" s="3">
        <f t="shared" si="434"/>
        <v>3.6194368040405951E+23</v>
      </c>
      <c r="I429" s="109">
        <f>Comparison!AL28</f>
        <v>10000000000</v>
      </c>
      <c r="J429" s="3">
        <f>Comparison!AM28</f>
        <v>3078.9760704970804</v>
      </c>
      <c r="K429" s="3">
        <f>Comparison!AN28</f>
        <v>2151.250620328482</v>
      </c>
      <c r="L429" s="3">
        <f>Comparison!AO28</f>
        <v>1740.579877269425</v>
      </c>
      <c r="M429" s="3">
        <f>Comparison!AP28</f>
        <v>1325.7320252858156</v>
      </c>
      <c r="N429" s="3">
        <f>Comparison!AQ28</f>
        <v>602.02056954985051</v>
      </c>
      <c r="O429" s="3">
        <f>Comparison!AR28</f>
        <v>181.14617749166206</v>
      </c>
      <c r="P429" s="3">
        <f>Comparison!AS28</f>
        <v>166.12540478353452</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6866.9997418416779</v>
      </c>
      <c r="C430" s="3">
        <f t="shared" si="434"/>
        <v>4082383.2294357112</v>
      </c>
      <c r="D430" s="3">
        <f t="shared" si="434"/>
        <v>3563863692.4358001</v>
      </c>
      <c r="E430" s="3">
        <f t="shared" si="434"/>
        <v>100000000000</v>
      </c>
      <c r="F430" s="3">
        <f t="shared" si="434"/>
        <v>6470297744095.8203</v>
      </c>
      <c r="G430" s="3">
        <f t="shared" si="434"/>
        <v>1.2975738604182269E+18</v>
      </c>
      <c r="H430" s="3">
        <f t="shared" si="434"/>
        <v>3.6194368040405954E+24</v>
      </c>
      <c r="I430" s="109">
        <f>Comparison!AL29</f>
        <v>100000000000</v>
      </c>
      <c r="J430" s="3">
        <f>Comparison!AM29</f>
        <v>2798.5736498484516</v>
      </c>
      <c r="K430" s="3">
        <f>Comparison!AN29</f>
        <v>1990.2744047049448</v>
      </c>
      <c r="L430" s="3">
        <f>Comparison!AO29</f>
        <v>1552.3921804639763</v>
      </c>
      <c r="M430" s="3">
        <f>Comparison!AP29</f>
        <v>1090.3481138846798</v>
      </c>
      <c r="N430" s="3">
        <f>Comparison!AQ29</f>
        <v>414.55153000594095</v>
      </c>
      <c r="O430" s="3">
        <f>Comparison!AR29</f>
        <v>171.73287142228415</v>
      </c>
      <c r="P430" s="3">
        <f>Comparison!AS29</f>
        <v>165.25800429032441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68669.99741841678</v>
      </c>
      <c r="C431" s="3">
        <f t="shared" si="434"/>
        <v>40823832.294357114</v>
      </c>
      <c r="D431" s="3">
        <f t="shared" si="434"/>
        <v>35638636924.358002</v>
      </c>
      <c r="E431" s="3">
        <f t="shared" si="434"/>
        <v>1000000000000</v>
      </c>
      <c r="F431" s="3">
        <f t="shared" si="434"/>
        <v>64702977440958.203</v>
      </c>
      <c r="G431" s="3">
        <f t="shared" si="434"/>
        <v>1.297573860418227E+19</v>
      </c>
      <c r="H431" s="3">
        <f t="shared" si="434"/>
        <v>3.6194368040405953E+25</v>
      </c>
      <c r="I431" s="109">
        <f>Comparison!AL30</f>
        <v>1000000000000</v>
      </c>
      <c r="J431" s="3">
        <f>Comparison!AM30</f>
        <v>2590.4913778751102</v>
      </c>
      <c r="K431" s="3">
        <f>Comparison!AN30</f>
        <v>1828.3308494849296</v>
      </c>
      <c r="L431" s="3">
        <f>Comparison!AO30</f>
        <v>1355.3669215252155</v>
      </c>
      <c r="M431" s="3">
        <f>Comparison!AP30</f>
        <v>838.64271647474698</v>
      </c>
      <c r="N431" s="3">
        <f>Comparison!AQ30</f>
        <v>296.76424848335745</v>
      </c>
      <c r="O431" s="3">
        <f>Comparison!AR30</f>
        <v>164.88164851800227</v>
      </c>
      <c r="P431" s="3">
        <f>Comparison!AS30</f>
        <v>162.97529182821398</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686699.9741841678</v>
      </c>
      <c r="C432" s="3">
        <f t="shared" si="434"/>
        <v>408238322.94357115</v>
      </c>
      <c r="D432" s="3">
        <f t="shared" si="434"/>
        <v>356386369243.58002</v>
      </c>
      <c r="E432" s="3">
        <f t="shared" si="434"/>
        <v>10000000000000</v>
      </c>
      <c r="F432" s="3">
        <f t="shared" si="434"/>
        <v>647029774409582</v>
      </c>
      <c r="G432" s="3">
        <f t="shared" si="434"/>
        <v>1.2975738604182271E+20</v>
      </c>
      <c r="H432" s="3">
        <f t="shared" si="434"/>
        <v>3.6194368040405955E+26</v>
      </c>
      <c r="I432" s="109">
        <f>Comparison!AL31</f>
        <v>10000000000000</v>
      </c>
      <c r="J432" s="3">
        <f>Comparison!AM31</f>
        <v>2428.2171958860131</v>
      </c>
      <c r="K432" s="3">
        <f>Comparison!AN31</f>
        <v>1665.1765081389453</v>
      </c>
      <c r="L432" s="3">
        <f>Comparison!AO31</f>
        <v>1134.9160288600715</v>
      </c>
      <c r="M432" s="3">
        <f>Comparison!AP31</f>
        <v>600.54666630574377</v>
      </c>
      <c r="N432" s="3">
        <f>Comparison!AQ31</f>
        <v>236.5039430342818</v>
      </c>
      <c r="O432" s="3">
        <f>Comparison!AR31</f>
        <v>164.50146393142782</v>
      </c>
      <c r="P432" s="3">
        <f>Comparison!AS31</f>
        <v>162.91152498499585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6866999.7418416776</v>
      </c>
      <c r="C433" s="3">
        <f t="shared" si="434"/>
        <v>4082383229.4357114</v>
      </c>
      <c r="D433" s="3">
        <f t="shared" si="434"/>
        <v>3563863692435.7998</v>
      </c>
      <c r="E433" s="3">
        <f t="shared" si="434"/>
        <v>100000000000000</v>
      </c>
      <c r="F433" s="3">
        <f t="shared" si="434"/>
        <v>6470297744095820</v>
      </c>
      <c r="G433" s="3">
        <f t="shared" si="434"/>
        <v>1.297573860418227E+21</v>
      </c>
      <c r="H433" s="3">
        <f t="shared" si="434"/>
        <v>3.6194368040405951E+27</v>
      </c>
      <c r="I433" s="109">
        <f>Comparison!AL32</f>
        <v>100000000000000</v>
      </c>
      <c r="J433" s="3">
        <f>Comparison!AM32</f>
        <v>2284.9023004500814</v>
      </c>
      <c r="K433" s="3">
        <f>Comparison!AN32</f>
        <v>1489.3314845424752</v>
      </c>
      <c r="L433" s="3">
        <f>Comparison!AO32</f>
        <v>892.49692017162795</v>
      </c>
      <c r="M433" s="3">
        <f>Comparison!AP32</f>
        <v>415.97655166325364</v>
      </c>
      <c r="N433" s="3">
        <f>Comparison!AQ32</f>
        <v>206.64782998877558</v>
      </c>
      <c r="O433" s="3">
        <f>Comparison!AR32</f>
        <v>163.00727748318997</v>
      </c>
      <c r="P433" s="3">
        <f>Comparison!AS32</f>
        <v>161.92883558935978</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68669997.418416783</v>
      </c>
      <c r="C434" s="3">
        <f t="shared" si="434"/>
        <v>40823832294.357117</v>
      </c>
      <c r="D434" s="3">
        <f t="shared" si="434"/>
        <v>35638636924358</v>
      </c>
      <c r="E434" s="3">
        <f t="shared" si="434"/>
        <v>1000000000000000</v>
      </c>
      <c r="F434" s="3">
        <f t="shared" si="434"/>
        <v>6.47029774409582E+16</v>
      </c>
      <c r="G434" s="3">
        <f t="shared" si="434"/>
        <v>1.2975738604182271E+22</v>
      </c>
      <c r="H434" s="3">
        <f t="shared" si="434"/>
        <v>3.6194368040405952E+28</v>
      </c>
      <c r="I434" s="109">
        <f>Comparison!AL33</f>
        <v>1000000000000000</v>
      </c>
      <c r="J434" s="3">
        <f>Comparison!AM33</f>
        <v>2162.351794570352</v>
      </c>
      <c r="K434" s="3">
        <f>Comparison!AN33</f>
        <v>1297.0734642842888</v>
      </c>
      <c r="L434" s="3">
        <f>Comparison!AO33</f>
        <v>651.2901745739025</v>
      </c>
      <c r="M434" s="3">
        <f>Comparison!AP33</f>
        <v>297.69240550814368</v>
      </c>
      <c r="N434" s="3">
        <f>Comparison!AQ33</f>
        <v>191.80670583863778</v>
      </c>
      <c r="O434" s="3">
        <f>Comparison!AR33</f>
        <v>162.92272722143832</v>
      </c>
      <c r="P434" s="3">
        <f>Comparison!AS33</f>
        <v>161.56401350859798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-16.493953451907874</v>
      </c>
      <c r="M1" s="54">
        <v>1</v>
      </c>
      <c r="N1" s="56">
        <f>INDEX($H$217:$P$217,1,Q1)</f>
        <v>0.10573717296705362</v>
      </c>
      <c r="O1" s="11"/>
      <c r="P1" s="55">
        <v>1</v>
      </c>
      <c r="Q1" s="11">
        <v>2</v>
      </c>
    </row>
    <row r="2" spans="1:17" x14ac:dyDescent="0.25">
      <c r="A2" s="11">
        <f>'Mastercurve bestimmen'!M119</f>
        <v>0</v>
      </c>
      <c r="B2" s="11">
        <f>'Mastercurve bestimmen'!N119</f>
        <v>-10.106244522226985</v>
      </c>
      <c r="M2" s="54">
        <v>2</v>
      </c>
      <c r="N2" s="56">
        <f t="shared" ref="N2:N9" si="0">INDEX($H$217:$P$217,1,Q2)</f>
        <v>-2.6958702464370424E-4</v>
      </c>
      <c r="O2" s="11"/>
      <c r="P2" s="55">
        <v>2</v>
      </c>
      <c r="Q2" s="11">
        <f>Q1+1</f>
        <v>3</v>
      </c>
    </row>
    <row r="3" spans="1:17" x14ac:dyDescent="0.25">
      <c r="A3" s="11">
        <f>'Mastercurve bestimmen'!M120</f>
        <v>25</v>
      </c>
      <c r="B3" s="11">
        <f>'Mastercurve bestimmen'!N120</f>
        <v>-3.3343249227798801</v>
      </c>
      <c r="M3" s="54">
        <v>3</v>
      </c>
      <c r="N3" s="56">
        <f t="shared" si="0"/>
        <v>5.1094880427653718E-5</v>
      </c>
      <c r="O3" s="11"/>
      <c r="P3" s="55">
        <v>3</v>
      </c>
      <c r="Q3" s="11">
        <f t="shared" ref="Q3:Q8" si="1">Q2+1</f>
        <v>4</v>
      </c>
    </row>
    <row r="4" spans="1:17" x14ac:dyDescent="0.25">
      <c r="A4" s="11">
        <f>'Mastercurve bestimmen'!M121</f>
        <v>50</v>
      </c>
      <c r="B4" s="11">
        <f>'Mastercurve bestimmen'!N121</f>
        <v>0</v>
      </c>
      <c r="M4" s="54">
        <v>4</v>
      </c>
      <c r="N4" s="56">
        <f t="shared" si="0"/>
        <v>-1.3714229647823055E-7</v>
      </c>
      <c r="O4" s="11"/>
      <c r="P4" s="55">
        <v>4</v>
      </c>
      <c r="Q4" s="11">
        <f t="shared" si="1"/>
        <v>5</v>
      </c>
    </row>
    <row r="5" spans="1:17" x14ac:dyDescent="0.25">
      <c r="A5" s="11">
        <f>'Mastercurve bestimmen'!M122</f>
        <v>80</v>
      </c>
      <c r="B5" s="11">
        <f>'Mastercurve bestimmen'!N122</f>
        <v>4.1698072196281935</v>
      </c>
      <c r="M5" s="54">
        <v>5</v>
      </c>
      <c r="N5" s="56">
        <f t="shared" si="0"/>
        <v>-8.312912249782793E-9</v>
      </c>
      <c r="O5" s="11"/>
      <c r="P5" s="55">
        <v>5</v>
      </c>
      <c r="Q5" s="11">
        <f t="shared" si="1"/>
        <v>6</v>
      </c>
    </row>
    <row r="6" spans="1:17" x14ac:dyDescent="0.25">
      <c r="A6" s="11">
        <f>'Mastercurve bestimmen'!M123</f>
        <v>125</v>
      </c>
      <c r="B6" s="11">
        <f>'Mastercurve bestimmen'!N123</f>
        <v>16.378591910573874</v>
      </c>
      <c r="M6" s="54">
        <v>6</v>
      </c>
      <c r="N6" s="56">
        <f t="shared" si="0"/>
        <v>5.7082649412117714E-11</v>
      </c>
      <c r="O6" s="11"/>
      <c r="P6" s="55">
        <v>6</v>
      </c>
      <c r="Q6" s="11">
        <f t="shared" si="1"/>
        <v>7</v>
      </c>
    </row>
    <row r="7" spans="1:17" x14ac:dyDescent="0.25">
      <c r="A7" s="11">
        <f>'Mastercurve bestimmen'!M124</f>
        <v>160</v>
      </c>
      <c r="B7" s="11">
        <f>'Mastercurve bestimmen'!N124</f>
        <v>31.219924643662296</v>
      </c>
      <c r="M7" s="54">
        <v>7</v>
      </c>
      <c r="N7" s="56">
        <f t="shared" si="0"/>
        <v>4.5620893106544161E-13</v>
      </c>
      <c r="O7" s="11"/>
      <c r="P7" s="55">
        <v>7</v>
      </c>
      <c r="Q7" s="11">
        <f t="shared" si="1"/>
        <v>8</v>
      </c>
    </row>
    <row r="8" spans="1:17" x14ac:dyDescent="0.25">
      <c r="A8" s="11"/>
      <c r="B8" s="11"/>
      <c r="M8" s="54">
        <v>8</v>
      </c>
      <c r="N8" s="56">
        <f t="shared" si="0"/>
        <v>-3.8000663506886418E-15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-16.493953451907874</v>
      </c>
      <c r="E15" s="11">
        <f>A15-'Mastercurve bestimmen'!$B$2</f>
        <v>-90</v>
      </c>
      <c r="F15" s="11">
        <f>B15</f>
        <v>-16.493953451907874</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-16.427223816565071</v>
      </c>
      <c r="E16" s="11">
        <f>A16-'Mastercurve bestimmen'!$B$2</f>
        <v>-89</v>
      </c>
      <c r="F16" s="11">
        <f t="shared" ref="F16:F79" si="4">B16</f>
        <v>-16.427223816565071</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-16.360145351624148</v>
      </c>
      <c r="E17" s="11">
        <f>A17-'Mastercurve bestimmen'!$B$2</f>
        <v>-88</v>
      </c>
      <c r="F17" s="11">
        <f t="shared" si="4"/>
        <v>-16.360145351624148</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-16.292369227486983</v>
      </c>
      <c r="E18" s="11">
        <f>A18-'Mastercurve bestimmen'!$B$2</f>
        <v>-87</v>
      </c>
      <c r="F18" s="11">
        <f t="shared" si="4"/>
        <v>-16.292369227486983</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-16.223546614555456</v>
      </c>
      <c r="E19" s="11">
        <f>A19-'Mastercurve bestimmen'!$B$2</f>
        <v>-86</v>
      </c>
      <c r="F19" s="11">
        <f t="shared" si="4"/>
        <v>-16.223546614555456</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-16.153328683231443</v>
      </c>
      <c r="E20" s="11">
        <f>A20-'Mastercurve bestimmen'!$B$2</f>
        <v>-85</v>
      </c>
      <c r="F20" s="11">
        <f t="shared" si="4"/>
        <v>-16.153328683231443</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-16.081366603916827</v>
      </c>
      <c r="E21" s="11">
        <f>A21-'Mastercurve bestimmen'!$B$2</f>
        <v>-84</v>
      </c>
      <c r="F21" s="11">
        <f t="shared" si="4"/>
        <v>-16.081366603916827</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-16.007311547013487</v>
      </c>
      <c r="E22" s="11">
        <f>A22-'Mastercurve bestimmen'!$B$2</f>
        <v>-83</v>
      </c>
      <c r="F22" s="11">
        <f t="shared" si="4"/>
        <v>-16.007311547013487</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-15.930814682923296</v>
      </c>
      <c r="E23" s="11">
        <f>A23-'Mastercurve bestimmen'!$B$2</f>
        <v>-82</v>
      </c>
      <c r="F23" s="11">
        <f t="shared" si="4"/>
        <v>-15.930814682923296</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-15.851527182048143</v>
      </c>
      <c r="E24" s="11">
        <f>A24-'Mastercurve bestimmen'!$B$2</f>
        <v>-81</v>
      </c>
      <c r="F24" s="11">
        <f t="shared" si="4"/>
        <v>-15.851527182048143</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-15.7691002147899</v>
      </c>
      <c r="E25" s="11">
        <f>A25-'Mastercurve bestimmen'!$B$2</f>
        <v>-80</v>
      </c>
      <c r="F25" s="11">
        <f t="shared" si="4"/>
        <v>-15.7691002147899</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-15.683184951550448</v>
      </c>
      <c r="E26" s="11">
        <f>A26-'Mastercurve bestimmen'!$B$2</f>
        <v>-79</v>
      </c>
      <c r="F26" s="11">
        <f t="shared" si="4"/>
        <v>-15.683184951550448</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-15.593432562731664</v>
      </c>
      <c r="E27" s="11">
        <f>A27-'Mastercurve bestimmen'!$B$2</f>
        <v>-78</v>
      </c>
      <c r="F27" s="11">
        <f t="shared" si="4"/>
        <v>-15.593432562731664</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-15.499494218735432</v>
      </c>
      <c r="E28" s="11">
        <f>A28-'Mastercurve bestimmen'!$B$2</f>
        <v>-77</v>
      </c>
      <c r="F28" s="11">
        <f t="shared" si="4"/>
        <v>-15.499494218735432</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-15.401021089963628</v>
      </c>
      <c r="E29" s="11">
        <f>A29-'Mastercurve bestimmen'!$B$2</f>
        <v>-76</v>
      </c>
      <c r="F29" s="11">
        <f t="shared" si="4"/>
        <v>-15.401021089963628</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-15.297664346818129</v>
      </c>
      <c r="E30" s="11">
        <f>A30-'Mastercurve bestimmen'!$B$2</f>
        <v>-75</v>
      </c>
      <c r="F30" s="11">
        <f t="shared" si="4"/>
        <v>-15.297664346818129</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-15.18907515970082</v>
      </c>
      <c r="E31" s="11">
        <f>A31-'Mastercurve bestimmen'!$B$2</f>
        <v>-74</v>
      </c>
      <c r="F31" s="11">
        <f t="shared" si="4"/>
        <v>-15.18907515970082</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-15.074904699013574</v>
      </c>
      <c r="E32" s="11">
        <f>A32-'Mastercurve bestimmen'!$B$2</f>
        <v>-73</v>
      </c>
      <c r="F32" s="11">
        <f t="shared" si="4"/>
        <v>-15.074904699013574</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-14.954804135158273</v>
      </c>
      <c r="E33" s="11">
        <f>A33-'Mastercurve bestimmen'!$B$2</f>
        <v>-72</v>
      </c>
      <c r="F33" s="11">
        <f t="shared" si="4"/>
        <v>-14.954804135158273</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-14.828424638536799</v>
      </c>
      <c r="E34" s="11">
        <f>A34-'Mastercurve bestimmen'!$B$2</f>
        <v>-71</v>
      </c>
      <c r="F34" s="11">
        <f t="shared" si="4"/>
        <v>-14.828424638536799</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-14.695417379551024</v>
      </c>
      <c r="E35" s="11">
        <f>A35-'Mastercurve bestimmen'!$B$2</f>
        <v>-70</v>
      </c>
      <c r="F35" s="11">
        <f t="shared" si="4"/>
        <v>-14.695417379551024</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-14.555433528602833</v>
      </c>
      <c r="E36" s="11">
        <f>A36-'Mastercurve bestimmen'!$B$2</f>
        <v>-69</v>
      </c>
      <c r="F36" s="11">
        <f t="shared" si="4"/>
        <v>-14.555433528602833</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-14.408124256094103</v>
      </c>
      <c r="E37" s="11">
        <f>A37-'Mastercurve bestimmen'!$B$2</f>
        <v>-68</v>
      </c>
      <c r="F37" s="11">
        <f t="shared" si="4"/>
        <v>-14.408124256094103</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-14.253140732426711</v>
      </c>
      <c r="E38" s="11">
        <f>A38-'Mastercurve bestimmen'!$B$2</f>
        <v>-67</v>
      </c>
      <c r="F38" s="11">
        <f t="shared" si="4"/>
        <v>-14.253140732426711</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-14.090134128002543</v>
      </c>
      <c r="E39" s="11">
        <f>A39-'Mastercurve bestimmen'!$B$2</f>
        <v>-66</v>
      </c>
      <c r="F39" s="11">
        <f t="shared" si="4"/>
        <v>-14.090134128002543</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-13.918755613223469</v>
      </c>
      <c r="E40" s="11">
        <f>A40-'Mastercurve bestimmen'!$B$2</f>
        <v>-65</v>
      </c>
      <c r="F40" s="11">
        <f t="shared" si="4"/>
        <v>-13.918755613223469</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-13.738656358491376</v>
      </c>
      <c r="E41" s="11">
        <f>A41-'Mastercurve bestimmen'!$B$2</f>
        <v>-64</v>
      </c>
      <c r="F41" s="11">
        <f t="shared" si="4"/>
        <v>-13.738656358491376</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-13.549487534208136</v>
      </c>
      <c r="E42" s="11">
        <f>A42-'Mastercurve bestimmen'!$B$2</f>
        <v>-63</v>
      </c>
      <c r="F42" s="11">
        <f t="shared" si="4"/>
        <v>-13.549487534208136</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-13.350900310775634</v>
      </c>
      <c r="E43" s="11">
        <f>A43-'Mastercurve bestimmen'!$B$2</f>
        <v>-62</v>
      </c>
      <c r="F43" s="11">
        <f t="shared" si="4"/>
        <v>-13.350900310775634</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-13.142545858595746</v>
      </c>
      <c r="E44" s="11">
        <f>A44-'Mastercurve bestimmen'!$B$2</f>
        <v>-61</v>
      </c>
      <c r="F44" s="11">
        <f t="shared" si="4"/>
        <v>-13.142545858595746</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-12.924075348070353</v>
      </c>
      <c r="E45" s="11">
        <f>A45-'Mastercurve bestimmen'!$B$2</f>
        <v>-60</v>
      </c>
      <c r="F45" s="11">
        <f t="shared" si="4"/>
        <v>-12.924075348070353</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-12.695139949601334</v>
      </c>
      <c r="E46" s="11">
        <f>A46-'Mastercurve bestimmen'!$B$2</f>
        <v>-59</v>
      </c>
      <c r="F46" s="11">
        <f t="shared" si="4"/>
        <v>-12.695139949601334</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-12.455390833590563</v>
      </c>
      <c r="E47" s="11">
        <f>A47-'Mastercurve bestimmen'!$B$2</f>
        <v>-58</v>
      </c>
      <c r="F47" s="11">
        <f t="shared" si="4"/>
        <v>-12.455390833590563</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-12.204479170439926</v>
      </c>
      <c r="E48" s="11">
        <f>A48-'Mastercurve bestimmen'!$B$2</f>
        <v>-57</v>
      </c>
      <c r="F48" s="11">
        <f t="shared" si="4"/>
        <v>-12.204479170439926</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-11.9420561305513</v>
      </c>
      <c r="E49" s="11">
        <f>A49-'Mastercurve bestimmen'!$B$2</f>
        <v>-56</v>
      </c>
      <c r="F49" s="11">
        <f t="shared" si="4"/>
        <v>-11.9420561305513</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-11.667772884326562</v>
      </c>
      <c r="E50" s="11">
        <f>A50-'Mastercurve bestimmen'!$B$2</f>
        <v>-55</v>
      </c>
      <c r="F50" s="11">
        <f t="shared" si="4"/>
        <v>-11.667772884326562</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-11.381280602167594</v>
      </c>
      <c r="E51" s="11">
        <f>A51-'Mastercurve bestimmen'!$B$2</f>
        <v>-54</v>
      </c>
      <c r="F51" s="11">
        <f t="shared" si="4"/>
        <v>-11.381280602167594</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-11.082230454476273</v>
      </c>
      <c r="E52" s="11">
        <f>A52-'Mastercurve bestimmen'!$B$2</f>
        <v>-53</v>
      </c>
      <c r="F52" s="11">
        <f t="shared" si="4"/>
        <v>-11.082230454476273</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-10.770273611654478</v>
      </c>
      <c r="E53" s="11">
        <f>A53-'Mastercurve bestimmen'!$B$2</f>
        <v>-52</v>
      </c>
      <c r="F53" s="11">
        <f t="shared" si="4"/>
        <v>-10.770273611654478</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-10.445061244104089</v>
      </c>
      <c r="E54" s="11">
        <f>A54-'Mastercurve bestimmen'!$B$2</f>
        <v>-51</v>
      </c>
      <c r="F54" s="11">
        <f t="shared" si="4"/>
        <v>-10.445061244104089</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-10.106244522226985</v>
      </c>
      <c r="E55" s="11">
        <f>A55-'Mastercurve bestimmen'!$B$2</f>
        <v>-50</v>
      </c>
      <c r="F55" s="11">
        <f t="shared" si="4"/>
        <v>-10.106244522226985</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-9.8936806381198732</v>
      </c>
      <c r="E56" s="11">
        <f>A56-'Mastercurve bestimmen'!$B$2</f>
        <v>-49</v>
      </c>
      <c r="F56" s="11">
        <f t="shared" si="4"/>
        <v>-9.8936806381198732</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-9.6682128518881871</v>
      </c>
      <c r="E57" s="11">
        <f>A57-'Mastercurve bestimmen'!$B$2</f>
        <v>-48</v>
      </c>
      <c r="F57" s="11">
        <f t="shared" si="4"/>
        <v>-9.6682128518881871</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-9.4308904453321869</v>
      </c>
      <c r="E58" s="11">
        <f>A58-'Mastercurve bestimmen'!$B$2</f>
        <v>-47</v>
      </c>
      <c r="F58" s="11">
        <f t="shared" si="4"/>
        <v>-9.4308904453321869</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-9.1827627002521393</v>
      </c>
      <c r="E59" s="11">
        <f>A59-'Mastercurve bestimmen'!$B$2</f>
        <v>-46</v>
      </c>
      <c r="F59" s="11">
        <f t="shared" si="4"/>
        <v>-9.1827627002521393</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-8.9248788984483021</v>
      </c>
      <c r="E60" s="11">
        <f>A60-'Mastercurve bestimmen'!$B$2</f>
        <v>-45</v>
      </c>
      <c r="F60" s="11">
        <f t="shared" si="4"/>
        <v>-8.9248788984483021</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-8.6582883217209421</v>
      </c>
      <c r="E61" s="11">
        <f>A61-'Mastercurve bestimmen'!$B$2</f>
        <v>-44</v>
      </c>
      <c r="F61" s="11">
        <f t="shared" si="4"/>
        <v>-8.6582883217209421</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-8.3840402518703172</v>
      </c>
      <c r="E62" s="11">
        <f>A62-'Mastercurve bestimmen'!$B$2</f>
        <v>-43</v>
      </c>
      <c r="F62" s="11">
        <f t="shared" si="4"/>
        <v>-8.3840402518703172</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-8.1031839706966906</v>
      </c>
      <c r="E63" s="11">
        <f>A63-'Mastercurve bestimmen'!$B$2</f>
        <v>-42</v>
      </c>
      <c r="F63" s="11">
        <f t="shared" si="4"/>
        <v>-8.1031839706966906</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-7.8167687600003264</v>
      </c>
      <c r="E64" s="11">
        <f>A64-'Mastercurve bestimmen'!$B$2</f>
        <v>-41</v>
      </c>
      <c r="F64" s="11">
        <f t="shared" si="4"/>
        <v>-7.8167687600003264</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-7.525843901581486</v>
      </c>
      <c r="E65" s="11">
        <f>A65-'Mastercurve bestimmen'!$B$2</f>
        <v>-40</v>
      </c>
      <c r="F65" s="11">
        <f t="shared" si="4"/>
        <v>-7.525843901581486</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-7.231458677240429</v>
      </c>
      <c r="E66" s="11">
        <f>A66-'Mastercurve bestimmen'!$B$2</f>
        <v>-39</v>
      </c>
      <c r="F66" s="11">
        <f t="shared" si="4"/>
        <v>-7.231458677240429</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-6.9346623687774205</v>
      </c>
      <c r="E67" s="11">
        <f>A67-'Mastercurve bestimmen'!$B$2</f>
        <v>-38</v>
      </c>
      <c r="F67" s="11">
        <f t="shared" si="4"/>
        <v>-6.9346623687774205</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-6.6365042579927209</v>
      </c>
      <c r="E68" s="11">
        <f>A68-'Mastercurve bestimmen'!$B$2</f>
        <v>-37</v>
      </c>
      <c r="F68" s="11">
        <f t="shared" si="4"/>
        <v>-6.6365042579927209</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-6.3380336266865935</v>
      </c>
      <c r="E69" s="11">
        <f>A69-'Mastercurve bestimmen'!$B$2</f>
        <v>-36</v>
      </c>
      <c r="F69" s="11">
        <f t="shared" si="4"/>
        <v>-6.3380336266865935</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-6.0402997566592997</v>
      </c>
      <c r="E70" s="11">
        <f>A70-'Mastercurve bestimmen'!$B$2</f>
        <v>-35</v>
      </c>
      <c r="F70" s="11">
        <f t="shared" si="4"/>
        <v>-6.0402997566592997</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-5.744351929711101</v>
      </c>
      <c r="E71" s="11">
        <f>A71-'Mastercurve bestimmen'!$B$2</f>
        <v>-34</v>
      </c>
      <c r="F71" s="11">
        <f t="shared" si="4"/>
        <v>-5.744351929711101</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-5.4512394276422604</v>
      </c>
      <c r="E72" s="11">
        <f>A72-'Mastercurve bestimmen'!$B$2</f>
        <v>-33</v>
      </c>
      <c r="F72" s="11">
        <f t="shared" si="4"/>
        <v>-5.4512394276422604</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-5.1620115322530404</v>
      </c>
      <c r="E73" s="11">
        <f>A73-'Mastercurve bestimmen'!$B$2</f>
        <v>-32</v>
      </c>
      <c r="F73" s="11">
        <f t="shared" si="4"/>
        <v>-5.1620115322530404</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-4.8777175253437033</v>
      </c>
      <c r="E74" s="11">
        <f>A74-'Mastercurve bestimmen'!$B$2</f>
        <v>-31</v>
      </c>
      <c r="F74" s="11">
        <f t="shared" si="4"/>
        <v>-4.8777175253437033</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-4.5994066887145095</v>
      </c>
      <c r="E75" s="11">
        <f>A75-'Mastercurve bestimmen'!$B$2</f>
        <v>-30</v>
      </c>
      <c r="F75" s="11">
        <f t="shared" si="4"/>
        <v>-4.5994066887145095</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-4.3281283041657224</v>
      </c>
      <c r="E76" s="11">
        <f>A76-'Mastercurve bestimmen'!$B$2</f>
        <v>-29</v>
      </c>
      <c r="F76" s="11">
        <f t="shared" si="4"/>
        <v>-4.3281283041657224</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-4.0649316534976041</v>
      </c>
      <c r="E77" s="11">
        <f>A77-'Mastercurve bestimmen'!$B$2</f>
        <v>-28</v>
      </c>
      <c r="F77" s="11">
        <f t="shared" si="4"/>
        <v>-4.0649316534976041</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-3.8108660185104153</v>
      </c>
      <c r="E78" s="11">
        <f>A78-'Mastercurve bestimmen'!$B$2</f>
        <v>-27</v>
      </c>
      <c r="F78" s="11">
        <f t="shared" si="4"/>
        <v>-3.8108660185104153</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-3.56698068100442</v>
      </c>
      <c r="E79" s="11">
        <f>A79-'Mastercurve bestimmen'!$B$2</f>
        <v>-26</v>
      </c>
      <c r="F79" s="11">
        <f t="shared" si="4"/>
        <v>-3.56698068100442</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-3.3343249227798797</v>
      </c>
      <c r="E80" s="11">
        <f>A80-'Mastercurve bestimmen'!$B$2</f>
        <v>-25</v>
      </c>
      <c r="F80" s="11">
        <f t="shared" ref="F80:F143" si="10">B80</f>
        <v>-3.3343249227798797</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-3.1136768772530949</v>
      </c>
      <c r="E81" s="11">
        <f>A81-'Mastercurve bestimmen'!$B$2</f>
        <v>-24</v>
      </c>
      <c r="F81" s="11">
        <f t="shared" si="10"/>
        <v>-3.1136768772530949</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-2.904730084304517</v>
      </c>
      <c r="E82" s="11">
        <f>A82-'Mastercurve bestimmen'!$B$2</f>
        <v>-23</v>
      </c>
      <c r="F82" s="11">
        <f t="shared" si="10"/>
        <v>-2.904730084304517</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-2.706906935430637</v>
      </c>
      <c r="E83" s="11">
        <f>A83-'Mastercurve bestimmen'!$B$2</f>
        <v>-22</v>
      </c>
      <c r="F83" s="11">
        <f t="shared" si="10"/>
        <v>-2.706906935430637</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-2.5196298221279441</v>
      </c>
      <c r="E84" s="11">
        <f>A84-'Mastercurve bestimmen'!$B$2</f>
        <v>-21</v>
      </c>
      <c r="F84" s="11">
        <f t="shared" si="10"/>
        <v>-2.5196298221279441</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-2.3423211358929299</v>
      </c>
      <c r="E85" s="11">
        <f>A85-'Mastercurve bestimmen'!$B$2</f>
        <v>-20</v>
      </c>
      <c r="F85" s="11">
        <f t="shared" si="10"/>
        <v>-2.3423211358929299</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-2.1744032682220831</v>
      </c>
      <c r="E86" s="11">
        <f>A86-'Mastercurve bestimmen'!$B$2</f>
        <v>-19</v>
      </c>
      <c r="F86" s="11">
        <f t="shared" si="10"/>
        <v>-2.1744032682220831</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-2.0152986106118953</v>
      </c>
      <c r="E87" s="11">
        <f>A87-'Mastercurve bestimmen'!$B$2</f>
        <v>-18</v>
      </c>
      <c r="F87" s="11">
        <f t="shared" si="10"/>
        <v>-2.0152986106118953</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-1.8644295545588563</v>
      </c>
      <c r="E88" s="11">
        <f>A88-'Mastercurve bestimmen'!$B$2</f>
        <v>-17</v>
      </c>
      <c r="F88" s="11">
        <f t="shared" si="10"/>
        <v>-1.8644295545588563</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-1.7212184915594564</v>
      </c>
      <c r="E89" s="11">
        <f>A89-'Mastercurve bestimmen'!$B$2</f>
        <v>-16</v>
      </c>
      <c r="F89" s="11">
        <f t="shared" si="10"/>
        <v>-1.7212184915594564</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-1.5850878131101855</v>
      </c>
      <c r="E90" s="11">
        <f>A90-'Mastercurve bestimmen'!$B$2</f>
        <v>-15</v>
      </c>
      <c r="F90" s="11">
        <f t="shared" si="10"/>
        <v>-1.5850878131101855</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-1.4554599107075346</v>
      </c>
      <c r="E91" s="11">
        <f>A91-'Mastercurve bestimmen'!$B$2</f>
        <v>-14</v>
      </c>
      <c r="F91" s="11">
        <f t="shared" si="10"/>
        <v>-1.4554599107075346</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-1.3317571758479927</v>
      </c>
      <c r="E92" s="11">
        <f>A92-'Mastercurve bestimmen'!$B$2</f>
        <v>-13</v>
      </c>
      <c r="F92" s="11">
        <f t="shared" si="10"/>
        <v>-1.3317571758479927</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-1.213402000028051</v>
      </c>
      <c r="E93" s="11">
        <f>A93-'Mastercurve bestimmen'!$B$2</f>
        <v>-12</v>
      </c>
      <c r="F93" s="11">
        <f t="shared" si="10"/>
        <v>-1.213402000028051</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-1.0998167747441998</v>
      </c>
      <c r="E94" s="11">
        <f>A94-'Mastercurve bestimmen'!$B$2</f>
        <v>-11</v>
      </c>
      <c r="F94" s="11">
        <f t="shared" si="10"/>
        <v>-1.0998167747441998</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-0.99042389149292887</v>
      </c>
      <c r="E95" s="11">
        <f>A95-'Mastercurve bestimmen'!$B$2</f>
        <v>-10</v>
      </c>
      <c r="F95" s="11">
        <f t="shared" si="10"/>
        <v>-0.99042389149292887</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-0.88464574177072863</v>
      </c>
      <c r="E96" s="11">
        <f>A96-'Mastercurve bestimmen'!$B$2</f>
        <v>-9</v>
      </c>
      <c r="F96" s="11">
        <f t="shared" si="10"/>
        <v>-0.88464574177072863</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-0.78190471707408948</v>
      </c>
      <c r="E97" s="11">
        <f>A97-'Mastercurve bestimmen'!$B$2</f>
        <v>-8</v>
      </c>
      <c r="F97" s="11">
        <f t="shared" si="10"/>
        <v>-0.78190471707408948</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-0.68162320889950145</v>
      </c>
      <c r="E98" s="11">
        <f>A98-'Mastercurve bestimmen'!$B$2</f>
        <v>-7</v>
      </c>
      <c r="F98" s="11">
        <f t="shared" si="10"/>
        <v>-0.68162320889950145</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-0.58322360874345491</v>
      </c>
      <c r="E99" s="11">
        <f>A99-'Mastercurve bestimmen'!$B$2</f>
        <v>-6</v>
      </c>
      <c r="F99" s="11">
        <f t="shared" si="10"/>
        <v>-0.58322360874345491</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-0.48612830810244007</v>
      </c>
      <c r="E100" s="11">
        <f>A100-'Mastercurve bestimmen'!$B$2</f>
        <v>-5</v>
      </c>
      <c r="F100" s="11">
        <f t="shared" si="10"/>
        <v>-0.48612830810244007</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-0.38975969847294717</v>
      </c>
      <c r="E101" s="11">
        <f>A101-'Mastercurve bestimmen'!$B$2</f>
        <v>-4</v>
      </c>
      <c r="F101" s="11">
        <f t="shared" si="10"/>
        <v>-0.38975969847294717</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-0.29354017135146648</v>
      </c>
      <c r="E102" s="11">
        <f>A102-'Mastercurve bestimmen'!$B$2</f>
        <v>-3</v>
      </c>
      <c r="F102" s="11">
        <f t="shared" si="10"/>
        <v>-0.29354017135146648</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-0.19689211823448818</v>
      </c>
      <c r="E103" s="11">
        <f>A103-'Mastercurve bestimmen'!$B$2</f>
        <v>-2</v>
      </c>
      <c r="F103" s="11">
        <f t="shared" si="10"/>
        <v>-0.19689211823448818</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-9.9237930618502612E-2</v>
      </c>
      <c r="E104" s="11">
        <f>A104-'Mastercurve bestimmen'!$B$2</f>
        <v>-1</v>
      </c>
      <c r="F104" s="11">
        <f t="shared" si="10"/>
        <v>-9.9237930618502612E-2</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2.7755575615628914E-17</v>
      </c>
      <c r="E105" s="11">
        <f>A105-'Mastercurve bestimmen'!$B$2</f>
        <v>0</v>
      </c>
      <c r="F105" s="11">
        <f t="shared" si="10"/>
        <v>2.7755575615628914E-17</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0.10131007066628853</v>
      </c>
      <c r="E106" s="11">
        <f>A106-'Mastercurve bestimmen'!$B$2</f>
        <v>1</v>
      </c>
      <c r="F106" s="11">
        <f t="shared" si="10"/>
        <v>0.10131007066628853</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0.20482383259266784</v>
      </c>
      <c r="E107" s="11">
        <f>A107-'Mastercurve bestimmen'!$B$2</f>
        <v>2</v>
      </c>
      <c r="F107" s="11">
        <f t="shared" si="10"/>
        <v>0.20482383259266784</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0.31058362553320218</v>
      </c>
      <c r="E108" s="11">
        <f>A108-'Mastercurve bestimmen'!$B$2</f>
        <v>3</v>
      </c>
      <c r="F108" s="11">
        <f t="shared" si="10"/>
        <v>0.31058362553320218</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0.41863178924195532</v>
      </c>
      <c r="E109" s="11">
        <f>A109-'Mastercurve bestimmen'!$B$2</f>
        <v>4</v>
      </c>
      <c r="F109" s="11">
        <f t="shared" si="10"/>
        <v>0.41863178924195532</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0.52901066347299164</v>
      </c>
      <c r="E110" s="11">
        <f>A110-'Mastercurve bestimmen'!$B$2</f>
        <v>5</v>
      </c>
      <c r="F110" s="11">
        <f t="shared" si="10"/>
        <v>0.52901066347299164</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0.64176258798037489</v>
      </c>
      <c r="E111" s="11">
        <f>A111-'Mastercurve bestimmen'!$B$2</f>
        <v>6</v>
      </c>
      <c r="F111" s="11">
        <f t="shared" si="10"/>
        <v>0.64176258798037489</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0.75692990251816916</v>
      </c>
      <c r="E112" s="11">
        <f>A112-'Mastercurve bestimmen'!$B$2</f>
        <v>7</v>
      </c>
      <c r="F112" s="11">
        <f t="shared" si="10"/>
        <v>0.75692990251816916</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0.87455494684043855</v>
      </c>
      <c r="E113" s="11">
        <f>A113-'Mastercurve bestimmen'!$B$2</f>
        <v>8</v>
      </c>
      <c r="F113" s="11">
        <f t="shared" si="10"/>
        <v>0.87455494684043855</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0.99468006070124726</v>
      </c>
      <c r="E114" s="11">
        <f>A114-'Mastercurve bestimmen'!$B$2</f>
        <v>9</v>
      </c>
      <c r="F114" s="11">
        <f t="shared" si="10"/>
        <v>0.99468006070124726</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1.1173475838546589</v>
      </c>
      <c r="E115" s="11">
        <f>A115-'Mastercurve bestimmen'!$B$2</f>
        <v>10</v>
      </c>
      <c r="F115" s="11">
        <f t="shared" si="10"/>
        <v>1.1173475838546589</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1.2425998560547382</v>
      </c>
      <c r="E116" s="11">
        <f>A116-'Mastercurve bestimmen'!$B$2</f>
        <v>11</v>
      </c>
      <c r="F116" s="11">
        <f t="shared" si="10"/>
        <v>1.2425998560547382</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1.3704792170555486</v>
      </c>
      <c r="E117" s="11">
        <f>A117-'Mastercurve bestimmen'!$B$2</f>
        <v>12</v>
      </c>
      <c r="F117" s="11">
        <f t="shared" si="10"/>
        <v>1.3704792170555486</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1.5010280066111541</v>
      </c>
      <c r="E118" s="11">
        <f>A118-'Mastercurve bestimmen'!$B$2</f>
        <v>13</v>
      </c>
      <c r="F118" s="11">
        <f t="shared" si="10"/>
        <v>1.5010280066111541</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1.6342885644756193</v>
      </c>
      <c r="E119" s="11">
        <f>A119-'Mastercurve bestimmen'!$B$2</f>
        <v>14</v>
      </c>
      <c r="F119" s="11">
        <f t="shared" si="10"/>
        <v>1.6342885644756193</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1.7703032304030075</v>
      </c>
      <c r="E120" s="11">
        <f>A120-'Mastercurve bestimmen'!$B$2</f>
        <v>15</v>
      </c>
      <c r="F120" s="11">
        <f t="shared" si="10"/>
        <v>1.7703032304030075</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1.9091143441473837</v>
      </c>
      <c r="E121" s="11">
        <f>A121-'Mastercurve bestimmen'!$B$2</f>
        <v>16</v>
      </c>
      <c r="F121" s="11">
        <f t="shared" si="10"/>
        <v>1.9091143441473837</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2.050764245462811</v>
      </c>
      <c r="E122" s="11">
        <f>A122-'Mastercurve bestimmen'!$B$2</f>
        <v>17</v>
      </c>
      <c r="F122" s="11">
        <f t="shared" si="10"/>
        <v>2.050764245462811</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2.195295274103354</v>
      </c>
      <c r="E123" s="11">
        <f>A123-'Mastercurve bestimmen'!$B$2</f>
        <v>18</v>
      </c>
      <c r="F123" s="11">
        <f t="shared" si="10"/>
        <v>2.195295274103354</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2.3427497698230764</v>
      </c>
      <c r="E124" s="11">
        <f>A124-'Mastercurve bestimmen'!$B$2</f>
        <v>19</v>
      </c>
      <c r="F124" s="11">
        <f t="shared" si="10"/>
        <v>2.3427497698230764</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2.4931700723760426</v>
      </c>
      <c r="E125" s="11">
        <f>A125-'Mastercurve bestimmen'!$B$2</f>
        <v>20</v>
      </c>
      <c r="F125" s="11">
        <f t="shared" si="10"/>
        <v>2.4931700723760426</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2.6465985215163164</v>
      </c>
      <c r="E126" s="11">
        <f>A126-'Mastercurve bestimmen'!$B$2</f>
        <v>21</v>
      </c>
      <c r="F126" s="11">
        <f t="shared" si="10"/>
        <v>2.6465985215163164</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2.8030774569979622</v>
      </c>
      <c r="E127" s="11">
        <f>A127-'Mastercurve bestimmen'!$B$2</f>
        <v>22</v>
      </c>
      <c r="F127" s="11">
        <f t="shared" si="10"/>
        <v>2.8030774569979622</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2.9626492185750437</v>
      </c>
      <c r="E128" s="11">
        <f>A128-'Mastercurve bestimmen'!$B$2</f>
        <v>23</v>
      </c>
      <c r="F128" s="11">
        <f t="shared" si="10"/>
        <v>2.9626492185750437</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3.125356146001625</v>
      </c>
      <c r="E129" s="11">
        <f>A129-'Mastercurve bestimmen'!$B$2</f>
        <v>24</v>
      </c>
      <c r="F129" s="11">
        <f t="shared" si="10"/>
        <v>3.125356146001625</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3.2912405790317694</v>
      </c>
      <c r="E130" s="11">
        <f>A130-'Mastercurve bestimmen'!$B$2</f>
        <v>25</v>
      </c>
      <c r="F130" s="11">
        <f t="shared" si="10"/>
        <v>3.2912405790317694</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3.4603448574195426</v>
      </c>
      <c r="E131" s="11">
        <f>A131-'Mastercurve bestimmen'!$B$2</f>
        <v>26</v>
      </c>
      <c r="F131" s="11">
        <f t="shared" si="10"/>
        <v>3.4603448574195426</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3.6327113209190074</v>
      </c>
      <c r="E132" s="11">
        <f>A132-'Mastercurve bestimmen'!$B$2</f>
        <v>27</v>
      </c>
      <c r="F132" s="11">
        <f t="shared" si="10"/>
        <v>3.6327113209190074</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3.8083823092842279</v>
      </c>
      <c r="E133" s="11">
        <f>A133-'Mastercurve bestimmen'!$B$2</f>
        <v>28</v>
      </c>
      <c r="F133" s="11">
        <f t="shared" si="10"/>
        <v>3.8083823092842279</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3.9874001622692687</v>
      </c>
      <c r="E134" s="11">
        <f>A134-'Mastercurve bestimmen'!$B$2</f>
        <v>29</v>
      </c>
      <c r="F134" s="11">
        <f t="shared" si="10"/>
        <v>3.9874001622692687</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4.1698072196281935</v>
      </c>
      <c r="E135" s="11">
        <f>A135-'Mastercurve bestimmen'!$B$2</f>
        <v>30</v>
      </c>
      <c r="F135" s="11">
        <f t="shared" si="10"/>
        <v>4.1698072196281935</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4.3556436932848408</v>
      </c>
      <c r="E136" s="11">
        <f>A136-'Mastercurve bestimmen'!$B$2</f>
        <v>31</v>
      </c>
      <c r="F136" s="11">
        <f t="shared" si="10"/>
        <v>4.3556436932848408</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4.544941283842145</v>
      </c>
      <c r="E137" s="11">
        <f>A137-'Mastercurve bestimmen'!$B$2</f>
        <v>32</v>
      </c>
      <c r="F137" s="11">
        <f t="shared" si="10"/>
        <v>4.544941283842145</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4.7377295640728168</v>
      </c>
      <c r="E138" s="11">
        <f>A138-'Mastercurve bestimmen'!$B$2</f>
        <v>33</v>
      </c>
      <c r="F138" s="11">
        <f t="shared" si="10"/>
        <v>4.7377295640728168</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4.934038106749564</v>
      </c>
      <c r="E139" s="11">
        <f>A139-'Mastercurve bestimmen'!$B$2</f>
        <v>34</v>
      </c>
      <c r="F139" s="11">
        <f t="shared" si="10"/>
        <v>4.934038106749564</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5.1338964846450965</v>
      </c>
      <c r="E140" s="11">
        <f>A140-'Mastercurve bestimmen'!$B$2</f>
        <v>35</v>
      </c>
      <c r="F140" s="11">
        <f t="shared" si="10"/>
        <v>5.1338964846450965</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5.3373342705321249</v>
      </c>
      <c r="E141" s="11">
        <f>A141-'Mastercurve bestimmen'!$B$2</f>
        <v>36</v>
      </c>
      <c r="F141" s="11">
        <f t="shared" si="10"/>
        <v>5.3373342705321249</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5.5443810371833573</v>
      </c>
      <c r="E142" s="11">
        <f>A142-'Mastercurve bestimmen'!$B$2</f>
        <v>37</v>
      </c>
      <c r="F142" s="11">
        <f t="shared" si="10"/>
        <v>5.5443810371833573</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5.7550663573715024</v>
      </c>
      <c r="E143" s="11">
        <f>A143-'Mastercurve bestimmen'!$B$2</f>
        <v>38</v>
      </c>
      <c r="F143" s="11">
        <f t="shared" si="10"/>
        <v>5.7550663573715024</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5.969419803869271</v>
      </c>
      <c r="E144" s="11">
        <f>A144-'Mastercurve bestimmen'!$B$2</f>
        <v>39</v>
      </c>
      <c r="F144" s="11">
        <f t="shared" ref="F144:F207" si="15">B144</f>
        <v>5.969419803869271</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6.1874709494493718</v>
      </c>
      <c r="E145" s="11">
        <f>A145-'Mastercurve bestimmen'!$B$2</f>
        <v>40</v>
      </c>
      <c r="F145" s="11">
        <f t="shared" si="15"/>
        <v>6.1874709494493718</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6.4092493668845147</v>
      </c>
      <c r="E146" s="11">
        <f>A146-'Mastercurve bestimmen'!$B$2</f>
        <v>41</v>
      </c>
      <c r="F146" s="11">
        <f t="shared" si="15"/>
        <v>6.4092493668845147</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6.6347846289474077</v>
      </c>
      <c r="E147" s="11">
        <f>A147-'Mastercurve bestimmen'!$B$2</f>
        <v>42</v>
      </c>
      <c r="F147" s="11">
        <f t="shared" si="15"/>
        <v>6.6347846289474077</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6.8641063084107614</v>
      </c>
      <c r="E148" s="11">
        <f>A148-'Mastercurve bestimmen'!$B$2</f>
        <v>43</v>
      </c>
      <c r="F148" s="11">
        <f t="shared" si="15"/>
        <v>6.8641063084107614</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7.0972439780472847</v>
      </c>
      <c r="E149" s="11">
        <f>A149-'Mastercurve bestimmen'!$B$2</f>
        <v>44</v>
      </c>
      <c r="F149" s="11">
        <f t="shared" si="15"/>
        <v>7.0972439780472847</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7.3342272106296864</v>
      </c>
      <c r="E150" s="11">
        <f>A150-'Mastercurve bestimmen'!$B$2</f>
        <v>45</v>
      </c>
      <c r="F150" s="11">
        <f t="shared" si="15"/>
        <v>7.3342272106296864</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7.5750855789306772</v>
      </c>
      <c r="E151" s="11">
        <f>A151-'Mastercurve bestimmen'!$B$2</f>
        <v>46</v>
      </c>
      <c r="F151" s="11">
        <f t="shared" si="15"/>
        <v>7.5750855789306772</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7.8198486557229652</v>
      </c>
      <c r="E152" s="11">
        <f>A152-'Mastercurve bestimmen'!$B$2</f>
        <v>47</v>
      </c>
      <c r="F152" s="11">
        <f t="shared" si="15"/>
        <v>7.8198486557229652</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8.06854601377926</v>
      </c>
      <c r="E153" s="11">
        <f>A153-'Mastercurve bestimmen'!$B$2</f>
        <v>48</v>
      </c>
      <c r="F153" s="11">
        <f t="shared" si="15"/>
        <v>8.06854601377926</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8.3212072258722714</v>
      </c>
      <c r="E154" s="11">
        <f>A154-'Mastercurve bestimmen'!$B$2</f>
        <v>49</v>
      </c>
      <c r="F154" s="11">
        <f t="shared" si="15"/>
        <v>8.3212072258722714</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8.5778618647747109</v>
      </c>
      <c r="E155" s="11">
        <f>A155-'Mastercurve bestimmen'!$B$2</f>
        <v>50</v>
      </c>
      <c r="F155" s="11">
        <f t="shared" si="15"/>
        <v>8.5778618647747109</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8.8385395032592822</v>
      </c>
      <c r="E156" s="11">
        <f>A156-'Mastercurve bestimmen'!$B$2</f>
        <v>51</v>
      </c>
      <c r="F156" s="11">
        <f t="shared" si="15"/>
        <v>8.8385395032592822</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9.1032697140986993</v>
      </c>
      <c r="E157" s="11">
        <f>A157-'Mastercurve bestimmen'!$B$2</f>
        <v>52</v>
      </c>
      <c r="F157" s="11">
        <f t="shared" si="15"/>
        <v>9.1032697140986993</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9.3720820700656695</v>
      </c>
      <c r="E158" s="11">
        <f>A158-'Mastercurve bestimmen'!$B$2</f>
        <v>53</v>
      </c>
      <c r="F158" s="11">
        <f t="shared" si="15"/>
        <v>9.3720820700656695</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9.6450061439329051</v>
      </c>
      <c r="E159" s="11">
        <f>A159-'Mastercurve bestimmen'!$B$2</f>
        <v>54</v>
      </c>
      <c r="F159" s="11">
        <f t="shared" si="15"/>
        <v>9.6450061439329051</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9.9220715084731115</v>
      </c>
      <c r="E160" s="11">
        <f>A160-'Mastercurve bestimmen'!$B$2</f>
        <v>55</v>
      </c>
      <c r="F160" s="11">
        <f t="shared" si="15"/>
        <v>9.9220715084731115</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10.203307736459001</v>
      </c>
      <c r="E161" s="11">
        <f>A161-'Mastercurve bestimmen'!$B$2</f>
        <v>56</v>
      </c>
      <c r="F161" s="11">
        <f t="shared" si="15"/>
        <v>10.203307736459001</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10.488744400663279</v>
      </c>
      <c r="E162" s="11">
        <f>A162-'Mastercurve bestimmen'!$B$2</f>
        <v>57</v>
      </c>
      <c r="F162" s="11">
        <f t="shared" si="15"/>
        <v>10.488744400663279</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10.77841107385866</v>
      </c>
      <c r="E163" s="11">
        <f>A163-'Mastercurve bestimmen'!$B$2</f>
        <v>58</v>
      </c>
      <c r="F163" s="11">
        <f t="shared" si="15"/>
        <v>10.77841107385866</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11.072337328817849</v>
      </c>
      <c r="E164" s="11">
        <f>A164-'Mastercurve bestimmen'!$B$2</f>
        <v>59</v>
      </c>
      <c r="F164" s="11">
        <f t="shared" si="15"/>
        <v>11.072337328817849</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11.37055273831356</v>
      </c>
      <c r="E165" s="11">
        <f>A165-'Mastercurve bestimmen'!$B$2</f>
        <v>60</v>
      </c>
      <c r="F165" s="11">
        <f t="shared" si="15"/>
        <v>11.37055273831356</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11.673086875118496</v>
      </c>
      <c r="E166" s="11">
        <f>A166-'Mastercurve bestimmen'!$B$2</f>
        <v>61</v>
      </c>
      <c r="F166" s="11">
        <f t="shared" si="15"/>
        <v>11.673086875118496</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11.979969312005373</v>
      </c>
      <c r="E167" s="11">
        <f>A167-'Mastercurve bestimmen'!$B$2</f>
        <v>62</v>
      </c>
      <c r="F167" s="11">
        <f t="shared" si="15"/>
        <v>11.979969312005373</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12.291229621746899</v>
      </c>
      <c r="E168" s="11">
        <f>A168-'Mastercurve bestimmen'!$B$2</f>
        <v>63</v>
      </c>
      <c r="F168" s="11">
        <f t="shared" si="15"/>
        <v>12.291229621746899</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12.606897377115777</v>
      </c>
      <c r="E169" s="11">
        <f>A169-'Mastercurve bestimmen'!$B$2</f>
        <v>64</v>
      </c>
      <c r="F169" s="11">
        <f t="shared" si="15"/>
        <v>12.606897377115777</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12.927002150884725</v>
      </c>
      <c r="E170" s="11">
        <f>A170-'Mastercurve bestimmen'!$B$2</f>
        <v>65</v>
      </c>
      <c r="F170" s="11">
        <f t="shared" si="15"/>
        <v>12.927002150884725</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13.251573515826445</v>
      </c>
      <c r="E171" s="11">
        <f>A171-'Mastercurve bestimmen'!$B$2</f>
        <v>66</v>
      </c>
      <c r="F171" s="11">
        <f t="shared" si="15"/>
        <v>13.251573515826445</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13.580641044713651</v>
      </c>
      <c r="E172" s="11">
        <f>A172-'Mastercurve bestimmen'!$B$2</f>
        <v>67</v>
      </c>
      <c r="F172" s="11">
        <f t="shared" si="15"/>
        <v>13.580641044713651</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13.914234310319051</v>
      </c>
      <c r="E173" s="11">
        <f>A173-'Mastercurve bestimmen'!$B$2</f>
        <v>68</v>
      </c>
      <c r="F173" s="11">
        <f t="shared" si="15"/>
        <v>13.914234310319051</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14.252382885415356</v>
      </c>
      <c r="E174" s="11">
        <f>A174-'Mastercurve bestimmen'!$B$2</f>
        <v>69</v>
      </c>
      <c r="F174" s="11">
        <f t="shared" si="15"/>
        <v>14.252382885415356</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14.595116342775272</v>
      </c>
      <c r="E175" s="11">
        <f>A175-'Mastercurve bestimmen'!$B$2</f>
        <v>70</v>
      </c>
      <c r="F175" s="11">
        <f t="shared" si="15"/>
        <v>14.595116342775272</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14.94246425517151</v>
      </c>
      <c r="E176" s="11">
        <f>A176-'Mastercurve bestimmen'!$B$2</f>
        <v>71</v>
      </c>
      <c r="F176" s="11">
        <f t="shared" si="15"/>
        <v>14.94246425517151</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15.29445619537678</v>
      </c>
      <c r="E177" s="11">
        <f>A177-'Mastercurve bestimmen'!$B$2</f>
        <v>72</v>
      </c>
      <c r="F177" s="11">
        <f t="shared" si="15"/>
        <v>15.29445619537678</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15.651121736163791</v>
      </c>
      <c r="E178" s="11">
        <f>A178-'Mastercurve bestimmen'!$B$2</f>
        <v>73</v>
      </c>
      <c r="F178" s="11">
        <f t="shared" si="15"/>
        <v>15.651121736163791</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16.012490450305251</v>
      </c>
      <c r="E179" s="11">
        <f>A179-'Mastercurve bestimmen'!$B$2</f>
        <v>74</v>
      </c>
      <c r="F179" s="11">
        <f t="shared" si="15"/>
        <v>16.012490450305251</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16.378591910573874</v>
      </c>
      <c r="E180" s="11">
        <f>A180-'Mastercurve bestimmen'!$B$2</f>
        <v>75</v>
      </c>
      <c r="F180" s="11">
        <f t="shared" si="15"/>
        <v>16.378591910573874</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16.749428083237866</v>
      </c>
      <c r="E181" s="11">
        <f>A181-'Mastercurve bestimmen'!$B$2</f>
        <v>76</v>
      </c>
      <c r="F181" s="11">
        <f t="shared" si="15"/>
        <v>16.749428083237866</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17.124890508547445</v>
      </c>
      <c r="E182" s="11">
        <f>A182-'Mastercurve bestimmen'!$B$2</f>
        <v>77</v>
      </c>
      <c r="F182" s="11">
        <f t="shared" si="15"/>
        <v>17.124890508547445</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17.504843120248324</v>
      </c>
      <c r="E183" s="11">
        <f>A183-'Mastercurve bestimmen'!$B$2</f>
        <v>78</v>
      </c>
      <c r="F183" s="11">
        <f t="shared" si="15"/>
        <v>17.504843120248324</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17.889149852086231</v>
      </c>
      <c r="E184" s="11">
        <f>A184-'Mastercurve bestimmen'!$B$2</f>
        <v>79</v>
      </c>
      <c r="F184" s="11">
        <f t="shared" si="15"/>
        <v>17.889149852086231</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18.277674637806879</v>
      </c>
      <c r="E185" s="11">
        <f>A185-'Mastercurve bestimmen'!$B$2</f>
        <v>80</v>
      </c>
      <c r="F185" s="11">
        <f t="shared" si="15"/>
        <v>18.277674637806879</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18.670281411155983</v>
      </c>
      <c r="E186" s="11">
        <f>A186-'Mastercurve bestimmen'!$B$2</f>
        <v>81</v>
      </c>
      <c r="F186" s="11">
        <f t="shared" si="15"/>
        <v>18.670281411155983</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19.066834105879266</v>
      </c>
      <c r="E187" s="11">
        <f>A187-'Mastercurve bestimmen'!$B$2</f>
        <v>82</v>
      </c>
      <c r="F187" s="11">
        <f t="shared" si="15"/>
        <v>19.066834105879266</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19.467196655722447</v>
      </c>
      <c r="E188" s="11">
        <f>A188-'Mastercurve bestimmen'!$B$2</f>
        <v>83</v>
      </c>
      <c r="F188" s="11">
        <f t="shared" si="15"/>
        <v>19.467196655722447</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19.871232994431239</v>
      </c>
      <c r="E189" s="11">
        <f>A189-'Mastercurve bestimmen'!$B$2</f>
        <v>84</v>
      </c>
      <c r="F189" s="11">
        <f t="shared" si="15"/>
        <v>19.871232994431239</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20.278807055751358</v>
      </c>
      <c r="E190" s="11">
        <f>A190-'Mastercurve bestimmen'!$B$2</f>
        <v>85</v>
      </c>
      <c r="F190" s="11">
        <f t="shared" si="15"/>
        <v>20.278807055751358</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20.689782773428533</v>
      </c>
      <c r="E191" s="11">
        <f>A191-'Mastercurve bestimmen'!$B$2</f>
        <v>86</v>
      </c>
      <c r="F191" s="11">
        <f t="shared" si="15"/>
        <v>20.689782773428533</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21.104024081208472</v>
      </c>
      <c r="E192" s="11">
        <f>A192-'Mastercurve bestimmen'!$B$2</f>
        <v>87</v>
      </c>
      <c r="F192" s="11">
        <f t="shared" si="15"/>
        <v>21.104024081208472</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21.521394912836893</v>
      </c>
      <c r="E193" s="11">
        <f>A193-'Mastercurve bestimmen'!$B$2</f>
        <v>88</v>
      </c>
      <c r="F193" s="11">
        <f t="shared" si="15"/>
        <v>21.521394912836893</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21.941759202059522</v>
      </c>
      <c r="E194" s="11">
        <f>A194-'Mastercurve bestimmen'!$B$2</f>
        <v>89</v>
      </c>
      <c r="F194" s="11">
        <f t="shared" si="15"/>
        <v>21.941759202059522</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22.364980882622071</v>
      </c>
      <c r="E195" s="11">
        <f>A195-'Mastercurve bestimmen'!$B$2</f>
        <v>90</v>
      </c>
      <c r="F195" s="11">
        <f t="shared" si="15"/>
        <v>22.364980882622071</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22.790923888270257</v>
      </c>
      <c r="E196" s="11">
        <f>A196-'Mastercurve bestimmen'!$B$2</f>
        <v>91</v>
      </c>
      <c r="F196" s="11">
        <f t="shared" si="15"/>
        <v>22.790923888270257</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23.219452152749803</v>
      </c>
      <c r="E197" s="11">
        <f>A197-'Mastercurve bestimmen'!$B$2</f>
        <v>92</v>
      </c>
      <c r="F197" s="11">
        <f t="shared" si="15"/>
        <v>23.219452152749803</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23.650429609806423</v>
      </c>
      <c r="E198" s="11">
        <f>A198-'Mastercurve bestimmen'!$B$2</f>
        <v>93</v>
      </c>
      <c r="F198" s="11">
        <f t="shared" si="15"/>
        <v>23.650429609806423</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24.08372019318584</v>
      </c>
      <c r="E199" s="11">
        <f>A199-'Mastercurve bestimmen'!$B$2</f>
        <v>94</v>
      </c>
      <c r="F199" s="11">
        <f t="shared" si="15"/>
        <v>24.08372019318584</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24.519187836633765</v>
      </c>
      <c r="E200" s="11">
        <f>A200-'Mastercurve bestimmen'!$B$2</f>
        <v>95</v>
      </c>
      <c r="F200" s="11">
        <f t="shared" si="15"/>
        <v>24.519187836633765</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24.956696473895921</v>
      </c>
      <c r="E201" s="11">
        <f>A201-'Mastercurve bestimmen'!$B$2</f>
        <v>96</v>
      </c>
      <c r="F201" s="11">
        <f t="shared" si="15"/>
        <v>24.956696473895921</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25.396110038718025</v>
      </c>
      <c r="E202" s="11">
        <f>A202-'Mastercurve bestimmen'!$B$2</f>
        <v>97</v>
      </c>
      <c r="F202" s="11">
        <f t="shared" si="15"/>
        <v>25.396110038718025</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25.837292464845792</v>
      </c>
      <c r="E203" s="11">
        <f>A203-'Mastercurve bestimmen'!$B$2</f>
        <v>98</v>
      </c>
      <c r="F203" s="11">
        <f t="shared" si="15"/>
        <v>25.837292464845792</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26.280107686024945</v>
      </c>
      <c r="E204" s="11">
        <f>A204-'Mastercurve bestimmen'!$B$2</f>
        <v>99</v>
      </c>
      <c r="F204" s="11">
        <f t="shared" si="15"/>
        <v>26.280107686024945</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26.724419636001198</v>
      </c>
      <c r="E205" s="11">
        <f>A205-'Mastercurve bestimmen'!$B$2</f>
        <v>100</v>
      </c>
      <c r="F205" s="11">
        <f t="shared" si="15"/>
        <v>26.724419636001198</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27.17009224852027</v>
      </c>
      <c r="E206" s="11">
        <f>A206-'Mastercurve bestimmen'!$B$2</f>
        <v>101</v>
      </c>
      <c r="F206" s="11">
        <f t="shared" si="15"/>
        <v>27.17009224852027</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27.616989457327886</v>
      </c>
      <c r="E207" s="11">
        <f>A207-'Mastercurve bestimmen'!$B$2</f>
        <v>102</v>
      </c>
      <c r="F207" s="11">
        <f t="shared" si="15"/>
        <v>27.616989457327886</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28.064975196169751</v>
      </c>
      <c r="E208" s="11">
        <f>A208-'Mastercurve bestimmen'!$B$2</f>
        <v>103</v>
      </c>
      <c r="F208" s="11">
        <f t="shared" ref="F208:F215" si="21">B208</f>
        <v>28.064975196169751</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28.51391339879159</v>
      </c>
      <c r="E209" s="11">
        <f>A209-'Mastercurve bestimmen'!$B$2</f>
        <v>104</v>
      </c>
      <c r="F209" s="11">
        <f t="shared" si="21"/>
        <v>28.51391339879159</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28.963667998939123</v>
      </c>
      <c r="E210" s="11">
        <f>A210-'Mastercurve bestimmen'!$B$2</f>
        <v>105</v>
      </c>
      <c r="F210" s="11">
        <f t="shared" si="21"/>
        <v>28.963667998939123</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29.414102930358066</v>
      </c>
      <c r="E211" s="11">
        <f>A211-'Mastercurve bestimmen'!$B$2</f>
        <v>106</v>
      </c>
      <c r="F211" s="11">
        <f t="shared" si="21"/>
        <v>29.414102930358066</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29.865082126794135</v>
      </c>
      <c r="E212" s="11">
        <f>A212-'Mastercurve bestimmen'!$B$2</f>
        <v>107</v>
      </c>
      <c r="F212" s="11">
        <f t="shared" si="21"/>
        <v>29.865082126794135</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30.316469521993053</v>
      </c>
      <c r="E213" s="11">
        <f>A213-'Mastercurve bestimmen'!$B$2</f>
        <v>108</v>
      </c>
      <c r="F213" s="11">
        <f t="shared" si="21"/>
        <v>30.316469521993053</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30.768129049700534</v>
      </c>
      <c r="E214" s="11">
        <f>A214-'Mastercurve bestimmen'!$B$2</f>
        <v>109</v>
      </c>
      <c r="F214" s="11">
        <f t="shared" si="21"/>
        <v>30.768129049700534</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31.219924643662296</v>
      </c>
      <c r="E215" s="11">
        <f>A215-'Mastercurve bestimmen'!$B$2</f>
        <v>110</v>
      </c>
      <c r="F215" s="11">
        <f t="shared" si="21"/>
        <v>31.219924643662296</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0.10573717296705362</v>
      </c>
      <c r="J217" s="98">
        <v>-2.6958702464370424E-4</v>
      </c>
      <c r="K217" s="98">
        <v>5.1094880427653718E-5</v>
      </c>
      <c r="L217" s="98">
        <v>-1.3714229647823055E-7</v>
      </c>
      <c r="M217" s="98">
        <v>-8.312912249782793E-9</v>
      </c>
      <c r="N217" s="98">
        <v>5.7082649412117714E-11</v>
      </c>
      <c r="O217" s="98">
        <v>4.5620893106544161E-13</v>
      </c>
      <c r="P217" s="98">
        <v>-3.8000663506886418E-15</v>
      </c>
    </row>
    <row r="218" spans="1:16" x14ac:dyDescent="0.25">
      <c r="G218" s="11"/>
      <c r="H218" s="11">
        <v>0</v>
      </c>
      <c r="I218" s="11">
        <v>1.0385214843905591E-3</v>
      </c>
      <c r="J218" s="11">
        <v>2.3325280017365185E-5</v>
      </c>
      <c r="K218" s="3">
        <v>8.7230180219266555E-7</v>
      </c>
      <c r="L218" s="3">
        <v>1.3095618825149735E-8</v>
      </c>
      <c r="M218" s="3">
        <v>2.1298064227426064E-10</v>
      </c>
      <c r="N218" s="3">
        <v>2.4624040945222792E-12</v>
      </c>
      <c r="O218" s="11">
        <v>1.5423681702384179E-14</v>
      </c>
      <c r="P218" s="11">
        <v>1.5568238703496234E-16</v>
      </c>
    </row>
    <row r="219" spans="1:16" x14ac:dyDescent="0.25">
      <c r="G219" s="11"/>
      <c r="H219" s="11">
        <v>0.99992586987606458</v>
      </c>
      <c r="I219" s="11">
        <v>0.11638684481672749</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-16.701469886427081</v>
      </c>
      <c r="G222">
        <f>F15</f>
        <v>-16.493953451907874</v>
      </c>
    </row>
    <row r="223" spans="1:16" x14ac:dyDescent="0.25">
      <c r="E223" s="11">
        <f t="shared" ref="E223:E286" si="25">E16</f>
        <v>-89</v>
      </c>
      <c r="F223" s="11">
        <f t="shared" ref="F223:F286" si="26">$H$217*0+E223*$I$217+E223^2*$J$217+E223^3*$K$217+E223^4*$L$217+E223^5*$M$217+E223^6*$N$217+E223^7*$O$217+E223^8*$P$217</f>
        <v>-16.520152669320801</v>
      </c>
      <c r="G223" s="11">
        <f t="shared" ref="G223:G286" si="27">F16</f>
        <v>-16.427223816565071</v>
      </c>
    </row>
    <row r="224" spans="1:16" x14ac:dyDescent="0.25">
      <c r="E224" s="11">
        <f t="shared" si="25"/>
        <v>-88</v>
      </c>
      <c r="F224" s="11">
        <f t="shared" si="26"/>
        <v>-16.367832811222247</v>
      </c>
      <c r="G224" s="11">
        <f t="shared" si="27"/>
        <v>-16.360145351624148</v>
      </c>
    </row>
    <row r="225" spans="5:7" x14ac:dyDescent="0.25">
      <c r="E225" s="11">
        <f t="shared" si="25"/>
        <v>-87</v>
      </c>
      <c r="F225" s="11">
        <f t="shared" si="26"/>
        <v>-16.239755452104436</v>
      </c>
      <c r="G225" s="11">
        <f t="shared" si="27"/>
        <v>-16.292369227486983</v>
      </c>
    </row>
    <row r="226" spans="5:7" x14ac:dyDescent="0.25">
      <c r="E226" s="11">
        <f t="shared" si="25"/>
        <v>-86</v>
      </c>
      <c r="F226" s="11">
        <f t="shared" si="26"/>
        <v>-16.131566230298027</v>
      </c>
      <c r="G226" s="11">
        <f t="shared" si="27"/>
        <v>-16.223546614555456</v>
      </c>
    </row>
    <row r="227" spans="5:7" x14ac:dyDescent="0.25">
      <c r="E227" s="11">
        <f t="shared" si="25"/>
        <v>-85</v>
      </c>
      <c r="F227" s="11">
        <f t="shared" si="26"/>
        <v>-16.039289963570987</v>
      </c>
      <c r="G227" s="11">
        <f t="shared" si="27"/>
        <v>-16.153328683231443</v>
      </c>
    </row>
    <row r="228" spans="5:7" x14ac:dyDescent="0.25">
      <c r="E228" s="11">
        <f t="shared" si="25"/>
        <v>-84</v>
      </c>
      <c r="F228" s="11">
        <f t="shared" si="26"/>
        <v>-15.959310069041459</v>
      </c>
      <c r="G228" s="11">
        <f t="shared" si="27"/>
        <v>-16.081366603916827</v>
      </c>
    </row>
    <row r="229" spans="5:7" x14ac:dyDescent="0.25">
      <c r="E229" s="11">
        <f t="shared" si="25"/>
        <v>-83</v>
      </c>
      <c r="F229" s="11">
        <f t="shared" si="26"/>
        <v>-15.888348706371348</v>
      </c>
      <c r="G229" s="11">
        <f t="shared" si="27"/>
        <v>-16.007311547013487</v>
      </c>
    </row>
    <row r="230" spans="5:7" x14ac:dyDescent="0.25">
      <c r="E230" s="11">
        <f t="shared" si="25"/>
        <v>-82</v>
      </c>
      <c r="F230" s="11">
        <f t="shared" si="26"/>
        <v>-15.823447628841054</v>
      </c>
      <c r="G230" s="11">
        <f t="shared" si="27"/>
        <v>-15.930814682923296</v>
      </c>
    </row>
    <row r="231" spans="5:7" x14ac:dyDescent="0.25">
      <c r="E231" s="11">
        <f t="shared" si="25"/>
        <v>-81</v>
      </c>
      <c r="F231" s="11">
        <f t="shared" si="26"/>
        <v>-15.761949727059093</v>
      </c>
      <c r="G231" s="11">
        <f t="shared" si="27"/>
        <v>-15.851527182048143</v>
      </c>
    </row>
    <row r="232" spans="5:7" x14ac:dyDescent="0.25">
      <c r="E232" s="11">
        <f t="shared" si="25"/>
        <v>-80</v>
      </c>
      <c r="F232" s="11">
        <f t="shared" si="26"/>
        <v>-15.70148125021362</v>
      </c>
      <c r="G232" s="11">
        <f t="shared" si="27"/>
        <v>-15.7691002147899</v>
      </c>
    </row>
    <row r="233" spans="5:7" x14ac:dyDescent="0.25">
      <c r="E233" s="11">
        <f t="shared" si="25"/>
        <v>-79</v>
      </c>
      <c r="F233" s="11">
        <f t="shared" si="26"/>
        <v>-15.639934689925862</v>
      </c>
      <c r="G233" s="11">
        <f t="shared" si="27"/>
        <v>-15.683184951550448</v>
      </c>
    </row>
    <row r="234" spans="5:7" x14ac:dyDescent="0.25">
      <c r="E234" s="11">
        <f t="shared" si="25"/>
        <v>-78</v>
      </c>
      <c r="F234" s="11">
        <f t="shared" si="26"/>
        <v>-15.575452311919037</v>
      </c>
      <c r="G234" s="11">
        <f t="shared" si="27"/>
        <v>-15.593432562731664</v>
      </c>
    </row>
    <row r="235" spans="5:7" x14ac:dyDescent="0.25">
      <c r="E235" s="11">
        <f t="shared" si="25"/>
        <v>-77</v>
      </c>
      <c r="F235" s="11">
        <f t="shared" si="26"/>
        <v>-15.50641032086925</v>
      </c>
      <c r="G235" s="11">
        <f t="shared" si="27"/>
        <v>-15.499494218735432</v>
      </c>
    </row>
    <row r="236" spans="5:7" x14ac:dyDescent="0.25">
      <c r="E236" s="11">
        <f t="shared" si="25"/>
        <v>-76</v>
      </c>
      <c r="F236" s="11">
        <f t="shared" si="26"/>
        <v>-15.431403643958156</v>
      </c>
      <c r="G236" s="11">
        <f t="shared" si="27"/>
        <v>-15.401021089963628</v>
      </c>
    </row>
    <row r="237" spans="5:7" x14ac:dyDescent="0.25">
      <c r="E237" s="11">
        <f t="shared" si="25"/>
        <v>-75</v>
      </c>
      <c r="F237" s="11">
        <f t="shared" si="26"/>
        <v>-15.349231318800586</v>
      </c>
      <c r="G237" s="11">
        <f t="shared" si="27"/>
        <v>-15.297664346818129</v>
      </c>
    </row>
    <row r="238" spans="5:7" x14ac:dyDescent="0.25">
      <c r="E238" s="11">
        <f t="shared" si="25"/>
        <v>-74</v>
      </c>
      <c r="F238" s="11">
        <f t="shared" si="26"/>
        <v>-15.258882471573164</v>
      </c>
      <c r="G238" s="11">
        <f t="shared" si="27"/>
        <v>-15.18907515970082</v>
      </c>
    </row>
    <row r="239" spans="5:7" x14ac:dyDescent="0.25">
      <c r="E239" s="11">
        <f t="shared" si="25"/>
        <v>-73</v>
      </c>
      <c r="F239" s="11">
        <f t="shared" si="26"/>
        <v>-15.159522871323672</v>
      </c>
      <c r="G239" s="11">
        <f t="shared" si="27"/>
        <v>-15.074904699013574</v>
      </c>
    </row>
    <row r="240" spans="5:7" x14ac:dyDescent="0.25">
      <c r="E240" s="11">
        <f t="shared" si="25"/>
        <v>-72</v>
      </c>
      <c r="F240" s="11">
        <f t="shared" si="26"/>
        <v>-15.050482046593576</v>
      </c>
      <c r="G240" s="11">
        <f t="shared" si="27"/>
        <v>-14.954804135158273</v>
      </c>
    </row>
    <row r="241" spans="5:7" x14ac:dyDescent="0.25">
      <c r="E241" s="11">
        <f t="shared" si="25"/>
        <v>-71</v>
      </c>
      <c r="F241" s="11">
        <f t="shared" si="26"/>
        <v>-14.931240950639861</v>
      </c>
      <c r="G241" s="11">
        <f t="shared" si="27"/>
        <v>-14.828424638536799</v>
      </c>
    </row>
    <row r="242" spans="5:7" x14ac:dyDescent="0.25">
      <c r="E242" s="11">
        <f t="shared" si="25"/>
        <v>-70</v>
      </c>
      <c r="F242" s="11">
        <f t="shared" si="26"/>
        <v>-14.801420161695159</v>
      </c>
      <c r="G242" s="11">
        <f t="shared" si="27"/>
        <v>-14.695417379551024</v>
      </c>
    </row>
    <row r="243" spans="5:7" x14ac:dyDescent="0.25">
      <c r="E243" s="11">
        <f t="shared" si="25"/>
        <v>-69</v>
      </c>
      <c r="F243" s="11">
        <f t="shared" si="26"/>
        <v>-14.660768604858625</v>
      </c>
      <c r="G243" s="11">
        <f t="shared" si="27"/>
        <v>-14.555433528602833</v>
      </c>
    </row>
    <row r="244" spans="5:7" x14ac:dyDescent="0.25">
      <c r="E244" s="11">
        <f t="shared" si="25"/>
        <v>-68</v>
      </c>
      <c r="F244" s="11">
        <f t="shared" si="26"/>
        <v>-14.509152782363016</v>
      </c>
      <c r="G244" s="11">
        <f t="shared" si="27"/>
        <v>-14.408124256094103</v>
      </c>
    </row>
    <row r="245" spans="5:7" x14ac:dyDescent="0.25">
      <c r="E245" s="11">
        <f t="shared" si="25"/>
        <v>-67</v>
      </c>
      <c r="F245" s="11">
        <f t="shared" si="26"/>
        <v>-14.346546499116901</v>
      </c>
      <c r="G245" s="11">
        <f t="shared" si="27"/>
        <v>-14.253140732426711</v>
      </c>
    </row>
    <row r="246" spans="5:7" x14ac:dyDescent="0.25">
      <c r="E246" s="11">
        <f t="shared" si="25"/>
        <v>-66</v>
      </c>
      <c r="F246" s="11">
        <f t="shared" si="26"/>
        <v>-14.173021070573906</v>
      </c>
      <c r="G246" s="11">
        <f t="shared" si="27"/>
        <v>-14.090134128002543</v>
      </c>
    </row>
    <row r="247" spans="5:7" x14ac:dyDescent="0.25">
      <c r="E247" s="11">
        <f t="shared" si="25"/>
        <v>-65</v>
      </c>
      <c r="F247" s="11">
        <f t="shared" si="26"/>
        <v>-13.988736000134258</v>
      </c>
      <c r="G247" s="11">
        <f t="shared" si="27"/>
        <v>-13.918755613223469</v>
      </c>
    </row>
    <row r="248" spans="5:7" x14ac:dyDescent="0.25">
      <c r="E248" s="11">
        <f t="shared" si="25"/>
        <v>-64</v>
      </c>
      <c r="F248" s="11">
        <f t="shared" si="26"/>
        <v>-13.793930113437112</v>
      </c>
      <c r="G248" s="11">
        <f t="shared" si="27"/>
        <v>-13.738656358491376</v>
      </c>
    </row>
    <row r="249" spans="5:7" x14ac:dyDescent="0.25">
      <c r="E249" s="11">
        <f t="shared" si="25"/>
        <v>-63</v>
      </c>
      <c r="F249" s="11">
        <f t="shared" si="26"/>
        <v>-13.58891313705521</v>
      </c>
      <c r="G249" s="11">
        <f t="shared" si="27"/>
        <v>-13.549487534208136</v>
      </c>
    </row>
    <row r="250" spans="5:7" x14ac:dyDescent="0.25">
      <c r="E250" s="11">
        <f t="shared" si="25"/>
        <v>-62</v>
      </c>
      <c r="F250" s="11">
        <f t="shared" si="26"/>
        <v>-13.374057709256931</v>
      </c>
      <c r="G250" s="11">
        <f t="shared" si="27"/>
        <v>-13.350900310775634</v>
      </c>
    </row>
    <row r="251" spans="5:7" x14ac:dyDescent="0.25">
      <c r="E251" s="11">
        <f t="shared" si="25"/>
        <v>-61</v>
      </c>
      <c r="F251" s="11">
        <f t="shared" si="26"/>
        <v>-13.149791810653664</v>
      </c>
      <c r="G251" s="11">
        <f t="shared" si="27"/>
        <v>-13.142545858595746</v>
      </c>
    </row>
    <row r="252" spans="5:7" x14ac:dyDescent="0.25">
      <c r="E252" s="11">
        <f t="shared" si="25"/>
        <v>-60</v>
      </c>
      <c r="F252" s="11">
        <f t="shared" si="26"/>
        <v>-12.916591602703944</v>
      </c>
      <c r="G252" s="11">
        <f t="shared" si="27"/>
        <v>-12.924075348070353</v>
      </c>
    </row>
    <row r="253" spans="5:7" x14ac:dyDescent="0.25">
      <c r="E253" s="11">
        <f t="shared" si="25"/>
        <v>-59</v>
      </c>
      <c r="F253" s="11">
        <f t="shared" si="26"/>
        <v>-12.674974662198792</v>
      </c>
      <c r="G253" s="11">
        <f t="shared" si="27"/>
        <v>-12.695139949601334</v>
      </c>
    </row>
    <row r="254" spans="5:7" x14ac:dyDescent="0.25">
      <c r="E254" s="11">
        <f t="shared" si="25"/>
        <v>-58</v>
      </c>
      <c r="F254" s="11">
        <f t="shared" si="26"/>
        <v>-12.425493600006158</v>
      </c>
      <c r="G254" s="11">
        <f t="shared" si="27"/>
        <v>-12.455390833590563</v>
      </c>
    </row>
    <row r="255" spans="5:7" x14ac:dyDescent="0.25">
      <c r="E255" s="11">
        <f t="shared" si="25"/>
        <v>-57</v>
      </c>
      <c r="F255" s="11">
        <f t="shared" si="26"/>
        <v>-12.168730052505262</v>
      </c>
      <c r="G255" s="11">
        <f t="shared" si="27"/>
        <v>-12.204479170439926</v>
      </c>
    </row>
    <row r="256" spans="5:7" x14ac:dyDescent="0.25">
      <c r="E256" s="11">
        <f t="shared" si="25"/>
        <v>-56</v>
      </c>
      <c r="F256" s="11">
        <f t="shared" si="26"/>
        <v>-11.905289034295196</v>
      </c>
      <c r="G256" s="11">
        <f t="shared" si="27"/>
        <v>-11.9420561305513</v>
      </c>
    </row>
    <row r="257" spans="5:7" x14ac:dyDescent="0.25">
      <c r="E257" s="11">
        <f t="shared" si="25"/>
        <v>-55</v>
      </c>
      <c r="F257" s="11">
        <f t="shared" si="26"/>
        <v>-11.635793640915075</v>
      </c>
      <c r="G257" s="11">
        <f t="shared" si="27"/>
        <v>-11.667772884326562</v>
      </c>
    </row>
    <row r="258" spans="5:7" x14ac:dyDescent="0.25">
      <c r="E258" s="11">
        <f t="shared" si="25"/>
        <v>-54</v>
      </c>
      <c r="F258" s="11">
        <f t="shared" si="26"/>
        <v>-11.360880090466477</v>
      </c>
      <c r="G258" s="11">
        <f t="shared" si="27"/>
        <v>-11.381280602167594</v>
      </c>
    </row>
    <row r="259" spans="5:7" x14ac:dyDescent="0.25">
      <c r="E259" s="11">
        <f t="shared" si="25"/>
        <v>-53</v>
      </c>
      <c r="F259" s="11">
        <f t="shared" si="26"/>
        <v>-11.081193093181932</v>
      </c>
      <c r="G259" s="11">
        <f t="shared" si="27"/>
        <v>-11.082230454476273</v>
      </c>
    </row>
    <row r="260" spans="5:7" x14ac:dyDescent="0.25">
      <c r="E260" s="11">
        <f t="shared" si="25"/>
        <v>-52</v>
      </c>
      <c r="F260" s="11">
        <f t="shared" si="26"/>
        <v>-10.797381538136589</v>
      </c>
      <c r="G260" s="11">
        <f t="shared" si="27"/>
        <v>-10.770273611654478</v>
      </c>
    </row>
    <row r="261" spans="5:7" x14ac:dyDescent="0.25">
      <c r="E261" s="11">
        <f t="shared" si="25"/>
        <v>-51</v>
      </c>
      <c r="F261" s="11">
        <f t="shared" si="26"/>
        <v>-10.510094486453317</v>
      </c>
      <c r="G261" s="11">
        <f t="shared" si="27"/>
        <v>-10.445061244104089</v>
      </c>
    </row>
    <row r="262" spans="5:7" x14ac:dyDescent="0.25">
      <c r="E262" s="11">
        <f t="shared" si="25"/>
        <v>-50</v>
      </c>
      <c r="F262" s="11">
        <f t="shared" si="26"/>
        <v>-10.219977460504786</v>
      </c>
      <c r="G262" s="11">
        <f t="shared" si="27"/>
        <v>-10.106244522226985</v>
      </c>
    </row>
    <row r="263" spans="5:7" x14ac:dyDescent="0.25">
      <c r="E263" s="11">
        <f t="shared" si="25"/>
        <v>-49</v>
      </c>
      <c r="F263" s="11">
        <f t="shared" si="26"/>
        <v>-9.9276690187692083</v>
      </c>
      <c r="G263" s="11">
        <f t="shared" si="27"/>
        <v>-9.8936806381198732</v>
      </c>
    </row>
    <row r="264" spans="5:7" x14ac:dyDescent="0.25">
      <c r="E264" s="11">
        <f t="shared" si="25"/>
        <v>-48</v>
      </c>
      <c r="F264" s="11">
        <f t="shared" si="26"/>
        <v>-9.6337976061497113</v>
      </c>
      <c r="G264" s="11">
        <f t="shared" si="27"/>
        <v>-9.6682128518881871</v>
      </c>
    </row>
    <row r="265" spans="5:7" x14ac:dyDescent="0.25">
      <c r="E265" s="11">
        <f t="shared" si="25"/>
        <v>-47</v>
      </c>
      <c r="F265" s="11">
        <f t="shared" si="26"/>
        <v>-9.3389786697205146</v>
      </c>
      <c r="G265" s="11">
        <f t="shared" si="27"/>
        <v>-9.4308904453321869</v>
      </c>
    </row>
    <row r="266" spans="5:7" x14ac:dyDescent="0.25">
      <c r="E266" s="11">
        <f t="shared" si="25"/>
        <v>-46</v>
      </c>
      <c r="F266" s="11">
        <f t="shared" si="26"/>
        <v>-9.0438120300162677</v>
      </c>
      <c r="G266" s="11">
        <f t="shared" si="27"/>
        <v>-9.1827627002521393</v>
      </c>
    </row>
    <row r="267" spans="5:7" x14ac:dyDescent="0.25">
      <c r="E267" s="11">
        <f t="shared" si="25"/>
        <v>-45</v>
      </c>
      <c r="F267" s="11">
        <f t="shared" si="26"/>
        <v>-8.7488794981341726</v>
      </c>
      <c r="G267" s="11">
        <f t="shared" si="27"/>
        <v>-8.9248788984483021</v>
      </c>
    </row>
    <row r="268" spans="5:7" x14ac:dyDescent="0.25">
      <c r="E268" s="11">
        <f t="shared" si="25"/>
        <v>-44</v>
      </c>
      <c r="F268" s="11">
        <f t="shared" si="26"/>
        <v>-8.4547427290716932</v>
      </c>
      <c r="G268" s="11">
        <f t="shared" si="27"/>
        <v>-8.6582883217209421</v>
      </c>
    </row>
    <row r="269" spans="5:7" x14ac:dyDescent="0.25">
      <c r="E269" s="11">
        <f t="shared" si="25"/>
        <v>-43</v>
      </c>
      <c r="F269" s="11">
        <f t="shared" si="26"/>
        <v>-8.1619413018759115</v>
      </c>
      <c r="G269" s="11">
        <f t="shared" si="27"/>
        <v>-8.3840402518703172</v>
      </c>
    </row>
    <row r="270" spans="5:7" x14ac:dyDescent="0.25">
      <c r="E270" s="11">
        <f t="shared" si="25"/>
        <v>-42</v>
      </c>
      <c r="F270" s="11">
        <f t="shared" si="26"/>
        <v>-7.8709910173337541</v>
      </c>
      <c r="G270" s="11">
        <f t="shared" si="27"/>
        <v>-8.1031839706966906</v>
      </c>
    </row>
    <row r="271" spans="5:7" x14ac:dyDescent="0.25">
      <c r="E271" s="11">
        <f t="shared" si="25"/>
        <v>-41</v>
      </c>
      <c r="F271" s="11">
        <f t="shared" si="26"/>
        <v>-7.5823824040856183</v>
      </c>
      <c r="G271" s="11">
        <f t="shared" si="27"/>
        <v>-7.8167687600003264</v>
      </c>
    </row>
    <row r="272" spans="5:7" x14ac:dyDescent="0.25">
      <c r="E272" s="11">
        <f t="shared" si="25"/>
        <v>-40</v>
      </c>
      <c r="F272" s="11">
        <f t="shared" si="26"/>
        <v>-7.2965794241980229</v>
      </c>
      <c r="G272" s="11">
        <f t="shared" si="27"/>
        <v>-7.525843901581486</v>
      </c>
    </row>
    <row r="273" spans="5:7" x14ac:dyDescent="0.25">
      <c r="E273" s="11">
        <f t="shared" si="25"/>
        <v>-39</v>
      </c>
      <c r="F273" s="11">
        <f t="shared" si="26"/>
        <v>-7.0140183693842575</v>
      </c>
      <c r="G273" s="11">
        <f t="shared" si="27"/>
        <v>-7.231458677240429</v>
      </c>
    </row>
    <row r="274" spans="5:7" x14ac:dyDescent="0.25">
      <c r="E274" s="11">
        <f t="shared" si="25"/>
        <v>-38</v>
      </c>
      <c r="F274" s="11">
        <f t="shared" si="26"/>
        <v>-6.7351069392151466</v>
      </c>
      <c r="G274" s="11">
        <f t="shared" si="27"/>
        <v>-6.9346623687774205</v>
      </c>
    </row>
    <row r="275" spans="5:7" x14ac:dyDescent="0.25">
      <c r="E275" s="11">
        <f t="shared" si="25"/>
        <v>-37</v>
      </c>
      <c r="F275" s="11">
        <f t="shared" si="26"/>
        <v>-6.4602234928152367</v>
      </c>
      <c r="G275" s="11">
        <f t="shared" si="27"/>
        <v>-6.6365042579927209</v>
      </c>
    </row>
    <row r="276" spans="5:7" x14ac:dyDescent="0.25">
      <c r="E276" s="11">
        <f t="shared" si="25"/>
        <v>-36</v>
      </c>
      <c r="F276" s="11">
        <f t="shared" si="26"/>
        <v>-6.1897164656930537</v>
      </c>
      <c r="G276" s="11">
        <f t="shared" si="27"/>
        <v>-6.3380336266865935</v>
      </c>
    </row>
    <row r="277" spans="5:7" x14ac:dyDescent="0.25">
      <c r="E277" s="11">
        <f t="shared" si="25"/>
        <v>-35</v>
      </c>
      <c r="F277" s="11">
        <f t="shared" si="26"/>
        <v>-5.923903943507133</v>
      </c>
      <c r="G277" s="11">
        <f t="shared" si="27"/>
        <v>-6.0402997566592997</v>
      </c>
    </row>
    <row r="278" spans="5:7" x14ac:dyDescent="0.25">
      <c r="E278" s="11">
        <f t="shared" si="25"/>
        <v>-34</v>
      </c>
      <c r="F278" s="11">
        <f t="shared" si="26"/>
        <v>-5.6630733847229164</v>
      </c>
      <c r="G278" s="11">
        <f t="shared" si="27"/>
        <v>-5.744351929711101</v>
      </c>
    </row>
    <row r="279" spans="5:7" x14ac:dyDescent="0.25">
      <c r="E279" s="11">
        <f t="shared" si="25"/>
        <v>-33</v>
      </c>
      <c r="F279" s="11">
        <f t="shared" si="26"/>
        <v>-5.4074814842686507</v>
      </c>
      <c r="G279" s="11">
        <f t="shared" si="27"/>
        <v>-5.4512394276422604</v>
      </c>
    </row>
    <row r="280" spans="5:7" x14ac:dyDescent="0.25">
      <c r="E280" s="11">
        <f t="shared" si="25"/>
        <v>-32</v>
      </c>
      <c r="F280" s="11">
        <f t="shared" si="26"/>
        <v>-5.157354170451816</v>
      </c>
      <c r="G280" s="11">
        <f t="shared" si="27"/>
        <v>-5.1620115322530404</v>
      </c>
    </row>
    <row r="281" spans="5:7" x14ac:dyDescent="0.25">
      <c r="E281" s="11">
        <f t="shared" si="25"/>
        <v>-31</v>
      </c>
      <c r="F281" s="11">
        <f t="shared" si="26"/>
        <v>-4.912886727550676</v>
      </c>
      <c r="G281" s="11">
        <f t="shared" si="27"/>
        <v>-4.8777175253437033</v>
      </c>
    </row>
    <row r="282" spans="5:7" x14ac:dyDescent="0.25">
      <c r="E282" s="11">
        <f t="shared" si="25"/>
        <v>-30</v>
      </c>
      <c r="F282" s="11">
        <f t="shared" si="26"/>
        <v>-4.6742440366488918</v>
      </c>
      <c r="G282" s="11">
        <f t="shared" si="27"/>
        <v>-4.5994066887145095</v>
      </c>
    </row>
    <row r="283" spans="5:7" x14ac:dyDescent="0.25">
      <c r="E283" s="11">
        <f t="shared" si="25"/>
        <v>-29</v>
      </c>
      <c r="F283" s="11">
        <f t="shared" si="26"/>
        <v>-4.4415609274342476</v>
      </c>
      <c r="G283" s="11">
        <f t="shared" si="27"/>
        <v>-4.3281283041657224</v>
      </c>
    </row>
    <row r="284" spans="5:7" x14ac:dyDescent="0.25">
      <c r="E284" s="11">
        <f t="shared" si="25"/>
        <v>-28</v>
      </c>
      <c r="F284" s="11">
        <f t="shared" si="26"/>
        <v>-4.214942633835844</v>
      </c>
      <c r="G284" s="11">
        <f t="shared" si="27"/>
        <v>-4.0649316534976041</v>
      </c>
    </row>
    <row r="285" spans="5:7" x14ac:dyDescent="0.25">
      <c r="E285" s="11">
        <f t="shared" si="25"/>
        <v>-27</v>
      </c>
      <c r="F285" s="11">
        <f t="shared" si="26"/>
        <v>-3.9944653465272806</v>
      </c>
      <c r="G285" s="11">
        <f t="shared" si="27"/>
        <v>-3.8108660185104153</v>
      </c>
    </row>
    <row r="286" spans="5:7" x14ac:dyDescent="0.25">
      <c r="E286" s="11">
        <f t="shared" si="25"/>
        <v>-26</v>
      </c>
      <c r="F286" s="11">
        <f t="shared" si="26"/>
        <v>-3.7801768554765824</v>
      </c>
      <c r="G286" s="11">
        <f t="shared" si="27"/>
        <v>-3.56698068100442</v>
      </c>
    </row>
    <row r="287" spans="5:7" x14ac:dyDescent="0.25">
      <c r="E287" s="11">
        <f t="shared" ref="E287:E350" si="28">E80</f>
        <v>-25</v>
      </c>
      <c r="F287" s="11">
        <f t="shared" ref="F287:F350" si="29">$H$217*0+E287*$I$217+E287^2*$J$217+E287^3*$K$217+E287^4*$L$217+E287^5*$M$217+E287^6*$N$217+E287^7*$O$217+E287^8*$P$217</f>
        <v>-3.5720972758768474</v>
      </c>
      <c r="G287" s="11">
        <f t="shared" ref="G287:G350" si="30">F80</f>
        <v>-3.3343249227798797</v>
      </c>
    </row>
    <row r="288" spans="5:7" x14ac:dyDescent="0.25">
      <c r="E288" s="11">
        <f t="shared" si="28"/>
        <v>-24</v>
      </c>
      <c r="F288" s="11">
        <f t="shared" si="29"/>
        <v>-3.3702198509448187</v>
      </c>
      <c r="G288" s="11">
        <f t="shared" si="30"/>
        <v>-3.1136768772530949</v>
      </c>
    </row>
    <row r="289" spans="5:7" x14ac:dyDescent="0.25">
      <c r="E289" s="11">
        <f t="shared" si="28"/>
        <v>-23</v>
      </c>
      <c r="F289" s="11">
        <f t="shared" si="29"/>
        <v>-3.1745118252277731</v>
      </c>
      <c r="G289" s="11">
        <f t="shared" si="30"/>
        <v>-2.904730084304517</v>
      </c>
    </row>
    <row r="290" spans="5:7" x14ac:dyDescent="0.25">
      <c r="E290" s="11">
        <f t="shared" si="28"/>
        <v>-22</v>
      </c>
      <c r="F290" s="11">
        <f t="shared" si="29"/>
        <v>-2.9849153822123773</v>
      </c>
      <c r="G290" s="11">
        <f t="shared" si="30"/>
        <v>-2.706906935430637</v>
      </c>
    </row>
    <row r="291" spans="5:7" x14ac:dyDescent="0.25">
      <c r="E291" s="11">
        <f t="shared" si="28"/>
        <v>-21</v>
      </c>
      <c r="F291" s="11">
        <f t="shared" si="29"/>
        <v>-2.8013486401823418</v>
      </c>
      <c r="G291" s="11">
        <f t="shared" si="30"/>
        <v>-2.5196298221279441</v>
      </c>
    </row>
    <row r="292" spans="5:7" x14ac:dyDescent="0.25">
      <c r="E292" s="11">
        <f t="shared" si="28"/>
        <v>-20</v>
      </c>
      <c r="F292" s="11">
        <f t="shared" si="29"/>
        <v>-2.6237067004249615</v>
      </c>
      <c r="G292" s="11">
        <f t="shared" si="30"/>
        <v>-2.3423211358929299</v>
      </c>
    </row>
    <row r="293" spans="5:7" x14ac:dyDescent="0.25">
      <c r="E293" s="11">
        <f t="shared" si="28"/>
        <v>-19</v>
      </c>
      <c r="F293" s="11">
        <f t="shared" si="29"/>
        <v>-2.4518627420398165</v>
      </c>
      <c r="G293" s="11">
        <f t="shared" si="30"/>
        <v>-2.1744032682220831</v>
      </c>
    </row>
    <row r="294" spans="5:7" x14ac:dyDescent="0.25">
      <c r="E294" s="11">
        <f t="shared" si="28"/>
        <v>-18</v>
      </c>
      <c r="F294" s="11">
        <f t="shared" si="29"/>
        <v>-2.2856691577561308</v>
      </c>
      <c r="G294" s="11">
        <f t="shared" si="30"/>
        <v>-2.0152986106118953</v>
      </c>
    </row>
    <row r="295" spans="5:7" x14ac:dyDescent="0.25">
      <c r="E295" s="11">
        <f t="shared" si="28"/>
        <v>-17</v>
      </c>
      <c r="F295" s="11">
        <f t="shared" si="29"/>
        <v>-2.124958725318542</v>
      </c>
      <c r="G295" s="11">
        <f t="shared" si="30"/>
        <v>-1.8644295545588563</v>
      </c>
    </row>
    <row r="296" spans="5:7" x14ac:dyDescent="0.25">
      <c r="E296" s="11">
        <f t="shared" si="28"/>
        <v>-16</v>
      </c>
      <c r="F296" s="11">
        <f t="shared" si="29"/>
        <v>-1.9695458091541862</v>
      </c>
      <c r="G296" s="11">
        <f t="shared" si="30"/>
        <v>-1.7212184915594564</v>
      </c>
    </row>
    <row r="297" spans="5:7" x14ac:dyDescent="0.25">
      <c r="E297" s="11">
        <f t="shared" si="28"/>
        <v>-15</v>
      </c>
      <c r="F297" s="11">
        <f t="shared" si="29"/>
        <v>-1.8192275871872965</v>
      </c>
      <c r="G297" s="11">
        <f t="shared" si="30"/>
        <v>-1.5850878131101855</v>
      </c>
    </row>
    <row r="298" spans="5:7" x14ac:dyDescent="0.25">
      <c r="E298" s="11">
        <f t="shared" si="28"/>
        <v>-14</v>
      </c>
      <c r="F298" s="11">
        <f t="shared" si="29"/>
        <v>-1.6737852978206673</v>
      </c>
      <c r="G298" s="11">
        <f t="shared" si="30"/>
        <v>-1.4554599107075346</v>
      </c>
    </row>
    <row r="299" spans="5:7" x14ac:dyDescent="0.25">
      <c r="E299" s="11">
        <f t="shared" si="28"/>
        <v>-13</v>
      </c>
      <c r="F299" s="11">
        <f t="shared" si="29"/>
        <v>-1.5329855022565986</v>
      </c>
      <c r="G299" s="11">
        <f t="shared" si="30"/>
        <v>-1.3317571758479927</v>
      </c>
    </row>
    <row r="300" spans="5:7" x14ac:dyDescent="0.25">
      <c r="E300" s="11">
        <f t="shared" si="28"/>
        <v>-12</v>
      </c>
      <c r="F300" s="11">
        <f t="shared" si="29"/>
        <v>-1.3965813574831352</v>
      </c>
      <c r="G300" s="11">
        <f t="shared" si="30"/>
        <v>-1.213402000028051</v>
      </c>
    </row>
    <row r="301" spans="5:7" x14ac:dyDescent="0.25">
      <c r="E301" s="11">
        <f t="shared" si="28"/>
        <v>-11</v>
      </c>
      <c r="F301" s="11">
        <f t="shared" si="29"/>
        <v>-1.26431389540463</v>
      </c>
      <c r="G301" s="11">
        <f t="shared" si="30"/>
        <v>-1.0998167747441998</v>
      </c>
    </row>
    <row r="302" spans="5:7" x14ac:dyDescent="0.25">
      <c r="E302" s="11">
        <f t="shared" si="28"/>
        <v>-10</v>
      </c>
      <c r="F302" s="11">
        <f t="shared" si="29"/>
        <v>-1.1359133037488978</v>
      </c>
      <c r="G302" s="11">
        <f t="shared" si="30"/>
        <v>-0.99042389149292887</v>
      </c>
    </row>
    <row r="303" spans="5:7" x14ac:dyDescent="0.25">
      <c r="E303" s="11">
        <f t="shared" si="28"/>
        <v>-9</v>
      </c>
      <c r="F303" s="11">
        <f t="shared" si="29"/>
        <v>-1.011100204536423</v>
      </c>
      <c r="G303" s="11">
        <f t="shared" si="30"/>
        <v>-0.88464574177072863</v>
      </c>
    </row>
    <row r="304" spans="5:7" x14ac:dyDescent="0.25">
      <c r="E304" s="11">
        <f t="shared" si="28"/>
        <v>-8</v>
      </c>
      <c r="F304" s="11">
        <f t="shared" si="29"/>
        <v>-0.88958692605031731</v>
      </c>
      <c r="G304" s="11">
        <f t="shared" si="30"/>
        <v>-0.78190471707408948</v>
      </c>
    </row>
    <row r="305" spans="5:7" x14ac:dyDescent="0.25">
      <c r="E305" s="11">
        <f t="shared" si="28"/>
        <v>-7</v>
      </c>
      <c r="F305" s="11">
        <f t="shared" si="29"/>
        <v>-0.77107876439894163</v>
      </c>
      <c r="G305" s="11">
        <f t="shared" si="30"/>
        <v>-0.68162320889950145</v>
      </c>
    </row>
    <row r="306" spans="5:7" x14ac:dyDescent="0.25">
      <c r="E306" s="11">
        <f t="shared" si="28"/>
        <v>-6</v>
      </c>
      <c r="F306" s="11">
        <f t="shared" si="29"/>
        <v>-0.65527523091631434</v>
      </c>
      <c r="G306" s="11">
        <f t="shared" si="30"/>
        <v>-0.58322360874345491</v>
      </c>
    </row>
    <row r="307" spans="5:7" x14ac:dyDescent="0.25">
      <c r="E307" s="11">
        <f t="shared" si="28"/>
        <v>-5</v>
      </c>
      <c r="F307" s="11">
        <f t="shared" si="29"/>
        <v>-0.54187128179866229</v>
      </c>
      <c r="G307" s="11">
        <f t="shared" si="30"/>
        <v>-0.48612830810244007</v>
      </c>
    </row>
    <row r="308" spans="5:7" x14ac:dyDescent="0.25">
      <c r="E308" s="11">
        <f t="shared" si="28"/>
        <v>-4</v>
      </c>
      <c r="F308" s="11">
        <f t="shared" si="29"/>
        <v>-0.43055852652867449</v>
      </c>
      <c r="G308" s="11">
        <f t="shared" si="30"/>
        <v>-0.38975969847294717</v>
      </c>
    </row>
    <row r="309" spans="5:7" x14ac:dyDescent="0.25">
      <c r="E309" s="11">
        <f t="shared" si="28"/>
        <v>-3</v>
      </c>
      <c r="F309" s="11">
        <f t="shared" si="29"/>
        <v>-0.32102641179224861</v>
      </c>
      <c r="G309" s="11">
        <f t="shared" si="30"/>
        <v>-0.29354017135146648</v>
      </c>
    </row>
    <row r="310" spans="5:7" x14ac:dyDescent="0.25">
      <c r="E310" s="11">
        <f t="shared" si="28"/>
        <v>-2</v>
      </c>
      <c r="F310" s="11">
        <f t="shared" si="29"/>
        <v>-0.2129633777457329</v>
      </c>
      <c r="G310" s="11">
        <f t="shared" si="30"/>
        <v>-0.19689211823448818</v>
      </c>
    </row>
    <row r="311" spans="5:7" x14ac:dyDescent="0.25">
      <c r="E311" s="11">
        <f t="shared" si="28"/>
        <v>-1</v>
      </c>
      <c r="F311" s="11">
        <f t="shared" si="29"/>
        <v>-0.10605798364488657</v>
      </c>
      <c r="G311" s="11">
        <f t="shared" si="30"/>
        <v>-9.9237930618502612E-2</v>
      </c>
    </row>
    <row r="312" spans="5:7" x14ac:dyDescent="0.25">
      <c r="E312" s="11">
        <f t="shared" si="28"/>
        <v>0</v>
      </c>
      <c r="F312" s="11">
        <f t="shared" si="29"/>
        <v>0</v>
      </c>
      <c r="G312" s="11">
        <f t="shared" si="30"/>
        <v>2.7755575615628914E-17</v>
      </c>
    </row>
    <row r="313" spans="5:7" x14ac:dyDescent="0.25">
      <c r="E313" s="11">
        <f t="shared" si="28"/>
        <v>1</v>
      </c>
      <c r="F313" s="11">
        <f t="shared" si="29"/>
        <v>0.10551853542516389</v>
      </c>
      <c r="G313" s="11">
        <f t="shared" si="30"/>
        <v>0.10131007066628853</v>
      </c>
    </row>
    <row r="314" spans="5:7" x14ac:dyDescent="0.25">
      <c r="E314" s="11">
        <f t="shared" si="28"/>
        <v>2</v>
      </c>
      <c r="F314" s="11">
        <f t="shared" si="29"/>
        <v>0.21080230029972949</v>
      </c>
      <c r="G314" s="11">
        <f t="shared" si="30"/>
        <v>0.20482383259266784</v>
      </c>
    </row>
    <row r="315" spans="5:7" x14ac:dyDescent="0.25">
      <c r="E315" s="11">
        <f t="shared" si="28"/>
        <v>3</v>
      </c>
      <c r="F315" s="11">
        <f t="shared" si="29"/>
        <v>0.31615171147327087</v>
      </c>
      <c r="G315" s="11">
        <f t="shared" si="30"/>
        <v>0.31058362553320218</v>
      </c>
    </row>
    <row r="316" spans="5:7" x14ac:dyDescent="0.25">
      <c r="E316" s="11">
        <f t="shared" si="28"/>
        <v>4</v>
      </c>
      <c r="F316" s="11">
        <f t="shared" si="29"/>
        <v>0.42186199200726077</v>
      </c>
      <c r="G316" s="11">
        <f t="shared" si="30"/>
        <v>0.41863178924195532</v>
      </c>
    </row>
    <row r="317" spans="5:7" x14ac:dyDescent="0.25">
      <c r="E317" s="11">
        <f t="shared" si="28"/>
        <v>5</v>
      </c>
      <c r="F317" s="11">
        <f t="shared" si="29"/>
        <v>0.52822228355987166</v>
      </c>
      <c r="G317" s="11">
        <f t="shared" si="30"/>
        <v>0.52901066347299164</v>
      </c>
    </row>
    <row r="318" spans="5:7" x14ac:dyDescent="0.25">
      <c r="E318" s="11">
        <f t="shared" si="28"/>
        <v>6</v>
      </c>
      <c r="F318" s="11">
        <f t="shared" si="29"/>
        <v>0.63551480604037347</v>
      </c>
      <c r="G318" s="11">
        <f t="shared" si="30"/>
        <v>0.64176258798037489</v>
      </c>
    </row>
    <row r="319" spans="5:7" x14ac:dyDescent="0.25">
      <c r="E319" s="11">
        <f t="shared" si="28"/>
        <v>7</v>
      </c>
      <c r="F319" s="11">
        <f t="shared" si="29"/>
        <v>0.74401406629615896</v>
      </c>
      <c r="G319" s="11">
        <f t="shared" si="30"/>
        <v>0.75692990251816916</v>
      </c>
    </row>
    <row r="320" spans="5:7" x14ac:dyDescent="0.25">
      <c r="E320" s="11">
        <f t="shared" si="28"/>
        <v>8</v>
      </c>
      <c r="F320" s="11">
        <f t="shared" si="29"/>
        <v>0.85398611744220077</v>
      </c>
      <c r="G320" s="11">
        <f t="shared" si="30"/>
        <v>0.87455494684043855</v>
      </c>
    </row>
    <row r="321" spans="5:7" x14ac:dyDescent="0.25">
      <c r="E321" s="11">
        <f t="shared" si="28"/>
        <v>9</v>
      </c>
      <c r="F321" s="11">
        <f t="shared" si="29"/>
        <v>0.96568787028953607</v>
      </c>
      <c r="G321" s="11">
        <f t="shared" si="30"/>
        <v>0.99468006070124726</v>
      </c>
    </row>
    <row r="322" spans="5:7" x14ac:dyDescent="0.25">
      <c r="E322" s="11">
        <f t="shared" si="28"/>
        <v>10</v>
      </c>
      <c r="F322" s="11">
        <f t="shared" si="29"/>
        <v>1.0793664581761464</v>
      </c>
      <c r="G322" s="11">
        <f t="shared" si="30"/>
        <v>1.1173475838546589</v>
      </c>
    </row>
    <row r="323" spans="5:7" x14ac:dyDescent="0.25">
      <c r="E323" s="11">
        <f t="shared" si="28"/>
        <v>11</v>
      </c>
      <c r="F323" s="11">
        <f t="shared" si="29"/>
        <v>1.1952586563503873</v>
      </c>
      <c r="G323" s="11">
        <f t="shared" si="30"/>
        <v>1.2425998560547382</v>
      </c>
    </row>
    <row r="324" spans="5:7" x14ac:dyDescent="0.25">
      <c r="E324" s="11">
        <f t="shared" si="28"/>
        <v>12</v>
      </c>
      <c r="F324" s="11">
        <f t="shared" si="29"/>
        <v>1.3135903569038987</v>
      </c>
      <c r="G324" s="11">
        <f t="shared" si="30"/>
        <v>1.3704792170555486</v>
      </c>
    </row>
    <row r="325" spans="5:7" x14ac:dyDescent="0.25">
      <c r="E325" s="11">
        <f t="shared" si="28"/>
        <v>13</v>
      </c>
      <c r="F325" s="11">
        <f t="shared" si="29"/>
        <v>1.4345761000977215</v>
      </c>
      <c r="G325" s="11">
        <f t="shared" si="30"/>
        <v>1.5010280066111541</v>
      </c>
    </row>
    <row r="326" spans="5:7" x14ac:dyDescent="0.25">
      <c r="E326" s="11">
        <f t="shared" si="28"/>
        <v>14</v>
      </c>
      <c r="F326" s="11">
        <f t="shared" si="29"/>
        <v>1.5584186627721031</v>
      </c>
      <c r="G326" s="11">
        <f t="shared" si="30"/>
        <v>1.6342885644756193</v>
      </c>
    </row>
    <row r="327" spans="5:7" x14ac:dyDescent="0.25">
      <c r="E327" s="11">
        <f t="shared" si="28"/>
        <v>15</v>
      </c>
      <c r="F327" s="11">
        <f t="shared" si="29"/>
        <v>1.6853087043772799</v>
      </c>
      <c r="G327" s="11">
        <f t="shared" si="30"/>
        <v>1.7703032304030075</v>
      </c>
    </row>
    <row r="328" spans="5:7" x14ac:dyDescent="0.25">
      <c r="E328" s="11">
        <f t="shared" si="28"/>
        <v>16</v>
      </c>
      <c r="F328" s="11">
        <f t="shared" si="29"/>
        <v>1.8154244710092959</v>
      </c>
      <c r="G328" s="11">
        <f t="shared" si="30"/>
        <v>1.9091143441473837</v>
      </c>
    </row>
    <row r="329" spans="5:7" x14ac:dyDescent="0.25">
      <c r="E329" s="11">
        <f t="shared" si="28"/>
        <v>17</v>
      </c>
      <c r="F329" s="11">
        <f t="shared" si="29"/>
        <v>1.9489315576816955</v>
      </c>
      <c r="G329" s="11">
        <f t="shared" si="30"/>
        <v>2.050764245462811</v>
      </c>
    </row>
    <row r="330" spans="5:7" x14ac:dyDescent="0.25">
      <c r="E330" s="11">
        <f t="shared" si="28"/>
        <v>18</v>
      </c>
      <c r="F330" s="11">
        <f t="shared" si="29"/>
        <v>2.0859827289107091</v>
      </c>
      <c r="G330" s="11">
        <f t="shared" si="30"/>
        <v>2.195295274103354</v>
      </c>
    </row>
    <row r="331" spans="5:7" x14ac:dyDescent="0.25">
      <c r="E331" s="11">
        <f t="shared" si="28"/>
        <v>19</v>
      </c>
      <c r="F331" s="11">
        <f t="shared" si="29"/>
        <v>2.2267177975383436</v>
      </c>
      <c r="G331" s="11">
        <f t="shared" si="30"/>
        <v>2.3427497698230764</v>
      </c>
    </row>
    <row r="332" spans="5:7" x14ac:dyDescent="0.25">
      <c r="E332" s="11">
        <f t="shared" si="28"/>
        <v>20</v>
      </c>
      <c r="F332" s="11">
        <f t="shared" si="29"/>
        <v>2.3712635615645605</v>
      </c>
      <c r="G332" s="11">
        <f t="shared" si="30"/>
        <v>2.4931700723760426</v>
      </c>
    </row>
    <row r="333" spans="5:7" x14ac:dyDescent="0.25">
      <c r="E333" s="11">
        <f t="shared" si="28"/>
        <v>21</v>
      </c>
      <c r="F333" s="11">
        <f t="shared" si="29"/>
        <v>2.5197337986064996</v>
      </c>
      <c r="G333" s="11">
        <f t="shared" si="30"/>
        <v>2.6465985215163164</v>
      </c>
    </row>
    <row r="334" spans="5:7" x14ac:dyDescent="0.25">
      <c r="E334" s="11">
        <f t="shared" si="28"/>
        <v>22</v>
      </c>
      <c r="F334" s="11">
        <f t="shared" si="29"/>
        <v>2.6722293174495091</v>
      </c>
      <c r="G334" s="11">
        <f t="shared" si="30"/>
        <v>2.8030774569979622</v>
      </c>
    </row>
    <row r="335" spans="5:7" x14ac:dyDescent="0.25">
      <c r="E335" s="11">
        <f t="shared" si="28"/>
        <v>23</v>
      </c>
      <c r="F335" s="11">
        <f t="shared" si="29"/>
        <v>2.8288380660014907</v>
      </c>
      <c r="G335" s="11">
        <f t="shared" si="30"/>
        <v>2.9626492185750437</v>
      </c>
    </row>
    <row r="336" spans="5:7" x14ac:dyDescent="0.25">
      <c r="E336" s="11">
        <f t="shared" si="28"/>
        <v>24</v>
      </c>
      <c r="F336" s="11">
        <f t="shared" si="29"/>
        <v>2.9896352948089064</v>
      </c>
      <c r="G336" s="11">
        <f t="shared" si="30"/>
        <v>3.125356146001625</v>
      </c>
    </row>
    <row r="337" spans="5:7" x14ac:dyDescent="0.25">
      <c r="E337" s="11">
        <f t="shared" si="28"/>
        <v>25</v>
      </c>
      <c r="F337" s="11">
        <f t="shared" si="29"/>
        <v>3.1546837751394867</v>
      </c>
      <c r="G337" s="11">
        <f t="shared" si="30"/>
        <v>3.2912405790317694</v>
      </c>
    </row>
    <row r="338" spans="5:7" x14ac:dyDescent="0.25">
      <c r="E338" s="11">
        <f t="shared" si="28"/>
        <v>26</v>
      </c>
      <c r="F338" s="11">
        <f t="shared" si="29"/>
        <v>3.3240340704835654</v>
      </c>
      <c r="G338" s="11">
        <f t="shared" si="30"/>
        <v>3.4603448574195426</v>
      </c>
    </row>
    <row r="339" spans="5:7" x14ac:dyDescent="0.25">
      <c r="E339" s="11">
        <f t="shared" si="28"/>
        <v>27</v>
      </c>
      <c r="F339" s="11">
        <f t="shared" si="29"/>
        <v>3.4977248601726574</v>
      </c>
      <c r="G339" s="11">
        <f t="shared" si="30"/>
        <v>3.6327113209190074</v>
      </c>
    </row>
    <row r="340" spans="5:7" x14ac:dyDescent="0.25">
      <c r="E340" s="11">
        <f t="shared" si="28"/>
        <v>28</v>
      </c>
      <c r="F340" s="11">
        <f t="shared" si="29"/>
        <v>3.6757833136607316</v>
      </c>
      <c r="G340" s="11">
        <f t="shared" si="30"/>
        <v>3.8083823092842279</v>
      </c>
    </row>
    <row r="341" spans="5:7" x14ac:dyDescent="0.25">
      <c r="E341" s="11">
        <f t="shared" si="28"/>
        <v>29</v>
      </c>
      <c r="F341" s="11">
        <f t="shared" si="29"/>
        <v>3.8582255138603956</v>
      </c>
      <c r="G341" s="11">
        <f t="shared" si="30"/>
        <v>3.9874001622692687</v>
      </c>
    </row>
    <row r="342" spans="5:7" x14ac:dyDescent="0.25">
      <c r="E342" s="11">
        <f t="shared" si="28"/>
        <v>30</v>
      </c>
      <c r="F342" s="11">
        <f t="shared" si="29"/>
        <v>4.0450569277729844</v>
      </c>
      <c r="G342" s="11">
        <f t="shared" si="30"/>
        <v>4.1698072196281935</v>
      </c>
    </row>
    <row r="343" spans="5:7" x14ac:dyDescent="0.25">
      <c r="E343" s="11">
        <f t="shared" si="28"/>
        <v>31</v>
      </c>
      <c r="F343" s="11">
        <f t="shared" si="29"/>
        <v>4.2362729224983404</v>
      </c>
      <c r="G343" s="11">
        <f t="shared" si="30"/>
        <v>4.3556436932848408</v>
      </c>
    </row>
    <row r="344" spans="5:7" x14ac:dyDescent="0.25">
      <c r="E344" s="11">
        <f t="shared" si="28"/>
        <v>32</v>
      </c>
      <c r="F344" s="11">
        <f t="shared" si="29"/>
        <v>4.4318593245568296</v>
      </c>
      <c r="G344" s="11">
        <f t="shared" si="30"/>
        <v>4.544941283842145</v>
      </c>
    </row>
    <row r="345" spans="5:7" x14ac:dyDescent="0.25">
      <c r="E345" s="11">
        <f t="shared" si="28"/>
        <v>33</v>
      </c>
      <c r="F345" s="11">
        <f t="shared" si="29"/>
        <v>4.6317930203029647</v>
      </c>
      <c r="G345" s="11">
        <f t="shared" si="30"/>
        <v>4.7377295640728168</v>
      </c>
    </row>
    <row r="346" spans="5:7" x14ac:dyDescent="0.25">
      <c r="E346" s="11">
        <f t="shared" si="28"/>
        <v>34</v>
      </c>
      <c r="F346" s="11">
        <f t="shared" si="29"/>
        <v>4.8360425950567238</v>
      </c>
      <c r="G346" s="11">
        <f t="shared" si="30"/>
        <v>4.934038106749564</v>
      </c>
    </row>
    <row r="347" spans="5:7" x14ac:dyDescent="0.25">
      <c r="E347" s="11">
        <f t="shared" si="28"/>
        <v>35</v>
      </c>
      <c r="F347" s="11">
        <f t="shared" si="29"/>
        <v>5.0445690084254977</v>
      </c>
      <c r="G347" s="11">
        <f t="shared" si="30"/>
        <v>5.1338964846450965</v>
      </c>
    </row>
    <row r="348" spans="5:7" x14ac:dyDescent="0.25">
      <c r="E348" s="11">
        <f t="shared" si="28"/>
        <v>36</v>
      </c>
      <c r="F348" s="11">
        <f t="shared" si="29"/>
        <v>5.2573263031363329</v>
      </c>
      <c r="G348" s="11">
        <f t="shared" si="30"/>
        <v>5.3373342705321249</v>
      </c>
    </row>
    <row r="349" spans="5:7" x14ac:dyDescent="0.25">
      <c r="E349" s="11">
        <f t="shared" si="28"/>
        <v>37</v>
      </c>
      <c r="F349" s="11">
        <f t="shared" si="29"/>
        <v>5.4742623445449592</v>
      </c>
      <c r="G349" s="11">
        <f t="shared" si="30"/>
        <v>5.5443810371833573</v>
      </c>
    </row>
    <row r="350" spans="5:7" x14ac:dyDescent="0.25">
      <c r="E350" s="11">
        <f t="shared" si="28"/>
        <v>38</v>
      </c>
      <c r="F350" s="11">
        <f t="shared" si="29"/>
        <v>5.6953195878348151</v>
      </c>
      <c r="G350" s="11">
        <f t="shared" si="30"/>
        <v>5.7550663573715024</v>
      </c>
    </row>
    <row r="351" spans="5:7" x14ac:dyDescent="0.25">
      <c r="E351" s="11">
        <f t="shared" ref="E351:E414" si="31">E144</f>
        <v>39</v>
      </c>
      <c r="F351" s="11">
        <f t="shared" ref="F351:F414" si="32">$H$217*0+E351*$I$217+E351^2*$J$217+E351^3*$K$217+E351^4*$L$217+E351^5*$M$217+E351^6*$N$217+E351^7*$O$217+E351^8*$P$217</f>
        <v>5.9204358697661457</v>
      </c>
      <c r="G351" s="11">
        <f t="shared" ref="G351:G414" si="33">F144</f>
        <v>5.969419803869271</v>
      </c>
    </row>
    <row r="352" spans="5:7" x14ac:dyDescent="0.25">
      <c r="E352" s="11">
        <f t="shared" si="31"/>
        <v>40</v>
      </c>
      <c r="F352" s="11">
        <f t="shared" si="32"/>
        <v>6.1495452216819499</v>
      </c>
      <c r="G352" s="11">
        <f t="shared" si="33"/>
        <v>6.1874709494493718</v>
      </c>
    </row>
    <row r="353" spans="5:7" x14ac:dyDescent="0.25">
      <c r="E353" s="11">
        <f t="shared" si="31"/>
        <v>41</v>
      </c>
      <c r="F353" s="11">
        <f t="shared" si="32"/>
        <v>6.3825787003243812</v>
      </c>
      <c r="G353" s="11">
        <f t="shared" si="33"/>
        <v>6.4092493668845147</v>
      </c>
    </row>
    <row r="354" spans="5:7" x14ac:dyDescent="0.25">
      <c r="E354" s="11">
        <f t="shared" si="31"/>
        <v>42</v>
      </c>
      <c r="F354" s="11">
        <f t="shared" si="32"/>
        <v>6.6194652328619767</v>
      </c>
      <c r="G354" s="11">
        <f t="shared" si="33"/>
        <v>6.6347846289474077</v>
      </c>
    </row>
    <row r="355" spans="5:7" x14ac:dyDescent="0.25">
      <c r="E355" s="11">
        <f t="shared" si="31"/>
        <v>43</v>
      </c>
      <c r="F355" s="11">
        <f t="shared" si="32"/>
        <v>6.8601324723748736</v>
      </c>
      <c r="G355" s="11">
        <f t="shared" si="33"/>
        <v>6.8641063084107614</v>
      </c>
    </row>
    <row r="356" spans="5:7" x14ac:dyDescent="0.25">
      <c r="E356" s="11">
        <f t="shared" si="31"/>
        <v>44</v>
      </c>
      <c r="F356" s="11">
        <f t="shared" si="32"/>
        <v>7.1045076598919445</v>
      </c>
      <c r="G356" s="11">
        <f t="shared" si="33"/>
        <v>7.0972439780472847</v>
      </c>
    </row>
    <row r="357" spans="5:7" x14ac:dyDescent="0.25">
      <c r="E357" s="11">
        <f t="shared" si="31"/>
        <v>45</v>
      </c>
      <c r="F357" s="11">
        <f t="shared" si="32"/>
        <v>7.3525184889205715</v>
      </c>
      <c r="G357" s="11">
        <f t="shared" si="33"/>
        <v>7.3342272106296864</v>
      </c>
    </row>
    <row r="358" spans="5:7" x14ac:dyDescent="0.25">
      <c r="E358" s="11">
        <f t="shared" si="31"/>
        <v>46</v>
      </c>
      <c r="F358" s="11">
        <f t="shared" si="32"/>
        <v>7.6040939682565432</v>
      </c>
      <c r="G358" s="11">
        <f t="shared" si="33"/>
        <v>7.5750855789306772</v>
      </c>
    </row>
    <row r="359" spans="5:7" x14ac:dyDescent="0.25">
      <c r="E359" s="11">
        <f t="shared" si="31"/>
        <v>47</v>
      </c>
      <c r="F359" s="11">
        <f t="shared" si="32"/>
        <v>7.8591652787083959</v>
      </c>
      <c r="G359" s="11">
        <f t="shared" si="33"/>
        <v>7.8198486557229652</v>
      </c>
    </row>
    <row r="360" spans="5:7" x14ac:dyDescent="0.25">
      <c r="E360" s="11">
        <f t="shared" si="31"/>
        <v>48</v>
      </c>
      <c r="F360" s="11">
        <f t="shared" si="32"/>
        <v>8.1176666192172107</v>
      </c>
      <c r="G360" s="11">
        <f t="shared" si="33"/>
        <v>8.06854601377926</v>
      </c>
    </row>
    <row r="361" spans="5:7" x14ac:dyDescent="0.25">
      <c r="E361" s="11">
        <f t="shared" si="31"/>
        <v>49</v>
      </c>
      <c r="F361" s="11">
        <f t="shared" si="32"/>
        <v>8.3795360376997454</v>
      </c>
      <c r="G361" s="11">
        <f t="shared" si="33"/>
        <v>8.3212072258722714</v>
      </c>
    </row>
    <row r="362" spans="5:7" x14ac:dyDescent="0.25">
      <c r="E362" s="11">
        <f t="shared" si="31"/>
        <v>50</v>
      </c>
      <c r="F362" s="11">
        <f t="shared" si="32"/>
        <v>8.6447162417895118</v>
      </c>
      <c r="G362" s="11">
        <f t="shared" si="33"/>
        <v>8.5778618647747109</v>
      </c>
    </row>
    <row r="363" spans="5:7" x14ac:dyDescent="0.25">
      <c r="E363" s="11">
        <f t="shared" si="31"/>
        <v>51</v>
      </c>
      <c r="F363" s="11">
        <f t="shared" si="32"/>
        <v>8.9131553844972071</v>
      </c>
      <c r="G363" s="11">
        <f t="shared" si="33"/>
        <v>8.8385395032592822</v>
      </c>
    </row>
    <row r="364" spans="5:7" x14ac:dyDescent="0.25">
      <c r="E364" s="11">
        <f t="shared" si="31"/>
        <v>52</v>
      </c>
      <c r="F364" s="11">
        <f t="shared" si="32"/>
        <v>9.1848078196586922</v>
      </c>
      <c r="G364" s="11">
        <f t="shared" si="33"/>
        <v>9.1032697140986993</v>
      </c>
    </row>
    <row r="365" spans="5:7" x14ac:dyDescent="0.25">
      <c r="E365" s="11">
        <f t="shared" si="31"/>
        <v>53</v>
      </c>
      <c r="F365" s="11">
        <f t="shared" si="32"/>
        <v>9.4596348218854569</v>
      </c>
      <c r="G365" s="11">
        <f t="shared" si="33"/>
        <v>9.3720820700656695</v>
      </c>
    </row>
    <row r="366" spans="5:7" x14ac:dyDescent="0.25">
      <c r="E366" s="11">
        <f t="shared" si="31"/>
        <v>54</v>
      </c>
      <c r="F366" s="11">
        <f t="shared" si="32"/>
        <v>9.7376052655793668</v>
      </c>
      <c r="G366" s="11">
        <f t="shared" si="33"/>
        <v>9.6450061439329051</v>
      </c>
    </row>
    <row r="367" spans="5:7" x14ac:dyDescent="0.25">
      <c r="E367" s="11">
        <f t="shared" si="31"/>
        <v>55</v>
      </c>
      <c r="F367" s="11">
        <f t="shared" si="32"/>
        <v>10.01869625742021</v>
      </c>
      <c r="G367" s="11">
        <f t="shared" si="33"/>
        <v>9.9220715084731115</v>
      </c>
    </row>
    <row r="368" spans="5:7" x14ac:dyDescent="0.25">
      <c r="E368" s="11">
        <f t="shared" si="31"/>
        <v>56</v>
      </c>
      <c r="F368" s="11">
        <f t="shared" si="32"/>
        <v>10.302893716581311</v>
      </c>
      <c r="G368" s="11">
        <f t="shared" si="33"/>
        <v>10.203307736459001</v>
      </c>
    </row>
    <row r="369" spans="5:7" x14ac:dyDescent="0.25">
      <c r="E369" s="11">
        <f t="shared" si="31"/>
        <v>57</v>
      </c>
      <c r="F369" s="11">
        <f t="shared" si="32"/>
        <v>10.590192896775365</v>
      </c>
      <c r="G369" s="11">
        <f t="shared" si="33"/>
        <v>10.488744400663279</v>
      </c>
    </row>
    <row r="370" spans="5:7" x14ac:dyDescent="0.25">
      <c r="E370" s="11">
        <f t="shared" si="31"/>
        <v>58</v>
      </c>
      <c r="F370" s="11">
        <f t="shared" si="32"/>
        <v>10.880598844079353</v>
      </c>
      <c r="G370" s="11">
        <f t="shared" si="33"/>
        <v>10.77841107385866</v>
      </c>
    </row>
    <row r="371" spans="5:7" x14ac:dyDescent="0.25">
      <c r="E371" s="11">
        <f t="shared" si="31"/>
        <v>59</v>
      </c>
      <c r="F371" s="11">
        <f t="shared" si="32"/>
        <v>11.17412678433417</v>
      </c>
      <c r="G371" s="11">
        <f t="shared" si="33"/>
        <v>11.072337328817849</v>
      </c>
    </row>
    <row r="372" spans="5:7" x14ac:dyDescent="0.25">
      <c r="E372" s="11">
        <f t="shared" si="31"/>
        <v>60</v>
      </c>
      <c r="F372" s="11">
        <f t="shared" si="32"/>
        <v>11.470802433761412</v>
      </c>
      <c r="G372" s="11">
        <f t="shared" si="33"/>
        <v>11.37055273831356</v>
      </c>
    </row>
    <row r="373" spans="5:7" x14ac:dyDescent="0.25">
      <c r="E373" s="11">
        <f t="shared" si="31"/>
        <v>61</v>
      </c>
      <c r="F373" s="11">
        <f t="shared" si="32"/>
        <v>11.770662226286575</v>
      </c>
      <c r="G373" s="11">
        <f t="shared" si="33"/>
        <v>11.673086875118496</v>
      </c>
    </row>
    <row r="374" spans="5:7" x14ac:dyDescent="0.25">
      <c r="E374" s="11">
        <f t="shared" si="31"/>
        <v>62</v>
      </c>
      <c r="F374" s="11">
        <f t="shared" si="32"/>
        <v>12.073753450904622</v>
      </c>
      <c r="G374" s="11">
        <f t="shared" si="33"/>
        <v>11.979969312005373</v>
      </c>
    </row>
    <row r="375" spans="5:7" x14ac:dyDescent="0.25">
      <c r="E375" s="11">
        <f t="shared" si="31"/>
        <v>63</v>
      </c>
      <c r="F375" s="11">
        <f t="shared" si="32"/>
        <v>12.380134292270727</v>
      </c>
      <c r="G375" s="11">
        <f t="shared" si="33"/>
        <v>12.291229621746899</v>
      </c>
    </row>
    <row r="376" spans="5:7" x14ac:dyDescent="0.25">
      <c r="E376" s="11">
        <f t="shared" si="31"/>
        <v>64</v>
      </c>
      <c r="F376" s="11">
        <f t="shared" si="32"/>
        <v>12.689873767545725</v>
      </c>
      <c r="G376" s="11">
        <f t="shared" si="33"/>
        <v>12.606897377115777</v>
      </c>
    </row>
    <row r="377" spans="5:7" x14ac:dyDescent="0.25">
      <c r="E377" s="11">
        <f t="shared" si="31"/>
        <v>65</v>
      </c>
      <c r="F377" s="11">
        <f t="shared" si="32"/>
        <v>13.003051552372701</v>
      </c>
      <c r="G377" s="11">
        <f t="shared" si="33"/>
        <v>12.927002150884725</v>
      </c>
    </row>
    <row r="378" spans="5:7" x14ac:dyDescent="0.25">
      <c r="E378" s="11">
        <f t="shared" si="31"/>
        <v>66</v>
      </c>
      <c r="F378" s="11">
        <f t="shared" si="32"/>
        <v>13.319757688707682</v>
      </c>
      <c r="G378" s="11">
        <f t="shared" si="33"/>
        <v>13.251573515826445</v>
      </c>
    </row>
    <row r="379" spans="5:7" x14ac:dyDescent="0.25">
      <c r="E379" s="11">
        <f t="shared" si="31"/>
        <v>67</v>
      </c>
      <c r="F379" s="11">
        <f t="shared" si="32"/>
        <v>13.640092167074549</v>
      </c>
      <c r="G379" s="11">
        <f t="shared" si="33"/>
        <v>13.580641044713651</v>
      </c>
    </row>
    <row r="380" spans="5:7" x14ac:dyDescent="0.25">
      <c r="E380" s="11">
        <f t="shared" si="31"/>
        <v>68</v>
      </c>
      <c r="F380" s="11">
        <f t="shared" si="32"/>
        <v>13.964164375660653</v>
      </c>
      <c r="G380" s="11">
        <f t="shared" si="33"/>
        <v>13.914234310319051</v>
      </c>
    </row>
    <row r="381" spans="5:7" x14ac:dyDescent="0.25">
      <c r="E381" s="11">
        <f t="shared" si="31"/>
        <v>69</v>
      </c>
      <c r="F381" s="11">
        <f t="shared" si="32"/>
        <v>14.292092408516753</v>
      </c>
      <c r="G381" s="11">
        <f t="shared" si="33"/>
        <v>14.252382885415356</v>
      </c>
    </row>
    <row r="382" spans="5:7" x14ac:dyDescent="0.25">
      <c r="E382" s="11">
        <f t="shared" si="31"/>
        <v>70</v>
      </c>
      <c r="F382" s="11">
        <f t="shared" si="32"/>
        <v>14.624002224971456</v>
      </c>
      <c r="G382" s="11">
        <f t="shared" si="33"/>
        <v>14.595116342775272</v>
      </c>
    </row>
    <row r="383" spans="5:7" x14ac:dyDescent="0.25">
      <c r="E383" s="11">
        <f t="shared" si="31"/>
        <v>71</v>
      </c>
      <c r="F383" s="11">
        <f t="shared" si="32"/>
        <v>14.960026652217199</v>
      </c>
      <c r="G383" s="11">
        <f t="shared" si="33"/>
        <v>14.94246425517151</v>
      </c>
    </row>
    <row r="384" spans="5:7" x14ac:dyDescent="0.25">
      <c r="E384" s="11">
        <f t="shared" si="31"/>
        <v>72</v>
      </c>
      <c r="F384" s="11">
        <f t="shared" si="32"/>
        <v>15.300304222871603</v>
      </c>
      <c r="G384" s="11">
        <f t="shared" si="33"/>
        <v>15.29445619537678</v>
      </c>
    </row>
    <row r="385" spans="5:7" x14ac:dyDescent="0.25">
      <c r="E385" s="11">
        <f t="shared" si="31"/>
        <v>73</v>
      </c>
      <c r="F385" s="11">
        <f t="shared" si="32"/>
        <v>15.644977839164804</v>
      </c>
      <c r="G385" s="11">
        <f t="shared" si="33"/>
        <v>15.651121736163791</v>
      </c>
    </row>
    <row r="386" spans="5:7" x14ac:dyDescent="0.25">
      <c r="E386" s="11">
        <f t="shared" si="31"/>
        <v>74</v>
      </c>
      <c r="F386" s="11">
        <f t="shared" si="32"/>
        <v>15.994193255250087</v>
      </c>
      <c r="G386" s="11">
        <f t="shared" si="33"/>
        <v>16.012490450305251</v>
      </c>
    </row>
    <row r="387" spans="5:7" x14ac:dyDescent="0.25">
      <c r="E387" s="11">
        <f t="shared" si="31"/>
        <v>75</v>
      </c>
      <c r="F387" s="11">
        <f t="shared" si="32"/>
        <v>16.348097368982021</v>
      </c>
      <c r="G387" s="11">
        <f t="shared" si="33"/>
        <v>16.378591910573874</v>
      </c>
    </row>
    <row r="388" spans="5:7" x14ac:dyDescent="0.25">
      <c r="E388" s="11">
        <f t="shared" si="31"/>
        <v>76</v>
      </c>
      <c r="F388" s="11">
        <f t="shared" si="32"/>
        <v>16.706836314353058</v>
      </c>
      <c r="G388" s="11">
        <f t="shared" si="33"/>
        <v>16.749428083237866</v>
      </c>
    </row>
    <row r="389" spans="5:7" x14ac:dyDescent="0.25">
      <c r="E389" s="11">
        <f t="shared" si="31"/>
        <v>77</v>
      </c>
      <c r="F389" s="11">
        <f t="shared" si="32"/>
        <v>17.070553345626251</v>
      </c>
      <c r="G389" s="11">
        <f t="shared" si="33"/>
        <v>17.124890508547445</v>
      </c>
    </row>
    <row r="390" spans="5:7" x14ac:dyDescent="0.25">
      <c r="E390" s="11">
        <f t="shared" si="31"/>
        <v>78</v>
      </c>
      <c r="F390" s="11">
        <f t="shared" si="32"/>
        <v>17.439386504048628</v>
      </c>
      <c r="G390" s="11">
        <f t="shared" si="33"/>
        <v>17.504843120248324</v>
      </c>
    </row>
    <row r="391" spans="5:7" x14ac:dyDescent="0.25">
      <c r="E391" s="11">
        <f t="shared" si="31"/>
        <v>79</v>
      </c>
      <c r="F391" s="11">
        <f t="shared" si="32"/>
        <v>17.813466057876525</v>
      </c>
      <c r="G391" s="11">
        <f t="shared" si="33"/>
        <v>17.889149852086231</v>
      </c>
    </row>
    <row r="392" spans="5:7" x14ac:dyDescent="0.25">
      <c r="E392" s="11">
        <f t="shared" si="31"/>
        <v>80</v>
      </c>
      <c r="F392" s="11">
        <f t="shared" si="32"/>
        <v>18.192911706290918</v>
      </c>
      <c r="G392" s="11">
        <f t="shared" si="33"/>
        <v>18.277674637806879</v>
      </c>
    </row>
    <row r="393" spans="5:7" x14ac:dyDescent="0.25">
      <c r="E393" s="11">
        <f t="shared" si="31"/>
        <v>81</v>
      </c>
      <c r="F393" s="11">
        <f t="shared" si="32"/>
        <v>18.577829537627547</v>
      </c>
      <c r="G393" s="11">
        <f t="shared" si="33"/>
        <v>18.670281411155983</v>
      </c>
    </row>
    <row r="394" spans="5:7" x14ac:dyDescent="0.25">
      <c r="E394" s="11">
        <f t="shared" si="31"/>
        <v>82</v>
      </c>
      <c r="F394" s="11">
        <f t="shared" si="32"/>
        <v>18.968308732193627</v>
      </c>
      <c r="G394" s="11">
        <f t="shared" si="33"/>
        <v>19.066834105879266</v>
      </c>
    </row>
    <row r="395" spans="5:7" x14ac:dyDescent="0.25">
      <c r="E395" s="11">
        <f t="shared" si="31"/>
        <v>83</v>
      </c>
      <c r="F395" s="11">
        <f t="shared" si="32"/>
        <v>19.364417999789353</v>
      </c>
      <c r="G395" s="11">
        <f t="shared" si="33"/>
        <v>19.467196655722447</v>
      </c>
    </row>
    <row r="396" spans="5:7" x14ac:dyDescent="0.25">
      <c r="E396" s="11">
        <f t="shared" si="31"/>
        <v>84</v>
      </c>
      <c r="F396" s="11">
        <f t="shared" si="32"/>
        <v>19.766201741899458</v>
      </c>
      <c r="G396" s="11">
        <f t="shared" si="33"/>
        <v>19.871232994431239</v>
      </c>
    </row>
    <row r="397" spans="5:7" x14ac:dyDescent="0.25">
      <c r="E397" s="11">
        <f t="shared" si="31"/>
        <v>85</v>
      </c>
      <c r="F397" s="11">
        <f t="shared" si="32"/>
        <v>20.173675928366919</v>
      </c>
      <c r="G397" s="11">
        <f t="shared" si="33"/>
        <v>20.278807055751358</v>
      </c>
    </row>
    <row r="398" spans="5:7" x14ac:dyDescent="0.25">
      <c r="E398" s="11">
        <f t="shared" si="31"/>
        <v>86</v>
      </c>
      <c r="F398" s="11">
        <f t="shared" si="32"/>
        <v>20.586823678207384</v>
      </c>
      <c r="G398" s="11">
        <f t="shared" si="33"/>
        <v>20.689782773428533</v>
      </c>
    </row>
    <row r="399" spans="5:7" x14ac:dyDescent="0.25">
      <c r="E399" s="11">
        <f t="shared" si="31"/>
        <v>87</v>
      </c>
      <c r="F399" s="11">
        <f t="shared" si="32"/>
        <v>21.005590534069892</v>
      </c>
      <c r="G399" s="11">
        <f t="shared" si="33"/>
        <v>21.104024081208472</v>
      </c>
    </row>
    <row r="400" spans="5:7" x14ac:dyDescent="0.25">
      <c r="E400" s="11">
        <f t="shared" si="31"/>
        <v>88</v>
      </c>
      <c r="F400" s="11">
        <f t="shared" si="32"/>
        <v>21.429879419696384</v>
      </c>
      <c r="G400" s="11">
        <f t="shared" si="33"/>
        <v>21.521394912836893</v>
      </c>
    </row>
    <row r="401" spans="5:7" x14ac:dyDescent="0.25">
      <c r="E401" s="11">
        <f t="shared" si="31"/>
        <v>89</v>
      </c>
      <c r="F401" s="11">
        <f t="shared" si="32"/>
        <v>21.859545269578771</v>
      </c>
      <c r="G401" s="11">
        <f t="shared" si="33"/>
        <v>21.941759202059522</v>
      </c>
    </row>
    <row r="402" spans="5:7" x14ac:dyDescent="0.25">
      <c r="E402" s="11">
        <f t="shared" si="31"/>
        <v>90</v>
      </c>
      <c r="F402" s="11">
        <f t="shared" si="32"/>
        <v>22.294389319859746</v>
      </c>
      <c r="G402" s="11">
        <f t="shared" si="33"/>
        <v>22.364980882622071</v>
      </c>
    </row>
    <row r="403" spans="5:7" x14ac:dyDescent="0.25">
      <c r="E403" s="11">
        <f t="shared" si="31"/>
        <v>91</v>
      </c>
      <c r="F403" s="11">
        <f t="shared" si="32"/>
        <v>22.734153049369816</v>
      </c>
      <c r="G403" s="11">
        <f t="shared" si="33"/>
        <v>22.790923888270257</v>
      </c>
    </row>
    <row r="404" spans="5:7" x14ac:dyDescent="0.25">
      <c r="E404" s="11">
        <f t="shared" si="31"/>
        <v>92</v>
      </c>
      <c r="F404" s="11">
        <f t="shared" si="32"/>
        <v>23.178511759540125</v>
      </c>
      <c r="G404" s="11">
        <f t="shared" si="33"/>
        <v>23.219452152749803</v>
      </c>
    </row>
    <row r="405" spans="5:7" x14ac:dyDescent="0.25">
      <c r="E405" s="11">
        <f t="shared" si="31"/>
        <v>93</v>
      </c>
      <c r="F405" s="11">
        <f t="shared" si="32"/>
        <v>23.627067781777118</v>
      </c>
      <c r="G405" s="11">
        <f t="shared" si="33"/>
        <v>23.650429609806423</v>
      </c>
    </row>
    <row r="406" spans="5:7" x14ac:dyDescent="0.25">
      <c r="E406" s="11">
        <f t="shared" si="31"/>
        <v>94</v>
      </c>
      <c r="F406" s="11">
        <f t="shared" si="32"/>
        <v>24.07934330073217</v>
      </c>
      <c r="G406" s="11">
        <f t="shared" si="33"/>
        <v>24.08372019318584</v>
      </c>
    </row>
    <row r="407" spans="5:7" x14ac:dyDescent="0.25">
      <c r="E407" s="11">
        <f t="shared" si="31"/>
        <v>95</v>
      </c>
      <c r="F407" s="11">
        <f t="shared" si="32"/>
        <v>24.534772781746028</v>
      </c>
      <c r="G407" s="11">
        <f t="shared" si="33"/>
        <v>24.519187836633765</v>
      </c>
    </row>
    <row r="408" spans="5:7" x14ac:dyDescent="0.25">
      <c r="E408" s="11">
        <f t="shared" si="31"/>
        <v>96</v>
      </c>
      <c r="F408" s="11">
        <f t="shared" si="32"/>
        <v>24.992694990594433</v>
      </c>
      <c r="G408" s="11">
        <f t="shared" si="33"/>
        <v>24.956696473895921</v>
      </c>
    </row>
    <row r="409" spans="5:7" x14ac:dyDescent="0.25">
      <c r="E409" s="11">
        <f t="shared" si="31"/>
        <v>97</v>
      </c>
      <c r="F409" s="11">
        <f t="shared" si="32"/>
        <v>25.452344593508457</v>
      </c>
      <c r="G409" s="11">
        <f t="shared" si="33"/>
        <v>25.396110038718025</v>
      </c>
    </row>
    <row r="410" spans="5:7" x14ac:dyDescent="0.25">
      <c r="E410" s="11">
        <f t="shared" si="31"/>
        <v>98</v>
      </c>
      <c r="F410" s="11">
        <f t="shared" si="32"/>
        <v>25.912843325289536</v>
      </c>
      <c r="G410" s="11">
        <f t="shared" si="33"/>
        <v>25.837292464845792</v>
      </c>
    </row>
    <row r="411" spans="5:7" x14ac:dyDescent="0.25">
      <c r="E411" s="11">
        <f t="shared" si="31"/>
        <v>99</v>
      </c>
      <c r="F411" s="11">
        <f t="shared" si="32"/>
        <v>26.373190713186261</v>
      </c>
      <c r="G411" s="11">
        <f t="shared" si="33"/>
        <v>26.280107686024945</v>
      </c>
    </row>
    <row r="412" spans="5:7" x14ac:dyDescent="0.25">
      <c r="E412" s="11">
        <f t="shared" si="31"/>
        <v>100</v>
      </c>
      <c r="F412" s="11">
        <f t="shared" si="32"/>
        <v>26.832254344046497</v>
      </c>
      <c r="G412" s="11">
        <f t="shared" si="33"/>
        <v>26.724419636001198</v>
      </c>
    </row>
    <row r="413" spans="5:7" x14ac:dyDescent="0.25">
      <c r="E413" s="11">
        <f t="shared" si="31"/>
        <v>101</v>
      </c>
      <c r="F413" s="11">
        <f t="shared" si="32"/>
        <v>27.288759662105342</v>
      </c>
      <c r="G413" s="11">
        <f t="shared" si="33"/>
        <v>27.17009224852027</v>
      </c>
    </row>
    <row r="414" spans="5:7" x14ac:dyDescent="0.25">
      <c r="E414" s="11">
        <f t="shared" si="31"/>
        <v>102</v>
      </c>
      <c r="F414" s="11">
        <f t="shared" si="32"/>
        <v>27.741279284616127</v>
      </c>
      <c r="G414" s="11">
        <f t="shared" si="33"/>
        <v>27.616989457327886</v>
      </c>
    </row>
    <row r="415" spans="5:7" x14ac:dyDescent="0.25">
      <c r="E415" s="11">
        <f t="shared" ref="E415:E422" si="34">E208</f>
        <v>103</v>
      </c>
      <c r="F415" s="11">
        <f t="shared" ref="F415:F422" si="35">$H$217*0+E415*$I$217+E415^2*$J$217+E415^3*$K$217+E415^4*$L$217+E415^5*$M$217+E415^6*$N$217+E415^7*$O$217+E415^8*$P$217</f>
        <v>28.188221822378694</v>
      </c>
      <c r="G415" s="11">
        <f t="shared" ref="G415:G422" si="36">F208</f>
        <v>28.064975196169751</v>
      </c>
    </row>
    <row r="416" spans="5:7" x14ac:dyDescent="0.25">
      <c r="E416" s="11">
        <f t="shared" si="34"/>
        <v>104</v>
      </c>
      <c r="F416" s="11">
        <f t="shared" si="35"/>
        <v>28.627820192065379</v>
      </c>
      <c r="G416" s="11">
        <f t="shared" si="36"/>
        <v>28.51391339879159</v>
      </c>
    </row>
    <row r="417" spans="5:7" x14ac:dyDescent="0.25">
      <c r="E417" s="11">
        <f t="shared" si="34"/>
        <v>105</v>
      </c>
      <c r="F417" s="11">
        <f t="shared" si="35"/>
        <v>29.058119407092811</v>
      </c>
      <c r="G417" s="11">
        <f t="shared" si="36"/>
        <v>28.963667998939123</v>
      </c>
    </row>
    <row r="418" spans="5:7" x14ac:dyDescent="0.25">
      <c r="E418" s="11">
        <f t="shared" si="34"/>
        <v>106</v>
      </c>
      <c r="F418" s="11">
        <f t="shared" si="35"/>
        <v>29.476963833633484</v>
      </c>
      <c r="G418" s="11">
        <f t="shared" si="36"/>
        <v>29.414102930358066</v>
      </c>
    </row>
    <row r="419" spans="5:7" x14ac:dyDescent="0.25">
      <c r="E419" s="11">
        <f t="shared" si="34"/>
        <v>107</v>
      </c>
      <c r="F419" s="11">
        <f t="shared" si="35"/>
        <v>29.881983898208333</v>
      </c>
      <c r="G419" s="11">
        <f t="shared" si="36"/>
        <v>29.865082126794135</v>
      </c>
    </row>
    <row r="420" spans="5:7" x14ac:dyDescent="0.25">
      <c r="E420" s="11">
        <f t="shared" si="34"/>
        <v>108</v>
      </c>
      <c r="F420" s="11">
        <f t="shared" si="35"/>
        <v>30.270582233148446</v>
      </c>
      <c r="G420" s="11">
        <f t="shared" si="36"/>
        <v>30.316469521993053</v>
      </c>
    </row>
    <row r="421" spans="5:7" x14ac:dyDescent="0.25">
      <c r="E421" s="11">
        <f t="shared" si="34"/>
        <v>109</v>
      </c>
      <c r="F421" s="11">
        <f t="shared" si="35"/>
        <v>30.639919246060657</v>
      </c>
      <c r="G421" s="11">
        <f t="shared" si="36"/>
        <v>30.768129049700534</v>
      </c>
    </row>
    <row r="422" spans="5:7" x14ac:dyDescent="0.25">
      <c r="E422" s="11">
        <f t="shared" si="34"/>
        <v>110</v>
      </c>
      <c r="F422" s="11">
        <f t="shared" si="35"/>
        <v>30.98689809927788</v>
      </c>
      <c r="G422" s="11">
        <f t="shared" si="36"/>
        <v>31.219924643662296</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-1.508E-5</v>
      </c>
      <c r="C3" s="2">
        <v>1.3990000000000001E-4</v>
      </c>
      <c r="D3" s="2">
        <v>-4.2339999999999999E-4</v>
      </c>
      <c r="E3" s="2">
        <v>0</v>
      </c>
      <c r="F3" s="2">
        <v>0</v>
      </c>
      <c r="G3" s="2">
        <v>0</v>
      </c>
      <c r="H3" s="2">
        <v>3.2312172000000002E-5</v>
      </c>
      <c r="I3" s="2">
        <v>1.2647863999999999E-5</v>
      </c>
      <c r="J3" s="2">
        <v>-9.1046880999999999E-5</v>
      </c>
      <c r="K3" s="3"/>
      <c r="L3" s="3">
        <f>-B3/D3</f>
        <v>-3.5616438356164383E-2</v>
      </c>
      <c r="M3" s="3"/>
      <c r="N3" s="2">
        <f>IF('Modell einstellen'!$B$1="Voll",H3/0.35,H3/0.35*2)</f>
        <v>1.8464098285714289E-4</v>
      </c>
      <c r="O3" s="2">
        <f>IF('Modell einstellen'!$B$1="Voll",J3/0.35,J3/0.35*2)</f>
        <v>-5.2026789142857141E-4</v>
      </c>
      <c r="P3" s="3">
        <f>-N3/O3</f>
        <v>0.35489597935815076</v>
      </c>
      <c r="Q3" s="3"/>
      <c r="R3" s="3"/>
      <c r="S3" s="3"/>
      <c r="T3" s="3"/>
      <c r="U3" s="3"/>
      <c r="V3" s="3"/>
      <c r="W3" s="3"/>
    </row>
    <row r="4" spans="1:23" x14ac:dyDescent="0.25">
      <c r="A4" s="2">
        <v>1E-14</v>
      </c>
      <c r="B4" s="2">
        <v>-1.509E-5</v>
      </c>
      <c r="C4" s="2">
        <v>1.3990000000000001E-4</v>
      </c>
      <c r="D4" s="2">
        <v>-4.2339999999999999E-4</v>
      </c>
      <c r="E4" s="2">
        <v>0</v>
      </c>
      <c r="F4" s="2">
        <v>0</v>
      </c>
      <c r="G4" s="2">
        <v>0</v>
      </c>
      <c r="H4" s="2">
        <v>3.2312252999999997E-5</v>
      </c>
      <c r="I4" s="2">
        <v>1.2648872E-5</v>
      </c>
      <c r="J4" s="2">
        <v>-9.1045558999999996E-5</v>
      </c>
      <c r="K4" s="3"/>
      <c r="L4" s="3">
        <f t="shared" ref="L4:L33" si="0">-B4/D4</f>
        <v>-3.5640056683986773E-2</v>
      </c>
      <c r="M4" s="3"/>
      <c r="N4" s="2">
        <f>IF('Modell einstellen'!$B$1="Voll",H4/0.35,H4/0.35*2)</f>
        <v>1.8464144571428572E-4</v>
      </c>
      <c r="O4" s="2">
        <f>IF('Modell einstellen'!$B$1="Voll",J4/0.35,J4/0.35*2)</f>
        <v>-5.2026033714285718E-4</v>
      </c>
      <c r="P4" s="3">
        <f t="shared" ref="P4:P33" si="1">-N4/O4</f>
        <v>0.35490202218430006</v>
      </c>
      <c r="Q4" s="3"/>
      <c r="R4" s="3"/>
      <c r="S4" s="3"/>
      <c r="T4" s="3"/>
      <c r="U4" s="3"/>
      <c r="V4" s="3"/>
      <c r="W4" s="3"/>
    </row>
    <row r="5" spans="1:23" x14ac:dyDescent="0.25">
      <c r="A5" s="2">
        <v>1E-13</v>
      </c>
      <c r="B5" s="2">
        <v>-1.508E-5</v>
      </c>
      <c r="C5" s="2">
        <v>1.3990000000000001E-4</v>
      </c>
      <c r="D5" s="2">
        <v>-4.2339999999999999E-4</v>
      </c>
      <c r="E5" s="2">
        <v>0</v>
      </c>
      <c r="F5" s="2">
        <v>0</v>
      </c>
      <c r="G5" s="2">
        <v>0</v>
      </c>
      <c r="H5" s="2">
        <v>3.2312425000000001E-5</v>
      </c>
      <c r="I5" s="2">
        <v>1.2649034999999999E-5</v>
      </c>
      <c r="J5" s="2">
        <v>-9.1046032999999999E-5</v>
      </c>
      <c r="K5" s="3"/>
      <c r="L5" s="3">
        <f t="shared" si="0"/>
        <v>-3.5616438356164383E-2</v>
      </c>
      <c r="M5" s="3"/>
      <c r="N5" s="2">
        <f>IF('Modell einstellen'!$B$1="Voll",H5/0.35,H5/0.35*2)</f>
        <v>1.8464242857142859E-4</v>
      </c>
      <c r="O5" s="2">
        <f>IF('Modell einstellen'!$B$1="Voll",J5/0.35,J5/0.35*2)</f>
        <v>-5.2026304571428574E-4</v>
      </c>
      <c r="P5" s="3">
        <f t="shared" si="1"/>
        <v>0.3549020636626749</v>
      </c>
      <c r="Q5" s="3"/>
      <c r="R5" s="3"/>
      <c r="S5" s="3"/>
      <c r="T5" s="3"/>
      <c r="U5" s="3"/>
      <c r="V5" s="3"/>
      <c r="W5" s="3"/>
    </row>
    <row r="6" spans="1:23" x14ac:dyDescent="0.25">
      <c r="A6" s="2">
        <v>9.9999999999999998E-13</v>
      </c>
      <c r="B6" s="2">
        <v>-1.508E-5</v>
      </c>
      <c r="C6" s="2">
        <v>1.3990000000000001E-4</v>
      </c>
      <c r="D6" s="2">
        <v>-4.2339999999999999E-4</v>
      </c>
      <c r="E6" s="2">
        <v>0</v>
      </c>
      <c r="F6" s="2">
        <v>0</v>
      </c>
      <c r="G6" s="2">
        <v>0</v>
      </c>
      <c r="H6" s="2">
        <v>3.2312469000000001E-5</v>
      </c>
      <c r="I6" s="2">
        <v>1.2649079999999999E-5</v>
      </c>
      <c r="J6" s="2">
        <v>-9.1046158999999997E-5</v>
      </c>
      <c r="K6" s="3"/>
      <c r="L6" s="3">
        <f t="shared" si="0"/>
        <v>-3.5616438356164383E-2</v>
      </c>
      <c r="M6" s="3"/>
      <c r="N6" s="2">
        <f>IF('Modell einstellen'!$B$1="Voll",H6/0.35,H6/0.35*2)</f>
        <v>1.8464268000000002E-4</v>
      </c>
      <c r="O6" s="2">
        <f>IF('Modell einstellen'!$B$1="Voll",J6/0.35,J6/0.35*2)</f>
        <v>-5.2026376571428568E-4</v>
      </c>
      <c r="P6" s="3">
        <f t="shared" si="1"/>
        <v>0.35490205578029937</v>
      </c>
      <c r="Q6" s="3"/>
      <c r="R6" s="3"/>
      <c r="S6" s="3"/>
      <c r="T6" s="3"/>
      <c r="U6" s="3"/>
      <c r="V6" s="3"/>
      <c r="W6" s="3"/>
    </row>
    <row r="7" spans="1:23" x14ac:dyDescent="0.25">
      <c r="A7" s="2">
        <v>9.9999999999999994E-12</v>
      </c>
      <c r="B7" s="2">
        <v>-1.508E-5</v>
      </c>
      <c r="C7" s="2">
        <v>1.3990000000000001E-4</v>
      </c>
      <c r="D7" s="2">
        <v>-4.2339999999999999E-4</v>
      </c>
      <c r="E7" s="2">
        <v>0</v>
      </c>
      <c r="F7" s="2">
        <v>0</v>
      </c>
      <c r="G7" s="2">
        <v>0</v>
      </c>
      <c r="H7" s="2">
        <v>3.2312481000000001E-5</v>
      </c>
      <c r="I7" s="2">
        <v>1.2649094000000001E-5</v>
      </c>
      <c r="J7" s="2">
        <v>-9.1046195999999998E-5</v>
      </c>
      <c r="K7" s="3"/>
      <c r="L7" s="3">
        <f t="shared" si="0"/>
        <v>-3.5616438356164383E-2</v>
      </c>
      <c r="M7" s="3"/>
      <c r="N7" s="2">
        <f>IF('Modell einstellen'!$B$1="Voll",H7/0.35,H7/0.35*2)</f>
        <v>1.8464274857142858E-4</v>
      </c>
      <c r="O7" s="2">
        <f>IF('Modell einstellen'!$B$1="Voll",J7/0.35,J7/0.35*2)</f>
        <v>-5.2026397714285716E-4</v>
      </c>
      <c r="P7" s="3">
        <f t="shared" si="1"/>
        <v>0.35490204335390357</v>
      </c>
      <c r="Q7" s="3"/>
      <c r="R7" s="3"/>
      <c r="S7" s="3"/>
      <c r="T7" s="3"/>
      <c r="U7" s="3"/>
      <c r="V7" s="3"/>
      <c r="W7" s="3"/>
    </row>
    <row r="8" spans="1:23" x14ac:dyDescent="0.25">
      <c r="A8" s="2">
        <v>1E-10</v>
      </c>
      <c r="B8" s="2">
        <v>-1.508E-5</v>
      </c>
      <c r="C8" s="2">
        <v>1.3990000000000001E-4</v>
      </c>
      <c r="D8" s="2">
        <v>-4.2339999999999999E-4</v>
      </c>
      <c r="E8" s="2">
        <v>0</v>
      </c>
      <c r="F8" s="2">
        <v>0</v>
      </c>
      <c r="G8" s="2">
        <v>0</v>
      </c>
      <c r="H8" s="2">
        <v>3.2312484999999998E-5</v>
      </c>
      <c r="I8" s="2">
        <v>1.2649098E-5</v>
      </c>
      <c r="J8" s="2">
        <v>-9.1046206999999995E-5</v>
      </c>
      <c r="K8" s="3"/>
      <c r="L8" s="3">
        <f t="shared" si="0"/>
        <v>-3.5616438356164383E-2</v>
      </c>
      <c r="M8" s="3"/>
      <c r="N8" s="2">
        <f>IF('Modell einstellen'!$B$1="Voll",H8/0.35,H8/0.35*2)</f>
        <v>1.8464277142857144E-4</v>
      </c>
      <c r="O8" s="2">
        <f>IF('Modell einstellen'!$B$1="Voll",J8/0.35,J8/0.35*2)</f>
        <v>-5.2026404000000005E-4</v>
      </c>
      <c r="P8" s="3">
        <f t="shared" si="1"/>
        <v>0.35490204440916467</v>
      </c>
      <c r="Q8" s="3"/>
      <c r="R8" s="3"/>
      <c r="S8" s="3"/>
      <c r="T8" s="3"/>
      <c r="U8" s="3"/>
      <c r="V8" s="3"/>
      <c r="W8" s="3"/>
    </row>
    <row r="9" spans="1:23" x14ac:dyDescent="0.25">
      <c r="A9" s="2">
        <v>1.0000000000000001E-9</v>
      </c>
      <c r="B9" s="2">
        <v>-1.508E-5</v>
      </c>
      <c r="C9" s="2">
        <v>1.3990000000000001E-4</v>
      </c>
      <c r="D9" s="2">
        <v>-4.2339999999999999E-4</v>
      </c>
      <c r="E9" s="2">
        <v>0</v>
      </c>
      <c r="F9" s="2">
        <v>0</v>
      </c>
      <c r="G9" s="2">
        <v>0</v>
      </c>
      <c r="H9" s="2">
        <v>3.2312486000000001E-5</v>
      </c>
      <c r="I9" s="2">
        <v>1.2649098999999999E-5</v>
      </c>
      <c r="J9" s="2">
        <v>-9.1046211000000006E-5</v>
      </c>
      <c r="K9" s="3"/>
      <c r="L9" s="3">
        <f t="shared" si="0"/>
        <v>-3.5616438356164383E-2</v>
      </c>
      <c r="M9" s="3"/>
      <c r="N9" s="2">
        <f>IF('Modell einstellen'!$B$1="Voll",H9/0.35,H9/0.35*2)</f>
        <v>1.8464277714285717E-4</v>
      </c>
      <c r="O9" s="2">
        <f>IF('Modell einstellen'!$B$1="Voll",J9/0.35,J9/0.35*2)</f>
        <v>-5.2026406285714288E-4</v>
      </c>
      <c r="P9" s="3">
        <f t="shared" si="1"/>
        <v>0.35490203980042623</v>
      </c>
      <c r="Q9" s="3"/>
      <c r="R9" s="3"/>
      <c r="S9" s="3"/>
      <c r="T9" s="3"/>
      <c r="U9" s="3"/>
      <c r="V9" s="3"/>
      <c r="W9" s="3"/>
    </row>
    <row r="10" spans="1:23" x14ac:dyDescent="0.25">
      <c r="A10" s="2">
        <v>1E-8</v>
      </c>
      <c r="B10" s="2">
        <v>-1.508E-5</v>
      </c>
      <c r="C10" s="2">
        <v>1.3990000000000001E-4</v>
      </c>
      <c r="D10" s="2">
        <v>-4.2339999999999999E-4</v>
      </c>
      <c r="E10" s="2">
        <v>0</v>
      </c>
      <c r="F10" s="2">
        <v>0</v>
      </c>
      <c r="G10" s="2">
        <v>0</v>
      </c>
      <c r="H10" s="2">
        <v>3.2312486999999997E-5</v>
      </c>
      <c r="I10" s="2">
        <v>1.2649100000000001E-5</v>
      </c>
      <c r="J10" s="2">
        <v>-9.1046212999999998E-5</v>
      </c>
      <c r="K10" s="3"/>
      <c r="L10" s="3">
        <f t="shared" si="0"/>
        <v>-3.5616438356164383E-2</v>
      </c>
      <c r="M10" s="3"/>
      <c r="N10" s="2">
        <f>IF('Modell einstellen'!$B$1="Voll",H10/0.35,H10/0.35*2)</f>
        <v>1.8464278285714285E-4</v>
      </c>
      <c r="O10" s="2">
        <f>IF('Modell einstellen'!$B$1="Voll",J10/0.35,J10/0.35*2)</f>
        <v>-5.2026407428571429E-4</v>
      </c>
      <c r="P10" s="3">
        <f t="shared" si="1"/>
        <v>0.35490204298777367</v>
      </c>
      <c r="Q10" s="3"/>
      <c r="R10" s="3"/>
      <c r="S10" s="3"/>
      <c r="T10" s="3"/>
      <c r="U10" s="3"/>
      <c r="V10" s="3"/>
      <c r="W10" s="3"/>
    </row>
    <row r="11" spans="1:23" x14ac:dyDescent="0.25">
      <c r="A11" s="2">
        <v>9.9999999999999995E-8</v>
      </c>
      <c r="B11" s="2">
        <v>-1.508E-5</v>
      </c>
      <c r="C11" s="2">
        <v>1.3990000000000001E-4</v>
      </c>
      <c r="D11" s="2">
        <v>-4.2339999999999999E-4</v>
      </c>
      <c r="E11" s="2">
        <v>0</v>
      </c>
      <c r="F11" s="2">
        <v>0</v>
      </c>
      <c r="G11" s="2">
        <v>0</v>
      </c>
      <c r="H11" s="2">
        <v>3.2312488E-5</v>
      </c>
      <c r="I11" s="2">
        <v>1.2649100000000001E-5</v>
      </c>
      <c r="J11" s="2">
        <v>-9.1046215000000004E-5</v>
      </c>
      <c r="K11" s="3"/>
      <c r="L11" s="3">
        <f t="shared" si="0"/>
        <v>-3.5616438356164383E-2</v>
      </c>
      <c r="M11" s="3"/>
      <c r="N11" s="2">
        <f>IF('Modell einstellen'!$B$1="Voll",H11/0.35,H11/0.35*2)</f>
        <v>1.8464278857142859E-4</v>
      </c>
      <c r="O11" s="2">
        <f>IF('Modell einstellen'!$B$1="Voll",J11/0.35,J11/0.35*2)</f>
        <v>-5.2026408571428581E-4</v>
      </c>
      <c r="P11" s="3">
        <f t="shared" si="1"/>
        <v>0.354902046175121</v>
      </c>
      <c r="Q11" s="3"/>
      <c r="R11" s="3"/>
      <c r="S11" s="3"/>
      <c r="T11" s="3"/>
      <c r="U11" s="3"/>
      <c r="V11" s="3"/>
      <c r="W11" s="3"/>
    </row>
    <row r="12" spans="1:23" x14ac:dyDescent="0.25">
      <c r="A12" s="2">
        <v>9.9999999999999995E-7</v>
      </c>
      <c r="B12" s="2">
        <v>-1.508E-5</v>
      </c>
      <c r="C12" s="2">
        <v>1.3990000000000001E-4</v>
      </c>
      <c r="D12" s="2">
        <v>-4.2339999999999999E-4</v>
      </c>
      <c r="E12" s="2">
        <v>0</v>
      </c>
      <c r="F12" s="2">
        <v>0</v>
      </c>
      <c r="G12" s="2">
        <v>0</v>
      </c>
      <c r="H12" s="2">
        <v>3.2312498000000001E-5</v>
      </c>
      <c r="I12" s="2">
        <v>1.2649101999999999E-5</v>
      </c>
      <c r="J12" s="2">
        <v>-9.1046229999999998E-5</v>
      </c>
      <c r="K12" s="3"/>
      <c r="L12" s="3">
        <f t="shared" si="0"/>
        <v>-3.5616438356164383E-2</v>
      </c>
      <c r="M12" s="3"/>
      <c r="N12" s="2">
        <f>IF('Modell einstellen'!$B$1="Voll",H12/0.35,H12/0.35*2)</f>
        <v>1.8464284571428574E-4</v>
      </c>
      <c r="O12" s="2">
        <f>IF('Modell einstellen'!$B$1="Voll",J12/0.35,J12/0.35*2)</f>
        <v>-5.2026417142857142E-4</v>
      </c>
      <c r="P12" s="3">
        <f t="shared" si="1"/>
        <v>0.35490209753879987</v>
      </c>
      <c r="Q12" s="3"/>
      <c r="R12" s="3"/>
      <c r="S12" s="3"/>
      <c r="T12" s="3"/>
      <c r="U12" s="3"/>
      <c r="V12" s="3"/>
      <c r="W12" s="3"/>
    </row>
    <row r="13" spans="1:23" x14ac:dyDescent="0.25">
      <c r="A13" s="2">
        <v>1.0000000000000001E-5</v>
      </c>
      <c r="B13" s="2">
        <v>-1.508E-5</v>
      </c>
      <c r="C13" s="2">
        <v>1.3990000000000001E-4</v>
      </c>
      <c r="D13" s="2">
        <v>-4.2339999999999999E-4</v>
      </c>
      <c r="E13" s="2">
        <v>0</v>
      </c>
      <c r="F13" s="2">
        <v>0</v>
      </c>
      <c r="G13" s="2">
        <v>0</v>
      </c>
      <c r="H13" s="2">
        <v>3.2312596000000002E-5</v>
      </c>
      <c r="I13" s="2">
        <v>1.2649117E-5</v>
      </c>
      <c r="J13" s="2">
        <v>-9.1046379999999995E-5</v>
      </c>
      <c r="K13" s="3"/>
      <c r="L13" s="3">
        <f t="shared" si="0"/>
        <v>-3.5616438356164383E-2</v>
      </c>
      <c r="M13" s="3"/>
      <c r="N13" s="2">
        <f>IF('Modell einstellen'!$B$1="Voll",H13/0.35,H13/0.35*2)</f>
        <v>1.8464340571428575E-4</v>
      </c>
      <c r="O13" s="2">
        <f>IF('Modell einstellen'!$B$1="Voll",J13/0.35,J13/0.35*2)</f>
        <v>-5.2026502857142854E-4</v>
      </c>
      <c r="P13" s="3">
        <f t="shared" si="1"/>
        <v>0.35490258920783019</v>
      </c>
      <c r="Q13" s="3"/>
      <c r="R13" s="3"/>
      <c r="S13" s="3"/>
      <c r="T13" s="3"/>
      <c r="U13" s="3"/>
      <c r="V13" s="3"/>
      <c r="W13" s="3"/>
    </row>
    <row r="14" spans="1:23" x14ac:dyDescent="0.25">
      <c r="A14" s="2">
        <v>1E-4</v>
      </c>
      <c r="B14" s="2">
        <v>-1.509E-5</v>
      </c>
      <c r="C14" s="2">
        <v>1.3990000000000001E-4</v>
      </c>
      <c r="D14" s="2">
        <v>-4.2339999999999999E-4</v>
      </c>
      <c r="E14" s="2">
        <v>0</v>
      </c>
      <c r="F14" s="2">
        <v>0</v>
      </c>
      <c r="G14" s="2">
        <v>0</v>
      </c>
      <c r="H14" s="2">
        <v>3.231358E-5</v>
      </c>
      <c r="I14" s="2">
        <v>1.2649271E-5</v>
      </c>
      <c r="J14" s="2">
        <v>-9.1047877999999999E-5</v>
      </c>
      <c r="K14" s="3"/>
      <c r="L14" s="3">
        <f t="shared" si="0"/>
        <v>-3.5640056683986773E-2</v>
      </c>
      <c r="M14" s="3"/>
      <c r="N14" s="2">
        <f>IF('Modell einstellen'!$B$1="Voll",H14/0.35,H14/0.35*2)</f>
        <v>1.8464902857142859E-4</v>
      </c>
      <c r="O14" s="2">
        <f>IF('Modell einstellen'!$B$1="Voll",J14/0.35,J14/0.35*2)</f>
        <v>-5.202735885714286E-4</v>
      </c>
      <c r="P14" s="3">
        <f t="shared" si="1"/>
        <v>0.35490755753802411</v>
      </c>
      <c r="Q14" s="3"/>
      <c r="R14" s="3"/>
      <c r="S14" s="3"/>
      <c r="T14" s="3"/>
      <c r="U14" s="3"/>
      <c r="V14" s="3"/>
      <c r="W14" s="3"/>
    </row>
    <row r="15" spans="1:23" x14ac:dyDescent="0.25">
      <c r="A15" s="2">
        <v>1E-3</v>
      </c>
      <c r="B15" s="2">
        <v>-1.5140000000000001E-5</v>
      </c>
      <c r="C15" s="2">
        <v>1.3990000000000001E-4</v>
      </c>
      <c r="D15" s="2">
        <v>-4.2329999999999999E-4</v>
      </c>
      <c r="E15" s="2">
        <v>0</v>
      </c>
      <c r="F15" s="2">
        <v>0</v>
      </c>
      <c r="G15" s="2">
        <v>0</v>
      </c>
      <c r="H15" s="2">
        <v>3.2323336999999997E-5</v>
      </c>
      <c r="I15" s="2">
        <v>1.2650798E-5</v>
      </c>
      <c r="J15" s="2">
        <v>-9.1062729000000004E-5</v>
      </c>
      <c r="K15" s="3"/>
      <c r="L15" s="3">
        <f t="shared" si="0"/>
        <v>-3.5766595794944483E-2</v>
      </c>
      <c r="M15" s="3"/>
      <c r="N15" s="2">
        <f>IF('Modell einstellen'!$B$1="Voll",H15/0.35,H15/0.35*2)</f>
        <v>1.8470478285714285E-4</v>
      </c>
      <c r="O15" s="2">
        <f>IF('Modell einstellen'!$B$1="Voll",J15/0.35,J15/0.35*2)</f>
        <v>-5.2035845142857145E-4</v>
      </c>
      <c r="P15" s="3">
        <f t="shared" si="1"/>
        <v>0.35495682322457078</v>
      </c>
      <c r="Q15" s="3"/>
      <c r="R15" s="3"/>
      <c r="S15" s="3"/>
      <c r="T15" s="3"/>
      <c r="U15" s="3"/>
      <c r="V15" s="3"/>
      <c r="W15" s="3"/>
    </row>
    <row r="16" spans="1:23" x14ac:dyDescent="0.25">
      <c r="A16" s="2">
        <v>0.01</v>
      </c>
      <c r="B16" s="2">
        <v>-1.5639999999999999E-5</v>
      </c>
      <c r="C16" s="2">
        <v>1.3999999999999999E-4</v>
      </c>
      <c r="D16" s="2">
        <v>-4.2319999999999999E-4</v>
      </c>
      <c r="E16" s="2">
        <v>0</v>
      </c>
      <c r="F16" s="2">
        <v>0</v>
      </c>
      <c r="G16" s="2">
        <v>0</v>
      </c>
      <c r="H16" s="2">
        <v>3.2416689999999997E-5</v>
      </c>
      <c r="I16" s="2">
        <v>1.2665400000000001E-5</v>
      </c>
      <c r="J16" s="2">
        <v>-9.1204778999999994E-5</v>
      </c>
      <c r="K16" s="3"/>
      <c r="L16" s="3">
        <f t="shared" si="0"/>
        <v>-3.6956521739130437E-2</v>
      </c>
      <c r="M16" s="3"/>
      <c r="N16" s="2">
        <f>IF('Modell einstellen'!$B$1="Voll",H16/0.35,H16/0.35*2)</f>
        <v>1.8523822857142855E-4</v>
      </c>
      <c r="O16" s="2">
        <f>IF('Modell einstellen'!$B$1="Voll",J16/0.35,J16/0.35*2)</f>
        <v>-5.2117016571428566E-4</v>
      </c>
      <c r="P16" s="3">
        <f t="shared" si="1"/>
        <v>0.35542753741007366</v>
      </c>
      <c r="Q16" s="3"/>
      <c r="R16" s="3"/>
      <c r="S16" s="3"/>
      <c r="T16" s="3"/>
      <c r="U16" s="3"/>
      <c r="V16" s="3"/>
      <c r="W16" s="3"/>
    </row>
    <row r="17" spans="1:23" x14ac:dyDescent="0.25">
      <c r="A17" s="2">
        <v>0.1</v>
      </c>
      <c r="B17" s="2">
        <v>-1.9320000000000001E-5</v>
      </c>
      <c r="C17" s="2">
        <v>1.4119999999999999E-4</v>
      </c>
      <c r="D17" s="2">
        <v>-4.2240000000000002E-4</v>
      </c>
      <c r="E17" s="2">
        <v>0</v>
      </c>
      <c r="F17" s="2">
        <v>0</v>
      </c>
      <c r="G17" s="2">
        <v>0</v>
      </c>
      <c r="H17" s="2">
        <v>3.3105370000000001E-5</v>
      </c>
      <c r="I17" s="2">
        <v>1.2772326000000001E-5</v>
      </c>
      <c r="J17" s="2">
        <v>-9.2249615E-5</v>
      </c>
      <c r="K17" s="3"/>
      <c r="L17" s="3">
        <f t="shared" si="0"/>
        <v>-4.5738636363636363E-2</v>
      </c>
      <c r="M17" s="3"/>
      <c r="N17" s="2">
        <f>IF('Modell einstellen'!$B$1="Voll",H17/0.35,H17/0.35*2)</f>
        <v>1.8917354285714286E-4</v>
      </c>
      <c r="O17" s="2">
        <f>IF('Modell einstellen'!$B$1="Voll",J17/0.35,J17/0.35*2)</f>
        <v>-5.2714065714285722E-4</v>
      </c>
      <c r="P17" s="3">
        <f t="shared" si="1"/>
        <v>0.35886729716974969</v>
      </c>
      <c r="Q17" s="3"/>
      <c r="R17" s="3"/>
      <c r="S17" s="3"/>
      <c r="T17" s="3"/>
      <c r="U17" s="3"/>
      <c r="V17" s="3"/>
      <c r="W17" s="3"/>
    </row>
    <row r="18" spans="1:23" x14ac:dyDescent="0.25">
      <c r="A18" s="2">
        <v>1</v>
      </c>
      <c r="B18" s="2">
        <v>-2.588E-5</v>
      </c>
      <c r="C18" s="2">
        <v>1.4310000000000001E-4</v>
      </c>
      <c r="D18" s="2">
        <v>-4.2059999999999998E-4</v>
      </c>
      <c r="E18" s="2">
        <v>0</v>
      </c>
      <c r="F18" s="2">
        <v>0</v>
      </c>
      <c r="G18" s="2">
        <v>0</v>
      </c>
      <c r="H18" s="2">
        <v>3.4298772000000001E-5</v>
      </c>
      <c r="I18" s="2">
        <v>1.2955475E-5</v>
      </c>
      <c r="J18" s="2">
        <v>-9.4042767999999999E-5</v>
      </c>
      <c r="K18" s="3"/>
      <c r="L18" s="3">
        <f t="shared" si="0"/>
        <v>-6.1531145981930581E-2</v>
      </c>
      <c r="M18" s="3"/>
      <c r="N18" s="2">
        <f>IF('Modell einstellen'!$B$1="Voll",H18/0.35,H18/0.35*2)</f>
        <v>1.9599298285714287E-4</v>
      </c>
      <c r="O18" s="2">
        <f>IF('Modell einstellen'!$B$1="Voll",J18/0.35,J18/0.35*2)</f>
        <v>-5.3738724571428579E-4</v>
      </c>
      <c r="P18" s="3">
        <f t="shared" si="1"/>
        <v>0.36471461580118525</v>
      </c>
      <c r="Q18" s="3"/>
      <c r="R18" s="3"/>
      <c r="S18" s="3"/>
      <c r="T18" s="3"/>
      <c r="U18" s="3"/>
      <c r="V18" s="3"/>
      <c r="W18" s="3"/>
    </row>
    <row r="19" spans="1:23" x14ac:dyDescent="0.25">
      <c r="A19" s="2">
        <v>10</v>
      </c>
      <c r="B19" s="2">
        <v>-3.0910000000000001E-5</v>
      </c>
      <c r="C19" s="2">
        <v>1.4469999999999999E-4</v>
      </c>
      <c r="D19" s="2">
        <v>-4.191E-4</v>
      </c>
      <c r="E19" s="2">
        <v>0</v>
      </c>
      <c r="F19" s="2">
        <v>0</v>
      </c>
      <c r="G19" s="2">
        <v>0</v>
      </c>
      <c r="H19" s="2">
        <v>3.5199886999999999E-5</v>
      </c>
      <c r="I19" s="2">
        <v>1.3097889E-5</v>
      </c>
      <c r="J19" s="2">
        <v>-9.5393229000000006E-5</v>
      </c>
      <c r="K19" s="3"/>
      <c r="L19" s="3">
        <f t="shared" si="0"/>
        <v>-7.3753280839895019E-2</v>
      </c>
      <c r="M19" s="3"/>
      <c r="N19" s="2">
        <f>IF('Modell einstellen'!$B$1="Voll",H19/0.35,H19/0.35*2)</f>
        <v>2.0114221142857145E-4</v>
      </c>
      <c r="O19" s="2">
        <f>IF('Modell einstellen'!$B$1="Voll",J19/0.35,J19/0.35*2)</f>
        <v>-5.4510416571428575E-4</v>
      </c>
      <c r="P19" s="3">
        <f t="shared" si="1"/>
        <v>0.368997751402251</v>
      </c>
      <c r="Q19" s="3"/>
      <c r="R19" s="3"/>
      <c r="S19" s="3"/>
      <c r="T19" s="3"/>
      <c r="U19" s="3"/>
      <c r="V19" s="3"/>
      <c r="W19" s="3"/>
    </row>
    <row r="20" spans="1:23" x14ac:dyDescent="0.25">
      <c r="A20" s="2">
        <v>100</v>
      </c>
      <c r="B20" s="2">
        <v>-3.6380000000000001E-5</v>
      </c>
      <c r="C20" s="2">
        <v>1.4630000000000001E-4</v>
      </c>
      <c r="D20" s="2">
        <v>-4.1730000000000001E-4</v>
      </c>
      <c r="E20" s="2">
        <v>0</v>
      </c>
      <c r="F20" s="2">
        <v>0</v>
      </c>
      <c r="G20" s="2">
        <v>0</v>
      </c>
      <c r="H20" s="2">
        <v>3.6148359999999998E-5</v>
      </c>
      <c r="I20" s="2">
        <v>1.3243187999999999E-5</v>
      </c>
      <c r="J20" s="2">
        <v>-9.6800307000000001E-5</v>
      </c>
      <c r="K20" s="3"/>
      <c r="L20" s="3">
        <f t="shared" si="0"/>
        <v>-8.7179487179487175E-2</v>
      </c>
      <c r="M20" s="3"/>
      <c r="N20" s="2">
        <f>IF('Modell einstellen'!$B$1="Voll",H20/0.35,H20/0.35*2)</f>
        <v>2.0656205714285716E-4</v>
      </c>
      <c r="O20" s="2">
        <f>IF('Modell einstellen'!$B$1="Voll",J20/0.35,J20/0.35*2)</f>
        <v>-5.531446114285715E-4</v>
      </c>
      <c r="P20" s="3">
        <f t="shared" si="1"/>
        <v>0.37343228673851209</v>
      </c>
      <c r="Q20" s="3"/>
      <c r="R20" s="3"/>
      <c r="S20" s="3"/>
      <c r="T20" s="3"/>
      <c r="U20" s="3"/>
      <c r="V20" s="3"/>
      <c r="W20" s="3"/>
    </row>
    <row r="21" spans="1:23" x14ac:dyDescent="0.25">
      <c r="A21" s="2">
        <v>1000</v>
      </c>
      <c r="B21" s="2">
        <v>-4.2840000000000003E-5</v>
      </c>
      <c r="C21" s="2">
        <v>1.482E-4</v>
      </c>
      <c r="D21" s="2">
        <v>-4.149E-4</v>
      </c>
      <c r="E21" s="2">
        <v>0</v>
      </c>
      <c r="F21" s="2">
        <v>0</v>
      </c>
      <c r="G21" s="2">
        <v>0</v>
      </c>
      <c r="H21" s="2">
        <v>3.7250158999999999E-5</v>
      </c>
      <c r="I21" s="2">
        <v>1.3410285E-5</v>
      </c>
      <c r="J21" s="2">
        <v>-9.8421907000000006E-5</v>
      </c>
      <c r="K21" s="3"/>
      <c r="L21" s="3">
        <f t="shared" si="0"/>
        <v>-0.10325379609544469</v>
      </c>
      <c r="M21" s="3"/>
      <c r="N21" s="2">
        <f>IF('Modell einstellen'!$B$1="Voll",H21/0.35,H21/0.35*2)</f>
        <v>2.1285805142857143E-4</v>
      </c>
      <c r="O21" s="2">
        <f>IF('Modell einstellen'!$B$1="Voll",J21/0.35,J21/0.35*2)</f>
        <v>-5.6241089714285724E-4</v>
      </c>
      <c r="P21" s="3">
        <f t="shared" si="1"/>
        <v>0.37847426589692063</v>
      </c>
      <c r="Q21" s="3"/>
      <c r="R21" s="3"/>
      <c r="S21" s="3"/>
      <c r="T21" s="3"/>
      <c r="U21" s="3"/>
      <c r="V21" s="3"/>
      <c r="W21" s="3"/>
    </row>
    <row r="22" spans="1:23" x14ac:dyDescent="0.25">
      <c r="A22" s="2">
        <v>10000</v>
      </c>
      <c r="B22" s="2">
        <v>-4.8989999999999997E-5</v>
      </c>
      <c r="C22" s="2">
        <v>1.5139999999999999E-4</v>
      </c>
      <c r="D22" s="2">
        <v>-4.1429999999999999E-4</v>
      </c>
      <c r="E22" s="2">
        <v>0</v>
      </c>
      <c r="F22" s="2">
        <v>0</v>
      </c>
      <c r="G22" s="2">
        <v>0</v>
      </c>
      <c r="H22" s="2">
        <v>3.8592371999999997E-5</v>
      </c>
      <c r="I22" s="2">
        <v>1.3708186E-5</v>
      </c>
      <c r="J22" s="2">
        <v>-1.0053147E-4</v>
      </c>
      <c r="K22" s="3"/>
      <c r="L22" s="3">
        <f t="shared" si="0"/>
        <v>-0.11824764663287472</v>
      </c>
      <c r="M22" s="3"/>
      <c r="N22" s="2">
        <f>IF('Modell einstellen'!$B$1="Voll",H22/0.35,H22/0.35*2)</f>
        <v>2.2052783999999999E-4</v>
      </c>
      <c r="O22" s="2">
        <f>IF('Modell einstellen'!$B$1="Voll",J22/0.35,J22/0.35*2)</f>
        <v>-5.7446554285714283E-4</v>
      </c>
      <c r="P22" s="3">
        <f t="shared" si="1"/>
        <v>0.38388349439235298</v>
      </c>
      <c r="Q22" s="3"/>
      <c r="R22" s="3"/>
      <c r="S22" s="3"/>
      <c r="T22" s="3"/>
      <c r="U22" s="3"/>
      <c r="V22" s="3"/>
      <c r="W22" s="3"/>
    </row>
    <row r="23" spans="1:23" x14ac:dyDescent="0.25">
      <c r="A23" s="2">
        <v>100000</v>
      </c>
      <c r="B23" s="2">
        <v>-4.6050000000000001E-5</v>
      </c>
      <c r="C23" s="2">
        <v>1.595E-4</v>
      </c>
      <c r="D23" s="2">
        <v>-4.2539999999999999E-4</v>
      </c>
      <c r="E23" s="2">
        <v>0</v>
      </c>
      <c r="F23" s="2">
        <v>0</v>
      </c>
      <c r="G23" s="2">
        <v>0</v>
      </c>
      <c r="H23" s="2">
        <v>4.0776355999999998E-5</v>
      </c>
      <c r="I23" s="2">
        <v>1.4682882E-5</v>
      </c>
      <c r="J23" s="2">
        <v>-1.0467393E-4</v>
      </c>
      <c r="K23" s="3"/>
      <c r="L23" s="3">
        <f t="shared" si="0"/>
        <v>-0.10825105782792667</v>
      </c>
      <c r="M23" s="3"/>
      <c r="N23" s="2">
        <f>IF('Modell einstellen'!$B$1="Voll",H23/0.35,H23/0.35*2)</f>
        <v>2.3300774857142859E-4</v>
      </c>
      <c r="O23" s="2">
        <f>IF('Modell einstellen'!$B$1="Voll",J23/0.35,J23/0.35*2)</f>
        <v>-5.9813674285714286E-4</v>
      </c>
      <c r="P23" s="3">
        <f t="shared" si="1"/>
        <v>0.38955598590785695</v>
      </c>
      <c r="Q23" s="3"/>
      <c r="R23" s="3"/>
      <c r="S23" s="3"/>
      <c r="T23" s="3"/>
      <c r="U23" s="3"/>
      <c r="V23" s="3"/>
      <c r="W23" s="3"/>
    </row>
    <row r="24" spans="1:23" x14ac:dyDescent="0.25">
      <c r="A24" s="2">
        <v>1000000</v>
      </c>
      <c r="B24" s="2">
        <v>-2.1939999999999999E-7</v>
      </c>
      <c r="C24" s="2">
        <v>1.8589999999999999E-4</v>
      </c>
      <c r="D24" s="2">
        <v>-4.8769999999999998E-4</v>
      </c>
      <c r="E24" s="2">
        <v>0</v>
      </c>
      <c r="F24" s="2">
        <v>0</v>
      </c>
      <c r="G24" s="2">
        <v>0</v>
      </c>
      <c r="H24" s="2">
        <v>4.5791726000000002E-5</v>
      </c>
      <c r="I24" s="2">
        <v>1.8423627000000001E-5</v>
      </c>
      <c r="J24" s="2">
        <v>-1.1644216000000001E-4</v>
      </c>
      <c r="K24" s="3"/>
      <c r="L24" s="3">
        <f t="shared" si="0"/>
        <v>-4.4986672134508918E-4</v>
      </c>
      <c r="M24" s="3"/>
      <c r="N24" s="2">
        <f>IF('Modell einstellen'!$B$1="Voll",H24/0.35,H24/0.35*2)</f>
        <v>2.6166700571428575E-4</v>
      </c>
      <c r="O24" s="2">
        <f>IF('Modell einstellen'!$B$1="Voll",J24/0.35,J24/0.35*2)</f>
        <v>-6.6538377142857149E-4</v>
      </c>
      <c r="P24" s="3">
        <f t="shared" si="1"/>
        <v>0.3932572703907245</v>
      </c>
      <c r="Q24" s="3"/>
      <c r="R24" s="3"/>
      <c r="S24" s="3"/>
      <c r="T24" s="3"/>
      <c r="U24" s="3"/>
      <c r="V24" s="3"/>
      <c r="W24" s="3"/>
    </row>
    <row r="25" spans="1:23" x14ac:dyDescent="0.25">
      <c r="A25" s="2">
        <v>10000000</v>
      </c>
      <c r="B25" s="2">
        <v>9.5439999999999994E-5</v>
      </c>
      <c r="C25" s="2">
        <v>2.351E-4</v>
      </c>
      <c r="D25" s="2">
        <v>-6.1079999999999999E-4</v>
      </c>
      <c r="E25" s="2">
        <v>0</v>
      </c>
      <c r="F25" s="2">
        <v>0</v>
      </c>
      <c r="G25" s="2">
        <v>0</v>
      </c>
      <c r="H25" s="2">
        <v>5.3864538999999999E-5</v>
      </c>
      <c r="I25" s="2">
        <v>2.5600403000000001E-5</v>
      </c>
      <c r="J25" s="2">
        <v>-1.3729097000000001E-4</v>
      </c>
      <c r="K25" s="3"/>
      <c r="L25" s="3">
        <f t="shared" si="0"/>
        <v>0.15625409299279633</v>
      </c>
      <c r="M25" s="3"/>
      <c r="N25" s="2">
        <f>IF('Modell einstellen'!$B$1="Voll",H25/0.35,H25/0.35*2)</f>
        <v>3.0779736571428574E-4</v>
      </c>
      <c r="O25" s="2">
        <f>IF('Modell einstellen'!$B$1="Voll",J25/0.35,J25/0.35*2)</f>
        <v>-7.8451982857142871E-4</v>
      </c>
      <c r="P25" s="3">
        <f t="shared" si="1"/>
        <v>0.39233854200316304</v>
      </c>
      <c r="Q25" s="3"/>
      <c r="R25" s="3"/>
      <c r="S25" s="3"/>
      <c r="T25" s="3"/>
      <c r="U25" s="3"/>
      <c r="V25" s="3"/>
      <c r="W25" s="3"/>
    </row>
    <row r="26" spans="1:23" x14ac:dyDescent="0.25">
      <c r="A26" s="2">
        <v>100000000</v>
      </c>
      <c r="B26" s="2">
        <v>2.041E-4</v>
      </c>
      <c r="C26" s="2">
        <v>2.943E-4</v>
      </c>
      <c r="D26" s="2">
        <v>-7.5489999999999997E-4</v>
      </c>
      <c r="E26" s="2">
        <v>0</v>
      </c>
      <c r="F26" s="2">
        <v>0</v>
      </c>
      <c r="G26" s="2">
        <v>0</v>
      </c>
      <c r="H26" s="2">
        <v>6.2573227E-5</v>
      </c>
      <c r="I26" s="2">
        <v>3.3945188000000002E-5</v>
      </c>
      <c r="J26" s="2">
        <v>-1.6094762000000001E-4</v>
      </c>
      <c r="K26" s="3"/>
      <c r="L26" s="3">
        <f t="shared" si="0"/>
        <v>0.27036693601801565</v>
      </c>
      <c r="M26" s="3"/>
      <c r="N26" s="2">
        <f>IF('Modell einstellen'!$B$1="Voll",H26/0.35,H26/0.35*2)</f>
        <v>3.5756129714285714E-4</v>
      </c>
      <c r="O26" s="2">
        <f>IF('Modell einstellen'!$B$1="Voll",J26/0.35,J26/0.35*2)</f>
        <v>-9.1970068571428578E-4</v>
      </c>
      <c r="P26" s="3">
        <f t="shared" si="1"/>
        <v>0.38878007018680982</v>
      </c>
      <c r="Q26" s="3"/>
      <c r="R26" s="3"/>
      <c r="S26" s="3"/>
      <c r="T26" s="3"/>
      <c r="U26" s="3"/>
      <c r="V26" s="3"/>
      <c r="W26" s="3"/>
    </row>
    <row r="27" spans="1:23" x14ac:dyDescent="0.25">
      <c r="A27" s="2">
        <v>1000000000</v>
      </c>
      <c r="B27" s="2">
        <v>3.0039999999999998E-4</v>
      </c>
      <c r="C27" s="2">
        <v>3.5359999999999998E-4</v>
      </c>
      <c r="D27" s="2">
        <v>-8.9110000000000003E-4</v>
      </c>
      <c r="E27" s="2">
        <v>0</v>
      </c>
      <c r="F27" s="2">
        <v>0</v>
      </c>
      <c r="G27" s="2">
        <v>0</v>
      </c>
      <c r="H27" s="2">
        <v>7.0746065999999997E-5</v>
      </c>
      <c r="I27" s="2">
        <v>4.1939605999999997E-5</v>
      </c>
      <c r="J27" s="2">
        <v>-1.8367239E-4</v>
      </c>
      <c r="K27" s="3"/>
      <c r="L27" s="3">
        <f t="shared" si="0"/>
        <v>0.33711143530467957</v>
      </c>
      <c r="M27" s="3"/>
      <c r="N27" s="2">
        <f>IF('Modell einstellen'!$B$1="Voll",H27/0.35,H27/0.35*2)</f>
        <v>4.0426323428571428E-4</v>
      </c>
      <c r="O27" s="2">
        <f>IF('Modell einstellen'!$B$1="Voll",J27/0.35,J27/0.35*2)</f>
        <v>-1.0495565142857144E-3</v>
      </c>
      <c r="P27" s="3">
        <f t="shared" si="1"/>
        <v>0.38517528954678487</v>
      </c>
      <c r="Q27" s="3"/>
      <c r="R27" s="3"/>
      <c r="S27" s="3"/>
      <c r="T27" s="3"/>
      <c r="U27" s="3"/>
      <c r="V27" s="3"/>
      <c r="W27" s="3"/>
    </row>
    <row r="28" spans="1:23" x14ac:dyDescent="0.25">
      <c r="A28" s="2">
        <v>10000000000</v>
      </c>
      <c r="B28" s="2">
        <v>3.8069999999999998E-4</v>
      </c>
      <c r="C28" s="2">
        <v>4.1140000000000003E-4</v>
      </c>
      <c r="D28" s="2">
        <v>-1.0150000000000001E-3</v>
      </c>
      <c r="E28" s="2">
        <v>0</v>
      </c>
      <c r="F28" s="2">
        <v>0</v>
      </c>
      <c r="G28" s="2">
        <v>0</v>
      </c>
      <c r="H28" s="2">
        <v>7.8550654999999997E-5</v>
      </c>
      <c r="I28" s="2">
        <v>4.9546007999999998E-5</v>
      </c>
      <c r="J28" s="2">
        <v>-2.0563472999999999E-4</v>
      </c>
      <c r="K28" s="3"/>
      <c r="L28" s="3">
        <f t="shared" si="0"/>
        <v>0.37507389162561572</v>
      </c>
      <c r="M28" s="3"/>
      <c r="N28" s="2">
        <f>IF('Modell einstellen'!$B$1="Voll",H28/0.35,H28/0.35*2)</f>
        <v>4.4886088571428575E-4</v>
      </c>
      <c r="O28" s="2">
        <f>IF('Modell einstellen'!$B$1="Voll",J28/0.35,J28/0.35*2)</f>
        <v>-1.1750555999999999E-3</v>
      </c>
      <c r="P28" s="3">
        <f t="shared" si="1"/>
        <v>0.38199118893972828</v>
      </c>
      <c r="Q28" s="3"/>
      <c r="R28" s="3"/>
      <c r="S28" s="3"/>
      <c r="T28" s="3"/>
      <c r="U28" s="3"/>
      <c r="V28" s="3"/>
      <c r="W28" s="3"/>
    </row>
    <row r="29" spans="1:23" x14ac:dyDescent="0.25">
      <c r="A29" s="2">
        <v>100000000000</v>
      </c>
      <c r="B29" s="2">
        <v>4.4729999999999998E-4</v>
      </c>
      <c r="C29" s="2">
        <v>4.6729999999999997E-4</v>
      </c>
      <c r="D29" s="2">
        <v>-1.1280000000000001E-3</v>
      </c>
      <c r="E29" s="2">
        <v>0</v>
      </c>
      <c r="F29" s="2">
        <v>0</v>
      </c>
      <c r="G29" s="2">
        <v>0</v>
      </c>
      <c r="H29" s="2">
        <v>8.5870352000000006E-5</v>
      </c>
      <c r="I29" s="2">
        <v>5.6855928000000002E-5</v>
      </c>
      <c r="J29" s="2">
        <v>-2.2678891999999999E-4</v>
      </c>
      <c r="K29" s="3"/>
      <c r="L29" s="3">
        <f t="shared" si="0"/>
        <v>0.39654255319148929</v>
      </c>
      <c r="M29" s="3"/>
      <c r="N29" s="2">
        <f>IF('Modell einstellen'!$B$1="Voll",H29/0.35,H29/0.35*2)</f>
        <v>4.9068772571428582E-4</v>
      </c>
      <c r="O29" s="2">
        <f>IF('Modell einstellen'!$B$1="Voll",J29/0.35,J29/0.35*2)</f>
        <v>-1.2959366857142858E-3</v>
      </c>
      <c r="P29" s="3">
        <f t="shared" si="1"/>
        <v>0.37863557002696607</v>
      </c>
      <c r="Q29" s="3"/>
      <c r="R29" s="3"/>
      <c r="S29" s="3"/>
      <c r="T29" s="3"/>
      <c r="U29" s="3"/>
      <c r="V29" s="3"/>
      <c r="W29" s="3"/>
    </row>
    <row r="30" spans="1:23" x14ac:dyDescent="0.25">
      <c r="A30" s="2">
        <v>1000000000000</v>
      </c>
      <c r="B30" s="2">
        <v>5.0120000000000004E-4</v>
      </c>
      <c r="C30" s="2">
        <v>5.1800000000000001E-4</v>
      </c>
      <c r="D30" s="2">
        <v>-1.225E-3</v>
      </c>
      <c r="E30" s="2">
        <v>0</v>
      </c>
      <c r="F30" s="2">
        <v>0</v>
      </c>
      <c r="G30" s="2">
        <v>0</v>
      </c>
      <c r="H30" s="2">
        <v>9.2135755000000003E-5</v>
      </c>
      <c r="I30" s="2">
        <v>6.3455172999999995E-5</v>
      </c>
      <c r="J30" s="2">
        <v>-2.4563800000000001E-4</v>
      </c>
      <c r="K30" s="3"/>
      <c r="L30" s="3">
        <f t="shared" si="0"/>
        <v>0.4091428571428572</v>
      </c>
      <c r="M30" s="3"/>
      <c r="N30" s="2">
        <f>IF('Modell einstellen'!$B$1="Voll",H30/0.35,H30/0.35*2)</f>
        <v>5.2649002857142865E-4</v>
      </c>
      <c r="O30" s="2">
        <f>IF('Modell einstellen'!$B$1="Voll",J30/0.35,J30/0.35*2)</f>
        <v>-1.4036457142857144E-3</v>
      </c>
      <c r="P30" s="3">
        <f t="shared" si="1"/>
        <v>0.37508754752929113</v>
      </c>
      <c r="Q30" s="3"/>
      <c r="R30" s="3"/>
      <c r="S30" s="3"/>
      <c r="T30" s="3"/>
      <c r="U30" s="3"/>
      <c r="V30" s="3"/>
      <c r="W30" s="3"/>
    </row>
    <row r="31" spans="1:23" x14ac:dyDescent="0.25">
      <c r="A31" s="2">
        <v>10000000000000</v>
      </c>
      <c r="B31" s="2">
        <v>5.4480000000000002E-4</v>
      </c>
      <c r="C31" s="2">
        <v>5.6340000000000003E-4</v>
      </c>
      <c r="D31" s="2">
        <v>-1.3079999999999999E-3</v>
      </c>
      <c r="E31" s="2">
        <v>0</v>
      </c>
      <c r="F31" s="2">
        <v>0</v>
      </c>
      <c r="G31" s="2">
        <v>0</v>
      </c>
      <c r="H31" s="2">
        <v>9.7724777999999996E-5</v>
      </c>
      <c r="I31" s="2">
        <v>6.9386441999999998E-5</v>
      </c>
      <c r="J31" s="2">
        <v>-2.6262189999999997E-4</v>
      </c>
      <c r="K31" s="3"/>
      <c r="L31" s="3">
        <f t="shared" si="0"/>
        <v>0.41651376146788993</v>
      </c>
      <c r="M31" s="3"/>
      <c r="N31" s="2">
        <f>IF('Modell einstellen'!$B$1="Voll",H31/0.35,H31/0.35*2)</f>
        <v>5.5842730285714291E-4</v>
      </c>
      <c r="O31" s="2">
        <f>IF('Modell einstellen'!$B$1="Voll",J31/0.35,J31/0.35*2)</f>
        <v>-1.5006965714285713E-3</v>
      </c>
      <c r="P31" s="3">
        <f t="shared" si="1"/>
        <v>0.37211206681544845</v>
      </c>
      <c r="Q31" s="3"/>
      <c r="R31" s="3"/>
      <c r="S31" s="3"/>
      <c r="T31" s="3"/>
      <c r="U31" s="3"/>
      <c r="V31" s="3"/>
      <c r="W31" s="3"/>
    </row>
    <row r="32" spans="1:23" x14ac:dyDescent="0.25">
      <c r="A32" s="2">
        <v>100000000000000</v>
      </c>
      <c r="B32" s="2">
        <v>5.8290000000000002E-4</v>
      </c>
      <c r="C32" s="2">
        <v>6.0650000000000005E-4</v>
      </c>
      <c r="D32" s="2">
        <v>-1.3860000000000001E-3</v>
      </c>
      <c r="E32" s="2">
        <v>0</v>
      </c>
      <c r="F32" s="2">
        <v>0</v>
      </c>
      <c r="G32" s="2">
        <v>0</v>
      </c>
      <c r="H32" s="2">
        <v>1.0342105E-4</v>
      </c>
      <c r="I32" s="2">
        <v>7.5170012000000007E-5</v>
      </c>
      <c r="J32" s="2">
        <v>-2.7952749E-4</v>
      </c>
      <c r="K32" s="3"/>
      <c r="L32" s="3">
        <f t="shared" si="0"/>
        <v>0.42056277056277053</v>
      </c>
      <c r="M32" s="3"/>
      <c r="N32" s="2">
        <f>IF('Modell einstellen'!$B$1="Voll",H32/0.35,H32/0.35*2)</f>
        <v>5.9097742857142858E-4</v>
      </c>
      <c r="O32" s="2">
        <f>IF('Modell einstellen'!$B$1="Voll",J32/0.35,J32/0.35*2)</f>
        <v>-1.597299942857143E-3</v>
      </c>
      <c r="P32" s="3">
        <f t="shared" si="1"/>
        <v>0.36998525619072381</v>
      </c>
      <c r="Q32" s="3"/>
      <c r="R32" s="3"/>
      <c r="S32" s="3"/>
      <c r="T32" s="3"/>
      <c r="U32" s="3"/>
      <c r="V32" s="3"/>
      <c r="W32" s="3"/>
    </row>
    <row r="33" spans="1:23" x14ac:dyDescent="0.25">
      <c r="A33" s="2">
        <v>1000000000000000</v>
      </c>
      <c r="B33" s="2">
        <v>6.133E-4</v>
      </c>
      <c r="C33" s="2">
        <v>6.4309999999999997E-4</v>
      </c>
      <c r="D33" s="2">
        <v>-1.4519999999999999E-3</v>
      </c>
      <c r="E33" s="2">
        <v>0</v>
      </c>
      <c r="F33" s="2">
        <v>0</v>
      </c>
      <c r="G33" s="2">
        <v>0</v>
      </c>
      <c r="H33" s="2">
        <v>1.0913917E-4</v>
      </c>
      <c r="I33" s="2">
        <v>8.0418006000000005E-5</v>
      </c>
      <c r="J33" s="2">
        <v>-2.9551284E-4</v>
      </c>
      <c r="K33" s="3"/>
      <c r="L33" s="3">
        <f t="shared" si="0"/>
        <v>0.42238292011019285</v>
      </c>
      <c r="M33" s="3"/>
      <c r="N33" s="2">
        <f>IF('Modell einstellen'!$B$1="Voll",H33/0.35,H33/0.35*2)</f>
        <v>6.2365240000000007E-4</v>
      </c>
      <c r="O33" s="2">
        <f>IF('Modell einstellen'!$B$1="Voll",J33/0.35,J33/0.35*2)</f>
        <v>-1.6886448000000001E-3</v>
      </c>
      <c r="P33" s="3">
        <f t="shared" si="1"/>
        <v>0.36932124505994396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-1.04E-5</v>
      </c>
      <c r="C3" s="3">
        <v>1.415E-4</v>
      </c>
      <c r="D3" s="3">
        <v>-4.2870000000000001E-4</v>
      </c>
      <c r="E3" s="3">
        <v>0</v>
      </c>
      <c r="F3" s="3">
        <v>0</v>
      </c>
      <c r="G3" s="3">
        <v>0</v>
      </c>
      <c r="H3" s="3">
        <v>3.2588293999999998E-5</v>
      </c>
      <c r="I3" s="3">
        <v>1.2895905E-5</v>
      </c>
      <c r="J3" s="3">
        <v>-9.1844273000000004E-5</v>
      </c>
      <c r="L3" s="3">
        <f>-B3/D3</f>
        <v>-2.4259388850011665E-2</v>
      </c>
      <c r="M3" s="3"/>
      <c r="N3" s="2">
        <f>IF('Modell einstellen'!$B$1="Voll",H3/0.35,H3/0.35*2)</f>
        <v>1.8621882285714287E-4</v>
      </c>
      <c r="O3" s="2">
        <f>IF('Modell einstellen'!$B$1="Voll",J3/0.35,J3/0.35*2)</f>
        <v>-5.2482441714285716E-4</v>
      </c>
      <c r="P3" s="3">
        <f>-N3/O3</f>
        <v>0.35482118738094864</v>
      </c>
    </row>
    <row r="4" spans="1:16" x14ac:dyDescent="0.25">
      <c r="A4" s="3">
        <v>1E-14</v>
      </c>
      <c r="B4" s="3">
        <v>-1.041E-5</v>
      </c>
      <c r="C4" s="3">
        <v>1.415E-4</v>
      </c>
      <c r="D4" s="3">
        <v>-4.2870000000000001E-4</v>
      </c>
      <c r="E4" s="3">
        <v>0</v>
      </c>
      <c r="F4" s="3">
        <v>0</v>
      </c>
      <c r="G4" s="3">
        <v>0</v>
      </c>
      <c r="H4" s="3">
        <v>3.2588422000000001E-5</v>
      </c>
      <c r="I4" s="3">
        <v>1.2896878E-5</v>
      </c>
      <c r="J4" s="3">
        <v>-9.1842913000000003E-5</v>
      </c>
      <c r="L4" s="3">
        <f t="shared" ref="L4:L33" si="0">-B4/D4</f>
        <v>-2.4282715185444368E-2</v>
      </c>
      <c r="M4" s="3"/>
      <c r="N4" s="2">
        <f>IF('Modell einstellen'!$B$1="Voll",H4/0.35,H4/0.35*2)</f>
        <v>1.8621955428571431E-4</v>
      </c>
      <c r="O4" s="2">
        <f>IF('Modell einstellen'!$B$1="Voll",J4/0.35,J4/0.35*2)</f>
        <v>-5.2481664571428575E-4</v>
      </c>
      <c r="P4" s="3">
        <f t="shared" ref="P4:P33" si="1">-N4/O4</f>
        <v>0.35482783521903322</v>
      </c>
    </row>
    <row r="5" spans="1:16" x14ac:dyDescent="0.25">
      <c r="A5" s="3">
        <v>1E-13</v>
      </c>
      <c r="B5" s="3">
        <v>-1.041E-5</v>
      </c>
      <c r="C5" s="3">
        <v>1.415E-4</v>
      </c>
      <c r="D5" s="3">
        <v>-4.2870000000000001E-4</v>
      </c>
      <c r="E5" s="3">
        <v>0</v>
      </c>
      <c r="F5" s="3">
        <v>0</v>
      </c>
      <c r="G5" s="3">
        <v>0</v>
      </c>
      <c r="H5" s="3">
        <v>3.2588597E-5</v>
      </c>
      <c r="I5" s="3">
        <v>1.289704E-5</v>
      </c>
      <c r="J5" s="3">
        <v>-9.1843389999999995E-5</v>
      </c>
      <c r="L5" s="3">
        <f t="shared" si="0"/>
        <v>-2.4282715185444368E-2</v>
      </c>
      <c r="M5" s="3"/>
      <c r="N5" s="2">
        <f>IF('Modell einstellen'!$B$1="Voll",H5/0.35,H5/0.35*2)</f>
        <v>1.8622055428571429E-4</v>
      </c>
      <c r="O5" s="2">
        <f>IF('Modell einstellen'!$B$1="Voll",J5/0.35,J5/0.35*2)</f>
        <v>-5.2481937142857143E-4</v>
      </c>
      <c r="P5" s="3">
        <f t="shared" si="1"/>
        <v>0.35482789779427787</v>
      </c>
    </row>
    <row r="6" spans="1:16" x14ac:dyDescent="0.25">
      <c r="A6" s="3">
        <v>9.9999999999999998E-13</v>
      </c>
      <c r="B6" s="3">
        <v>-1.041E-5</v>
      </c>
      <c r="C6" s="3">
        <v>1.415E-4</v>
      </c>
      <c r="D6" s="3">
        <v>-4.2870000000000001E-4</v>
      </c>
      <c r="E6" s="3">
        <v>0</v>
      </c>
      <c r="F6" s="3">
        <v>0</v>
      </c>
      <c r="G6" s="3">
        <v>0</v>
      </c>
      <c r="H6" s="3">
        <v>3.2588648E-5</v>
      </c>
      <c r="I6" s="3">
        <v>1.2897085E-5</v>
      </c>
      <c r="J6" s="3">
        <v>-9.1843525999999993E-5</v>
      </c>
      <c r="L6" s="3">
        <f t="shared" si="0"/>
        <v>-2.4282715185444368E-2</v>
      </c>
      <c r="M6" s="3"/>
      <c r="N6" s="2">
        <f>IF('Modell einstellen'!$B$1="Voll",H6/0.35,H6/0.35*2)</f>
        <v>1.8622084571428573E-4</v>
      </c>
      <c r="O6" s="2">
        <f>IF('Modell einstellen'!$B$1="Voll",J6/0.35,J6/0.35*2)</f>
        <v>-5.2482014857142855E-4</v>
      </c>
      <c r="P6" s="3">
        <f t="shared" si="1"/>
        <v>0.354827927664711</v>
      </c>
    </row>
    <row r="7" spans="1:16" x14ac:dyDescent="0.25">
      <c r="A7" s="3">
        <v>9.9999999999999994E-12</v>
      </c>
      <c r="B7" s="3">
        <v>-1.041E-5</v>
      </c>
      <c r="C7" s="3">
        <v>1.415E-4</v>
      </c>
      <c r="D7" s="3">
        <v>-4.2870000000000001E-4</v>
      </c>
      <c r="E7" s="3">
        <v>0</v>
      </c>
      <c r="F7" s="3">
        <v>0</v>
      </c>
      <c r="G7" s="3">
        <v>0</v>
      </c>
      <c r="H7" s="3">
        <v>3.2588729999999997E-5</v>
      </c>
      <c r="I7" s="3">
        <v>1.289711E-5</v>
      </c>
      <c r="J7" s="3">
        <v>-9.1843669000000005E-5</v>
      </c>
      <c r="L7" s="3">
        <f t="shared" si="0"/>
        <v>-2.4282715185444368E-2</v>
      </c>
      <c r="M7" s="3"/>
      <c r="N7" s="2">
        <f>IF('Modell einstellen'!$B$1="Voll",H7/0.35,H7/0.35*2)</f>
        <v>1.8622131428571429E-4</v>
      </c>
      <c r="O7" s="2">
        <f>IF('Modell einstellen'!$B$1="Voll",J7/0.35,J7/0.35*2)</f>
        <v>-5.2482096571428573E-4</v>
      </c>
      <c r="P7" s="3">
        <f t="shared" si="1"/>
        <v>0.35482826802139189</v>
      </c>
    </row>
    <row r="8" spans="1:16" x14ac:dyDescent="0.25">
      <c r="A8" s="3">
        <v>1E-10</v>
      </c>
      <c r="B8" s="3">
        <v>-1.041E-5</v>
      </c>
      <c r="C8" s="3">
        <v>1.415E-4</v>
      </c>
      <c r="D8" s="3">
        <v>-4.2870000000000001E-4</v>
      </c>
      <c r="E8" s="3">
        <v>0</v>
      </c>
      <c r="F8" s="3">
        <v>0</v>
      </c>
      <c r="G8" s="3">
        <v>0</v>
      </c>
      <c r="H8" s="3">
        <v>3.2589428E-5</v>
      </c>
      <c r="I8" s="3">
        <v>1.2897226E-5</v>
      </c>
      <c r="J8" s="3">
        <v>-9.1844742999999996E-5</v>
      </c>
      <c r="L8" s="3">
        <f t="shared" si="0"/>
        <v>-2.4282715185444368E-2</v>
      </c>
      <c r="M8" s="3"/>
      <c r="N8" s="2">
        <f>IF('Modell einstellen'!$B$1="Voll",H8/0.35,H8/0.35*2)</f>
        <v>1.8622530285714286E-4</v>
      </c>
      <c r="O8" s="2">
        <f>IF('Modell einstellen'!$B$1="Voll",J8/0.35,J8/0.35*2)</f>
        <v>-5.248271028571429E-4</v>
      </c>
      <c r="P8" s="3">
        <f t="shared" si="1"/>
        <v>0.35483171856662499</v>
      </c>
    </row>
    <row r="9" spans="1:16" x14ac:dyDescent="0.25">
      <c r="A9" s="3">
        <v>1.0000000000000001E-9</v>
      </c>
      <c r="B9" s="3">
        <v>-1.045E-5</v>
      </c>
      <c r="C9" s="3">
        <v>1.415E-4</v>
      </c>
      <c r="D9" s="3">
        <v>-4.2870000000000001E-4</v>
      </c>
      <c r="E9" s="3">
        <v>0</v>
      </c>
      <c r="F9" s="3">
        <v>0</v>
      </c>
      <c r="G9" s="3">
        <v>0</v>
      </c>
      <c r="H9" s="3">
        <v>3.2596331000000003E-5</v>
      </c>
      <c r="I9" s="3">
        <v>1.2898343000000001E-5</v>
      </c>
      <c r="J9" s="3">
        <v>-9.1855304999999995E-5</v>
      </c>
      <c r="L9" s="3">
        <f t="shared" si="0"/>
        <v>-2.437602052717518E-2</v>
      </c>
      <c r="M9" s="3"/>
      <c r="N9" s="2">
        <f>IF('Modell einstellen'!$B$1="Voll",H9/0.35,H9/0.35*2)</f>
        <v>1.8626474857142859E-4</v>
      </c>
      <c r="O9" s="2">
        <f>IF('Modell einstellen'!$B$1="Voll",J9/0.35,J9/0.35*2)</f>
        <v>-5.2488745714285713E-4</v>
      </c>
      <c r="P9" s="3">
        <f t="shared" si="1"/>
        <v>0.35486606897663669</v>
      </c>
    </row>
    <row r="10" spans="1:16" x14ac:dyDescent="0.25">
      <c r="A10" s="3">
        <v>1E-8</v>
      </c>
      <c r="B10" s="3">
        <v>-1.08E-5</v>
      </c>
      <c r="C10" s="3">
        <v>1.416E-4</v>
      </c>
      <c r="D10" s="3">
        <v>-4.2860000000000001E-4</v>
      </c>
      <c r="E10" s="3">
        <v>0</v>
      </c>
      <c r="F10" s="3">
        <v>0</v>
      </c>
      <c r="G10" s="3">
        <v>0</v>
      </c>
      <c r="H10" s="3">
        <v>3.2662965E-5</v>
      </c>
      <c r="I10" s="3">
        <v>1.2909107000000001E-5</v>
      </c>
      <c r="J10" s="3">
        <v>-9.1957214999999995E-5</v>
      </c>
      <c r="L10" s="3">
        <f t="shared" si="0"/>
        <v>-2.5198320111992533E-2</v>
      </c>
      <c r="M10" s="3"/>
      <c r="N10" s="2">
        <f>IF('Modell einstellen'!$B$1="Voll",H10/0.35,H10/0.35*2)</f>
        <v>1.8664551428571429E-4</v>
      </c>
      <c r="O10" s="2">
        <f>IF('Modell einstellen'!$B$1="Voll",J10/0.35,J10/0.35*2)</f>
        <v>-5.2546980000000004E-4</v>
      </c>
      <c r="P10" s="3">
        <f t="shared" si="1"/>
        <v>0.35519741436275554</v>
      </c>
    </row>
    <row r="11" spans="1:16" x14ac:dyDescent="0.25">
      <c r="A11" s="3">
        <v>9.9999999999999995E-8</v>
      </c>
      <c r="B11" s="3">
        <v>-1.359E-5</v>
      </c>
      <c r="C11" s="3">
        <v>1.4249999999999999E-4</v>
      </c>
      <c r="D11" s="3">
        <v>-4.28E-4</v>
      </c>
      <c r="E11" s="3">
        <v>0</v>
      </c>
      <c r="F11" s="3">
        <v>0</v>
      </c>
      <c r="G11" s="3">
        <v>0</v>
      </c>
      <c r="H11" s="3">
        <v>3.3197827999999999E-5</v>
      </c>
      <c r="I11" s="3">
        <v>1.2995042999999999E-5</v>
      </c>
      <c r="J11" s="3">
        <v>-9.2773458E-5</v>
      </c>
      <c r="L11" s="3">
        <f t="shared" si="0"/>
        <v>-3.175233644859813E-2</v>
      </c>
      <c r="M11" s="3"/>
      <c r="N11" s="2">
        <f>IF('Modell einstellen'!$B$1="Voll",H11/0.35,H11/0.35*2)</f>
        <v>1.8970187428571429E-4</v>
      </c>
      <c r="O11" s="2">
        <f>IF('Modell einstellen'!$B$1="Voll",J11/0.35,J11/0.35*2)</f>
        <v>-5.3013404571428579E-4</v>
      </c>
      <c r="P11" s="3">
        <f t="shared" si="1"/>
        <v>0.35783756168709369</v>
      </c>
    </row>
    <row r="12" spans="1:16" x14ac:dyDescent="0.25">
      <c r="A12" s="3">
        <v>9.9999999999999995E-7</v>
      </c>
      <c r="B12" s="3">
        <v>-2.0270000000000001E-5</v>
      </c>
      <c r="C12" s="3">
        <v>1.4459999999999999E-4</v>
      </c>
      <c r="D12" s="3">
        <v>-4.2630000000000001E-4</v>
      </c>
      <c r="E12" s="3">
        <v>0</v>
      </c>
      <c r="F12" s="3">
        <v>0</v>
      </c>
      <c r="G12" s="3">
        <v>0</v>
      </c>
      <c r="H12" s="3">
        <v>3.4442802E-5</v>
      </c>
      <c r="I12" s="3">
        <v>1.3191765000000001E-5</v>
      </c>
      <c r="J12" s="3">
        <v>-9.4655550000000006E-5</v>
      </c>
      <c r="L12" s="3">
        <f t="shared" si="0"/>
        <v>-4.7548674642270701E-2</v>
      </c>
      <c r="M12" s="3"/>
      <c r="N12" s="2">
        <f>IF('Modell einstellen'!$B$1="Voll",H12/0.35,H12/0.35*2)</f>
        <v>1.9681601142857143E-4</v>
      </c>
      <c r="O12" s="2">
        <f>IF('Modell einstellen'!$B$1="Voll",J12/0.35,J12/0.35*2)</f>
        <v>-5.4088885714285724E-4</v>
      </c>
      <c r="P12" s="3">
        <f t="shared" si="1"/>
        <v>0.36387514519750819</v>
      </c>
    </row>
    <row r="13" spans="1:16" x14ac:dyDescent="0.25">
      <c r="A13" s="3">
        <v>1.0000000000000001E-5</v>
      </c>
      <c r="B13" s="3">
        <v>-2.5259999999999999E-5</v>
      </c>
      <c r="C13" s="3">
        <v>1.462E-4</v>
      </c>
      <c r="D13" s="3">
        <v>-4.2499999999999998E-4</v>
      </c>
      <c r="E13" s="3">
        <v>0</v>
      </c>
      <c r="F13" s="3">
        <v>0</v>
      </c>
      <c r="G13" s="3">
        <v>0</v>
      </c>
      <c r="H13" s="3">
        <v>3.5357953999999997E-5</v>
      </c>
      <c r="I13" s="3">
        <v>1.334078E-5</v>
      </c>
      <c r="J13" s="3">
        <v>-9.603465E-5</v>
      </c>
      <c r="L13" s="3">
        <f t="shared" si="0"/>
        <v>-5.9435294117647058E-2</v>
      </c>
      <c r="M13" s="3"/>
      <c r="N13" s="2">
        <f>IF('Modell einstellen'!$B$1="Voll",H13/0.35,H13/0.35*2)</f>
        <v>2.0204545142857143E-4</v>
      </c>
      <c r="O13" s="2">
        <f>IF('Modell einstellen'!$B$1="Voll",J13/0.35,J13/0.35*2)</f>
        <v>-5.4876942857142862E-4</v>
      </c>
      <c r="P13" s="3">
        <f t="shared" si="1"/>
        <v>0.36817913117817369</v>
      </c>
    </row>
    <row r="14" spans="1:16" x14ac:dyDescent="0.25">
      <c r="A14" s="3">
        <v>1E-4</v>
      </c>
      <c r="B14" s="3">
        <v>-3.048E-5</v>
      </c>
      <c r="C14" s="3">
        <v>1.4779999999999999E-4</v>
      </c>
      <c r="D14" s="3">
        <v>-4.2339999999999999E-4</v>
      </c>
      <c r="E14" s="3">
        <v>0</v>
      </c>
      <c r="F14" s="3">
        <v>0</v>
      </c>
      <c r="G14" s="3">
        <v>0</v>
      </c>
      <c r="H14" s="3">
        <v>3.6282470000000002E-5</v>
      </c>
      <c r="I14" s="3">
        <v>1.3487111999999999E-5</v>
      </c>
      <c r="J14" s="3">
        <v>-9.7414611999999993E-5</v>
      </c>
      <c r="L14" s="3">
        <f t="shared" si="0"/>
        <v>-7.1988663202645256E-2</v>
      </c>
      <c r="M14" s="3"/>
      <c r="N14" s="2">
        <f>IF('Modell einstellen'!$B$1="Voll",H14/0.35,H14/0.35*2)</f>
        <v>2.0732840000000003E-4</v>
      </c>
      <c r="O14" s="2">
        <f>IF('Modell einstellen'!$B$1="Voll",J14/0.35,J14/0.35*2)</f>
        <v>-5.5665492571428568E-4</v>
      </c>
      <c r="P14" s="3">
        <f t="shared" si="1"/>
        <v>0.3724540831718347</v>
      </c>
    </row>
    <row r="15" spans="1:16" x14ac:dyDescent="0.25">
      <c r="A15" s="3">
        <v>1E-3</v>
      </c>
      <c r="B15" s="3">
        <v>-3.6850000000000001E-5</v>
      </c>
      <c r="C15" s="3">
        <v>1.496E-4</v>
      </c>
      <c r="D15" s="3">
        <v>-4.2099999999999999E-4</v>
      </c>
      <c r="E15" s="3">
        <v>0</v>
      </c>
      <c r="F15" s="3">
        <v>0</v>
      </c>
      <c r="G15" s="3">
        <v>0</v>
      </c>
      <c r="H15" s="3">
        <v>3.7368018999999997E-5</v>
      </c>
      <c r="I15" s="3">
        <v>1.3651009E-5</v>
      </c>
      <c r="J15" s="3">
        <v>-9.901326E-5</v>
      </c>
      <c r="L15" s="3">
        <f t="shared" si="0"/>
        <v>-8.7529691211401431E-2</v>
      </c>
      <c r="M15" s="3"/>
      <c r="N15" s="2">
        <f>IF('Modell einstellen'!$B$1="Voll",H15/0.35,H15/0.35*2)</f>
        <v>2.1353153714285714E-4</v>
      </c>
      <c r="O15" s="2">
        <f>IF('Modell einstellen'!$B$1="Voll",J15/0.35,J15/0.35*2)</f>
        <v>-5.6579005714285722E-4</v>
      </c>
      <c r="P15" s="3">
        <f t="shared" si="1"/>
        <v>0.37740418808551496</v>
      </c>
    </row>
    <row r="16" spans="1:16" x14ac:dyDescent="0.25">
      <c r="A16" s="3">
        <v>0.01</v>
      </c>
      <c r="B16" s="3">
        <v>-4.4209999999999999E-5</v>
      </c>
      <c r="C16" s="3">
        <v>1.515E-4</v>
      </c>
      <c r="D16" s="3">
        <v>-4.1800000000000002E-4</v>
      </c>
      <c r="E16" s="3">
        <v>0</v>
      </c>
      <c r="F16" s="3">
        <v>0</v>
      </c>
      <c r="G16" s="3">
        <v>0</v>
      </c>
      <c r="H16" s="3">
        <v>3.8577101000000003E-5</v>
      </c>
      <c r="I16" s="3">
        <v>1.3826991E-5</v>
      </c>
      <c r="J16" s="3">
        <v>-1.0077231E-4</v>
      </c>
      <c r="L16" s="3">
        <f t="shared" si="0"/>
        <v>-0.10576555023923444</v>
      </c>
      <c r="M16" s="3"/>
      <c r="N16" s="2">
        <f>IF('Modell einstellen'!$B$1="Voll",H16/0.35,H16/0.35*2)</f>
        <v>2.2044057714285718E-4</v>
      </c>
      <c r="O16" s="2">
        <f>IF('Modell einstellen'!$B$1="Voll",J16/0.35,J16/0.35*2)</f>
        <v>-5.7584177142857142E-4</v>
      </c>
      <c r="P16" s="3">
        <f t="shared" si="1"/>
        <v>0.38281449537080187</v>
      </c>
    </row>
    <row r="17" spans="1:16" x14ac:dyDescent="0.25">
      <c r="A17" s="3">
        <v>0.1</v>
      </c>
      <c r="B17" s="3">
        <v>-5.3359999999999997E-5</v>
      </c>
      <c r="C17" s="3">
        <v>1.537E-4</v>
      </c>
      <c r="D17" s="3">
        <v>-4.1379999999999998E-4</v>
      </c>
      <c r="E17" s="3">
        <v>0</v>
      </c>
      <c r="F17" s="3">
        <v>0</v>
      </c>
      <c r="G17" s="3">
        <v>0</v>
      </c>
      <c r="H17" s="3">
        <v>4.0022248999999998E-5</v>
      </c>
      <c r="I17" s="3">
        <v>1.4027217E-5</v>
      </c>
      <c r="J17" s="3">
        <v>-1.0284418000000001E-4</v>
      </c>
      <c r="L17" s="3">
        <f t="shared" si="0"/>
        <v>-0.12895118414693088</v>
      </c>
      <c r="M17" s="3"/>
      <c r="N17" s="2">
        <f>IF('Modell einstellen'!$B$1="Voll",H17/0.35,H17/0.35*2)</f>
        <v>2.2869856571428572E-4</v>
      </c>
      <c r="O17" s="2">
        <f>IF('Modell einstellen'!$B$1="Voll",J17/0.35,J17/0.35*2)</f>
        <v>-5.8768102857142859E-4</v>
      </c>
      <c r="P17" s="3">
        <f t="shared" si="1"/>
        <v>0.389154242855551</v>
      </c>
    </row>
    <row r="18" spans="1:16" x14ac:dyDescent="0.25">
      <c r="A18" s="3">
        <v>1</v>
      </c>
      <c r="B18" s="3">
        <v>-6.4350000000000006E-5</v>
      </c>
      <c r="C18" s="3">
        <v>1.561E-4</v>
      </c>
      <c r="D18" s="3">
        <v>-4.083E-4</v>
      </c>
      <c r="E18" s="3">
        <v>0</v>
      </c>
      <c r="F18" s="3">
        <v>0</v>
      </c>
      <c r="G18" s="3">
        <v>0</v>
      </c>
      <c r="H18" s="3">
        <v>4.1690188000000003E-5</v>
      </c>
      <c r="I18" s="3">
        <v>1.4247700000000001E-5</v>
      </c>
      <c r="J18" s="3">
        <v>-1.0520005E-4</v>
      </c>
      <c r="L18" s="3">
        <f t="shared" si="0"/>
        <v>-0.15760470242468774</v>
      </c>
      <c r="M18" s="3"/>
      <c r="N18" s="2">
        <f>IF('Modell einstellen'!$B$1="Voll",H18/0.35,H18/0.35*2)</f>
        <v>2.3822964571428574E-4</v>
      </c>
      <c r="O18" s="2">
        <f>IF('Modell einstellen'!$B$1="Voll",J18/0.35,J18/0.35*2)</f>
        <v>-6.0114314285714284E-4</v>
      </c>
      <c r="P18" s="3">
        <f t="shared" si="1"/>
        <v>0.39629437438480308</v>
      </c>
    </row>
    <row r="19" spans="1:16" x14ac:dyDescent="0.25">
      <c r="A19" s="3">
        <v>10</v>
      </c>
      <c r="B19" s="3">
        <v>-7.6779999999999993E-5</v>
      </c>
      <c r="C19" s="3">
        <v>1.595E-4</v>
      </c>
      <c r="D19" s="3">
        <v>-4.0250000000000003E-4</v>
      </c>
      <c r="E19" s="3">
        <v>0</v>
      </c>
      <c r="F19" s="3">
        <v>0</v>
      </c>
      <c r="G19" s="3">
        <v>0</v>
      </c>
      <c r="H19" s="3">
        <v>4.3560341000000003E-5</v>
      </c>
      <c r="I19" s="3">
        <v>1.4533074E-5</v>
      </c>
      <c r="J19" s="3">
        <v>-1.0788757E-4</v>
      </c>
      <c r="L19" s="3">
        <f t="shared" si="0"/>
        <v>-0.19075776397515526</v>
      </c>
      <c r="M19" s="3"/>
      <c r="N19" s="2">
        <f>IF('Modell einstellen'!$B$1="Voll",H19/0.35,H19/0.35*2)</f>
        <v>2.4891623428571432E-4</v>
      </c>
      <c r="O19" s="2">
        <f>IF('Modell einstellen'!$B$1="Voll",J19/0.35,J19/0.35*2)</f>
        <v>-6.1650040000000011E-4</v>
      </c>
      <c r="P19" s="3">
        <f t="shared" si="1"/>
        <v>0.40375680905594591</v>
      </c>
    </row>
    <row r="20" spans="1:16" x14ac:dyDescent="0.25">
      <c r="A20" s="3">
        <v>100</v>
      </c>
      <c r="B20" s="3">
        <v>-8.933E-5</v>
      </c>
      <c r="C20" s="3">
        <v>1.6259999999999999E-4</v>
      </c>
      <c r="D20" s="3">
        <v>-3.9589999999999997E-4</v>
      </c>
      <c r="E20" s="3">
        <v>0</v>
      </c>
      <c r="F20" s="3">
        <v>0</v>
      </c>
      <c r="G20" s="3">
        <v>0</v>
      </c>
      <c r="H20" s="3">
        <v>4.5518973999999998E-5</v>
      </c>
      <c r="I20" s="3">
        <v>1.4830310999999999E-5</v>
      </c>
      <c r="J20" s="3">
        <v>-1.1067088E-4</v>
      </c>
      <c r="L20" s="3">
        <f t="shared" si="0"/>
        <v>-0.22563778732003031</v>
      </c>
      <c r="M20" s="3"/>
      <c r="N20" s="2">
        <f>IF('Modell einstellen'!$B$1="Voll",H20/0.35,H20/0.35*2)</f>
        <v>2.6010842285714285E-4</v>
      </c>
      <c r="O20" s="2">
        <f>IF('Modell einstellen'!$B$1="Voll",J20/0.35,J20/0.35*2)</f>
        <v>-6.3240502857142859E-4</v>
      </c>
      <c r="P20" s="3">
        <f t="shared" si="1"/>
        <v>0.41130037097382799</v>
      </c>
    </row>
    <row r="21" spans="1:16" x14ac:dyDescent="0.25">
      <c r="A21" s="3">
        <v>1000</v>
      </c>
      <c r="B21" s="3">
        <v>-9.5390000000000007E-5</v>
      </c>
      <c r="C21" s="3">
        <v>1.6980000000000001E-4</v>
      </c>
      <c r="D21" s="3">
        <v>-3.9859999999999999E-4</v>
      </c>
      <c r="E21" s="3">
        <v>0</v>
      </c>
      <c r="F21" s="3">
        <v>0</v>
      </c>
      <c r="G21" s="3">
        <v>0</v>
      </c>
      <c r="H21" s="3">
        <v>4.8280681999999997E-5</v>
      </c>
      <c r="I21" s="3">
        <v>1.5713322000000001E-5</v>
      </c>
      <c r="J21" s="3">
        <v>-1.1530705E-4</v>
      </c>
      <c r="L21" s="3">
        <f t="shared" si="0"/>
        <v>-0.23931259407927749</v>
      </c>
      <c r="M21" s="3"/>
      <c r="N21" s="2">
        <f>IF('Modell einstellen'!$B$1="Voll",H21/0.35,H21/0.35*2)</f>
        <v>2.7588961142857143E-4</v>
      </c>
      <c r="O21" s="2">
        <f>IF('Modell einstellen'!$B$1="Voll",J21/0.35,J21/0.35*2)</f>
        <v>-6.5889742857142865E-4</v>
      </c>
      <c r="P21" s="3">
        <f t="shared" si="1"/>
        <v>0.41871405087546681</v>
      </c>
    </row>
    <row r="22" spans="1:16" x14ac:dyDescent="0.25">
      <c r="A22" s="3">
        <v>10000</v>
      </c>
      <c r="B22" s="3">
        <v>-6.1249999999999998E-5</v>
      </c>
      <c r="C22" s="3">
        <v>1.951E-4</v>
      </c>
      <c r="D22" s="3">
        <v>-4.5120000000000002E-4</v>
      </c>
      <c r="E22" s="3">
        <v>0</v>
      </c>
      <c r="F22" s="3">
        <v>0</v>
      </c>
      <c r="G22" s="3">
        <v>0</v>
      </c>
      <c r="H22" s="3">
        <v>5.4273661000000002E-5</v>
      </c>
      <c r="I22" s="3">
        <v>1.9456917999999999E-5</v>
      </c>
      <c r="J22" s="3">
        <v>-1.2827110000000001E-4</v>
      </c>
      <c r="L22" s="3">
        <f t="shared" si="0"/>
        <v>-0.13574911347517729</v>
      </c>
      <c r="M22" s="3"/>
      <c r="N22" s="2">
        <f>IF('Modell einstellen'!$B$1="Voll",H22/0.35,H22/0.35*2)</f>
        <v>3.1013520571428573E-4</v>
      </c>
      <c r="O22" s="2">
        <f>IF('Modell einstellen'!$B$1="Voll",J22/0.35,J22/0.35*2)</f>
        <v>-7.3297771428571445E-4</v>
      </c>
      <c r="P22" s="3">
        <f t="shared" si="1"/>
        <v>0.42311682834247144</v>
      </c>
    </row>
    <row r="23" spans="1:16" x14ac:dyDescent="0.25">
      <c r="A23" s="3">
        <v>100000</v>
      </c>
      <c r="B23" s="3">
        <v>3.8649999999999998E-5</v>
      </c>
      <c r="C23" s="3">
        <v>2.4899999999999998E-4</v>
      </c>
      <c r="D23" s="3">
        <v>-5.8489999999999996E-4</v>
      </c>
      <c r="E23" s="3">
        <v>0</v>
      </c>
      <c r="F23" s="3">
        <v>0</v>
      </c>
      <c r="G23" s="3">
        <v>0</v>
      </c>
      <c r="H23" s="3">
        <v>6.4522359000000005E-5</v>
      </c>
      <c r="I23" s="3">
        <v>2.7900635000000001E-5</v>
      </c>
      <c r="J23" s="3">
        <v>-1.5390639E-4</v>
      </c>
      <c r="L23" s="3">
        <f t="shared" si="0"/>
        <v>6.6079671738758769E-2</v>
      </c>
      <c r="M23" s="3"/>
      <c r="N23" s="2">
        <f>IF('Modell einstellen'!$B$1="Voll",H23/0.35,H23/0.35*2)</f>
        <v>3.6869919428571436E-4</v>
      </c>
      <c r="O23" s="2">
        <f>IF('Modell einstellen'!$B$1="Voll",J23/0.35,J23/0.35*2)</f>
        <v>-8.7946508571428578E-4</v>
      </c>
      <c r="P23" s="3">
        <f t="shared" si="1"/>
        <v>0.41923118981609542</v>
      </c>
    </row>
    <row r="24" spans="1:16" x14ac:dyDescent="0.25">
      <c r="A24" s="3">
        <v>1000000</v>
      </c>
      <c r="B24" s="3">
        <v>1.7129999999999999E-4</v>
      </c>
      <c r="C24" s="3">
        <v>3.21E-4</v>
      </c>
      <c r="D24" s="3">
        <v>-7.6460000000000005E-4</v>
      </c>
      <c r="E24" s="3">
        <v>0</v>
      </c>
      <c r="F24" s="3">
        <v>0</v>
      </c>
      <c r="G24" s="3">
        <v>0</v>
      </c>
      <c r="H24" s="3">
        <v>7.6028430000000001E-5</v>
      </c>
      <c r="I24" s="3">
        <v>3.8869419000000003E-5</v>
      </c>
      <c r="J24" s="3">
        <v>-1.8544052E-4</v>
      </c>
      <c r="L24" s="3">
        <f t="shared" si="0"/>
        <v>0.22403871305257647</v>
      </c>
      <c r="M24" s="3"/>
      <c r="N24" s="2">
        <f>IF('Modell einstellen'!$B$1="Voll",H24/0.35,H24/0.35*2)</f>
        <v>4.3444817142857146E-4</v>
      </c>
      <c r="O24" s="2">
        <f>IF('Modell einstellen'!$B$1="Voll",J24/0.35,J24/0.35*2)</f>
        <v>-1.0596601142857144E-3</v>
      </c>
      <c r="P24" s="3">
        <f t="shared" si="1"/>
        <v>0.40998822695277171</v>
      </c>
    </row>
    <row r="25" spans="1:16" x14ac:dyDescent="0.25">
      <c r="A25" s="3">
        <v>10000000</v>
      </c>
      <c r="B25" s="3">
        <v>2.9770000000000003E-4</v>
      </c>
      <c r="C25" s="3">
        <v>3.971E-4</v>
      </c>
      <c r="D25" s="3">
        <v>-9.4479999999999998E-4</v>
      </c>
      <c r="E25" s="3">
        <v>0</v>
      </c>
      <c r="F25" s="3">
        <v>0</v>
      </c>
      <c r="G25" s="3">
        <v>0</v>
      </c>
      <c r="H25" s="3">
        <v>8.6503969999999995E-5</v>
      </c>
      <c r="I25" s="3">
        <v>4.9802470999999997E-5</v>
      </c>
      <c r="J25" s="3">
        <v>-2.1603494E-4</v>
      </c>
      <c r="L25" s="3">
        <f t="shared" si="0"/>
        <v>0.31509314140558853</v>
      </c>
      <c r="M25" s="3"/>
      <c r="N25" s="2">
        <f>IF('Modell einstellen'!$B$1="Voll",H25/0.35,H25/0.35*2)</f>
        <v>4.9430839999999997E-4</v>
      </c>
      <c r="O25" s="2">
        <f>IF('Modell einstellen'!$B$1="Voll",J25/0.35,J25/0.35*2)</f>
        <v>-1.2344853714285715E-3</v>
      </c>
      <c r="P25" s="3">
        <f t="shared" si="1"/>
        <v>0.40041657150459081</v>
      </c>
    </row>
    <row r="26" spans="1:16" x14ac:dyDescent="0.25">
      <c r="A26" s="3">
        <v>100000000</v>
      </c>
      <c r="B26" s="3">
        <v>4.0279999999999998E-4</v>
      </c>
      <c r="C26" s="3">
        <v>4.7169999999999997E-4</v>
      </c>
      <c r="D26" s="3">
        <v>-1.1069999999999999E-3</v>
      </c>
      <c r="E26" s="3">
        <v>0</v>
      </c>
      <c r="F26" s="3">
        <v>0</v>
      </c>
      <c r="G26" s="3">
        <v>0</v>
      </c>
      <c r="H26" s="3">
        <v>9.5946405E-5</v>
      </c>
      <c r="I26" s="3">
        <v>6.0043061999999997E-5</v>
      </c>
      <c r="J26" s="3">
        <v>-2.4457055000000002E-4</v>
      </c>
      <c r="L26" s="3">
        <f t="shared" si="0"/>
        <v>0.36386630532971997</v>
      </c>
      <c r="M26" s="3"/>
      <c r="N26" s="2">
        <f>IF('Modell einstellen'!$B$1="Voll",H26/0.35,H26/0.35*2)</f>
        <v>5.4826517142857146E-4</v>
      </c>
      <c r="O26" s="2">
        <f>IF('Modell einstellen'!$B$1="Voll",J26/0.35,J26/0.35*2)</f>
        <v>-1.3975460000000002E-3</v>
      </c>
      <c r="P26" s="3">
        <f t="shared" si="1"/>
        <v>0.3923056353269026</v>
      </c>
    </row>
    <row r="27" spans="1:16" x14ac:dyDescent="0.25">
      <c r="A27" s="3">
        <v>1000000000</v>
      </c>
      <c r="B27" s="3">
        <v>4.8589999999999999E-4</v>
      </c>
      <c r="C27" s="3">
        <v>5.4129999999999998E-4</v>
      </c>
      <c r="D27" s="3">
        <v>-1.2470000000000001E-3</v>
      </c>
      <c r="E27" s="3">
        <v>0</v>
      </c>
      <c r="F27" s="3">
        <v>0</v>
      </c>
      <c r="G27" s="3">
        <v>0</v>
      </c>
      <c r="H27" s="3">
        <v>1.0412501E-4</v>
      </c>
      <c r="I27" s="3">
        <v>6.9347552000000002E-5</v>
      </c>
      <c r="J27" s="3">
        <v>-2.7027855999999997E-4</v>
      </c>
      <c r="L27" s="3">
        <f t="shared" si="0"/>
        <v>0.3896551724137931</v>
      </c>
      <c r="M27" s="3"/>
      <c r="N27" s="2">
        <f>IF('Modell einstellen'!$B$1="Voll",H27/0.35,H27/0.35*2)</f>
        <v>5.9500005714285711E-4</v>
      </c>
      <c r="O27" s="2">
        <f>IF('Modell einstellen'!$B$1="Voll",J27/0.35,J27/0.35*2)</f>
        <v>-1.5444489142857143E-3</v>
      </c>
      <c r="P27" s="3">
        <f t="shared" si="1"/>
        <v>0.38525072058989801</v>
      </c>
    </row>
    <row r="28" spans="1:16" x14ac:dyDescent="0.25">
      <c r="A28" s="3">
        <v>10000000000</v>
      </c>
      <c r="B28" s="3">
        <v>5.5219999999999998E-4</v>
      </c>
      <c r="C28" s="3">
        <v>6.0709999999999996E-4</v>
      </c>
      <c r="D28" s="3">
        <v>-1.3699999999999999E-3</v>
      </c>
      <c r="E28" s="3">
        <v>0</v>
      </c>
      <c r="F28" s="3">
        <v>0</v>
      </c>
      <c r="G28" s="3">
        <v>0</v>
      </c>
      <c r="H28" s="3">
        <v>1.1193224E-4</v>
      </c>
      <c r="I28" s="3">
        <v>7.8123596000000001E-5</v>
      </c>
      <c r="J28" s="3">
        <v>-2.9480791000000001E-4</v>
      </c>
      <c r="L28" s="3">
        <f t="shared" si="0"/>
        <v>0.40306569343065696</v>
      </c>
      <c r="M28" s="3"/>
      <c r="N28" s="2">
        <f>IF('Modell einstellen'!$B$1="Voll",H28/0.35,H28/0.35*2)</f>
        <v>6.3961280000000007E-4</v>
      </c>
      <c r="O28" s="2">
        <f>IF('Modell einstellen'!$B$1="Voll",J28/0.35,J28/0.35*2)</f>
        <v>-1.6846166285714287E-3</v>
      </c>
      <c r="P28" s="3">
        <f t="shared" si="1"/>
        <v>0.37967855068746292</v>
      </c>
    </row>
    <row r="29" spans="1:16" x14ac:dyDescent="0.25">
      <c r="A29" s="3">
        <v>100000000000</v>
      </c>
      <c r="B29" s="3">
        <v>6.0809999999999998E-4</v>
      </c>
      <c r="C29" s="3">
        <v>6.711E-4</v>
      </c>
      <c r="D29" s="3">
        <v>-1.4829999999999999E-3</v>
      </c>
      <c r="E29" s="3">
        <v>0</v>
      </c>
      <c r="F29" s="3">
        <v>0</v>
      </c>
      <c r="G29" s="3">
        <v>0</v>
      </c>
      <c r="H29" s="3">
        <v>1.2002808E-4</v>
      </c>
      <c r="I29" s="3">
        <v>8.6809512000000002E-5</v>
      </c>
      <c r="J29" s="3">
        <v>-3.1960978999999998E-4</v>
      </c>
      <c r="L29" s="3">
        <f t="shared" si="0"/>
        <v>0.41004720161834118</v>
      </c>
      <c r="M29" s="3"/>
      <c r="N29" s="2">
        <f>IF('Modell einstellen'!$B$1="Voll",H29/0.35,H29/0.35*2)</f>
        <v>6.8587474285714293E-4</v>
      </c>
      <c r="O29" s="2">
        <f>IF('Modell einstellen'!$B$1="Voll",J29/0.35,J29/0.35*2)</f>
        <v>-1.8263416571428573E-3</v>
      </c>
      <c r="P29" s="3">
        <f t="shared" si="1"/>
        <v>0.37554569276491812</v>
      </c>
    </row>
    <row r="30" spans="1:16" x14ac:dyDescent="0.25">
      <c r="A30" s="3">
        <v>1000000000000</v>
      </c>
      <c r="B30" s="3">
        <v>6.6149999999999998E-4</v>
      </c>
      <c r="C30" s="3">
        <v>7.404E-4</v>
      </c>
      <c r="D30" s="3">
        <v>-1.6019999999999999E-3</v>
      </c>
      <c r="E30" s="3">
        <v>0</v>
      </c>
      <c r="F30" s="3">
        <v>0</v>
      </c>
      <c r="G30" s="3">
        <v>0</v>
      </c>
      <c r="H30" s="3">
        <v>1.2996850999999999E-4</v>
      </c>
      <c r="I30" s="3">
        <v>9.6636105000000002E-5</v>
      </c>
      <c r="J30" s="3">
        <v>-3.4861008000000002E-4</v>
      </c>
      <c r="L30" s="3">
        <f t="shared" si="0"/>
        <v>0.41292134831460675</v>
      </c>
      <c r="M30" s="3"/>
      <c r="N30" s="2">
        <f>IF('Modell einstellen'!$B$1="Voll",H30/0.35,H30/0.35*2)</f>
        <v>7.4267720000000003E-4</v>
      </c>
      <c r="O30" s="2">
        <f>IF('Modell einstellen'!$B$1="Voll",J30/0.35,J30/0.35*2)</f>
        <v>-1.9920576000000004E-3</v>
      </c>
      <c r="P30" s="3">
        <f t="shared" si="1"/>
        <v>0.37281913936625122</v>
      </c>
    </row>
    <row r="31" spans="1:16" x14ac:dyDescent="0.25">
      <c r="A31" s="3">
        <v>10000000000000</v>
      </c>
      <c r="B31" s="3">
        <v>7.1650000000000001E-4</v>
      </c>
      <c r="C31" s="3">
        <v>8.1859999999999995E-4</v>
      </c>
      <c r="D31" s="3">
        <v>-1.732E-3</v>
      </c>
      <c r="E31" s="3">
        <v>0</v>
      </c>
      <c r="F31" s="3">
        <v>0</v>
      </c>
      <c r="G31" s="3">
        <v>0</v>
      </c>
      <c r="H31" s="3">
        <v>1.4220962000000001E-4</v>
      </c>
      <c r="I31" s="3">
        <v>1.0814982E-4</v>
      </c>
      <c r="J31" s="3">
        <v>-3.8326019999999997E-4</v>
      </c>
      <c r="L31" s="3">
        <f t="shared" si="0"/>
        <v>0.41368360277136257</v>
      </c>
      <c r="M31" s="3"/>
      <c r="N31" s="2">
        <f>IF('Modell einstellen'!$B$1="Voll",H31/0.35,H31/0.35*2)</f>
        <v>8.1262640000000013E-4</v>
      </c>
      <c r="O31" s="2">
        <f>IF('Modell einstellen'!$B$1="Voll",J31/0.35,J31/0.35*2)</f>
        <v>-2.1900582857142855E-3</v>
      </c>
      <c r="P31" s="3">
        <f t="shared" si="1"/>
        <v>0.37105240773761544</v>
      </c>
    </row>
    <row r="32" spans="1:16" x14ac:dyDescent="0.25">
      <c r="A32" s="3">
        <v>100000000000000</v>
      </c>
      <c r="B32" s="3">
        <v>7.7800000000000005E-4</v>
      </c>
      <c r="C32" s="3">
        <v>9.1569999999999998E-4</v>
      </c>
      <c r="D32" s="3">
        <v>-1.8879999999999999E-3</v>
      </c>
      <c r="E32" s="3">
        <v>0</v>
      </c>
      <c r="F32" s="3">
        <v>0</v>
      </c>
      <c r="G32" s="3">
        <v>0</v>
      </c>
      <c r="H32" s="3">
        <v>1.5868775999999999E-4</v>
      </c>
      <c r="I32" s="3">
        <v>1.2307596000000001E-4</v>
      </c>
      <c r="J32" s="3">
        <v>-4.2882416000000002E-4</v>
      </c>
      <c r="L32" s="3">
        <f t="shared" si="0"/>
        <v>0.41207627118644075</v>
      </c>
      <c r="M32" s="3"/>
      <c r="N32" s="2">
        <f>IF('Modell einstellen'!$B$1="Voll",H32/0.35,H32/0.35*2)</f>
        <v>9.067872E-4</v>
      </c>
      <c r="O32" s="2">
        <f>IF('Modell einstellen'!$B$1="Voll",J32/0.35,J32/0.35*2)</f>
        <v>-2.4504237714285718E-3</v>
      </c>
      <c r="P32" s="3">
        <f t="shared" si="1"/>
        <v>0.37005321715082468</v>
      </c>
    </row>
    <row r="33" spans="1:16" x14ac:dyDescent="0.25">
      <c r="A33" s="3">
        <v>1000000000000000</v>
      </c>
      <c r="B33" s="3">
        <v>8.5110000000000003E-4</v>
      </c>
      <c r="C33" s="3">
        <v>1.0460000000000001E-3</v>
      </c>
      <c r="D33" s="3">
        <v>-2.0890000000000001E-3</v>
      </c>
      <c r="E33" s="3">
        <v>0</v>
      </c>
      <c r="F33" s="3">
        <v>0</v>
      </c>
      <c r="G33" s="3">
        <v>0</v>
      </c>
      <c r="H33" s="3">
        <v>1.8204081E-4</v>
      </c>
      <c r="I33" s="3">
        <v>1.4381556E-4</v>
      </c>
      <c r="J33" s="3">
        <v>-4.9255475000000001E-4</v>
      </c>
      <c r="L33" s="3">
        <f t="shared" si="0"/>
        <v>0.40741981809478217</v>
      </c>
      <c r="M33" s="3"/>
      <c r="N33" s="2">
        <f>IF('Modell einstellen'!$B$1="Voll",H33/0.35,H33/0.35*2)</f>
        <v>1.0402332000000001E-3</v>
      </c>
      <c r="O33" s="2">
        <f>IF('Modell einstellen'!$B$1="Voll",J33/0.35,J33/0.35*2)</f>
        <v>-2.8145985714285717E-3</v>
      </c>
      <c r="P33" s="3">
        <f t="shared" si="1"/>
        <v>0.36958492431552026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-7.3390000000000004E-6</v>
      </c>
      <c r="C3" s="3">
        <v>1.4249999999999999E-4</v>
      </c>
      <c r="D3" s="3">
        <v>-4.3219999999999999E-4</v>
      </c>
      <c r="E3" s="3">
        <v>0</v>
      </c>
      <c r="F3" s="3">
        <v>0</v>
      </c>
      <c r="G3" s="3">
        <v>0</v>
      </c>
      <c r="H3" s="3">
        <v>3.2769050000000001E-5</v>
      </c>
      <c r="I3" s="3">
        <v>1.3058299000000001E-5</v>
      </c>
      <c r="J3" s="3">
        <v>-9.2366875000000003E-5</v>
      </c>
      <c r="K3" s="3"/>
      <c r="L3" s="3">
        <f>-B3/D3</f>
        <v>-1.6980564553447479E-2</v>
      </c>
      <c r="M3" s="3"/>
      <c r="N3" s="2">
        <f>IF('Modell einstellen'!$B$1="Voll",H3/0.35,H3/0.35*2)</f>
        <v>1.872517142857143E-4</v>
      </c>
      <c r="O3" s="2">
        <f>IF('Modell einstellen'!$B$1="Voll",J3/0.35,J3/0.35*2)</f>
        <v>-5.2781071428571432E-4</v>
      </c>
      <c r="P3" s="3">
        <f>-N3/O3</f>
        <v>0.35477058198623695</v>
      </c>
      <c r="Q3" s="3"/>
      <c r="R3" s="3"/>
      <c r="S3" s="3"/>
      <c r="T3" s="3"/>
      <c r="U3" s="3"/>
    </row>
    <row r="4" spans="1:21" x14ac:dyDescent="0.25">
      <c r="A4" s="3">
        <v>1E-14</v>
      </c>
      <c r="B4" s="3">
        <v>-7.3490000000000003E-6</v>
      </c>
      <c r="C4" s="3">
        <v>1.426E-4</v>
      </c>
      <c r="D4" s="3">
        <v>-4.3219999999999999E-4</v>
      </c>
      <c r="E4" s="3">
        <v>0</v>
      </c>
      <c r="F4" s="3">
        <v>0</v>
      </c>
      <c r="G4" s="3">
        <v>0</v>
      </c>
      <c r="H4" s="3">
        <v>3.2769250000000001E-5</v>
      </c>
      <c r="I4" s="3">
        <v>1.3059255000000001E-5</v>
      </c>
      <c r="J4" s="3">
        <v>-9.2365555000000006E-5</v>
      </c>
      <c r="K4" s="3"/>
      <c r="L4" s="3">
        <f t="shared" ref="L4:L33" si="0">-B4/D4</f>
        <v>-1.7003701989819528E-2</v>
      </c>
      <c r="M4" s="3"/>
      <c r="N4" s="2">
        <f>IF('Modell einstellen'!$B$1="Voll",H4/0.35,H4/0.35*2)</f>
        <v>1.8725285714285715E-4</v>
      </c>
      <c r="O4" s="2">
        <f>IF('Modell einstellen'!$B$1="Voll",J4/0.35,J4/0.35*2)</f>
        <v>-5.2780317142857151E-4</v>
      </c>
      <c r="P4" s="3">
        <f t="shared" ref="P4:P33" si="1">-N4/O4</f>
        <v>0.35477781733677666</v>
      </c>
      <c r="Q4" s="3"/>
      <c r="R4" s="3"/>
      <c r="S4" s="3"/>
      <c r="T4" s="3"/>
      <c r="U4" s="3"/>
    </row>
    <row r="5" spans="1:21" x14ac:dyDescent="0.25">
      <c r="A5" s="3">
        <v>1E-13</v>
      </c>
      <c r="B5" s="3">
        <v>-7.3490000000000003E-6</v>
      </c>
      <c r="C5" s="3">
        <v>1.426E-4</v>
      </c>
      <c r="D5" s="3">
        <v>-4.3219999999999999E-4</v>
      </c>
      <c r="E5" s="3">
        <v>0</v>
      </c>
      <c r="F5" s="3">
        <v>0</v>
      </c>
      <c r="G5" s="3">
        <v>0</v>
      </c>
      <c r="H5" s="3">
        <v>3.2769847000000001E-5</v>
      </c>
      <c r="I5" s="3">
        <v>1.3059485999999999E-5</v>
      </c>
      <c r="J5" s="3">
        <v>-9.2366679E-5</v>
      </c>
      <c r="K5" s="3"/>
      <c r="L5" s="3">
        <f t="shared" si="0"/>
        <v>-1.7003701989819528E-2</v>
      </c>
      <c r="M5" s="3"/>
      <c r="N5" s="2">
        <f>IF('Modell einstellen'!$B$1="Voll",H5/0.35,H5/0.35*2)</f>
        <v>1.8725626857142859E-4</v>
      </c>
      <c r="O5" s="2">
        <f>IF('Modell einstellen'!$B$1="Voll",J5/0.35,J5/0.35*2)</f>
        <v>-5.2780959428571435E-4</v>
      </c>
      <c r="P5" s="3">
        <f t="shared" si="1"/>
        <v>0.35477996345413693</v>
      </c>
      <c r="Q5" s="3"/>
      <c r="R5" s="3"/>
      <c r="S5" s="3"/>
      <c r="T5" s="3"/>
      <c r="U5" s="3"/>
    </row>
    <row r="6" spans="1:21" x14ac:dyDescent="0.25">
      <c r="A6" s="3">
        <v>9.9999999999999998E-13</v>
      </c>
      <c r="B6" s="3">
        <v>-7.3699999999999997E-6</v>
      </c>
      <c r="C6" s="3">
        <v>1.426E-4</v>
      </c>
      <c r="D6" s="3">
        <v>-4.3219999999999999E-4</v>
      </c>
      <c r="E6" s="3">
        <v>0</v>
      </c>
      <c r="F6" s="3">
        <v>0</v>
      </c>
      <c r="G6" s="3">
        <v>0</v>
      </c>
      <c r="H6" s="3">
        <v>3.2774088999999998E-5</v>
      </c>
      <c r="I6" s="3">
        <v>1.3060223E-5</v>
      </c>
      <c r="J6" s="3">
        <v>-9.2373245000000002E-5</v>
      </c>
      <c r="K6" s="3"/>
      <c r="L6" s="3">
        <f t="shared" si="0"/>
        <v>-1.7052290606200834E-2</v>
      </c>
      <c r="M6" s="3"/>
      <c r="N6" s="2">
        <f>IF('Modell einstellen'!$B$1="Voll",H6/0.35,H6/0.35*2)</f>
        <v>1.8728050857142858E-4</v>
      </c>
      <c r="O6" s="2">
        <f>IF('Modell einstellen'!$B$1="Voll",J6/0.35,J6/0.35*2)</f>
        <v>-5.2784711428571437E-4</v>
      </c>
      <c r="P6" s="3">
        <f t="shared" si="1"/>
        <v>0.35480066766085783</v>
      </c>
      <c r="Q6" s="3"/>
      <c r="R6" s="3"/>
      <c r="S6" s="3"/>
      <c r="T6" s="3"/>
      <c r="U6" s="3"/>
    </row>
    <row r="7" spans="1:21" x14ac:dyDescent="0.25">
      <c r="A7" s="3">
        <v>9.9999999999999994E-12</v>
      </c>
      <c r="B7" s="3">
        <v>-7.5789999999999998E-6</v>
      </c>
      <c r="C7" s="3">
        <v>1.426E-4</v>
      </c>
      <c r="D7" s="3">
        <v>-4.3209999999999999E-4</v>
      </c>
      <c r="E7" s="3">
        <v>0</v>
      </c>
      <c r="F7" s="3">
        <v>0</v>
      </c>
      <c r="G7" s="3">
        <v>0</v>
      </c>
      <c r="H7" s="3">
        <v>3.2815014999999998E-5</v>
      </c>
      <c r="I7" s="3">
        <v>1.3066984999999999E-5</v>
      </c>
      <c r="J7" s="3">
        <v>-9.2436068000000007E-5</v>
      </c>
      <c r="K7" s="3"/>
      <c r="L7" s="3">
        <f t="shared" si="0"/>
        <v>-1.7539921314510529E-2</v>
      </c>
      <c r="M7" s="3"/>
      <c r="N7" s="2">
        <f>IF('Modell einstellen'!$B$1="Voll",H7/0.35,H7/0.35*2)</f>
        <v>1.8751437142857142E-4</v>
      </c>
      <c r="O7" s="2">
        <f>IF('Modell einstellen'!$B$1="Voll",J7/0.35,J7/0.35*2)</f>
        <v>-5.2820610285714297E-4</v>
      </c>
      <c r="P7" s="3">
        <f t="shared" si="1"/>
        <v>0.35500228114419569</v>
      </c>
      <c r="Q7" s="3"/>
      <c r="R7" s="3"/>
      <c r="S7" s="3"/>
      <c r="T7" s="3"/>
      <c r="U7" s="3"/>
    </row>
    <row r="8" spans="1:21" x14ac:dyDescent="0.25">
      <c r="A8" s="3">
        <v>1E-10</v>
      </c>
      <c r="B8" s="3">
        <v>-9.4110000000000002E-6</v>
      </c>
      <c r="C8" s="3">
        <v>1.4320000000000001E-4</v>
      </c>
      <c r="D8" s="3">
        <v>-4.3179999999999998E-4</v>
      </c>
      <c r="E8" s="3">
        <v>0</v>
      </c>
      <c r="F8" s="3">
        <v>0</v>
      </c>
      <c r="G8" s="3">
        <v>0</v>
      </c>
      <c r="H8" s="3">
        <v>3.3171082000000002E-5</v>
      </c>
      <c r="I8" s="3">
        <v>1.3125528999999999E-5</v>
      </c>
      <c r="J8" s="3">
        <v>-9.2981745000000001E-5</v>
      </c>
      <c r="K8" s="3"/>
      <c r="L8" s="3">
        <f t="shared" si="0"/>
        <v>-2.179481241315424E-2</v>
      </c>
      <c r="M8" s="3"/>
      <c r="N8" s="2">
        <f>IF('Modell einstellen'!$B$1="Voll",H8/0.35,H8/0.35*2)</f>
        <v>1.8954904000000001E-4</v>
      </c>
      <c r="O8" s="2">
        <f>IF('Modell einstellen'!$B$1="Voll",J8/0.35,J8/0.35*2)</f>
        <v>-5.3132425714285715E-4</v>
      </c>
      <c r="P8" s="3">
        <f t="shared" si="1"/>
        <v>0.3567483273195185</v>
      </c>
      <c r="Q8" s="3"/>
      <c r="R8" s="3"/>
      <c r="S8" s="3"/>
      <c r="T8" s="3"/>
      <c r="U8" s="3"/>
    </row>
    <row r="9" spans="1:21" x14ac:dyDescent="0.25">
      <c r="A9" s="3">
        <v>1.0000000000000001E-9</v>
      </c>
      <c r="B9" s="3">
        <v>-1.5979999999999999E-5</v>
      </c>
      <c r="C9" s="3">
        <v>1.4530000000000001E-4</v>
      </c>
      <c r="D9" s="3">
        <v>-4.3019999999999999E-4</v>
      </c>
      <c r="E9" s="3">
        <v>0</v>
      </c>
      <c r="F9" s="3">
        <v>0</v>
      </c>
      <c r="G9" s="3">
        <v>0</v>
      </c>
      <c r="H9" s="3">
        <v>3.4418804000000001E-5</v>
      </c>
      <c r="I9" s="3">
        <v>1.3327081E-5</v>
      </c>
      <c r="J9" s="3">
        <v>-9.4878489000000006E-5</v>
      </c>
      <c r="K9" s="3"/>
      <c r="L9" s="3">
        <f t="shared" si="0"/>
        <v>-3.7145513714551368E-2</v>
      </c>
      <c r="M9" s="3"/>
      <c r="N9" s="2">
        <f>IF('Modell einstellen'!$B$1="Voll",H9/0.35,H9/0.35*2)</f>
        <v>1.9667888000000002E-4</v>
      </c>
      <c r="O9" s="2">
        <f>IF('Modell einstellen'!$B$1="Voll",J9/0.35,J9/0.35*2)</f>
        <v>-5.4216279428571435E-4</v>
      </c>
      <c r="P9" s="3">
        <f t="shared" si="1"/>
        <v>0.36276720216317948</v>
      </c>
      <c r="Q9" s="3"/>
      <c r="R9" s="3"/>
      <c r="S9" s="3"/>
      <c r="T9" s="3"/>
      <c r="U9" s="3"/>
    </row>
    <row r="10" spans="1:21" x14ac:dyDescent="0.25">
      <c r="A10" s="3">
        <v>1E-8</v>
      </c>
      <c r="B10" s="3">
        <v>-2.1080000000000001E-5</v>
      </c>
      <c r="C10" s="3">
        <v>1.47E-4</v>
      </c>
      <c r="D10" s="3">
        <v>-4.2890000000000002E-4</v>
      </c>
      <c r="E10" s="3">
        <v>0</v>
      </c>
      <c r="F10" s="3">
        <v>0</v>
      </c>
      <c r="G10" s="3">
        <v>0</v>
      </c>
      <c r="H10" s="3">
        <v>3.5370158999999997E-5</v>
      </c>
      <c r="I10" s="3">
        <v>1.348441E-5</v>
      </c>
      <c r="J10" s="3">
        <v>-9.6317089999999999E-5</v>
      </c>
      <c r="K10" s="3"/>
      <c r="L10" s="3">
        <f t="shared" si="0"/>
        <v>-4.9148985777570528E-2</v>
      </c>
      <c r="M10" s="3"/>
      <c r="N10" s="2">
        <f>IF('Modell einstellen'!$B$1="Voll",H10/0.35,H10/0.35*2)</f>
        <v>2.0211519428571428E-4</v>
      </c>
      <c r="O10" s="2">
        <f>IF('Modell einstellen'!$B$1="Voll",J10/0.35,J10/0.35*2)</f>
        <v>-5.5038337142857149E-4</v>
      </c>
      <c r="P10" s="3">
        <f t="shared" si="1"/>
        <v>0.3672262004593369</v>
      </c>
      <c r="Q10" s="3"/>
      <c r="R10" s="3"/>
      <c r="S10" s="3"/>
      <c r="T10" s="3"/>
      <c r="U10" s="3"/>
    </row>
    <row r="11" spans="1:21" x14ac:dyDescent="0.25">
      <c r="A11" s="3">
        <v>9.9999999999999995E-8</v>
      </c>
      <c r="B11" s="3">
        <v>-2.6060000000000001E-5</v>
      </c>
      <c r="C11" s="3">
        <v>1.4860000000000001E-4</v>
      </c>
      <c r="D11" s="3">
        <v>-4.2749999999999998E-4</v>
      </c>
      <c r="E11" s="3">
        <v>0</v>
      </c>
      <c r="F11" s="3">
        <v>0</v>
      </c>
      <c r="G11" s="3">
        <v>0</v>
      </c>
      <c r="H11" s="3">
        <v>3.627111E-5</v>
      </c>
      <c r="I11" s="3">
        <v>1.3631026E-5</v>
      </c>
      <c r="J11" s="3">
        <v>-9.7669411E-5</v>
      </c>
      <c r="K11" s="3"/>
      <c r="L11" s="3">
        <f t="shared" si="0"/>
        <v>-6.0959064327485386E-2</v>
      </c>
      <c r="M11" s="3"/>
      <c r="N11" s="2">
        <f>IF('Modell einstellen'!$B$1="Voll",H11/0.35,H11/0.35*2)</f>
        <v>2.0726348571428572E-4</v>
      </c>
      <c r="O11" s="2">
        <f>IF('Modell einstellen'!$B$1="Voll",J11/0.35,J11/0.35*2)</f>
        <v>-5.5811092000000002E-4</v>
      </c>
      <c r="P11" s="3">
        <f t="shared" si="1"/>
        <v>0.37136611789334945</v>
      </c>
      <c r="Q11" s="3"/>
      <c r="R11" s="3"/>
      <c r="S11" s="3"/>
      <c r="T11" s="3"/>
      <c r="U11" s="3"/>
    </row>
    <row r="12" spans="1:21" x14ac:dyDescent="0.25">
      <c r="A12" s="3">
        <v>9.9999999999999995E-7</v>
      </c>
      <c r="B12" s="3">
        <v>-3.2190000000000002E-5</v>
      </c>
      <c r="C12" s="3">
        <v>1.5029999999999999E-4</v>
      </c>
      <c r="D12" s="3">
        <v>-4.2539999999999999E-4</v>
      </c>
      <c r="E12" s="3">
        <v>0</v>
      </c>
      <c r="F12" s="3">
        <v>0</v>
      </c>
      <c r="G12" s="3">
        <v>0</v>
      </c>
      <c r="H12" s="3">
        <v>3.7337081E-5</v>
      </c>
      <c r="I12" s="3">
        <v>1.3796369000000001E-5</v>
      </c>
      <c r="J12" s="3">
        <v>-9.9248094E-5</v>
      </c>
      <c r="K12" s="3"/>
      <c r="L12" s="3">
        <f t="shared" si="0"/>
        <v>-7.5669957686882935E-2</v>
      </c>
      <c r="M12" s="3"/>
      <c r="N12" s="2">
        <f>IF('Modell einstellen'!$B$1="Voll",H12/0.35,H12/0.35*2)</f>
        <v>2.1335474857142858E-4</v>
      </c>
      <c r="O12" s="2">
        <f>IF('Modell einstellen'!$B$1="Voll",J12/0.35,J12/0.35*2)</f>
        <v>-5.6713196571428579E-4</v>
      </c>
      <c r="P12" s="3">
        <f t="shared" si="1"/>
        <v>0.37619947643528545</v>
      </c>
      <c r="Q12" s="3"/>
      <c r="R12" s="3"/>
      <c r="S12" s="3"/>
      <c r="T12" s="3"/>
      <c r="U12" s="3"/>
    </row>
    <row r="13" spans="1:21" x14ac:dyDescent="0.25">
      <c r="A13" s="3">
        <v>1.0000000000000001E-5</v>
      </c>
      <c r="B13" s="3">
        <v>-3.9190000000000003E-5</v>
      </c>
      <c r="C13" s="3">
        <v>1.5220000000000001E-4</v>
      </c>
      <c r="D13" s="3">
        <v>-4.2260000000000003E-4</v>
      </c>
      <c r="E13" s="3">
        <v>0</v>
      </c>
      <c r="F13" s="3">
        <v>0</v>
      </c>
      <c r="G13" s="3">
        <v>0</v>
      </c>
      <c r="H13" s="3">
        <v>3.8509366999999997E-5</v>
      </c>
      <c r="I13" s="3">
        <v>1.3971934000000001E-5</v>
      </c>
      <c r="J13" s="3">
        <v>-1.0096359E-4</v>
      </c>
      <c r="K13" s="3"/>
      <c r="L13" s="3">
        <f t="shared" si="0"/>
        <v>-9.2735447231424517E-2</v>
      </c>
      <c r="M13" s="3"/>
      <c r="N13" s="2">
        <f>IF('Modell einstellen'!$B$1="Voll",H13/0.35,H13/0.35*2)</f>
        <v>2.2005352571428572E-4</v>
      </c>
      <c r="O13" s="2">
        <f>IF('Modell einstellen'!$B$1="Voll",J13/0.35,J13/0.35*2)</f>
        <v>-5.7693480000000003E-4</v>
      </c>
      <c r="P13" s="3">
        <f t="shared" si="1"/>
        <v>0.38141836081700342</v>
      </c>
      <c r="Q13" s="3"/>
      <c r="R13" s="3"/>
      <c r="S13" s="3"/>
      <c r="T13" s="3"/>
      <c r="U13" s="3"/>
    </row>
    <row r="14" spans="1:21" x14ac:dyDescent="0.25">
      <c r="A14" s="3">
        <v>1E-4</v>
      </c>
      <c r="B14" s="3">
        <v>-4.791E-5</v>
      </c>
      <c r="C14" s="3">
        <v>1.5440000000000001E-4</v>
      </c>
      <c r="D14" s="3">
        <v>-4.1879999999999999E-4</v>
      </c>
      <c r="E14" s="3">
        <v>0</v>
      </c>
      <c r="F14" s="3">
        <v>0</v>
      </c>
      <c r="G14" s="3">
        <v>0</v>
      </c>
      <c r="H14" s="3">
        <v>3.9912240999999999E-5</v>
      </c>
      <c r="I14" s="3">
        <v>1.4172108E-5</v>
      </c>
      <c r="J14" s="3">
        <v>-1.0298714E-4</v>
      </c>
      <c r="K14" s="3"/>
      <c r="L14" s="3">
        <f t="shared" si="0"/>
        <v>-0.11439828080229227</v>
      </c>
      <c r="M14" s="3"/>
      <c r="N14" s="2">
        <f>IF('Modell einstellen'!$B$1="Voll",H14/0.35,H14/0.35*2)</f>
        <v>2.2806994857142859E-4</v>
      </c>
      <c r="O14" s="2">
        <f>IF('Modell einstellen'!$B$1="Voll",J14/0.35,J14/0.35*2)</f>
        <v>-5.8849794285714295E-4</v>
      </c>
      <c r="P14" s="3">
        <f t="shared" si="1"/>
        <v>0.38754587223220294</v>
      </c>
      <c r="Q14" s="3"/>
      <c r="R14" s="3"/>
      <c r="S14" s="3"/>
      <c r="T14" s="3"/>
      <c r="U14" s="3"/>
    </row>
    <row r="15" spans="1:21" x14ac:dyDescent="0.25">
      <c r="A15" s="3">
        <v>1E-3</v>
      </c>
      <c r="B15" s="3">
        <v>-5.8430000000000001E-5</v>
      </c>
      <c r="C15" s="3">
        <v>1.5669999999999999E-4</v>
      </c>
      <c r="D15" s="3">
        <v>-4.1360000000000002E-4</v>
      </c>
      <c r="E15" s="3">
        <v>0</v>
      </c>
      <c r="F15" s="3">
        <v>0</v>
      </c>
      <c r="G15" s="3">
        <v>0</v>
      </c>
      <c r="H15" s="3">
        <v>4.1537749999999997E-5</v>
      </c>
      <c r="I15" s="3">
        <v>1.4393183999999999E-5</v>
      </c>
      <c r="J15" s="3">
        <v>-1.0529681000000001E-4</v>
      </c>
      <c r="K15" s="3"/>
      <c r="L15" s="3">
        <f t="shared" si="0"/>
        <v>-0.14127176015473888</v>
      </c>
      <c r="M15" s="3"/>
      <c r="N15" s="2">
        <f>IF('Modell einstellen'!$B$1="Voll",H15/0.35,H15/0.35*2)</f>
        <v>2.3735857142857144E-4</v>
      </c>
      <c r="O15" s="2">
        <f>IF('Modell einstellen'!$B$1="Voll",J15/0.35,J15/0.35*2)</f>
        <v>-6.0169605714285716E-4</v>
      </c>
      <c r="P15" s="3">
        <f t="shared" si="1"/>
        <v>0.39448251091367348</v>
      </c>
      <c r="Q15" s="3"/>
      <c r="R15" s="3"/>
      <c r="S15" s="3"/>
      <c r="T15" s="3"/>
      <c r="U15" s="3"/>
    </row>
    <row r="16" spans="1:21" x14ac:dyDescent="0.25">
      <c r="A16" s="3">
        <v>0.01</v>
      </c>
      <c r="B16" s="3">
        <v>-7.0630000000000006E-5</v>
      </c>
      <c r="C16" s="3">
        <v>1.6019999999999999E-4</v>
      </c>
      <c r="D16" s="3">
        <v>-4.081E-4</v>
      </c>
      <c r="E16" s="3">
        <v>0</v>
      </c>
      <c r="F16" s="3">
        <v>0</v>
      </c>
      <c r="G16" s="3">
        <v>0</v>
      </c>
      <c r="H16" s="3">
        <v>4.3388632000000001E-5</v>
      </c>
      <c r="I16" s="3">
        <v>1.4677146E-5</v>
      </c>
      <c r="J16" s="3">
        <v>-1.0796381E-4</v>
      </c>
      <c r="K16" s="3"/>
      <c r="L16" s="3">
        <f t="shared" si="0"/>
        <v>-0.1730703259005146</v>
      </c>
      <c r="M16" s="3"/>
      <c r="N16" s="2">
        <f>IF('Modell einstellen'!$B$1="Voll",H16/0.35,H16/0.35*2)</f>
        <v>2.4793504000000002E-4</v>
      </c>
      <c r="O16" s="2">
        <f>IF('Modell einstellen'!$B$1="Voll",J16/0.35,J16/0.35*2)</f>
        <v>-6.1693605714285718E-4</v>
      </c>
      <c r="P16" s="3">
        <f t="shared" si="1"/>
        <v>0.40188126002592905</v>
      </c>
      <c r="Q16" s="3"/>
      <c r="R16" s="3"/>
      <c r="S16" s="3"/>
      <c r="T16" s="3"/>
      <c r="U16" s="3"/>
    </row>
    <row r="17" spans="1:25" x14ac:dyDescent="0.25">
      <c r="A17" s="3">
        <v>0.1</v>
      </c>
      <c r="B17" s="3">
        <v>-8.4010000000000004E-5</v>
      </c>
      <c r="C17" s="3">
        <v>1.6220000000000001E-4</v>
      </c>
      <c r="D17" s="3">
        <v>-3.9980000000000001E-4</v>
      </c>
      <c r="E17" s="3">
        <v>0</v>
      </c>
      <c r="F17" s="3">
        <v>0</v>
      </c>
      <c r="G17" s="3">
        <v>0</v>
      </c>
      <c r="H17" s="3">
        <v>4.5253846999999999E-5</v>
      </c>
      <c r="I17" s="3">
        <v>1.4880042E-5</v>
      </c>
      <c r="J17" s="3">
        <v>-1.1048596E-4</v>
      </c>
      <c r="K17" s="3"/>
      <c r="L17" s="3">
        <f t="shared" si="0"/>
        <v>-0.21013006503251627</v>
      </c>
      <c r="M17" s="3"/>
      <c r="N17" s="2">
        <f>IF('Modell einstellen'!$B$1="Voll",H17/0.35,H17/0.35*2)</f>
        <v>2.5859341142857144E-4</v>
      </c>
      <c r="O17" s="2">
        <f>IF('Modell einstellen'!$B$1="Voll",J17/0.35,J17/0.35*2)</f>
        <v>-6.3134834285714285E-4</v>
      </c>
      <c r="P17" s="3">
        <f t="shared" si="1"/>
        <v>0.40958911883464649</v>
      </c>
      <c r="Q17" s="3"/>
      <c r="R17" s="3"/>
      <c r="S17" s="3"/>
      <c r="T17" s="3"/>
      <c r="U17" s="3"/>
      <c r="V17" s="3"/>
      <c r="W17" s="3"/>
      <c r="X17" s="3"/>
      <c r="Y17" s="3"/>
    </row>
    <row r="18" spans="1:25" x14ac:dyDescent="0.25">
      <c r="A18" s="3">
        <v>1</v>
      </c>
      <c r="B18" s="3">
        <v>-9.9270000000000003E-5</v>
      </c>
      <c r="C18" s="3">
        <v>1.6550000000000001E-4</v>
      </c>
      <c r="D18" s="3">
        <v>-3.9110000000000002E-4</v>
      </c>
      <c r="E18" s="3">
        <v>0</v>
      </c>
      <c r="F18" s="3">
        <v>0</v>
      </c>
      <c r="G18" s="3">
        <v>0</v>
      </c>
      <c r="H18" s="3">
        <v>4.7381927000000002E-5</v>
      </c>
      <c r="I18" s="3">
        <v>1.5162995999999999E-5</v>
      </c>
      <c r="J18" s="3">
        <v>-1.1343432999999999E-4</v>
      </c>
      <c r="K18" s="3"/>
      <c r="L18" s="3">
        <f t="shared" si="0"/>
        <v>-0.25382255177703911</v>
      </c>
      <c r="M18" s="3"/>
      <c r="N18" s="2">
        <f>IF('Modell einstellen'!$B$1="Voll",H18/0.35,H18/0.35*2)</f>
        <v>2.7075386857142858E-4</v>
      </c>
      <c r="O18" s="2">
        <f>IF('Modell einstellen'!$B$1="Voll",J18/0.35,J18/0.35*2)</f>
        <v>-6.481961714285714E-4</v>
      </c>
      <c r="P18" s="3">
        <f t="shared" si="1"/>
        <v>0.41770359114388039</v>
      </c>
      <c r="Q18" s="3"/>
      <c r="R18" s="3"/>
      <c r="S18" s="3"/>
      <c r="T18" s="3"/>
      <c r="U18" s="3"/>
      <c r="V18" s="3"/>
      <c r="W18" s="3"/>
      <c r="X18" s="3"/>
      <c r="Y18" s="3"/>
    </row>
    <row r="19" spans="1:25" x14ac:dyDescent="0.25">
      <c r="A19" s="3">
        <v>10</v>
      </c>
      <c r="B19" s="3">
        <v>-1.199E-4</v>
      </c>
      <c r="C19" s="3">
        <v>1.693E-4</v>
      </c>
      <c r="D19" s="3">
        <v>-3.7809999999999997E-4</v>
      </c>
      <c r="E19" s="3">
        <v>0</v>
      </c>
      <c r="F19" s="3">
        <v>0</v>
      </c>
      <c r="G19" s="3">
        <v>0</v>
      </c>
      <c r="H19" s="3">
        <v>5.0243990000000001E-5</v>
      </c>
      <c r="I19" s="3">
        <v>1.5526826999999999E-5</v>
      </c>
      <c r="J19" s="3">
        <v>-1.1733277999999999E-4</v>
      </c>
      <c r="K19" s="3"/>
      <c r="L19" s="3">
        <f t="shared" si="0"/>
        <v>-0.31711187516530021</v>
      </c>
      <c r="M19" s="3"/>
      <c r="N19" s="2">
        <f>IF('Modell einstellen'!$B$1="Voll",H19/0.35,H19/0.35*2)</f>
        <v>2.8710851428571433E-4</v>
      </c>
      <c r="O19" s="2">
        <f>IF('Modell einstellen'!$B$1="Voll",J19/0.35,J19/0.35*2)</f>
        <v>-6.7047302857142863E-4</v>
      </c>
      <c r="P19" s="3">
        <f t="shared" si="1"/>
        <v>0.42821784330005652</v>
      </c>
      <c r="Q19" s="3"/>
      <c r="R19" s="3"/>
      <c r="S19" s="3"/>
      <c r="T19" s="3"/>
      <c r="U19" s="3"/>
      <c r="V19" s="3"/>
      <c r="W19" s="3"/>
      <c r="X19" s="3"/>
      <c r="Y19" s="3"/>
    </row>
    <row r="20" spans="1:25" x14ac:dyDescent="0.25">
      <c r="A20" s="3">
        <v>100</v>
      </c>
      <c r="B20" s="3">
        <v>-1.3870000000000001E-4</v>
      </c>
      <c r="C20" s="3">
        <v>1.7689999999999999E-4</v>
      </c>
      <c r="D20" s="3">
        <v>-3.6989999999999999E-4</v>
      </c>
      <c r="E20" s="3">
        <v>0</v>
      </c>
      <c r="F20" s="3">
        <v>0</v>
      </c>
      <c r="G20" s="3">
        <v>0</v>
      </c>
      <c r="H20" s="3">
        <v>5.4240144000000003E-5</v>
      </c>
      <c r="I20" s="3">
        <v>1.6437774999999999E-5</v>
      </c>
      <c r="J20" s="3">
        <v>-1.2338229000000001E-4</v>
      </c>
      <c r="K20" s="3"/>
      <c r="L20" s="3">
        <f t="shared" si="0"/>
        <v>-0.37496620708299544</v>
      </c>
      <c r="M20" s="3"/>
      <c r="N20" s="2">
        <f>IF('Modell einstellen'!$B$1="Voll",H20/0.35,H20/0.35*2)</f>
        <v>3.0994368000000002E-4</v>
      </c>
      <c r="O20" s="2">
        <f>IF('Modell einstellen'!$B$1="Voll",J20/0.35,J20/0.35*2)</f>
        <v>-7.0504165714285728E-4</v>
      </c>
      <c r="P20" s="3">
        <f t="shared" si="1"/>
        <v>0.43961044976552138</v>
      </c>
      <c r="Q20" s="3"/>
      <c r="R20" s="3"/>
      <c r="S20" s="3"/>
      <c r="T20" s="3"/>
      <c r="U20" s="3"/>
      <c r="V20" s="3"/>
      <c r="W20" s="3"/>
      <c r="X20" s="3"/>
      <c r="Y20" s="3"/>
    </row>
    <row r="21" spans="1:25" x14ac:dyDescent="0.25">
      <c r="A21" s="3">
        <v>1000</v>
      </c>
      <c r="B21" s="3">
        <v>-1.149E-4</v>
      </c>
      <c r="C21" s="3">
        <v>2.0049999999999999E-4</v>
      </c>
      <c r="D21" s="3">
        <v>-4.1229999999999999E-4</v>
      </c>
      <c r="E21" s="3">
        <v>0</v>
      </c>
      <c r="F21" s="3">
        <v>0</v>
      </c>
      <c r="G21" s="3">
        <v>0</v>
      </c>
      <c r="H21" s="3">
        <v>6.0545165999999998E-5</v>
      </c>
      <c r="I21" s="3">
        <v>2.0000756999999999E-5</v>
      </c>
      <c r="J21" s="3">
        <v>-1.3639463E-4</v>
      </c>
      <c r="K21" s="3"/>
      <c r="L21" s="3">
        <f t="shared" si="0"/>
        <v>-0.27868057239873878</v>
      </c>
      <c r="M21" s="3"/>
      <c r="N21" s="2">
        <f>IF('Modell einstellen'!$B$1="Voll",H21/0.35,H21/0.35*2)</f>
        <v>3.4597237714285715E-4</v>
      </c>
      <c r="O21" s="2">
        <f>IF('Modell einstellen'!$B$1="Voll",J21/0.35,J21/0.35*2)</f>
        <v>-7.793978857142858E-4</v>
      </c>
      <c r="P21" s="3">
        <f t="shared" si="1"/>
        <v>0.44389699213231482</v>
      </c>
      <c r="Q21" s="3"/>
      <c r="R21" s="3"/>
      <c r="S21" s="3"/>
      <c r="T21" s="3"/>
      <c r="U21" s="3"/>
      <c r="V21" s="3"/>
      <c r="W21" s="3"/>
      <c r="X21" s="3"/>
      <c r="Y21" s="3"/>
    </row>
    <row r="22" spans="1:25" x14ac:dyDescent="0.25">
      <c r="A22" s="3">
        <v>10000</v>
      </c>
      <c r="B22" s="3">
        <v>-6.2430000000000002E-6</v>
      </c>
      <c r="C22" s="3">
        <v>2.5339999999999998E-4</v>
      </c>
      <c r="D22" s="3">
        <v>-5.5349999999999996E-4</v>
      </c>
      <c r="E22" s="3">
        <v>0</v>
      </c>
      <c r="F22" s="3">
        <v>0</v>
      </c>
      <c r="G22" s="3">
        <v>0</v>
      </c>
      <c r="H22" s="3">
        <v>7.0662260999999996E-5</v>
      </c>
      <c r="I22" s="3">
        <v>2.8776218E-5</v>
      </c>
      <c r="J22" s="3">
        <v>-1.6249856999999999E-4</v>
      </c>
      <c r="K22" s="3"/>
      <c r="L22" s="3">
        <f t="shared" si="0"/>
        <v>-1.1279132791327915E-2</v>
      </c>
      <c r="M22" s="3"/>
      <c r="N22" s="2">
        <f>IF('Modell einstellen'!$B$1="Voll",H22/0.35,H22/0.35*2)</f>
        <v>4.0378434857142858E-4</v>
      </c>
      <c r="O22" s="2">
        <f>IF('Modell einstellen'!$B$1="Voll",J22/0.35,J22/0.35*2)</f>
        <v>-9.2856325714285712E-4</v>
      </c>
      <c r="P22" s="3">
        <f t="shared" si="1"/>
        <v>0.43484850974380884</v>
      </c>
      <c r="Q22" s="3"/>
      <c r="R22" s="3"/>
      <c r="S22" s="3"/>
      <c r="T22" s="3"/>
      <c r="U22" s="3"/>
      <c r="V22" s="3"/>
      <c r="W22" s="3"/>
      <c r="X22" s="3"/>
      <c r="Y22" s="3"/>
    </row>
    <row r="23" spans="1:25" x14ac:dyDescent="0.25">
      <c r="A23" s="3">
        <v>100000</v>
      </c>
      <c r="B23" s="3">
        <v>1.3960000000000001E-4</v>
      </c>
      <c r="C23" s="3">
        <v>3.2929999999999998E-4</v>
      </c>
      <c r="D23" s="3">
        <v>-7.4930000000000005E-4</v>
      </c>
      <c r="E23" s="3">
        <v>0</v>
      </c>
      <c r="F23" s="3">
        <v>0</v>
      </c>
      <c r="G23" s="3">
        <v>0</v>
      </c>
      <c r="H23" s="3">
        <v>8.2848773000000005E-5</v>
      </c>
      <c r="I23" s="3">
        <v>4.0775180999999997E-5</v>
      </c>
      <c r="J23" s="3">
        <v>-1.9664699E-4</v>
      </c>
      <c r="K23" s="3"/>
      <c r="L23" s="3">
        <f t="shared" si="0"/>
        <v>0.18630722007206726</v>
      </c>
      <c r="M23" s="3"/>
      <c r="N23" s="2">
        <f>IF('Modell einstellen'!$B$1="Voll",H23/0.35,H23/0.35*2)</f>
        <v>4.7342156000000006E-4</v>
      </c>
      <c r="O23" s="2">
        <f>IF('Modell einstellen'!$B$1="Voll",J23/0.35,J23/0.35*2)</f>
        <v>-1.1236970857142858E-3</v>
      </c>
      <c r="P23" s="3">
        <f t="shared" si="1"/>
        <v>0.42130709958998103</v>
      </c>
      <c r="Q23" s="3"/>
      <c r="R23" s="3"/>
      <c r="S23" s="3"/>
      <c r="T23" s="3"/>
      <c r="U23" s="3"/>
      <c r="V23" s="3"/>
      <c r="W23" s="3"/>
      <c r="X23" s="3"/>
      <c r="Y23" s="3"/>
    </row>
    <row r="24" spans="1:25" x14ac:dyDescent="0.25">
      <c r="A24" s="3">
        <v>1000000</v>
      </c>
      <c r="B24" s="3">
        <v>2.8219999999999997E-4</v>
      </c>
      <c r="C24" s="3">
        <v>4.1330000000000002E-4</v>
      </c>
      <c r="D24" s="3">
        <v>-9.5209999999999999E-4</v>
      </c>
      <c r="E24" s="3">
        <v>0</v>
      </c>
      <c r="F24" s="3">
        <v>0</v>
      </c>
      <c r="G24" s="3">
        <v>0</v>
      </c>
      <c r="H24" s="3">
        <v>9.4502392000000003E-5</v>
      </c>
      <c r="I24" s="3">
        <v>5.3221654E-5</v>
      </c>
      <c r="J24" s="3">
        <v>-2.3128535E-4</v>
      </c>
      <c r="K24" s="3"/>
      <c r="L24" s="3">
        <f t="shared" si="0"/>
        <v>0.29639743724398693</v>
      </c>
      <c r="M24" s="3"/>
      <c r="N24" s="2">
        <f>IF('Modell einstellen'!$B$1="Voll",H24/0.35,H24/0.35*2)</f>
        <v>5.4001366857142857E-4</v>
      </c>
      <c r="O24" s="2">
        <f>IF('Modell einstellen'!$B$1="Voll",J24/0.35,J24/0.35*2)</f>
        <v>-1.3216305714285716E-3</v>
      </c>
      <c r="P24" s="3">
        <f t="shared" si="1"/>
        <v>0.40859653237872606</v>
      </c>
      <c r="Q24" s="3"/>
      <c r="R24" s="3"/>
      <c r="S24" s="3"/>
      <c r="T24" s="3"/>
      <c r="U24" s="3"/>
      <c r="V24" s="3"/>
      <c r="W24" s="3"/>
      <c r="X24" s="3"/>
      <c r="Y24" s="3"/>
    </row>
    <row r="25" spans="1:25" x14ac:dyDescent="0.25">
      <c r="A25" s="3">
        <v>10000000</v>
      </c>
      <c r="B25" s="3">
        <v>4.0200000000000001E-4</v>
      </c>
      <c r="C25" s="3">
        <v>4.9790000000000001E-4</v>
      </c>
      <c r="D25" s="3">
        <v>-1.1379999999999999E-3</v>
      </c>
      <c r="E25" s="3">
        <v>0</v>
      </c>
      <c r="F25" s="3">
        <v>0</v>
      </c>
      <c r="G25" s="3">
        <v>0</v>
      </c>
      <c r="H25" s="3">
        <v>1.0521433E-4</v>
      </c>
      <c r="I25" s="3">
        <v>6.5123126000000004E-5</v>
      </c>
      <c r="J25" s="3">
        <v>-2.6424172000000002E-4</v>
      </c>
      <c r="K25" s="3"/>
      <c r="L25" s="3">
        <f t="shared" si="0"/>
        <v>0.35325131810193328</v>
      </c>
      <c r="M25" s="3"/>
      <c r="N25" s="2">
        <f>IF('Modell einstellen'!$B$1="Voll",H25/0.35,H25/0.35*2)</f>
        <v>6.0122474285714291E-4</v>
      </c>
      <c r="O25" s="2">
        <f>IF('Modell einstellen'!$B$1="Voll",J25/0.35,J25/0.35*2)</f>
        <v>-1.5099526857142859E-3</v>
      </c>
      <c r="P25" s="3">
        <f t="shared" si="1"/>
        <v>0.39817455774962407</v>
      </c>
      <c r="Q25" s="3"/>
      <c r="R25" s="3"/>
      <c r="S25" s="3"/>
      <c r="T25" s="3"/>
      <c r="U25" s="3"/>
      <c r="V25" s="3"/>
      <c r="W25" s="3"/>
      <c r="X25" s="3"/>
      <c r="Y25" s="3"/>
    </row>
    <row r="26" spans="1:25" x14ac:dyDescent="0.25">
      <c r="A26" s="3">
        <v>100000000</v>
      </c>
      <c r="B26" s="3">
        <v>4.9739999999999995E-4</v>
      </c>
      <c r="C26" s="3">
        <v>5.798E-4</v>
      </c>
      <c r="D26" s="3">
        <v>-1.3010000000000001E-3</v>
      </c>
      <c r="E26" s="3">
        <v>0</v>
      </c>
      <c r="F26" s="3">
        <v>0</v>
      </c>
      <c r="G26" s="3">
        <v>0</v>
      </c>
      <c r="H26" s="3">
        <v>1.1504285000000001E-4</v>
      </c>
      <c r="I26" s="3">
        <v>7.6350006000000002E-5</v>
      </c>
      <c r="J26" s="3">
        <v>-2.9528821000000002E-4</v>
      </c>
      <c r="K26" s="3"/>
      <c r="L26" s="3">
        <f t="shared" si="0"/>
        <v>0.38232129131437348</v>
      </c>
      <c r="M26" s="3"/>
      <c r="N26" s="2">
        <f>IF('Modell einstellen'!$B$1="Voll",H26/0.35,H26/0.35*2)</f>
        <v>6.573877142857144E-4</v>
      </c>
      <c r="O26" s="2">
        <f>IF('Modell einstellen'!$B$1="Voll",J26/0.35,J26/0.35*2)</f>
        <v>-1.6873612000000001E-3</v>
      </c>
      <c r="P26" s="3">
        <f t="shared" si="1"/>
        <v>0.38959513486840536</v>
      </c>
      <c r="Q26" s="3"/>
      <c r="R26" s="3"/>
      <c r="S26" s="3"/>
      <c r="T26" s="3"/>
      <c r="U26" s="3"/>
      <c r="V26" s="3"/>
      <c r="W26" s="3"/>
      <c r="X26" s="3"/>
      <c r="Y26" s="3"/>
    </row>
    <row r="27" spans="1:25" x14ac:dyDescent="0.25">
      <c r="A27" s="3">
        <v>1000000000</v>
      </c>
      <c r="B27" s="3">
        <v>5.754E-4</v>
      </c>
      <c r="C27" s="3">
        <v>6.6350000000000003E-4</v>
      </c>
      <c r="D27" s="3">
        <v>-1.4530000000000001E-3</v>
      </c>
      <c r="E27" s="3">
        <v>0</v>
      </c>
      <c r="F27" s="3">
        <v>0</v>
      </c>
      <c r="G27" s="3">
        <v>0</v>
      </c>
      <c r="H27" s="3">
        <v>1.2579250000000001E-4</v>
      </c>
      <c r="I27" s="3">
        <v>8.7948489000000003E-5</v>
      </c>
      <c r="J27" s="3">
        <v>-3.2824138E-4</v>
      </c>
      <c r="K27" s="3"/>
      <c r="L27" s="3">
        <f t="shared" si="0"/>
        <v>0.39600825877494839</v>
      </c>
      <c r="M27" s="3"/>
      <c r="N27" s="2">
        <f>IF('Modell einstellen'!$B$1="Voll",H27/0.35,H27/0.35*2)</f>
        <v>7.188142857142858E-4</v>
      </c>
      <c r="O27" s="2">
        <f>IF('Modell einstellen'!$B$1="Voll",J27/0.35,J27/0.35*2)</f>
        <v>-1.8756650285714287E-3</v>
      </c>
      <c r="P27" s="3">
        <f t="shared" si="1"/>
        <v>0.38323169370053223</v>
      </c>
      <c r="Q27" s="3"/>
      <c r="R27" s="3"/>
      <c r="S27" s="3"/>
      <c r="T27" s="3"/>
      <c r="U27" s="3"/>
      <c r="V27" s="3"/>
      <c r="W27" s="3"/>
      <c r="X27" s="3"/>
      <c r="Y27" s="3"/>
    </row>
    <row r="28" spans="1:25" x14ac:dyDescent="0.25">
      <c r="A28" s="3">
        <v>10000000000</v>
      </c>
      <c r="B28" s="3">
        <v>6.4479999999999995E-4</v>
      </c>
      <c r="C28" s="3">
        <v>7.5179999999999995E-4</v>
      </c>
      <c r="D28" s="3">
        <v>-1.603E-3</v>
      </c>
      <c r="E28" s="3">
        <v>0</v>
      </c>
      <c r="F28" s="3">
        <v>0</v>
      </c>
      <c r="G28" s="3">
        <v>0</v>
      </c>
      <c r="H28" s="3">
        <v>1.3802271E-4</v>
      </c>
      <c r="I28" s="3">
        <v>1.0049838E-4</v>
      </c>
      <c r="J28" s="3">
        <v>-3.6468332E-4</v>
      </c>
      <c r="K28" s="3"/>
      <c r="L28" s="3">
        <f t="shared" si="0"/>
        <v>0.40224578914535242</v>
      </c>
      <c r="M28" s="3"/>
      <c r="N28" s="2">
        <f>IF('Modell einstellen'!$B$1="Voll",H28/0.35,H28/0.35*2)</f>
        <v>7.8870120000000001E-4</v>
      </c>
      <c r="O28" s="2">
        <f>IF('Modell einstellen'!$B$1="Voll",J28/0.35,J28/0.35*2)</f>
        <v>-2.0839046857142858E-3</v>
      </c>
      <c r="P28" s="3">
        <f t="shared" si="1"/>
        <v>0.37847278016444513</v>
      </c>
      <c r="Q28" s="3"/>
      <c r="R28" s="3"/>
      <c r="S28" s="3"/>
      <c r="T28" s="3"/>
      <c r="U28" s="3"/>
      <c r="V28" s="3"/>
      <c r="W28" s="3"/>
      <c r="X28" s="3"/>
      <c r="Y28" s="3"/>
    </row>
    <row r="29" spans="1:25" x14ac:dyDescent="0.25">
      <c r="A29" s="3">
        <v>100000000000</v>
      </c>
      <c r="B29" s="3">
        <v>7.1409999999999996E-4</v>
      </c>
      <c r="C29" s="3">
        <v>8.5389999999999999E-4</v>
      </c>
      <c r="D29" s="3">
        <v>-1.7700000000000001E-3</v>
      </c>
      <c r="E29" s="3">
        <v>0</v>
      </c>
      <c r="F29" s="3">
        <v>0</v>
      </c>
      <c r="G29" s="3">
        <v>0</v>
      </c>
      <c r="H29" s="3">
        <v>1.5381117000000001E-4</v>
      </c>
      <c r="I29" s="3">
        <v>1.1563799000000001E-4</v>
      </c>
      <c r="J29" s="3">
        <v>-4.0983506000000003E-4</v>
      </c>
      <c r="K29" s="3"/>
      <c r="L29" s="3">
        <f t="shared" si="0"/>
        <v>0.40344632768361577</v>
      </c>
      <c r="M29" s="3"/>
      <c r="N29" s="2">
        <f>IF('Modell einstellen'!$B$1="Voll",H29/0.35,H29/0.35*2)</f>
        <v>8.7892097142857153E-4</v>
      </c>
      <c r="O29" s="2">
        <f>IF('Modell einstellen'!$B$1="Voll",J29/0.35,J29/0.35*2)</f>
        <v>-2.3419146285714289E-3</v>
      </c>
      <c r="P29" s="3">
        <f t="shared" si="1"/>
        <v>0.37530017563651091</v>
      </c>
      <c r="Q29" s="3"/>
      <c r="R29" s="3"/>
      <c r="S29" s="3"/>
      <c r="T29" s="3"/>
      <c r="U29" s="3"/>
      <c r="V29" s="3"/>
      <c r="W29" s="3"/>
      <c r="X29" s="3"/>
      <c r="Y29" s="3"/>
    </row>
    <row r="30" spans="1:25" x14ac:dyDescent="0.25">
      <c r="A30" s="3">
        <v>1000000000000</v>
      </c>
      <c r="B30" s="3">
        <v>7.9080000000000003E-4</v>
      </c>
      <c r="C30" s="3">
        <v>9.8170000000000006E-4</v>
      </c>
      <c r="D30" s="3">
        <v>-1.97E-3</v>
      </c>
      <c r="E30" s="3">
        <v>0</v>
      </c>
      <c r="F30" s="3">
        <v>0</v>
      </c>
      <c r="G30" s="3">
        <v>0</v>
      </c>
      <c r="H30" s="3">
        <v>1.7552192E-4</v>
      </c>
      <c r="I30" s="3">
        <v>1.3546154000000001E-4</v>
      </c>
      <c r="J30" s="3">
        <v>-4.7005971999999999E-4</v>
      </c>
      <c r="K30" s="3"/>
      <c r="L30" s="3">
        <f t="shared" si="0"/>
        <v>0.40142131979695433</v>
      </c>
      <c r="M30" s="3"/>
      <c r="N30" s="2">
        <f>IF('Modell einstellen'!$B$1="Voll",H30/0.35,H30/0.35*2)</f>
        <v>1.0029824000000001E-3</v>
      </c>
      <c r="O30" s="2">
        <f>IF('Modell einstellen'!$B$1="Voll",J30/0.35,J30/0.35*2)</f>
        <v>-2.686055542857143E-3</v>
      </c>
      <c r="P30" s="3">
        <f t="shared" si="1"/>
        <v>0.37340344754492044</v>
      </c>
      <c r="Q30" s="3"/>
      <c r="R30" s="3"/>
      <c r="S30" s="3"/>
      <c r="T30" s="3"/>
      <c r="U30" s="3"/>
      <c r="V30" s="3"/>
      <c r="W30" s="3"/>
      <c r="X30" s="3"/>
      <c r="Y30" s="3"/>
    </row>
    <row r="31" spans="1:25" x14ac:dyDescent="0.25">
      <c r="A31" s="3">
        <v>10000000000000</v>
      </c>
      <c r="B31" s="3">
        <v>8.8599999999999996E-4</v>
      </c>
      <c r="C31" s="3">
        <v>1.1670000000000001E-3</v>
      </c>
      <c r="D31" s="3">
        <v>-2.2460000000000002E-3</v>
      </c>
      <c r="E31" s="3">
        <v>0</v>
      </c>
      <c r="F31" s="3">
        <v>0</v>
      </c>
      <c r="G31" s="3">
        <v>0</v>
      </c>
      <c r="H31" s="3">
        <v>2.0924048E-4</v>
      </c>
      <c r="I31" s="3">
        <v>1.6531790000000001E-4</v>
      </c>
      <c r="J31" s="3">
        <v>-5.6174166999999997E-4</v>
      </c>
      <c r="K31" s="3"/>
      <c r="L31" s="3">
        <f t="shared" si="0"/>
        <v>0.39447907390917181</v>
      </c>
      <c r="M31" s="3"/>
      <c r="N31" s="2">
        <f>IF('Modell einstellen'!$B$1="Voll",H31/0.35,H31/0.35*2)</f>
        <v>1.1956598857142857E-3</v>
      </c>
      <c r="O31" s="2">
        <f>IF('Modell einstellen'!$B$1="Voll",J31/0.35,J31/0.35*2)</f>
        <v>-3.2099524E-3</v>
      </c>
      <c r="P31" s="3">
        <f t="shared" si="1"/>
        <v>0.37248523863291111</v>
      </c>
      <c r="Q31" s="3"/>
      <c r="R31" s="3"/>
      <c r="S31" s="3"/>
      <c r="T31" s="3"/>
      <c r="U31" s="3"/>
      <c r="V31" s="3"/>
      <c r="W31" s="3"/>
      <c r="X31" s="3"/>
      <c r="Y31" s="3"/>
    </row>
    <row r="32" spans="1:25" x14ac:dyDescent="0.25">
      <c r="A32" s="3">
        <v>100000000000000</v>
      </c>
      <c r="B32" s="3">
        <v>1.0150000000000001E-3</v>
      </c>
      <c r="C32" s="3">
        <v>1.4630000000000001E-3</v>
      </c>
      <c r="D32" s="3">
        <v>-2.666E-3</v>
      </c>
      <c r="E32" s="3">
        <v>0</v>
      </c>
      <c r="F32" s="3">
        <v>0</v>
      </c>
      <c r="G32" s="3">
        <v>0</v>
      </c>
      <c r="H32" s="3">
        <v>2.6606988999999998E-4</v>
      </c>
      <c r="I32" s="3">
        <v>2.1478352E-4</v>
      </c>
      <c r="J32" s="3">
        <v>-7.1432565000000003E-4</v>
      </c>
      <c r="K32" s="3"/>
      <c r="L32" s="3">
        <f t="shared" si="0"/>
        <v>0.38072018004501129</v>
      </c>
      <c r="M32" s="3"/>
      <c r="N32" s="2">
        <f>IF('Modell einstellen'!$B$1="Voll",H32/0.35,H32/0.35*2)</f>
        <v>1.5203993714285715E-3</v>
      </c>
      <c r="O32" s="2">
        <f>IF('Modell einstellen'!$B$1="Voll",J32/0.35,J32/0.35*2)</f>
        <v>-4.0818608571428572E-3</v>
      </c>
      <c r="P32" s="3">
        <f t="shared" si="1"/>
        <v>0.37247702080976652</v>
      </c>
      <c r="Q32" s="3"/>
      <c r="R32" s="3"/>
      <c r="S32" s="3"/>
      <c r="T32" s="3"/>
      <c r="U32" s="3"/>
      <c r="V32" s="3"/>
      <c r="W32" s="3"/>
      <c r="X32" s="3"/>
      <c r="Y32" s="3"/>
    </row>
    <row r="33" spans="1:25" x14ac:dyDescent="0.25">
      <c r="A33" s="2">
        <v>1000000000000000</v>
      </c>
      <c r="B33" s="3">
        <v>1.2030000000000001E-3</v>
      </c>
      <c r="C33" s="3">
        <v>1.9620000000000002E-3</v>
      </c>
      <c r="D33" s="3">
        <v>-3.3449999999999999E-3</v>
      </c>
      <c r="E33" s="3">
        <v>0</v>
      </c>
      <c r="F33" s="3">
        <v>0</v>
      </c>
      <c r="G33" s="3">
        <v>0</v>
      </c>
      <c r="H33" s="3">
        <v>3.6519463999999999E-4</v>
      </c>
      <c r="I33" s="3">
        <v>3.0033668E-4</v>
      </c>
      <c r="J33" s="3">
        <v>-9.7829253999999997E-4</v>
      </c>
      <c r="K33" s="3"/>
      <c r="L33" s="3">
        <f t="shared" si="0"/>
        <v>0.35964125560538118</v>
      </c>
      <c r="M33" s="3"/>
      <c r="N33" s="2">
        <f>IF('Modell einstellen'!$B$1="Voll",H33/0.35,H33/0.35*2)</f>
        <v>2.0868265142857142E-3</v>
      </c>
      <c r="O33" s="2">
        <f>IF('Modell einstellen'!$B$1="Voll",J33/0.35,J33/0.35*2)</f>
        <v>-5.5902430857142863E-3</v>
      </c>
      <c r="P33" s="3">
        <f t="shared" si="1"/>
        <v>0.37329799121232177</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-4.1620000000000001E-6</v>
      </c>
      <c r="C3" s="3">
        <v>1.4359999999999999E-4</v>
      </c>
      <c r="D3" s="3">
        <v>-4.3580000000000002E-4</v>
      </c>
      <c r="E3" s="3">
        <v>0</v>
      </c>
      <c r="F3" s="3">
        <v>0</v>
      </c>
      <c r="G3" s="3">
        <v>0</v>
      </c>
      <c r="H3" s="3">
        <v>3.2956966999999999E-5</v>
      </c>
      <c r="I3" s="3">
        <v>1.3226836E-5</v>
      </c>
      <c r="J3" s="3">
        <v>-9.2910133E-5</v>
      </c>
      <c r="K3" s="3"/>
      <c r="L3" s="3">
        <f>-B3/D3</f>
        <v>-9.5502524093620932E-3</v>
      </c>
      <c r="M3" s="3"/>
      <c r="N3" s="2">
        <f>IF('Modell einstellen'!$B$1="Voll",H3/0.35,H3/0.35*2)</f>
        <v>1.8832552571428573E-4</v>
      </c>
      <c r="O3" s="2">
        <f>IF('Modell einstellen'!$B$1="Voll",J3/0.35,J3/0.35*2)</f>
        <v>-5.3091504571428573E-4</v>
      </c>
      <c r="P3" s="3">
        <f>-N3/O3</f>
        <v>0.35471875817893839</v>
      </c>
      <c r="Q3" s="3"/>
      <c r="R3" s="3"/>
      <c r="S3" s="3"/>
      <c r="T3" s="3"/>
      <c r="U3" s="3"/>
    </row>
    <row r="4" spans="1:21" x14ac:dyDescent="0.25">
      <c r="A4" s="3">
        <v>1E-14</v>
      </c>
      <c r="B4" s="3">
        <v>-4.2100000000000003E-6</v>
      </c>
      <c r="C4" s="3">
        <v>1.437E-4</v>
      </c>
      <c r="D4" s="3">
        <v>-4.3580000000000002E-4</v>
      </c>
      <c r="E4" s="3">
        <v>0</v>
      </c>
      <c r="F4" s="3">
        <v>0</v>
      </c>
      <c r="G4" s="3">
        <v>0</v>
      </c>
      <c r="H4" s="3">
        <v>3.2964949999999997E-5</v>
      </c>
      <c r="I4" s="3">
        <v>1.3229067E-5</v>
      </c>
      <c r="J4" s="3">
        <v>-9.2920715999999997E-5</v>
      </c>
      <c r="K4" s="3"/>
      <c r="L4" s="3">
        <f t="shared" ref="L4:L33" si="0">-B4/D4</f>
        <v>-9.660394676457091E-3</v>
      </c>
      <c r="M4" s="3"/>
      <c r="N4" s="2">
        <f>IF('Modell einstellen'!$B$1="Voll",H4/0.35,H4/0.35*2)</f>
        <v>1.8837114285714284E-4</v>
      </c>
      <c r="O4" s="2">
        <f>IF('Modell einstellen'!$B$1="Voll",J4/0.35,J4/0.35*2)</f>
        <v>-5.3097552000000003E-4</v>
      </c>
      <c r="P4" s="3">
        <f t="shared" ref="P4:P33" si="1">-N4/O4</f>
        <v>0.35476427021935553</v>
      </c>
      <c r="Q4" s="3"/>
      <c r="R4" s="3"/>
      <c r="S4" s="3"/>
      <c r="T4" s="3"/>
      <c r="U4" s="3"/>
    </row>
    <row r="5" spans="1:21" x14ac:dyDescent="0.25">
      <c r="A5" s="3">
        <v>1E-13</v>
      </c>
      <c r="B5" s="3">
        <v>-4.5879999999999999E-6</v>
      </c>
      <c r="C5" s="3">
        <v>1.438E-4</v>
      </c>
      <c r="D5" s="3">
        <v>-4.3570000000000002E-4</v>
      </c>
      <c r="E5" s="3">
        <v>0</v>
      </c>
      <c r="F5" s="3">
        <v>0</v>
      </c>
      <c r="G5" s="3">
        <v>0</v>
      </c>
      <c r="H5" s="3">
        <v>3.3040244000000003E-5</v>
      </c>
      <c r="I5" s="3">
        <v>1.3241877E-5</v>
      </c>
      <c r="J5" s="3">
        <v>-9.3036840999999995E-5</v>
      </c>
      <c r="K5" s="3"/>
      <c r="L5" s="3">
        <f t="shared" si="0"/>
        <v>-1.0530181317420242E-2</v>
      </c>
      <c r="M5" s="3"/>
      <c r="N5" s="2">
        <f>IF('Modell einstellen'!$B$1="Voll",H5/0.35,H5/0.35*2)</f>
        <v>1.8880139428571432E-4</v>
      </c>
      <c r="O5" s="2">
        <f>IF('Modell einstellen'!$B$1="Voll",J5/0.35,J5/0.35*2)</f>
        <v>-5.316390914285714E-4</v>
      </c>
      <c r="P5" s="3">
        <f t="shared" si="1"/>
        <v>0.35513075943754374</v>
      </c>
      <c r="Q5" s="3"/>
      <c r="R5" s="3"/>
      <c r="S5" s="3"/>
      <c r="T5" s="3"/>
      <c r="U5" s="3"/>
    </row>
    <row r="6" spans="1:21" x14ac:dyDescent="0.25">
      <c r="A6" s="3">
        <v>9.9999999999999998E-13</v>
      </c>
      <c r="B6" s="3">
        <v>-7.576E-6</v>
      </c>
      <c r="C6" s="3">
        <v>1.448E-4</v>
      </c>
      <c r="D6" s="3">
        <v>-4.351E-4</v>
      </c>
      <c r="E6" s="3">
        <v>0</v>
      </c>
      <c r="F6" s="3">
        <v>0</v>
      </c>
      <c r="G6" s="3">
        <v>0</v>
      </c>
      <c r="H6" s="3">
        <v>3.3627834999999999E-5</v>
      </c>
      <c r="I6" s="3">
        <v>1.3340300999999999E-5</v>
      </c>
      <c r="J6" s="3">
        <v>-9.3939382999999997E-5</v>
      </c>
      <c r="K6" s="3"/>
      <c r="L6" s="3">
        <f t="shared" si="0"/>
        <v>-1.741208917490232E-2</v>
      </c>
      <c r="M6" s="3"/>
      <c r="N6" s="2">
        <f>IF('Modell einstellen'!$B$1="Voll",H6/0.35,H6/0.35*2)</f>
        <v>1.9215905714285714E-4</v>
      </c>
      <c r="O6" s="2">
        <f>IF('Modell einstellen'!$B$1="Voll",J6/0.35,J6/0.35*2)</f>
        <v>-5.367964742857143E-4</v>
      </c>
      <c r="P6" s="3">
        <f t="shared" si="1"/>
        <v>0.35797376910597761</v>
      </c>
      <c r="Q6" s="3"/>
      <c r="R6" s="3"/>
      <c r="S6" s="3"/>
      <c r="T6" s="3"/>
      <c r="U6" s="3"/>
    </row>
    <row r="7" spans="1:21" x14ac:dyDescent="0.25">
      <c r="A7" s="3">
        <v>9.9999999999999994E-12</v>
      </c>
      <c r="B7" s="3">
        <v>-1.403E-5</v>
      </c>
      <c r="C7" s="3">
        <v>1.4689999999999999E-4</v>
      </c>
      <c r="D7" s="3">
        <v>-4.3360000000000002E-4</v>
      </c>
      <c r="E7" s="3">
        <v>0</v>
      </c>
      <c r="F7" s="3">
        <v>0</v>
      </c>
      <c r="G7" s="3">
        <v>0</v>
      </c>
      <c r="H7" s="3">
        <v>3.4863171000000003E-5</v>
      </c>
      <c r="I7" s="3">
        <v>1.3543798E-5</v>
      </c>
      <c r="J7" s="3">
        <v>-9.5818463000000003E-5</v>
      </c>
      <c r="K7" s="3"/>
      <c r="L7" s="3">
        <f t="shared" si="0"/>
        <v>-3.23570110701107E-2</v>
      </c>
      <c r="M7" s="3"/>
      <c r="N7" s="2">
        <f>IF('Modell einstellen'!$B$1="Voll",H7/0.35,H7/0.35*2)</f>
        <v>1.9921812000000004E-4</v>
      </c>
      <c r="O7" s="2">
        <f>IF('Modell einstellen'!$B$1="Voll",J7/0.35,J7/0.35*2)</f>
        <v>-5.4753407428571432E-4</v>
      </c>
      <c r="P7" s="3">
        <f t="shared" si="1"/>
        <v>0.36384606795456531</v>
      </c>
      <c r="Q7" s="3"/>
      <c r="R7" s="3"/>
      <c r="S7" s="3"/>
      <c r="T7" s="3"/>
      <c r="U7" s="3"/>
    </row>
    <row r="8" spans="1:21" x14ac:dyDescent="0.25">
      <c r="A8" s="3">
        <v>1E-10</v>
      </c>
      <c r="B8" s="3">
        <v>-1.8879999999999999E-5</v>
      </c>
      <c r="C8" s="3">
        <v>1.485E-4</v>
      </c>
      <c r="D8" s="3">
        <v>-4.3239999999999999E-4</v>
      </c>
      <c r="E8" s="3">
        <v>0</v>
      </c>
      <c r="F8" s="3">
        <v>0</v>
      </c>
      <c r="G8" s="3">
        <v>0</v>
      </c>
      <c r="H8" s="3">
        <v>3.5776884000000003E-5</v>
      </c>
      <c r="I8" s="3">
        <v>1.3698364000000001E-5</v>
      </c>
      <c r="J8" s="3">
        <v>-9.7204037000000001E-5</v>
      </c>
      <c r="K8" s="3"/>
      <c r="L8" s="3">
        <f t="shared" si="0"/>
        <v>-4.3663274745605919E-2</v>
      </c>
      <c r="M8" s="3"/>
      <c r="N8" s="2">
        <f>IF('Modell einstellen'!$B$1="Voll",H8/0.35,H8/0.35*2)</f>
        <v>2.0443933714285717E-4</v>
      </c>
      <c r="O8" s="2">
        <f>IF('Modell einstellen'!$B$1="Voll",J8/0.35,J8/0.35*2)</f>
        <v>-5.5545164000000004E-4</v>
      </c>
      <c r="P8" s="3">
        <f t="shared" si="1"/>
        <v>0.36805965167887011</v>
      </c>
      <c r="Q8" s="3"/>
      <c r="R8" s="3"/>
      <c r="S8" s="3"/>
      <c r="T8" s="3"/>
      <c r="U8" s="3"/>
    </row>
    <row r="9" spans="1:21" x14ac:dyDescent="0.25">
      <c r="A9" s="3">
        <v>1.0000000000000001E-9</v>
      </c>
      <c r="B9" s="3">
        <v>-2.404E-5</v>
      </c>
      <c r="C9" s="3">
        <v>1.5009999999999999E-4</v>
      </c>
      <c r="D9" s="3">
        <v>-4.3090000000000001E-4</v>
      </c>
      <c r="E9" s="3">
        <v>0</v>
      </c>
      <c r="F9" s="3">
        <v>0</v>
      </c>
      <c r="G9" s="3">
        <v>0</v>
      </c>
      <c r="H9" s="3">
        <v>3.6712765999999999E-5</v>
      </c>
      <c r="I9" s="3">
        <v>1.3851983000000001E-5</v>
      </c>
      <c r="J9" s="3">
        <v>-9.860914E-5</v>
      </c>
      <c r="K9" s="3"/>
      <c r="L9" s="3">
        <f t="shared" si="0"/>
        <v>-5.5790206544441862E-2</v>
      </c>
      <c r="M9" s="3"/>
      <c r="N9" s="2">
        <f>IF('Modell einstellen'!$B$1="Voll",H9/0.35,H9/0.35*2)</f>
        <v>2.097872342857143E-4</v>
      </c>
      <c r="O9" s="2">
        <f>IF('Modell einstellen'!$B$1="Voll",J9/0.35,J9/0.35*2)</f>
        <v>-5.6348080000000005E-4</v>
      </c>
      <c r="P9" s="3">
        <f t="shared" si="1"/>
        <v>0.37230591403596053</v>
      </c>
      <c r="Q9" s="3"/>
      <c r="R9" s="3"/>
      <c r="S9" s="3"/>
      <c r="T9" s="3"/>
      <c r="U9" s="3"/>
    </row>
    <row r="10" spans="1:21" x14ac:dyDescent="0.25">
      <c r="A10" s="3">
        <v>1E-8</v>
      </c>
      <c r="B10" s="3">
        <v>-3.0309999999999999E-5</v>
      </c>
      <c r="C10" s="3">
        <v>1.5200000000000001E-4</v>
      </c>
      <c r="D10" s="3">
        <v>-4.2880000000000001E-4</v>
      </c>
      <c r="E10" s="3">
        <v>0</v>
      </c>
      <c r="F10" s="3">
        <v>0</v>
      </c>
      <c r="G10" s="3">
        <v>0</v>
      </c>
      <c r="H10" s="3">
        <v>3.7805992000000002E-5</v>
      </c>
      <c r="I10" s="3">
        <v>1.4023448E-5</v>
      </c>
      <c r="J10" s="3">
        <v>-1.0022864999999999E-4</v>
      </c>
      <c r="K10" s="3"/>
      <c r="L10" s="3">
        <f t="shared" si="0"/>
        <v>-7.0685634328358199E-2</v>
      </c>
      <c r="M10" s="3"/>
      <c r="N10" s="2">
        <f>IF('Modell einstellen'!$B$1="Voll",H10/0.35,H10/0.35*2)</f>
        <v>2.1603424000000003E-4</v>
      </c>
      <c r="O10" s="2">
        <f>IF('Modell einstellen'!$B$1="Voll",J10/0.35,J10/0.35*2)</f>
        <v>-5.7273514285714289E-4</v>
      </c>
      <c r="P10" s="3">
        <f t="shared" si="1"/>
        <v>0.37719745801225502</v>
      </c>
      <c r="Q10" s="3"/>
      <c r="R10" s="3"/>
      <c r="S10" s="3"/>
      <c r="T10" s="3"/>
      <c r="U10" s="3"/>
    </row>
    <row r="11" spans="1:21" x14ac:dyDescent="0.25">
      <c r="A11" s="3">
        <v>9.9999999999999995E-8</v>
      </c>
      <c r="B11" s="3">
        <v>-3.7589999999999998E-5</v>
      </c>
      <c r="C11" s="3">
        <v>1.539E-4</v>
      </c>
      <c r="D11" s="3">
        <v>-4.259E-4</v>
      </c>
      <c r="E11" s="3">
        <v>0</v>
      </c>
      <c r="F11" s="3">
        <v>0</v>
      </c>
      <c r="G11" s="3">
        <v>0</v>
      </c>
      <c r="H11" s="3">
        <v>3.9029590999999999E-5</v>
      </c>
      <c r="I11" s="3">
        <v>1.4208395000000001E-5</v>
      </c>
      <c r="J11" s="3">
        <v>-1.0201913E-4</v>
      </c>
      <c r="K11" s="3"/>
      <c r="L11" s="3">
        <f t="shared" si="0"/>
        <v>-8.8260154965954449E-2</v>
      </c>
      <c r="M11" s="3"/>
      <c r="N11" s="2">
        <f>IF('Modell einstellen'!$B$1="Voll",H11/0.35,H11/0.35*2)</f>
        <v>2.2302623428571428E-4</v>
      </c>
      <c r="O11" s="2">
        <f>IF('Modell einstellen'!$B$1="Voll",J11/0.35,J11/0.35*2)</f>
        <v>-5.8296645714285718E-4</v>
      </c>
      <c r="P11" s="3">
        <f t="shared" si="1"/>
        <v>0.38257129814771013</v>
      </c>
      <c r="Q11" s="3"/>
      <c r="R11" s="3"/>
      <c r="S11" s="3"/>
      <c r="T11" s="3"/>
      <c r="U11" s="3"/>
    </row>
    <row r="12" spans="1:21" x14ac:dyDescent="0.25">
      <c r="A12" s="3">
        <v>9.9999999999999995E-7</v>
      </c>
      <c r="B12" s="3">
        <v>-4.6650000000000002E-5</v>
      </c>
      <c r="C12" s="3">
        <v>1.561E-4</v>
      </c>
      <c r="D12" s="3">
        <v>-4.2180000000000001E-4</v>
      </c>
      <c r="E12" s="3">
        <v>0</v>
      </c>
      <c r="F12" s="3">
        <v>0</v>
      </c>
      <c r="G12" s="3">
        <v>0</v>
      </c>
      <c r="H12" s="3">
        <v>4.0489423999999998E-5</v>
      </c>
      <c r="I12" s="3">
        <v>1.4418542000000001E-5</v>
      </c>
      <c r="J12" s="3">
        <v>-1.0412394E-4</v>
      </c>
      <c r="K12" s="3"/>
      <c r="L12" s="3">
        <f t="shared" si="0"/>
        <v>-0.11059743954480797</v>
      </c>
      <c r="M12" s="3"/>
      <c r="N12" s="2">
        <f>IF('Modell einstellen'!$B$1="Voll",H12/0.35,H12/0.35*2)</f>
        <v>2.3136813714285715E-4</v>
      </c>
      <c r="O12" s="2">
        <f>IF('Modell einstellen'!$B$1="Voll",J12/0.35,J12/0.35*2)</f>
        <v>-5.9499394285714288E-4</v>
      </c>
      <c r="P12" s="3">
        <f t="shared" si="1"/>
        <v>0.38885797060695171</v>
      </c>
      <c r="Q12" s="3"/>
      <c r="R12" s="3"/>
      <c r="S12" s="3"/>
      <c r="T12" s="3"/>
      <c r="U12" s="3"/>
    </row>
    <row r="13" spans="1:21" x14ac:dyDescent="0.25">
      <c r="A13" s="3">
        <v>1.0000000000000001E-5</v>
      </c>
      <c r="B13" s="3">
        <v>-5.7550000000000003E-5</v>
      </c>
      <c r="C13" s="3">
        <v>1.5860000000000001E-4</v>
      </c>
      <c r="D13" s="3">
        <v>-4.1639999999999998E-4</v>
      </c>
      <c r="E13" s="3">
        <v>0</v>
      </c>
      <c r="F13" s="3">
        <v>0</v>
      </c>
      <c r="G13" s="3">
        <v>0</v>
      </c>
      <c r="H13" s="3">
        <v>4.2172275000000001E-5</v>
      </c>
      <c r="I13" s="3">
        <v>1.464929E-5</v>
      </c>
      <c r="J13" s="3">
        <v>-1.0651346999999999E-4</v>
      </c>
      <c r="K13" s="3"/>
      <c r="L13" s="3">
        <f t="shared" si="0"/>
        <v>-0.13820845341018254</v>
      </c>
      <c r="M13" s="3"/>
      <c r="N13" s="2">
        <f>IF('Modell einstellen'!$B$1="Voll",H13/0.35,H13/0.35*2)</f>
        <v>2.4098442857142859E-4</v>
      </c>
      <c r="O13" s="2">
        <f>IF('Modell einstellen'!$B$1="Voll",J13/0.35,J13/0.35*2)</f>
        <v>-6.0864839999999996E-4</v>
      </c>
      <c r="P13" s="3">
        <f t="shared" si="1"/>
        <v>0.39593372556541445</v>
      </c>
      <c r="Q13" s="3"/>
      <c r="R13" s="3"/>
      <c r="S13" s="3"/>
      <c r="T13" s="3"/>
      <c r="U13" s="3"/>
    </row>
    <row r="14" spans="1:21" x14ac:dyDescent="0.25">
      <c r="A14" s="3">
        <v>1E-4</v>
      </c>
      <c r="B14" s="3">
        <v>-6.9889999999999997E-5</v>
      </c>
      <c r="C14" s="3">
        <v>1.6200000000000001E-4</v>
      </c>
      <c r="D14" s="3">
        <v>-4.1070000000000001E-4</v>
      </c>
      <c r="E14" s="3">
        <v>0</v>
      </c>
      <c r="F14" s="3">
        <v>0</v>
      </c>
      <c r="G14" s="3">
        <v>0</v>
      </c>
      <c r="H14" s="3">
        <v>4.4045563999999999E-5</v>
      </c>
      <c r="I14" s="3">
        <v>1.4939048E-5</v>
      </c>
      <c r="J14" s="3">
        <v>-1.0921175999999999E-4</v>
      </c>
      <c r="K14" s="3"/>
      <c r="L14" s="3">
        <f t="shared" si="0"/>
        <v>-0.17017287557828098</v>
      </c>
      <c r="M14" s="3"/>
      <c r="N14" s="2">
        <f>IF('Modell einstellen'!$B$1="Voll",H14/0.35,H14/0.35*2)</f>
        <v>2.5168893714285715E-4</v>
      </c>
      <c r="O14" s="2">
        <f>IF('Modell einstellen'!$B$1="Voll",J14/0.35,J14/0.35*2)</f>
        <v>-6.2406720000000003E-4</v>
      </c>
      <c r="P14" s="3">
        <f t="shared" si="1"/>
        <v>0.40330422291518786</v>
      </c>
      <c r="Q14" s="3"/>
      <c r="R14" s="3"/>
      <c r="S14" s="3"/>
      <c r="T14" s="3"/>
      <c r="U14" s="3"/>
    </row>
    <row r="15" spans="1:21" x14ac:dyDescent="0.25">
      <c r="A15" s="3">
        <v>1E-3</v>
      </c>
      <c r="B15" s="3">
        <v>-8.352E-5</v>
      </c>
      <c r="C15" s="3">
        <v>1.641E-4</v>
      </c>
      <c r="D15" s="3">
        <v>-4.0220000000000002E-4</v>
      </c>
      <c r="E15" s="3">
        <v>0</v>
      </c>
      <c r="F15" s="3">
        <v>0</v>
      </c>
      <c r="G15" s="3">
        <v>0</v>
      </c>
      <c r="H15" s="3">
        <v>4.5942597999999997E-5</v>
      </c>
      <c r="I15" s="3">
        <v>1.5146828E-5</v>
      </c>
      <c r="J15" s="3">
        <v>-1.1177436E-4</v>
      </c>
      <c r="K15" s="3"/>
      <c r="L15" s="3">
        <f t="shared" si="0"/>
        <v>-0.20765788165091992</v>
      </c>
      <c r="M15" s="3"/>
      <c r="N15" s="2">
        <f>IF('Modell einstellen'!$B$1="Voll",H15/0.35,H15/0.35*2)</f>
        <v>2.6252913142857143E-4</v>
      </c>
      <c r="O15" s="2">
        <f>IF('Modell einstellen'!$B$1="Voll",J15/0.35,J15/0.35*2)</f>
        <v>-6.3871062857142865E-4</v>
      </c>
      <c r="P15" s="3">
        <f t="shared" si="1"/>
        <v>0.41102984620086391</v>
      </c>
      <c r="Q15" s="3"/>
      <c r="R15" s="3"/>
      <c r="S15" s="3"/>
      <c r="T15" s="3"/>
      <c r="U15" s="3"/>
    </row>
    <row r="16" spans="1:21" x14ac:dyDescent="0.25">
      <c r="A16" s="3">
        <v>0.01</v>
      </c>
      <c r="B16" s="3">
        <v>-9.9939999999999995E-5</v>
      </c>
      <c r="C16" s="3">
        <v>1.6750000000000001E-4</v>
      </c>
      <c r="D16" s="3">
        <v>-3.927E-4</v>
      </c>
      <c r="E16" s="3">
        <v>0</v>
      </c>
      <c r="F16" s="3">
        <v>0</v>
      </c>
      <c r="G16" s="3">
        <v>0</v>
      </c>
      <c r="H16" s="3">
        <v>4.8212226999999999E-5</v>
      </c>
      <c r="I16" s="3">
        <v>1.5443635000000001E-5</v>
      </c>
      <c r="J16" s="3">
        <v>-1.1490513999999999E-4</v>
      </c>
      <c r="K16" s="3"/>
      <c r="L16" s="3">
        <f t="shared" si="0"/>
        <v>-0.25449452508276038</v>
      </c>
      <c r="M16" s="3"/>
      <c r="N16" s="2">
        <f>IF('Modell einstellen'!$B$1="Voll",H16/0.35,H16/0.35*2)</f>
        <v>2.7549844000000003E-4</v>
      </c>
      <c r="O16" s="2">
        <f>IF('Modell einstellen'!$B$1="Voll",J16/0.35,J16/0.35*2)</f>
        <v>-6.5660079999999997E-4</v>
      </c>
      <c r="P16" s="3">
        <f t="shared" si="1"/>
        <v>0.41958285765110254</v>
      </c>
      <c r="Q16" s="3"/>
      <c r="R16" s="3"/>
      <c r="S16" s="3"/>
      <c r="T16" s="3"/>
      <c r="U16" s="3"/>
    </row>
    <row r="17" spans="1:21" x14ac:dyDescent="0.25">
      <c r="A17" s="3">
        <v>0.1</v>
      </c>
      <c r="B17" s="3">
        <v>-1.2300000000000001E-4</v>
      </c>
      <c r="C17" s="3">
        <v>1.7110000000000001E-4</v>
      </c>
      <c r="D17" s="3">
        <v>-3.7740000000000001E-4</v>
      </c>
      <c r="E17" s="3">
        <v>0</v>
      </c>
      <c r="F17" s="3">
        <v>0</v>
      </c>
      <c r="G17" s="3">
        <v>0</v>
      </c>
      <c r="H17" s="3">
        <v>5.1223230999999999E-5</v>
      </c>
      <c r="I17" s="3">
        <v>1.5774790999999999E-5</v>
      </c>
      <c r="J17" s="3">
        <v>-1.1891298E-4</v>
      </c>
      <c r="K17" s="3"/>
      <c r="L17" s="3">
        <f t="shared" si="0"/>
        <v>-0.32591414944356123</v>
      </c>
      <c r="M17" s="3"/>
      <c r="N17" s="2">
        <f>IF('Modell einstellen'!$B$1="Voll",H17/0.35,H17/0.35*2)</f>
        <v>2.9270417714285715E-4</v>
      </c>
      <c r="O17" s="2">
        <f>IF('Modell einstellen'!$B$1="Voll",J17/0.35,J17/0.35*2)</f>
        <v>-6.7950274285714289E-4</v>
      </c>
      <c r="P17" s="3">
        <f t="shared" si="1"/>
        <v>0.43076231879816651</v>
      </c>
      <c r="Q17" s="3"/>
      <c r="R17" s="3"/>
      <c r="S17" s="3"/>
      <c r="T17" s="3"/>
      <c r="U17" s="3"/>
    </row>
    <row r="18" spans="1:21" x14ac:dyDescent="0.25">
      <c r="A18" s="3">
        <v>1</v>
      </c>
      <c r="B18" s="3">
        <v>-1.516E-4</v>
      </c>
      <c r="C18" s="3">
        <v>1.751E-4</v>
      </c>
      <c r="D18" s="3">
        <v>-3.5740000000000001E-4</v>
      </c>
      <c r="E18" s="3">
        <v>0</v>
      </c>
      <c r="F18" s="3">
        <v>0</v>
      </c>
      <c r="G18" s="3">
        <v>0</v>
      </c>
      <c r="H18" s="3">
        <v>5.4851632000000003E-5</v>
      </c>
      <c r="I18" s="3">
        <v>1.6164018999999998E-5</v>
      </c>
      <c r="J18" s="3">
        <v>-1.2367412E-4</v>
      </c>
      <c r="K18" s="3"/>
      <c r="L18" s="3">
        <f t="shared" si="0"/>
        <v>-0.42417459429210969</v>
      </c>
      <c r="M18" s="3"/>
      <c r="N18" s="2">
        <f>IF('Modell einstellen'!$B$1="Voll",H18/0.35,H18/0.35*2)</f>
        <v>3.134378971428572E-4</v>
      </c>
      <c r="O18" s="2">
        <f>IF('Modell einstellen'!$B$1="Voll",J18/0.35,J18/0.35*2)</f>
        <v>-7.0670925714285716E-4</v>
      </c>
      <c r="P18" s="3">
        <f t="shared" si="1"/>
        <v>0.44351746347578624</v>
      </c>
      <c r="Q18" s="3"/>
      <c r="R18" s="3"/>
      <c r="S18" s="3"/>
      <c r="T18" s="3"/>
      <c r="U18" s="3"/>
    </row>
    <row r="19" spans="1:21" x14ac:dyDescent="0.25">
      <c r="A19" s="3">
        <v>10</v>
      </c>
      <c r="B19" s="3">
        <v>-1.7560000000000001E-4</v>
      </c>
      <c r="C19" s="3">
        <v>1.808E-4</v>
      </c>
      <c r="D19" s="3">
        <v>-3.4220000000000002E-4</v>
      </c>
      <c r="E19" s="3">
        <v>0</v>
      </c>
      <c r="F19" s="3">
        <v>0</v>
      </c>
      <c r="G19" s="3">
        <v>0</v>
      </c>
      <c r="H19" s="3">
        <v>5.8662034999999997E-5</v>
      </c>
      <c r="I19" s="3">
        <v>1.682846E-5</v>
      </c>
      <c r="J19" s="3">
        <v>-1.2905155000000001E-4</v>
      </c>
      <c r="K19" s="3"/>
      <c r="L19" s="3">
        <f t="shared" si="0"/>
        <v>-0.51315020455873761</v>
      </c>
      <c r="M19" s="3"/>
      <c r="N19" s="2">
        <f>IF('Modell einstellen'!$B$1="Voll",H19/0.35,H19/0.35*2)</f>
        <v>3.352116285714286E-4</v>
      </c>
      <c r="O19" s="2">
        <f>IF('Modell einstellen'!$B$1="Voll",J19/0.35,J19/0.35*2)</f>
        <v>-7.3743742857142864E-4</v>
      </c>
      <c r="P19" s="3">
        <f t="shared" si="1"/>
        <v>0.45456280842810487</v>
      </c>
      <c r="Q19" s="3"/>
      <c r="R19" s="3"/>
      <c r="S19" s="3"/>
      <c r="T19" s="3"/>
      <c r="U19" s="3"/>
    </row>
    <row r="20" spans="1:21" x14ac:dyDescent="0.25">
      <c r="A20" s="3">
        <v>100</v>
      </c>
      <c r="B20" s="3">
        <v>-1.6449999999999999E-4</v>
      </c>
      <c r="C20" s="3">
        <v>1.985E-4</v>
      </c>
      <c r="D20" s="3">
        <v>-3.68E-4</v>
      </c>
      <c r="E20" s="3">
        <v>0</v>
      </c>
      <c r="F20" s="3">
        <v>0</v>
      </c>
      <c r="G20" s="3">
        <v>0</v>
      </c>
      <c r="H20" s="3">
        <v>6.4023818000000004E-5</v>
      </c>
      <c r="I20" s="3">
        <v>1.9514535E-5</v>
      </c>
      <c r="J20" s="3">
        <v>-1.3952716000000001E-4</v>
      </c>
      <c r="K20" s="3"/>
      <c r="L20" s="3">
        <f t="shared" si="0"/>
        <v>-0.44701086956521735</v>
      </c>
      <c r="M20" s="3"/>
      <c r="N20" s="2">
        <f>IF('Modell einstellen'!$B$1="Voll",H20/0.35,H20/0.35*2)</f>
        <v>3.6585038857142864E-4</v>
      </c>
      <c r="O20" s="2">
        <f>IF('Modell einstellen'!$B$1="Voll",J20/0.35,J20/0.35*2)</f>
        <v>-7.9729805714285717E-4</v>
      </c>
      <c r="P20" s="3">
        <f t="shared" si="1"/>
        <v>0.45886276191674802</v>
      </c>
      <c r="Q20" s="3"/>
      <c r="R20" s="3"/>
      <c r="S20" s="3"/>
      <c r="T20" s="3"/>
      <c r="U20" s="3"/>
    </row>
    <row r="21" spans="1:21" x14ac:dyDescent="0.25">
      <c r="A21" s="3">
        <v>1000</v>
      </c>
      <c r="B21" s="3">
        <v>-7.0889999999999994E-5</v>
      </c>
      <c r="C21" s="3">
        <v>2.454E-4</v>
      </c>
      <c r="D21" s="3">
        <v>-4.9149999999999997E-4</v>
      </c>
      <c r="E21" s="3">
        <v>0</v>
      </c>
      <c r="F21" s="3">
        <v>0</v>
      </c>
      <c r="G21" s="3">
        <v>0</v>
      </c>
      <c r="H21" s="3">
        <v>7.3961116999999999E-5</v>
      </c>
      <c r="I21" s="3">
        <v>2.7561268999999998E-5</v>
      </c>
      <c r="J21" s="3">
        <v>-1.6421683999999999E-4</v>
      </c>
      <c r="K21" s="3"/>
      <c r="L21" s="3">
        <f t="shared" si="0"/>
        <v>-0.14423194303153611</v>
      </c>
      <c r="M21" s="3"/>
      <c r="N21" s="2">
        <f>IF('Modell einstellen'!$B$1="Voll",H21/0.35,H21/0.35*2)</f>
        <v>4.2263495428571433E-4</v>
      </c>
      <c r="O21" s="2">
        <f>IF('Modell einstellen'!$B$1="Voll",J21/0.35,J21/0.35*2)</f>
        <v>-9.3838194285714291E-4</v>
      </c>
      <c r="P21" s="3">
        <f t="shared" si="1"/>
        <v>0.45038692134131919</v>
      </c>
      <c r="Q21" s="3"/>
      <c r="R21" s="3"/>
      <c r="S21" s="3"/>
      <c r="T21" s="3"/>
      <c r="U21" s="3"/>
    </row>
    <row r="22" spans="1:21" x14ac:dyDescent="0.25">
      <c r="A22" s="3">
        <v>10000</v>
      </c>
      <c r="B22" s="3">
        <v>8.1080000000000003E-5</v>
      </c>
      <c r="C22" s="3">
        <v>3.2089999999999999E-4</v>
      </c>
      <c r="D22" s="3">
        <v>-6.9300000000000004E-4</v>
      </c>
      <c r="E22" s="3">
        <v>0</v>
      </c>
      <c r="F22" s="3">
        <v>0</v>
      </c>
      <c r="G22" s="3">
        <v>0</v>
      </c>
      <c r="H22" s="3">
        <v>8.6623203000000003E-5</v>
      </c>
      <c r="I22" s="3">
        <v>4.0012667E-5</v>
      </c>
      <c r="J22" s="3">
        <v>-1.9970270999999999E-4</v>
      </c>
      <c r="K22" s="3"/>
      <c r="L22" s="3">
        <f t="shared" si="0"/>
        <v>0.11699855699855699</v>
      </c>
      <c r="M22" s="3"/>
      <c r="N22" s="2">
        <f>IF('Modell einstellen'!$B$1="Voll",H22/0.35,H22/0.35*2)</f>
        <v>4.9498973142857151E-4</v>
      </c>
      <c r="O22" s="2">
        <f>IF('Modell einstellen'!$B$1="Voll",J22/0.35,J22/0.35*2)</f>
        <v>-1.1411583428571428E-3</v>
      </c>
      <c r="P22" s="3">
        <f t="shared" si="1"/>
        <v>0.43376077870951285</v>
      </c>
      <c r="Q22" s="3"/>
      <c r="R22" s="3"/>
      <c r="S22" s="3"/>
      <c r="T22" s="3"/>
      <c r="U22" s="3"/>
    </row>
    <row r="23" spans="1:21" x14ac:dyDescent="0.25">
      <c r="A23" s="3">
        <v>100000</v>
      </c>
      <c r="B23" s="3">
        <v>2.3910000000000001E-4</v>
      </c>
      <c r="C23" s="3">
        <v>4.1100000000000002E-4</v>
      </c>
      <c r="D23" s="3">
        <v>-9.1589999999999998E-4</v>
      </c>
      <c r="E23" s="3">
        <v>0</v>
      </c>
      <c r="F23" s="3">
        <v>0</v>
      </c>
      <c r="G23" s="3">
        <v>0</v>
      </c>
      <c r="H23" s="3">
        <v>9.9765410000000006E-5</v>
      </c>
      <c r="I23" s="3">
        <v>5.3899266999999997E-5</v>
      </c>
      <c r="J23" s="3">
        <v>-2.3854255999999999E-4</v>
      </c>
      <c r="K23" s="3"/>
      <c r="L23" s="3">
        <f t="shared" si="0"/>
        <v>0.26105470029479205</v>
      </c>
      <c r="M23" s="3"/>
      <c r="N23" s="2">
        <f>IF('Modell einstellen'!$B$1="Voll",H23/0.35,H23/0.35*2)</f>
        <v>5.7008805714285724E-4</v>
      </c>
      <c r="O23" s="2">
        <f>IF('Modell einstellen'!$B$1="Voll",J23/0.35,J23/0.35*2)</f>
        <v>-1.363100342857143E-3</v>
      </c>
      <c r="P23" s="3">
        <f t="shared" si="1"/>
        <v>0.41822897347961724</v>
      </c>
      <c r="Q23" s="3"/>
      <c r="R23" s="3"/>
      <c r="S23" s="3"/>
      <c r="T23" s="3"/>
      <c r="U23" s="3"/>
    </row>
    <row r="24" spans="1:21" x14ac:dyDescent="0.25">
      <c r="A24" s="3">
        <v>1000000</v>
      </c>
      <c r="B24" s="3">
        <v>3.7639999999999999E-4</v>
      </c>
      <c r="C24" s="3">
        <v>5.0600000000000005E-4</v>
      </c>
      <c r="D24" s="3">
        <v>-1.127E-3</v>
      </c>
      <c r="E24" s="3">
        <v>0</v>
      </c>
      <c r="F24" s="3">
        <v>0</v>
      </c>
      <c r="G24" s="3">
        <v>0</v>
      </c>
      <c r="H24" s="3">
        <v>1.1235329999999999E-4</v>
      </c>
      <c r="I24" s="3">
        <v>6.7715039000000005E-5</v>
      </c>
      <c r="J24" s="3">
        <v>-2.7699687E-4</v>
      </c>
      <c r="K24" s="3"/>
      <c r="L24" s="3">
        <f t="shared" si="0"/>
        <v>0.33398402839396629</v>
      </c>
      <c r="M24" s="3"/>
      <c r="N24" s="2">
        <f>IF('Modell einstellen'!$B$1="Voll",H24/0.35,H24/0.35*2)</f>
        <v>6.4201885714285718E-4</v>
      </c>
      <c r="O24" s="2">
        <f>IF('Modell einstellen'!$B$1="Voll",J24/0.35,J24/0.35*2)</f>
        <v>-1.5828392571428573E-3</v>
      </c>
      <c r="P24" s="3">
        <f t="shared" si="1"/>
        <v>0.40561216449846527</v>
      </c>
      <c r="Q24" s="3"/>
      <c r="R24" s="3"/>
      <c r="S24" s="3"/>
      <c r="T24" s="3"/>
      <c r="U24" s="3"/>
    </row>
    <row r="25" spans="1:21" x14ac:dyDescent="0.25">
      <c r="A25" s="3">
        <v>10000000</v>
      </c>
      <c r="B25" s="3">
        <v>4.8819999999999999E-4</v>
      </c>
      <c r="C25" s="3">
        <v>6.0479999999999996E-4</v>
      </c>
      <c r="D25" s="3">
        <v>-1.323E-3</v>
      </c>
      <c r="E25" s="3">
        <v>0</v>
      </c>
      <c r="F25" s="3">
        <v>0</v>
      </c>
      <c r="G25" s="3">
        <v>0</v>
      </c>
      <c r="H25" s="3">
        <v>1.2534328E-4</v>
      </c>
      <c r="I25" s="3">
        <v>8.1808748000000006E-5</v>
      </c>
      <c r="J25" s="3">
        <v>-3.1673060000000003E-4</v>
      </c>
      <c r="K25" s="3"/>
      <c r="L25" s="3">
        <f t="shared" si="0"/>
        <v>0.3690098261526833</v>
      </c>
      <c r="M25" s="3"/>
      <c r="N25" s="2">
        <f>IF('Modell einstellen'!$B$1="Voll",H25/0.35,H25/0.35*2)</f>
        <v>7.1624731428571436E-4</v>
      </c>
      <c r="O25" s="2">
        <f>IF('Modell einstellen'!$B$1="Voll",J25/0.35,J25/0.35*2)</f>
        <v>-1.8098891428571431E-3</v>
      </c>
      <c r="P25" s="3">
        <f t="shared" si="1"/>
        <v>0.3957409861882622</v>
      </c>
      <c r="Q25" s="3"/>
      <c r="R25" s="3"/>
      <c r="S25" s="3"/>
      <c r="T25" s="3"/>
      <c r="U25" s="3"/>
    </row>
    <row r="26" spans="1:21" x14ac:dyDescent="0.25">
      <c r="A26" s="3">
        <v>100000000</v>
      </c>
      <c r="B26" s="3">
        <v>5.8109999999999998E-4</v>
      </c>
      <c r="C26" s="3">
        <v>7.0910000000000005E-4</v>
      </c>
      <c r="D26" s="3">
        <v>-1.508E-3</v>
      </c>
      <c r="E26" s="3">
        <v>0</v>
      </c>
      <c r="F26" s="3">
        <v>0</v>
      </c>
      <c r="G26" s="3">
        <v>0</v>
      </c>
      <c r="H26" s="3">
        <v>1.3945011E-4</v>
      </c>
      <c r="I26" s="3">
        <v>9.6726439000000003E-5</v>
      </c>
      <c r="J26" s="3">
        <v>-3.5942511000000002E-4</v>
      </c>
      <c r="K26" s="3"/>
      <c r="L26" s="3">
        <f t="shared" si="0"/>
        <v>0.38534482758620686</v>
      </c>
      <c r="M26" s="3"/>
      <c r="N26" s="2">
        <f>IF('Modell einstellen'!$B$1="Voll",H26/0.35,H26/0.35*2)</f>
        <v>7.968577714285714E-4</v>
      </c>
      <c r="O26" s="2">
        <f>IF('Modell einstellen'!$B$1="Voll",J26/0.35,J26/0.35*2)</f>
        <v>-2.0538577714285717E-3</v>
      </c>
      <c r="P26" s="3">
        <f t="shared" si="1"/>
        <v>0.38798098997590896</v>
      </c>
      <c r="Q26" s="3"/>
      <c r="R26" s="3"/>
      <c r="S26" s="3"/>
      <c r="T26" s="3"/>
      <c r="U26" s="3"/>
    </row>
    <row r="27" spans="1:21" x14ac:dyDescent="0.25">
      <c r="A27" s="3">
        <v>1000000000</v>
      </c>
      <c r="B27" s="3">
        <v>6.6540000000000002E-4</v>
      </c>
      <c r="C27" s="3">
        <v>8.2720000000000005E-4</v>
      </c>
      <c r="D27" s="3">
        <v>-1.702E-3</v>
      </c>
      <c r="E27" s="3">
        <v>0</v>
      </c>
      <c r="F27" s="3">
        <v>0</v>
      </c>
      <c r="G27" s="3">
        <v>0</v>
      </c>
      <c r="H27" s="3">
        <v>1.5702814000000001E-4</v>
      </c>
      <c r="I27" s="3">
        <v>1.1417061E-4</v>
      </c>
      <c r="J27" s="3">
        <v>-4.1068061000000002E-4</v>
      </c>
      <c r="K27" s="3"/>
      <c r="L27" s="3">
        <f t="shared" si="0"/>
        <v>0.390951821386604</v>
      </c>
      <c r="M27" s="3"/>
      <c r="N27" s="2">
        <f>IF('Modell einstellen'!$B$1="Voll",H27/0.35,H27/0.35*2)</f>
        <v>8.9730365714285729E-4</v>
      </c>
      <c r="O27" s="2">
        <f>IF('Modell einstellen'!$B$1="Voll",J27/0.35,J27/0.35*2)</f>
        <v>-2.3467463428571431E-3</v>
      </c>
      <c r="P27" s="3">
        <f t="shared" si="1"/>
        <v>0.38236073526821734</v>
      </c>
      <c r="Q27" s="3"/>
      <c r="R27" s="3"/>
      <c r="S27" s="3"/>
      <c r="T27" s="3"/>
      <c r="U27" s="3"/>
    </row>
    <row r="28" spans="1:21" x14ac:dyDescent="0.25">
      <c r="A28" s="3">
        <v>10000000000</v>
      </c>
      <c r="B28" s="3">
        <v>7.5259999999999997E-4</v>
      </c>
      <c r="C28" s="3">
        <v>9.7380000000000003E-4</v>
      </c>
      <c r="D28" s="3">
        <v>-1.9300000000000001E-3</v>
      </c>
      <c r="E28" s="3">
        <v>0</v>
      </c>
      <c r="F28" s="3">
        <v>0</v>
      </c>
      <c r="G28" s="3">
        <v>0</v>
      </c>
      <c r="H28" s="3">
        <v>1.8125912E-4</v>
      </c>
      <c r="I28" s="3">
        <v>1.3680001000000001E-4</v>
      </c>
      <c r="J28" s="3">
        <v>-4.7875359999999999E-4</v>
      </c>
      <c r="K28" s="3"/>
      <c r="L28" s="3">
        <f t="shared" si="0"/>
        <v>0.38994818652849739</v>
      </c>
      <c r="M28" s="3"/>
      <c r="N28" s="2">
        <f>IF('Modell einstellen'!$B$1="Voll",H28/0.35,H28/0.35*2)</f>
        <v>1.0357664000000002E-3</v>
      </c>
      <c r="O28" s="2">
        <f>IF('Modell einstellen'!$B$1="Voll",J28/0.35,J28/0.35*2)</f>
        <v>-2.7357348571428572E-3</v>
      </c>
      <c r="P28" s="3">
        <f t="shared" si="1"/>
        <v>0.37860628097626842</v>
      </c>
      <c r="Q28" s="3"/>
      <c r="R28" s="3"/>
      <c r="S28" s="3"/>
      <c r="T28" s="3"/>
      <c r="U28" s="3"/>
    </row>
    <row r="29" spans="1:21" x14ac:dyDescent="0.25">
      <c r="A29" s="3">
        <v>100000000000</v>
      </c>
      <c r="B29" s="3">
        <v>8.5669999999999995E-4</v>
      </c>
      <c r="C29" s="3">
        <v>1.1839999999999999E-3</v>
      </c>
      <c r="D29" s="3">
        <v>-2.238E-3</v>
      </c>
      <c r="E29" s="3">
        <v>0</v>
      </c>
      <c r="F29" s="3">
        <v>0</v>
      </c>
      <c r="G29" s="3">
        <v>0</v>
      </c>
      <c r="H29" s="3">
        <v>2.1952656000000001E-4</v>
      </c>
      <c r="I29" s="3">
        <v>1.7082775999999999E-4</v>
      </c>
      <c r="J29" s="3">
        <v>-5.8296944E-4</v>
      </c>
      <c r="K29" s="3"/>
      <c r="L29" s="3">
        <f t="shared" si="0"/>
        <v>0.38279714030384271</v>
      </c>
      <c r="M29" s="3"/>
      <c r="N29" s="2">
        <f>IF('Modell einstellen'!$B$1="Voll",H29/0.35,H29/0.35*2)</f>
        <v>1.2544374857142858E-3</v>
      </c>
      <c r="O29" s="2">
        <f>IF('Modell einstellen'!$B$1="Voll",J29/0.35,J29/0.35*2)</f>
        <v>-3.3312539428571432E-3</v>
      </c>
      <c r="P29" s="3">
        <f t="shared" si="1"/>
        <v>0.37656615413665595</v>
      </c>
      <c r="Q29" s="3"/>
      <c r="R29" s="3"/>
      <c r="S29" s="3"/>
      <c r="T29" s="3"/>
      <c r="U29" s="3"/>
    </row>
    <row r="30" spans="1:21" x14ac:dyDescent="0.25">
      <c r="A30" s="3">
        <v>1000000000000</v>
      </c>
      <c r="B30" s="3">
        <v>9.9850000000000004E-4</v>
      </c>
      <c r="C30" s="3">
        <v>1.523E-3</v>
      </c>
      <c r="D30" s="3">
        <v>-2.712E-3</v>
      </c>
      <c r="E30" s="3">
        <v>0</v>
      </c>
      <c r="F30" s="3">
        <v>0</v>
      </c>
      <c r="G30" s="3">
        <v>0</v>
      </c>
      <c r="H30" s="3">
        <v>2.8503902999999999E-4</v>
      </c>
      <c r="I30" s="3">
        <v>2.2764726999999999E-4</v>
      </c>
      <c r="J30" s="3">
        <v>-7.583135E-4</v>
      </c>
      <c r="K30" s="3"/>
      <c r="L30" s="3">
        <f t="shared" si="0"/>
        <v>0.36817846607669619</v>
      </c>
      <c r="M30" s="3"/>
      <c r="N30" s="2">
        <f>IF('Modell einstellen'!$B$1="Voll",H30/0.35,H30/0.35*2)</f>
        <v>1.6287944571428572E-3</v>
      </c>
      <c r="O30" s="2">
        <f>IF('Modell einstellen'!$B$1="Voll",J30/0.35,J30/0.35*2)</f>
        <v>-4.3332200000000005E-3</v>
      </c>
      <c r="P30" s="3">
        <f t="shared" si="1"/>
        <v>0.37588547480692353</v>
      </c>
      <c r="Q30" s="3"/>
      <c r="R30" s="3"/>
      <c r="S30" s="3"/>
      <c r="T30" s="3"/>
      <c r="U30" s="3"/>
    </row>
    <row r="31" spans="1:21" x14ac:dyDescent="0.25">
      <c r="A31" s="3">
        <v>10000000000000</v>
      </c>
      <c r="B31" s="3">
        <v>1.1980000000000001E-3</v>
      </c>
      <c r="C31" s="3">
        <v>2.0839999999999999E-3</v>
      </c>
      <c r="D31" s="3">
        <v>-3.4629999999999999E-3</v>
      </c>
      <c r="E31" s="3">
        <v>0</v>
      </c>
      <c r="F31" s="3">
        <v>0</v>
      </c>
      <c r="G31" s="3">
        <v>0</v>
      </c>
      <c r="H31" s="3">
        <v>3.9836654E-4</v>
      </c>
      <c r="I31" s="3">
        <v>3.2485199999999999E-4</v>
      </c>
      <c r="J31" s="3">
        <v>-1.0586393E-3</v>
      </c>
      <c r="K31" s="3"/>
      <c r="L31" s="3">
        <f t="shared" si="0"/>
        <v>0.34594282414091831</v>
      </c>
      <c r="M31" s="3"/>
      <c r="N31" s="2">
        <f>IF('Modell einstellen'!$B$1="Voll",H31/0.35,H31/0.35*2)</f>
        <v>2.2763802285714289E-3</v>
      </c>
      <c r="O31" s="2">
        <f>IF('Modell einstellen'!$B$1="Voll",J31/0.35,J31/0.35*2)</f>
        <v>-6.0493674285714292E-3</v>
      </c>
      <c r="P31" s="3">
        <f t="shared" si="1"/>
        <v>0.37630053975891509</v>
      </c>
      <c r="Q31" s="3"/>
      <c r="R31" s="3"/>
      <c r="S31" s="3"/>
      <c r="T31" s="3"/>
      <c r="U31" s="3"/>
    </row>
    <row r="32" spans="1:21" x14ac:dyDescent="0.25">
      <c r="A32" s="3">
        <v>100000000000000</v>
      </c>
      <c r="B32" s="3">
        <v>1.482E-3</v>
      </c>
      <c r="C32" s="3">
        <v>2.9359999999999998E-3</v>
      </c>
      <c r="D32" s="3">
        <v>-4.5890000000000002E-3</v>
      </c>
      <c r="E32" s="3">
        <v>0</v>
      </c>
      <c r="F32" s="3">
        <v>0</v>
      </c>
      <c r="G32" s="3">
        <v>0</v>
      </c>
      <c r="H32" s="3">
        <v>5.7651095000000002E-4</v>
      </c>
      <c r="I32" s="3">
        <v>4.7669881000000002E-4</v>
      </c>
      <c r="J32" s="3">
        <v>-1.526973E-3</v>
      </c>
      <c r="K32" s="3"/>
      <c r="L32" s="3">
        <f t="shared" si="0"/>
        <v>0.32294617563739375</v>
      </c>
      <c r="M32" s="3"/>
      <c r="N32" s="2">
        <f>IF('Modell einstellen'!$B$1="Voll",H32/0.35,H32/0.35*2)</f>
        <v>3.2943482857142859E-3</v>
      </c>
      <c r="O32" s="2">
        <f>IF('Modell einstellen'!$B$1="Voll",J32/0.35,J32/0.35*2)</f>
        <v>-8.7255600000000003E-3</v>
      </c>
      <c r="P32" s="3">
        <f t="shared" si="1"/>
        <v>0.37755150222040601</v>
      </c>
      <c r="Q32" s="3"/>
      <c r="R32" s="3"/>
      <c r="S32" s="3"/>
      <c r="T32" s="3"/>
      <c r="U32" s="3"/>
    </row>
    <row r="33" spans="1:21" x14ac:dyDescent="0.25">
      <c r="A33" s="2">
        <v>1000000000000000</v>
      </c>
      <c r="B33" s="3">
        <v>1.8569999999999999E-3</v>
      </c>
      <c r="C33" s="3">
        <v>4.006E-3</v>
      </c>
      <c r="D33" s="3">
        <v>-6.0260000000000001E-3</v>
      </c>
      <c r="E33" s="3">
        <v>0</v>
      </c>
      <c r="F33" s="3">
        <v>0</v>
      </c>
      <c r="G33" s="3">
        <v>0</v>
      </c>
      <c r="H33" s="3">
        <v>8.0825131999999998E-4</v>
      </c>
      <c r="I33" s="3">
        <v>6.7314513000000002E-4</v>
      </c>
      <c r="J33" s="3">
        <v>-2.1310242000000001E-3</v>
      </c>
      <c r="K33" s="3"/>
      <c r="L33" s="3">
        <f t="shared" si="0"/>
        <v>0.30816461998008626</v>
      </c>
      <c r="M33" s="3"/>
      <c r="N33" s="2">
        <f>IF('Modell einstellen'!$B$1="Voll",H33/0.35,H33/0.35*2)</f>
        <v>4.6185789714285712E-3</v>
      </c>
      <c r="O33" s="2">
        <f>IF('Modell einstellen'!$B$1="Voll",J33/0.35,J33/0.35*2)</f>
        <v>-1.2177281142857144E-2</v>
      </c>
      <c r="P33" s="3">
        <f t="shared" si="1"/>
        <v>0.3792783394951591</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-2.339E-6</v>
      </c>
      <c r="C3" s="3">
        <v>1.459E-4</v>
      </c>
      <c r="D3" s="3">
        <v>-4.4010000000000002E-4</v>
      </c>
      <c r="E3" s="3">
        <v>0</v>
      </c>
      <c r="F3" s="3">
        <v>0</v>
      </c>
      <c r="G3" s="3">
        <v>0</v>
      </c>
      <c r="H3" s="3">
        <v>3.3630153E-5</v>
      </c>
      <c r="I3" s="3">
        <v>1.3522585000000001E-5</v>
      </c>
      <c r="J3" s="3">
        <v>-9.4282858999999999E-5</v>
      </c>
      <c r="K3" s="2"/>
      <c r="L3" s="3"/>
      <c r="M3" s="3"/>
      <c r="N3" s="2">
        <f>IF('Modell einstellen'!$B$1="Voll",H3/0.35,H3/0.35*2)</f>
        <v>1.9217230285714288E-4</v>
      </c>
      <c r="O3" s="2">
        <f>IF('Modell einstellen'!$B$1="Voll",J3/0.35,J3/0.35*2)</f>
        <v>-5.3875919428571434E-4</v>
      </c>
      <c r="P3" s="3">
        <f>-N3/O3</f>
        <v>0.35669424279974371</v>
      </c>
      <c r="Q3" s="3"/>
      <c r="R3" s="3"/>
      <c r="S3" s="3"/>
      <c r="T3" s="3"/>
      <c r="U3" s="3"/>
    </row>
    <row r="4" spans="1:21" x14ac:dyDescent="0.25">
      <c r="A4" s="3">
        <v>1E-14</v>
      </c>
      <c r="B4" s="3">
        <v>-1.0159999999999999E-5</v>
      </c>
      <c r="C4" s="3">
        <v>1.484E-4</v>
      </c>
      <c r="D4" s="3">
        <v>-4.3829999999999997E-4</v>
      </c>
      <c r="E4" s="3">
        <v>0</v>
      </c>
      <c r="F4" s="3">
        <v>0</v>
      </c>
      <c r="G4" s="3">
        <v>0</v>
      </c>
      <c r="H4" s="3">
        <v>3.5134037999999997E-5</v>
      </c>
      <c r="I4" s="3">
        <v>1.3771753000000001E-5</v>
      </c>
      <c r="J4" s="3">
        <v>-9.6571731999999997E-5</v>
      </c>
      <c r="K4" s="2"/>
      <c r="L4" s="3"/>
      <c r="M4" s="3"/>
      <c r="N4" s="2">
        <f>IF('Modell einstellen'!$B$1="Voll",H4/0.35,H4/0.35*2)</f>
        <v>2.0076593142857142E-4</v>
      </c>
      <c r="O4" s="2">
        <f>IF('Modell einstellen'!$B$1="Voll",J4/0.35,J4/0.35*2)</f>
        <v>-5.5183846857142854E-4</v>
      </c>
      <c r="P4" s="3">
        <f t="shared" ref="P4:P33" si="0">-N4/O4</f>
        <v>0.36381285985426876</v>
      </c>
      <c r="Q4" s="3"/>
      <c r="R4" s="3"/>
      <c r="S4" s="3"/>
      <c r="T4" s="3"/>
      <c r="U4" s="3"/>
    </row>
    <row r="5" spans="1:21" x14ac:dyDescent="0.25">
      <c r="A5" s="3">
        <v>1E-13</v>
      </c>
      <c r="B5" s="3">
        <v>-1.5E-5</v>
      </c>
      <c r="C5" s="3">
        <v>1.5009999999999999E-4</v>
      </c>
      <c r="D5" s="3">
        <v>-4.371E-4</v>
      </c>
      <c r="E5" s="3">
        <v>0</v>
      </c>
      <c r="F5" s="3">
        <v>0</v>
      </c>
      <c r="G5" s="3">
        <v>0</v>
      </c>
      <c r="H5" s="3">
        <v>3.6065746999999998E-5</v>
      </c>
      <c r="I5" s="3">
        <v>1.3932944E-5</v>
      </c>
      <c r="J5" s="3">
        <v>-9.7989539000000001E-5</v>
      </c>
      <c r="K5" s="2"/>
      <c r="L5" s="3"/>
      <c r="M5" s="3"/>
      <c r="N5" s="2">
        <f>IF('Modell einstellen'!$B$1="Voll",H5/0.35,H5/0.35*2)</f>
        <v>2.0608998285714285E-4</v>
      </c>
      <c r="O5" s="2">
        <f>IF('Modell einstellen'!$B$1="Voll",J5/0.35,J5/0.35*2)</f>
        <v>-5.5994022285714288E-4</v>
      </c>
      <c r="P5" s="3">
        <f t="shared" si="0"/>
        <v>0.36805711474976932</v>
      </c>
      <c r="Q5" s="3"/>
      <c r="R5" s="3"/>
      <c r="S5" s="3"/>
      <c r="T5" s="3"/>
      <c r="U5" s="3"/>
    </row>
    <row r="6" spans="1:21" x14ac:dyDescent="0.25">
      <c r="A6" s="3">
        <v>9.9999999999999998E-13</v>
      </c>
      <c r="B6" s="3">
        <v>-2.0149999999999999E-5</v>
      </c>
      <c r="C6" s="3">
        <v>1.517E-4</v>
      </c>
      <c r="D6" s="3">
        <v>-4.3570000000000002E-4</v>
      </c>
      <c r="E6" s="3">
        <v>0</v>
      </c>
      <c r="F6" s="3">
        <v>0</v>
      </c>
      <c r="G6" s="3">
        <v>0</v>
      </c>
      <c r="H6" s="3">
        <v>3.7017956000000003E-5</v>
      </c>
      <c r="I6" s="3">
        <v>1.4092569E-5</v>
      </c>
      <c r="J6" s="3">
        <v>-9.9423657000000004E-5</v>
      </c>
      <c r="K6" s="2"/>
      <c r="L6" s="3"/>
      <c r="M6" s="3"/>
      <c r="N6" s="2">
        <f>IF('Modell einstellen'!$B$1="Voll",H6/0.35,H6/0.35*2)</f>
        <v>2.1153117714285718E-4</v>
      </c>
      <c r="O6" s="2">
        <f>IF('Modell einstellen'!$B$1="Voll",J6/0.35,J6/0.35*2)</f>
        <v>-5.6813518285714294E-4</v>
      </c>
      <c r="P6" s="3">
        <f t="shared" si="0"/>
        <v>0.37232543156202752</v>
      </c>
      <c r="Q6" s="3"/>
      <c r="R6" s="3"/>
      <c r="S6" s="3"/>
      <c r="T6" s="3"/>
      <c r="U6" s="3"/>
    </row>
    <row r="7" spans="1:21" x14ac:dyDescent="0.25">
      <c r="A7" s="3">
        <v>9.9999999999999994E-12</v>
      </c>
      <c r="B7" s="3">
        <v>-2.637E-5</v>
      </c>
      <c r="C7" s="3">
        <v>1.5359999999999999E-4</v>
      </c>
      <c r="D7" s="3">
        <v>-4.3360000000000002E-4</v>
      </c>
      <c r="E7" s="3">
        <v>0</v>
      </c>
      <c r="F7" s="3">
        <v>0</v>
      </c>
      <c r="G7" s="3">
        <v>0</v>
      </c>
      <c r="H7" s="3">
        <v>3.8119620999999997E-5</v>
      </c>
      <c r="I7" s="3">
        <v>1.4269164E-5</v>
      </c>
      <c r="J7" s="3">
        <v>-1.0106082E-4</v>
      </c>
      <c r="K7" s="2"/>
      <c r="L7" s="3"/>
      <c r="M7" s="3"/>
      <c r="N7" s="2">
        <f>IF('Modell einstellen'!$B$1="Voll",H7/0.35,H7/0.35*2)</f>
        <v>2.1782640571428572E-4</v>
      </c>
      <c r="O7" s="2">
        <f>IF('Modell einstellen'!$B$1="Voll",J7/0.35,J7/0.35*2)</f>
        <v>-5.7749040000000008E-4</v>
      </c>
      <c r="P7" s="3">
        <f t="shared" si="0"/>
        <v>0.37719485157551658</v>
      </c>
      <c r="Q7" s="3"/>
      <c r="R7" s="3"/>
      <c r="S7" s="3"/>
      <c r="T7" s="3"/>
      <c r="U7" s="3"/>
    </row>
    <row r="8" spans="1:21" x14ac:dyDescent="0.25">
      <c r="A8" s="3">
        <v>1E-10</v>
      </c>
      <c r="B8" s="3">
        <v>-3.3670000000000001E-5</v>
      </c>
      <c r="C8" s="3">
        <v>1.5559999999999999E-4</v>
      </c>
      <c r="D8" s="3">
        <v>-4.3080000000000001E-4</v>
      </c>
      <c r="E8" s="3">
        <v>0</v>
      </c>
      <c r="F8" s="3">
        <v>0</v>
      </c>
      <c r="G8" s="3">
        <v>0</v>
      </c>
      <c r="H8" s="3">
        <v>3.9360999000000002E-5</v>
      </c>
      <c r="I8" s="3">
        <v>1.4460734999999999E-5</v>
      </c>
      <c r="J8" s="3">
        <v>-1.0288266E-4</v>
      </c>
      <c r="K8" s="2"/>
      <c r="L8" s="3"/>
      <c r="M8" s="3"/>
      <c r="N8" s="2">
        <f>IF('Modell einstellen'!$B$1="Voll",H8/0.35,H8/0.35*2)</f>
        <v>2.249199942857143E-4</v>
      </c>
      <c r="O8" s="2">
        <f>IF('Modell einstellen'!$B$1="Voll",J8/0.35,J8/0.35*2)</f>
        <v>-5.8790091428571434E-4</v>
      </c>
      <c r="P8" s="3">
        <f t="shared" si="0"/>
        <v>0.38258146708104163</v>
      </c>
      <c r="Q8" s="3"/>
      <c r="R8" s="3"/>
      <c r="S8" s="3"/>
      <c r="T8" s="3"/>
      <c r="U8" s="3"/>
    </row>
    <row r="9" spans="1:21" x14ac:dyDescent="0.25">
      <c r="A9" s="3">
        <v>1.0000000000000001E-9</v>
      </c>
      <c r="B9" s="3">
        <v>-4.2719999999999998E-5</v>
      </c>
      <c r="C9" s="3">
        <v>1.5779999999999999E-4</v>
      </c>
      <c r="D9" s="3">
        <v>-4.2680000000000002E-4</v>
      </c>
      <c r="E9" s="3">
        <v>0</v>
      </c>
      <c r="F9" s="3">
        <v>0</v>
      </c>
      <c r="G9" s="3">
        <v>0</v>
      </c>
      <c r="H9" s="3">
        <v>4.0837921000000002E-5</v>
      </c>
      <c r="I9" s="3">
        <v>1.4677939000000001E-5</v>
      </c>
      <c r="J9" s="3">
        <v>-1.0501833E-4</v>
      </c>
      <c r="K9" s="2"/>
      <c r="L9" s="3"/>
      <c r="M9" s="3"/>
      <c r="N9" s="2">
        <f>IF('Modell einstellen'!$B$1="Voll",H9/0.35,H9/0.35*2)</f>
        <v>2.3335954857142858E-4</v>
      </c>
      <c r="O9" s="2">
        <f>IF('Modell einstellen'!$B$1="Voll",J9/0.35,J9/0.35*2)</f>
        <v>-6.0010474285714284E-4</v>
      </c>
      <c r="P9" s="3">
        <f t="shared" si="0"/>
        <v>0.38886469628682918</v>
      </c>
      <c r="Q9" s="3"/>
      <c r="R9" s="3"/>
      <c r="S9" s="3"/>
      <c r="T9" s="3"/>
      <c r="U9" s="3"/>
    </row>
    <row r="10" spans="1:21" x14ac:dyDescent="0.25">
      <c r="A10" s="3">
        <v>1E-8</v>
      </c>
      <c r="B10" s="3">
        <v>-5.3609999999999997E-5</v>
      </c>
      <c r="C10" s="3">
        <v>1.6029999999999999E-4</v>
      </c>
      <c r="D10" s="3">
        <v>-4.214E-4</v>
      </c>
      <c r="E10" s="3">
        <v>0</v>
      </c>
      <c r="F10" s="3">
        <v>0</v>
      </c>
      <c r="G10" s="3">
        <v>0</v>
      </c>
      <c r="H10" s="3">
        <v>4.2538306999999998E-5</v>
      </c>
      <c r="I10" s="3">
        <v>1.4916149999999999E-5</v>
      </c>
      <c r="J10" s="3">
        <v>-1.0743962E-4</v>
      </c>
      <c r="K10" s="2"/>
      <c r="L10" s="3"/>
      <c r="M10" s="3"/>
      <c r="N10" s="2">
        <f>IF('Modell einstellen'!$B$1="Voll",H10/0.35,H10/0.35*2)</f>
        <v>2.4307604E-4</v>
      </c>
      <c r="O10" s="2">
        <f>IF('Modell einstellen'!$B$1="Voll",J10/0.35,J10/0.35*2)</f>
        <v>-6.139406857142858E-4</v>
      </c>
      <c r="P10" s="3">
        <f t="shared" si="0"/>
        <v>0.39592756377954424</v>
      </c>
      <c r="Q10" s="3"/>
      <c r="R10" s="3"/>
      <c r="S10" s="3"/>
      <c r="T10" s="3"/>
      <c r="U10" s="3"/>
    </row>
    <row r="11" spans="1:21" x14ac:dyDescent="0.25">
      <c r="A11" s="3">
        <v>9.9999999999999995E-8</v>
      </c>
      <c r="B11" s="3">
        <v>-6.5840000000000007E-5</v>
      </c>
      <c r="C11" s="3">
        <v>1.638E-4</v>
      </c>
      <c r="D11" s="3">
        <v>-4.1590000000000003E-4</v>
      </c>
      <c r="E11" s="3">
        <v>0</v>
      </c>
      <c r="F11" s="3">
        <v>0</v>
      </c>
      <c r="G11" s="3">
        <v>0</v>
      </c>
      <c r="H11" s="3">
        <v>4.4419258000000002E-5</v>
      </c>
      <c r="I11" s="3">
        <v>1.521228E-5</v>
      </c>
      <c r="J11" s="3">
        <v>-1.1015614E-4</v>
      </c>
      <c r="K11" s="2"/>
      <c r="L11" s="3"/>
      <c r="M11" s="3"/>
      <c r="N11" s="2">
        <f>IF('Modell einstellen'!$B$1="Voll",H11/0.35,H11/0.35*2)</f>
        <v>2.5382433142857148E-4</v>
      </c>
      <c r="O11" s="2">
        <f>IF('Modell einstellen'!$B$1="Voll",J11/0.35,J11/0.35*2)</f>
        <v>-6.2946365714285719E-4</v>
      </c>
      <c r="P11" s="3">
        <f t="shared" si="0"/>
        <v>0.40323905685148376</v>
      </c>
      <c r="Q11" s="3"/>
      <c r="R11" s="3"/>
      <c r="S11" s="3"/>
      <c r="T11" s="3"/>
      <c r="U11" s="3"/>
    </row>
    <row r="12" spans="1:21" x14ac:dyDescent="0.25">
      <c r="A12" s="3">
        <v>9.9999999999999995E-7</v>
      </c>
      <c r="B12" s="3">
        <v>-7.9450000000000007E-5</v>
      </c>
      <c r="C12" s="3">
        <v>1.6579999999999999E-4</v>
      </c>
      <c r="D12" s="3">
        <v>-4.0739999999999998E-4</v>
      </c>
      <c r="E12" s="3">
        <v>0</v>
      </c>
      <c r="F12" s="3">
        <v>0</v>
      </c>
      <c r="G12" s="3">
        <v>0</v>
      </c>
      <c r="H12" s="3">
        <v>4.6329068000000002E-5</v>
      </c>
      <c r="I12" s="3">
        <v>1.5426820000000001E-5</v>
      </c>
      <c r="J12" s="3">
        <v>-1.1274351E-4</v>
      </c>
      <c r="K12" s="2"/>
      <c r="L12" s="3"/>
      <c r="M12" s="3"/>
      <c r="N12" s="2">
        <f>IF('Modell einstellen'!$B$1="Voll",H12/0.35,H12/0.35*2)</f>
        <v>2.6473753142857147E-4</v>
      </c>
      <c r="O12" s="2">
        <f>IF('Modell einstellen'!$B$1="Voll",J12/0.35,J12/0.35*2)</f>
        <v>-6.4424862857142857E-4</v>
      </c>
      <c r="P12" s="3">
        <f t="shared" si="0"/>
        <v>0.41092447804756133</v>
      </c>
      <c r="Q12" s="3"/>
      <c r="R12" s="3"/>
      <c r="S12" s="3"/>
      <c r="T12" s="3"/>
      <c r="U12" s="3"/>
    </row>
    <row r="13" spans="1:21" x14ac:dyDescent="0.25">
      <c r="A13" s="3">
        <v>1.0000000000000001E-5</v>
      </c>
      <c r="B13" s="3">
        <v>-9.6069999999999993E-5</v>
      </c>
      <c r="C13" s="3">
        <v>1.693E-4</v>
      </c>
      <c r="D13" s="3">
        <v>-3.9780000000000002E-4</v>
      </c>
      <c r="E13" s="3">
        <v>0</v>
      </c>
      <c r="F13" s="3">
        <v>0</v>
      </c>
      <c r="G13" s="3">
        <v>0</v>
      </c>
      <c r="H13" s="3">
        <v>4.8647309999999998E-5</v>
      </c>
      <c r="I13" s="3">
        <v>1.5735118E-5</v>
      </c>
      <c r="J13" s="3">
        <v>-1.1594845E-4</v>
      </c>
      <c r="K13" s="2"/>
      <c r="L13" s="3"/>
      <c r="M13" s="3"/>
      <c r="N13" s="2">
        <f>IF('Modell einstellen'!$B$1="Voll",H13/0.35,H13/0.35*2)</f>
        <v>2.7798462857142858E-4</v>
      </c>
      <c r="O13" s="2">
        <f>IF('Modell einstellen'!$B$1="Voll",J13/0.35,J13/0.35*2)</f>
        <v>-6.6256257142857146E-4</v>
      </c>
      <c r="P13" s="3">
        <f t="shared" si="0"/>
        <v>0.41955981300310613</v>
      </c>
      <c r="Q13" s="3"/>
      <c r="R13" s="3"/>
      <c r="S13" s="3"/>
      <c r="T13" s="3"/>
      <c r="U13" s="3"/>
    </row>
    <row r="14" spans="1:21" x14ac:dyDescent="0.25">
      <c r="A14" s="3">
        <v>1E-4</v>
      </c>
      <c r="B14" s="3">
        <v>-1.194E-4</v>
      </c>
      <c r="C14" s="3">
        <v>1.729E-4</v>
      </c>
      <c r="D14" s="3">
        <v>-3.8230000000000002E-4</v>
      </c>
      <c r="E14" s="3">
        <v>0</v>
      </c>
      <c r="F14" s="3">
        <v>0</v>
      </c>
      <c r="G14" s="3">
        <v>0</v>
      </c>
      <c r="H14" s="3">
        <v>5.1709384E-5</v>
      </c>
      <c r="I14" s="3">
        <v>1.6076037000000001E-5</v>
      </c>
      <c r="J14" s="3">
        <v>-1.2002890000000001E-4</v>
      </c>
      <c r="K14" s="2"/>
      <c r="L14" s="3"/>
      <c r="M14" s="3"/>
      <c r="N14" s="2">
        <f>IF('Modell einstellen'!$B$1="Voll",H14/0.35,H14/0.35*2)</f>
        <v>2.9548219428571432E-4</v>
      </c>
      <c r="O14" s="2">
        <f>IF('Modell einstellen'!$B$1="Voll",J14/0.35,J14/0.35*2)</f>
        <v>-6.858794285714287E-4</v>
      </c>
      <c r="P14" s="3">
        <f t="shared" si="0"/>
        <v>0.43080778045953932</v>
      </c>
      <c r="Q14" s="3"/>
      <c r="R14" s="3"/>
      <c r="S14" s="3"/>
      <c r="T14" s="3"/>
      <c r="U14" s="3"/>
    </row>
    <row r="15" spans="1:21" x14ac:dyDescent="0.25">
      <c r="A15" s="3">
        <v>1E-3</v>
      </c>
      <c r="B15" s="3">
        <v>-1.485E-4</v>
      </c>
      <c r="C15" s="3">
        <v>1.7670000000000001E-4</v>
      </c>
      <c r="D15" s="3">
        <v>-3.6160000000000001E-4</v>
      </c>
      <c r="E15" s="3">
        <v>0</v>
      </c>
      <c r="F15" s="3">
        <v>0</v>
      </c>
      <c r="G15" s="3">
        <v>0</v>
      </c>
      <c r="H15" s="3">
        <v>5.5323639E-5</v>
      </c>
      <c r="I15" s="3">
        <v>1.6440010999999999E-5</v>
      </c>
      <c r="J15" s="3">
        <v>-1.2472954E-4</v>
      </c>
      <c r="K15" s="2"/>
      <c r="L15" s="3"/>
      <c r="M15" s="3"/>
      <c r="N15" s="2">
        <f>IF('Modell einstellen'!$B$1="Voll",H15/0.35,H15/0.35*2)</f>
        <v>3.1613508E-4</v>
      </c>
      <c r="O15" s="2">
        <f>IF('Modell einstellen'!$B$1="Voll",J15/0.35,J15/0.35*2)</f>
        <v>-7.1274022857142861E-4</v>
      </c>
      <c r="P15" s="3">
        <f t="shared" si="0"/>
        <v>0.44354880968854687</v>
      </c>
      <c r="Q15" s="3"/>
      <c r="R15" s="3"/>
      <c r="S15" s="3"/>
      <c r="T15" s="3"/>
      <c r="U15" s="3"/>
    </row>
    <row r="16" spans="1:21" x14ac:dyDescent="0.25">
      <c r="A16" s="3">
        <v>0.01</v>
      </c>
      <c r="B16" s="3">
        <v>-1.7809999999999999E-4</v>
      </c>
      <c r="C16" s="3">
        <v>1.8009999999999999E-4</v>
      </c>
      <c r="D16" s="3">
        <v>-3.3940000000000001E-4</v>
      </c>
      <c r="E16" s="3">
        <v>0</v>
      </c>
      <c r="F16" s="3">
        <v>0</v>
      </c>
      <c r="G16" s="3">
        <v>0</v>
      </c>
      <c r="H16" s="3">
        <v>5.8829692999999998E-5</v>
      </c>
      <c r="I16" s="3">
        <v>1.6760305999999999E-5</v>
      </c>
      <c r="J16" s="3">
        <v>-1.2918799000000001E-4</v>
      </c>
      <c r="K16" s="2"/>
      <c r="L16" s="3"/>
      <c r="M16" s="3"/>
      <c r="N16" s="2">
        <f>IF('Modell einstellen'!$B$1="Voll",H16/0.35,H16/0.35*2)</f>
        <v>3.3616967428571427E-4</v>
      </c>
      <c r="O16" s="2">
        <f>IF('Modell einstellen'!$B$1="Voll",J16/0.35,J16/0.35*2)</f>
        <v>-7.3821708571428582E-4</v>
      </c>
      <c r="P16" s="3">
        <f t="shared" si="0"/>
        <v>0.45538051176429006</v>
      </c>
      <c r="Q16" s="3"/>
      <c r="R16" s="3"/>
      <c r="S16" s="3"/>
      <c r="T16" s="3"/>
      <c r="U16" s="3"/>
    </row>
    <row r="17" spans="1:21" x14ac:dyDescent="0.25">
      <c r="A17" s="3">
        <v>0.1</v>
      </c>
      <c r="B17" s="3">
        <v>-2.0790000000000001E-4</v>
      </c>
      <c r="C17" s="3">
        <v>1.8330000000000001E-4</v>
      </c>
      <c r="D17" s="3">
        <v>-3.1629999999999999E-4</v>
      </c>
      <c r="E17" s="3">
        <v>0</v>
      </c>
      <c r="F17" s="3">
        <v>0</v>
      </c>
      <c r="G17" s="3">
        <v>0</v>
      </c>
      <c r="H17" s="3">
        <v>6.2270471E-5</v>
      </c>
      <c r="I17" s="3">
        <v>1.7066645E-5</v>
      </c>
      <c r="J17" s="3">
        <v>-1.3351509E-4</v>
      </c>
      <c r="K17" s="2"/>
      <c r="L17" s="3"/>
      <c r="M17" s="3"/>
      <c r="N17" s="2">
        <f>IF('Modell einstellen'!$B$1="Voll",H17/0.35,H17/0.35*2)</f>
        <v>3.5583126285714287E-4</v>
      </c>
      <c r="O17" s="2">
        <f>IF('Modell einstellen'!$B$1="Voll",J17/0.35,J17/0.35*2)</f>
        <v>-7.6294337142857147E-4</v>
      </c>
      <c r="P17" s="3">
        <f t="shared" si="0"/>
        <v>0.46639275755272308</v>
      </c>
      <c r="Q17" s="3"/>
      <c r="R17" s="3"/>
      <c r="S17" s="3"/>
      <c r="T17" s="3"/>
      <c r="U17" s="3"/>
    </row>
    <row r="18" spans="1:21" x14ac:dyDescent="0.25">
      <c r="A18" s="3">
        <v>1</v>
      </c>
      <c r="B18" s="3">
        <v>-2.385E-4</v>
      </c>
      <c r="C18" s="3">
        <v>1.8770000000000001E-4</v>
      </c>
      <c r="D18" s="3">
        <v>-2.9329999999999997E-4</v>
      </c>
      <c r="E18" s="3">
        <v>0</v>
      </c>
      <c r="F18" s="3">
        <v>0</v>
      </c>
      <c r="G18" s="3">
        <v>0</v>
      </c>
      <c r="H18" s="3">
        <v>6.6252336999999997E-5</v>
      </c>
      <c r="I18" s="3">
        <v>1.758357E-5</v>
      </c>
      <c r="J18" s="3">
        <v>-1.3876339000000001E-4</v>
      </c>
      <c r="K18" s="2"/>
      <c r="L18" s="3"/>
      <c r="M18" s="3"/>
      <c r="N18" s="2">
        <f>IF('Modell einstellen'!$B$1="Voll",H18/0.35,H18/0.35*2)</f>
        <v>3.7858478285714289E-4</v>
      </c>
      <c r="O18" s="2">
        <f>IF('Modell einstellen'!$B$1="Voll",J18/0.35,J18/0.35*2)</f>
        <v>-7.9293365714285728E-4</v>
      </c>
      <c r="P18" s="3">
        <f t="shared" si="0"/>
        <v>0.47744824481442832</v>
      </c>
      <c r="Q18" s="3"/>
      <c r="R18" s="3"/>
      <c r="S18" s="3"/>
      <c r="T18" s="3"/>
      <c r="U18" s="3"/>
    </row>
    <row r="19" spans="1:21" x14ac:dyDescent="0.25">
      <c r="A19" s="3">
        <v>10</v>
      </c>
      <c r="B19" s="3">
        <v>-2.4489999999999999E-4</v>
      </c>
      <c r="C19" s="3">
        <v>2.0120000000000001E-4</v>
      </c>
      <c r="D19" s="3">
        <v>-2.9950000000000002E-4</v>
      </c>
      <c r="E19" s="3">
        <v>0</v>
      </c>
      <c r="F19" s="3">
        <v>0</v>
      </c>
      <c r="G19" s="3">
        <v>0</v>
      </c>
      <c r="H19" s="3">
        <v>7.1722228999999995E-5</v>
      </c>
      <c r="I19" s="3">
        <v>1.9672084E-5</v>
      </c>
      <c r="J19" s="3">
        <v>-1.4830510999999999E-4</v>
      </c>
      <c r="K19" s="2"/>
      <c r="L19" s="3"/>
      <c r="M19" s="3"/>
      <c r="N19" s="2">
        <f>IF('Modell einstellen'!$B$1="Voll",H19/0.35,H19/0.35*2)</f>
        <v>4.0984130857142859E-4</v>
      </c>
      <c r="O19" s="2">
        <f>IF('Modell einstellen'!$B$1="Voll",J19/0.35,J19/0.35*2)</f>
        <v>-8.4745777142857144E-4</v>
      </c>
      <c r="P19" s="3">
        <f t="shared" si="0"/>
        <v>0.48361266176195816</v>
      </c>
      <c r="Q19" s="3"/>
      <c r="R19" s="3"/>
      <c r="S19" s="3"/>
      <c r="T19" s="3"/>
      <c r="U19" s="3"/>
    </row>
    <row r="20" spans="1:21" x14ac:dyDescent="0.25">
      <c r="A20" s="3">
        <v>100</v>
      </c>
      <c r="B20" s="3">
        <v>-1.6860000000000001E-4</v>
      </c>
      <c r="C20" s="3">
        <v>2.4220000000000001E-4</v>
      </c>
      <c r="D20" s="3">
        <v>-4.0319999999999999E-4</v>
      </c>
      <c r="E20" s="3">
        <v>0</v>
      </c>
      <c r="F20" s="3">
        <v>0</v>
      </c>
      <c r="G20" s="3">
        <v>0</v>
      </c>
      <c r="H20" s="3">
        <v>8.1818194000000006E-5</v>
      </c>
      <c r="I20" s="3">
        <v>2.7095451000000001E-5</v>
      </c>
      <c r="J20" s="3">
        <v>-1.7212451E-4</v>
      </c>
      <c r="K20" s="2"/>
      <c r="L20" s="3"/>
      <c r="M20" s="3"/>
      <c r="N20" s="2">
        <f>IF('Modell einstellen'!$B$1="Voll",H20/0.35,H20/0.35*2)</f>
        <v>4.6753253714285721E-4</v>
      </c>
      <c r="O20" s="2">
        <f>IF('Modell einstellen'!$B$1="Voll",J20/0.35,J20/0.35*2)</f>
        <v>-9.8356862857142862E-4</v>
      </c>
      <c r="P20" s="3">
        <f t="shared" si="0"/>
        <v>0.47534307577694779</v>
      </c>
      <c r="Q20" s="3"/>
      <c r="R20" s="3"/>
      <c r="S20" s="3"/>
      <c r="T20" s="3"/>
      <c r="U20" s="3"/>
    </row>
    <row r="21" spans="1:21" x14ac:dyDescent="0.25">
      <c r="A21" s="3">
        <v>1000</v>
      </c>
      <c r="B21" s="3">
        <v>-1.327E-5</v>
      </c>
      <c r="C21" s="3">
        <v>3.19E-4</v>
      </c>
      <c r="D21" s="3">
        <v>-6.1039999999999998E-4</v>
      </c>
      <c r="E21" s="3">
        <v>0</v>
      </c>
      <c r="F21" s="3">
        <v>0</v>
      </c>
      <c r="G21" s="3">
        <v>0</v>
      </c>
      <c r="H21" s="3">
        <v>9.6433594999999997E-5</v>
      </c>
      <c r="I21" s="3">
        <v>4.0630665999999997E-5</v>
      </c>
      <c r="J21" s="3">
        <v>-2.1173382E-4</v>
      </c>
      <c r="K21" s="2"/>
      <c r="L21" s="3"/>
      <c r="M21" s="3"/>
      <c r="N21" s="2">
        <f>IF('Modell einstellen'!$B$1="Voll",H21/0.35,H21/0.35*2)</f>
        <v>5.5104911428571432E-4</v>
      </c>
      <c r="O21" s="2">
        <f>IF('Modell einstellen'!$B$1="Voll",J21/0.35,J21/0.35*2)</f>
        <v>-1.209907542857143E-3</v>
      </c>
      <c r="P21" s="3">
        <f t="shared" si="0"/>
        <v>0.45544729226535463</v>
      </c>
      <c r="Q21" s="3"/>
      <c r="R21" s="3"/>
      <c r="S21" s="3"/>
      <c r="T21" s="3"/>
      <c r="U21" s="3"/>
    </row>
    <row r="22" spans="1:21" x14ac:dyDescent="0.25">
      <c r="A22" s="3">
        <v>10000</v>
      </c>
      <c r="B22" s="3">
        <v>1.6320000000000001E-4</v>
      </c>
      <c r="C22" s="3">
        <v>4.2180000000000001E-4</v>
      </c>
      <c r="D22" s="3">
        <v>-8.6350000000000001E-4</v>
      </c>
      <c r="E22" s="3">
        <v>0</v>
      </c>
      <c r="F22" s="3">
        <v>0</v>
      </c>
      <c r="G22" s="3">
        <v>0</v>
      </c>
      <c r="H22" s="3">
        <v>1.1363693000000001E-4</v>
      </c>
      <c r="I22" s="3">
        <v>5.7565536999999998E-5</v>
      </c>
      <c r="J22" s="3">
        <v>-2.6052300999999999E-4</v>
      </c>
      <c r="K22" s="2"/>
      <c r="L22" s="3"/>
      <c r="M22" s="3"/>
      <c r="N22" s="2">
        <f>IF('Modell einstellen'!$B$1="Voll",H22/0.35,H22/0.35*2)</f>
        <v>6.4935388571428574E-4</v>
      </c>
      <c r="O22" s="2">
        <f>IF('Modell einstellen'!$B$1="Voll",J22/0.35,J22/0.35*2)</f>
        <v>-1.4887029142857144E-3</v>
      </c>
      <c r="P22" s="3">
        <f t="shared" si="0"/>
        <v>0.43618769029269239</v>
      </c>
      <c r="Q22" s="3"/>
      <c r="R22" s="3"/>
      <c r="S22" s="3"/>
      <c r="T22" s="3"/>
      <c r="U22" s="3"/>
    </row>
    <row r="23" spans="1:21" x14ac:dyDescent="0.25">
      <c r="A23" s="3">
        <v>100000</v>
      </c>
      <c r="B23" s="3">
        <v>3.2739999999999999E-4</v>
      </c>
      <c r="C23" s="3">
        <v>5.4160000000000005E-4</v>
      </c>
      <c r="D23" s="3">
        <v>-1.1249999999999999E-3</v>
      </c>
      <c r="E23" s="3">
        <v>0</v>
      </c>
      <c r="F23" s="3">
        <v>0</v>
      </c>
      <c r="G23" s="3">
        <v>0</v>
      </c>
      <c r="H23" s="3">
        <v>1.3208501000000001E-4</v>
      </c>
      <c r="I23" s="3">
        <v>7.6267184999999999E-5</v>
      </c>
      <c r="J23" s="3">
        <v>-3.1426904E-4</v>
      </c>
      <c r="K23" s="2"/>
      <c r="L23" s="3"/>
      <c r="M23" s="3"/>
      <c r="N23" s="2">
        <f>IF('Modell einstellen'!$B$1="Voll",H23/0.35,H23/0.35*2)</f>
        <v>7.5477148571428585E-4</v>
      </c>
      <c r="O23" s="2">
        <f>IF('Modell einstellen'!$B$1="Voll",J23/0.35,J23/0.35*2)</f>
        <v>-1.7958230857142859E-3</v>
      </c>
      <c r="P23" s="3">
        <f t="shared" si="0"/>
        <v>0.42029278480629212</v>
      </c>
      <c r="Q23" s="3"/>
      <c r="R23" s="3"/>
      <c r="S23" s="3"/>
      <c r="T23" s="3"/>
      <c r="U23" s="3"/>
    </row>
    <row r="24" spans="1:21" x14ac:dyDescent="0.25">
      <c r="A24" s="3">
        <v>1000000</v>
      </c>
      <c r="B24" s="3">
        <v>4.6640000000000001E-4</v>
      </c>
      <c r="C24" s="3">
        <v>6.7909999999999997E-4</v>
      </c>
      <c r="D24" s="3">
        <v>-1.384E-3</v>
      </c>
      <c r="E24" s="3">
        <v>0</v>
      </c>
      <c r="F24" s="3">
        <v>0</v>
      </c>
      <c r="G24" s="3">
        <v>0</v>
      </c>
      <c r="H24" s="3">
        <v>1.5297606000000001E-4</v>
      </c>
      <c r="I24" s="3">
        <v>9.7299723999999998E-5</v>
      </c>
      <c r="J24" s="3">
        <v>-3.7530395000000001E-4</v>
      </c>
      <c r="K24" s="2"/>
      <c r="L24" s="3"/>
      <c r="M24" s="3"/>
      <c r="N24" s="2">
        <f>IF('Modell einstellen'!$B$1="Voll",H24/0.35,H24/0.35*2)</f>
        <v>8.7414891428571446E-4</v>
      </c>
      <c r="O24" s="2">
        <f>IF('Modell einstellen'!$B$1="Voll",J24/0.35,J24/0.35*2)</f>
        <v>-2.1445940000000001E-3</v>
      </c>
      <c r="P24" s="3">
        <f t="shared" si="0"/>
        <v>0.4076057819268889</v>
      </c>
      <c r="Q24" s="3"/>
      <c r="R24" s="3"/>
      <c r="S24" s="3"/>
      <c r="T24" s="3"/>
      <c r="U24" s="3"/>
    </row>
    <row r="25" spans="1:21" x14ac:dyDescent="0.25">
      <c r="A25" s="3">
        <v>10000000</v>
      </c>
      <c r="B25" s="3">
        <v>5.8500000000000002E-4</v>
      </c>
      <c r="C25" s="3">
        <v>8.4460000000000004E-4</v>
      </c>
      <c r="D25" s="3">
        <v>-1.6540000000000001E-3</v>
      </c>
      <c r="E25" s="3">
        <v>0</v>
      </c>
      <c r="F25" s="3">
        <v>0</v>
      </c>
      <c r="G25" s="3">
        <v>0</v>
      </c>
      <c r="H25" s="3">
        <v>1.7953859E-4</v>
      </c>
      <c r="I25" s="3">
        <v>1.2295540999999999E-4</v>
      </c>
      <c r="J25" s="3">
        <v>-4.5122348999999999E-4</v>
      </c>
      <c r="K25" s="2"/>
      <c r="L25" s="3"/>
      <c r="M25" s="3"/>
      <c r="N25" s="2">
        <f>IF('Modell einstellen'!$B$1="Voll",H25/0.35,H25/0.35*2)</f>
        <v>1.0259348000000001E-3</v>
      </c>
      <c r="O25" s="2">
        <f>IF('Modell einstellen'!$B$1="Voll",J25/0.35,J25/0.35*2)</f>
        <v>-2.5784199428571428E-3</v>
      </c>
      <c r="P25" s="3">
        <f t="shared" si="0"/>
        <v>0.397892826900479</v>
      </c>
      <c r="Q25" s="3"/>
      <c r="R25" s="3"/>
      <c r="S25" s="3"/>
      <c r="T25" s="3"/>
      <c r="U25" s="3"/>
    </row>
    <row r="26" spans="1:21" x14ac:dyDescent="0.25">
      <c r="A26" s="3">
        <v>100000000</v>
      </c>
      <c r="B26" s="3">
        <v>6.9819999999999995E-4</v>
      </c>
      <c r="C26" s="3">
        <v>1.0690000000000001E-3</v>
      </c>
      <c r="D26" s="3">
        <v>-1.9810000000000001E-3</v>
      </c>
      <c r="E26" s="3">
        <v>0</v>
      </c>
      <c r="F26" s="3">
        <v>0</v>
      </c>
      <c r="G26" s="3">
        <v>0</v>
      </c>
      <c r="H26" s="3">
        <v>2.1964441E-4</v>
      </c>
      <c r="I26" s="3">
        <v>1.5930299E-4</v>
      </c>
      <c r="J26" s="3">
        <v>-5.6153240999999999E-4</v>
      </c>
      <c r="K26" s="2"/>
      <c r="L26" s="3"/>
      <c r="M26" s="3"/>
      <c r="N26" s="2">
        <f>IF('Modell einstellen'!$B$1="Voll",H26/0.35,H26/0.35*2)</f>
        <v>1.2551109142857144E-3</v>
      </c>
      <c r="O26" s="2">
        <f>IF('Modell einstellen'!$B$1="Voll",J26/0.35,J26/0.35*2)</f>
        <v>-3.2087566285714285E-3</v>
      </c>
      <c r="P26" s="3">
        <f t="shared" si="0"/>
        <v>0.39115179478242412</v>
      </c>
      <c r="Q26" s="3"/>
      <c r="R26" s="3"/>
      <c r="S26" s="3"/>
      <c r="T26" s="3"/>
      <c r="U26" s="3"/>
    </row>
    <row r="27" spans="1:21" x14ac:dyDescent="0.25">
      <c r="A27" s="3">
        <v>1000000000</v>
      </c>
      <c r="B27" s="3">
        <v>8.3290000000000002E-4</v>
      </c>
      <c r="C27" s="3">
        <v>1.4220000000000001E-3</v>
      </c>
      <c r="D27" s="3">
        <v>-2.457E-3</v>
      </c>
      <c r="E27" s="3">
        <v>0</v>
      </c>
      <c r="F27" s="3">
        <v>0</v>
      </c>
      <c r="G27" s="3">
        <v>0</v>
      </c>
      <c r="H27" s="3">
        <v>2.8732140999999998E-4</v>
      </c>
      <c r="I27" s="3">
        <v>2.1822770999999999E-4</v>
      </c>
      <c r="J27" s="3">
        <v>-7.4294148000000003E-4</v>
      </c>
      <c r="K27" s="2"/>
      <c r="L27" s="3"/>
      <c r="M27" s="3"/>
      <c r="N27" s="2">
        <f>IF('Modell einstellen'!$B$1="Voll",H27/0.35,H27/0.35*2)</f>
        <v>1.6418366285714287E-3</v>
      </c>
      <c r="O27" s="2">
        <f>IF('Modell einstellen'!$B$1="Voll",J27/0.35,J27/0.35*2)</f>
        <v>-4.2453798857142863E-3</v>
      </c>
      <c r="P27" s="3">
        <f t="shared" si="0"/>
        <v>0.38673491484147576</v>
      </c>
      <c r="Q27" s="3"/>
      <c r="R27" s="3"/>
      <c r="S27" s="3"/>
      <c r="T27" s="3"/>
      <c r="U27" s="3"/>
    </row>
    <row r="28" spans="1:21" x14ac:dyDescent="0.25">
      <c r="A28" s="3">
        <v>10000000000</v>
      </c>
      <c r="B28" s="3">
        <v>1.0120000000000001E-3</v>
      </c>
      <c r="C28" s="3">
        <v>1.9889999999999999E-3</v>
      </c>
      <c r="D28" s="3">
        <v>-3.192E-3</v>
      </c>
      <c r="E28" s="3">
        <v>0</v>
      </c>
      <c r="F28" s="3">
        <v>0</v>
      </c>
      <c r="G28" s="3">
        <v>0</v>
      </c>
      <c r="H28" s="3">
        <v>4.0381200999999999E-4</v>
      </c>
      <c r="I28" s="3">
        <v>3.1715372999999999E-4</v>
      </c>
      <c r="J28" s="3">
        <v>-1.0496266999999999E-3</v>
      </c>
      <c r="K28" s="2"/>
      <c r="L28" s="3"/>
      <c r="M28" s="3"/>
      <c r="N28" s="2">
        <f>IF('Modell einstellen'!$B$1="Voll",H28/0.35,H28/0.35*2)</f>
        <v>2.3074972E-3</v>
      </c>
      <c r="O28" s="2">
        <f>IF('Modell einstellen'!$B$1="Voll",J28/0.35,J28/0.35*2)</f>
        <v>-5.9978668571428568E-3</v>
      </c>
      <c r="P28" s="3">
        <f t="shared" si="0"/>
        <v>0.38471964365997935</v>
      </c>
      <c r="Q28" s="3"/>
      <c r="R28" s="3"/>
      <c r="S28" s="3"/>
      <c r="T28" s="3"/>
      <c r="U28" s="3"/>
    </row>
    <row r="29" spans="1:21" x14ac:dyDescent="0.25">
      <c r="A29" s="3">
        <v>100000000000</v>
      </c>
      <c r="B29" s="3">
        <v>1.273E-3</v>
      </c>
      <c r="C29" s="3">
        <v>2.8440000000000002E-3</v>
      </c>
      <c r="D29" s="3">
        <v>-4.2960000000000003E-3</v>
      </c>
      <c r="E29" s="3">
        <v>0</v>
      </c>
      <c r="F29" s="3">
        <v>0</v>
      </c>
      <c r="G29" s="3">
        <v>0</v>
      </c>
      <c r="H29" s="3">
        <v>5.8575778000000004E-4</v>
      </c>
      <c r="I29" s="3">
        <v>4.7072450000000001E-4</v>
      </c>
      <c r="J29" s="3">
        <v>-1.5249568999999999E-3</v>
      </c>
      <c r="K29" s="2"/>
      <c r="L29" s="3"/>
      <c r="M29" s="3"/>
      <c r="N29" s="2">
        <f>IF('Modell einstellen'!$B$1="Voll",H29/0.35,H29/0.35*2)</f>
        <v>3.3471873142857148E-3</v>
      </c>
      <c r="O29" s="2">
        <f>IF('Modell einstellen'!$B$1="Voll",J29/0.35,J29/0.35*2)</f>
        <v>-8.7140394285714282E-3</v>
      </c>
      <c r="P29" s="3">
        <f t="shared" si="0"/>
        <v>0.38411431824728953</v>
      </c>
      <c r="Q29" s="3"/>
      <c r="R29" s="3"/>
      <c r="S29" s="3"/>
      <c r="T29" s="3"/>
      <c r="U29" s="3"/>
    </row>
    <row r="30" spans="1:21" x14ac:dyDescent="0.25">
      <c r="A30" s="3">
        <v>1000000000000</v>
      </c>
      <c r="B30" s="3">
        <v>1.64E-3</v>
      </c>
      <c r="C30" s="3">
        <v>3.9129999999999998E-3</v>
      </c>
      <c r="D30" s="3">
        <v>-5.7219999999999997E-3</v>
      </c>
      <c r="E30" s="3">
        <v>0</v>
      </c>
      <c r="F30" s="3">
        <v>0</v>
      </c>
      <c r="G30" s="3">
        <v>0</v>
      </c>
      <c r="H30" s="3">
        <v>8.1835497000000001E-4</v>
      </c>
      <c r="I30" s="3">
        <v>6.6734442E-4</v>
      </c>
      <c r="J30" s="3">
        <v>-2.1301134E-3</v>
      </c>
      <c r="K30" s="2"/>
      <c r="L30" s="3"/>
      <c r="M30" s="3"/>
      <c r="N30" s="2">
        <f>IF('Modell einstellen'!$B$1="Voll",H30/0.35,H30/0.35*2)</f>
        <v>4.6763141142857146E-3</v>
      </c>
      <c r="O30" s="2">
        <f>IF('Modell einstellen'!$B$1="Voll",J30/0.35,J30/0.35*2)</f>
        <v>-1.2172076571428572E-2</v>
      </c>
      <c r="P30" s="3">
        <f t="shared" si="0"/>
        <v>0.38418375754079576</v>
      </c>
      <c r="Q30" s="3"/>
      <c r="R30" s="3"/>
      <c r="S30" s="3"/>
      <c r="T30" s="3"/>
      <c r="U30" s="3"/>
    </row>
    <row r="31" spans="1:21" x14ac:dyDescent="0.25">
      <c r="A31" s="3">
        <v>10000000000000</v>
      </c>
      <c r="B31" s="3">
        <v>2.042E-3</v>
      </c>
      <c r="C31" s="3">
        <v>4.8690000000000001E-3</v>
      </c>
      <c r="D31" s="3">
        <v>-7.0740000000000004E-3</v>
      </c>
      <c r="E31" s="3">
        <v>0</v>
      </c>
      <c r="F31" s="3">
        <v>0</v>
      </c>
      <c r="G31" s="3">
        <v>0</v>
      </c>
      <c r="H31" s="3">
        <v>1.0265922000000001E-3</v>
      </c>
      <c r="I31" s="3">
        <v>8.4551804999999998E-4</v>
      </c>
      <c r="J31" s="3">
        <v>-2.6731347E-3</v>
      </c>
      <c r="K31" s="2"/>
      <c r="L31" s="3"/>
      <c r="M31" s="3"/>
      <c r="N31" s="2">
        <f>IF('Modell einstellen'!$B$1="Voll",H31/0.35,H31/0.35*2)</f>
        <v>5.866241142857144E-3</v>
      </c>
      <c r="O31" s="2">
        <f>IF('Modell einstellen'!$B$1="Voll",J31/0.35,J31/0.35*2)</f>
        <v>-1.5275055428571429E-2</v>
      </c>
      <c r="P31" s="3">
        <f t="shared" si="0"/>
        <v>0.38404057977325279</v>
      </c>
      <c r="Q31" s="3"/>
      <c r="R31" s="3"/>
      <c r="S31" s="3"/>
      <c r="T31" s="3"/>
      <c r="U31" s="3"/>
    </row>
    <row r="32" spans="1:21" x14ac:dyDescent="0.25">
      <c r="A32" s="3">
        <v>100000000000000</v>
      </c>
      <c r="B32" s="3">
        <v>2.385E-3</v>
      </c>
      <c r="C32" s="3">
        <v>5.555E-3</v>
      </c>
      <c r="D32" s="3">
        <v>-8.0990000000000003E-3</v>
      </c>
      <c r="E32" s="3">
        <v>0</v>
      </c>
      <c r="F32" s="3">
        <v>0</v>
      </c>
      <c r="G32" s="3">
        <v>0</v>
      </c>
      <c r="H32" s="3">
        <v>1.1741570999999999E-3</v>
      </c>
      <c r="I32" s="3">
        <v>9.7377570999999995E-4</v>
      </c>
      <c r="J32" s="3">
        <v>-3.0600998E-3</v>
      </c>
      <c r="K32" s="2"/>
      <c r="L32" s="3"/>
      <c r="M32" s="3"/>
      <c r="N32" s="2">
        <f>IF('Modell einstellen'!$B$1="Voll",H32/0.35,H32/0.35*2)</f>
        <v>6.7094691428571428E-3</v>
      </c>
      <c r="O32" s="2">
        <f>IF('Modell einstellen'!$B$1="Voll",J32/0.35,J32/0.35*2)</f>
        <v>-1.7486284571428572E-2</v>
      </c>
      <c r="P32" s="3">
        <f t="shared" si="0"/>
        <v>0.38369895648501395</v>
      </c>
      <c r="Q32" s="3"/>
      <c r="R32" s="3"/>
      <c r="S32" s="3"/>
      <c r="T32" s="3"/>
      <c r="U32" s="3"/>
    </row>
    <row r="33" spans="1:21" x14ac:dyDescent="0.25">
      <c r="A33" s="2">
        <v>1000000000000000</v>
      </c>
      <c r="B33" s="3">
        <v>2.6289999999999998E-3</v>
      </c>
      <c r="C33" s="3">
        <v>5.9829999999999996E-3</v>
      </c>
      <c r="D33" s="3">
        <v>-8.7679999999999998E-3</v>
      </c>
      <c r="E33" s="3">
        <v>0</v>
      </c>
      <c r="F33" s="3">
        <v>0</v>
      </c>
      <c r="G33" s="3">
        <v>0</v>
      </c>
      <c r="H33" s="3">
        <v>1.2640703000000001E-3</v>
      </c>
      <c r="I33" s="3">
        <v>1.0533038000000001E-3</v>
      </c>
      <c r="J33" s="3">
        <v>-3.297814E-3</v>
      </c>
      <c r="K33" s="2"/>
      <c r="L33" s="3"/>
      <c r="M33" s="3"/>
      <c r="N33" s="2">
        <f>IF('Modell einstellen'!$B$1="Voll",H33/0.35,H33/0.35*2)</f>
        <v>7.2232588571428582E-3</v>
      </c>
      <c r="O33" s="2">
        <f>IF('Modell einstellen'!$B$1="Voll",J33/0.35,J33/0.35*2)</f>
        <v>-1.8844651428571429E-2</v>
      </c>
      <c r="P33" s="3">
        <f t="shared" si="0"/>
        <v>0.38330551692727372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-4.5890000000000003E-5</v>
      </c>
      <c r="C3" s="3">
        <v>1.639E-4</v>
      </c>
      <c r="D3" s="3">
        <v>-4.3120000000000002E-4</v>
      </c>
      <c r="E3" s="3">
        <v>0</v>
      </c>
      <c r="F3" s="3">
        <v>0</v>
      </c>
      <c r="G3" s="3">
        <v>0</v>
      </c>
      <c r="H3" s="3">
        <v>4.2833917000000003E-5</v>
      </c>
      <c r="I3" s="3">
        <v>1.5370814E-5</v>
      </c>
      <c r="J3" s="3">
        <v>-1.0863953E-4</v>
      </c>
      <c r="L3" s="3">
        <f>-B3/D3</f>
        <v>-0.10642393320964749</v>
      </c>
      <c r="M3" s="3"/>
      <c r="N3" s="2">
        <f>IF('Modell einstellen'!$B$1="Voll",H3/0.35,H3/0.35*2)</f>
        <v>2.4476524000000005E-4</v>
      </c>
      <c r="O3" s="2">
        <f>IF('Modell einstellen'!$B$1="Voll",J3/0.35,J3/0.35*2)</f>
        <v>-6.2079731428571429E-4</v>
      </c>
      <c r="P3" s="3">
        <f>-N3/O3</f>
        <v>0.39427561036024372</v>
      </c>
    </row>
    <row r="4" spans="1:16" x14ac:dyDescent="0.25">
      <c r="A4" s="3">
        <v>1E-14</v>
      </c>
      <c r="B4" s="3">
        <v>-6.1500000000000004E-5</v>
      </c>
      <c r="C4" s="3">
        <v>1.6660000000000001E-4</v>
      </c>
      <c r="D4" s="3">
        <v>-4.2230000000000002E-4</v>
      </c>
      <c r="E4" s="3">
        <v>0</v>
      </c>
      <c r="F4" s="3">
        <v>0</v>
      </c>
      <c r="G4" s="3">
        <v>0</v>
      </c>
      <c r="H4" s="3">
        <v>4.5168784000000003E-5</v>
      </c>
      <c r="I4" s="3">
        <v>1.5662824000000001E-5</v>
      </c>
      <c r="J4" s="3">
        <v>-1.1187507E-4</v>
      </c>
      <c r="L4" s="3">
        <f t="shared" ref="L4:L33" si="0">-B4/D4</f>
        <v>-0.14563106796116504</v>
      </c>
      <c r="M4" s="3"/>
      <c r="N4" s="2">
        <f>IF('Modell einstellen'!$B$1="Voll",H4/0.35,H4/0.35*2)</f>
        <v>2.5810733714285718E-4</v>
      </c>
      <c r="O4" s="2">
        <f>IF('Modell einstellen'!$B$1="Voll",J4/0.35,J4/0.35*2)</f>
        <v>-6.3928611428571433E-4</v>
      </c>
      <c r="P4" s="3">
        <f t="shared" ref="P4:P33" si="1">-N4/O4</f>
        <v>0.4037430680490301</v>
      </c>
    </row>
    <row r="5" spans="1:16" x14ac:dyDescent="0.25">
      <c r="A5" s="3">
        <v>1E-13</v>
      </c>
      <c r="B5" s="3">
        <v>-7.5149999999999997E-5</v>
      </c>
      <c r="C5" s="3">
        <v>1.6980000000000001E-4</v>
      </c>
      <c r="D5" s="3">
        <v>-4.1520000000000001E-4</v>
      </c>
      <c r="E5" s="3">
        <v>0</v>
      </c>
      <c r="F5" s="3">
        <v>0</v>
      </c>
      <c r="G5" s="3">
        <v>0</v>
      </c>
      <c r="H5" s="3">
        <v>4.7234387000000001E-5</v>
      </c>
      <c r="I5" s="3">
        <v>1.5959162000000001E-5</v>
      </c>
      <c r="J5" s="3">
        <v>-1.1477971E-4</v>
      </c>
      <c r="L5" s="3">
        <f t="shared" si="0"/>
        <v>-0.18099710982658959</v>
      </c>
      <c r="M5" s="3"/>
      <c r="N5" s="2">
        <f>IF('Modell einstellen'!$B$1="Voll",H5/0.35,H5/0.35*2)</f>
        <v>2.6991078285714288E-4</v>
      </c>
      <c r="O5" s="2">
        <f>IF('Modell einstellen'!$B$1="Voll",J5/0.35,J5/0.35*2)</f>
        <v>-6.558840571428572E-4</v>
      </c>
      <c r="P5" s="3">
        <f t="shared" si="1"/>
        <v>0.41152209741599799</v>
      </c>
    </row>
    <row r="6" spans="1:16" x14ac:dyDescent="0.25">
      <c r="A6" s="3">
        <v>9.9999999999999998E-13</v>
      </c>
      <c r="B6" s="3">
        <v>-9.3309999999999999E-5</v>
      </c>
      <c r="C6" s="3">
        <v>1.7220000000000001E-4</v>
      </c>
      <c r="D6" s="3">
        <v>-4.0309999999999999E-4</v>
      </c>
      <c r="E6" s="3">
        <v>0</v>
      </c>
      <c r="F6" s="3">
        <v>0</v>
      </c>
      <c r="G6" s="3">
        <v>0</v>
      </c>
      <c r="H6" s="3">
        <v>4.9705391000000002E-5</v>
      </c>
      <c r="I6" s="3">
        <v>1.6226525E-5</v>
      </c>
      <c r="J6" s="3">
        <v>-1.1807765999999999E-4</v>
      </c>
      <c r="L6" s="3">
        <f t="shared" si="0"/>
        <v>-0.23148102207888863</v>
      </c>
      <c r="M6" s="3"/>
      <c r="N6" s="2">
        <f>IF('Modell einstellen'!$B$1="Voll",H6/0.35,H6/0.35*2)</f>
        <v>2.8403080571428577E-4</v>
      </c>
      <c r="O6" s="2">
        <f>IF('Modell einstellen'!$B$1="Voll",J6/0.35,J6/0.35*2)</f>
        <v>-6.7472948571428574E-4</v>
      </c>
      <c r="P6" s="3">
        <f t="shared" si="1"/>
        <v>0.42095508159629863</v>
      </c>
    </row>
    <row r="7" spans="1:16" x14ac:dyDescent="0.25">
      <c r="A7" s="3">
        <v>9.9999999999999994E-12</v>
      </c>
      <c r="B7" s="3">
        <v>-1.178E-4</v>
      </c>
      <c r="C7" s="3">
        <v>1.7660000000000001E-4</v>
      </c>
      <c r="D7" s="3">
        <v>-3.8749999999999999E-4</v>
      </c>
      <c r="E7" s="3">
        <v>0</v>
      </c>
      <c r="F7" s="3">
        <v>0</v>
      </c>
      <c r="G7" s="3">
        <v>0</v>
      </c>
      <c r="H7" s="3">
        <v>5.2997103000000003E-5</v>
      </c>
      <c r="I7" s="3">
        <v>1.6627928E-5</v>
      </c>
      <c r="J7" s="3">
        <v>-1.2251450999999999E-4</v>
      </c>
      <c r="L7" s="3">
        <f t="shared" si="0"/>
        <v>-0.30400000000000005</v>
      </c>
      <c r="M7" s="3"/>
      <c r="N7" s="2">
        <f>IF('Modell einstellen'!$B$1="Voll",H7/0.35,H7/0.35*2)</f>
        <v>3.0284058857142859E-4</v>
      </c>
      <c r="O7" s="2">
        <f>IF('Modell einstellen'!$B$1="Voll",J7/0.35,J7/0.35*2)</f>
        <v>-7.0008291428571429E-4</v>
      </c>
      <c r="P7" s="3">
        <f t="shared" si="1"/>
        <v>0.4325781738016175</v>
      </c>
    </row>
    <row r="8" spans="1:16" x14ac:dyDescent="0.25">
      <c r="A8" s="3">
        <v>1E-10</v>
      </c>
      <c r="B8" s="3">
        <v>-1.47E-4</v>
      </c>
      <c r="C8" s="3">
        <v>1.8029999999999999E-4</v>
      </c>
      <c r="D8" s="3">
        <v>-3.6650000000000002E-4</v>
      </c>
      <c r="E8" s="3">
        <v>0</v>
      </c>
      <c r="F8" s="3">
        <v>0</v>
      </c>
      <c r="G8" s="3">
        <v>0</v>
      </c>
      <c r="H8" s="3">
        <v>5.6640937999999999E-5</v>
      </c>
      <c r="I8" s="3">
        <v>1.6998509000000001E-5</v>
      </c>
      <c r="J8" s="3">
        <v>-1.2724690999999999E-4</v>
      </c>
      <c r="L8" s="3">
        <f t="shared" si="0"/>
        <v>-0.40109140518417458</v>
      </c>
      <c r="M8" s="3"/>
      <c r="N8" s="2">
        <f>IF('Modell einstellen'!$B$1="Voll",H8/0.35,H8/0.35*2)</f>
        <v>3.2366250285714287E-4</v>
      </c>
      <c r="O8" s="2">
        <f>IF('Modell einstellen'!$B$1="Voll",J8/0.35,J8/0.35*2)</f>
        <v>-7.2712519999999998E-4</v>
      </c>
      <c r="P8" s="3">
        <f t="shared" si="1"/>
        <v>0.44512623528539907</v>
      </c>
    </row>
    <row r="9" spans="1:16" x14ac:dyDescent="0.25">
      <c r="A9" s="3">
        <v>1.0000000000000001E-9</v>
      </c>
      <c r="B9" s="3">
        <v>-1.7579999999999999E-4</v>
      </c>
      <c r="C9" s="3">
        <v>1.8349999999999999E-4</v>
      </c>
      <c r="D9" s="3">
        <v>-3.4469999999999998E-4</v>
      </c>
      <c r="E9" s="3">
        <v>0</v>
      </c>
      <c r="F9" s="3">
        <v>0</v>
      </c>
      <c r="G9" s="3">
        <v>0</v>
      </c>
      <c r="H9" s="3">
        <v>6.0062192E-5</v>
      </c>
      <c r="I9" s="3">
        <v>1.7313502000000002E-5</v>
      </c>
      <c r="J9" s="3">
        <v>-1.3159213000000001E-4</v>
      </c>
      <c r="L9" s="3">
        <f t="shared" si="0"/>
        <v>-0.51000870322019143</v>
      </c>
      <c r="M9" s="3"/>
      <c r="N9" s="2">
        <f>IF('Modell einstellen'!$B$1="Voll",H9/0.35,H9/0.35*2)</f>
        <v>3.4321252571428576E-4</v>
      </c>
      <c r="O9" s="2">
        <f>IF('Modell einstellen'!$B$1="Voll",J9/0.35,J9/0.35*2)</f>
        <v>-7.5195502857142865E-4</v>
      </c>
      <c r="P9" s="3">
        <f t="shared" si="1"/>
        <v>0.45642693069866719</v>
      </c>
    </row>
    <row r="10" spans="1:16" x14ac:dyDescent="0.25">
      <c r="A10" s="3">
        <v>1E-8</v>
      </c>
      <c r="B10" s="3">
        <v>-2.0709999999999999E-4</v>
      </c>
      <c r="C10" s="3">
        <v>1.8579999999999999E-4</v>
      </c>
      <c r="D10" s="3">
        <v>-3.1930000000000001E-4</v>
      </c>
      <c r="E10" s="3">
        <v>0</v>
      </c>
      <c r="F10" s="3">
        <v>0</v>
      </c>
      <c r="G10" s="3">
        <v>0</v>
      </c>
      <c r="H10" s="3">
        <v>6.3606271999999998E-5</v>
      </c>
      <c r="I10" s="3">
        <v>1.7575066000000001E-5</v>
      </c>
      <c r="J10" s="3">
        <v>-1.3594333999999999E-4</v>
      </c>
      <c r="L10" s="3">
        <f t="shared" si="0"/>
        <v>-0.64860632633886628</v>
      </c>
      <c r="M10" s="3"/>
      <c r="N10" s="2">
        <f>IF('Modell einstellen'!$B$1="Voll",H10/0.35,H10/0.35*2)</f>
        <v>3.6346441142857142E-4</v>
      </c>
      <c r="O10" s="2">
        <f>IF('Modell einstellen'!$B$1="Voll",J10/0.35,J10/0.35*2)</f>
        <v>-7.768190857142857E-4</v>
      </c>
      <c r="P10" s="3">
        <f t="shared" si="1"/>
        <v>0.46788810691277705</v>
      </c>
    </row>
    <row r="11" spans="1:16" x14ac:dyDescent="0.25">
      <c r="A11" s="3">
        <v>9.9999999999999995E-8</v>
      </c>
      <c r="B11" s="3">
        <v>-2.4159999999999999E-4</v>
      </c>
      <c r="C11" s="3">
        <v>1.895E-4</v>
      </c>
      <c r="D11" s="3">
        <v>-2.921E-4</v>
      </c>
      <c r="E11" s="3">
        <v>0</v>
      </c>
      <c r="F11" s="3">
        <v>0</v>
      </c>
      <c r="G11" s="3">
        <v>0</v>
      </c>
      <c r="H11" s="3">
        <v>6.7450925999999999E-5</v>
      </c>
      <c r="I11" s="3">
        <v>1.7908910000000001E-5</v>
      </c>
      <c r="J11" s="3">
        <v>-1.4072550999999999E-4</v>
      </c>
      <c r="L11" s="3">
        <f t="shared" si="0"/>
        <v>-0.82711400205409102</v>
      </c>
      <c r="M11" s="3"/>
      <c r="N11" s="2">
        <f>IF('Modell einstellen'!$B$1="Voll",H11/0.35,H11/0.35*2)</f>
        <v>3.8543386285714285E-4</v>
      </c>
      <c r="O11" s="2">
        <f>IF('Modell einstellen'!$B$1="Voll",J11/0.35,J11/0.35*2)</f>
        <v>-8.0414577142857145E-4</v>
      </c>
      <c r="P11" s="3">
        <f t="shared" si="1"/>
        <v>0.47930844947728379</v>
      </c>
    </row>
    <row r="12" spans="1:16" x14ac:dyDescent="0.25">
      <c r="A12" s="3">
        <v>9.9999999999999995E-7</v>
      </c>
      <c r="B12" s="3">
        <v>-2.811E-4</v>
      </c>
      <c r="C12" s="3">
        <v>1.916E-4</v>
      </c>
      <c r="D12" s="3">
        <v>-2.5839999999999999E-4</v>
      </c>
      <c r="E12" s="3">
        <v>0</v>
      </c>
      <c r="F12" s="3">
        <v>0</v>
      </c>
      <c r="G12" s="3">
        <v>0</v>
      </c>
      <c r="H12" s="3">
        <v>7.1618204000000002E-5</v>
      </c>
      <c r="I12" s="3">
        <v>1.8163082E-5</v>
      </c>
      <c r="J12" s="3">
        <v>-1.45675E-4</v>
      </c>
      <c r="L12" s="3">
        <f t="shared" si="0"/>
        <v>-1.0878482972136223</v>
      </c>
      <c r="M12" s="3"/>
      <c r="N12" s="2">
        <f>IF('Modell einstellen'!$B$1="Voll",H12/0.35,H12/0.35*2)</f>
        <v>4.0924688000000005E-4</v>
      </c>
      <c r="O12" s="2">
        <f>IF('Modell einstellen'!$B$1="Voll",J12/0.35,J12/0.35*2)</f>
        <v>-8.3242857142857153E-4</v>
      </c>
      <c r="P12" s="3">
        <f t="shared" si="1"/>
        <v>0.49163002574223441</v>
      </c>
    </row>
    <row r="13" spans="1:16" x14ac:dyDescent="0.25">
      <c r="A13" s="3">
        <v>1.0000000000000001E-5</v>
      </c>
      <c r="B13" s="3">
        <v>-3.2650000000000002E-4</v>
      </c>
      <c r="C13" s="3">
        <v>1.9540000000000001E-4</v>
      </c>
      <c r="D13" s="3">
        <v>-2.2029999999999999E-4</v>
      </c>
      <c r="E13" s="3">
        <v>0</v>
      </c>
      <c r="F13" s="3">
        <v>0</v>
      </c>
      <c r="G13" s="3">
        <v>0</v>
      </c>
      <c r="H13" s="3">
        <v>7.6346906999999998E-5</v>
      </c>
      <c r="I13" s="3">
        <v>1.8500663999999999E-5</v>
      </c>
      <c r="J13" s="3">
        <v>-1.5135018000000001E-4</v>
      </c>
      <c r="L13" s="3">
        <f t="shared" si="0"/>
        <v>-1.4820699046754429</v>
      </c>
      <c r="M13" s="3"/>
      <c r="N13" s="2">
        <f>IF('Modell einstellen'!$B$1="Voll",H13/0.35,H13/0.35*2)</f>
        <v>4.3626804000000002E-4</v>
      </c>
      <c r="O13" s="2">
        <f>IF('Modell einstellen'!$B$1="Voll",J13/0.35,J13/0.35*2)</f>
        <v>-8.6485817142857157E-4</v>
      </c>
      <c r="P13" s="3">
        <f t="shared" si="1"/>
        <v>0.50443882524619388</v>
      </c>
    </row>
    <row r="14" spans="1:16" x14ac:dyDescent="0.25">
      <c r="A14" s="3">
        <v>1E-4</v>
      </c>
      <c r="B14" s="3">
        <v>-3.859E-4</v>
      </c>
      <c r="C14" s="3">
        <v>1.9870000000000001E-4</v>
      </c>
      <c r="D14" s="3">
        <v>-1.684E-4</v>
      </c>
      <c r="E14" s="3">
        <v>0</v>
      </c>
      <c r="F14" s="3">
        <v>0</v>
      </c>
      <c r="G14" s="3">
        <v>0</v>
      </c>
      <c r="H14" s="3">
        <v>8.2269932999999993E-5</v>
      </c>
      <c r="I14" s="3">
        <v>1.8837128999999999E-5</v>
      </c>
      <c r="J14" s="3">
        <v>-1.5825284999999999E-4</v>
      </c>
      <c r="L14" s="3">
        <f t="shared" si="0"/>
        <v>-2.2915676959619953</v>
      </c>
      <c r="M14" s="3"/>
      <c r="N14" s="2">
        <f>IF('Modell einstellen'!$B$1="Voll",H14/0.35,H14/0.35*2)</f>
        <v>4.7011390285714287E-4</v>
      </c>
      <c r="O14" s="2">
        <f>IF('Modell einstellen'!$B$1="Voll",J14/0.35,J14/0.35*2)</f>
        <v>-9.0430200000000006E-4</v>
      </c>
      <c r="P14" s="3">
        <f t="shared" si="1"/>
        <v>0.51986383183620388</v>
      </c>
    </row>
    <row r="15" spans="1:16" x14ac:dyDescent="0.25">
      <c r="A15" s="3">
        <v>1E-3</v>
      </c>
      <c r="B15" s="3">
        <v>-4.6470000000000002E-4</v>
      </c>
      <c r="C15" s="3">
        <v>2.0239999999999999E-4</v>
      </c>
      <c r="D15" s="3">
        <v>-9.7800000000000006E-5</v>
      </c>
      <c r="E15" s="3">
        <v>0</v>
      </c>
      <c r="F15" s="3">
        <v>0</v>
      </c>
      <c r="G15" s="3">
        <v>0</v>
      </c>
      <c r="H15" s="3">
        <v>8.9873304000000003E-5</v>
      </c>
      <c r="I15" s="3">
        <v>1.9213389000000001E-5</v>
      </c>
      <c r="J15" s="3">
        <v>-1.6694729999999999E-4</v>
      </c>
      <c r="L15" s="3">
        <f t="shared" si="0"/>
        <v>-4.7515337423312882</v>
      </c>
      <c r="M15" s="3"/>
      <c r="N15" s="2">
        <f>IF('Modell einstellen'!$B$1="Voll",H15/0.35,H15/0.35*2)</f>
        <v>5.1356173714285722E-4</v>
      </c>
      <c r="O15" s="2">
        <f>IF('Modell einstellen'!$B$1="Voll",J15/0.35,J15/0.35*2)</f>
        <v>-9.539845714285714E-4</v>
      </c>
      <c r="P15" s="3">
        <f t="shared" si="1"/>
        <v>0.53833337825768979</v>
      </c>
    </row>
    <row r="16" spans="1:16" x14ac:dyDescent="0.25">
      <c r="A16" s="3">
        <v>0.01</v>
      </c>
      <c r="B16" s="3">
        <v>-5.7189999999999997E-4</v>
      </c>
      <c r="C16" s="3">
        <v>2.0660000000000001E-4</v>
      </c>
      <c r="D16" s="3">
        <v>1.5909999999999999E-7</v>
      </c>
      <c r="E16" s="3">
        <v>0</v>
      </c>
      <c r="F16" s="3">
        <v>0</v>
      </c>
      <c r="G16" s="3">
        <v>0</v>
      </c>
      <c r="H16" s="3">
        <v>9.9910210999999994E-5</v>
      </c>
      <c r="I16" s="3">
        <v>1.9659774E-5</v>
      </c>
      <c r="J16" s="3">
        <v>-1.7824557E-4</v>
      </c>
      <c r="L16" s="3">
        <f t="shared" si="0"/>
        <v>3594.5945945945946</v>
      </c>
      <c r="M16" s="3"/>
      <c r="N16" s="2">
        <f>IF('Modell einstellen'!$B$1="Voll",H16/0.35,H16/0.35*2)</f>
        <v>5.7091549142857141E-4</v>
      </c>
      <c r="O16" s="2">
        <f>IF('Modell einstellen'!$B$1="Voll",J16/0.35,J16/0.35*2)</f>
        <v>-1.0185461142857143E-3</v>
      </c>
      <c r="P16" s="3">
        <f t="shared" si="1"/>
        <v>0.56052002302217097</v>
      </c>
    </row>
    <row r="17" spans="1:16" x14ac:dyDescent="0.25">
      <c r="A17" s="3">
        <v>0.1</v>
      </c>
      <c r="B17" s="3">
        <v>-7.205E-4</v>
      </c>
      <c r="C17" s="3">
        <v>2.128E-4</v>
      </c>
      <c r="D17" s="3">
        <v>1.3740000000000001E-4</v>
      </c>
      <c r="E17" s="3">
        <v>0</v>
      </c>
      <c r="F17" s="3">
        <v>0</v>
      </c>
      <c r="G17" s="3">
        <v>0</v>
      </c>
      <c r="H17" s="3">
        <v>1.1401495E-4</v>
      </c>
      <c r="I17" s="3">
        <v>2.0457041E-5</v>
      </c>
      <c r="J17" s="3">
        <v>-1.9430339000000001E-4</v>
      </c>
      <c r="L17" s="3">
        <f t="shared" si="0"/>
        <v>5.2438136826783115</v>
      </c>
      <c r="M17" s="3"/>
      <c r="N17" s="2">
        <f>IF('Modell einstellen'!$B$1="Voll",H17/0.35,H17/0.35*2)</f>
        <v>6.5151400000000006E-4</v>
      </c>
      <c r="O17" s="2">
        <f>IF('Modell einstellen'!$B$1="Voll",J17/0.35,J17/0.35*2)</f>
        <v>-1.1103050857142859E-3</v>
      </c>
      <c r="P17" s="3">
        <f t="shared" si="1"/>
        <v>0.58678826962308783</v>
      </c>
    </row>
    <row r="18" spans="1:16" x14ac:dyDescent="0.25">
      <c r="A18" s="3">
        <v>1</v>
      </c>
      <c r="B18" s="3">
        <v>-9.0959999999999999E-4</v>
      </c>
      <c r="C18" s="3">
        <v>2.296E-4</v>
      </c>
      <c r="D18" s="3">
        <v>3.0709999999999998E-4</v>
      </c>
      <c r="E18" s="3">
        <v>0</v>
      </c>
      <c r="F18" s="3">
        <v>0</v>
      </c>
      <c r="G18" s="3">
        <v>0</v>
      </c>
      <c r="H18" s="3">
        <v>1.3686218E-4</v>
      </c>
      <c r="I18" s="3">
        <v>2.3754163999999999E-5</v>
      </c>
      <c r="J18" s="3">
        <v>-2.2378911E-4</v>
      </c>
      <c r="L18" s="3">
        <f t="shared" si="0"/>
        <v>2.9619016606968414</v>
      </c>
      <c r="M18" s="3"/>
      <c r="N18" s="2">
        <f>IF('Modell einstellen'!$B$1="Voll",H18/0.35,H18/0.35*2)</f>
        <v>7.8206960000000002E-4</v>
      </c>
      <c r="O18" s="2">
        <f>IF('Modell einstellen'!$B$1="Voll",J18/0.35,J18/0.35*2)</f>
        <v>-1.2787949142857144E-3</v>
      </c>
      <c r="P18" s="3">
        <f t="shared" si="1"/>
        <v>0.61156764956078513</v>
      </c>
    </row>
    <row r="19" spans="1:16" x14ac:dyDescent="0.25">
      <c r="A19" s="3">
        <v>10</v>
      </c>
      <c r="B19" s="3">
        <v>-1.093E-3</v>
      </c>
      <c r="C19" s="3">
        <v>2.809E-4</v>
      </c>
      <c r="D19" s="3">
        <v>4.4700000000000002E-4</v>
      </c>
      <c r="E19" s="3">
        <v>0</v>
      </c>
      <c r="F19" s="3">
        <v>0</v>
      </c>
      <c r="G19" s="3">
        <v>0</v>
      </c>
      <c r="H19" s="3">
        <v>1.7965989999999999E-4</v>
      </c>
      <c r="I19" s="3">
        <v>3.7091405000000002E-5</v>
      </c>
      <c r="J19" s="3">
        <v>-2.9208697000000002E-4</v>
      </c>
      <c r="L19" s="3">
        <f t="shared" si="0"/>
        <v>2.4451901565995526</v>
      </c>
      <c r="M19" s="3"/>
      <c r="N19" s="2">
        <f>IF('Modell einstellen'!$B$1="Voll",H19/0.35,H19/0.35*2)</f>
        <v>1.0266279999999999E-3</v>
      </c>
      <c r="O19" s="2">
        <f>IF('Modell einstellen'!$B$1="Voll",J19/0.35,J19/0.35*2)</f>
        <v>-1.6690684000000003E-3</v>
      </c>
      <c r="P19" s="3">
        <f t="shared" si="1"/>
        <v>0.61509043008662778</v>
      </c>
    </row>
    <row r="20" spans="1:16" x14ac:dyDescent="0.25">
      <c r="A20" s="3">
        <v>100</v>
      </c>
      <c r="B20" s="3">
        <v>-1.292E-3</v>
      </c>
      <c r="C20" s="3">
        <v>4.0690000000000002E-4</v>
      </c>
      <c r="D20" s="3">
        <v>5.3859999999999997E-4</v>
      </c>
      <c r="E20" s="3">
        <v>0</v>
      </c>
      <c r="F20" s="3">
        <v>0</v>
      </c>
      <c r="G20" s="3">
        <v>0</v>
      </c>
      <c r="H20" s="3">
        <v>2.5707049000000002E-4</v>
      </c>
      <c r="I20" s="3">
        <v>7.0043755999999995E-5</v>
      </c>
      <c r="J20" s="3">
        <v>-4.3235437000000001E-4</v>
      </c>
      <c r="L20" s="3">
        <f t="shared" si="0"/>
        <v>2.3988117341255109</v>
      </c>
      <c r="M20" s="3"/>
      <c r="N20" s="2">
        <f>IF('Modell einstellen'!$B$1="Voll",H20/0.35,H20/0.35*2)</f>
        <v>1.4689742285714288E-3</v>
      </c>
      <c r="O20" s="2">
        <f>IF('Modell einstellen'!$B$1="Voll",J20/0.35,J20/0.35*2)</f>
        <v>-2.4705964000000004E-3</v>
      </c>
      <c r="P20" s="3">
        <f t="shared" si="1"/>
        <v>0.59458284184799615</v>
      </c>
    </row>
    <row r="21" spans="1:16" x14ac:dyDescent="0.25">
      <c r="A21" s="3">
        <v>1000</v>
      </c>
      <c r="B21" s="3">
        <v>-1.5269999999999999E-3</v>
      </c>
      <c r="C21" s="3">
        <v>6.8670000000000005E-4</v>
      </c>
      <c r="D21" s="3">
        <v>5.2159999999999999E-4</v>
      </c>
      <c r="E21" s="3">
        <v>0</v>
      </c>
      <c r="F21" s="3">
        <v>0</v>
      </c>
      <c r="G21" s="3">
        <v>0</v>
      </c>
      <c r="H21" s="3">
        <v>3.8844321000000001E-4</v>
      </c>
      <c r="I21" s="3">
        <v>1.3825803000000001E-4</v>
      </c>
      <c r="J21" s="3">
        <v>-6.9419884000000004E-4</v>
      </c>
      <c r="L21" s="3">
        <f t="shared" si="0"/>
        <v>2.9275306748466257</v>
      </c>
      <c r="M21" s="3"/>
      <c r="N21" s="2">
        <f>IF('Modell einstellen'!$B$1="Voll",H21/0.35,H21/0.35*2)</f>
        <v>2.219675485714286E-3</v>
      </c>
      <c r="O21" s="2">
        <f>IF('Modell einstellen'!$B$1="Voll",J21/0.35,J21/0.35*2)</f>
        <v>-3.9668505142857148E-3</v>
      </c>
      <c r="P21" s="3">
        <f t="shared" si="1"/>
        <v>0.55955612083707895</v>
      </c>
    </row>
    <row r="22" spans="1:16" x14ac:dyDescent="0.25">
      <c r="A22" s="3">
        <v>10000</v>
      </c>
      <c r="B22" s="3">
        <v>-1.7099999999999999E-3</v>
      </c>
      <c r="C22" s="3">
        <v>1.2509999999999999E-3</v>
      </c>
      <c r="D22" s="3">
        <v>1.75E-4</v>
      </c>
      <c r="E22" s="3">
        <v>0</v>
      </c>
      <c r="F22" s="3">
        <v>0</v>
      </c>
      <c r="G22" s="3">
        <v>0</v>
      </c>
      <c r="H22" s="3">
        <v>5.856921E-4</v>
      </c>
      <c r="I22" s="3">
        <v>2.6486323E-4</v>
      </c>
      <c r="J22" s="3">
        <v>-1.1332676000000001E-3</v>
      </c>
      <c r="L22" s="3">
        <f t="shared" si="0"/>
        <v>9.7714285714285705</v>
      </c>
      <c r="M22" s="3"/>
      <c r="N22" s="2">
        <f>IF('Modell einstellen'!$B$1="Voll",H22/0.35,H22/0.35*2)</f>
        <v>3.3468120000000002E-3</v>
      </c>
      <c r="O22" s="2">
        <f>IF('Modell einstellen'!$B$1="Voll",J22/0.35,J22/0.35*2)</f>
        <v>-6.4758148571428583E-3</v>
      </c>
      <c r="P22" s="3">
        <f t="shared" si="1"/>
        <v>0.51681712245192568</v>
      </c>
    </row>
    <row r="23" spans="1:16" x14ac:dyDescent="0.25">
      <c r="A23" s="3">
        <v>100000</v>
      </c>
      <c r="B23" s="3">
        <v>-1.547E-3</v>
      </c>
      <c r="C23" s="3">
        <v>2.1459999999999999E-3</v>
      </c>
      <c r="D23" s="3">
        <v>-8.497E-4</v>
      </c>
      <c r="E23" s="3">
        <v>0</v>
      </c>
      <c r="F23" s="3">
        <v>0</v>
      </c>
      <c r="G23" s="3">
        <v>0</v>
      </c>
      <c r="H23" s="3">
        <v>8.2062254000000003E-4</v>
      </c>
      <c r="I23" s="3">
        <v>4.5134781000000002E-4</v>
      </c>
      <c r="J23" s="3">
        <v>-1.7225838E-3</v>
      </c>
      <c r="L23" s="3">
        <f t="shared" si="0"/>
        <v>-1.8206425797340238</v>
      </c>
      <c r="M23" s="3"/>
      <c r="N23" s="2">
        <f>IF('Modell einstellen'!$B$1="Voll",H23/0.35,H23/0.35*2)</f>
        <v>4.6892716571428576E-3</v>
      </c>
      <c r="O23" s="2">
        <f>IF('Modell einstellen'!$B$1="Voll",J23/0.35,J23/0.35*2)</f>
        <v>-9.8433360000000011E-3</v>
      </c>
      <c r="P23" s="3">
        <f t="shared" si="1"/>
        <v>0.47639048968183723</v>
      </c>
    </row>
    <row r="24" spans="1:16" x14ac:dyDescent="0.25">
      <c r="A24" s="3">
        <v>1000000</v>
      </c>
      <c r="B24" s="3">
        <v>-8.8000000000000003E-4</v>
      </c>
      <c r="C24" s="3">
        <v>3.199E-3</v>
      </c>
      <c r="D24" s="3">
        <v>-2.5409999999999999E-3</v>
      </c>
      <c r="E24" s="3">
        <v>0</v>
      </c>
      <c r="F24" s="3">
        <v>0</v>
      </c>
      <c r="G24" s="3">
        <v>0</v>
      </c>
      <c r="H24" s="3">
        <v>1.0243811E-3</v>
      </c>
      <c r="I24" s="3">
        <v>6.5236745999999995E-4</v>
      </c>
      <c r="J24" s="3">
        <v>-2.3060034000000002E-3</v>
      </c>
      <c r="L24" s="3">
        <f t="shared" si="0"/>
        <v>-0.34632034632034636</v>
      </c>
      <c r="M24" s="3"/>
      <c r="N24" s="2">
        <f>IF('Modell einstellen'!$B$1="Voll",H24/0.35,H24/0.35*2)</f>
        <v>5.8536062857142863E-3</v>
      </c>
      <c r="O24" s="2">
        <f>IF('Modell einstellen'!$B$1="Voll",J24/0.35,J24/0.35*2)</f>
        <v>-1.3177162285714288E-2</v>
      </c>
      <c r="P24" s="3">
        <f t="shared" si="1"/>
        <v>0.44422358614041935</v>
      </c>
    </row>
    <row r="25" spans="1:16" x14ac:dyDescent="0.25">
      <c r="A25" s="3">
        <v>10000000</v>
      </c>
      <c r="B25" s="3">
        <v>2.9200000000000002E-5</v>
      </c>
      <c r="C25" s="3">
        <v>4.1660000000000004E-3</v>
      </c>
      <c r="D25" s="3">
        <v>-4.3949999999999996E-3</v>
      </c>
      <c r="E25" s="3">
        <v>0</v>
      </c>
      <c r="F25" s="3">
        <v>0</v>
      </c>
      <c r="G25" s="3">
        <v>0</v>
      </c>
      <c r="H25" s="3">
        <v>1.1634709999999999E-3</v>
      </c>
      <c r="I25" s="3">
        <v>8.2068449999999997E-4</v>
      </c>
      <c r="J25" s="3">
        <v>-2.7613538000000001E-3</v>
      </c>
      <c r="L25" s="3">
        <f t="shared" si="0"/>
        <v>6.6439135381114916E-3</v>
      </c>
      <c r="M25" s="3"/>
      <c r="N25" s="2">
        <f>IF('Modell einstellen'!$B$1="Voll",H25/0.35,H25/0.35*2)</f>
        <v>6.6484057142857144E-3</v>
      </c>
      <c r="O25" s="2">
        <f>IF('Modell einstellen'!$B$1="Voll",J25/0.35,J25/0.35*2)</f>
        <v>-1.5779164571428573E-2</v>
      </c>
      <c r="P25" s="3">
        <f t="shared" si="1"/>
        <v>0.42134079305592781</v>
      </c>
    </row>
    <row r="26" spans="1:16" x14ac:dyDescent="0.25">
      <c r="A26" s="3">
        <v>100000000</v>
      </c>
      <c r="B26" s="3">
        <v>8.5249999999999996E-4</v>
      </c>
      <c r="C26" s="3">
        <v>4.9430000000000003E-3</v>
      </c>
      <c r="D26" s="3">
        <v>-5.9789999999999999E-3</v>
      </c>
      <c r="E26" s="3">
        <v>0</v>
      </c>
      <c r="F26" s="3">
        <v>0</v>
      </c>
      <c r="G26" s="3">
        <v>0</v>
      </c>
      <c r="H26" s="3">
        <v>1.2568989999999999E-3</v>
      </c>
      <c r="I26" s="3">
        <v>9.4605508999999997E-4</v>
      </c>
      <c r="J26" s="3">
        <v>-3.0893690999999998E-3</v>
      </c>
      <c r="L26" s="3">
        <f t="shared" si="0"/>
        <v>0.14258237163405252</v>
      </c>
      <c r="M26" s="3"/>
      <c r="N26" s="2">
        <f>IF('Modell einstellen'!$B$1="Voll",H26/0.35,H26/0.35*2)</f>
        <v>7.1822800000000001E-3</v>
      </c>
      <c r="O26" s="2">
        <f>IF('Modell einstellen'!$B$1="Voll",J26/0.35,J26/0.35*2)</f>
        <v>-1.7653537714285714E-2</v>
      </c>
      <c r="P26" s="3">
        <f t="shared" si="1"/>
        <v>0.40684649820573399</v>
      </c>
    </row>
    <row r="27" spans="1:16" x14ac:dyDescent="0.25">
      <c r="A27" s="3">
        <v>1000000000</v>
      </c>
      <c r="B27" s="3">
        <v>1.5169999999999999E-3</v>
      </c>
      <c r="C27" s="3">
        <v>5.5449999999999996E-3</v>
      </c>
      <c r="D27" s="3">
        <v>-7.234E-3</v>
      </c>
      <c r="E27" s="3">
        <v>0</v>
      </c>
      <c r="F27" s="3">
        <v>0</v>
      </c>
      <c r="G27" s="3">
        <v>0</v>
      </c>
      <c r="H27" s="3">
        <v>1.324673E-3</v>
      </c>
      <c r="I27" s="3">
        <v>1.0381870000000001E-3</v>
      </c>
      <c r="J27" s="3">
        <v>-3.3289462999999998E-3</v>
      </c>
      <c r="L27" s="3">
        <f t="shared" si="0"/>
        <v>0.20970417473043959</v>
      </c>
      <c r="M27" s="3"/>
      <c r="N27" s="2">
        <f>IF('Modell einstellen'!$B$1="Voll",H27/0.35,H27/0.35*2)</f>
        <v>7.5695600000000004E-3</v>
      </c>
      <c r="O27" s="2">
        <f>IF('Modell einstellen'!$B$1="Voll",J27/0.35,J27/0.35*2)</f>
        <v>-1.9022550285714285E-2</v>
      </c>
      <c r="P27" s="3">
        <f t="shared" si="1"/>
        <v>0.39792561387968323</v>
      </c>
    </row>
    <row r="28" spans="1:16" x14ac:dyDescent="0.25">
      <c r="A28" s="3">
        <v>10000000000</v>
      </c>
      <c r="B28" s="3">
        <v>2.0330000000000001E-3</v>
      </c>
      <c r="C28" s="3">
        <v>5.9449999999999998E-3</v>
      </c>
      <c r="D28" s="3">
        <v>-8.1429999999999992E-3</v>
      </c>
      <c r="E28" s="3">
        <v>0</v>
      </c>
      <c r="F28" s="3">
        <v>0</v>
      </c>
      <c r="G28" s="3">
        <v>0</v>
      </c>
      <c r="H28" s="3">
        <v>1.3604512E-3</v>
      </c>
      <c r="I28" s="3">
        <v>1.0946673E-3</v>
      </c>
      <c r="J28" s="3">
        <v>-3.4699018999999999E-3</v>
      </c>
      <c r="L28" s="3">
        <f t="shared" si="0"/>
        <v>0.24966228662655043</v>
      </c>
      <c r="M28" s="3"/>
      <c r="N28" s="2">
        <f>IF('Modell einstellen'!$B$1="Voll",H28/0.35,H28/0.35*2)</f>
        <v>7.7740068571428575E-3</v>
      </c>
      <c r="O28" s="2">
        <f>IF('Modell einstellen'!$B$1="Voll",J28/0.35,J28/0.35*2)</f>
        <v>-1.9828010857142857E-2</v>
      </c>
      <c r="P28" s="3">
        <f t="shared" si="1"/>
        <v>0.39207194877757212</v>
      </c>
    </row>
    <row r="29" spans="1:16" x14ac:dyDescent="0.25">
      <c r="A29" s="3">
        <v>100000000000</v>
      </c>
      <c r="B29" s="3">
        <v>2.3969999999999998E-3</v>
      </c>
      <c r="C29" s="3">
        <v>6.3790000000000001E-3</v>
      </c>
      <c r="D29" s="3">
        <v>-8.9370000000000005E-3</v>
      </c>
      <c r="E29" s="3">
        <v>0</v>
      </c>
      <c r="F29" s="3">
        <v>0</v>
      </c>
      <c r="G29" s="3">
        <v>0</v>
      </c>
      <c r="H29" s="3">
        <v>1.4291937000000001E-3</v>
      </c>
      <c r="I29" s="3">
        <v>1.1634442000000001E-3</v>
      </c>
      <c r="J29" s="3">
        <v>-3.6659287E-3</v>
      </c>
      <c r="L29" s="3">
        <f t="shared" si="0"/>
        <v>0.26821080899630745</v>
      </c>
      <c r="M29" s="3"/>
      <c r="N29" s="2">
        <f>IF('Modell einstellen'!$B$1="Voll",H29/0.35,H29/0.35*2)</f>
        <v>8.166821142857144E-3</v>
      </c>
      <c r="O29" s="2">
        <f>IF('Modell einstellen'!$B$1="Voll",J29/0.35,J29/0.35*2)</f>
        <v>-2.0948164000000002E-2</v>
      </c>
      <c r="P29" s="3">
        <f t="shared" si="1"/>
        <v>0.38985856435232907</v>
      </c>
    </row>
    <row r="30" spans="1:16" x14ac:dyDescent="0.25">
      <c r="A30" s="3">
        <v>1000000000000</v>
      </c>
      <c r="B30" s="3">
        <v>2.728E-3</v>
      </c>
      <c r="C30" s="3">
        <v>6.7270000000000003E-3</v>
      </c>
      <c r="D30" s="3">
        <v>-9.613E-3</v>
      </c>
      <c r="E30" s="3">
        <v>0</v>
      </c>
      <c r="F30" s="3">
        <v>0</v>
      </c>
      <c r="G30" s="3">
        <v>0</v>
      </c>
      <c r="H30" s="3">
        <v>1.4834322999999999E-3</v>
      </c>
      <c r="I30" s="3">
        <v>1.2193433E-3</v>
      </c>
      <c r="J30" s="3">
        <v>-3.8234045E-3</v>
      </c>
      <c r="L30" s="3">
        <f t="shared" si="0"/>
        <v>0.28378237802975137</v>
      </c>
      <c r="M30" s="3"/>
      <c r="N30" s="2">
        <f>IF('Modell einstellen'!$B$1="Voll",H30/0.35,H30/0.35*2)</f>
        <v>8.4767560000000002E-3</v>
      </c>
      <c r="O30" s="2">
        <f>IF('Modell einstellen'!$B$1="Voll",J30/0.35,J30/0.35*2)</f>
        <v>-2.1848025714285717E-2</v>
      </c>
      <c r="P30" s="3">
        <f t="shared" si="1"/>
        <v>0.38798727678434231</v>
      </c>
    </row>
    <row r="31" spans="1:16" x14ac:dyDescent="0.25">
      <c r="A31" s="3">
        <v>10000000000000</v>
      </c>
      <c r="B31" s="3">
        <v>2.6770000000000001E-3</v>
      </c>
      <c r="C31" s="3">
        <v>6.7299999999999999E-3</v>
      </c>
      <c r="D31" s="3">
        <v>-9.5659999999999999E-3</v>
      </c>
      <c r="E31" s="3">
        <v>0</v>
      </c>
      <c r="F31" s="3">
        <v>0</v>
      </c>
      <c r="G31" s="3">
        <v>0</v>
      </c>
      <c r="H31" s="3">
        <v>1.4887771E-3</v>
      </c>
      <c r="I31" s="3">
        <v>1.2202576E-3</v>
      </c>
      <c r="J31" s="3">
        <v>-3.8303245000000001E-3</v>
      </c>
      <c r="L31" s="3">
        <f t="shared" si="0"/>
        <v>0.27984528538574116</v>
      </c>
      <c r="M31" s="3"/>
      <c r="N31" s="2">
        <f>IF('Modell einstellen'!$B$1="Voll",H31/0.35,H31/0.35*2)</f>
        <v>8.5072977142857144E-3</v>
      </c>
      <c r="O31" s="2">
        <f>IF('Modell einstellen'!$B$1="Voll",J31/0.35,J31/0.35*2)</f>
        <v>-2.1887568571428574E-2</v>
      </c>
      <c r="P31" s="3">
        <f t="shared" si="1"/>
        <v>0.38868171613136165</v>
      </c>
    </row>
    <row r="32" spans="1:16" x14ac:dyDescent="0.25">
      <c r="A32" s="3">
        <v>100000000000000</v>
      </c>
      <c r="B32" s="3">
        <v>2.9740000000000001E-3</v>
      </c>
      <c r="C32" s="3">
        <v>6.8719999999999996E-3</v>
      </c>
      <c r="D32" s="3">
        <v>-0.01</v>
      </c>
      <c r="E32" s="3">
        <v>0</v>
      </c>
      <c r="F32" s="3">
        <v>0</v>
      </c>
      <c r="G32" s="3">
        <v>0</v>
      </c>
      <c r="H32" s="3">
        <v>1.4946005E-3</v>
      </c>
      <c r="I32" s="3">
        <v>1.2402101999999999E-3</v>
      </c>
      <c r="J32" s="3">
        <v>-3.8732580000000001E-3</v>
      </c>
      <c r="L32" s="3">
        <f t="shared" si="0"/>
        <v>0.2974</v>
      </c>
      <c r="M32" s="3"/>
      <c r="N32" s="2">
        <f>IF('Modell einstellen'!$B$1="Voll",H32/0.35,H32/0.35*2)</f>
        <v>8.540574285714286E-3</v>
      </c>
      <c r="O32" s="2">
        <f>IF('Modell einstellen'!$B$1="Voll",J32/0.35,J32/0.35*2)</f>
        <v>-2.213290285714286E-2</v>
      </c>
      <c r="P32" s="3">
        <f t="shared" si="1"/>
        <v>0.38587682514307076</v>
      </c>
    </row>
    <row r="33" spans="1:16" x14ac:dyDescent="0.25">
      <c r="A33" s="3">
        <v>1000000000000000</v>
      </c>
      <c r="B33" s="3">
        <v>2.9780000000000002E-3</v>
      </c>
      <c r="C33" s="3">
        <v>6.8780000000000004E-3</v>
      </c>
      <c r="D33" s="3">
        <v>-1.001E-2</v>
      </c>
      <c r="E33" s="3">
        <v>0</v>
      </c>
      <c r="F33" s="3">
        <v>0</v>
      </c>
      <c r="G33" s="3">
        <v>0</v>
      </c>
      <c r="H33" s="3">
        <v>1.4953294E-3</v>
      </c>
      <c r="I33" s="3">
        <v>1.2409329E-3</v>
      </c>
      <c r="J33" s="3">
        <v>-3.8753148000000002E-3</v>
      </c>
      <c r="L33" s="3">
        <f t="shared" si="0"/>
        <v>0.29750249750249752</v>
      </c>
      <c r="M33" s="3"/>
      <c r="N33" s="2">
        <f>IF('Modell einstellen'!$B$1="Voll",H33/0.35,H33/0.35*2)</f>
        <v>8.5447394285714292E-3</v>
      </c>
      <c r="O33" s="2">
        <f>IF('Modell einstellen'!$B$1="Voll",J33/0.35,J33/0.35*2)</f>
        <v>-2.2144656000000002E-2</v>
      </c>
      <c r="P33" s="3">
        <f t="shared" si="1"/>
        <v>0.38586011128695918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-1.6780000000000001E-4</v>
      </c>
      <c r="C3" s="3">
        <v>1.861E-4</v>
      </c>
      <c r="D3" s="3">
        <v>-3.5409999999999999E-4</v>
      </c>
      <c r="E3" s="3">
        <v>0</v>
      </c>
      <c r="F3" s="3">
        <v>0</v>
      </c>
      <c r="G3" s="3">
        <v>0</v>
      </c>
      <c r="H3" s="3">
        <v>6.0274876999999998E-5</v>
      </c>
      <c r="I3" s="3">
        <v>1.7727301000000002E-5</v>
      </c>
      <c r="J3" s="3">
        <v>-1.3261655999999999E-4</v>
      </c>
      <c r="L3" s="3">
        <f>-B3/D3</f>
        <v>-0.47387743575261232</v>
      </c>
      <c r="M3" s="3"/>
      <c r="N3" s="2">
        <f>IF('Modell einstellen'!$B$1="Voll",H3/0.35,H3/0.35*2)</f>
        <v>3.4442786857142861E-4</v>
      </c>
      <c r="O3" s="2">
        <f>IF('Modell einstellen'!$B$1="Voll",J3/0.35,J3/0.35*2)</f>
        <v>-7.5780891428571431E-4</v>
      </c>
      <c r="P3" s="3">
        <f>-N3/O3</f>
        <v>0.45450490496812768</v>
      </c>
    </row>
    <row r="4" spans="1:16" x14ac:dyDescent="0.25">
      <c r="A4" s="3">
        <v>1E-14</v>
      </c>
      <c r="B4" s="3">
        <v>-2.076E-4</v>
      </c>
      <c r="C4" s="3">
        <v>1.8990000000000001E-4</v>
      </c>
      <c r="D4" s="3">
        <v>-3.2279999999999999E-4</v>
      </c>
      <c r="E4" s="3">
        <v>0</v>
      </c>
      <c r="F4" s="3">
        <v>0</v>
      </c>
      <c r="G4" s="3">
        <v>0</v>
      </c>
      <c r="H4" s="3">
        <v>6.4918317999999994E-5</v>
      </c>
      <c r="I4" s="3">
        <v>1.8128159000000002E-5</v>
      </c>
      <c r="J4" s="3">
        <v>-1.3842248999999999E-4</v>
      </c>
      <c r="L4" s="3">
        <f t="shared" ref="L4:L33" si="0">-B4/D4</f>
        <v>-0.64312267657992572</v>
      </c>
      <c r="M4" s="3"/>
      <c r="N4" s="2">
        <f>IF('Modell einstellen'!$B$1="Voll",H4/0.35,H4/0.35*2)</f>
        <v>3.7096181714285712E-4</v>
      </c>
      <c r="O4" s="2">
        <f>IF('Modell einstellen'!$B$1="Voll",J4/0.35,J4/0.35*2)</f>
        <v>-7.9098565714285718E-4</v>
      </c>
      <c r="P4" s="3">
        <f t="shared" ref="P4:P33" si="1">-N4/O4</f>
        <v>0.46898678097757085</v>
      </c>
    </row>
    <row r="5" spans="1:16" x14ac:dyDescent="0.25">
      <c r="A5" s="3">
        <v>1E-13</v>
      </c>
      <c r="B5" s="3">
        <v>-2.4360000000000001E-4</v>
      </c>
      <c r="C5" s="3">
        <v>1.9210000000000001E-4</v>
      </c>
      <c r="D5" s="3">
        <v>-2.9270000000000001E-4</v>
      </c>
      <c r="E5" s="3">
        <v>0</v>
      </c>
      <c r="F5" s="3">
        <v>0</v>
      </c>
      <c r="G5" s="3">
        <v>0</v>
      </c>
      <c r="H5" s="3">
        <v>6.8838053999999995E-5</v>
      </c>
      <c r="I5" s="3">
        <v>1.8394623000000001E-5</v>
      </c>
      <c r="J5" s="3">
        <v>-1.4314921E-4</v>
      </c>
      <c r="L5" s="3">
        <f t="shared" si="0"/>
        <v>-0.83225145199863337</v>
      </c>
      <c r="M5" s="3"/>
      <c r="N5" s="2">
        <f>IF('Modell einstellen'!$B$1="Voll",H5/0.35,H5/0.35*2)</f>
        <v>3.9336030857142854E-4</v>
      </c>
      <c r="O5" s="2">
        <f>IF('Modell einstellen'!$B$1="Voll",J5/0.35,J5/0.35*2)</f>
        <v>-8.179954857142857E-4</v>
      </c>
      <c r="P5" s="3">
        <f t="shared" si="1"/>
        <v>0.48088322666957084</v>
      </c>
    </row>
    <row r="6" spans="1:16" x14ac:dyDescent="0.25">
      <c r="A6" s="3">
        <v>9.9999999999999998E-13</v>
      </c>
      <c r="B6" s="3">
        <v>-2.8430000000000003E-4</v>
      </c>
      <c r="C6" s="3">
        <v>1.9570000000000001E-4</v>
      </c>
      <c r="D6" s="3">
        <v>-2.5920000000000001E-4</v>
      </c>
      <c r="E6" s="3">
        <v>0</v>
      </c>
      <c r="F6" s="3">
        <v>0</v>
      </c>
      <c r="G6" s="3">
        <v>0</v>
      </c>
      <c r="H6" s="3">
        <v>7.3248542999999999E-5</v>
      </c>
      <c r="I6" s="3">
        <v>1.8737453999999999E-5</v>
      </c>
      <c r="J6" s="3">
        <v>-1.4851723E-4</v>
      </c>
      <c r="L6" s="3">
        <f t="shared" si="0"/>
        <v>-1.0968364197530864</v>
      </c>
      <c r="M6" s="3"/>
      <c r="N6" s="2">
        <f>IF('Modell einstellen'!$B$1="Voll",H6/0.35,H6/0.35*2)</f>
        <v>4.1856310285714288E-4</v>
      </c>
      <c r="O6" s="2">
        <f>IF('Modell einstellen'!$B$1="Voll",J6/0.35,J6/0.35*2)</f>
        <v>-8.486698857142858E-4</v>
      </c>
      <c r="P6" s="3">
        <f t="shared" si="1"/>
        <v>0.4931989574542967</v>
      </c>
    </row>
    <row r="7" spans="1:16" x14ac:dyDescent="0.25">
      <c r="A7" s="3">
        <v>9.9999999999999994E-12</v>
      </c>
      <c r="B7" s="3">
        <v>-3.3189999999999999E-4</v>
      </c>
      <c r="C7" s="3">
        <v>1.9790000000000001E-4</v>
      </c>
      <c r="D7" s="3">
        <v>-2.174E-4</v>
      </c>
      <c r="E7" s="3">
        <v>0</v>
      </c>
      <c r="F7" s="3">
        <v>0</v>
      </c>
      <c r="G7" s="3">
        <v>0</v>
      </c>
      <c r="H7" s="3">
        <v>7.8109506000000005E-5</v>
      </c>
      <c r="I7" s="3">
        <v>1.9007636999999999E-5</v>
      </c>
      <c r="J7" s="3">
        <v>-1.5419401000000001E-4</v>
      </c>
      <c r="L7" s="3">
        <f t="shared" si="0"/>
        <v>-1.5266789328426862</v>
      </c>
      <c r="M7" s="3"/>
      <c r="N7" s="2">
        <f>IF('Modell einstellen'!$B$1="Voll",H7/0.35,H7/0.35*2)</f>
        <v>4.4634003428571434E-4</v>
      </c>
      <c r="O7" s="2">
        <f>IF('Modell einstellen'!$B$1="Voll",J7/0.35,J7/0.35*2)</f>
        <v>-8.8110862857142865E-4</v>
      </c>
      <c r="P7" s="3">
        <f t="shared" si="1"/>
        <v>0.50656640942148146</v>
      </c>
    </row>
    <row r="8" spans="1:16" x14ac:dyDescent="0.25">
      <c r="A8" s="3">
        <v>1E-10</v>
      </c>
      <c r="B8" s="3">
        <v>-3.9609999999999998E-4</v>
      </c>
      <c r="C8" s="3">
        <v>2.02E-4</v>
      </c>
      <c r="D8" s="3">
        <v>-1.618E-4</v>
      </c>
      <c r="E8" s="3">
        <v>0</v>
      </c>
      <c r="F8" s="3">
        <v>0</v>
      </c>
      <c r="G8" s="3">
        <v>0</v>
      </c>
      <c r="H8" s="3">
        <v>8.4568752999999994E-5</v>
      </c>
      <c r="I8" s="3">
        <v>1.9409931999999999E-5</v>
      </c>
      <c r="J8" s="3">
        <v>-1.6177535999999999E-4</v>
      </c>
      <c r="L8" s="3">
        <f t="shared" si="0"/>
        <v>-2.4480840543881333</v>
      </c>
      <c r="M8" s="3"/>
      <c r="N8" s="2">
        <f>IF('Modell einstellen'!$B$1="Voll",H8/0.35,H8/0.35*2)</f>
        <v>4.8325001714285713E-4</v>
      </c>
      <c r="O8" s="2">
        <f>IF('Modell einstellen'!$B$1="Voll",J8/0.35,J8/0.35*2)</f>
        <v>-9.2443062857142859E-4</v>
      </c>
      <c r="P8" s="3">
        <f t="shared" si="1"/>
        <v>0.5227542253653461</v>
      </c>
    </row>
    <row r="9" spans="1:16" x14ac:dyDescent="0.25">
      <c r="A9" s="3">
        <v>1.0000000000000001E-9</v>
      </c>
      <c r="B9" s="3">
        <v>-4.8040000000000002E-4</v>
      </c>
      <c r="C9" s="3">
        <v>2.0570000000000001E-4</v>
      </c>
      <c r="D9" s="3">
        <v>-8.5829999999999996E-5</v>
      </c>
      <c r="E9" s="3">
        <v>0</v>
      </c>
      <c r="F9" s="3">
        <v>0</v>
      </c>
      <c r="G9" s="3">
        <v>0</v>
      </c>
      <c r="H9" s="3">
        <v>9.2668203999999999E-5</v>
      </c>
      <c r="I9" s="3">
        <v>1.9805566999999999E-5</v>
      </c>
      <c r="J9" s="3">
        <v>-1.7100911000000001E-4</v>
      </c>
      <c r="L9" s="3">
        <f t="shared" si="0"/>
        <v>-5.5971105674006765</v>
      </c>
      <c r="M9" s="3"/>
      <c r="N9" s="2">
        <f>IF('Modell einstellen'!$B$1="Voll",H9/0.35,H9/0.35*2)</f>
        <v>5.2953259428571427E-4</v>
      </c>
      <c r="O9" s="2">
        <f>IF('Modell einstellen'!$B$1="Voll",J9/0.35,J9/0.35*2)</f>
        <v>-9.7719491428571443E-4</v>
      </c>
      <c r="P9" s="3">
        <f t="shared" si="1"/>
        <v>0.54189045250279344</v>
      </c>
    </row>
    <row r="10" spans="1:16" x14ac:dyDescent="0.25">
      <c r="A10" s="3">
        <v>1E-8</v>
      </c>
      <c r="B10" s="3">
        <v>-5.9849999999999997E-4</v>
      </c>
      <c r="C10" s="3">
        <v>2.0990000000000001E-4</v>
      </c>
      <c r="D10" s="3">
        <v>2.285E-5</v>
      </c>
      <c r="E10" s="3">
        <v>0</v>
      </c>
      <c r="F10" s="3">
        <v>0</v>
      </c>
      <c r="G10" s="3">
        <v>0</v>
      </c>
      <c r="H10" s="3">
        <v>1.0360039E-4</v>
      </c>
      <c r="I10" s="3">
        <v>2.0253624000000001E-5</v>
      </c>
      <c r="J10" s="3">
        <v>-1.8322133E-4</v>
      </c>
      <c r="L10" s="3">
        <f t="shared" si="0"/>
        <v>26.192560175054702</v>
      </c>
      <c r="M10" s="3"/>
      <c r="N10" s="2">
        <f>IF('Modell einstellen'!$B$1="Voll",H10/0.35,H10/0.35*2)</f>
        <v>5.920022285714286E-4</v>
      </c>
      <c r="O10" s="2">
        <f>IF('Modell einstellen'!$B$1="Voll",J10/0.35,J10/0.35*2)</f>
        <v>-1.0469790285714286E-3</v>
      </c>
      <c r="P10" s="3">
        <f t="shared" si="1"/>
        <v>0.56543847815098824</v>
      </c>
    </row>
    <row r="11" spans="1:16" x14ac:dyDescent="0.25">
      <c r="A11" s="3">
        <v>9.9999999999999995E-8</v>
      </c>
      <c r="B11" s="3">
        <v>-7.6999999999999996E-4</v>
      </c>
      <c r="C11" s="3">
        <v>2.1440000000000001E-4</v>
      </c>
      <c r="D11" s="3">
        <v>1.838E-4</v>
      </c>
      <c r="E11" s="3">
        <v>0</v>
      </c>
      <c r="F11" s="3">
        <v>0</v>
      </c>
      <c r="G11" s="3">
        <v>0</v>
      </c>
      <c r="H11" s="3">
        <v>1.1885212E-4</v>
      </c>
      <c r="I11" s="3">
        <v>2.0754103E-5</v>
      </c>
      <c r="J11" s="3">
        <v>-1.9989363000000001E-4</v>
      </c>
      <c r="L11" s="3">
        <f t="shared" si="0"/>
        <v>4.1893362350380849</v>
      </c>
      <c r="M11" s="3"/>
      <c r="N11" s="2">
        <f>IF('Modell einstellen'!$B$1="Voll",H11/0.35,H11/0.35*2)</f>
        <v>6.7915497142857144E-4</v>
      </c>
      <c r="O11" s="2">
        <f>IF('Modell einstellen'!$B$1="Voll",J11/0.35,J11/0.35*2)</f>
        <v>-1.1422493142857143E-3</v>
      </c>
      <c r="P11" s="3">
        <f t="shared" si="1"/>
        <v>0.59457682568474046</v>
      </c>
    </row>
    <row r="12" spans="1:16" x14ac:dyDescent="0.25">
      <c r="A12" s="3">
        <v>9.9999999999999995E-7</v>
      </c>
      <c r="B12" s="3">
        <v>-1.0460000000000001E-3</v>
      </c>
      <c r="C12" s="3">
        <v>2.196E-4</v>
      </c>
      <c r="D12" s="3">
        <v>4.482E-4</v>
      </c>
      <c r="E12" s="3">
        <v>0</v>
      </c>
      <c r="F12" s="3">
        <v>0</v>
      </c>
      <c r="G12" s="3">
        <v>0</v>
      </c>
      <c r="H12" s="3">
        <v>1.4248821E-4</v>
      </c>
      <c r="I12" s="3">
        <v>2.1336318E-5</v>
      </c>
      <c r="J12" s="3">
        <v>-2.2516360999999999E-4</v>
      </c>
      <c r="L12" s="3">
        <f t="shared" si="0"/>
        <v>2.3337795626952254</v>
      </c>
      <c r="M12" s="3"/>
      <c r="N12" s="2">
        <f>IF('Modell einstellen'!$B$1="Voll",H12/0.35,H12/0.35*2)</f>
        <v>8.1421834285714287E-4</v>
      </c>
      <c r="O12" s="2">
        <f>IF('Modell einstellen'!$B$1="Voll",J12/0.35,J12/0.35*2)</f>
        <v>-1.2866492E-3</v>
      </c>
      <c r="P12" s="3">
        <f t="shared" si="1"/>
        <v>0.6328207741917089</v>
      </c>
    </row>
    <row r="13" spans="1:16" x14ac:dyDescent="0.25">
      <c r="A13" s="3">
        <v>1.0000000000000001E-5</v>
      </c>
      <c r="B13" s="3">
        <v>-1.531E-3</v>
      </c>
      <c r="C13" s="3">
        <v>2.252E-4</v>
      </c>
      <c r="D13" s="3">
        <v>9.1929999999999996E-4</v>
      </c>
      <c r="E13" s="3">
        <v>0</v>
      </c>
      <c r="F13" s="3">
        <v>0</v>
      </c>
      <c r="G13" s="3">
        <v>0</v>
      </c>
      <c r="H13" s="3">
        <v>1.8227251E-4</v>
      </c>
      <c r="I13" s="3">
        <v>2.1992198E-5</v>
      </c>
      <c r="J13" s="3">
        <v>-2.6674148000000001E-4</v>
      </c>
      <c r="L13" s="3">
        <f t="shared" si="0"/>
        <v>1.6653975851191125</v>
      </c>
      <c r="M13" s="3"/>
      <c r="N13" s="2">
        <f>IF('Modell einstellen'!$B$1="Voll",H13/0.35,H13/0.35*2)</f>
        <v>1.0415572000000001E-3</v>
      </c>
      <c r="O13" s="2">
        <f>IF('Modell einstellen'!$B$1="Voll",J13/0.35,J13/0.35*2)</f>
        <v>-1.5242370285714288E-3</v>
      </c>
      <c r="P13" s="3">
        <f t="shared" si="1"/>
        <v>0.68333020421120849</v>
      </c>
    </row>
    <row r="14" spans="1:16" x14ac:dyDescent="0.25">
      <c r="A14" s="3">
        <v>1E-4</v>
      </c>
      <c r="B14" s="3">
        <v>-2.4109999999999999E-3</v>
      </c>
      <c r="C14" s="3">
        <v>2.3059999999999999E-4</v>
      </c>
      <c r="D14" s="3">
        <v>1.787E-3</v>
      </c>
      <c r="E14" s="3">
        <v>0</v>
      </c>
      <c r="F14" s="3">
        <v>0</v>
      </c>
      <c r="G14" s="3">
        <v>0</v>
      </c>
      <c r="H14" s="3">
        <v>2.5196988000000001E-4</v>
      </c>
      <c r="I14" s="3">
        <v>2.2649053000000001E-5</v>
      </c>
      <c r="J14" s="3">
        <v>-3.3810558999999998E-4</v>
      </c>
      <c r="L14" s="3">
        <f t="shared" si="0"/>
        <v>1.3491885842193621</v>
      </c>
      <c r="M14" s="3"/>
      <c r="N14" s="2">
        <f>IF('Modell einstellen'!$B$1="Voll",H14/0.35,H14/0.35*2)</f>
        <v>1.4398278857142858E-3</v>
      </c>
      <c r="O14" s="2">
        <f>IF('Modell einstellen'!$B$1="Voll",J14/0.35,J14/0.35*2)</f>
        <v>-1.9320319428571429E-3</v>
      </c>
      <c r="P14" s="3">
        <f t="shared" si="1"/>
        <v>0.74524020735652441</v>
      </c>
    </row>
    <row r="15" spans="1:16" x14ac:dyDescent="0.25">
      <c r="A15" s="3">
        <v>1E-3</v>
      </c>
      <c r="B15" s="3">
        <v>-3.9090000000000001E-3</v>
      </c>
      <c r="C15" s="3">
        <v>2.3450000000000001E-4</v>
      </c>
      <c r="D15" s="3">
        <v>3.2750000000000001E-3</v>
      </c>
      <c r="E15" s="3">
        <v>0</v>
      </c>
      <c r="F15" s="3">
        <v>0</v>
      </c>
      <c r="G15" s="3">
        <v>0</v>
      </c>
      <c r="H15" s="3">
        <v>3.6729499E-4</v>
      </c>
      <c r="I15" s="3">
        <v>2.3196563999999999E-5</v>
      </c>
      <c r="J15" s="3">
        <v>-4.5447880999999998E-4</v>
      </c>
      <c r="L15" s="3">
        <f t="shared" si="0"/>
        <v>1.1935877862595419</v>
      </c>
      <c r="M15" s="3"/>
      <c r="N15" s="2">
        <f>IF('Modell einstellen'!$B$1="Voll",H15/0.35,H15/0.35*2)</f>
        <v>2.0988285142857143E-3</v>
      </c>
      <c r="O15" s="2">
        <f>IF('Modell einstellen'!$B$1="Voll",J15/0.35,J15/0.35*2)</f>
        <v>-2.5970217714285713E-3</v>
      </c>
      <c r="P15" s="3">
        <f t="shared" si="1"/>
        <v>0.80816746989810162</v>
      </c>
    </row>
    <row r="16" spans="1:16" x14ac:dyDescent="0.25">
      <c r="A16" s="3">
        <v>0.01</v>
      </c>
      <c r="B16" s="3">
        <v>-6.117E-3</v>
      </c>
      <c r="C16" s="3">
        <v>2.374E-4</v>
      </c>
      <c r="D16" s="3">
        <v>5.4770000000000001E-3</v>
      </c>
      <c r="E16" s="3">
        <v>0</v>
      </c>
      <c r="F16" s="3">
        <v>0</v>
      </c>
      <c r="G16" s="3">
        <v>0</v>
      </c>
      <c r="H16" s="3">
        <v>5.3482764000000003E-4</v>
      </c>
      <c r="I16" s="3">
        <v>2.3813631E-5</v>
      </c>
      <c r="J16" s="3">
        <v>-6.2250825999999996E-4</v>
      </c>
      <c r="L16" s="3">
        <f t="shared" si="0"/>
        <v>1.1168522914004018</v>
      </c>
      <c r="M16" s="3"/>
      <c r="N16" s="2">
        <f>IF('Modell einstellen'!$B$1="Voll",H16/0.35,H16/0.35*2)</f>
        <v>3.0561579428571434E-3</v>
      </c>
      <c r="O16" s="2">
        <f>IF('Modell einstellen'!$B$1="Voll",J16/0.35,J16/0.35*2)</f>
        <v>-3.5571900571428573E-3</v>
      </c>
      <c r="P16" s="3">
        <f t="shared" si="1"/>
        <v>0.85914946735003972</v>
      </c>
    </row>
    <row r="17" spans="1:16" x14ac:dyDescent="0.25">
      <c r="A17" s="3">
        <v>0.1</v>
      </c>
      <c r="B17" s="3">
        <v>-8.4670000000000006E-3</v>
      </c>
      <c r="C17" s="3">
        <v>2.4379999999999999E-4</v>
      </c>
      <c r="D17" s="3">
        <v>7.8209999999999998E-3</v>
      </c>
      <c r="E17" s="3">
        <v>0</v>
      </c>
      <c r="F17" s="3">
        <v>0</v>
      </c>
      <c r="G17" s="3">
        <v>0</v>
      </c>
      <c r="H17" s="3">
        <v>7.1617109999999996E-4</v>
      </c>
      <c r="I17" s="3">
        <v>2.6397638E-5</v>
      </c>
      <c r="J17" s="3">
        <v>-8.0748215000000004E-4</v>
      </c>
      <c r="L17" s="3">
        <f t="shared" si="0"/>
        <v>1.0825981332310448</v>
      </c>
      <c r="M17" s="3"/>
      <c r="N17" s="2">
        <f>IF('Modell einstellen'!$B$1="Voll",H17/0.35,H17/0.35*2)</f>
        <v>4.0924062857142854E-3</v>
      </c>
      <c r="O17" s="2">
        <f>IF('Modell einstellen'!$B$1="Voll",J17/0.35,J17/0.35*2)</f>
        <v>-4.6141837142857148E-3</v>
      </c>
      <c r="P17" s="3">
        <f t="shared" si="1"/>
        <v>0.88691880061992689</v>
      </c>
    </row>
    <row r="18" spans="1:16" x14ac:dyDescent="0.25">
      <c r="A18" s="3">
        <v>1</v>
      </c>
      <c r="B18" s="3">
        <v>-1.0120000000000001E-2</v>
      </c>
      <c r="C18" s="3">
        <v>2.6600000000000001E-4</v>
      </c>
      <c r="D18" s="3">
        <v>9.4590000000000004E-3</v>
      </c>
      <c r="E18" s="3">
        <v>0</v>
      </c>
      <c r="F18" s="3">
        <v>0</v>
      </c>
      <c r="G18" s="3">
        <v>0</v>
      </c>
      <c r="H18" s="3">
        <v>8.6830193999999996E-4</v>
      </c>
      <c r="I18" s="3">
        <v>3.999986E-5</v>
      </c>
      <c r="J18" s="3">
        <v>-9.840974499999999E-4</v>
      </c>
      <c r="L18" s="3">
        <f t="shared" si="0"/>
        <v>1.0698805370546569</v>
      </c>
      <c r="M18" s="3"/>
      <c r="N18" s="2">
        <f>IF('Modell einstellen'!$B$1="Voll",H18/0.35,H18/0.35*2)</f>
        <v>4.9617253714285712E-3</v>
      </c>
      <c r="O18" s="2">
        <f>IF('Modell einstellen'!$B$1="Voll",J18/0.35,J18/0.35*2)</f>
        <v>-5.6234140000000002E-3</v>
      </c>
      <c r="P18" s="3">
        <f t="shared" si="1"/>
        <v>0.88233328924894572</v>
      </c>
    </row>
    <row r="19" spans="1:16" x14ac:dyDescent="0.25">
      <c r="A19" s="3">
        <v>10</v>
      </c>
      <c r="B19" s="3">
        <v>-1.0449999999999999E-2</v>
      </c>
      <c r="C19" s="3">
        <v>3.634E-4</v>
      </c>
      <c r="D19" s="3">
        <v>9.6959999999999998E-3</v>
      </c>
      <c r="E19" s="3">
        <v>0</v>
      </c>
      <c r="F19" s="3">
        <v>0</v>
      </c>
      <c r="G19" s="3">
        <v>0</v>
      </c>
      <c r="H19" s="3">
        <v>9.7939724000000003E-4</v>
      </c>
      <c r="I19" s="3">
        <v>8.6248950000000004E-5</v>
      </c>
      <c r="J19" s="3">
        <v>-1.1823451E-3</v>
      </c>
      <c r="L19" s="3">
        <f t="shared" si="0"/>
        <v>1.0777640264026402</v>
      </c>
      <c r="M19" s="3"/>
      <c r="N19" s="2">
        <f>IF('Modell einstellen'!$B$1="Voll",H19/0.35,H19/0.35*2)</f>
        <v>5.5965556571428579E-3</v>
      </c>
      <c r="O19" s="2">
        <f>IF('Modell einstellen'!$B$1="Voll",J19/0.35,J19/0.35*2)</f>
        <v>-6.7562577142857147E-3</v>
      </c>
      <c r="P19" s="3">
        <f t="shared" si="1"/>
        <v>0.82835141787283606</v>
      </c>
    </row>
    <row r="20" spans="1:16" x14ac:dyDescent="0.25">
      <c r="A20" s="3">
        <v>100</v>
      </c>
      <c r="B20" s="3">
        <v>-9.2110000000000004E-3</v>
      </c>
      <c r="C20" s="3">
        <v>7.1869999999999996E-4</v>
      </c>
      <c r="D20" s="3">
        <v>8.1370000000000001E-3</v>
      </c>
      <c r="E20" s="3">
        <v>0</v>
      </c>
      <c r="F20" s="3">
        <v>0</v>
      </c>
      <c r="G20" s="3">
        <v>0</v>
      </c>
      <c r="H20" s="3">
        <v>1.0963253000000001E-3</v>
      </c>
      <c r="I20" s="3">
        <v>2.0975084000000001E-4</v>
      </c>
      <c r="J20" s="3">
        <v>-1.534274E-3</v>
      </c>
      <c r="L20" s="3">
        <f t="shared" si="0"/>
        <v>1.1319896767850559</v>
      </c>
      <c r="M20" s="3"/>
      <c r="N20" s="2">
        <f>IF('Modell einstellen'!$B$1="Voll",H20/0.35,H20/0.35*2)</f>
        <v>6.2647160000000009E-3</v>
      </c>
      <c r="O20" s="2">
        <f>IF('Modell einstellen'!$B$1="Voll",J20/0.35,J20/0.35*2)</f>
        <v>-8.7672800000000006E-3</v>
      </c>
      <c r="P20" s="3">
        <f t="shared" si="1"/>
        <v>0.71455639605442056</v>
      </c>
    </row>
    <row r="21" spans="1:16" x14ac:dyDescent="0.25">
      <c r="A21" s="3">
        <v>1000</v>
      </c>
      <c r="B21" s="3">
        <v>-6.6889999999999996E-3</v>
      </c>
      <c r="C21" s="3">
        <v>1.4920000000000001E-3</v>
      </c>
      <c r="D21" s="3">
        <v>4.8869999999999999E-3</v>
      </c>
      <c r="E21" s="3">
        <v>0</v>
      </c>
      <c r="F21" s="3">
        <v>0</v>
      </c>
      <c r="G21" s="3">
        <v>0</v>
      </c>
      <c r="H21" s="3">
        <v>1.2083096000000001E-3</v>
      </c>
      <c r="I21" s="3">
        <v>4.1216990999999999E-4</v>
      </c>
      <c r="J21" s="3">
        <v>-2.0310861000000001E-3</v>
      </c>
      <c r="L21" s="3">
        <f t="shared" si="0"/>
        <v>1.3687333742582362</v>
      </c>
      <c r="M21" s="3"/>
      <c r="N21" s="2">
        <f>IF('Modell einstellen'!$B$1="Voll",H21/0.35,H21/0.35*2)</f>
        <v>6.9046262857142869E-3</v>
      </c>
      <c r="O21" s="2">
        <f>IF('Modell einstellen'!$B$1="Voll",J21/0.35,J21/0.35*2)</f>
        <v>-1.1606206285714286E-2</v>
      </c>
      <c r="P21" s="3">
        <f t="shared" si="1"/>
        <v>0.59490811344728323</v>
      </c>
    </row>
    <row r="22" spans="1:16" x14ac:dyDescent="0.25">
      <c r="A22" s="3">
        <v>10000</v>
      </c>
      <c r="B22" s="3">
        <v>-4.0289999999999996E-3</v>
      </c>
      <c r="C22" s="3">
        <v>2.5230000000000001E-3</v>
      </c>
      <c r="D22" s="3">
        <v>1.242E-3</v>
      </c>
      <c r="E22" s="3">
        <v>0</v>
      </c>
      <c r="F22" s="3">
        <v>0</v>
      </c>
      <c r="G22" s="3">
        <v>0</v>
      </c>
      <c r="H22" s="3">
        <v>1.287765E-3</v>
      </c>
      <c r="I22" s="3">
        <v>6.2456394E-4</v>
      </c>
      <c r="J22" s="3">
        <v>-2.5127003000000002E-3</v>
      </c>
      <c r="L22" s="3">
        <f t="shared" si="0"/>
        <v>3.2439613526570046</v>
      </c>
      <c r="M22" s="3"/>
      <c r="N22" s="2">
        <f>IF('Modell einstellen'!$B$1="Voll",H22/0.35,H22/0.35*2)</f>
        <v>7.358657142857143E-3</v>
      </c>
      <c r="O22" s="2">
        <f>IF('Modell einstellen'!$B$1="Voll",J22/0.35,J22/0.35*2)</f>
        <v>-1.4358287428571431E-2</v>
      </c>
      <c r="P22" s="3">
        <f t="shared" si="1"/>
        <v>0.51250242617474107</v>
      </c>
    </row>
    <row r="23" spans="1:16" x14ac:dyDescent="0.25">
      <c r="A23" s="3">
        <v>100000</v>
      </c>
      <c r="B23" s="3">
        <v>-2.225E-3</v>
      </c>
      <c r="C23" s="3">
        <v>3.6440000000000001E-3</v>
      </c>
      <c r="D23" s="3">
        <v>-1.6479999999999999E-3</v>
      </c>
      <c r="E23" s="3">
        <v>0</v>
      </c>
      <c r="F23" s="3">
        <v>0</v>
      </c>
      <c r="G23" s="3">
        <v>0</v>
      </c>
      <c r="H23" s="3">
        <v>1.3966364000000001E-3</v>
      </c>
      <c r="I23" s="3">
        <v>8.2631632000000003E-4</v>
      </c>
      <c r="J23" s="3">
        <v>-3.0008460000000002E-3</v>
      </c>
      <c r="L23" s="3">
        <f t="shared" si="0"/>
        <v>-1.350121359223301</v>
      </c>
      <c r="M23" s="3"/>
      <c r="N23" s="2">
        <f>IF('Modell einstellen'!$B$1="Voll",H23/0.35,H23/0.35*2)</f>
        <v>7.9807794285714287E-3</v>
      </c>
      <c r="O23" s="2">
        <f>IF('Modell einstellen'!$B$1="Voll",J23/0.35,J23/0.35*2)</f>
        <v>-1.7147691428571431E-2</v>
      </c>
      <c r="P23" s="3">
        <f t="shared" si="1"/>
        <v>0.46541421985666703</v>
      </c>
    </row>
    <row r="24" spans="1:16" x14ac:dyDescent="0.25">
      <c r="A24" s="3">
        <v>1000000</v>
      </c>
      <c r="B24" s="3">
        <v>-5.9429999999999997E-4</v>
      </c>
      <c r="C24" s="3">
        <v>4.6220000000000002E-3</v>
      </c>
      <c r="D24" s="3">
        <v>-4.2319999999999997E-3</v>
      </c>
      <c r="E24" s="3">
        <v>0</v>
      </c>
      <c r="F24" s="3">
        <v>0</v>
      </c>
      <c r="G24" s="3">
        <v>0</v>
      </c>
      <c r="H24" s="3">
        <v>1.4488960000000001E-3</v>
      </c>
      <c r="I24" s="3">
        <v>9.7982032999999994E-4</v>
      </c>
      <c r="J24" s="3">
        <v>-3.3409365999999999E-3</v>
      </c>
      <c r="L24" s="3">
        <f t="shared" si="0"/>
        <v>-0.14043005671077505</v>
      </c>
      <c r="M24" s="3"/>
      <c r="N24" s="2">
        <f>IF('Modell einstellen'!$B$1="Voll",H24/0.35,H24/0.35*2)</f>
        <v>8.2794057142857157E-3</v>
      </c>
      <c r="O24" s="2">
        <f>IF('Modell einstellen'!$B$1="Voll",J24/0.35,J24/0.35*2)</f>
        <v>-1.9091066285714286E-2</v>
      </c>
      <c r="P24" s="3">
        <f t="shared" si="1"/>
        <v>0.4336795855389774</v>
      </c>
    </row>
    <row r="25" spans="1:16" x14ac:dyDescent="0.25">
      <c r="A25" s="3">
        <v>10000000</v>
      </c>
      <c r="B25" s="3">
        <v>6.0590000000000004E-4</v>
      </c>
      <c r="C25" s="3">
        <v>5.3489999999999996E-3</v>
      </c>
      <c r="D25" s="3">
        <v>-6.1409999999999998E-3</v>
      </c>
      <c r="E25" s="3">
        <v>0</v>
      </c>
      <c r="F25" s="3">
        <v>0</v>
      </c>
      <c r="G25" s="3">
        <v>0</v>
      </c>
      <c r="H25" s="3">
        <v>1.4670028999999999E-3</v>
      </c>
      <c r="I25" s="3">
        <v>1.0784218E-3</v>
      </c>
      <c r="J25" s="3">
        <v>-3.5436636000000001E-3</v>
      </c>
      <c r="L25" s="3">
        <f t="shared" si="0"/>
        <v>9.8664712587526474E-2</v>
      </c>
      <c r="M25" s="3"/>
      <c r="N25" s="2">
        <f>IF('Modell einstellen'!$B$1="Voll",H25/0.35,H25/0.35*2)</f>
        <v>8.3828737142857147E-3</v>
      </c>
      <c r="O25" s="2">
        <f>IF('Modell einstellen'!$B$1="Voll",J25/0.35,J25/0.35*2)</f>
        <v>-2.0249506285714286E-2</v>
      </c>
      <c r="P25" s="3">
        <f t="shared" si="1"/>
        <v>0.41397916551672681</v>
      </c>
    </row>
    <row r="26" spans="1:16" x14ac:dyDescent="0.25">
      <c r="A26" s="3">
        <v>100000000</v>
      </c>
      <c r="B26" s="3">
        <v>1.418E-3</v>
      </c>
      <c r="C26" s="3">
        <v>5.8809999999999999E-3</v>
      </c>
      <c r="D26" s="3">
        <v>-7.4720000000000003E-3</v>
      </c>
      <c r="E26" s="3">
        <v>0</v>
      </c>
      <c r="F26" s="3">
        <v>0</v>
      </c>
      <c r="G26" s="3">
        <v>0</v>
      </c>
      <c r="H26" s="3">
        <v>1.4774314000000001E-3</v>
      </c>
      <c r="I26" s="3">
        <v>1.1423606E-3</v>
      </c>
      <c r="J26" s="3">
        <v>-3.6735983999999998E-3</v>
      </c>
      <c r="L26" s="3">
        <f t="shared" si="0"/>
        <v>0.18977516059957172</v>
      </c>
      <c r="M26" s="3"/>
      <c r="N26" s="2">
        <f>IF('Modell einstellen'!$B$1="Voll",H26/0.35,H26/0.35*2)</f>
        <v>8.4424651428571442E-3</v>
      </c>
      <c r="O26" s="2">
        <f>IF('Modell einstellen'!$B$1="Voll",J26/0.35,J26/0.35*2)</f>
        <v>-2.0991990857142859E-2</v>
      </c>
      <c r="P26" s="3">
        <f t="shared" si="1"/>
        <v>0.40217553448411786</v>
      </c>
    </row>
    <row r="27" spans="1:16" x14ac:dyDescent="0.25">
      <c r="A27" s="3">
        <v>1000000000</v>
      </c>
      <c r="B27" s="3">
        <v>1.9859999999999999E-3</v>
      </c>
      <c r="C27" s="3">
        <v>6.2639999999999996E-3</v>
      </c>
      <c r="D27" s="3">
        <v>-8.4159999999999999E-3</v>
      </c>
      <c r="E27" s="3">
        <v>0</v>
      </c>
      <c r="F27" s="3">
        <v>0</v>
      </c>
      <c r="G27" s="3">
        <v>0</v>
      </c>
      <c r="H27" s="3">
        <v>1.4850436999999999E-3</v>
      </c>
      <c r="I27" s="3">
        <v>1.184287E-3</v>
      </c>
      <c r="J27" s="3">
        <v>-3.7594483E-3</v>
      </c>
      <c r="L27" s="3">
        <f t="shared" si="0"/>
        <v>0.23597908745247148</v>
      </c>
      <c r="M27" s="3"/>
      <c r="N27" s="2">
        <f>IF('Modell einstellen'!$B$1="Voll",H27/0.35,H27/0.35*2)</f>
        <v>8.4859640000000004E-3</v>
      </c>
      <c r="O27" s="2">
        <f>IF('Modell einstellen'!$B$1="Voll",J27/0.35,J27/0.35*2)</f>
        <v>-2.1482561714285715E-2</v>
      </c>
      <c r="P27" s="3">
        <f t="shared" si="1"/>
        <v>0.39501639110185399</v>
      </c>
    </row>
    <row r="28" spans="1:16" x14ac:dyDescent="0.25">
      <c r="A28" s="3">
        <v>10000000000</v>
      </c>
      <c r="B28" s="3">
        <v>2.1159999999999998E-3</v>
      </c>
      <c r="C28" s="3">
        <v>6.3540000000000003E-3</v>
      </c>
      <c r="D28" s="3">
        <v>-8.633E-3</v>
      </c>
      <c r="E28" s="3">
        <v>0</v>
      </c>
      <c r="F28" s="3">
        <v>0</v>
      </c>
      <c r="G28" s="3">
        <v>0</v>
      </c>
      <c r="H28" s="3">
        <v>1.4872793999999999E-3</v>
      </c>
      <c r="I28" s="3">
        <v>1.1940289000000001E-3</v>
      </c>
      <c r="J28" s="3">
        <v>-3.7798259E-3</v>
      </c>
      <c r="L28" s="3">
        <f t="shared" si="0"/>
        <v>0.24510598864821034</v>
      </c>
      <c r="M28" s="3"/>
      <c r="N28" s="2">
        <f>IF('Modell einstellen'!$B$1="Voll",H28/0.35,H28/0.35*2)</f>
        <v>8.4987394285714283E-3</v>
      </c>
      <c r="O28" s="2">
        <f>IF('Modell einstellen'!$B$1="Voll",J28/0.35,J28/0.35*2)</f>
        <v>-2.1599005142857144E-2</v>
      </c>
      <c r="P28" s="3">
        <f t="shared" si="1"/>
        <v>0.39347828163196613</v>
      </c>
    </row>
    <row r="29" spans="1:16" x14ac:dyDescent="0.25">
      <c r="A29" s="3">
        <v>100000000000</v>
      </c>
      <c r="B29" s="3">
        <v>2.2790000000000002E-3</v>
      </c>
      <c r="C29" s="3">
        <v>6.4679999999999998E-3</v>
      </c>
      <c r="D29" s="3">
        <v>-8.9090000000000003E-3</v>
      </c>
      <c r="E29" s="3">
        <v>0</v>
      </c>
      <c r="F29" s="3">
        <v>0</v>
      </c>
      <c r="G29" s="3">
        <v>0</v>
      </c>
      <c r="H29" s="3">
        <v>1.4899183999999999E-3</v>
      </c>
      <c r="I29" s="3">
        <v>1.2060299E-3</v>
      </c>
      <c r="J29" s="3">
        <v>-3.8048327E-3</v>
      </c>
      <c r="L29" s="3">
        <f t="shared" si="0"/>
        <v>0.25580873274217086</v>
      </c>
      <c r="M29" s="3"/>
      <c r="N29" s="2">
        <f>IF('Modell einstellen'!$B$1="Voll",H29/0.35,H29/0.35*2)</f>
        <v>8.5138194285714289E-3</v>
      </c>
      <c r="O29" s="2">
        <f>IF('Modell einstellen'!$B$1="Voll",J29/0.35,J29/0.35*2)</f>
        <v>-2.1741901142857144E-2</v>
      </c>
      <c r="P29" s="3">
        <f t="shared" si="1"/>
        <v>0.39158578509903996</v>
      </c>
    </row>
    <row r="30" spans="1:16" x14ac:dyDescent="0.25">
      <c r="A30" s="3">
        <v>1000000000000</v>
      </c>
      <c r="B30" s="3">
        <v>2.826E-3</v>
      </c>
      <c r="C30" s="3">
        <v>6.8079999999999998E-3</v>
      </c>
      <c r="D30" s="3">
        <v>-9.7890000000000008E-3</v>
      </c>
      <c r="E30" s="3">
        <v>0</v>
      </c>
      <c r="F30" s="3">
        <v>0</v>
      </c>
      <c r="G30" s="3">
        <v>0</v>
      </c>
      <c r="H30" s="3">
        <v>1.4978439000000001E-3</v>
      </c>
      <c r="I30" s="3">
        <v>1.237358E-3</v>
      </c>
      <c r="J30" s="3">
        <v>-3.8710681000000001E-3</v>
      </c>
      <c r="L30" s="3">
        <f t="shared" si="0"/>
        <v>0.28869138829298191</v>
      </c>
      <c r="M30" s="3"/>
      <c r="N30" s="2">
        <f>IF('Modell einstellen'!$B$1="Voll",H30/0.35,H30/0.35*2)</f>
        <v>8.559108000000001E-3</v>
      </c>
      <c r="O30" s="2">
        <f>IF('Modell einstellen'!$B$1="Voll",J30/0.35,J30/0.35*2)</f>
        <v>-2.2120389142857143E-2</v>
      </c>
      <c r="P30" s="3">
        <f t="shared" si="1"/>
        <v>0.38693297594015463</v>
      </c>
    </row>
    <row r="31" spans="1:16" x14ac:dyDescent="0.25">
      <c r="A31" s="3">
        <v>10000000000000</v>
      </c>
      <c r="B31" s="3">
        <v>2.8300000000000001E-3</v>
      </c>
      <c r="C31" s="3">
        <v>6.8129999999999996E-3</v>
      </c>
      <c r="D31" s="3">
        <v>-9.7990000000000004E-3</v>
      </c>
      <c r="E31" s="3">
        <v>0</v>
      </c>
      <c r="F31" s="3">
        <v>0</v>
      </c>
      <c r="G31" s="3">
        <v>0</v>
      </c>
      <c r="H31" s="3">
        <v>1.4983258000000001E-3</v>
      </c>
      <c r="I31" s="3">
        <v>1.2379768000000001E-3</v>
      </c>
      <c r="J31" s="3">
        <v>-3.8726876999999999E-3</v>
      </c>
      <c r="L31" s="3">
        <f t="shared" si="0"/>
        <v>0.28880498010001021</v>
      </c>
      <c r="M31" s="3"/>
      <c r="N31" s="2">
        <f>IF('Modell einstellen'!$B$1="Voll",H31/0.35,H31/0.35*2)</f>
        <v>8.5618617142857144E-3</v>
      </c>
      <c r="O31" s="2">
        <f>IF('Modell einstellen'!$B$1="Voll",J31/0.35,J31/0.35*2)</f>
        <v>-2.2129644E-2</v>
      </c>
      <c r="P31" s="3">
        <f t="shared" si="1"/>
        <v>0.38689559191669393</v>
      </c>
    </row>
    <row r="32" spans="1:16" x14ac:dyDescent="0.25">
      <c r="A32" s="3">
        <v>100000000000000</v>
      </c>
      <c r="B32" s="3">
        <v>3.1059999999999998E-3</v>
      </c>
      <c r="C32" s="3">
        <v>6.973E-3</v>
      </c>
      <c r="D32" s="3">
        <v>-1.023E-2</v>
      </c>
      <c r="E32" s="3">
        <v>0</v>
      </c>
      <c r="F32" s="3">
        <v>0</v>
      </c>
      <c r="G32" s="3">
        <v>0</v>
      </c>
      <c r="H32" s="3">
        <v>1.5017183000000001E-3</v>
      </c>
      <c r="I32" s="3">
        <v>1.2518473E-3</v>
      </c>
      <c r="J32" s="3">
        <v>-3.9018899999999999E-3</v>
      </c>
      <c r="L32" s="3">
        <f t="shared" si="0"/>
        <v>0.30361681329423262</v>
      </c>
      <c r="M32" s="3"/>
      <c r="N32" s="2">
        <f>IF('Modell einstellen'!$B$1="Voll",H32/0.35,H32/0.35*2)</f>
        <v>8.5812474285714303E-3</v>
      </c>
      <c r="O32" s="2">
        <f>IF('Modell einstellen'!$B$1="Voll",J32/0.35,J32/0.35*2)</f>
        <v>-2.2296514285714285E-2</v>
      </c>
      <c r="P32" s="3">
        <f t="shared" si="1"/>
        <v>0.38486946069725192</v>
      </c>
    </row>
    <row r="33" spans="1:16" x14ac:dyDescent="0.25">
      <c r="A33" s="3">
        <v>1000000000000000</v>
      </c>
      <c r="B33" s="3">
        <v>3.2130000000000001E-3</v>
      </c>
      <c r="C33" s="3">
        <v>7.0590000000000002E-3</v>
      </c>
      <c r="D33" s="3">
        <v>-1.042E-2</v>
      </c>
      <c r="E33" s="3">
        <v>0</v>
      </c>
      <c r="F33" s="3">
        <v>0</v>
      </c>
      <c r="G33" s="3">
        <v>0</v>
      </c>
      <c r="H33" s="3">
        <v>1.5019628E-3</v>
      </c>
      <c r="I33" s="3">
        <v>1.258129E-3</v>
      </c>
      <c r="J33" s="3">
        <v>-3.9138471999999999E-3</v>
      </c>
      <c r="L33" s="3">
        <f t="shared" si="0"/>
        <v>0.30834932821497119</v>
      </c>
      <c r="M33" s="3"/>
      <c r="N33" s="2">
        <f>IF('Modell einstellen'!$B$1="Voll",H33/0.35,H33/0.35*2)</f>
        <v>8.5826445714285715E-3</v>
      </c>
      <c r="O33" s="2">
        <f>IF('Modell einstellen'!$B$1="Voll",J33/0.35,J33/0.35*2)</f>
        <v>-2.2364841142857143E-2</v>
      </c>
      <c r="P33" s="3">
        <f t="shared" si="1"/>
        <v>0.38375611597713882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2022-01-12T10:19:47Z</dcterms:modified>
</cp:coreProperties>
</file>