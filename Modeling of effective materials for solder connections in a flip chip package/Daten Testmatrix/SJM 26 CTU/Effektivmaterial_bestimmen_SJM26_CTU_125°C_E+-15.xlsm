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4" i="43"/>
  <c r="D411" i="43"/>
  <c r="D416" i="43"/>
  <c r="D423" i="43"/>
  <c r="D428" i="43"/>
  <c r="D434" i="43"/>
  <c r="D409" i="43"/>
  <c r="D421" i="43"/>
  <c r="D407" i="43"/>
  <c r="D414" i="43"/>
  <c r="D418" i="43"/>
  <c r="D425" i="43"/>
  <c r="D427" i="43"/>
  <c r="D429" i="43"/>
  <c r="D432" i="43"/>
  <c r="D433" i="43"/>
  <c r="D410" i="43"/>
  <c r="D412" i="43"/>
  <c r="D420" i="43"/>
  <c r="D422" i="43"/>
  <c r="D431" i="43"/>
  <c r="D405" i="43"/>
  <c r="D408" i="43"/>
  <c r="D413" i="43"/>
  <c r="D415" i="43"/>
  <c r="D424" i="43"/>
  <c r="B405" i="43"/>
  <c r="B424" i="43"/>
  <c r="B425" i="43"/>
  <c r="B413" i="43"/>
  <c r="B414" i="43"/>
  <c r="B408" i="43"/>
  <c r="B428" i="43"/>
  <c r="B430" i="43"/>
  <c r="B419" i="43"/>
  <c r="B415" i="43"/>
  <c r="B417" i="43"/>
  <c r="B409" i="43"/>
  <c r="B406" i="43"/>
  <c r="B429" i="43"/>
  <c r="B411" i="43"/>
  <c r="B416" i="43"/>
  <c r="B432" i="43"/>
  <c r="B404" i="43"/>
  <c r="B410" i="43"/>
  <c r="B407" i="43"/>
  <c r="B431" i="43"/>
  <c r="B427" i="43"/>
  <c r="B420" i="43"/>
  <c r="B434" i="43"/>
  <c r="B423" i="43"/>
  <c r="B418" i="43"/>
  <c r="B433" i="43"/>
  <c r="B426" i="43"/>
  <c r="B421" i="43"/>
  <c r="B422" i="43"/>
  <c r="B412" i="43"/>
  <c r="C406" i="43"/>
  <c r="C423" i="43"/>
  <c r="C428" i="43"/>
  <c r="C404" i="43"/>
  <c r="C425" i="43"/>
  <c r="C427" i="43"/>
  <c r="C432" i="43"/>
  <c r="C409" i="43"/>
  <c r="C421" i="43"/>
  <c r="C434" i="43"/>
  <c r="C407" i="43"/>
  <c r="C414" i="43"/>
  <c r="C418" i="43"/>
  <c r="C429" i="43"/>
  <c r="C410" i="43"/>
  <c r="C412" i="43"/>
  <c r="C420" i="43"/>
  <c r="C422" i="43"/>
  <c r="C431" i="43"/>
  <c r="C405" i="43"/>
  <c r="C408" i="43"/>
  <c r="C415" i="43"/>
  <c r="C424" i="43"/>
  <c r="C433" i="43"/>
  <c r="C426" i="43"/>
  <c r="C417" i="43"/>
  <c r="C419" i="43"/>
  <c r="C430" i="43"/>
  <c r="C413" i="43"/>
  <c r="C411" i="43"/>
  <c r="C416" i="43"/>
  <c r="H434" i="43"/>
  <c r="H418" i="43"/>
  <c r="H415" i="43"/>
  <c r="H410" i="43"/>
  <c r="H424" i="43"/>
  <c r="H405" i="43"/>
  <c r="H413" i="43"/>
  <c r="H427" i="43"/>
  <c r="H422" i="43"/>
  <c r="H421" i="43"/>
  <c r="H412" i="43"/>
  <c r="H407" i="43"/>
  <c r="H417" i="43"/>
  <c r="H414" i="43"/>
  <c r="H430" i="43"/>
  <c r="H423" i="43"/>
  <c r="H416" i="43"/>
  <c r="H404" i="43"/>
  <c r="H409" i="43"/>
  <c r="H433" i="43"/>
  <c r="H428" i="43"/>
  <c r="H426" i="43"/>
  <c r="H408" i="43"/>
  <c r="H420" i="43"/>
  <c r="H432" i="43"/>
  <c r="H425" i="43"/>
  <c r="H419" i="43"/>
  <c r="H431" i="43"/>
  <c r="H411" i="43"/>
  <c r="H429" i="43"/>
  <c r="H406" i="43"/>
  <c r="G410" i="43"/>
  <c r="G413" i="43"/>
  <c r="G431" i="43"/>
  <c r="G416" i="43"/>
  <c r="G434" i="43"/>
  <c r="G428" i="43"/>
  <c r="G429" i="43"/>
  <c r="G411" i="43"/>
  <c r="G427" i="43"/>
  <c r="G409" i="43"/>
  <c r="G405" i="43"/>
  <c r="G433" i="43"/>
  <c r="G422" i="43"/>
  <c r="G426" i="43"/>
  <c r="G408" i="43"/>
  <c r="G424" i="43"/>
  <c r="G406" i="43"/>
  <c r="G419" i="43"/>
  <c r="G423" i="43"/>
  <c r="G421" i="43"/>
  <c r="G415" i="43"/>
  <c r="G407" i="43"/>
  <c r="G420" i="43"/>
  <c r="G404" i="43"/>
  <c r="G418" i="43"/>
  <c r="G417" i="43"/>
  <c r="G425" i="43"/>
  <c r="G432" i="43"/>
  <c r="G414" i="43"/>
  <c r="G430" i="43"/>
  <c r="G412" i="43"/>
  <c r="E405" i="43"/>
  <c r="E408" i="43"/>
  <c r="E413" i="43"/>
  <c r="E415" i="43"/>
  <c r="E424" i="43"/>
  <c r="E433" i="43"/>
  <c r="E423" i="43"/>
  <c r="E404" i="43"/>
  <c r="E406" i="43"/>
  <c r="E417" i="43"/>
  <c r="E419" i="43"/>
  <c r="E426" i="43"/>
  <c r="E430" i="43"/>
  <c r="E411" i="43"/>
  <c r="E416" i="43"/>
  <c r="E434" i="43"/>
  <c r="E422" i="43"/>
  <c r="E418" i="43"/>
  <c r="E425" i="43"/>
  <c r="E427" i="43"/>
  <c r="E429" i="43"/>
  <c r="E431" i="43"/>
  <c r="E410" i="43"/>
  <c r="E420" i="43"/>
  <c r="E421" i="43"/>
  <c r="E409" i="43"/>
  <c r="E432" i="43"/>
  <c r="E412" i="43"/>
  <c r="E407" i="43"/>
  <c r="E428" i="43"/>
  <c r="E414" i="43"/>
  <c r="F415" i="43"/>
  <c r="F410" i="43"/>
  <c r="F420" i="43"/>
  <c r="F431" i="43"/>
  <c r="F424" i="43"/>
  <c r="F430" i="43"/>
  <c r="F419" i="43"/>
  <c r="F416" i="43"/>
  <c r="F423" i="43"/>
  <c r="F404" i="43"/>
  <c r="F434" i="43"/>
  <c r="F427" i="43"/>
  <c r="F421" i="43"/>
  <c r="F425" i="43"/>
  <c r="F426" i="43"/>
  <c r="F412" i="43"/>
  <c r="F407" i="43"/>
  <c r="F417" i="43"/>
  <c r="F414" i="43"/>
  <c r="F422" i="43"/>
  <c r="F411" i="43"/>
  <c r="F405" i="43"/>
  <c r="F432" i="43"/>
  <c r="F418" i="43"/>
  <c r="F409" i="43"/>
  <c r="F428" i="43"/>
  <c r="F429" i="43"/>
  <c r="F406" i="43"/>
  <c r="F408"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O3" i="8"/>
  <c r="AY3" i="8" s="1"/>
  <c r="Q33" i="8"/>
  <c r="BA33" i="8" s="1"/>
  <c r="AQ7" i="8" l="1"/>
  <c r="AQ4" i="8"/>
  <c r="N405" i="43" s="1"/>
  <c r="AP15" i="8"/>
  <c r="AP5" i="8"/>
  <c r="AO11" i="8"/>
  <c r="AO16"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0" i="43" s="1"/>
  <c r="AM21" i="8"/>
  <c r="AO8" i="8"/>
  <c r="AO7" i="8"/>
  <c r="L408" i="43" s="1"/>
  <c r="AN10" i="8"/>
  <c r="K411" i="43" s="1"/>
  <c r="AS9" i="8"/>
  <c r="P410" i="43" s="1"/>
  <c r="AQ21" i="8"/>
  <c r="T286" i="43" s="1"/>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M416" i="43"/>
  <c r="R16" i="43"/>
  <c r="N247" i="43"/>
  <c r="BE7" i="8"/>
  <c r="AS7" i="8"/>
  <c r="BB19" i="8"/>
  <c r="AP19" i="8"/>
  <c r="N408" i="43"/>
  <c r="F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BD28" i="8"/>
  <c r="BD6" i="8"/>
  <c r="AZ12" i="8"/>
  <c r="BD33" i="8"/>
  <c r="AQ5" i="8"/>
  <c r="AR26" i="8"/>
  <c r="S208" i="43"/>
  <c r="L421" i="43"/>
  <c r="Z364" i="43"/>
  <c r="P428" i="43"/>
  <c r="BE23" i="8"/>
  <c r="O364" i="43" l="1"/>
  <c r="S164" i="43"/>
  <c r="S165" i="43" s="1"/>
  <c r="N422" i="43"/>
  <c r="J281" i="43"/>
  <c r="J282" i="43" s="1"/>
  <c r="C280" i="43"/>
  <c r="T208" i="43"/>
  <c r="T241" i="43" s="1"/>
  <c r="Q208" i="43"/>
  <c r="Q241" i="43" s="1"/>
  <c r="I202" i="43"/>
  <c r="F208" i="43"/>
  <c r="AB16" i="43"/>
  <c r="AB49" i="43" s="1"/>
  <c r="AB50" i="43" s="1"/>
  <c r="P432" i="43"/>
  <c r="V169" i="43"/>
  <c r="V203" i="43" s="1"/>
  <c r="V204" i="43" s="1"/>
  <c r="P364" i="43"/>
  <c r="P397" i="43" s="1"/>
  <c r="P16" i="43"/>
  <c r="AD286" i="43"/>
  <c r="V398" i="43"/>
  <c r="V399" i="43" s="1"/>
  <c r="M426" i="43"/>
  <c r="U364" i="43"/>
  <c r="U397" i="43" s="1"/>
  <c r="X280" i="43"/>
  <c r="G130" i="43"/>
  <c r="L247" i="43"/>
  <c r="H247" i="43"/>
  <c r="P430" i="43"/>
  <c r="AB397" i="43"/>
  <c r="AB169" i="43"/>
  <c r="AB202" i="43" s="1"/>
  <c r="B364" i="43"/>
  <c r="Z359" i="43"/>
  <c r="Z360" i="43" s="1"/>
  <c r="J422" i="43"/>
  <c r="T130" i="43"/>
  <c r="M359" i="43"/>
  <c r="M360" i="43" s="1"/>
  <c r="G364" i="43"/>
  <c r="G397" i="43" s="1"/>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J203" i="43"/>
  <c r="J204" i="43" s="1"/>
  <c r="J202"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T242" i="43" l="1"/>
  <c r="T243" i="43" s="1"/>
  <c r="V202" i="43"/>
  <c r="U398" i="43"/>
  <c r="U399" i="43" s="1"/>
  <c r="Q242" i="43"/>
  <c r="Q243" i="43" s="1"/>
  <c r="AB203" i="43"/>
  <c r="AB204" i="43" s="1"/>
  <c r="P398" i="43"/>
  <c r="P399"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<sst xmlns="http://schemas.openxmlformats.org/spreadsheetml/2006/main" count="311" uniqueCount="164">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</sst>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8769168"/>
        <c:axId val="4487707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769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70736"/>
        <c:crossesAt val="-8.0000000000000019E-3"/>
        <c:crossBetween val="midCat"/>
      </c:valAx>
      <c:valAx>
        <c:axId val="44877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69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8769952"/>
        <c:axId val="4487703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76995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70344"/>
        <c:crosses val="autoZero"/>
        <c:crossBetween val="midCat"/>
      </c:valAx>
      <c:valAx>
        <c:axId val="44877034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6995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2137168"/>
        <c:axId val="452141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2137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1480"/>
        <c:crosses val="autoZero"/>
        <c:crossBetween val="midCat"/>
        <c:majorUnit val="10000"/>
      </c:valAx>
      <c:valAx>
        <c:axId val="4521414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71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2136384"/>
        <c:axId val="452141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1363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2141872"/>
        <c:crosses val="autoZero"/>
        <c:crossBetween val="midCat"/>
        <c:majorUnit val="10000"/>
      </c:valAx>
      <c:valAx>
        <c:axId val="45214187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213638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2143048"/>
        <c:axId val="452143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1430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3440"/>
        <c:crosses val="autoZero"/>
        <c:crossBetween val="midCat"/>
        <c:majorUnit val="10000"/>
      </c:valAx>
      <c:valAx>
        <c:axId val="45214344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304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1.0067312593258947E-2</c:v>
                </c:pt>
                <c:pt idx="1">
                  <c:v>1.349732251792217E-2</c:v>
                </c:pt>
                <c:pt idx="2">
                  <c:v>3.6873192018934968E-3</c:v>
                </c:pt>
                <c:pt idx="3">
                  <c:v>6.2343464299865136E-4</c:v>
                </c:pt>
                <c:pt idx="4">
                  <c:v>8.9638770821850032E-5</c:v>
                </c:pt>
                <c:pt idx="5">
                  <c:v>9.5662616121816482E-6</c:v>
                </c:pt>
                <c:pt idx="6">
                  <c:v>4.7397261509161389E-6</c:v>
                </c:pt>
                <c:pt idx="7">
                  <c:v>1.878435307937081E-5</c:v>
                </c:pt>
                <c:pt idx="8">
                  <c:v>4.6255038761616384E-5</c:v>
                </c:pt>
                <c:pt idx="9">
                  <c:v>9.8228290764280243E-5</c:v>
                </c:pt>
                <c:pt idx="10">
                  <c:v>1.7495699789944679E-4</c:v>
                </c:pt>
                <c:pt idx="11">
                  <c:v>2.6707817102075178E-4</c:v>
                </c:pt>
                <c:pt idx="12">
                  <c:v>3.4901054588901207E-4</c:v>
                </c:pt>
                <c:pt idx="13">
                  <c:v>3.9290969171334474E-4</c:v>
                </c:pt>
                <c:pt idx="14">
                  <c:v>3.9091213865745844E-4</c:v>
                </c:pt>
                <c:pt idx="15">
                  <c:v>3.5096601386235883E-4</c:v>
                </c:pt>
                <c:pt idx="16">
                  <c:v>3.0980028440342653E-4</c:v>
                </c:pt>
                <c:pt idx="17">
                  <c:v>2.6094068288632532E-4</c:v>
                </c:pt>
                <c:pt idx="18">
                  <c:v>1.9794707460114999E-4</c:v>
                </c:pt>
                <c:pt idx="19">
                  <c:v>1.359075333871698E-4</c:v>
                </c:pt>
                <c:pt idx="20">
                  <c:v>8.0490517715463785E-5</c:v>
                </c:pt>
                <c:pt idx="21">
                  <c:v>4.8327791879072704E-5</c:v>
                </c:pt>
                <c:pt idx="22">
                  <c:v>4.7298664757714763E-5</c:v>
                </c:pt>
                <c:pt idx="23">
                  <c:v>7.3835695050132575E-5</c:v>
                </c:pt>
                <c:pt idx="24">
                  <c:v>8.4685316605758612E-5</c:v>
                </c:pt>
                <c:pt idx="25">
                  <c:v>1.838015630508695E-4</c:v>
                </c:pt>
                <c:pt idx="26">
                  <c:v>5.4898576921067822E-4</c:v>
                </c:pt>
                <c:pt idx="27">
                  <c:v>7.642189684380962E-4</c:v>
                </c:pt>
                <c:pt idx="28">
                  <c:v>1.0784998591530362E-3</c:v>
                </c:pt>
                <c:pt idx="29">
                  <c:v>1.4897650263776515E-3</c:v>
                </c:pt>
                <c:pt idx="30">
                  <c:v>8.514801677509215E-4</c:v>
                </c:pt>
              </c:numCache>
            </c:numRef>
          </c:yVal>
          <c:smooth val="1"/>
        </c:ser>
        <c:dLbls>
          <c:showLegendKey val="0"/>
          <c:showVal val="0"/>
          <c:showCatName val="0"/>
          <c:showSerName val="0"/>
          <c:showPercent val="0"/>
          <c:showBubbleSize val="0"/>
        </c:dLbls>
        <c:axId val="452136776"/>
        <c:axId val="452137952"/>
      </c:scatterChart>
      <c:valAx>
        <c:axId val="452136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7952"/>
        <c:crossesAt val="-1.5000000000000005E-3"/>
        <c:crossBetween val="midCat"/>
      </c:valAx>
      <c:valAx>
        <c:axId val="4521379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67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5718.4352679377425</c:v>
                </c:pt>
                <c:pt idx="1">
                  <c:v>5646.8950208212655</c:v>
                </c:pt>
                <c:pt idx="2">
                  <c:v>5380.8502583472291</c:v>
                </c:pt>
                <c:pt idx="3">
                  <c:v>5218.3191335138126</c:v>
                </c:pt>
                <c:pt idx="4">
                  <c:v>4984.9782081116809</c:v>
                </c:pt>
                <c:pt idx="5">
                  <c:v>4758.3806107672253</c:v>
                </c:pt>
                <c:pt idx="6">
                  <c:v>4565.5330812752654</c:v>
                </c:pt>
                <c:pt idx="7">
                  <c:v>4384.7921071931505</c:v>
                </c:pt>
                <c:pt idx="8">
                  <c:v>4203.3598517313285</c:v>
                </c:pt>
                <c:pt idx="9">
                  <c:v>4026.4216005834278</c:v>
                </c:pt>
                <c:pt idx="10">
                  <c:v>3843.4970728157004</c:v>
                </c:pt>
                <c:pt idx="11">
                  <c:v>3636.9374064674648</c:v>
                </c:pt>
                <c:pt idx="12">
                  <c:v>3408.2366079461945</c:v>
                </c:pt>
                <c:pt idx="13">
                  <c:v>3144.4832851406777</c:v>
                </c:pt>
                <c:pt idx="14">
                  <c:v>2839.0852393708569</c:v>
                </c:pt>
                <c:pt idx="15">
                  <c:v>2425.3147818710713</c:v>
                </c:pt>
                <c:pt idx="16">
                  <c:v>1855.3828989874442</c:v>
                </c:pt>
                <c:pt idx="17">
                  <c:v>1268.8426653232004</c:v>
                </c:pt>
                <c:pt idx="18">
                  <c:v>808.36801386965885</c:v>
                </c:pt>
                <c:pt idx="19">
                  <c:v>508.95962302565101</c:v>
                </c:pt>
                <c:pt idx="20">
                  <c:v>344.08156956820147</c:v>
                </c:pt>
                <c:pt idx="21">
                  <c:v>262.71972896285871</c:v>
                </c:pt>
                <c:pt idx="22">
                  <c:v>222.95043241972559</c:v>
                </c:pt>
                <c:pt idx="23">
                  <c:v>201.30727641187875</c:v>
                </c:pt>
                <c:pt idx="24">
                  <c:v>188.04161733900969</c:v>
                </c:pt>
                <c:pt idx="25">
                  <c:v>181.17947244222572</c:v>
                </c:pt>
                <c:pt idx="26">
                  <c:v>171.63859251976763</c:v>
                </c:pt>
                <c:pt idx="27">
                  <c:v>165.00765420134707</c:v>
                </c:pt>
                <c:pt idx="28">
                  <c:v>164.32404912574731</c:v>
                </c:pt>
                <c:pt idx="29">
                  <c:v>163.25012002422946</c:v>
                </c:pt>
                <c:pt idx="30">
                  <c:v>162.78400175033337</c:v>
                </c:pt>
              </c:numCache>
            </c:numRef>
          </c:yVal>
          <c:smooth val="1"/>
        </c:ser>
        <c:dLbls>
          <c:showLegendKey val="0"/>
          <c:showVal val="0"/>
          <c:showCatName val="0"/>
          <c:showSerName val="0"/>
          <c:showPercent val="0"/>
          <c:showBubbleSize val="0"/>
        </c:dLbls>
        <c:axId val="452140304"/>
        <c:axId val="452138344"/>
      </c:scatterChart>
      <c:valAx>
        <c:axId val="452140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8344"/>
        <c:crosses val="autoZero"/>
        <c:crossBetween val="midCat"/>
      </c:valAx>
      <c:valAx>
        <c:axId val="4521383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03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1.4197810947806913E-2</c:v>
                </c:pt>
                <c:pt idx="1">
                  <c:v>1.4207728184178179E-2</c:v>
                </c:pt>
                <c:pt idx="2">
                  <c:v>1.420256581876086E-2</c:v>
                </c:pt>
                <c:pt idx="3">
                  <c:v>1.4201207593987753E-2</c:v>
                </c:pt>
                <c:pt idx="4">
                  <c:v>1.4200819022555622E-2</c:v>
                </c:pt>
                <c:pt idx="5">
                  <c:v>1.4200729187245782E-2</c:v>
                </c:pt>
                <c:pt idx="6">
                  <c:v>1.4200989575891354E-2</c:v>
                </c:pt>
                <c:pt idx="7">
                  <c:v>1.4203969026834863E-2</c:v>
                </c:pt>
                <c:pt idx="8">
                  <c:v>1.423397652097602E-2</c:v>
                </c:pt>
                <c:pt idx="9">
                  <c:v>1.4533813481318507E-2</c:v>
                </c:pt>
                <c:pt idx="10">
                  <c:v>1.7504577647837628E-2</c:v>
                </c:pt>
                <c:pt idx="11">
                  <c:v>4.4614674130558626E-2</c:v>
                </c:pt>
                <c:pt idx="12">
                  <c:v>0.16490405156867244</c:v>
                </c:pt>
                <c:pt idx="13">
                  <c:v>0.19082252090089757</c:v>
                </c:pt>
                <c:pt idx="14">
                  <c:v>0.17947780027765792</c:v>
                </c:pt>
                <c:pt idx="15">
                  <c:v>0.15995147049540612</c:v>
                </c:pt>
                <c:pt idx="16">
                  <c:v>0.14544170211511712</c:v>
                </c:pt>
                <c:pt idx="17">
                  <c:v>0.1322938754421549</c:v>
                </c:pt>
                <c:pt idx="18">
                  <c:v>0.13307234956113145</c:v>
                </c:pt>
                <c:pt idx="19">
                  <c:v>0.1519005411991074</c:v>
                </c:pt>
                <c:pt idx="20">
                  <c:v>0.14095140706916703</c:v>
                </c:pt>
                <c:pt idx="21">
                  <c:v>8.7005333972832957E-2</c:v>
                </c:pt>
                <c:pt idx="22">
                  <c:v>2.7470373739136269E-2</c:v>
                </c:pt>
                <c:pt idx="23">
                  <c:v>0.15342066742372207</c:v>
                </c:pt>
                <c:pt idx="24">
                  <c:v>0.26008159280100501</c:v>
                </c:pt>
                <c:pt idx="25">
                  <c:v>0.34812575094433473</c:v>
                </c:pt>
                <c:pt idx="26">
                  <c:v>0.4199098398195622</c:v>
                </c:pt>
                <c:pt idx="27">
                  <c:v>0.46115607404475623</c:v>
                </c:pt>
                <c:pt idx="28">
                  <c:v>0.46996535518512744</c:v>
                </c:pt>
                <c:pt idx="29">
                  <c:v>0.45920791904659081</c:v>
                </c:pt>
                <c:pt idx="30">
                  <c:v>0.41317582285675464</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5.7613759291990441E-3</c:v>
                </c:pt>
                <c:pt idx="1">
                  <c:v>5.160470330739228E-3</c:v>
                </c:pt>
                <c:pt idx="2">
                  <c:v>6.4719139804821286E-4</c:v>
                </c:pt>
                <c:pt idx="3">
                  <c:v>4.8405769942332505E-2</c:v>
                </c:pt>
                <c:pt idx="4">
                  <c:v>0.14268325300793566</c:v>
                </c:pt>
                <c:pt idx="5">
                  <c:v>0.1295596081404837</c:v>
                </c:pt>
                <c:pt idx="6">
                  <c:v>0.11424224588177465</c:v>
                </c:pt>
                <c:pt idx="7">
                  <c:v>9.6544971957899989E-2</c:v>
                </c:pt>
                <c:pt idx="8">
                  <c:v>7.7418000766555403E-2</c:v>
                </c:pt>
                <c:pt idx="9">
                  <c:v>5.9926885281923428E-2</c:v>
                </c:pt>
                <c:pt idx="10">
                  <c:v>6.9414133987797597E-2</c:v>
                </c:pt>
                <c:pt idx="11">
                  <c:v>7.5602453077470919E-2</c:v>
                </c:pt>
                <c:pt idx="12">
                  <c:v>8.4927387099654403E-2</c:v>
                </c:pt>
                <c:pt idx="13">
                  <c:v>9.7475966137227574E-2</c:v>
                </c:pt>
                <c:pt idx="14">
                  <c:v>9.8734485343221712E-2</c:v>
                </c:pt>
                <c:pt idx="15">
                  <c:v>9.1737284742974476E-2</c:v>
                </c:pt>
                <c:pt idx="16">
                  <c:v>8.3961067045823248E-2</c:v>
                </c:pt>
                <c:pt idx="17">
                  <c:v>4.8756702853674415E-2</c:v>
                </c:pt>
                <c:pt idx="18">
                  <c:v>6.4087175017498735E-2</c:v>
                </c:pt>
                <c:pt idx="19">
                  <c:v>0.21435068687846345</c:v>
                </c:pt>
                <c:pt idx="20">
                  <c:v>0.34775708037101033</c:v>
                </c:pt>
                <c:pt idx="21">
                  <c:v>0.43987475632506767</c:v>
                </c:pt>
                <c:pt idx="22">
                  <c:v>0.48488525924904702</c:v>
                </c:pt>
                <c:pt idx="23">
                  <c:v>0.4707798882174451</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8.7984658018477341E-3</c:v>
                </c:pt>
                <c:pt idx="1">
                  <c:v>0.10749469180062217</c:v>
                </c:pt>
                <c:pt idx="2">
                  <c:v>0.12252685575895106</c:v>
                </c:pt>
                <c:pt idx="3">
                  <c:v>0.10690923878866071</c:v>
                </c:pt>
                <c:pt idx="4">
                  <c:v>8.9005842521385894E-2</c:v>
                </c:pt>
                <c:pt idx="5">
                  <c:v>6.9198972784742491E-2</c:v>
                </c:pt>
                <c:pt idx="6">
                  <c:v>4.7997607264379814E-2</c:v>
                </c:pt>
                <c:pt idx="7">
                  <c:v>4.1295108883856013E-2</c:v>
                </c:pt>
                <c:pt idx="8">
                  <c:v>5.7496916191120274E-2</c:v>
                </c:pt>
                <c:pt idx="9">
                  <c:v>6.0188131563126163E-2</c:v>
                </c:pt>
                <c:pt idx="10">
                  <c:v>7.3386273907281044E-2</c:v>
                </c:pt>
                <c:pt idx="11">
                  <c:v>7.659906182912718E-2</c:v>
                </c:pt>
                <c:pt idx="12">
                  <c:v>7.0588503537974343E-2</c:v>
                </c:pt>
                <c:pt idx="13">
                  <c:v>6.8471297162611383E-2</c:v>
                </c:pt>
                <c:pt idx="14">
                  <c:v>7.0889858777671802E-2</c:v>
                </c:pt>
                <c:pt idx="15">
                  <c:v>6.8575659988537194E-2</c:v>
                </c:pt>
                <c:pt idx="16">
                  <c:v>4.7747906828573002E-2</c:v>
                </c:pt>
                <c:pt idx="17">
                  <c:v>3.6514510136296786E-2</c:v>
                </c:pt>
                <c:pt idx="18">
                  <c:v>0.17508921606519345</c:v>
                </c:pt>
                <c:pt idx="19">
                  <c:v>0.30790872150093229</c:v>
                </c:pt>
                <c:pt idx="20">
                  <c:v>0.39799730540348938</c:v>
                </c:pt>
                <c:pt idx="21">
                  <c:v>0.37191428937381638</c:v>
                </c:pt>
                <c:pt idx="22">
                  <c:v>0.21462678251661299</c:v>
                </c:pt>
                <c:pt idx="23">
                  <c:v>1.1871652862036147E-2</c:v>
                </c:pt>
                <c:pt idx="24">
                  <c:v>0.15139349112058204</c:v>
                </c:pt>
                <c:pt idx="25">
                  <c:v>0.23310228910818845</c:v>
                </c:pt>
                <c:pt idx="26">
                  <c:v>0.2265586253305171</c:v>
                </c:pt>
                <c:pt idx="27">
                  <c:v>0.1467268970645759</c:v>
                </c:pt>
                <c:pt idx="28">
                  <c:v>9.3763631231345221E-2</c:v>
                </c:pt>
                <c:pt idx="29">
                  <c:v>4.552812866160158E-2</c:v>
                </c:pt>
                <c:pt idx="30">
                  <c:v>3.6174278734525452E-2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1.0794163307402004E-2</c:v>
                </c:pt>
                <c:pt idx="1">
                  <c:v>2.3468161430284289E-2</c:v>
                </c:pt>
                <c:pt idx="2">
                  <c:v>2.3086120686352414E-2</c:v>
                </c:pt>
                <c:pt idx="3">
                  <c:v>2.5235084219355081E-2</c:v>
                </c:pt>
                <c:pt idx="4">
                  <c:v>2.5711531402707939E-2</c:v>
                </c:pt>
                <c:pt idx="5">
                  <c:v>3.0314823478341225E-2</c:v>
                </c:pt>
                <c:pt idx="6">
                  <c:v>3.4261242071633405E-2</c:v>
                </c:pt>
                <c:pt idx="7">
                  <c:v>3.998289109823587E-2</c:v>
                </c:pt>
                <c:pt idx="8">
                  <c:v>4.5418684958163223E-2</c:v>
                </c:pt>
                <c:pt idx="9">
                  <c:v>3.9153534534115214E-2</c:v>
                </c:pt>
                <c:pt idx="10">
                  <c:v>2.025493793131506E-2</c:v>
                </c:pt>
                <c:pt idx="11">
                  <c:v>0.11472165595295906</c:v>
                </c:pt>
                <c:pt idx="12">
                  <c:v>0.21283445869106735</c:v>
                </c:pt>
                <c:pt idx="13">
                  <c:v>0.30382615747357916</c:v>
                </c:pt>
                <c:pt idx="14">
                  <c:v>0.38447945206548451</c:v>
                </c:pt>
                <c:pt idx="15">
                  <c:v>0.43460009957540791</c:v>
                </c:pt>
                <c:pt idx="16">
                  <c:v>0.4401513613464928</c:v>
                </c:pt>
                <c:pt idx="17">
                  <c:v>0.39051644758711868</c:v>
                </c:pt>
                <c:pt idx="18">
                  <c:v>0.29940428344182402</c:v>
                </c:pt>
                <c:pt idx="19">
                  <c:v>0.21166682333417794</c:v>
                </c:pt>
                <c:pt idx="20">
                  <c:v>0.13027386173566233</c:v>
                </c:pt>
                <c:pt idx="21">
                  <c:v>9.6586734900503998E-2</c:v>
                </c:pt>
                <c:pt idx="22">
                  <c:v>5.8383694590205301E-2</c:v>
                </c:pt>
                <c:pt idx="23">
                  <c:v>3.8367840376955571E-2</c:v>
                </c:pt>
                <c:pt idx="24">
                  <c:v>2.4318584473611123E-2</c:v>
                </c:pt>
                <c:pt idx="25">
                  <c:v>2.0114085273256907E-2</c:v>
                </c:pt>
                <c:pt idx="26">
                  <c:v>1.4970893998658037E-2</c:v>
                </c:pt>
                <c:pt idx="27">
                  <c:v>1.1740896451438128E-3</c:v>
                </c:pt>
                <c:pt idx="28">
                  <c:v>7.8312912081213669E-4</c:v>
                </c:pt>
                <c:pt idx="29">
                  <c:v>5.2807681423270624E-3</c:v>
                </c:pt>
                <c:pt idx="30">
                  <c:v>7.550757687764943E-3</c:v>
                </c:pt>
              </c:numCache>
            </c:numRef>
          </c:yVal>
          <c:smooth val="1"/>
        </c:ser>
        <c:dLbls>
          <c:showLegendKey val="0"/>
          <c:showVal val="0"/>
          <c:showCatName val="0"/>
          <c:showSerName val="0"/>
          <c:showPercent val="0"/>
          <c:showBubbleSize val="0"/>
        </c:dLbls>
        <c:axId val="452139128"/>
        <c:axId val="452139912"/>
      </c:scatterChart>
      <c:valAx>
        <c:axId val="4521391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9912"/>
        <c:crossesAt val="1.0000000000000005E-9"/>
        <c:crossBetween val="midCat"/>
      </c:valAx>
      <c:valAx>
        <c:axId val="452139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912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-38.517353384161886</c:v>
                </c:pt>
                <c:pt idx="1">
                  <c:v>-28.242677524374091</c:v>
                </c:pt>
                <c:pt idx="2">
                  <c:v>-23.278139985677022</c:v>
                </c:pt>
                <c:pt idx="3">
                  <c:v>-19.20027621554874</c:v>
                </c:pt>
                <c:pt idx="4">
                  <c:v>-13.208808155790608</c:v>
                </c:pt>
                <c:pt idx="5">
                  <c:v>0</c:v>
                </c:pt>
                <c:pt idx="6">
                  <c:v>13.597146440199497</c:v>
                </c:pt>
              </c:numCache>
            </c:numRef>
          </c:yVal>
          <c:smooth val="0"/>
        </c:ser>
        <c:dLbls>
          <c:showLegendKey val="0"/>
          <c:showVal val="0"/>
          <c:showCatName val="0"/>
          <c:showSerName val="0"/>
          <c:showPercent val="0"/>
          <c:showBubbleSize val="0"/>
        </c:dLbls>
        <c:axId val="452141088"/>
        <c:axId val="447048768"/>
      </c:scatterChart>
      <c:valAx>
        <c:axId val="452141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048768"/>
        <c:crossesAt val="-100"/>
        <c:crossBetween val="midCat"/>
      </c:valAx>
      <c:valAx>
        <c:axId val="447048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108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454233656"/>
        <c:axId val="454233264"/>
      </c:scatterChart>
      <c:valAx>
        <c:axId val="45423365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3264"/>
        <c:crosses val="autoZero"/>
        <c:crossBetween val="midCat"/>
      </c:valAx>
      <c:valAx>
        <c:axId val="45423326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365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1.871224813116794E-32</c:v>
                </c:pt>
                <c:pt idx="1">
                  <c:v>1.8712248131167939E-31</c:v>
                </c:pt>
                <c:pt idx="2">
                  <c:v>1.8712248131167939E-30</c:v>
                </c:pt>
                <c:pt idx="3">
                  <c:v>1.871224813116794E-29</c:v>
                </c:pt>
                <c:pt idx="4">
                  <c:v>1.8712248131167937E-28</c:v>
                </c:pt>
                <c:pt idx="5">
                  <c:v>1.8712248131167939E-27</c:v>
                </c:pt>
                <c:pt idx="6">
                  <c:v>1.8712248131167941E-26</c:v>
                </c:pt>
                <c:pt idx="7">
                  <c:v>1.8712248131167939E-25</c:v>
                </c:pt>
                <c:pt idx="8">
                  <c:v>1.8712248131167939E-24</c:v>
                </c:pt>
                <c:pt idx="9">
                  <c:v>1.8712248131167937E-23</c:v>
                </c:pt>
                <c:pt idx="10">
                  <c:v>1.8712248131167941E-22</c:v>
                </c:pt>
                <c:pt idx="11">
                  <c:v>1.8712248131167941E-21</c:v>
                </c:pt>
                <c:pt idx="12">
                  <c:v>1.8712248131167938E-20</c:v>
                </c:pt>
                <c:pt idx="13">
                  <c:v>1.8712248131167939E-19</c:v>
                </c:pt>
                <c:pt idx="14">
                  <c:v>1.8712248131167941E-18</c:v>
                </c:pt>
                <c:pt idx="15">
                  <c:v>1.8712248131167939E-17</c:v>
                </c:pt>
                <c:pt idx="16">
                  <c:v>1.871224813116794E-16</c:v>
                </c:pt>
                <c:pt idx="17">
                  <c:v>1.8712248131167938E-15</c:v>
                </c:pt>
                <c:pt idx="18">
                  <c:v>1.8712248131167941E-14</c:v>
                </c:pt>
                <c:pt idx="19">
                  <c:v>1.8712248131167939E-13</c:v>
                </c:pt>
                <c:pt idx="20">
                  <c:v>1.8712248131167937E-12</c:v>
                </c:pt>
                <c:pt idx="21">
                  <c:v>1.8712248131167941E-11</c:v>
                </c:pt>
                <c:pt idx="22">
                  <c:v>1.8712248131167938E-10</c:v>
                </c:pt>
                <c:pt idx="23">
                  <c:v>1.871224813116794E-9</c:v>
                </c:pt>
                <c:pt idx="24">
                  <c:v>1.8712248131167938E-8</c:v>
                </c:pt>
                <c:pt idx="25">
                  <c:v>1.871224813116794E-7</c:v>
                </c:pt>
                <c:pt idx="26">
                  <c:v>1.8712248131167939E-6</c:v>
                </c:pt>
                <c:pt idx="27">
                  <c:v>1.8712248131167939E-5</c:v>
                </c:pt>
                <c:pt idx="28">
                  <c:v>1.8712248131167938E-4</c:v>
                </c:pt>
                <c:pt idx="29">
                  <c:v>1.8712248131167938E-3</c:v>
                </c:pt>
                <c:pt idx="30">
                  <c:v>1.8712248131167938E-2</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5.4245160308756829E-28</c:v>
                </c:pt>
                <c:pt idx="1">
                  <c:v>5.4245160308756822E-27</c:v>
                </c:pt>
                <c:pt idx="2">
                  <c:v>5.4245160308756831E-26</c:v>
                </c:pt>
                <c:pt idx="3">
                  <c:v>5.4245160308756819E-25</c:v>
                </c:pt>
                <c:pt idx="4">
                  <c:v>5.4245160308756818E-24</c:v>
                </c:pt>
                <c:pt idx="5">
                  <c:v>5.4245160308756821E-23</c:v>
                </c:pt>
                <c:pt idx="6">
                  <c:v>5.4245160308756823E-22</c:v>
                </c:pt>
                <c:pt idx="7">
                  <c:v>5.4245160308756823E-21</c:v>
                </c:pt>
                <c:pt idx="8">
                  <c:v>5.4245160308756826E-20</c:v>
                </c:pt>
                <c:pt idx="9">
                  <c:v>5.4245160308756819E-19</c:v>
                </c:pt>
                <c:pt idx="10">
                  <c:v>5.4245160308756828E-18</c:v>
                </c:pt>
                <c:pt idx="11">
                  <c:v>5.4245160308756827E-17</c:v>
                </c:pt>
                <c:pt idx="12">
                  <c:v>5.4245160308756823E-16</c:v>
                </c:pt>
                <c:pt idx="13">
                  <c:v>5.4245160308756829E-15</c:v>
                </c:pt>
                <c:pt idx="14">
                  <c:v>5.4245160308756829E-14</c:v>
                </c:pt>
                <c:pt idx="15">
                  <c:v>5.4245160308756825E-13</c:v>
                </c:pt>
                <c:pt idx="16">
                  <c:v>5.4245160308756821E-12</c:v>
                </c:pt>
                <c:pt idx="17">
                  <c:v>5.4245160308756826E-11</c:v>
                </c:pt>
                <c:pt idx="18">
                  <c:v>5.4245160308756829E-10</c:v>
                </c:pt>
                <c:pt idx="19">
                  <c:v>5.424516030875682E-9</c:v>
                </c:pt>
                <c:pt idx="20">
                  <c:v>5.4245160308756822E-8</c:v>
                </c:pt>
                <c:pt idx="21">
                  <c:v>5.4245160308756826E-7</c:v>
                </c:pt>
                <c:pt idx="22">
                  <c:v>5.4245160308756824E-6</c:v>
                </c:pt>
                <c:pt idx="23">
                  <c:v>5.4245160308756822E-5</c:v>
                </c:pt>
                <c:pt idx="24">
                  <c:v>5.4245160308756828E-4</c:v>
                </c:pt>
                <c:pt idx="25">
                  <c:v>5.4245160308756821E-3</c:v>
                </c:pt>
                <c:pt idx="26">
                  <c:v>5.4245160308756826E-2</c:v>
                </c:pt>
                <c:pt idx="27">
                  <c:v>0.54245160308756823</c:v>
                </c:pt>
                <c:pt idx="28">
                  <c:v>5.4245160308756821</c:v>
                </c:pt>
                <c:pt idx="29">
                  <c:v>54.245160308756823</c:v>
                </c:pt>
                <c:pt idx="30">
                  <c:v>542.45160308756829</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7.7702010348621365E-26</c:v>
                </c:pt>
                <c:pt idx="1">
                  <c:v>7.770201034862136E-25</c:v>
                </c:pt>
                <c:pt idx="2">
                  <c:v>7.7702010348621356E-24</c:v>
                </c:pt>
                <c:pt idx="3">
                  <c:v>7.7702010348621362E-23</c:v>
                </c:pt>
                <c:pt idx="4">
                  <c:v>7.770201034862135E-22</c:v>
                </c:pt>
                <c:pt idx="5">
                  <c:v>7.7702010348621358E-21</c:v>
                </c:pt>
                <c:pt idx="6">
                  <c:v>7.7702010348621364E-20</c:v>
                </c:pt>
                <c:pt idx="7">
                  <c:v>7.7702010348621359E-19</c:v>
                </c:pt>
                <c:pt idx="8">
                  <c:v>7.7702010348621361E-18</c:v>
                </c:pt>
                <c:pt idx="9">
                  <c:v>7.7702010348621355E-17</c:v>
                </c:pt>
                <c:pt idx="10">
                  <c:v>7.7702010348621362E-16</c:v>
                </c:pt>
                <c:pt idx="11">
                  <c:v>7.770201034862136E-15</c:v>
                </c:pt>
                <c:pt idx="12">
                  <c:v>7.7702010348621354E-14</c:v>
                </c:pt>
                <c:pt idx="13">
                  <c:v>7.7702010348621359E-13</c:v>
                </c:pt>
                <c:pt idx="14">
                  <c:v>7.7702010348621367E-12</c:v>
                </c:pt>
                <c:pt idx="15">
                  <c:v>7.7702010348621354E-11</c:v>
                </c:pt>
                <c:pt idx="16">
                  <c:v>7.7702010348621359E-10</c:v>
                </c:pt>
                <c:pt idx="17">
                  <c:v>7.7702010348621364E-9</c:v>
                </c:pt>
                <c:pt idx="18">
                  <c:v>7.7702010348621357E-8</c:v>
                </c:pt>
                <c:pt idx="19">
                  <c:v>7.7702010348621354E-7</c:v>
                </c:pt>
                <c:pt idx="20">
                  <c:v>7.7702010348621363E-6</c:v>
                </c:pt>
                <c:pt idx="21">
                  <c:v>7.7702010348621356E-5</c:v>
                </c:pt>
                <c:pt idx="22">
                  <c:v>7.7702010348621353E-4</c:v>
                </c:pt>
                <c:pt idx="23">
                  <c:v>7.7702010348621358E-3</c:v>
                </c:pt>
                <c:pt idx="24">
                  <c:v>7.7702010348621356E-2</c:v>
                </c:pt>
                <c:pt idx="25">
                  <c:v>0.77702010348621353</c:v>
                </c:pt>
                <c:pt idx="26">
                  <c:v>7.7702010348621355</c:v>
                </c:pt>
                <c:pt idx="27">
                  <c:v>77.702010348621357</c:v>
                </c:pt>
                <c:pt idx="28">
                  <c:v>777.02010348621354</c:v>
                </c:pt>
                <c:pt idx="29">
                  <c:v>7770.2010348621361</c:v>
                </c:pt>
                <c:pt idx="30">
                  <c:v>77702.010348621363</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4.5859148706976726E-24</c:v>
                </c:pt>
                <c:pt idx="1">
                  <c:v>4.5859148706976723E-23</c:v>
                </c:pt>
                <c:pt idx="2">
                  <c:v>4.5859148706976724E-22</c:v>
                </c:pt>
                <c:pt idx="3">
                  <c:v>4.5859148706976719E-21</c:v>
                </c:pt>
                <c:pt idx="4">
                  <c:v>4.5859148706976719E-20</c:v>
                </c:pt>
                <c:pt idx="5">
                  <c:v>4.5859148706976725E-19</c:v>
                </c:pt>
                <c:pt idx="6">
                  <c:v>4.5859148706976727E-18</c:v>
                </c:pt>
                <c:pt idx="7">
                  <c:v>4.5859148706976722E-17</c:v>
                </c:pt>
                <c:pt idx="8">
                  <c:v>4.5859148706976715E-16</c:v>
                </c:pt>
                <c:pt idx="9">
                  <c:v>4.5859148706976721E-15</c:v>
                </c:pt>
                <c:pt idx="10">
                  <c:v>4.5859148706976722E-14</c:v>
                </c:pt>
                <c:pt idx="11">
                  <c:v>4.5859148706976725E-13</c:v>
                </c:pt>
                <c:pt idx="12">
                  <c:v>4.5859148706976723E-12</c:v>
                </c:pt>
                <c:pt idx="13">
                  <c:v>4.5859148706976719E-11</c:v>
                </c:pt>
                <c:pt idx="14">
                  <c:v>4.5859148706976721E-10</c:v>
                </c:pt>
                <c:pt idx="15">
                  <c:v>4.5859148706976718E-9</c:v>
                </c:pt>
                <c:pt idx="16">
                  <c:v>4.5859148706976719E-8</c:v>
                </c:pt>
                <c:pt idx="17">
                  <c:v>4.5859148706976722E-7</c:v>
                </c:pt>
                <c:pt idx="18">
                  <c:v>4.5859148706976718E-6</c:v>
                </c:pt>
                <c:pt idx="19">
                  <c:v>4.5859148706976721E-5</c:v>
                </c:pt>
                <c:pt idx="20">
                  <c:v>4.5859148706976722E-4</c:v>
                </c:pt>
                <c:pt idx="21">
                  <c:v>4.5859148706976719E-3</c:v>
                </c:pt>
                <c:pt idx="22">
                  <c:v>4.5859148706976723E-2</c:v>
                </c:pt>
                <c:pt idx="23">
                  <c:v>0.45859148706976721</c:v>
                </c:pt>
                <c:pt idx="24">
                  <c:v>4.585914870697672</c:v>
                </c:pt>
                <c:pt idx="25">
                  <c:v>45.859148706976718</c:v>
                </c:pt>
                <c:pt idx="26">
                  <c:v>458.5914870697672</c:v>
                </c:pt>
                <c:pt idx="27">
                  <c:v>4585.9148706976721</c:v>
                </c:pt>
                <c:pt idx="28">
                  <c:v>45859.148706976717</c:v>
                </c:pt>
                <c:pt idx="29">
                  <c:v>458591.4870697672</c:v>
                </c:pt>
                <c:pt idx="30">
                  <c:v>4585914.8706976725</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1.8343723917762092E-21</c:v>
                </c:pt>
                <c:pt idx="1">
                  <c:v>1.834372391776209E-20</c:v>
                </c:pt>
                <c:pt idx="2">
                  <c:v>1.8343723917762089E-19</c:v>
                </c:pt>
                <c:pt idx="3">
                  <c:v>1.834372391776209E-18</c:v>
                </c:pt>
                <c:pt idx="4">
                  <c:v>1.8343723917762088E-17</c:v>
                </c:pt>
                <c:pt idx="5">
                  <c:v>1.834372391776209E-16</c:v>
                </c:pt>
                <c:pt idx="6">
                  <c:v>1.8343723917762089E-15</c:v>
                </c:pt>
                <c:pt idx="7">
                  <c:v>1.8343723917762089E-14</c:v>
                </c:pt>
                <c:pt idx="8">
                  <c:v>1.8343723917762088E-13</c:v>
                </c:pt>
                <c:pt idx="9">
                  <c:v>1.8343723917762089E-12</c:v>
                </c:pt>
                <c:pt idx="10">
                  <c:v>1.834372391776209E-11</c:v>
                </c:pt>
                <c:pt idx="11">
                  <c:v>1.8343723917762091E-10</c:v>
                </c:pt>
                <c:pt idx="12">
                  <c:v>1.8343723917762089E-9</c:v>
                </c:pt>
                <c:pt idx="13">
                  <c:v>1.8343723917762091E-8</c:v>
                </c:pt>
                <c:pt idx="14">
                  <c:v>1.834372391776209E-7</c:v>
                </c:pt>
                <c:pt idx="15">
                  <c:v>1.834372391776209E-6</c:v>
                </c:pt>
                <c:pt idx="16">
                  <c:v>1.834372391776209E-5</c:v>
                </c:pt>
                <c:pt idx="17">
                  <c:v>1.8343723917762088E-4</c:v>
                </c:pt>
                <c:pt idx="18">
                  <c:v>1.8343723917762088E-3</c:v>
                </c:pt>
                <c:pt idx="19">
                  <c:v>1.8343723917762088E-2</c:v>
                </c:pt>
                <c:pt idx="20">
                  <c:v>0.18343723917762089</c:v>
                </c:pt>
                <c:pt idx="21">
                  <c:v>1.8343723917762089</c:v>
                </c:pt>
                <c:pt idx="22">
                  <c:v>18.343723917762087</c:v>
                </c:pt>
                <c:pt idx="23">
                  <c:v>183.43723917762088</c:v>
                </c:pt>
                <c:pt idx="24">
                  <c:v>1834.3723917762088</c:v>
                </c:pt>
                <c:pt idx="25">
                  <c:v>18343.72391776209</c:v>
                </c:pt>
                <c:pt idx="26">
                  <c:v>183437.23917762088</c:v>
                </c:pt>
                <c:pt idx="27">
                  <c:v>1834372.391776209</c:v>
                </c:pt>
                <c:pt idx="28">
                  <c:v>18343723.91776209</c:v>
                </c:pt>
                <c:pt idx="29">
                  <c:v>183437239.17762089</c:v>
                </c:pt>
                <c:pt idx="30">
                  <c:v>1834372391.7762089</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8.0383269860784793E-10</c:v>
                </c:pt>
                <c:pt idx="1">
                  <c:v>8.0383269860784797E-9</c:v>
                </c:pt>
                <c:pt idx="2">
                  <c:v>8.0383269860784787E-8</c:v>
                </c:pt>
                <c:pt idx="3">
                  <c:v>8.0383269860784785E-7</c:v>
                </c:pt>
                <c:pt idx="4">
                  <c:v>8.0383269860784793E-6</c:v>
                </c:pt>
                <c:pt idx="5">
                  <c:v>8.0383269860784793E-5</c:v>
                </c:pt>
                <c:pt idx="6">
                  <c:v>8.0383269860784799E-4</c:v>
                </c:pt>
                <c:pt idx="7">
                  <c:v>8.0383269860784794E-3</c:v>
                </c:pt>
                <c:pt idx="8">
                  <c:v>8.0383269860784784E-2</c:v>
                </c:pt>
                <c:pt idx="9">
                  <c:v>0.8038326986078479</c:v>
                </c:pt>
                <c:pt idx="10">
                  <c:v>8.038326986078479</c:v>
                </c:pt>
                <c:pt idx="11">
                  <c:v>80.383269860784793</c:v>
                </c:pt>
                <c:pt idx="12">
                  <c:v>803.83269860784787</c:v>
                </c:pt>
                <c:pt idx="13">
                  <c:v>8038.3269860784794</c:v>
                </c:pt>
                <c:pt idx="14">
                  <c:v>80383.2698607848</c:v>
                </c:pt>
                <c:pt idx="15">
                  <c:v>803832.69860784791</c:v>
                </c:pt>
                <c:pt idx="16">
                  <c:v>8038326.9860784793</c:v>
                </c:pt>
                <c:pt idx="17">
                  <c:v>80383269.860784784</c:v>
                </c:pt>
                <c:pt idx="18">
                  <c:v>803832698.60784793</c:v>
                </c:pt>
                <c:pt idx="19">
                  <c:v>8038326986.0784788</c:v>
                </c:pt>
                <c:pt idx="20">
                  <c:v>80383269860.78479</c:v>
                </c:pt>
                <c:pt idx="21">
                  <c:v>803832698607.8479</c:v>
                </c:pt>
                <c:pt idx="22">
                  <c:v>8038326986078.4795</c:v>
                </c:pt>
                <c:pt idx="23">
                  <c:v>80383269860784.797</c:v>
                </c:pt>
                <c:pt idx="24">
                  <c:v>803832698607847.87</c:v>
                </c:pt>
                <c:pt idx="25">
                  <c:v>8038326986078479</c:v>
                </c:pt>
                <c:pt idx="26">
                  <c:v>8.0383269860784784E+16</c:v>
                </c:pt>
                <c:pt idx="27">
                  <c:v>8.0383269860784794E+17</c:v>
                </c:pt>
                <c:pt idx="28">
                  <c:v>8.0383269860784794E+18</c:v>
                </c:pt>
                <c:pt idx="29">
                  <c:v>8.0383269860784783E+19</c:v>
                </c:pt>
                <c:pt idx="30">
                  <c:v>8.0383269860784787E+20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4234048"/>
        <c:axId val="454234832"/>
      </c:scatterChart>
      <c:valAx>
        <c:axId val="4542340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4832"/>
        <c:crosses val="autoZero"/>
        <c:crossBetween val="midCat"/>
      </c:valAx>
      <c:valAx>
        <c:axId val="454234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404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1.871224813116794E-32</c:v>
                </c:pt>
                <c:pt idx="1">
                  <c:v>1.8712248131167939E-31</c:v>
                </c:pt>
                <c:pt idx="2">
                  <c:v>1.8712248131167939E-30</c:v>
                </c:pt>
                <c:pt idx="3">
                  <c:v>1.871224813116794E-29</c:v>
                </c:pt>
                <c:pt idx="4">
                  <c:v>1.8712248131167937E-28</c:v>
                </c:pt>
                <c:pt idx="5">
                  <c:v>1.8712248131167939E-27</c:v>
                </c:pt>
                <c:pt idx="6">
                  <c:v>1.8712248131167941E-26</c:v>
                </c:pt>
                <c:pt idx="7">
                  <c:v>1.8712248131167939E-25</c:v>
                </c:pt>
                <c:pt idx="8">
                  <c:v>1.8712248131167939E-24</c:v>
                </c:pt>
                <c:pt idx="9">
                  <c:v>1.8712248131167937E-23</c:v>
                </c:pt>
                <c:pt idx="10">
                  <c:v>1.8712248131167941E-22</c:v>
                </c:pt>
                <c:pt idx="11">
                  <c:v>1.8712248131167941E-21</c:v>
                </c:pt>
                <c:pt idx="12">
                  <c:v>1.8712248131167938E-20</c:v>
                </c:pt>
                <c:pt idx="13">
                  <c:v>1.8712248131167939E-19</c:v>
                </c:pt>
                <c:pt idx="14">
                  <c:v>1.8712248131167941E-18</c:v>
                </c:pt>
                <c:pt idx="15">
                  <c:v>1.8712248131167939E-17</c:v>
                </c:pt>
                <c:pt idx="16">
                  <c:v>1.871224813116794E-16</c:v>
                </c:pt>
                <c:pt idx="17">
                  <c:v>1.8712248131167938E-15</c:v>
                </c:pt>
                <c:pt idx="18">
                  <c:v>1.8712248131167941E-14</c:v>
                </c:pt>
                <c:pt idx="19">
                  <c:v>1.8712248131167939E-13</c:v>
                </c:pt>
                <c:pt idx="20">
                  <c:v>1.8712248131167937E-12</c:v>
                </c:pt>
                <c:pt idx="21">
                  <c:v>1.8712248131167941E-11</c:v>
                </c:pt>
                <c:pt idx="22">
                  <c:v>1.8712248131167938E-10</c:v>
                </c:pt>
                <c:pt idx="23">
                  <c:v>1.871224813116794E-9</c:v>
                </c:pt>
                <c:pt idx="24">
                  <c:v>1.8712248131167938E-8</c:v>
                </c:pt>
                <c:pt idx="25">
                  <c:v>1.871224813116794E-7</c:v>
                </c:pt>
                <c:pt idx="26">
                  <c:v>1.8712248131167939E-6</c:v>
                </c:pt>
                <c:pt idx="27">
                  <c:v>1.8712248131167939E-5</c:v>
                </c:pt>
                <c:pt idx="28">
                  <c:v>1.8712248131167938E-4</c:v>
                </c:pt>
                <c:pt idx="29">
                  <c:v>1.8712248131167938E-3</c:v>
                </c:pt>
                <c:pt idx="30">
                  <c:v>1.8712248131167938E-2</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5.4245160308756829E-28</c:v>
                </c:pt>
                <c:pt idx="1">
                  <c:v>5.4245160308756822E-27</c:v>
                </c:pt>
                <c:pt idx="2">
                  <c:v>5.4245160308756831E-26</c:v>
                </c:pt>
                <c:pt idx="3">
                  <c:v>5.4245160308756819E-25</c:v>
                </c:pt>
                <c:pt idx="4">
                  <c:v>5.4245160308756818E-24</c:v>
                </c:pt>
                <c:pt idx="5">
                  <c:v>5.4245160308756821E-23</c:v>
                </c:pt>
                <c:pt idx="6">
                  <c:v>5.4245160308756823E-22</c:v>
                </c:pt>
                <c:pt idx="7">
                  <c:v>5.4245160308756823E-21</c:v>
                </c:pt>
                <c:pt idx="8">
                  <c:v>5.4245160308756826E-20</c:v>
                </c:pt>
                <c:pt idx="9">
                  <c:v>5.4245160308756819E-19</c:v>
                </c:pt>
                <c:pt idx="10">
                  <c:v>5.4245160308756828E-18</c:v>
                </c:pt>
                <c:pt idx="11">
                  <c:v>5.4245160308756827E-17</c:v>
                </c:pt>
                <c:pt idx="12">
                  <c:v>5.4245160308756823E-16</c:v>
                </c:pt>
                <c:pt idx="13">
                  <c:v>5.4245160308756829E-15</c:v>
                </c:pt>
                <c:pt idx="14">
                  <c:v>5.4245160308756829E-14</c:v>
                </c:pt>
                <c:pt idx="15">
                  <c:v>5.4245160308756825E-13</c:v>
                </c:pt>
                <c:pt idx="16">
                  <c:v>5.4245160308756821E-12</c:v>
                </c:pt>
                <c:pt idx="17">
                  <c:v>5.4245160308756826E-11</c:v>
                </c:pt>
                <c:pt idx="18">
                  <c:v>5.4245160308756829E-10</c:v>
                </c:pt>
                <c:pt idx="19">
                  <c:v>5.424516030875682E-9</c:v>
                </c:pt>
                <c:pt idx="20">
                  <c:v>5.4245160308756822E-8</c:v>
                </c:pt>
                <c:pt idx="21">
                  <c:v>5.4245160308756826E-7</c:v>
                </c:pt>
                <c:pt idx="22">
                  <c:v>5.4245160308756824E-6</c:v>
                </c:pt>
                <c:pt idx="23">
                  <c:v>5.4245160308756822E-5</c:v>
                </c:pt>
                <c:pt idx="24">
                  <c:v>5.4245160308756828E-4</c:v>
                </c:pt>
                <c:pt idx="25">
                  <c:v>5.4245160308756821E-3</c:v>
                </c:pt>
                <c:pt idx="26">
                  <c:v>5.4245160308756826E-2</c:v>
                </c:pt>
                <c:pt idx="27">
                  <c:v>0.54245160308756823</c:v>
                </c:pt>
                <c:pt idx="28">
                  <c:v>5.4245160308756821</c:v>
                </c:pt>
                <c:pt idx="29">
                  <c:v>54.245160308756823</c:v>
                </c:pt>
                <c:pt idx="30">
                  <c:v>542.45160308756829</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7.7702010348621365E-26</c:v>
                </c:pt>
                <c:pt idx="1">
                  <c:v>7.770201034862136E-25</c:v>
                </c:pt>
                <c:pt idx="2">
                  <c:v>7.7702010348621356E-24</c:v>
                </c:pt>
                <c:pt idx="3">
                  <c:v>7.7702010348621362E-23</c:v>
                </c:pt>
                <c:pt idx="4">
                  <c:v>7.770201034862135E-22</c:v>
                </c:pt>
                <c:pt idx="5">
                  <c:v>7.7702010348621358E-21</c:v>
                </c:pt>
                <c:pt idx="6">
                  <c:v>7.7702010348621364E-20</c:v>
                </c:pt>
                <c:pt idx="7">
                  <c:v>7.7702010348621359E-19</c:v>
                </c:pt>
                <c:pt idx="8">
                  <c:v>7.7702010348621361E-18</c:v>
                </c:pt>
                <c:pt idx="9">
                  <c:v>7.7702010348621355E-17</c:v>
                </c:pt>
                <c:pt idx="10">
                  <c:v>7.7702010348621362E-16</c:v>
                </c:pt>
                <c:pt idx="11">
                  <c:v>7.770201034862136E-15</c:v>
                </c:pt>
                <c:pt idx="12">
                  <c:v>7.7702010348621354E-14</c:v>
                </c:pt>
                <c:pt idx="13">
                  <c:v>7.7702010348621359E-13</c:v>
                </c:pt>
                <c:pt idx="14">
                  <c:v>7.7702010348621367E-12</c:v>
                </c:pt>
                <c:pt idx="15">
                  <c:v>7.7702010348621354E-11</c:v>
                </c:pt>
                <c:pt idx="16">
                  <c:v>7.7702010348621359E-10</c:v>
                </c:pt>
                <c:pt idx="17">
                  <c:v>7.7702010348621364E-9</c:v>
                </c:pt>
                <c:pt idx="18">
                  <c:v>7.7702010348621357E-8</c:v>
                </c:pt>
                <c:pt idx="19">
                  <c:v>7.7702010348621354E-7</c:v>
                </c:pt>
                <c:pt idx="20">
                  <c:v>7.7702010348621363E-6</c:v>
                </c:pt>
                <c:pt idx="21">
                  <c:v>7.7702010348621356E-5</c:v>
                </c:pt>
                <c:pt idx="22">
                  <c:v>7.7702010348621353E-4</c:v>
                </c:pt>
                <c:pt idx="23">
                  <c:v>7.7702010348621358E-3</c:v>
                </c:pt>
                <c:pt idx="24">
                  <c:v>7.7702010348621356E-2</c:v>
                </c:pt>
                <c:pt idx="25">
                  <c:v>0.77702010348621353</c:v>
                </c:pt>
                <c:pt idx="26">
                  <c:v>7.7702010348621355</c:v>
                </c:pt>
                <c:pt idx="27">
                  <c:v>77.702010348621357</c:v>
                </c:pt>
                <c:pt idx="28">
                  <c:v>777.02010348621354</c:v>
                </c:pt>
                <c:pt idx="29">
                  <c:v>7770.2010348621361</c:v>
                </c:pt>
                <c:pt idx="30">
                  <c:v>77702.010348621363</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4.5859148706976726E-24</c:v>
                </c:pt>
                <c:pt idx="1">
                  <c:v>4.5859148706976723E-23</c:v>
                </c:pt>
                <c:pt idx="2">
                  <c:v>4.5859148706976724E-22</c:v>
                </c:pt>
                <c:pt idx="3">
                  <c:v>4.5859148706976719E-21</c:v>
                </c:pt>
                <c:pt idx="4">
                  <c:v>4.5859148706976719E-20</c:v>
                </c:pt>
                <c:pt idx="5">
                  <c:v>4.5859148706976725E-19</c:v>
                </c:pt>
                <c:pt idx="6">
                  <c:v>4.5859148706976727E-18</c:v>
                </c:pt>
                <c:pt idx="7">
                  <c:v>4.5859148706976722E-17</c:v>
                </c:pt>
                <c:pt idx="8">
                  <c:v>4.5859148706976715E-16</c:v>
                </c:pt>
                <c:pt idx="9">
                  <c:v>4.5859148706976721E-15</c:v>
                </c:pt>
                <c:pt idx="10">
                  <c:v>4.5859148706976722E-14</c:v>
                </c:pt>
                <c:pt idx="11">
                  <c:v>4.5859148706976725E-13</c:v>
                </c:pt>
                <c:pt idx="12">
                  <c:v>4.5859148706976723E-12</c:v>
                </c:pt>
                <c:pt idx="13">
                  <c:v>4.5859148706976719E-11</c:v>
                </c:pt>
                <c:pt idx="14">
                  <c:v>4.5859148706976721E-10</c:v>
                </c:pt>
                <c:pt idx="15">
                  <c:v>4.5859148706976718E-9</c:v>
                </c:pt>
                <c:pt idx="16">
                  <c:v>4.5859148706976719E-8</c:v>
                </c:pt>
                <c:pt idx="17">
                  <c:v>4.5859148706976722E-7</c:v>
                </c:pt>
                <c:pt idx="18">
                  <c:v>4.5859148706976718E-6</c:v>
                </c:pt>
                <c:pt idx="19">
                  <c:v>4.5859148706976721E-5</c:v>
                </c:pt>
                <c:pt idx="20">
                  <c:v>4.5859148706976722E-4</c:v>
                </c:pt>
                <c:pt idx="21">
                  <c:v>4.5859148706976719E-3</c:v>
                </c:pt>
                <c:pt idx="22">
                  <c:v>4.5859148706976723E-2</c:v>
                </c:pt>
                <c:pt idx="23">
                  <c:v>0.45859148706976721</c:v>
                </c:pt>
                <c:pt idx="24">
                  <c:v>4.585914870697672</c:v>
                </c:pt>
                <c:pt idx="25">
                  <c:v>45.859148706976718</c:v>
                </c:pt>
                <c:pt idx="26">
                  <c:v>458.5914870697672</c:v>
                </c:pt>
                <c:pt idx="27">
                  <c:v>4585.9148706976721</c:v>
                </c:pt>
                <c:pt idx="28">
                  <c:v>45859.148706976717</c:v>
                </c:pt>
                <c:pt idx="29">
                  <c:v>458591.4870697672</c:v>
                </c:pt>
                <c:pt idx="30">
                  <c:v>4585914.8706976725</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1.8343723917762092E-21</c:v>
                </c:pt>
                <c:pt idx="1">
                  <c:v>1.834372391776209E-20</c:v>
                </c:pt>
                <c:pt idx="2">
                  <c:v>1.8343723917762089E-19</c:v>
                </c:pt>
                <c:pt idx="3">
                  <c:v>1.834372391776209E-18</c:v>
                </c:pt>
                <c:pt idx="4">
                  <c:v>1.8343723917762088E-17</c:v>
                </c:pt>
                <c:pt idx="5">
                  <c:v>1.834372391776209E-16</c:v>
                </c:pt>
                <c:pt idx="6">
                  <c:v>1.8343723917762089E-15</c:v>
                </c:pt>
                <c:pt idx="7">
                  <c:v>1.8343723917762089E-14</c:v>
                </c:pt>
                <c:pt idx="8">
                  <c:v>1.8343723917762088E-13</c:v>
                </c:pt>
                <c:pt idx="9">
                  <c:v>1.8343723917762089E-12</c:v>
                </c:pt>
                <c:pt idx="10">
                  <c:v>1.834372391776209E-11</c:v>
                </c:pt>
                <c:pt idx="11">
                  <c:v>1.8343723917762091E-10</c:v>
                </c:pt>
                <c:pt idx="12">
                  <c:v>1.8343723917762089E-9</c:v>
                </c:pt>
                <c:pt idx="13">
                  <c:v>1.8343723917762091E-8</c:v>
                </c:pt>
                <c:pt idx="14">
                  <c:v>1.834372391776209E-7</c:v>
                </c:pt>
                <c:pt idx="15">
                  <c:v>1.834372391776209E-6</c:v>
                </c:pt>
                <c:pt idx="16">
                  <c:v>1.834372391776209E-5</c:v>
                </c:pt>
                <c:pt idx="17">
                  <c:v>1.8343723917762088E-4</c:v>
                </c:pt>
                <c:pt idx="18">
                  <c:v>1.8343723917762088E-3</c:v>
                </c:pt>
                <c:pt idx="19">
                  <c:v>1.8343723917762088E-2</c:v>
                </c:pt>
                <c:pt idx="20">
                  <c:v>0.18343723917762089</c:v>
                </c:pt>
                <c:pt idx="21">
                  <c:v>1.8343723917762089</c:v>
                </c:pt>
                <c:pt idx="22">
                  <c:v>18.343723917762087</c:v>
                </c:pt>
                <c:pt idx="23">
                  <c:v>183.43723917762088</c:v>
                </c:pt>
                <c:pt idx="24">
                  <c:v>1834.3723917762088</c:v>
                </c:pt>
                <c:pt idx="25">
                  <c:v>18343.72391776209</c:v>
                </c:pt>
                <c:pt idx="26">
                  <c:v>183437.23917762088</c:v>
                </c:pt>
                <c:pt idx="27">
                  <c:v>1834372.391776209</c:v>
                </c:pt>
                <c:pt idx="28">
                  <c:v>18343723.91776209</c:v>
                </c:pt>
                <c:pt idx="29">
                  <c:v>183437239.17762089</c:v>
                </c:pt>
                <c:pt idx="30">
                  <c:v>1834372391.7762089</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8.0383269860784793E-10</c:v>
                </c:pt>
                <c:pt idx="1">
                  <c:v>8.0383269860784797E-9</c:v>
                </c:pt>
                <c:pt idx="2">
                  <c:v>8.0383269860784787E-8</c:v>
                </c:pt>
                <c:pt idx="3">
                  <c:v>8.0383269860784785E-7</c:v>
                </c:pt>
                <c:pt idx="4">
                  <c:v>8.0383269860784793E-6</c:v>
                </c:pt>
                <c:pt idx="5">
                  <c:v>8.0383269860784793E-5</c:v>
                </c:pt>
                <c:pt idx="6">
                  <c:v>8.0383269860784799E-4</c:v>
                </c:pt>
                <c:pt idx="7">
                  <c:v>8.0383269860784794E-3</c:v>
                </c:pt>
                <c:pt idx="8">
                  <c:v>8.0383269860784784E-2</c:v>
                </c:pt>
                <c:pt idx="9">
                  <c:v>0.8038326986078479</c:v>
                </c:pt>
                <c:pt idx="10">
                  <c:v>8.038326986078479</c:v>
                </c:pt>
                <c:pt idx="11">
                  <c:v>80.383269860784793</c:v>
                </c:pt>
                <c:pt idx="12">
                  <c:v>803.83269860784787</c:v>
                </c:pt>
                <c:pt idx="13">
                  <c:v>8038.3269860784794</c:v>
                </c:pt>
                <c:pt idx="14">
                  <c:v>80383.2698607848</c:v>
                </c:pt>
                <c:pt idx="15">
                  <c:v>803832.69860784791</c:v>
                </c:pt>
                <c:pt idx="16">
                  <c:v>8038326.9860784793</c:v>
                </c:pt>
                <c:pt idx="17">
                  <c:v>80383269.860784784</c:v>
                </c:pt>
                <c:pt idx="18">
                  <c:v>803832698.60784793</c:v>
                </c:pt>
                <c:pt idx="19">
                  <c:v>8038326986.0784788</c:v>
                </c:pt>
                <c:pt idx="20">
                  <c:v>80383269860.78479</c:v>
                </c:pt>
                <c:pt idx="21">
                  <c:v>803832698607.8479</c:v>
                </c:pt>
                <c:pt idx="22">
                  <c:v>8038326986078.4795</c:v>
                </c:pt>
                <c:pt idx="23">
                  <c:v>80383269860784.797</c:v>
                </c:pt>
                <c:pt idx="24">
                  <c:v>803832698607847.87</c:v>
                </c:pt>
                <c:pt idx="25">
                  <c:v>8038326986078479</c:v>
                </c:pt>
                <c:pt idx="26">
                  <c:v>8.0383269860784784E+16</c:v>
                </c:pt>
                <c:pt idx="27">
                  <c:v>8.0383269860784794E+17</c:v>
                </c:pt>
                <c:pt idx="28">
                  <c:v>8.0383269860784794E+18</c:v>
                </c:pt>
                <c:pt idx="29">
                  <c:v>8.0383269860784783E+19</c:v>
                </c:pt>
                <c:pt idx="30">
                  <c:v>8.0383269860784787E+20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4230912"/>
        <c:axId val="454235616"/>
      </c:scatterChart>
      <c:valAx>
        <c:axId val="4542309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5616"/>
        <c:crosses val="autoZero"/>
        <c:crossBetween val="midCat"/>
      </c:valAx>
      <c:valAx>
        <c:axId val="454235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091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-38.517353384161886</c:v>
                </c:pt>
                <c:pt idx="1">
                  <c:v>-38.314511640994098</c:v>
                </c:pt>
                <c:pt idx="2">
                  <c:v>-38.111467176800701</c:v>
                </c:pt>
                <c:pt idx="3">
                  <c:v>-37.908017270556073</c:v>
                </c:pt>
                <c:pt idx="4">
                  <c:v>-37.703959201234589</c:v>
                </c:pt>
                <c:pt idx="5">
                  <c:v>-37.499090247810642</c:v>
                </c:pt>
                <c:pt idx="6">
                  <c:v>-37.293207689258594</c:v>
                </c:pt>
                <c:pt idx="7">
                  <c:v>-37.086108804552858</c:v>
                </c:pt>
                <c:pt idx="8">
                  <c:v>-36.877590872667803</c:v>
                </c:pt>
                <c:pt idx="9">
                  <c:v>-36.667451172577813</c:v>
                </c:pt>
                <c:pt idx="10">
                  <c:v>-36.455486983257266</c:v>
                </c:pt>
                <c:pt idx="11">
                  <c:v>-36.241495583680553</c:v>
                </c:pt>
                <c:pt idx="12">
                  <c:v>-36.025274252822058</c:v>
                </c:pt>
                <c:pt idx="13">
                  <c:v>-35.80662026965615</c:v>
                </c:pt>
                <c:pt idx="14">
                  <c:v>-35.585330913157229</c:v>
                </c:pt>
                <c:pt idx="15">
                  <c:v>-35.36120346229967</c:v>
                </c:pt>
                <c:pt idx="16">
                  <c:v>-35.134035196057852</c:v>
                </c:pt>
                <c:pt idx="17">
                  <c:v>-34.903623393406164</c:v>
                </c:pt>
                <c:pt idx="18">
                  <c:v>-34.669765333318999</c:v>
                </c:pt>
                <c:pt idx="19">
                  <c:v>-34.432258294770719</c:v>
                </c:pt>
                <c:pt idx="20">
                  <c:v>-34.190899556735715</c:v>
                </c:pt>
                <c:pt idx="21">
                  <c:v>-33.945486398188379</c:v>
                </c:pt>
                <c:pt idx="22">
                  <c:v>-33.695816098103087</c:v>
                </c:pt>
                <c:pt idx="23">
                  <c:v>-33.441685935454217</c:v>
                </c:pt>
                <c:pt idx="24">
                  <c:v>-33.182893189216166</c:v>
                </c:pt>
                <c:pt idx="25">
                  <c:v>-32.919235138363298</c:v>
                </c:pt>
                <c:pt idx="26">
                  <c:v>-32.650509061870018</c:v>
                </c:pt>
                <c:pt idx="27">
                  <c:v>-32.376512238710689</c:v>
                </c:pt>
                <c:pt idx="28">
                  <c:v>-32.097041947859708</c:v>
                </c:pt>
                <c:pt idx="29">
                  <c:v>-31.811895468291453</c:v>
                </c:pt>
                <c:pt idx="30">
                  <c:v>-31.520870078980302</c:v>
                </c:pt>
                <c:pt idx="31">
                  <c:v>-31.223763058900644</c:v>
                </c:pt>
                <c:pt idx="32">
                  <c:v>-30.920371687026865</c:v>
                </c:pt>
                <c:pt idx="33">
                  <c:v>-30.610493242333344</c:v>
                </c:pt>
                <c:pt idx="34">
                  <c:v>-30.293925003794463</c:v>
                </c:pt>
                <c:pt idx="35">
                  <c:v>-29.970464250384602</c:v>
                </c:pt>
                <c:pt idx="36">
                  <c:v>-29.639908261078155</c:v>
                </c:pt>
                <c:pt idx="37">
                  <c:v>-29.302054314849496</c:v>
                </c:pt>
                <c:pt idx="38">
                  <c:v>-28.956699690673013</c:v>
                </c:pt>
                <c:pt idx="39">
                  <c:v>-28.603641667523082</c:v>
                </c:pt>
                <c:pt idx="40">
                  <c:v>-28.242677524374088</c:v>
                </c:pt>
                <c:pt idx="41">
                  <c:v>-28.087863339505855</c:v>
                </c:pt>
                <c:pt idx="42">
                  <c:v>-27.925455109532333</c:v>
                </c:pt>
                <c:pt idx="43">
                  <c:v>-27.755967630372908</c:v>
                </c:pt>
                <c:pt idx="44">
                  <c:v>-27.579915697946976</c:v>
                </c:pt>
                <c:pt idx="45">
                  <c:v>-27.397814108173929</c:v>
                </c:pt>
                <c:pt idx="46">
                  <c:v>-27.210177656973141</c:v>
                </c:pt>
                <c:pt idx="47">
                  <c:v>-27.017521140264012</c:v>
                </c:pt>
                <c:pt idx="48">
                  <c:v>-26.820359353965937</c:v>
                </c:pt>
                <c:pt idx="49">
                  <c:v>-26.619207093998298</c:v>
                </c:pt>
                <c:pt idx="50">
                  <c:v>-26.414579156280475</c:v>
                </c:pt>
                <c:pt idx="51">
                  <c:v>-26.206990336731877</c:v>
                </c:pt>
                <c:pt idx="52">
                  <c:v>-25.996955431271882</c:v>
                </c:pt>
                <c:pt idx="53">
                  <c:v>-25.784989235819879</c:v>
                </c:pt>
                <c:pt idx="54">
                  <c:v>-25.571606546295257</c:v>
                </c:pt>
                <c:pt idx="55">
                  <c:v>-25.357322158617411</c:v>
                </c:pt>
                <c:pt idx="56">
                  <c:v>-25.142650868705722</c:v>
                </c:pt>
                <c:pt idx="57">
                  <c:v>-24.928107472479585</c:v>
                </c:pt>
                <c:pt idx="58">
                  <c:v>-24.714206765858393</c:v>
                </c:pt>
                <c:pt idx="59">
                  <c:v>-24.501463544761521</c:v>
                </c:pt>
                <c:pt idx="60">
                  <c:v>-24.290392605108373</c:v>
                </c:pt>
                <c:pt idx="61">
                  <c:v>-24.081508742818329</c:v>
                </c:pt>
                <c:pt idx="62">
                  <c:v>-23.875326753810782</c:v>
                </c:pt>
                <c:pt idx="63">
                  <c:v>-23.672361434005126</c:v>
                </c:pt>
                <c:pt idx="64">
                  <c:v>-23.473127579320742</c:v>
                </c:pt>
                <c:pt idx="65">
                  <c:v>-23.278139985677022</c:v>
                </c:pt>
                <c:pt idx="66">
                  <c:v>-23.087779753836145</c:v>
                </c:pt>
                <c:pt idx="67">
                  <c:v>-22.901893203931426</c:v>
                </c:pt>
                <c:pt idx="68">
                  <c:v>-22.72019296093897</c:v>
                </c:pt>
                <c:pt idx="69">
                  <c:v>-22.542391649834894</c:v>
                </c:pt>
                <c:pt idx="70">
                  <c:v>-22.368201895595291</c:v>
                </c:pt>
                <c:pt idx="71">
                  <c:v>-22.197336323196289</c:v>
                </c:pt>
                <c:pt idx="72">
                  <c:v>-22.029507557613968</c:v>
                </c:pt>
                <c:pt idx="73">
                  <c:v>-21.864428223824454</c:v>
                </c:pt>
                <c:pt idx="74">
                  <c:v>-21.70181094680385</c:v>
                </c:pt>
                <c:pt idx="75">
                  <c:v>-21.541368351528256</c:v>
                </c:pt>
                <c:pt idx="76">
                  <c:v>-21.382813062973788</c:v>
                </c:pt>
                <c:pt idx="77">
                  <c:v>-21.225857706116543</c:v>
                </c:pt>
                <c:pt idx="78">
                  <c:v>-21.070214905932637</c:v>
                </c:pt>
                <c:pt idx="79">
                  <c:v>-20.915597287398171</c:v>
                </c:pt>
                <c:pt idx="80">
                  <c:v>-20.761717475489256</c:v>
                </c:pt>
                <c:pt idx="81">
                  <c:v>-20.60828809518199</c:v>
                </c:pt>
                <c:pt idx="82">
                  <c:v>-20.455021771452493</c:v>
                </c:pt>
                <c:pt idx="83">
                  <c:v>-20.301631129276863</c:v>
                </c:pt>
                <c:pt idx="84">
                  <c:v>-20.147828793631206</c:v>
                </c:pt>
                <c:pt idx="85">
                  <c:v>-19.993327389491633</c:v>
                </c:pt>
                <c:pt idx="86">
                  <c:v>-19.837839541834249</c:v>
                </c:pt>
                <c:pt idx="87">
                  <c:v>-19.681077875635161</c:v>
                </c:pt>
                <c:pt idx="88">
                  <c:v>-19.522755015870477</c:v>
                </c:pt>
                <c:pt idx="89">
                  <c:v>-19.362583587516301</c:v>
                </c:pt>
                <c:pt idx="90">
                  <c:v>-19.20027621554874</c:v>
                </c:pt>
                <c:pt idx="91">
                  <c:v>-19.035593537795677</c:v>
                </c:pt>
                <c:pt idx="92">
                  <c:v>-18.86848824349212</c:v>
                </c:pt>
                <c:pt idx="93">
                  <c:v>-18.698961034724828</c:v>
                </c:pt>
                <c:pt idx="94">
                  <c:v>-18.527012613580581</c:v>
                </c:pt>
                <c:pt idx="95">
                  <c:v>-18.352643682146155</c:v>
                </c:pt>
                <c:pt idx="96">
                  <c:v>-18.175854942508323</c:v>
                </c:pt>
                <c:pt idx="97">
                  <c:v>-17.996647096753858</c:v>
                </c:pt>
                <c:pt idx="98">
                  <c:v>-17.815020846969531</c:v>
                </c:pt>
                <c:pt idx="99">
                  <c:v>-17.630976895242121</c:v>
                </c:pt>
                <c:pt idx="100">
                  <c:v>-17.444515943658399</c:v>
                </c:pt>
                <c:pt idx="101">
                  <c:v>-17.255638694305141</c:v>
                </c:pt>
                <c:pt idx="102">
                  <c:v>-17.064345849269117</c:v>
                </c:pt>
                <c:pt idx="103">
                  <c:v>-16.87063811063711</c:v>
                </c:pt>
                <c:pt idx="104">
                  <c:v>-16.674516180495882</c:v>
                </c:pt>
                <c:pt idx="105">
                  <c:v>-16.475980760932217</c:v>
                </c:pt>
                <c:pt idx="106">
                  <c:v>-16.275032554032883</c:v>
                </c:pt>
                <c:pt idx="107">
                  <c:v>-16.071672261884657</c:v>
                </c:pt>
                <c:pt idx="108">
                  <c:v>-15.865900586574309</c:v>
                </c:pt>
                <c:pt idx="109">
                  <c:v>-15.657718230188619</c:v>
                </c:pt>
                <c:pt idx="110">
                  <c:v>-15.447125894814357</c:v>
                </c:pt>
                <c:pt idx="111">
                  <c:v>-15.234124282538298</c:v>
                </c:pt>
                <c:pt idx="112">
                  <c:v>-15.018714095447216</c:v>
                </c:pt>
                <c:pt idx="113">
                  <c:v>-14.800896035627886</c:v>
                </c:pt>
                <c:pt idx="114">
                  <c:v>-14.580670805167079</c:v>
                </c:pt>
                <c:pt idx="115">
                  <c:v>-14.358039106151573</c:v>
                </c:pt>
                <c:pt idx="116">
                  <c:v>-14.133001640668139</c:v>
                </c:pt>
                <c:pt idx="117">
                  <c:v>-13.90555911080355</c:v>
                </c:pt>
                <c:pt idx="118">
                  <c:v>-13.675712218644584</c:v>
                </c:pt>
                <c:pt idx="119">
                  <c:v>-13.443461666278012</c:v>
                </c:pt>
                <c:pt idx="120">
                  <c:v>-13.208808155790608</c:v>
                </c:pt>
                <c:pt idx="121">
                  <c:v>-12.971750482845382</c:v>
                </c:pt>
                <c:pt idx="122">
                  <c:v>-12.73227981741026</c:v>
                </c:pt>
                <c:pt idx="123">
                  <c:v>-12.490385423029423</c:v>
                </c:pt>
                <c:pt idx="124">
                  <c:v>-12.246056563247029</c:v>
                </c:pt>
                <c:pt idx="125">
                  <c:v>-11.999282501607246</c:v>
                </c:pt>
                <c:pt idx="126">
                  <c:v>-11.750052501654245</c:v>
                </c:pt>
                <c:pt idx="127">
                  <c:v>-11.498355826932187</c:v>
                </c:pt>
                <c:pt idx="128">
                  <c:v>-11.244181740985249</c:v>
                </c:pt>
                <c:pt idx="129">
                  <c:v>-10.98751950735759</c:v>
                </c:pt>
                <c:pt idx="130">
                  <c:v>-10.728358389593382</c:v>
                </c:pt>
                <c:pt idx="131">
                  <c:v>-10.466687651236791</c:v>
                </c:pt>
                <c:pt idx="132">
                  <c:v>-10.202496555831981</c:v>
                </c:pt>
                <c:pt idx="133">
                  <c:v>-9.9357743669231269</c:v>
                </c:pt>
                <c:pt idx="134">
                  <c:v>-9.6665103480543912</c:v>
                </c:pt>
                <c:pt idx="135">
                  <c:v>-9.3946937627699398</c:v>
                </c:pt>
                <c:pt idx="136">
                  <c:v>-9.1203138746139452</c:v>
                </c:pt>
                <c:pt idx="137">
                  <c:v>-8.8433599471305691</c:v>
                </c:pt>
                <c:pt idx="138">
                  <c:v>-8.563821243863984</c:v>
                </c:pt>
                <c:pt idx="139">
                  <c:v>-8.2816870283583555</c:v>
                </c:pt>
                <c:pt idx="140">
                  <c:v>-7.9969465641578479</c:v>
                </c:pt>
                <c:pt idx="141">
                  <c:v>-7.7095891148066329</c:v>
                </c:pt>
                <c:pt idx="142">
                  <c:v>-7.4196039438488768</c:v>
                </c:pt>
                <c:pt idx="143">
                  <c:v>-7.1269803148287449</c:v>
                </c:pt>
                <c:pt idx="144">
                  <c:v>-6.8317074912904063</c:v>
                </c:pt>
                <c:pt idx="145">
                  <c:v>-6.533774736778029</c:v>
                </c:pt>
                <c:pt idx="146">
                  <c:v>-6.2331713148357792</c:v>
                </c:pt>
                <c:pt idx="147">
                  <c:v>-5.929886489007826</c:v>
                </c:pt>
                <c:pt idx="148">
                  <c:v>-5.6239095228383347</c:v>
                </c:pt>
                <c:pt idx="149">
                  <c:v>-5.3152296798714733</c:v>
                </c:pt>
                <c:pt idx="150">
                  <c:v>-5.0038362236514091</c:v>
                </c:pt>
                <c:pt idx="151">
                  <c:v>-4.6897184177223101</c:v>
                </c:pt>
                <c:pt idx="152">
                  <c:v>-4.3728655256283453</c:v>
                </c:pt>
                <c:pt idx="153">
                  <c:v>-4.0532668109136782</c:v>
                </c:pt>
                <c:pt idx="154">
                  <c:v>-3.7309115371224792</c:v>
                </c:pt>
                <c:pt idx="155">
                  <c:v>-3.4057889677989142</c:v>
                </c:pt>
                <c:pt idx="156">
                  <c:v>-3.0778883664871515</c:v>
                </c:pt>
                <c:pt idx="157">
                  <c:v>-2.7471989967313584</c:v>
                </c:pt>
                <c:pt idx="158">
                  <c:v>-2.413710122075702</c:v>
                </c:pt>
                <c:pt idx="159">
                  <c:v>-2.07741100606435</c:v>
                </c:pt>
                <c:pt idx="160">
                  <c:v>-1.7382909122414694</c:v>
                </c:pt>
                <c:pt idx="161">
                  <c:v>-1.3963391041512279</c:v>
                </c:pt>
                <c:pt idx="162">
                  <c:v>-1.0515448453377929</c:v>
                </c:pt>
                <c:pt idx="163">
                  <c:v>-0.70389739934533146</c:v>
                </c:pt>
                <c:pt idx="164">
                  <c:v>-0.35338602971801159</c:v>
                </c:pt>
                <c:pt idx="165">
                  <c:v>0</c:v>
                </c:pt>
                <c:pt idx="166">
                  <c:v>0.35625589687167508</c:v>
                </c:pt>
                <c:pt idx="167">
                  <c:v>0.71531475038854486</c:v>
                </c:pt>
                <c:pt idx="168">
                  <c:v>1.0770941206492799</c:v>
                </c:pt>
                <c:pt idx="169">
                  <c:v>1.4415115677525514</c:v>
                </c:pt>
                <c:pt idx="170">
                  <c:v>1.8084846517970297</c:v>
                </c:pt>
                <c:pt idx="171">
                  <c:v>2.1779309328813854</c:v>
                </c:pt>
                <c:pt idx="172">
                  <c:v>2.5497679711042904</c:v>
                </c:pt>
                <c:pt idx="173">
                  <c:v>2.9239133265644135</c:v>
                </c:pt>
                <c:pt idx="174">
                  <c:v>3.3002845593604269</c:v>
                </c:pt>
                <c:pt idx="175">
                  <c:v>3.6787992295910015</c:v>
                </c:pt>
                <c:pt idx="176">
                  <c:v>4.0593748973548074</c:v>
                </c:pt>
                <c:pt idx="177">
                  <c:v>4.4419291227505147</c:v>
                </c:pt>
                <c:pt idx="178">
                  <c:v>4.8263794658767951</c:v>
                </c:pt>
                <c:pt idx="179">
                  <c:v>5.2126434868323201</c:v>
                </c:pt>
                <c:pt idx="180">
                  <c:v>5.6006387457157576</c:v>
                </c:pt>
                <c:pt idx="181">
                  <c:v>5.9902828026257824</c:v>
                </c:pt>
                <c:pt idx="182">
                  <c:v>6.3814932176610615</c:v>
                </c:pt>
                <c:pt idx="183">
                  <c:v>6.7741875509202671</c:v>
                </c:pt>
                <c:pt idx="184">
                  <c:v>7.1682833625020717</c:v>
                </c:pt>
                <c:pt idx="185">
                  <c:v>7.5636982125051428</c:v>
                </c:pt>
                <c:pt idx="186">
                  <c:v>7.9603496610281539</c:v>
                </c:pt>
                <c:pt idx="187">
                  <c:v>8.3581552681697744</c:v>
                </c:pt>
                <c:pt idx="188">
                  <c:v>8.757032594028674</c:v>
                </c:pt>
                <c:pt idx="189">
                  <c:v>9.1568991987035258</c:v>
                </c:pt>
                <c:pt idx="190">
                  <c:v>9.5576726422929994</c:v>
                </c:pt>
                <c:pt idx="191">
                  <c:v>9.9592704848957645</c:v>
                </c:pt>
                <c:pt idx="192">
                  <c:v>10.361610286610494</c:v>
                </c:pt>
                <c:pt idx="193">
                  <c:v>10.764609607535858</c:v>
                </c:pt>
                <c:pt idx="194">
                  <c:v>11.168186007770524</c:v>
                </c:pt>
                <c:pt idx="195">
                  <c:v>11.572257047413169</c:v>
                </c:pt>
                <c:pt idx="196">
                  <c:v>11.976740286562459</c:v>
                </c:pt>
                <c:pt idx="197">
                  <c:v>12.381553285317066</c:v>
                </c:pt>
                <c:pt idx="198">
                  <c:v>12.786613603775661</c:v>
                </c:pt>
                <c:pt idx="199">
                  <c:v>13.191838802036914</c:v>
                </c:pt>
                <c:pt idx="200">
                  <c:v>13.597146440199497</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-38.517353384161886</c:v>
                </c:pt>
                <c:pt idx="1">
                  <c:v>-28.242677524374091</c:v>
                </c:pt>
                <c:pt idx="2">
                  <c:v>-23.278139985677022</c:v>
                </c:pt>
                <c:pt idx="3">
                  <c:v>-19.20027621554874</c:v>
                </c:pt>
                <c:pt idx="4">
                  <c:v>-13.208808155790608</c:v>
                </c:pt>
                <c:pt idx="5">
                  <c:v>0</c:v>
                </c:pt>
                <c:pt idx="6">
                  <c:v>13.597146440199497</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-38.351035379275629</c:v>
                </c:pt>
                <c:pt idx="1">
                  <c:v>-38.212926470324362</c:v>
                </c:pt>
                <c:pt idx="2">
                  <c:v>-38.064901950449155</c:v>
                </c:pt>
                <c:pt idx="3">
                  <c:v>-37.907248608391626</c:v>
                </c:pt>
                <c:pt idx="4">
                  <c:v>-37.740275963701265</c:v>
                </c:pt>
                <c:pt idx="5">
                  <c:v>-37.564313687339791</c:v>
                </c:pt>
                <c:pt idx="6">
                  <c:v>-37.379709140933642</c:v>
                </c:pt>
                <c:pt idx="7">
                  <c:v>-37.186825031762226</c:v>
                </c:pt>
                <c:pt idx="8">
                  <c:v>-36.986037180593542</c:v>
                </c:pt>
                <c:pt idx="9">
                  <c:v>-36.777732399514775</c:v>
                </c:pt>
                <c:pt idx="10">
                  <c:v>-36.5623064769336</c:v>
                </c:pt>
                <c:pt idx="11">
                  <c:v>-36.34016226696707</c:v>
                </c:pt>
                <c:pt idx="12">
                  <c:v>-36.11170788045041</c:v>
                </c:pt>
                <c:pt idx="13">
                  <c:v>-35.877354974846554</c:v>
                </c:pt>
                <c:pt idx="14">
                  <c:v>-35.637517140359478</c:v>
                </c:pt>
                <c:pt idx="15">
                  <c:v>-35.392608379587983</c:v>
                </c:pt>
                <c:pt idx="16">
                  <c:v>-35.143041678088309</c:v>
                </c:pt>
                <c:pt idx="17">
                  <c:v>-34.889227663249159</c:v>
                </c:pt>
                <c:pt idx="18">
                  <c:v>-34.631573348907409</c:v>
                </c:pt>
                <c:pt idx="19">
                  <c:v>-34.370480963173918</c:v>
                </c:pt>
                <c:pt idx="20">
                  <c:v>-34.106346856958879</c:v>
                </c:pt>
                <c:pt idx="21">
                  <c:v>-33.839560490731884</c:v>
                </c:pt>
                <c:pt idx="22">
                  <c:v>-33.570503497070376</c:v>
                </c:pt>
                <c:pt idx="23">
                  <c:v>-33.299548816590999</c:v>
                </c:pt>
                <c:pt idx="24">
                  <c:v>-33.027059904885846</c:v>
                </c:pt>
                <c:pt idx="25">
                  <c:v>-32.753390008119652</c:v>
                </c:pt>
                <c:pt idx="26">
                  <c:v>-32.478881504972492</c:v>
                </c:pt>
                <c:pt idx="27">
                  <c:v>-32.203865312648858</c:v>
                </c:pt>
                <c:pt idx="28">
                  <c:v>-31.928660354702927</c:v>
                </c:pt>
                <c:pt idx="29">
                  <c:v>-31.653573088459439</c:v>
                </c:pt>
                <c:pt idx="30">
                  <c:v>-31.37889708984855</c:v>
                </c:pt>
                <c:pt idx="31">
                  <c:v>-31.104912693496075</c:v>
                </c:pt>
                <c:pt idx="32">
                  <c:v>-30.831886685949357</c:v>
                </c:pt>
                <c:pt idx="33">
                  <c:v>-30.560072049946186</c:v>
                </c:pt>
                <c:pt idx="34">
                  <c:v>-30.289707757668566</c:v>
                </c:pt>
                <c:pt idx="35">
                  <c:v>-30.021018610954258</c:v>
                </c:pt>
                <c:pt idx="36">
                  <c:v>-29.754215126469695</c:v>
                </c:pt>
                <c:pt idx="37">
                  <c:v>-29.48949346388126</c:v>
                </c:pt>
                <c:pt idx="38">
                  <c:v>-29.22703539509321</c:v>
                </c:pt>
                <c:pt idx="39">
                  <c:v>-28.967008312651124</c:v>
                </c:pt>
                <c:pt idx="40">
                  <c:v>-28.70956527544331</c:v>
                </c:pt>
                <c:pt idx="41">
                  <c:v>-28.454845089863838</c:v>
                </c:pt>
                <c:pt idx="42">
                  <c:v>-28.202972424631056</c:v>
                </c:pt>
                <c:pt idx="43">
                  <c:v>-27.954057957490065</c:v>
                </c:pt>
                <c:pt idx="44">
                  <c:v>-27.708198552056992</c:v>
                </c:pt>
                <c:pt idx="45">
                  <c:v>-27.465477463095738</c:v>
                </c:pt>
                <c:pt idx="46">
                  <c:v>-27.225964568549742</c:v>
                </c:pt>
                <c:pt idx="47">
                  <c:v>-26.989716626682785</c:v>
                </c:pt>
                <c:pt idx="48">
                  <c:v>-26.756777556714344</c:v>
                </c:pt>
                <c:pt idx="49">
                  <c:v>-26.527178741367447</c:v>
                </c:pt>
                <c:pt idx="50">
                  <c:v>-26.300939349778691</c:v>
                </c:pt>
                <c:pt idx="51">
                  <c:v>-26.078066679250853</c:v>
                </c:pt>
                <c:pt idx="52">
                  <c:v>-25.858556514361968</c:v>
                </c:pt>
                <c:pt idx="53">
                  <c:v>-25.642393501974965</c:v>
                </c:pt>
                <c:pt idx="54">
                  <c:v>-25.42955154072466</c:v>
                </c:pt>
                <c:pt idx="55">
                  <c:v>-25.219994183590593</c:v>
                </c:pt>
                <c:pt idx="56">
                  <c:v>-25.013675052195286</c:v>
                </c:pt>
                <c:pt idx="57">
                  <c:v>-24.810538261500469</c:v>
                </c:pt>
                <c:pt idx="58">
                  <c:v>-24.610518853604184</c:v>
                </c:pt>
                <c:pt idx="59">
                  <c:v>-24.41354323937508</c:v>
                </c:pt>
                <c:pt idx="60">
                  <c:v>-24.219529646690219</c:v>
                </c:pt>
                <c:pt idx="61">
                  <c:v>-24.028388574075883</c:v>
                </c:pt>
                <c:pt idx="62">
                  <c:v>-23.840023248582202</c:v>
                </c:pt>
                <c:pt idx="63">
                  <c:v>-23.654330086753895</c:v>
                </c:pt>
                <c:pt idx="64">
                  <c:v>-23.471199157591528</c:v>
                </c:pt>
                <c:pt idx="65">
                  <c:v>-23.290514646429578</c:v>
                </c:pt>
                <c:pt idx="66">
                  <c:v>-23.112155318688842</c:v>
                </c:pt>
                <c:pt idx="67">
                  <c:v>-22.935994982493249</c:v>
                </c:pt>
                <c:pt idx="68">
                  <c:v>-22.76190294917221</c:v>
                </c:pt>
                <c:pt idx="69">
                  <c:v>-22.589744490701992</c:v>
                </c:pt>
                <c:pt idx="70">
                  <c:v>-22.419381293170701</c:v>
                </c:pt>
                <c:pt idx="71">
                  <c:v>-22.250671905384319</c:v>
                </c:pt>
                <c:pt idx="72">
                  <c:v>-22.083472181761639</c:v>
                </c:pt>
                <c:pt idx="73">
                  <c:v>-21.917635718698957</c:v>
                </c:pt>
                <c:pt idx="74">
                  <c:v>-21.753014283616444</c:v>
                </c:pt>
                <c:pt idx="75">
                  <c:v>-21.589458235930003</c:v>
                </c:pt>
                <c:pt idx="76">
                  <c:v>-21.426816939224548</c:v>
                </c:pt>
                <c:pt idx="77">
                  <c:v>-21.264939163935889</c:v>
                </c:pt>
                <c:pt idx="78">
                  <c:v>-21.103673479880712</c:v>
                </c:pt>
                <c:pt idx="79">
                  <c:v>-20.942868638005386</c:v>
                </c:pt>
                <c:pt idx="80">
                  <c:v>-20.782373940756734</c:v>
                </c:pt>
                <c:pt idx="81">
                  <c:v>-20.622039600509009</c:v>
                </c:pt>
                <c:pt idx="82">
                  <c:v>-20.461717085513687</c:v>
                </c:pt>
                <c:pt idx="83">
                  <c:v>-20.301259452870035</c:v>
                </c:pt>
                <c:pt idx="84">
                  <c:v>-20.140521668046468</c:v>
                </c:pt>
                <c:pt idx="85">
                  <c:v>-19.979360910514409</c:v>
                </c:pt>
                <c:pt idx="86">
                  <c:v>-19.81763686508793</c:v>
                </c:pt>
                <c:pt idx="87">
                  <c:v>-19.655211998594766</c:v>
                </c:pt>
                <c:pt idx="88">
                  <c:v>-19.491951821535331</c:v>
                </c:pt>
                <c:pt idx="89">
                  <c:v>-19.327725134418923</c:v>
                </c:pt>
                <c:pt idx="90">
                  <c:v>-19.162404258497364</c:v>
                </c:pt>
                <c:pt idx="91">
                  <c:v>-18.99586525064877</c:v>
                </c:pt>
                <c:pt idx="92">
                  <c:v>-18.827988102195309</c:v>
                </c:pt>
                <c:pt idx="93">
                  <c:v>-18.658656921471074</c:v>
                </c:pt>
                <c:pt idx="94">
                  <c:v>-18.487760099987689</c:v>
                </c:pt>
                <c:pt idx="95">
                  <c:v>-18.315190462077123</c:v>
                </c:pt>
                <c:pt idx="96">
                  <c:v>-18.140845397923012</c:v>
                </c:pt>
                <c:pt idx="97">
                  <c:v>-17.964626979923565</c:v>
                </c:pt>
                <c:pt idx="98">
                  <c:v>-17.78644206236071</c:v>
                </c:pt>
                <c:pt idx="99">
                  <c:v>-17.606202364382376</c:v>
                </c:pt>
                <c:pt idx="100">
                  <c:v>-17.423824536335935</c:v>
                </c:pt>
                <c:pt idx="101">
                  <c:v>-17.23923020952331</c:v>
                </c:pt>
                <c:pt idx="102">
                  <c:v>-17.052346029479406</c:v>
                </c:pt>
                <c:pt idx="103">
                  <c:v>-16.863103672907744</c:v>
                </c:pt>
                <c:pt idx="104">
                  <c:v>-16.671439848438798</c:v>
                </c:pt>
                <c:pt idx="105">
                  <c:v>-16.477296281408172</c:v>
                </c:pt>
                <c:pt idx="106">
                  <c:v>-16.280619682883856</c:v>
                </c:pt>
                <c:pt idx="107">
                  <c:v>-16.081361703203253</c:v>
                </c:pt>
                <c:pt idx="108">
                  <c:v>-15.879478870312692</c:v>
                </c:pt>
                <c:pt idx="109">
                  <c:v>-15.674932513233712</c:v>
                </c:pt>
                <c:pt idx="110">
                  <c:v>-15.467688671012441</c:v>
                </c:pt>
                <c:pt idx="111">
                  <c:v>-15.257717987539843</c:v>
                </c:pt>
                <c:pt idx="112">
                  <c:v>-15.044995592662726</c:v>
                </c:pt>
                <c:pt idx="113">
                  <c:v>-14.829500970036944</c:v>
                </c:pt>
                <c:pt idx="114">
                  <c:v>-14.611217812206021</c:v>
                </c:pt>
                <c:pt idx="115">
                  <c:v>-14.390133863420441</c:v>
                </c:pt>
                <c:pt idx="116">
                  <c:v>-14.16624075074429</c:v>
                </c:pt>
                <c:pt idx="117">
                  <c:v>-13.939533804027917</c:v>
                </c:pt>
                <c:pt idx="118">
                  <c:v>-13.710011865357096</c:v>
                </c:pt>
                <c:pt idx="119">
                  <c:v>-13.477677088620764</c:v>
                </c:pt>
                <c:pt idx="120">
                  <c:v>-13.242534729871421</c:v>
                </c:pt>
                <c:pt idx="121">
                  <c:v>-13.004592929183771</c:v>
                </c:pt>
                <c:pt idx="122">
                  <c:v>-12.763862484749342</c:v>
                </c:pt>
                <c:pt idx="123">
                  <c:v>-12.520356619976187</c:v>
                </c:pt>
                <c:pt idx="124">
                  <c:v>-12.274090744394879</c:v>
                </c:pt>
                <c:pt idx="125">
                  <c:v>-12.025082209203592</c:v>
                </c:pt>
                <c:pt idx="126">
                  <c:v>-11.773350058316973</c:v>
                </c:pt>
                <c:pt idx="127">
                  <c:v>-11.518914775815137</c:v>
                </c:pt>
                <c:pt idx="128">
                  <c:v>-11.261798030721062</c:v>
                </c:pt>
                <c:pt idx="129">
                  <c:v>-11.002022420066343</c:v>
                </c:pt>
                <c:pt idx="130">
                  <c:v>-10.739611211237024</c:v>
                </c:pt>
                <c:pt idx="131">
                  <c:v>-10.474588084623091</c:v>
                </c:pt>
                <c:pt idx="132">
                  <c:v>-10.206976877626943</c:v>
                </c:pt>
                <c:pt idx="133">
                  <c:v>-9.9368013311178878</c:v>
                </c:pt>
                <c:pt idx="134">
                  <c:v>-9.6640848394515793</c:v>
                </c:pt>
                <c:pt idx="135">
                  <c:v>-9.3888502052050491</c:v>
                </c:pt>
                <c:pt idx="136">
                  <c:v>-9.1111193998097573</c:v>
                </c:pt>
                <c:pt idx="137">
                  <c:v>-8.830913331296852</c:v>
                </c:pt>
                <c:pt idx="138">
                  <c:v>-8.5482516204006664</c:v>
                </c:pt>
                <c:pt idx="139">
                  <c:v>-8.2631523862982146</c:v>
                </c:pt>
                <c:pt idx="140">
                  <c:v>-7.975632043294218</c:v>
                </c:pt>
                <c:pt idx="141">
                  <c:v>-7.6857051097929991</c:v>
                </c:pt>
                <c:pt idx="142">
                  <c:v>-7.393384030930374</c:v>
                </c:pt>
                <c:pt idx="143">
                  <c:v>-7.0986790162703954</c:v>
                </c:pt>
                <c:pt idx="144">
                  <c:v>-6.801597894003641</c:v>
                </c:pt>
                <c:pt idx="145">
                  <c:v>-6.5021459831154793</c:v>
                </c:pt>
                <c:pt idx="146">
                  <c:v>-6.2003259850245405</c:v>
                </c:pt>
                <c:pt idx="147">
                  <c:v>-5.8961378962233955</c:v>
                </c:pt>
                <c:pt idx="148">
                  <c:v>-5.5895789434852503</c:v>
                </c:pt>
                <c:pt idx="149">
                  <c:v>-5.2806435432321637</c:v>
                </c:pt>
                <c:pt idx="150">
                  <c:v>-4.9693232866921937</c:v>
                </c:pt>
                <c:pt idx="151">
                  <c:v>-4.6556069525045647</c:v>
                </c:pt>
                <c:pt idx="152">
                  <c:v>-4.3394805484637322</c:v>
                </c:pt>
                <c:pt idx="153">
                  <c:v>-4.0209273841250868</c:v>
                </c:pt>
                <c:pt idx="154">
                  <c:v>-3.6999281760266887</c:v>
                </c:pt>
                <c:pt idx="155">
                  <c:v>-3.3764611873133252</c:v>
                </c:pt>
                <c:pt idx="156">
                  <c:v>-3.0505024035808725</c:v>
                </c:pt>
                <c:pt idx="157">
                  <c:v>-2.722025746790782</c:v>
                </c:pt>
                <c:pt idx="158">
                  <c:v>-2.3910033291362542</c:v>
                </c:pt>
                <c:pt idx="159">
                  <c:v>-2.0574057487734576</c:v>
                </c:pt>
                <c:pt idx="160">
                  <c:v>-1.7212024293629378</c:v>
                </c:pt>
                <c:pt idx="161">
                  <c:v>-1.3823620053981129</c:v>
                </c:pt>
                <c:pt idx="162">
                  <c:v>-1.0408527553295646</c:v>
                </c:pt>
                <c:pt idx="163">
                  <c:v>-0.69664308452558665</c:v>
                </c:pt>
                <c:pt idx="164">
                  <c:v>-0.34970206014124805</c:v>
                </c:pt>
                <c:pt idx="165">
                  <c:v>0</c:v>
                </c:pt>
                <c:pt idx="166">
                  <c:v>0.35249088237636317</c:v>
                </c:pt>
                <c:pt idx="167">
                  <c:v>0.70779577442180086</c:v>
                </c:pt>
                <c:pt idx="168">
                  <c:v>1.06593650066481</c:v>
                </c:pt>
                <c:pt idx="169">
                  <c:v>1.4269306961207515</c:v>
                </c:pt>
                <c:pt idx="170">
                  <c:v>1.7907909146747858</c:v>
                </c:pt>
                <c:pt idx="171">
                  <c:v>2.1575236701607219</c:v>
                </c:pt>
                <c:pt idx="172">
                  <c:v>2.5271284078092831</c:v>
                </c:pt>
                <c:pt idx="173">
                  <c:v>2.8995964037075308</c:v>
                </c:pt>
                <c:pt idx="174">
                  <c:v>3.2749095898794041</c:v>
                </c:pt>
                <c:pt idx="175">
                  <c:v>3.6530393025655443</c:v>
                </c:pt>
                <c:pt idx="176">
                  <c:v>4.0339449512488148</c:v>
                </c:pt>
                <c:pt idx="177">
                  <c:v>4.4175726059401148</c:v>
                </c:pt>
                <c:pt idx="178">
                  <c:v>4.8038535002073575</c:v>
                </c:pt>
                <c:pt idx="179">
                  <c:v>5.1927024473986236</c:v>
                </c:pt>
                <c:pt idx="180">
                  <c:v>5.58401616747883</c:v>
                </c:pt>
                <c:pt idx="181">
                  <c:v>5.9776715218673777</c:v>
                </c:pt>
                <c:pt idx="182">
                  <c:v>6.3735236536324891</c:v>
                </c:pt>
                <c:pt idx="183">
                  <c:v>6.7714040303662237</c:v>
                </c:pt>
                <c:pt idx="184">
                  <c:v>7.1711183870323003</c:v>
                </c:pt>
                <c:pt idx="185">
                  <c:v>7.5724445660471069</c:v>
                </c:pt>
                <c:pt idx="186">
                  <c:v>7.9751302518225389</c:v>
                </c:pt>
                <c:pt idx="187">
                  <c:v>8.3788905969674587</c:v>
                </c:pt>
                <c:pt idx="188">
                  <c:v>8.7834057373128225</c:v>
                </c:pt>
                <c:pt idx="189">
                  <c:v>9.1883181928937656</c:v>
                </c:pt>
                <c:pt idx="190">
                  <c:v>9.5932301519901308</c:v>
                </c:pt>
                <c:pt idx="191">
                  <c:v>9.9977006352951161</c:v>
                </c:pt>
                <c:pt idx="192">
                  <c:v>10.40124253725002</c:v>
                </c:pt>
                <c:pt idx="193">
                  <c:v>10.80331954155119</c:v>
                </c:pt>
                <c:pt idx="194">
                  <c:v>11.203342907803583</c:v>
                </c:pt>
                <c:pt idx="195">
                  <c:v>11.600668126263503</c:v>
                </c:pt>
                <c:pt idx="196">
                  <c:v>11.994591437581359</c:v>
                </c:pt>
                <c:pt idx="197">
                  <c:v>12.384346214423406</c:v>
                </c:pt>
                <c:pt idx="198">
                  <c:v>12.769099201819849</c:v>
                </c:pt>
                <c:pt idx="199">
                  <c:v>13.147946613054645</c:v>
                </c:pt>
                <c:pt idx="200">
                  <c:v>13.519910077880803</c:v>
                </c:pt>
              </c:numCache>
            </c:numRef>
          </c:yVal>
          <c:smooth val="1"/>
        </c:ser>
        <c:dLbls>
          <c:showLegendKey val="0"/>
          <c:showVal val="0"/>
          <c:showCatName val="0"/>
          <c:showSerName val="0"/>
          <c:showPercent val="0"/>
          <c:showBubbleSize val="0"/>
        </c:dLbls>
        <c:axId val="454232088"/>
        <c:axId val="454236400"/>
      </c:scatterChart>
      <c:valAx>
        <c:axId val="45423208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6400"/>
        <c:crossesAt val="-1000"/>
        <c:crossBetween val="midCat"/>
      </c:valAx>
      <c:valAx>
        <c:axId val="454236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208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0"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0.35109203232849645</v>
      </c>
      <c r="D59" s="55">
        <v>1</v>
      </c>
    </row>
    <row r="60" spans="1:4" s="11" customFormat="1" x14ac:dyDescent="0.25">
      <c r="A60" s="54">
        <v>2</v>
      </c>
      <c r="B60" s="56">
        <f>'Shiftfunktion bestimmen'!N2</f>
        <v>1.3945190749000351E-3</v>
      </c>
      <c r="D60" s="55">
        <v>2</v>
      </c>
    </row>
    <row r="61" spans="1:4" s="11" customFormat="1" x14ac:dyDescent="0.25">
      <c r="A61" s="54">
        <v>3</v>
      </c>
      <c r="B61" s="56">
        <f>'Shiftfunktion bestimmen'!N3</f>
        <v>4.4450379581841327E-6</v>
      </c>
      <c r="D61" s="55">
        <v>3</v>
      </c>
    </row>
    <row r="62" spans="1:4" s="11" customFormat="1" x14ac:dyDescent="0.25">
      <c r="A62" s="54">
        <v>4</v>
      </c>
      <c r="B62" s="56">
        <f>'Shiftfunktion bestimmen'!N4</f>
        <v>-1.0787330367290096E-7</v>
      </c>
      <c r="D62" s="55">
        <v>4</v>
      </c>
    </row>
    <row r="63" spans="1:4" s="11" customFormat="1" x14ac:dyDescent="0.25">
      <c r="A63" s="54">
        <v>5</v>
      </c>
      <c r="B63" s="56">
        <f>'Shiftfunktion bestimmen'!N5</f>
        <v>-6.1072095022153902E-9</v>
      </c>
      <c r="D63" s="55">
        <v>5</v>
      </c>
    </row>
    <row r="64" spans="1:4" s="11" customFormat="1" x14ac:dyDescent="0.25">
      <c r="A64" s="54">
        <v>6</v>
      </c>
      <c r="B64" s="56">
        <f>'Shiftfunktion bestimmen'!N6</f>
        <v>-8.4038009623254596E-11</v>
      </c>
      <c r="D64" s="55">
        <v>6</v>
      </c>
    </row>
    <row r="65" spans="1:5" s="11" customFormat="1" x14ac:dyDescent="0.25">
      <c r="A65" s="54">
        <v>7</v>
      </c>
      <c r="B65" s="56">
        <f>'Shiftfunktion bestimmen'!N7</f>
        <v>-4.3953534923425235E-13</v>
      </c>
      <c r="D65" s="55">
        <v>7</v>
      </c>
    </row>
    <row r="66" spans="1:5" x14ac:dyDescent="0.25">
      <c r="A66" s="54">
        <v>8</v>
      </c>
      <c r="B66" s="56">
        <f>'Shiftfunktion bestimmen'!N8</f>
        <v>-7.881754159430599E-16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0.18091067913316566</v>
      </c>
      <c r="D74" s="51">
        <v>1</v>
      </c>
      <c r="E74" s="56">
        <f>'Mastercurve bestimmen'!A18</f>
        <v>1.0000000000000001E-20</v>
      </c>
    </row>
    <row r="75" spans="1:5" x14ac:dyDescent="0.25">
      <c r="A75" s="50">
        <f>A74+1</f>
        <v>2</v>
      </c>
      <c r="B75" s="56">
        <f>'Mastercurve bestimmen'!C19</f>
        <v>4.8747329106715996E-2</v>
      </c>
      <c r="D75" s="51">
        <v>2</v>
      </c>
      <c r="E75" s="56">
        <f>'Mastercurve bestimmen'!A19</f>
        <v>3.9038946506297401E-14</v>
      </c>
    </row>
    <row r="76" spans="1:5" x14ac:dyDescent="0.25">
      <c r="A76" s="50">
        <f t="shared" ref="A76:A104" si="0">A75+1</f>
        <v>3</v>
      </c>
      <c r="B76" s="56">
        <f>'Mastercurve bestimmen'!C20</f>
        <v>1.8089335916325222E-2</v>
      </c>
      <c r="D76" s="51">
        <v>3</v>
      </c>
      <c r="E76" s="56">
        <f>'Mastercurve bestimmen'!A20</f>
        <v>4.3276437088188502E-13</v>
      </c>
    </row>
    <row r="77" spans="1:5" x14ac:dyDescent="0.25">
      <c r="A77" s="50">
        <f t="shared" si="0"/>
        <v>4</v>
      </c>
      <c r="B77" s="56">
        <f>'Mastercurve bestimmen'!C21</f>
        <v>3.7553125741215831E-2</v>
      </c>
      <c r="D77" s="51">
        <v>4</v>
      </c>
      <c r="E77" s="56">
        <f>'Mastercurve bestimmen'!A21</f>
        <v>4.7973886968128502E-12</v>
      </c>
    </row>
    <row r="78" spans="1:5" x14ac:dyDescent="0.25">
      <c r="A78" s="50">
        <f t="shared" si="0"/>
        <v>5</v>
      </c>
      <c r="B78" s="56">
        <f>'Mastercurve bestimmen'!C22</f>
        <v>3.4655462333825049E-2</v>
      </c>
      <c r="D78" s="51">
        <v>5</v>
      </c>
      <c r="E78" s="56">
        <f>'Mastercurve bestimmen'!A22</f>
        <v>5.31812225239524E-11</v>
      </c>
    </row>
    <row r="79" spans="1:5" x14ac:dyDescent="0.25">
      <c r="A79" s="50">
        <f t="shared" si="0"/>
        <v>6</v>
      </c>
      <c r="B79" s="56">
        <f>'Mastercurve bestimmen'!C23</f>
        <v>2.8039973666806786E-2</v>
      </c>
      <c r="D79" s="51">
        <v>6</v>
      </c>
      <c r="E79" s="56">
        <f>'Mastercurve bestimmen'!A23</f>
        <v>5.8953789402578301E-10</v>
      </c>
    </row>
    <row r="80" spans="1:5" x14ac:dyDescent="0.25">
      <c r="A80" s="50">
        <f t="shared" si="0"/>
        <v>7</v>
      </c>
      <c r="B80" s="56">
        <f>'Mastercurve bestimmen'!C24</f>
        <v>2.6812375730219603E-2</v>
      </c>
      <c r="D80" s="51">
        <v>7</v>
      </c>
      <c r="E80" s="56">
        <f>'Mastercurve bestimmen'!A24</f>
        <v>6.5352940755699598E-9</v>
      </c>
    </row>
    <row r="81" spans="1:5" x14ac:dyDescent="0.25">
      <c r="A81" s="50">
        <f t="shared" si="0"/>
        <v>8</v>
      </c>
      <c r="B81" s="56">
        <f>'Mastercurve bestimmen'!C25</f>
        <v>2.7632018567144069E-2</v>
      </c>
      <c r="D81" s="51">
        <v>8</v>
      </c>
      <c r="E81" s="56">
        <f>'Mastercurve bestimmen'!A25</f>
        <v>7.2446689325643296E-8</v>
      </c>
    </row>
    <row r="82" spans="1:5" x14ac:dyDescent="0.25">
      <c r="A82" s="50">
        <f t="shared" si="0"/>
        <v>9</v>
      </c>
      <c r="B82" s="56">
        <f>'Mastercurve bestimmen'!C26</f>
        <v>2.5920837907154132E-2</v>
      </c>
      <c r="D82" s="51">
        <f>A82</f>
        <v>9</v>
      </c>
      <c r="E82" s="56">
        <f>'Mastercurve bestimmen'!A26</f>
        <v>8.03104303120212E-7</v>
      </c>
    </row>
    <row r="83" spans="1:5" x14ac:dyDescent="0.25">
      <c r="A83" s="50">
        <f t="shared" si="0"/>
        <v>10</v>
      </c>
      <c r="B83" s="56">
        <f>'Mastercurve bestimmen'!C27</f>
        <v>2.7391939908773026E-2</v>
      </c>
      <c r="C83" s="11"/>
      <c r="D83" s="51">
        <f t="shared" ref="D83:D104" si="1">A83</f>
        <v>10</v>
      </c>
      <c r="E83" s="56">
        <f>'Mastercurve bestimmen'!A27</f>
        <v>8.9027742702096099E-6</v>
      </c>
    </row>
    <row r="84" spans="1:5" x14ac:dyDescent="0.25">
      <c r="A84" s="50">
        <f t="shared" si="0"/>
        <v>11</v>
      </c>
      <c r="B84" s="56">
        <f>'Mastercurve bestimmen'!C28</f>
        <v>3.256547684040112E-2</v>
      </c>
      <c r="C84" s="11"/>
      <c r="D84" s="51">
        <f t="shared" si="1"/>
        <v>11</v>
      </c>
      <c r="E84" s="56">
        <f>'Mastercurve bestimmen'!A28</f>
        <v>9.86912775817142E-5</v>
      </c>
    </row>
    <row r="85" spans="1:5" x14ac:dyDescent="0.25">
      <c r="A85" s="50">
        <f t="shared" si="0"/>
        <v>12</v>
      </c>
      <c r="B85" s="56">
        <f>'Mastercurve bestimmen'!C29</f>
        <v>3.4198379990015168E-2</v>
      </c>
      <c r="C85" s="11"/>
      <c r="D85" s="51">
        <f t="shared" si="1"/>
        <v>12</v>
      </c>
      <c r="E85" s="56">
        <f>'Mastercurve bestimmen'!A29</f>
        <v>1.0940374286813801E-3</v>
      </c>
    </row>
    <row r="86" spans="1:5" x14ac:dyDescent="0.25">
      <c r="A86" s="50">
        <f t="shared" si="0"/>
        <v>13</v>
      </c>
      <c r="B86" s="56">
        <f>'Mastercurve bestimmen'!C30</f>
        <v>4.2864410475860253E-2</v>
      </c>
      <c r="C86" s="11"/>
      <c r="D86" s="51">
        <f t="shared" si="1"/>
        <v>13</v>
      </c>
      <c r="E86" s="56">
        <f>'Mastercurve bestimmen'!A30</f>
        <v>1.2127899493091E-2</v>
      </c>
    </row>
    <row r="87" spans="1:5" x14ac:dyDescent="0.25">
      <c r="A87" s="50">
        <f t="shared" si="0"/>
        <v>14</v>
      </c>
      <c r="B87" s="56">
        <f>'Mastercurve bestimmen'!C31</f>
        <v>4.3714566142705795E-2</v>
      </c>
      <c r="C87" s="11"/>
      <c r="D87" s="51">
        <f t="shared" si="1"/>
        <v>14</v>
      </c>
      <c r="E87" s="56">
        <f>'Mastercurve bestimmen'!A31</f>
        <v>0.13444324870292301</v>
      </c>
    </row>
    <row r="88" spans="1:5" x14ac:dyDescent="0.25">
      <c r="A88" s="50">
        <f t="shared" si="0"/>
        <v>15</v>
      </c>
      <c r="B88" s="56">
        <f>'Mastercurve bestimmen'!C32</f>
        <v>7.7757179566671539E-2</v>
      </c>
      <c r="C88" s="11"/>
      <c r="D88" s="51">
        <f t="shared" si="1"/>
        <v>15</v>
      </c>
      <c r="E88" s="56">
        <f>'Mastercurve bestimmen'!A32</f>
        <v>1.49036419143257</v>
      </c>
    </row>
    <row r="89" spans="1:5" x14ac:dyDescent="0.25">
      <c r="A89" s="50">
        <f t="shared" si="0"/>
        <v>16</v>
      </c>
      <c r="B89" s="56">
        <f>'Mastercurve bestimmen'!C33</f>
        <v>9.5507274749383017E-2</v>
      </c>
      <c r="C89" s="11"/>
      <c r="D89" s="51">
        <f t="shared" si="1"/>
        <v>16</v>
      </c>
      <c r="E89" s="56">
        <f>'Mastercurve bestimmen'!A33</f>
        <v>16.521360830937301</v>
      </c>
    </row>
    <row r="90" spans="1:5" x14ac:dyDescent="0.25">
      <c r="A90" s="50">
        <f t="shared" si="0"/>
        <v>17</v>
      </c>
      <c r="B90" s="56">
        <f>'Mastercurve bestimmen'!C34</f>
        <v>8.003075559639232E-2</v>
      </c>
      <c r="C90" s="11"/>
      <c r="D90" s="51">
        <f t="shared" si="1"/>
        <v>17</v>
      </c>
      <c r="E90" s="56">
        <f>'Mastercurve bestimmen'!A34</f>
        <v>183.146753843879</v>
      </c>
    </row>
    <row r="91" spans="1:5" x14ac:dyDescent="0.25">
      <c r="A91" s="50">
        <f t="shared" si="0"/>
        <v>18</v>
      </c>
      <c r="B91" s="56">
        <f>'Mastercurve bestimmen'!C35</f>
        <v>5.3976889971713508E-2</v>
      </c>
      <c r="C91" s="11"/>
      <c r="D91" s="51">
        <f t="shared" si="1"/>
        <v>18</v>
      </c>
      <c r="E91" s="56">
        <f>'Mastercurve bestimmen'!A35</f>
        <v>2030.26456396616</v>
      </c>
    </row>
    <row r="92" spans="1:5" x14ac:dyDescent="0.25">
      <c r="A92" s="50">
        <f t="shared" si="0"/>
        <v>19</v>
      </c>
      <c r="B92" s="56">
        <f>'Mastercurve bestimmen'!C36</f>
        <v>2.9623895965477303E-2</v>
      </c>
      <c r="C92" s="11"/>
      <c r="D92" s="51">
        <f t="shared" si="1"/>
        <v>19</v>
      </c>
      <c r="E92" s="56">
        <f>'Mastercurve bestimmen'!A36</f>
        <v>22506.400540467101</v>
      </c>
    </row>
    <row r="93" spans="1:5" x14ac:dyDescent="0.25">
      <c r="A93" s="50">
        <f t="shared" si="0"/>
        <v>20</v>
      </c>
      <c r="B93" s="56">
        <f>'Mastercurve bestimmen'!C37</f>
        <v>1.5005107194779805E-2</v>
      </c>
      <c r="C93" s="11"/>
      <c r="D93" s="51">
        <f t="shared" si="1"/>
        <v>20</v>
      </c>
      <c r="E93" s="56">
        <f>'Mastercurve bestimmen'!A37</f>
        <v>249493.62476110301</v>
      </c>
    </row>
    <row r="94" spans="1:5" x14ac:dyDescent="0.25">
      <c r="A94" s="50">
        <f t="shared" si="0"/>
        <v>21</v>
      </c>
      <c r="B94" s="56">
        <f>'Mastercurve bestimmen'!C38</f>
        <v>4.0905508263932881E-3</v>
      </c>
      <c r="C94" s="11"/>
      <c r="D94" s="51">
        <f t="shared" si="1"/>
        <v>21</v>
      </c>
      <c r="E94" s="56">
        <f>'Mastercurve bestimmen'!A38</f>
        <v>2765749.6224023802</v>
      </c>
    </row>
    <row r="95" spans="1:5" x14ac:dyDescent="0.25">
      <c r="A95" s="50">
        <f t="shared" si="0"/>
        <v>22</v>
      </c>
      <c r="B95" s="56">
        <f>'Mastercurve bestimmen'!C39</f>
        <v>4.6207327982835155E-3</v>
      </c>
      <c r="C95" s="11"/>
      <c r="D95" s="51">
        <f t="shared" si="1"/>
        <v>22</v>
      </c>
      <c r="E95" s="56">
        <f>'Mastercurve bestimmen'!A39</f>
        <v>10000000</v>
      </c>
    </row>
    <row r="96" spans="1:5" x14ac:dyDescent="0.25">
      <c r="A96" s="50">
        <f t="shared" si="0"/>
        <v>23</v>
      </c>
      <c r="B96" s="56">
        <f>'Mastercurve bestimmen'!C40</f>
        <v>2.0598839061917876E-3</v>
      </c>
      <c r="C96" s="11"/>
      <c r="D96" s="51">
        <f t="shared" si="1"/>
        <v>23</v>
      </c>
      <c r="E96" s="56">
        <f>'Mastercurve bestimmen'!A40</f>
        <v>100000000</v>
      </c>
    </row>
    <row r="97" spans="1:5" x14ac:dyDescent="0.25">
      <c r="A97" s="50">
        <f t="shared" si="0"/>
        <v>24</v>
      </c>
      <c r="B97" s="56">
        <f>'Mastercurve bestimmen'!C41</f>
        <v>2.0793314772124174E-3</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2.538048611821601E-3</v>
      </c>
      <c r="C99" s="11"/>
      <c r="D99" s="51">
        <f t="shared" si="1"/>
        <v>26</v>
      </c>
      <c r="E99" s="56">
        <f>'Mastercurve bestimmen'!A43</f>
        <v>100000000000</v>
      </c>
    </row>
    <row r="100" spans="1:5" x14ac:dyDescent="0.25">
      <c r="A100" s="50">
        <f t="shared" si="0"/>
        <v>27</v>
      </c>
      <c r="B100" s="56">
        <f>'Mastercurve bestimmen'!C44</f>
        <v>1.186723127453265E-7</v>
      </c>
      <c r="C100" s="11"/>
      <c r="D100" s="51">
        <f t="shared" si="1"/>
        <v>27</v>
      </c>
      <c r="E100" s="56">
        <f>'Mastercurve bestimmen'!A44</f>
        <v>1000000000000</v>
      </c>
    </row>
    <row r="101" spans="1:5" x14ac:dyDescent="0.25">
      <c r="A101" s="50">
        <f t="shared" si="0"/>
        <v>28</v>
      </c>
      <c r="B101" s="56">
        <f>'Mastercurve bestimmen'!C45</f>
        <v>1.5301760835243074E-4</v>
      </c>
      <c r="C101" s="11"/>
      <c r="D101" s="51">
        <f t="shared" si="1"/>
        <v>28</v>
      </c>
      <c r="E101" s="56">
        <f>'Mastercurve bestimmen'!A45</f>
        <v>10000000000000</v>
      </c>
    </row>
    <row r="102" spans="1:5" x14ac:dyDescent="0.25">
      <c r="A102" s="50">
        <f t="shared" si="0"/>
        <v>29</v>
      </c>
      <c r="B102" s="56">
        <f>'Mastercurve bestimmen'!C46</f>
        <v>1.8120582087099855E-4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35" zoomScale="120" zoomScaleNormal="120" zoomScaleSheetLayoutView="110" workbookViewId="0">
      <selection activeCell="B4" sqref="B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110</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5776.5900052436255</v>
      </c>
      <c r="G16" s="26">
        <f>INDEX(Comparison!$AM$3:$AS$33,G14,$B$3)</f>
        <v>5571.6920956359099</v>
      </c>
      <c r="H16" s="26">
        <f>INDEX(Comparison!$AM$3:$AS$33,H14,$B$3)</f>
        <v>5400.7646013667554</v>
      </c>
      <c r="I16" s="26">
        <f>INDEX(Comparison!$AM$3:$AS$33,I14,$B$3)</f>
        <v>5215.0678795321228</v>
      </c>
      <c r="J16" s="26">
        <f>INDEX(Comparison!$AM$3:$AS$33,J14,$B$3)</f>
        <v>4985.425095489265</v>
      </c>
      <c r="K16" s="26">
        <f>INDEX(Comparison!$AM$3:$AS$33,K14,$B$3)</f>
        <v>4758.3350912889036</v>
      </c>
      <c r="L16" s="26">
        <f>INDEX(Comparison!$AM$3:$AS$33,L14,$B$3)</f>
        <v>4565.5114420012915</v>
      </c>
      <c r="M16" s="26">
        <f>INDEX(Comparison!$AM$3:$AS$33,M14,$B$3)</f>
        <v>4384.874474223483</v>
      </c>
      <c r="N16" s="26">
        <f>INDEX(Comparison!$AM$3:$AS$33,N14,$B$3)</f>
        <v>4203.1654341512503</v>
      </c>
      <c r="O16" s="26">
        <f>INDEX(Comparison!$AM$3:$AS$33,O14,$B$3)</f>
        <v>4026.8171479490911</v>
      </c>
      <c r="P16" s="26">
        <f>INDEX(Comparison!$AM$3:$AS$33,P14,$B$3)</f>
        <v>3842.8247437350828</v>
      </c>
      <c r="Q16" s="26">
        <f>INDEX(Comparison!$AM$3:$AS$33,Q14,$B$3)</f>
        <v>3637.9090125528774</v>
      </c>
      <c r="R16" s="26">
        <f>INDEX(Comparison!$AM$3:$AS$33,R14,$B$3)</f>
        <v>3407.0475124340101</v>
      </c>
      <c r="S16" s="26">
        <f>INDEX(Comparison!$AM$3:$AS$33,S14,$B$3)</f>
        <v>3145.7192687287707</v>
      </c>
      <c r="T16" s="26">
        <f>INDEX(Comparison!$AM$3:$AS$33,T14,$B$3)</f>
        <v>2837.9758401657195</v>
      </c>
      <c r="U16" s="26">
        <f>INDEX(Comparison!$AM$3:$AS$33,U14,$B$3)</f>
        <v>2426.1662837806571</v>
      </c>
      <c r="V16" s="26">
        <f>INDEX(Comparison!$AM$3:$AS$33,V14,$B$3)</f>
        <v>1854.808278855141</v>
      </c>
      <c r="W16" s="26">
        <f>INDEX(Comparison!$AM$3:$AS$33,W14,$B$3)</f>
        <v>1269.173844412863</v>
      </c>
      <c r="X16" s="26">
        <f>INDEX(Comparison!$AM$3:$AS$33,X14,$B$3)</f>
        <v>808.20803145416335</v>
      </c>
      <c r="Y16" s="26">
        <f>INDEX(Comparison!$AM$3:$AS$33,Y14,$B$3)</f>
        <v>509.02880387480866</v>
      </c>
      <c r="Z16" s="26">
        <f>INDEX(Comparison!$AM$3:$AS$33,Z14,$B$3)</f>
        <v>344.05387649356049</v>
      </c>
      <c r="AA16" s="26">
        <f>INDEX(Comparison!$AM$3:$AS$33,AA14,$B$3)</f>
        <v>262.73242624087396</v>
      </c>
      <c r="AB16" s="26">
        <f>INDEX(Comparison!$AM$3:$AS$33,AB14,$B$3)</f>
        <v>222.939887660718</v>
      </c>
      <c r="AC16" s="26">
        <f>INDEX(Comparison!$AM$3:$AS$33,AC14,$B$3)</f>
        <v>201.32214117210117</v>
      </c>
      <c r="AD16" s="26">
        <f>INDEX(Comparison!$AM$3:$AS$33,AD14,$B$3)</f>
        <v>188.02569432355588</v>
      </c>
      <c r="AE16" s="26">
        <f>INDEX(Comparison!$AM$3:$AS$33,AE14,$B$3)</f>
        <v>181.14617749166206</v>
      </c>
      <c r="AF16" s="26">
        <f>INDEX(Comparison!$AM$3:$AS$33,AF14,$B$3)</f>
        <v>171.73287142228415</v>
      </c>
      <c r="AG16" s="26">
        <f>INDEX(Comparison!$AM$3:$AS$33,AG14,$B$3)</f>
        <v>164.88164851800227</v>
      </c>
      <c r="AH16" s="26">
        <f>INDEX(Comparison!$AM$3:$AS$33,AH14,$B$3)</f>
        <v>164.50146393142782</v>
      </c>
      <c r="AI16" s="26">
        <f>INDEX(Comparison!$AM$3:$AS$33,AI14,$B$3)</f>
        <v>163.00727748318997</v>
      </c>
      <c r="AJ16" s="26">
        <f>INDEX(Comparison!$AM$3:$AS$33,AJ14,$B$3)</f>
        <v>162.92272722143832</v>
      </c>
    </row>
    <row r="17" spans="1:36" x14ac:dyDescent="0.25">
      <c r="A17" s="14" t="s">
        <v>20</v>
      </c>
      <c r="B17" s="105">
        <v>2.1035560967971288E-2</v>
      </c>
      <c r="C17" s="18">
        <f t="shared" ref="C17:C48" si="3">ABS(B17/$B$49)</f>
        <v>2.3280095773815995E-2</v>
      </c>
      <c r="D17" s="66"/>
      <c r="E17" s="65" t="s">
        <v>22</v>
      </c>
      <c r="F17" s="27">
        <f>($C$17+SUM(F18:F48))*$B$51</f>
        <v>5718.4352679377425</v>
      </c>
      <c r="G17" s="27">
        <f t="shared" ref="G17:M17" si="4">($C$17+SUM(G18:G48))*$B$51</f>
        <v>5646.8950208212655</v>
      </c>
      <c r="H17" s="27">
        <f t="shared" si="4"/>
        <v>5380.8502583472291</v>
      </c>
      <c r="I17" s="27">
        <f t="shared" si="4"/>
        <v>5218.3191335138126</v>
      </c>
      <c r="J17" s="27">
        <f t="shared" si="4"/>
        <v>4984.9782081116809</v>
      </c>
      <c r="K17" s="27">
        <f t="shared" si="4"/>
        <v>4758.3806107672253</v>
      </c>
      <c r="L17" s="27">
        <f t="shared" si="4"/>
        <v>4565.5330812752654</v>
      </c>
      <c r="M17" s="27">
        <f t="shared" si="4"/>
        <v>4384.7921071931505</v>
      </c>
      <c r="N17" s="27">
        <f t="shared" ref="N17" si="5">($C$17+SUM(N18:N48))*$B$51</f>
        <v>4203.3598517313285</v>
      </c>
      <c r="O17" s="27">
        <f t="shared" ref="O17" si="6">($C$17+SUM(O18:O48))*$B$51</f>
        <v>4026.4216005834278</v>
      </c>
      <c r="P17" s="27">
        <f t="shared" ref="P17" si="7">($C$17+SUM(P18:P48))*$B$51</f>
        <v>3843.4970728157004</v>
      </c>
      <c r="Q17" s="27">
        <f t="shared" ref="Q17" si="8">($C$17+SUM(Q18:Q48))*$B$51</f>
        <v>3636.9374064674648</v>
      </c>
      <c r="R17" s="27">
        <f t="shared" ref="R17" si="9">($C$17+SUM(R18:R48))*$B$51</f>
        <v>3408.2366079461945</v>
      </c>
      <c r="S17" s="27">
        <f t="shared" ref="S17:T17" si="10">($C$17+SUM(S18:S48))*$B$51</f>
        <v>3144.4832851406777</v>
      </c>
      <c r="T17" s="27">
        <f t="shared" si="10"/>
        <v>2839.0852393708569</v>
      </c>
      <c r="U17" s="27">
        <f t="shared" ref="U17" si="11">($C$17+SUM(U18:U48))*$B$51</f>
        <v>2425.3147818710713</v>
      </c>
      <c r="V17" s="27">
        <f t="shared" ref="V17" si="12">($C$17+SUM(V18:V48))*$B$51</f>
        <v>1855.3828989874442</v>
      </c>
      <c r="W17" s="27">
        <f t="shared" ref="W17" si="13">($C$17+SUM(W18:W48))*$B$51</f>
        <v>1268.8426653232004</v>
      </c>
      <c r="X17" s="27">
        <f t="shared" ref="X17" si="14">($C$17+SUM(X18:X48))*$B$51</f>
        <v>808.36801386965885</v>
      </c>
      <c r="Y17" s="27">
        <f t="shared" ref="Y17" si="15">($C$17+SUM(Y18:Y48))*$B$51</f>
        <v>508.95962302565101</v>
      </c>
      <c r="Z17" s="27">
        <f t="shared" ref="Z17:AA17" si="16">($C$17+SUM(Z18:Z48))*$B$51</f>
        <v>344.08156956820147</v>
      </c>
      <c r="AA17" s="27">
        <f t="shared" si="16"/>
        <v>262.71972896285871</v>
      </c>
      <c r="AB17" s="27">
        <f t="shared" ref="AB17" si="17">($C$17+SUM(AB18:AB48))*$B$51</f>
        <v>222.95043241972559</v>
      </c>
      <c r="AC17" s="27">
        <f t="shared" ref="AC17" si="18">($C$17+SUM(AC18:AC48))*$B$51</f>
        <v>201.30727641187875</v>
      </c>
      <c r="AD17" s="27">
        <f t="shared" ref="AD17" si="19">($C$17+SUM(AD18:AD48))*$B$51</f>
        <v>188.04161733900969</v>
      </c>
      <c r="AE17" s="27">
        <f t="shared" ref="AE17" si="20">($C$17+SUM(AE18:AE48))*$B$51</f>
        <v>181.17947244222572</v>
      </c>
      <c r="AF17" s="27">
        <f t="shared" ref="AF17" si="21">($C$17+SUM(AF18:AF48))*$B$51</f>
        <v>171.63859251976763</v>
      </c>
      <c r="AG17" s="27">
        <f t="shared" ref="AG17:AH17" si="22">($C$17+SUM(AG18:AG48))*$B$51</f>
        <v>165.00765420134707</v>
      </c>
      <c r="AH17" s="27">
        <f t="shared" si="22"/>
        <v>164.32404912574731</v>
      </c>
      <c r="AI17" s="27">
        <f t="shared" ref="AI17" si="23">($C$17+SUM(AI18:AI48))*$B$51</f>
        <v>163.25012002422946</v>
      </c>
      <c r="AJ17" s="27">
        <f t="shared" ref="AJ17" si="24">($C$17+SUM(AJ18:AJ48))*$B$51</f>
        <v>162.78400175033337</v>
      </c>
    </row>
    <row r="18" spans="1:36" x14ac:dyDescent="0.25">
      <c r="A18" s="3">
        <f>0.000000000000001/10^5</f>
        <v>1.0000000000000001E-20</v>
      </c>
      <c r="B18" s="106">
        <v>0.16346829745189675</v>
      </c>
      <c r="C18" s="18">
        <f t="shared" si="3"/>
        <v>0.18091067913316566</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4.4047388095517316E-2</v>
      </c>
      <c r="C19" s="18">
        <f t="shared" si="3"/>
        <v>4.8747329106715996E-2</v>
      </c>
      <c r="D19" s="17"/>
      <c r="F19" s="3">
        <f t="shared" si="25"/>
        <v>4.7514501684035162E-2</v>
      </c>
      <c r="G19" s="3">
        <f t="shared" si="25"/>
        <v>3.7731525119124275E-2</v>
      </c>
      <c r="H19" s="3">
        <f t="shared" si="25"/>
        <v>3.7625836986610959E-3</v>
      </c>
      <c r="I19" s="3">
        <f t="shared" si="25"/>
        <v>3.6585101717110066E-13</v>
      </c>
      <c r="J19" s="3">
        <f t="shared" si="25"/>
        <v>2.76366398678E-113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1.6345264737525542E-2</v>
      </c>
      <c r="C20" s="18">
        <f t="shared" si="3"/>
        <v>1.8089335916325222E-2</v>
      </c>
      <c r="D20" s="17"/>
      <c r="F20" s="3">
        <f t="shared" si="25"/>
        <v>1.8047584669067425E-2</v>
      </c>
      <c r="G20" s="3">
        <f t="shared" si="25"/>
        <v>1.76761332561415E-2</v>
      </c>
      <c r="H20" s="3">
        <f t="shared" si="25"/>
        <v>1.4357177076305535E-2</v>
      </c>
      <c r="I20" s="3">
        <f t="shared" si="25"/>
        <v>1.794266529805138E-3</v>
      </c>
      <c r="J20" s="3">
        <f t="shared" si="25"/>
        <v>1.6675003982429205E-12</v>
      </c>
      <c r="K20" s="3">
        <f t="shared" si="25"/>
        <v>8.014120173664511E-103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3.3932466332708369E-2</v>
      </c>
      <c r="C21" s="18">
        <f t="shared" si="3"/>
        <v>3.7553125741215831E-2</v>
      </c>
      <c r="D21" s="17"/>
      <c r="F21" s="3">
        <f t="shared" si="25"/>
        <v>3.7545298730632989E-2</v>
      </c>
      <c r="G21" s="3">
        <f t="shared" si="25"/>
        <v>3.7474929005114635E-2</v>
      </c>
      <c r="H21" s="3">
        <f t="shared" si="25"/>
        <v>3.6778445136130974E-2</v>
      </c>
      <c r="I21" s="3">
        <f t="shared" si="25"/>
        <v>3.0487290261240783E-2</v>
      </c>
      <c r="J21" s="3">
        <f t="shared" si="25"/>
        <v>4.6706081520700082E-3</v>
      </c>
      <c r="K21" s="3">
        <f t="shared" si="25"/>
        <v>3.3259790340683368E-11</v>
      </c>
      <c r="L21" s="3">
        <f t="shared" si="25"/>
        <v>1.1152705891055101E-92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3.1314179197507425E-2</v>
      </c>
      <c r="C22" s="18">
        <f t="shared" si="3"/>
        <v>3.4655462333825049E-2</v>
      </c>
      <c r="D22" s="17"/>
      <c r="F22" s="3">
        <f t="shared" si="25"/>
        <v>3.4654810691480874E-2</v>
      </c>
      <c r="G22" s="3">
        <f t="shared" si="25"/>
        <v>3.4648946461746315E-2</v>
      </c>
      <c r="H22" s="3">
        <f t="shared" si="25"/>
        <v>3.4590358715142051E-2</v>
      </c>
      <c r="I22" s="3">
        <f t="shared" si="25"/>
        <v>3.4009902319767658E-2</v>
      </c>
      <c r="J22" s="3">
        <f t="shared" si="25"/>
        <v>2.8714983571877795E-2</v>
      </c>
      <c r="K22" s="3">
        <f t="shared" si="25"/>
        <v>5.2861617486522844E-3</v>
      </c>
      <c r="L22" s="3">
        <f t="shared" si="25"/>
        <v>2.3629754187985676E-10</v>
      </c>
      <c r="M22" s="3">
        <f t="shared" si="25"/>
        <v>7.527430677761257E-84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2.5336518429268453E-2</v>
      </c>
      <c r="C23" s="18">
        <f t="shared" si="3"/>
        <v>2.8039973666806786E-2</v>
      </c>
      <c r="D23" s="17"/>
      <c r="F23" s="3">
        <f t="shared" si="25"/>
        <v>2.8039926104215525E-2</v>
      </c>
      <c r="G23" s="3">
        <f t="shared" si="25"/>
        <v>2.8039498044524672E-2</v>
      </c>
      <c r="H23" s="3">
        <f t="shared" si="25"/>
        <v>2.8035217807013242E-2</v>
      </c>
      <c r="I23" s="3">
        <f t="shared" si="25"/>
        <v>2.7992451351319489E-2</v>
      </c>
      <c r="J23" s="3">
        <f t="shared" si="25"/>
        <v>2.7568358529966135E-2</v>
      </c>
      <c r="K23" s="3">
        <f t="shared" si="25"/>
        <v>2.3665226694560816E-2</v>
      </c>
      <c r="L23" s="3">
        <f t="shared" si="25"/>
        <v>5.1417182782184396E-3</v>
      </c>
      <c r="M23" s="3">
        <f t="shared" si="25"/>
        <v>1.2052700387662838E-9</v>
      </c>
      <c r="N23" s="3">
        <f t="shared" si="25"/>
        <v>6.0373338900825165E-76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2.4227278523637145E-2</v>
      </c>
      <c r="C24" s="18">
        <f t="shared" si="3"/>
        <v>2.6812375730219603E-2</v>
      </c>
      <c r="D24" s="17"/>
      <c r="F24" s="3">
        <f t="shared" si="25"/>
        <v>2.6812371627516134E-2</v>
      </c>
      <c r="G24" s="3">
        <f t="shared" si="25"/>
        <v>2.6812334703213158E-2</v>
      </c>
      <c r="H24" s="3">
        <f t="shared" si="25"/>
        <v>2.6811965462980116E-2</v>
      </c>
      <c r="I24" s="3">
        <f t="shared" si="25"/>
        <v>2.680827334030831E-2</v>
      </c>
      <c r="J24" s="3">
        <f t="shared" si="25"/>
        <v>2.6771380065203711E-2</v>
      </c>
      <c r="K24" s="3">
        <f t="shared" si="25"/>
        <v>2.6405228285327206E-2</v>
      </c>
      <c r="L24" s="3">
        <f t="shared" si="25"/>
        <v>2.3008144441298933E-2</v>
      </c>
      <c r="M24" s="3">
        <f t="shared" si="25"/>
        <v>5.8049473001501291E-3</v>
      </c>
      <c r="N24" s="3">
        <f t="shared" si="25"/>
        <v>6.0668763520260955E-9</v>
      </c>
      <c r="O24" s="3">
        <f t="shared" si="25"/>
        <v>9.4326510280318446E-69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2.496789604667491E-2</v>
      </c>
      <c r="C25" s="18">
        <f t="shared" si="3"/>
        <v>2.7632018567144069E-2</v>
      </c>
      <c r="D25" s="17"/>
      <c r="F25" s="3">
        <f t="shared" si="25"/>
        <v>2.763201818573232E-2</v>
      </c>
      <c r="G25" s="3">
        <f t="shared" si="25"/>
        <v>2.7632014753026832E-2</v>
      </c>
      <c r="H25" s="3">
        <f t="shared" si="25"/>
        <v>2.7631980425995382E-2</v>
      </c>
      <c r="I25" s="3">
        <f t="shared" si="25"/>
        <v>2.7631637158026284E-2</v>
      </c>
      <c r="J25" s="3">
        <f t="shared" si="25"/>
        <v>2.7628204712866762E-2</v>
      </c>
      <c r="K25" s="3">
        <f t="shared" si="25"/>
        <v>2.7593903703637981E-2</v>
      </c>
      <c r="L25" s="3">
        <f t="shared" si="25"/>
        <v>2.7253227108462411E-2</v>
      </c>
      <c r="M25" s="3">
        <f t="shared" si="25"/>
        <v>2.4069432172216416E-2</v>
      </c>
      <c r="N25" s="3">
        <f t="shared" si="25"/>
        <v>6.9493620791419792E-3</v>
      </c>
      <c r="O25" s="3">
        <f t="shared" si="25"/>
        <v>2.7972796930714889E-8</v>
      </c>
      <c r="P25" s="3">
        <f t="shared" si="25"/>
        <v>3.1235281000661301E-62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2.3421697721283254E-2</v>
      </c>
      <c r="C26" s="18">
        <f t="shared" si="3"/>
        <v>2.5920837907154132E-2</v>
      </c>
      <c r="D26" s="17"/>
      <c r="F26" s="3">
        <f t="shared" si="25"/>
        <v>2.5920837874878325E-2</v>
      </c>
      <c r="G26" s="3">
        <f t="shared" si="25"/>
        <v>2.5920837584396082E-2</v>
      </c>
      <c r="H26" s="3">
        <f t="shared" si="25"/>
        <v>2.5920834679573831E-2</v>
      </c>
      <c r="I26" s="3">
        <f t="shared" si="25"/>
        <v>2.5920805631369195E-2</v>
      </c>
      <c r="J26" s="3">
        <f t="shared" si="25"/>
        <v>2.5920515151113252E-2</v>
      </c>
      <c r="K26" s="3">
        <f t="shared" si="25"/>
        <v>2.5917610527586721E-2</v>
      </c>
      <c r="L26" s="3">
        <f t="shared" si="25"/>
        <v>2.5888582188189554E-2</v>
      </c>
      <c r="M26" s="3">
        <f t="shared" si="25"/>
        <v>2.5600080982860537E-2</v>
      </c>
      <c r="N26" s="3">
        <f t="shared" si="25"/>
        <v>2.2886114434891379E-2</v>
      </c>
      <c r="O26" s="3">
        <f t="shared" si="25"/>
        <v>7.4624137609416484E-3</v>
      </c>
      <c r="P26" s="3">
        <f t="shared" si="25"/>
        <v>1.0137991581144436E-7</v>
      </c>
      <c r="Q26" s="3">
        <f t="shared" si="25"/>
        <v>2.1710905449389802E-56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2.4750964410983234E-2</v>
      </c>
      <c r="C27" s="18">
        <f t="shared" si="3"/>
        <v>2.7391939908773026E-2</v>
      </c>
      <c r="D27" s="17"/>
      <c r="F27" s="3">
        <f t="shared" si="25"/>
        <v>2.7391939905696241E-2</v>
      </c>
      <c r="G27" s="3">
        <f t="shared" si="25"/>
        <v>2.7391939878005155E-2</v>
      </c>
      <c r="H27" s="3">
        <f t="shared" si="25"/>
        <v>2.7391939601094331E-2</v>
      </c>
      <c r="I27" s="3">
        <f t="shared" si="25"/>
        <v>2.7391936831986225E-2</v>
      </c>
      <c r="J27" s="3">
        <f t="shared" si="25"/>
        <v>2.7391909140920562E-2</v>
      </c>
      <c r="K27" s="3">
        <f t="shared" si="25"/>
        <v>2.7391632231803593E-2</v>
      </c>
      <c r="L27" s="3">
        <f t="shared" si="25"/>
        <v>2.7388863294591701E-2</v>
      </c>
      <c r="M27" s="3">
        <f t="shared" si="25"/>
        <v>2.7361189312496682E-2</v>
      </c>
      <c r="N27" s="3">
        <f t="shared" si="25"/>
        <v>2.7085982752977699E-2</v>
      </c>
      <c r="O27" s="3">
        <f t="shared" si="25"/>
        <v>2.4481660077590468E-2</v>
      </c>
      <c r="P27" s="3">
        <f t="shared" si="25"/>
        <v>8.90847823410338E-3</v>
      </c>
      <c r="Q27" s="3">
        <f t="shared" si="25"/>
        <v>3.6260193717757994E-7</v>
      </c>
      <c r="R27" s="3">
        <f t="shared" si="25"/>
        <v>4.52580759801436E-51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2.9425698252401405E-2</v>
      </c>
      <c r="C28" s="18">
        <f t="shared" si="3"/>
        <v>3.256547684040112E-2</v>
      </c>
      <c r="D28" s="17"/>
      <c r="F28" s="3">
        <f t="shared" si="25"/>
        <v>3.2565476840071148E-2</v>
      </c>
      <c r="G28" s="3">
        <f t="shared" si="25"/>
        <v>3.2565476837101391E-2</v>
      </c>
      <c r="H28" s="3">
        <f t="shared" si="25"/>
        <v>3.25654768074038E-2</v>
      </c>
      <c r="I28" s="3">
        <f t="shared" si="25"/>
        <v>3.2565476510427918E-2</v>
      </c>
      <c r="J28" s="3">
        <f t="shared" si="25"/>
        <v>3.2565473540669271E-2</v>
      </c>
      <c r="K28" s="3">
        <f t="shared" si="25"/>
        <v>3.2565443843097674E-2</v>
      </c>
      <c r="L28" s="3">
        <f t="shared" si="25"/>
        <v>3.2565146868871193E-2</v>
      </c>
      <c r="M28" s="3">
        <f t="shared" si="25"/>
        <v>3.2562177275553238E-2</v>
      </c>
      <c r="N28" s="3">
        <f t="shared" si="25"/>
        <v>3.2532496232034351E-2</v>
      </c>
      <c r="O28" s="3">
        <f t="shared" si="25"/>
        <v>3.2237169751133089E-2</v>
      </c>
      <c r="P28" s="3">
        <f t="shared" si="25"/>
        <v>2.9427413077977877E-2</v>
      </c>
      <c r="Q28" s="3">
        <f t="shared" si="25"/>
        <v>1.1822351843937564E-2</v>
      </c>
      <c r="R28" s="3">
        <f t="shared" si="25"/>
        <v>1.2948570525924851E-6</v>
      </c>
      <c r="S28" s="3">
        <f t="shared" si="25"/>
        <v>3.216631348761105E-46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3.0901166141031503E-2</v>
      </c>
      <c r="C29" s="18">
        <f t="shared" si="3"/>
        <v>3.4198379990015168E-2</v>
      </c>
      <c r="D29" s="17"/>
      <c r="F29" s="3">
        <f t="shared" si="25"/>
        <v>3.4198379989983908E-2</v>
      </c>
      <c r="G29" s="3">
        <f t="shared" si="25"/>
        <v>3.4198379989702578E-2</v>
      </c>
      <c r="H29" s="3">
        <f t="shared" si="25"/>
        <v>3.419837998688928E-2</v>
      </c>
      <c r="I29" s="3">
        <f t="shared" si="25"/>
        <v>3.4198379958756291E-2</v>
      </c>
      <c r="J29" s="3">
        <f t="shared" si="25"/>
        <v>3.4198379677426415E-2</v>
      </c>
      <c r="K29" s="3">
        <f t="shared" si="25"/>
        <v>3.4198376864127744E-2</v>
      </c>
      <c r="L29" s="3">
        <f t="shared" si="25"/>
        <v>3.4198348731153759E-2</v>
      </c>
      <c r="M29" s="3">
        <f t="shared" si="25"/>
        <v>3.4198067402686806E-2</v>
      </c>
      <c r="N29" s="3">
        <f t="shared" si="25"/>
        <v>3.4195254245301378E-2</v>
      </c>
      <c r="O29" s="3">
        <f t="shared" si="25"/>
        <v>3.4167135395984885E-2</v>
      </c>
      <c r="P29" s="3">
        <f t="shared" si="25"/>
        <v>3.3887215492042162E-2</v>
      </c>
      <c r="Q29" s="3">
        <f t="shared" si="25"/>
        <v>3.1211097578291953E-2</v>
      </c>
      <c r="R29" s="3">
        <f t="shared" si="25"/>
        <v>1.3710099674312559E-2</v>
      </c>
      <c r="S29" s="3">
        <f t="shared" si="25"/>
        <v>3.6673834385363884E-6</v>
      </c>
      <c r="T29" s="3">
        <f t="shared" si="25"/>
        <v>6.8788112354758692E-42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3.8731667115186684E-2</v>
      </c>
      <c r="C30" s="18">
        <f t="shared" si="3"/>
        <v>4.2864410475860253E-2</v>
      </c>
      <c r="D30" s="17"/>
      <c r="F30" s="3">
        <f t="shared" si="25"/>
        <v>4.2864410475856714E-2</v>
      </c>
      <c r="G30" s="3">
        <f t="shared" si="25"/>
        <v>4.2864410475824906E-2</v>
      </c>
      <c r="H30" s="3">
        <f t="shared" si="25"/>
        <v>4.286441047550682E-2</v>
      </c>
      <c r="I30" s="3">
        <f t="shared" si="25"/>
        <v>4.2864410472325892E-2</v>
      </c>
      <c r="J30" s="3">
        <f t="shared" si="25"/>
        <v>4.2864410440516615E-2</v>
      </c>
      <c r="K30" s="3">
        <f t="shared" si="25"/>
        <v>4.2864410122423861E-2</v>
      </c>
      <c r="L30" s="3">
        <f t="shared" si="25"/>
        <v>4.2864406941496472E-2</v>
      </c>
      <c r="M30" s="3">
        <f t="shared" si="25"/>
        <v>4.2864375132235552E-2</v>
      </c>
      <c r="N30" s="3">
        <f t="shared" si="25"/>
        <v>4.2864057040924691E-2</v>
      </c>
      <c r="O30" s="3">
        <f t="shared" si="25"/>
        <v>4.2860876257641602E-2</v>
      </c>
      <c r="P30" s="3">
        <f t="shared" si="25"/>
        <v>4.2829081403800658E-2</v>
      </c>
      <c r="Q30" s="3">
        <f t="shared" si="25"/>
        <v>4.2512427207765539E-2</v>
      </c>
      <c r="R30" s="3">
        <f t="shared" si="25"/>
        <v>3.9471835008745189E-2</v>
      </c>
      <c r="S30" s="3">
        <f t="shared" si="25"/>
        <v>1.8793231854273892E-2</v>
      </c>
      <c r="T30" s="3">
        <f t="shared" si="25"/>
        <v>1.1249753875697447E-5</v>
      </c>
      <c r="U30" s="3">
        <f t="shared" si="25"/>
        <v>6.6459720937877953E-38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3.9499855594132292E-2</v>
      </c>
      <c r="C31" s="18">
        <f t="shared" si="3"/>
        <v>4.3714566142705795E-2</v>
      </c>
      <c r="D31" s="17"/>
      <c r="F31" s="3">
        <f t="shared" si="25"/>
        <v>4.3714566142705469E-2</v>
      </c>
      <c r="G31" s="3">
        <f t="shared" si="25"/>
        <v>4.3714566142702541E-2</v>
      </c>
      <c r="H31" s="3">
        <f t="shared" si="25"/>
        <v>4.3714566142673279E-2</v>
      </c>
      <c r="I31" s="3">
        <f t="shared" si="25"/>
        <v>4.3714566142380645E-2</v>
      </c>
      <c r="J31" s="3">
        <f t="shared" si="25"/>
        <v>4.3714566139454271E-2</v>
      </c>
      <c r="K31" s="3">
        <f t="shared" si="25"/>
        <v>4.3714566110190541E-2</v>
      </c>
      <c r="L31" s="3">
        <f t="shared" si="25"/>
        <v>4.3714565817553237E-2</v>
      </c>
      <c r="M31" s="3">
        <f t="shared" si="25"/>
        <v>4.3714562891180343E-2</v>
      </c>
      <c r="N31" s="3">
        <f t="shared" si="25"/>
        <v>4.3714533627462145E-2</v>
      </c>
      <c r="O31" s="3">
        <f t="shared" si="25"/>
        <v>4.3714240991357636E-2</v>
      </c>
      <c r="P31" s="3">
        <f t="shared" si="25"/>
        <v>4.3711314738054244E-2</v>
      </c>
      <c r="Q31" s="3">
        <f t="shared" si="25"/>
        <v>4.3682062976524876E-2</v>
      </c>
      <c r="R31" s="3">
        <f t="shared" si="25"/>
        <v>4.3390619848481145E-2</v>
      </c>
      <c r="S31" s="3">
        <f t="shared" si="25"/>
        <v>4.0581022899957624E-2</v>
      </c>
      <c r="T31" s="3">
        <f t="shared" si="25"/>
        <v>2.0777550472309784E-2</v>
      </c>
      <c r="U31" s="3">
        <f t="shared" si="25"/>
        <v>2.57221879569623E-5</v>
      </c>
      <c r="V31" s="3">
        <f t="shared" si="26"/>
        <v>2.1749211749185179E-34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7.0260273298012196E-2</v>
      </c>
      <c r="C32" s="18">
        <f t="shared" si="3"/>
        <v>7.7757179566671539E-2</v>
      </c>
      <c r="D32" s="17"/>
      <c r="F32" s="3">
        <f t="shared" si="25"/>
        <v>7.7757179566671483E-2</v>
      </c>
      <c r="G32" s="3">
        <f t="shared" si="25"/>
        <v>7.7757179566671025E-2</v>
      </c>
      <c r="H32" s="3">
        <f t="shared" si="25"/>
        <v>7.7757179566666321E-2</v>
      </c>
      <c r="I32" s="3">
        <f t="shared" si="25"/>
        <v>7.7757179566619358E-2</v>
      </c>
      <c r="J32" s="3">
        <f t="shared" si="25"/>
        <v>7.7757179566149803E-2</v>
      </c>
      <c r="K32" s="3">
        <f t="shared" si="25"/>
        <v>7.7757179561454212E-2</v>
      </c>
      <c r="L32" s="3">
        <f t="shared" si="25"/>
        <v>7.7757179514498259E-2</v>
      </c>
      <c r="M32" s="3">
        <f t="shared" si="25"/>
        <v>7.7757179044938798E-2</v>
      </c>
      <c r="N32" s="3">
        <f t="shared" si="25"/>
        <v>7.7757174349344302E-2</v>
      </c>
      <c r="O32" s="3">
        <f t="shared" si="25"/>
        <v>7.7757127393414879E-2</v>
      </c>
      <c r="P32" s="3">
        <f t="shared" si="25"/>
        <v>7.7756657835680226E-2</v>
      </c>
      <c r="Q32" s="3">
        <f t="shared" si="25"/>
        <v>7.7751962414286349E-2</v>
      </c>
      <c r="R32" s="3">
        <f t="shared" si="25"/>
        <v>7.7705023792123309E-2</v>
      </c>
      <c r="S32" s="3">
        <f t="shared" si="25"/>
        <v>7.7237193269932766E-2</v>
      </c>
      <c r="T32" s="3">
        <f t="shared" si="25"/>
        <v>7.2711037443851601E-2</v>
      </c>
      <c r="U32" s="3">
        <f t="shared" si="25"/>
        <v>3.9750163393162029E-2</v>
      </c>
      <c r="V32" s="3">
        <f t="shared" si="26"/>
        <v>9.4781742276464075E-5</v>
      </c>
      <c r="W32" s="3">
        <f t="shared" si="26"/>
        <v>5.6309592218871968E-31</v>
      </c>
      <c r="X32" s="3">
        <f t="shared" si="26"/>
        <v>3.084319281820799E-293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8.6299004969519269E-2</v>
      </c>
      <c r="C33" s="18">
        <f t="shared" si="3"/>
        <v>9.5507274749383017E-2</v>
      </c>
      <c r="D33" s="17"/>
      <c r="F33" s="3">
        <f t="shared" si="25"/>
        <v>9.5507274749383003E-2</v>
      </c>
      <c r="G33" s="3">
        <f t="shared" si="25"/>
        <v>9.5507274749382962E-2</v>
      </c>
      <c r="H33" s="3">
        <f t="shared" si="25"/>
        <v>9.5507274749382434E-2</v>
      </c>
      <c r="I33" s="3">
        <f t="shared" si="25"/>
        <v>9.5507274749377244E-2</v>
      </c>
      <c r="J33" s="3">
        <f t="shared" si="25"/>
        <v>9.5507274749325202E-2</v>
      </c>
      <c r="K33" s="3">
        <f t="shared" si="25"/>
        <v>9.5507274748804924E-2</v>
      </c>
      <c r="L33" s="3">
        <f t="shared" si="25"/>
        <v>9.5507274743602183E-2</v>
      </c>
      <c r="M33" s="3">
        <f t="shared" si="25"/>
        <v>9.5507274691574662E-2</v>
      </c>
      <c r="N33" s="3">
        <f t="shared" si="25"/>
        <v>9.5507274171299436E-2</v>
      </c>
      <c r="O33" s="3">
        <f t="shared" si="25"/>
        <v>9.550726896854736E-2</v>
      </c>
      <c r="P33" s="3">
        <f t="shared" si="25"/>
        <v>9.5507216941042153E-2</v>
      </c>
      <c r="Q33" s="3">
        <f t="shared" si="25"/>
        <v>9.5506696667548921E-2</v>
      </c>
      <c r="R33" s="3">
        <f t="shared" si="25"/>
        <v>9.5501494088493941E-2</v>
      </c>
      <c r="S33" s="3">
        <f t="shared" si="25"/>
        <v>9.5449483882530078E-2</v>
      </c>
      <c r="T33" s="3">
        <f t="shared" si="25"/>
        <v>9.4930937144881627E-2</v>
      </c>
      <c r="U33" s="3">
        <f t="shared" ref="P33:AE48" si="27">$C33*EXP(-U$15/$A33)</f>
        <v>8.9897912258322304E-2</v>
      </c>
      <c r="V33" s="3">
        <f t="shared" si="27"/>
        <v>5.2139634734428265E-2</v>
      </c>
      <c r="W33" s="3">
        <f t="shared" si="27"/>
        <v>2.2457001497531729E-4</v>
      </c>
      <c r="X33" s="3">
        <f t="shared" si="27"/>
        <v>4.9338916008450806E-28</v>
      </c>
      <c r="Y33" s="3">
        <f t="shared" si="27"/>
        <v>1.2929090066848029E-264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7.2314644021104366E-2</v>
      </c>
      <c r="C34" s="18">
        <f t="shared" si="3"/>
        <v>8.003075559639232E-2</v>
      </c>
      <c r="D34" s="17"/>
      <c r="F34" s="3">
        <f t="shared" ref="F34:O48" si="28">$C34*EXP(-F$15/$A34)</f>
        <v>8.003075559639232E-2</v>
      </c>
      <c r="G34" s="3">
        <f t="shared" si="28"/>
        <v>8.003075559639232E-2</v>
      </c>
      <c r="H34" s="3">
        <f t="shared" si="28"/>
        <v>8.0030755596392278E-2</v>
      </c>
      <c r="I34" s="3">
        <f t="shared" si="28"/>
        <v>8.0030755596391889E-2</v>
      </c>
      <c r="J34" s="3">
        <f t="shared" si="28"/>
        <v>8.0030755596387948E-2</v>
      </c>
      <c r="K34" s="3">
        <f t="shared" si="28"/>
        <v>8.0030755596348618E-2</v>
      </c>
      <c r="L34" s="3">
        <f t="shared" si="28"/>
        <v>8.003075559595535E-2</v>
      </c>
      <c r="M34" s="3">
        <f t="shared" si="28"/>
        <v>8.0030755592022565E-2</v>
      </c>
      <c r="N34" s="3">
        <f t="shared" si="28"/>
        <v>8.0030755552694705E-2</v>
      </c>
      <c r="O34" s="3">
        <f t="shared" si="28"/>
        <v>8.0030755159416211E-2</v>
      </c>
      <c r="P34" s="3">
        <f t="shared" si="27"/>
        <v>8.0030751226631364E-2</v>
      </c>
      <c r="Q34" s="3">
        <f t="shared" si="27"/>
        <v>8.0030711898793488E-2</v>
      </c>
      <c r="R34" s="3">
        <f t="shared" si="27"/>
        <v>8.0030318621477775E-2</v>
      </c>
      <c r="S34" s="3">
        <f t="shared" si="27"/>
        <v>8.0026385954611826E-2</v>
      </c>
      <c r="T34" s="3">
        <f t="shared" si="27"/>
        <v>7.998706991314225E-2</v>
      </c>
      <c r="U34" s="3">
        <f t="shared" si="27"/>
        <v>7.9594970287720335E-2</v>
      </c>
      <c r="V34" s="3">
        <f t="shared" si="27"/>
        <v>7.5778149308895593E-2</v>
      </c>
      <c r="W34" s="3">
        <f t="shared" si="27"/>
        <v>4.6358320119045504E-2</v>
      </c>
      <c r="X34" s="3">
        <f t="shared" si="27"/>
        <v>3.4038047964419333E-4</v>
      </c>
      <c r="Y34" s="3">
        <f t="shared" si="27"/>
        <v>1.5500089442480151E-25</v>
      </c>
      <c r="Z34" s="3">
        <f t="shared" si="27"/>
        <v>5.9433292141880566E-239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4.8772744360378588E-2</v>
      </c>
      <c r="C35" s="18">
        <f t="shared" si="3"/>
        <v>5.3976889971713508E-2</v>
      </c>
      <c r="D35" s="17"/>
      <c r="F35" s="3">
        <f t="shared" si="28"/>
        <v>5.3976889971713508E-2</v>
      </c>
      <c r="G35" s="3">
        <f t="shared" si="28"/>
        <v>5.3976889971713508E-2</v>
      </c>
      <c r="H35" s="3">
        <f t="shared" si="28"/>
        <v>5.3976889971713508E-2</v>
      </c>
      <c r="I35" s="3">
        <f t="shared" si="28"/>
        <v>5.3976889971713488E-2</v>
      </c>
      <c r="J35" s="3">
        <f t="shared" si="28"/>
        <v>5.3976889971713245E-2</v>
      </c>
      <c r="K35" s="3">
        <f t="shared" si="28"/>
        <v>5.3976889971710851E-2</v>
      </c>
      <c r="L35" s="3">
        <f t="shared" si="28"/>
        <v>5.3976889971686925E-2</v>
      </c>
      <c r="M35" s="3">
        <f t="shared" si="28"/>
        <v>5.3976889971447645E-2</v>
      </c>
      <c r="N35" s="3">
        <f t="shared" si="28"/>
        <v>5.3976889969054892E-2</v>
      </c>
      <c r="O35" s="3">
        <f t="shared" si="28"/>
        <v>5.3976889945127372E-2</v>
      </c>
      <c r="P35" s="3">
        <f t="shared" si="27"/>
        <v>5.3976889705852148E-2</v>
      </c>
      <c r="Q35" s="3">
        <f t="shared" si="27"/>
        <v>5.3976887313099964E-2</v>
      </c>
      <c r="R35" s="3">
        <f t="shared" si="27"/>
        <v>5.3976863385583974E-2</v>
      </c>
      <c r="S35" s="3">
        <f t="shared" si="27"/>
        <v>5.3976624111007475E-2</v>
      </c>
      <c r="T35" s="3">
        <f t="shared" si="27"/>
        <v>5.3974231423579211E-2</v>
      </c>
      <c r="U35" s="3">
        <f t="shared" si="27"/>
        <v>5.395031038201685E-2</v>
      </c>
      <c r="V35" s="3">
        <f t="shared" si="27"/>
        <v>5.3711682282887994E-2</v>
      </c>
      <c r="W35" s="3">
        <f t="shared" si="27"/>
        <v>5.1382689056325079E-2</v>
      </c>
      <c r="X35" s="3">
        <f t="shared" si="27"/>
        <v>3.2983562991166261E-2</v>
      </c>
      <c r="Y35" s="3">
        <f t="shared" si="27"/>
        <v>3.9183656142877284E-4</v>
      </c>
      <c r="Z35" s="3">
        <f t="shared" si="27"/>
        <v>2.1937081342916627E-23</v>
      </c>
      <c r="AA35" s="3">
        <f t="shared" si="27"/>
        <v>6.6361735534659968E-216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2.6767727922817345E-2</v>
      </c>
      <c r="C36" s="18">
        <f t="shared" si="3"/>
        <v>2.9623895965477303E-2</v>
      </c>
      <c r="D36" s="17"/>
      <c r="F36" s="3">
        <f t="shared" si="28"/>
        <v>2.9623895965477303E-2</v>
      </c>
      <c r="G36" s="3">
        <f t="shared" si="28"/>
        <v>2.9623895965477303E-2</v>
      </c>
      <c r="H36" s="3">
        <f t="shared" si="28"/>
        <v>2.9623895965477303E-2</v>
      </c>
      <c r="I36" s="3">
        <f t="shared" si="28"/>
        <v>2.9623895965477303E-2</v>
      </c>
      <c r="J36" s="3">
        <f t="shared" si="28"/>
        <v>2.9623895965477289E-2</v>
      </c>
      <c r="K36" s="3">
        <f t="shared" si="28"/>
        <v>2.9623895965477171E-2</v>
      </c>
      <c r="L36" s="3">
        <f t="shared" si="28"/>
        <v>2.9623895965475988E-2</v>
      </c>
      <c r="M36" s="3">
        <f t="shared" si="28"/>
        <v>2.962389596546414E-2</v>
      </c>
      <c r="N36" s="3">
        <f t="shared" si="28"/>
        <v>2.9623895965345679E-2</v>
      </c>
      <c r="O36" s="3">
        <f t="shared" si="28"/>
        <v>2.9623895964161061E-2</v>
      </c>
      <c r="P36" s="3">
        <f t="shared" si="27"/>
        <v>2.9623895952314874E-2</v>
      </c>
      <c r="Q36" s="3">
        <f t="shared" si="27"/>
        <v>2.9623895833852987E-2</v>
      </c>
      <c r="R36" s="3">
        <f t="shared" si="27"/>
        <v>2.9623894649234164E-2</v>
      </c>
      <c r="S36" s="3">
        <f t="shared" si="27"/>
        <v>2.9623882803048542E-2</v>
      </c>
      <c r="T36" s="3">
        <f t="shared" si="27"/>
        <v>2.9623764341452839E-2</v>
      </c>
      <c r="U36" s="3">
        <f t="shared" si="27"/>
        <v>2.9622579751549607E-2</v>
      </c>
      <c r="V36" s="3">
        <f t="shared" si="27"/>
        <v>2.9610736457509338E-2</v>
      </c>
      <c r="W36" s="3">
        <f t="shared" si="27"/>
        <v>2.9492563631293156E-2</v>
      </c>
      <c r="X36" s="3">
        <f t="shared" si="27"/>
        <v>2.8336466010184771E-2</v>
      </c>
      <c r="Y36" s="3">
        <f t="shared" si="27"/>
        <v>1.8996662043320248E-2</v>
      </c>
      <c r="Z36" s="3">
        <f t="shared" si="27"/>
        <v>3.4833202197123199E-4</v>
      </c>
      <c r="AA36" s="3">
        <f t="shared" si="27"/>
        <v>1.4967678380309218E-21</v>
      </c>
      <c r="AB36" s="3">
        <f t="shared" si="27"/>
        <v>3.2119210494912123E-195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1.3558399857690809E-2</v>
      </c>
      <c r="C37" s="18">
        <f t="shared" si="3"/>
        <v>1.5005107194779805E-2</v>
      </c>
      <c r="D37" s="17"/>
      <c r="F37" s="3">
        <f t="shared" si="28"/>
        <v>1.5005107194779805E-2</v>
      </c>
      <c r="G37" s="3">
        <f t="shared" si="28"/>
        <v>1.5005107194779805E-2</v>
      </c>
      <c r="H37" s="3">
        <f t="shared" si="28"/>
        <v>1.5005107194779805E-2</v>
      </c>
      <c r="I37" s="3">
        <f t="shared" si="28"/>
        <v>1.5005107194779805E-2</v>
      </c>
      <c r="J37" s="3">
        <f t="shared" si="28"/>
        <v>1.5005107194779805E-2</v>
      </c>
      <c r="K37" s="3">
        <f t="shared" si="28"/>
        <v>1.5005107194779798E-2</v>
      </c>
      <c r="L37" s="3">
        <f t="shared" si="28"/>
        <v>1.5005107194779745E-2</v>
      </c>
      <c r="M37" s="3">
        <f t="shared" si="28"/>
        <v>1.5005107194779203E-2</v>
      </c>
      <c r="N37" s="3">
        <f t="shared" si="28"/>
        <v>1.5005107194773791E-2</v>
      </c>
      <c r="O37" s="3">
        <f t="shared" si="28"/>
        <v>1.5005107194719662E-2</v>
      </c>
      <c r="P37" s="3">
        <f t="shared" si="27"/>
        <v>1.5005107194178384E-2</v>
      </c>
      <c r="Q37" s="3">
        <f t="shared" si="27"/>
        <v>1.5005107188765581E-2</v>
      </c>
      <c r="R37" s="3">
        <f t="shared" si="27"/>
        <v>1.500510713463756E-2</v>
      </c>
      <c r="S37" s="3">
        <f t="shared" si="27"/>
        <v>1.5005106593357347E-2</v>
      </c>
      <c r="T37" s="3">
        <f t="shared" si="27"/>
        <v>1.5005101180556315E-2</v>
      </c>
      <c r="U37" s="3">
        <f t="shared" si="27"/>
        <v>1.5005047052653377E-2</v>
      </c>
      <c r="V37" s="3">
        <f t="shared" si="27"/>
        <v>1.5004505784362928E-2</v>
      </c>
      <c r="W37" s="3">
        <f t="shared" si="27"/>
        <v>1.4999094175209258E-2</v>
      </c>
      <c r="X37" s="3">
        <f t="shared" si="27"/>
        <v>1.494508531557699E-2</v>
      </c>
      <c r="Y37" s="3">
        <f t="shared" si="27"/>
        <v>1.4415578157405741E-2</v>
      </c>
      <c r="Z37" s="3">
        <f t="shared" si="27"/>
        <v>1.0050061742610554E-2</v>
      </c>
      <c r="AA37" s="3">
        <f t="shared" si="27"/>
        <v>2.726059794860181E-4</v>
      </c>
      <c r="AB37" s="3">
        <f t="shared" si="27"/>
        <v>5.8776247501485021E-20</v>
      </c>
      <c r="AC37" s="3">
        <f t="shared" si="27"/>
        <v>1.2760468954561361E-176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3.6961631144989404E-3</v>
      </c>
      <c r="C38" s="18">
        <f t="shared" si="3"/>
        <v>4.0905508263932881E-3</v>
      </c>
      <c r="D38" s="17"/>
      <c r="F38" s="3">
        <f t="shared" si="28"/>
        <v>4.0905508263932881E-3</v>
      </c>
      <c r="G38" s="3">
        <f t="shared" si="28"/>
        <v>4.0905508263932881E-3</v>
      </c>
      <c r="H38" s="3">
        <f t="shared" si="28"/>
        <v>4.0905508263932881E-3</v>
      </c>
      <c r="I38" s="3">
        <f t="shared" si="28"/>
        <v>4.0905508263932881E-3</v>
      </c>
      <c r="J38" s="3">
        <f t="shared" si="28"/>
        <v>4.0905508263932881E-3</v>
      </c>
      <c r="K38" s="3">
        <f t="shared" si="28"/>
        <v>4.0905508263932881E-3</v>
      </c>
      <c r="L38" s="3">
        <f t="shared" si="28"/>
        <v>4.0905508263932864E-3</v>
      </c>
      <c r="M38" s="3">
        <f t="shared" si="28"/>
        <v>4.0905508263932733E-3</v>
      </c>
      <c r="N38" s="3">
        <f t="shared" si="28"/>
        <v>4.0905508263931398E-3</v>
      </c>
      <c r="O38" s="3">
        <f t="shared" si="28"/>
        <v>4.0905508263918092E-3</v>
      </c>
      <c r="P38" s="3">
        <f t="shared" si="27"/>
        <v>4.0905508263784978E-3</v>
      </c>
      <c r="Q38" s="3">
        <f t="shared" si="27"/>
        <v>4.0905508262453882E-3</v>
      </c>
      <c r="R38" s="3">
        <f t="shared" si="27"/>
        <v>4.0905508249142854E-3</v>
      </c>
      <c r="S38" s="3">
        <f t="shared" si="27"/>
        <v>4.0905508116032621E-3</v>
      </c>
      <c r="T38" s="3">
        <f t="shared" si="27"/>
        <v>4.0905506784930327E-3</v>
      </c>
      <c r="U38" s="3">
        <f t="shared" si="27"/>
        <v>4.090549347390976E-3</v>
      </c>
      <c r="V38" s="3">
        <f t="shared" si="27"/>
        <v>4.0905360363942284E-3</v>
      </c>
      <c r="W38" s="3">
        <f t="shared" si="27"/>
        <v>4.090402928809066E-3</v>
      </c>
      <c r="X38" s="3">
        <f t="shared" si="27"/>
        <v>4.0890720911595946E-3</v>
      </c>
      <c r="Y38" s="3">
        <f t="shared" si="27"/>
        <v>4.0757875062251165E-3</v>
      </c>
      <c r="Z38" s="3">
        <f t="shared" si="27"/>
        <v>3.9452924151701547E-3</v>
      </c>
      <c r="AA38" s="3">
        <f t="shared" si="27"/>
        <v>2.8494158519553727E-3</v>
      </c>
      <c r="AB38" s="3">
        <f t="shared" si="27"/>
        <v>1.100328143025402E-4</v>
      </c>
      <c r="AC38" s="3">
        <f t="shared" si="27"/>
        <v>8.1130858347616587E-19</v>
      </c>
      <c r="AD38" s="3">
        <f t="shared" si="27"/>
        <v>3.8532267622191243E-160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4.1752279474864384E-3</v>
      </c>
      <c r="C39" s="18">
        <f t="shared" si="3"/>
        <v>4.6207327982835155E-3</v>
      </c>
      <c r="D39" s="17"/>
      <c r="F39" s="3">
        <f t="shared" si="28"/>
        <v>4.6207327982835155E-3</v>
      </c>
      <c r="G39" s="3">
        <f t="shared" si="28"/>
        <v>4.6207327982835155E-3</v>
      </c>
      <c r="H39" s="3">
        <f t="shared" si="28"/>
        <v>4.6207327982835155E-3</v>
      </c>
      <c r="I39" s="3">
        <f t="shared" si="28"/>
        <v>4.6207327982835155E-3</v>
      </c>
      <c r="J39" s="3">
        <f t="shared" si="28"/>
        <v>4.6207327982835155E-3</v>
      </c>
      <c r="K39" s="3">
        <f t="shared" si="28"/>
        <v>4.6207327982835155E-3</v>
      </c>
      <c r="L39" s="3">
        <f t="shared" si="28"/>
        <v>4.6207327982835146E-3</v>
      </c>
      <c r="M39" s="3">
        <f t="shared" si="28"/>
        <v>4.6207327982835111E-3</v>
      </c>
      <c r="N39" s="3">
        <f t="shared" si="28"/>
        <v>4.6207327982834695E-3</v>
      </c>
      <c r="O39" s="3">
        <f t="shared" si="28"/>
        <v>4.6207327982830532E-3</v>
      </c>
      <c r="P39" s="3">
        <f t="shared" si="27"/>
        <v>4.620732798278895E-3</v>
      </c>
      <c r="Q39" s="3">
        <f t="shared" si="27"/>
        <v>4.6207327982373085E-3</v>
      </c>
      <c r="R39" s="3">
        <f t="shared" si="27"/>
        <v>4.6207327978214424E-3</v>
      </c>
      <c r="S39" s="3">
        <f t="shared" si="27"/>
        <v>4.6207327936627829E-3</v>
      </c>
      <c r="T39" s="3">
        <f t="shared" si="27"/>
        <v>4.6207327520761876E-3</v>
      </c>
      <c r="U39" s="3">
        <f t="shared" si="27"/>
        <v>4.6207323362102591E-3</v>
      </c>
      <c r="V39" s="3">
        <f t="shared" si="27"/>
        <v>4.620728177553028E-3</v>
      </c>
      <c r="W39" s="3">
        <f t="shared" si="27"/>
        <v>4.6206865911865682E-3</v>
      </c>
      <c r="X39" s="3">
        <f t="shared" si="27"/>
        <v>4.6202707481065811E-3</v>
      </c>
      <c r="Y39" s="3">
        <f t="shared" si="27"/>
        <v>4.616114375081702E-3</v>
      </c>
      <c r="Z39" s="3">
        <f t="shared" si="27"/>
        <v>4.5747557387399232E-3</v>
      </c>
      <c r="AA39" s="3">
        <f t="shared" si="27"/>
        <v>4.1810119346329302E-3</v>
      </c>
      <c r="AB39" s="3">
        <f t="shared" si="27"/>
        <v>1.6998725996350947E-3</v>
      </c>
      <c r="AC39" s="3">
        <f t="shared" si="27"/>
        <v>2.0978094449328171E-7</v>
      </c>
      <c r="AD39" s="3">
        <f t="shared" si="27"/>
        <v>1.7189477074506037E-46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1.8612815821993311E-3</v>
      </c>
      <c r="C40" s="18">
        <f t="shared" si="3"/>
        <v>2.0598839061917876E-3</v>
      </c>
      <c r="D40" s="17"/>
      <c r="F40" s="3">
        <f t="shared" si="28"/>
        <v>2.0598839061917876E-3</v>
      </c>
      <c r="G40" s="3">
        <f t="shared" si="28"/>
        <v>2.0598839061917876E-3</v>
      </c>
      <c r="H40" s="3">
        <f t="shared" si="28"/>
        <v>2.0598839061917876E-3</v>
      </c>
      <c r="I40" s="3">
        <f t="shared" si="28"/>
        <v>2.0598839061917876E-3</v>
      </c>
      <c r="J40" s="3">
        <f t="shared" si="28"/>
        <v>2.0598839061917876E-3</v>
      </c>
      <c r="K40" s="3">
        <f t="shared" si="28"/>
        <v>2.0598839061917876E-3</v>
      </c>
      <c r="L40" s="3">
        <f t="shared" si="28"/>
        <v>2.0598839061917876E-3</v>
      </c>
      <c r="M40" s="3">
        <f t="shared" si="28"/>
        <v>2.0598839061917872E-3</v>
      </c>
      <c r="N40" s="3">
        <f t="shared" si="28"/>
        <v>2.0598839061917854E-3</v>
      </c>
      <c r="O40" s="3">
        <f t="shared" si="28"/>
        <v>2.0598839061917672E-3</v>
      </c>
      <c r="P40" s="3">
        <f t="shared" si="27"/>
        <v>2.0598839061915816E-3</v>
      </c>
      <c r="Q40" s="3">
        <f t="shared" si="27"/>
        <v>2.0598839061897276E-3</v>
      </c>
      <c r="R40" s="3">
        <f t="shared" si="27"/>
        <v>2.0598839061711886E-3</v>
      </c>
      <c r="S40" s="3">
        <f t="shared" si="27"/>
        <v>2.0598839059857992E-3</v>
      </c>
      <c r="T40" s="3">
        <f t="shared" si="27"/>
        <v>2.0598839041319037E-3</v>
      </c>
      <c r="U40" s="3">
        <f t="shared" si="27"/>
        <v>2.0598838855929486E-3</v>
      </c>
      <c r="V40" s="3">
        <f t="shared" si="27"/>
        <v>2.0598837002034072E-3</v>
      </c>
      <c r="W40" s="3">
        <f t="shared" si="27"/>
        <v>2.0598818463089114E-3</v>
      </c>
      <c r="X40" s="3">
        <f t="shared" si="27"/>
        <v>2.0598633074557196E-3</v>
      </c>
      <c r="Y40" s="3">
        <f t="shared" si="27"/>
        <v>2.0596779281002444E-3</v>
      </c>
      <c r="Z40" s="3">
        <f t="shared" si="27"/>
        <v>2.0578250518843207E-3</v>
      </c>
      <c r="AA40" s="3">
        <f t="shared" si="27"/>
        <v>2.0393877188677662E-3</v>
      </c>
      <c r="AB40" s="3">
        <f t="shared" si="27"/>
        <v>1.8638600351324037E-3</v>
      </c>
      <c r="AC40" s="3">
        <f t="shared" si="27"/>
        <v>7.5778894028788262E-4</v>
      </c>
      <c r="AD40" s="3">
        <f t="shared" si="27"/>
        <v>9.3518584659980099E-8</v>
      </c>
      <c r="AE40" s="3">
        <f t="shared" si="27"/>
        <v>7.6629246328160264E-47</v>
      </c>
      <c r="AF40" s="3">
        <f t="shared" si="29"/>
        <v>0</v>
      </c>
      <c r="AG40" s="3">
        <f t="shared" si="29"/>
        <v>0</v>
      </c>
      <c r="AH40" s="3">
        <f t="shared" si="29"/>
        <v>0</v>
      </c>
      <c r="AI40" s="3">
        <f t="shared" si="29"/>
        <v>0</v>
      </c>
      <c r="AJ40" s="3">
        <f t="shared" si="29"/>
        <v>0</v>
      </c>
    </row>
    <row r="41" spans="1:36" x14ac:dyDescent="0.25">
      <c r="A41" s="3">
        <f t="shared" si="30"/>
        <v>1000000000</v>
      </c>
      <c r="B41" s="106">
        <v>1.8788541287153781E-3</v>
      </c>
      <c r="C41" s="18">
        <f t="shared" si="3"/>
        <v>2.0793314772124174E-3</v>
      </c>
      <c r="D41" s="17"/>
      <c r="F41" s="3">
        <f t="shared" si="28"/>
        <v>2.0793314772124174E-3</v>
      </c>
      <c r="G41" s="3">
        <f t="shared" si="28"/>
        <v>2.0793314772124174E-3</v>
      </c>
      <c r="H41" s="3">
        <f t="shared" si="28"/>
        <v>2.0793314772124174E-3</v>
      </c>
      <c r="I41" s="3">
        <f t="shared" si="28"/>
        <v>2.0793314772124174E-3</v>
      </c>
      <c r="J41" s="3">
        <f t="shared" si="28"/>
        <v>2.0793314772124174E-3</v>
      </c>
      <c r="K41" s="3">
        <f t="shared" si="28"/>
        <v>2.0793314772124174E-3</v>
      </c>
      <c r="L41" s="3">
        <f t="shared" si="28"/>
        <v>2.0793314772124174E-3</v>
      </c>
      <c r="M41" s="3">
        <f t="shared" si="28"/>
        <v>2.0793314772124174E-3</v>
      </c>
      <c r="N41" s="3">
        <f t="shared" si="28"/>
        <v>2.079331477212417E-3</v>
      </c>
      <c r="O41" s="3">
        <f t="shared" si="28"/>
        <v>2.0793314772124152E-3</v>
      </c>
      <c r="P41" s="3">
        <f t="shared" si="27"/>
        <v>2.0793314772123966E-3</v>
      </c>
      <c r="Q41" s="3">
        <f t="shared" si="27"/>
        <v>2.0793314772122092E-3</v>
      </c>
      <c r="R41" s="3">
        <f t="shared" si="27"/>
        <v>2.0793314772103379E-3</v>
      </c>
      <c r="S41" s="3">
        <f t="shared" si="27"/>
        <v>2.0793314771916241E-3</v>
      </c>
      <c r="T41" s="3">
        <f t="shared" si="27"/>
        <v>2.0793314770044843E-3</v>
      </c>
      <c r="U41" s="3">
        <f t="shared" si="27"/>
        <v>2.0793314751330859E-3</v>
      </c>
      <c r="V41" s="3">
        <f t="shared" si="27"/>
        <v>2.0793314564191028E-3</v>
      </c>
      <c r="W41" s="3">
        <f t="shared" si="27"/>
        <v>2.0793312692792801E-3</v>
      </c>
      <c r="X41" s="3">
        <f t="shared" si="27"/>
        <v>2.07932939788198E-3</v>
      </c>
      <c r="Y41" s="3">
        <f t="shared" si="27"/>
        <v>2.0793106840016114E-3</v>
      </c>
      <c r="Z41" s="3">
        <f t="shared" si="27"/>
        <v>2.0791235544610071E-3</v>
      </c>
      <c r="AA41" s="3">
        <f t="shared" si="27"/>
        <v>2.077253185054475E-3</v>
      </c>
      <c r="AB41" s="3">
        <f t="shared" si="27"/>
        <v>2.0586417833235661E-3</v>
      </c>
      <c r="AC41" s="3">
        <f t="shared" si="27"/>
        <v>1.8814569250817812E-3</v>
      </c>
      <c r="AD41" s="3">
        <f t="shared" si="27"/>
        <v>7.6494330184709379E-4</v>
      </c>
      <c r="AE41" s="3">
        <f t="shared" si="27"/>
        <v>9.4401503018367629E-8</v>
      </c>
      <c r="AF41" s="3">
        <f t="shared" si="29"/>
        <v>7.7352710745618308E-47</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2.2933443587331423E-3</v>
      </c>
      <c r="C43" s="18">
        <f t="shared" si="3"/>
        <v>2.538048611821601E-3</v>
      </c>
      <c r="D43" s="17"/>
      <c r="F43" s="3">
        <f t="shared" si="28"/>
        <v>2.538048611821601E-3</v>
      </c>
      <c r="G43" s="3">
        <f t="shared" si="28"/>
        <v>2.538048611821601E-3</v>
      </c>
      <c r="H43" s="3">
        <f t="shared" si="28"/>
        <v>2.538048611821601E-3</v>
      </c>
      <c r="I43" s="3">
        <f t="shared" si="28"/>
        <v>2.538048611821601E-3</v>
      </c>
      <c r="J43" s="3">
        <f t="shared" si="28"/>
        <v>2.538048611821601E-3</v>
      </c>
      <c r="K43" s="3">
        <f t="shared" si="28"/>
        <v>2.538048611821601E-3</v>
      </c>
      <c r="L43" s="3">
        <f t="shared" si="28"/>
        <v>2.538048611821601E-3</v>
      </c>
      <c r="M43" s="3">
        <f t="shared" si="28"/>
        <v>2.538048611821601E-3</v>
      </c>
      <c r="N43" s="3">
        <f t="shared" si="28"/>
        <v>2.538048611821601E-3</v>
      </c>
      <c r="O43" s="3">
        <f t="shared" si="28"/>
        <v>2.538048611821601E-3</v>
      </c>
      <c r="P43" s="3">
        <f t="shared" si="27"/>
        <v>2.5380486118216005E-3</v>
      </c>
      <c r="Q43" s="3">
        <f t="shared" si="27"/>
        <v>2.5380486118215984E-3</v>
      </c>
      <c r="R43" s="3">
        <f t="shared" si="27"/>
        <v>2.5380486118215758E-3</v>
      </c>
      <c r="S43" s="3">
        <f t="shared" si="27"/>
        <v>2.5380486118213473E-3</v>
      </c>
      <c r="T43" s="3">
        <f t="shared" si="27"/>
        <v>2.5380486118190631E-3</v>
      </c>
      <c r="U43" s="3">
        <f t="shared" si="27"/>
        <v>2.5380486117962207E-3</v>
      </c>
      <c r="V43" s="3">
        <f t="shared" si="27"/>
        <v>2.5380486115677962E-3</v>
      </c>
      <c r="W43" s="3">
        <f t="shared" si="27"/>
        <v>2.5380486092835526E-3</v>
      </c>
      <c r="X43" s="3">
        <f t="shared" si="27"/>
        <v>2.5380485864411151E-3</v>
      </c>
      <c r="Y43" s="3">
        <f t="shared" si="27"/>
        <v>2.5380483580167527E-3</v>
      </c>
      <c r="Z43" s="3">
        <f t="shared" si="27"/>
        <v>2.5380460737742584E-3</v>
      </c>
      <c r="AA43" s="3">
        <f t="shared" si="27"/>
        <v>2.5380232314623848E-3</v>
      </c>
      <c r="AB43" s="3">
        <f t="shared" si="27"/>
        <v>2.5377948196502391E-3</v>
      </c>
      <c r="AC43" s="3">
        <f t="shared" si="27"/>
        <v>2.5355118318111831E-3</v>
      </c>
      <c r="AD43" s="3">
        <f t="shared" si="27"/>
        <v>2.5127946061812827E-3</v>
      </c>
      <c r="AE43" s="3">
        <f t="shared" si="27"/>
        <v>2.2965213527704085E-3</v>
      </c>
      <c r="AF43" s="3">
        <f t="shared" si="29"/>
        <v>9.3369590498288552E-4</v>
      </c>
      <c r="AG43" s="3">
        <f t="shared" si="29"/>
        <v>1.1522722871047288E-7</v>
      </c>
      <c r="AH43" s="3">
        <f t="shared" si="29"/>
        <v>9.4417336668105709E-47</v>
      </c>
      <c r="AI43" s="3">
        <f t="shared" si="29"/>
        <v>0</v>
      </c>
      <c r="AJ43" s="3">
        <f t="shared" si="29"/>
        <v>0</v>
      </c>
    </row>
    <row r="44" spans="1:36" x14ac:dyDescent="0.25">
      <c r="A44" s="3">
        <f t="shared" si="30"/>
        <v>1000000000000</v>
      </c>
      <c r="B44" s="106">
        <v>1.0723060137803206E-7</v>
      </c>
      <c r="C44" s="18">
        <f t="shared" si="3"/>
        <v>1.186723127453265E-7</v>
      </c>
      <c r="D44" s="17"/>
      <c r="F44" s="3">
        <f t="shared" si="28"/>
        <v>1.186723127453265E-7</v>
      </c>
      <c r="G44" s="3">
        <f t="shared" si="28"/>
        <v>1.186723127453265E-7</v>
      </c>
      <c r="H44" s="3">
        <f t="shared" si="28"/>
        <v>1.186723127453265E-7</v>
      </c>
      <c r="I44" s="3">
        <f t="shared" si="28"/>
        <v>1.186723127453265E-7</v>
      </c>
      <c r="J44" s="3">
        <f t="shared" si="28"/>
        <v>1.186723127453265E-7</v>
      </c>
      <c r="K44" s="3">
        <f t="shared" si="28"/>
        <v>1.186723127453265E-7</v>
      </c>
      <c r="L44" s="3">
        <f t="shared" si="28"/>
        <v>1.186723127453265E-7</v>
      </c>
      <c r="M44" s="3">
        <f t="shared" si="28"/>
        <v>1.186723127453265E-7</v>
      </c>
      <c r="N44" s="3">
        <f t="shared" si="28"/>
        <v>1.186723127453265E-7</v>
      </c>
      <c r="O44" s="3">
        <f t="shared" si="28"/>
        <v>1.186723127453265E-7</v>
      </c>
      <c r="P44" s="3">
        <f t="shared" si="27"/>
        <v>1.186723127453265E-7</v>
      </c>
      <c r="Q44" s="3">
        <f t="shared" si="27"/>
        <v>1.1867231274532648E-7</v>
      </c>
      <c r="R44" s="3">
        <f t="shared" si="27"/>
        <v>1.1867231274532638E-7</v>
      </c>
      <c r="S44" s="3">
        <f t="shared" si="27"/>
        <v>1.1867231274532531E-7</v>
      </c>
      <c r="T44" s="3">
        <f t="shared" si="27"/>
        <v>1.1867231274531463E-7</v>
      </c>
      <c r="U44" s="3">
        <f t="shared" si="27"/>
        <v>1.1867231274520783E-7</v>
      </c>
      <c r="V44" s="3">
        <f t="shared" si="27"/>
        <v>1.1867231274413978E-7</v>
      </c>
      <c r="W44" s="3">
        <f t="shared" si="27"/>
        <v>1.1867231273345926E-7</v>
      </c>
      <c r="X44" s="3">
        <f t="shared" si="27"/>
        <v>1.1867231262665419E-7</v>
      </c>
      <c r="Y44" s="3">
        <f t="shared" si="27"/>
        <v>1.1867231155860337E-7</v>
      </c>
      <c r="Z44" s="3">
        <f t="shared" si="27"/>
        <v>1.1867230087809582E-7</v>
      </c>
      <c r="AA44" s="3">
        <f t="shared" si="27"/>
        <v>1.1867219407307309E-7</v>
      </c>
      <c r="AB44" s="3">
        <f t="shared" si="27"/>
        <v>1.1867112602813264E-7</v>
      </c>
      <c r="AC44" s="3">
        <f t="shared" si="27"/>
        <v>1.1866044610739375E-7</v>
      </c>
      <c r="AD44" s="3">
        <f t="shared" si="27"/>
        <v>1.1855369974896377E-7</v>
      </c>
      <c r="AE44" s="3">
        <f t="shared" si="27"/>
        <v>1.1749150350413978E-7</v>
      </c>
      <c r="AF44" s="3">
        <f t="shared" si="29"/>
        <v>1.0737914905683712E-7</v>
      </c>
      <c r="AG44" s="3">
        <f t="shared" si="29"/>
        <v>4.3657104095273345E-8</v>
      </c>
      <c r="AH44" s="3">
        <f t="shared" si="29"/>
        <v>5.3877146633894588E-12</v>
      </c>
      <c r="AI44" s="3">
        <f t="shared" si="29"/>
        <v>4.414700196627204E-51</v>
      </c>
      <c r="AJ44" s="3">
        <f t="shared" si="29"/>
        <v>0</v>
      </c>
    </row>
    <row r="45" spans="1:36" x14ac:dyDescent="0.25">
      <c r="A45" s="3">
        <f t="shared" si="30"/>
        <v>10000000000000</v>
      </c>
      <c r="B45" s="106">
        <v>1.3826451836555708E-4</v>
      </c>
      <c r="C45" s="18">
        <f t="shared" si="3"/>
        <v>1.5301760835243074E-4</v>
      </c>
      <c r="D45" s="17"/>
      <c r="F45" s="3">
        <f t="shared" si="28"/>
        <v>1.5301760835243074E-4</v>
      </c>
      <c r="G45" s="3">
        <f t="shared" si="28"/>
        <v>1.5301760835243074E-4</v>
      </c>
      <c r="H45" s="3">
        <f t="shared" si="28"/>
        <v>1.5301760835243074E-4</v>
      </c>
      <c r="I45" s="3">
        <f t="shared" si="28"/>
        <v>1.5301760835243074E-4</v>
      </c>
      <c r="J45" s="3">
        <f t="shared" si="28"/>
        <v>1.5301760835243074E-4</v>
      </c>
      <c r="K45" s="3">
        <f t="shared" si="28"/>
        <v>1.5301760835243074E-4</v>
      </c>
      <c r="L45" s="3">
        <f t="shared" si="28"/>
        <v>1.5301760835243074E-4</v>
      </c>
      <c r="M45" s="3">
        <f t="shared" si="28"/>
        <v>1.5301760835243074E-4</v>
      </c>
      <c r="N45" s="3">
        <f t="shared" si="28"/>
        <v>1.5301760835243074E-4</v>
      </c>
      <c r="O45" s="3">
        <f t="shared" si="28"/>
        <v>1.5301760835243074E-4</v>
      </c>
      <c r="P45" s="3">
        <f t="shared" si="27"/>
        <v>1.5301760835243074E-4</v>
      </c>
      <c r="Q45" s="3">
        <f t="shared" si="27"/>
        <v>1.5301760835243074E-4</v>
      </c>
      <c r="R45" s="3">
        <f t="shared" si="27"/>
        <v>1.5301760835243072E-4</v>
      </c>
      <c r="S45" s="3">
        <f t="shared" si="27"/>
        <v>1.5301760835243058E-4</v>
      </c>
      <c r="T45" s="3">
        <f t="shared" si="27"/>
        <v>1.5301760835242923E-4</v>
      </c>
      <c r="U45" s="3">
        <f t="shared" si="27"/>
        <v>1.5301760835241543E-4</v>
      </c>
      <c r="V45" s="3">
        <f t="shared" si="27"/>
        <v>1.5301760835227774E-4</v>
      </c>
      <c r="W45" s="3">
        <f t="shared" si="27"/>
        <v>1.5301760835090055E-4</v>
      </c>
      <c r="X45" s="3">
        <f t="shared" si="27"/>
        <v>1.5301760833712899E-4</v>
      </c>
      <c r="Y45" s="3">
        <f t="shared" si="27"/>
        <v>1.5301760819941314E-4</v>
      </c>
      <c r="Z45" s="3">
        <f t="shared" si="27"/>
        <v>1.5301760682225467E-4</v>
      </c>
      <c r="AA45" s="3">
        <f t="shared" si="27"/>
        <v>1.5301759305067067E-4</v>
      </c>
      <c r="AB45" s="3">
        <f t="shared" si="27"/>
        <v>1.5301745533489891E-4</v>
      </c>
      <c r="AC45" s="3">
        <f t="shared" si="27"/>
        <v>1.5301607818399808E-4</v>
      </c>
      <c r="AD45" s="3">
        <f t="shared" si="27"/>
        <v>1.5300230735665804E-4</v>
      </c>
      <c r="AE45" s="3">
        <f t="shared" si="27"/>
        <v>1.5286466722738592E-4</v>
      </c>
      <c r="AF45" s="3">
        <f t="shared" si="29"/>
        <v>1.5149505771001938E-4</v>
      </c>
      <c r="AG45" s="3">
        <f t="shared" si="29"/>
        <v>1.384560576556511E-4</v>
      </c>
      <c r="AH45" s="3">
        <f t="shared" si="29"/>
        <v>5.6292032250082849E-5</v>
      </c>
      <c r="AI45" s="3">
        <f t="shared" si="29"/>
        <v>6.9469886716237716E-9</v>
      </c>
      <c r="AJ45" s="3">
        <f t="shared" si="29"/>
        <v>5.6923712874004286E-48</v>
      </c>
    </row>
    <row r="46" spans="1:36" x14ac:dyDescent="0.25">
      <c r="A46" s="3">
        <f t="shared" si="30"/>
        <v>100000000000000</v>
      </c>
      <c r="B46" s="106">
        <v>1.637349832972084E-4</v>
      </c>
      <c r="C46" s="18">
        <f t="shared" si="3"/>
        <v>1.8120582087099855E-4</v>
      </c>
      <c r="D46" s="17"/>
      <c r="F46" s="3">
        <f t="shared" si="28"/>
        <v>1.8120582087099855E-4</v>
      </c>
      <c r="G46" s="3">
        <f t="shared" si="28"/>
        <v>1.8120582087099855E-4</v>
      </c>
      <c r="H46" s="3">
        <f t="shared" si="28"/>
        <v>1.8120582087099855E-4</v>
      </c>
      <c r="I46" s="3">
        <f t="shared" si="28"/>
        <v>1.8120582087099855E-4</v>
      </c>
      <c r="J46" s="3">
        <f t="shared" si="28"/>
        <v>1.8120582087099855E-4</v>
      </c>
      <c r="K46" s="3">
        <f t="shared" si="28"/>
        <v>1.8120582087099855E-4</v>
      </c>
      <c r="L46" s="3">
        <f t="shared" si="28"/>
        <v>1.8120582087099855E-4</v>
      </c>
      <c r="M46" s="3">
        <f t="shared" si="28"/>
        <v>1.8120582087099855E-4</v>
      </c>
      <c r="N46" s="3">
        <f t="shared" si="28"/>
        <v>1.8120582087099855E-4</v>
      </c>
      <c r="O46" s="3">
        <f t="shared" si="28"/>
        <v>1.8120582087099855E-4</v>
      </c>
      <c r="P46" s="3">
        <f t="shared" si="27"/>
        <v>1.8120582087099855E-4</v>
      </c>
      <c r="Q46" s="3">
        <f t="shared" si="27"/>
        <v>1.8120582087099855E-4</v>
      </c>
      <c r="R46" s="3">
        <f t="shared" si="27"/>
        <v>1.8120582087099855E-4</v>
      </c>
      <c r="S46" s="3">
        <f t="shared" si="27"/>
        <v>1.8120582087099852E-4</v>
      </c>
      <c r="T46" s="3">
        <f t="shared" si="27"/>
        <v>1.8120582087099836E-4</v>
      </c>
      <c r="U46" s="3">
        <f t="shared" si="27"/>
        <v>1.8120582087099673E-4</v>
      </c>
      <c r="V46" s="3">
        <f t="shared" si="27"/>
        <v>1.8120582087098041E-4</v>
      </c>
      <c r="W46" s="3">
        <f t="shared" si="27"/>
        <v>1.8120582087081735E-4</v>
      </c>
      <c r="X46" s="3">
        <f t="shared" si="27"/>
        <v>1.8120582086918649E-4</v>
      </c>
      <c r="Y46" s="3">
        <f t="shared" si="27"/>
        <v>1.8120582085287795E-4</v>
      </c>
      <c r="Z46" s="3">
        <f t="shared" si="27"/>
        <v>1.8120582068979272E-4</v>
      </c>
      <c r="AA46" s="3">
        <f t="shared" si="27"/>
        <v>1.8120581905894034E-4</v>
      </c>
      <c r="AB46" s="3">
        <f t="shared" si="27"/>
        <v>1.8120580275041737E-4</v>
      </c>
      <c r="AC46" s="3">
        <f t="shared" si="27"/>
        <v>1.8120563966526827E-4</v>
      </c>
      <c r="AD46" s="3">
        <f t="shared" si="27"/>
        <v>1.8120400882185009E-4</v>
      </c>
      <c r="AE46" s="3">
        <f t="shared" si="27"/>
        <v>1.8118770119491035E-4</v>
      </c>
      <c r="AF46" s="3">
        <f t="shared" si="29"/>
        <v>1.8102470562284456E-4</v>
      </c>
      <c r="AG46" s="3">
        <f t="shared" si="29"/>
        <v>1.7940279282771364E-4</v>
      </c>
      <c r="AH46" s="3">
        <f t="shared" si="29"/>
        <v>1.6396180709000091E-4</v>
      </c>
      <c r="AI46" s="3">
        <f t="shared" si="29"/>
        <v>6.6661896119035426E-5</v>
      </c>
      <c r="AJ46" s="3">
        <f t="shared" si="29"/>
        <v>8.2267315400967466E-9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0.90358567131114553</v>
      </c>
      <c r="C49" s="18">
        <f>SUM(C17:C48)</f>
        <v>0.99999999999999989</v>
      </c>
      <c r="F49" s="3">
        <f t="shared" ref="F49:AJ49" si="31">F16-F17</f>
        <v>58.154737305882918</v>
      </c>
      <c r="G49" s="3">
        <f t="shared" si="31"/>
        <v>-75.202925185355525</v>
      </c>
      <c r="H49" s="3">
        <f t="shared" si="31"/>
        <v>19.914343019526314</v>
      </c>
      <c r="I49" s="3">
        <f t="shared" si="31"/>
        <v>-3.2512539816898425</v>
      </c>
      <c r="J49" s="3">
        <f t="shared" si="31"/>
        <v>0.44688737758406205</v>
      </c>
      <c r="K49" s="3">
        <f t="shared" si="31"/>
        <v>-4.5519478321693896E-2</v>
      </c>
      <c r="L49" s="3">
        <f t="shared" si="31"/>
        <v>-2.1639273973960371E-2</v>
      </c>
      <c r="M49" s="3">
        <f t="shared" si="31"/>
        <v>8.2367030332534341E-2</v>
      </c>
      <c r="N49" s="3">
        <f t="shared" si="31"/>
        <v>-0.19441758007815224</v>
      </c>
      <c r="O49" s="3">
        <f t="shared" si="31"/>
        <v>0.39554736566333304</v>
      </c>
      <c r="P49" s="3">
        <f t="shared" si="31"/>
        <v>-0.67232908061760099</v>
      </c>
      <c r="Q49" s="3">
        <f t="shared" si="31"/>
        <v>0.97160608541253168</v>
      </c>
      <c r="R49" s="3">
        <f t="shared" si="31"/>
        <v>-1.1890955121843945</v>
      </c>
      <c r="S49" s="3">
        <f t="shared" si="31"/>
        <v>1.2359835880929495</v>
      </c>
      <c r="T49" s="3">
        <f t="shared" si="31"/>
        <v>-1.1093992051373789</v>
      </c>
      <c r="U49" s="3">
        <f t="shared" si="31"/>
        <v>0.85150190958574967</v>
      </c>
      <c r="V49" s="3">
        <f t="shared" si="31"/>
        <v>-0.57462013230315279</v>
      </c>
      <c r="W49" s="3">
        <f t="shared" si="31"/>
        <v>0.33117908966255527</v>
      </c>
      <c r="X49" s="3">
        <f t="shared" si="31"/>
        <v>-0.15998241549550585</v>
      </c>
      <c r="Y49" s="3">
        <f t="shared" si="31"/>
        <v>6.9180849157646662E-2</v>
      </c>
      <c r="Z49" s="3">
        <f t="shared" si="31"/>
        <v>-2.7693074640978921E-2</v>
      </c>
      <c r="AA49" s="3">
        <f t="shared" si="31"/>
        <v>1.2697278015252778E-2</v>
      </c>
      <c r="AB49" s="3">
        <f t="shared" si="31"/>
        <v>-1.054475900758689E-2</v>
      </c>
      <c r="AC49" s="3">
        <f t="shared" si="31"/>
        <v>1.4864760222423001E-2</v>
      </c>
      <c r="AD49" s="3">
        <f t="shared" si="31"/>
        <v>-1.592301545380792E-2</v>
      </c>
      <c r="AE49" s="3">
        <f t="shared" si="31"/>
        <v>-3.3294950563657721E-2</v>
      </c>
      <c r="AF49" s="3">
        <f t="shared" si="31"/>
        <v>9.4278902516521157E-2</v>
      </c>
      <c r="AG49" s="3">
        <f t="shared" si="31"/>
        <v>-0.12600568334480045</v>
      </c>
      <c r="AH49" s="3">
        <f t="shared" si="31"/>
        <v>0.17741480568051315</v>
      </c>
      <c r="AI49" s="3">
        <f t="shared" si="31"/>
        <v>-0.24284254103949365</v>
      </c>
      <c r="AJ49" s="3">
        <f t="shared" si="31"/>
        <v>0.13872547110494793</v>
      </c>
    </row>
    <row r="50" spans="1:36" x14ac:dyDescent="0.25">
      <c r="F50" s="57">
        <f t="shared" ref="F50:AJ50" si="32">F49/F17</f>
        <v>1.0169694082565954E-2</v>
      </c>
      <c r="G50" s="57">
        <f t="shared" si="32"/>
        <v>-1.331757096741959E-2</v>
      </c>
      <c r="H50" s="57">
        <f t="shared" si="32"/>
        <v>3.700965844316798E-3</v>
      </c>
      <c r="I50" s="57">
        <f t="shared" si="32"/>
        <v>-6.2304621440440247E-4</v>
      </c>
      <c r="J50" s="57">
        <f t="shared" si="32"/>
        <v>8.9646806651406372E-5</v>
      </c>
      <c r="K50" s="57">
        <f t="shared" si="32"/>
        <v>-9.5661700996958469E-6</v>
      </c>
      <c r="L50" s="57">
        <f t="shared" si="32"/>
        <v>-4.7397036860186302E-6</v>
      </c>
      <c r="M50" s="57">
        <f t="shared" si="32"/>
        <v>1.878470593791964E-5</v>
      </c>
      <c r="N50" s="57">
        <f t="shared" si="32"/>
        <v>-4.6252899331964948E-5</v>
      </c>
      <c r="O50" s="57">
        <f t="shared" si="32"/>
        <v>9.8237940509264681E-5</v>
      </c>
      <c r="P50" s="57">
        <f t="shared" si="32"/>
        <v>-1.7492639330282114E-4</v>
      </c>
      <c r="Q50" s="57">
        <f t="shared" si="32"/>
        <v>2.6714952082616312E-4</v>
      </c>
      <c r="R50" s="57">
        <f t="shared" si="32"/>
        <v>-3.4888878002544083E-4</v>
      </c>
      <c r="S50" s="57">
        <f t="shared" si="32"/>
        <v>3.9306413041965147E-4</v>
      </c>
      <c r="T50" s="57">
        <f t="shared" si="32"/>
        <v>-3.9075938607014928E-4</v>
      </c>
      <c r="U50" s="57">
        <f t="shared" si="32"/>
        <v>3.5108923425141401E-4</v>
      </c>
      <c r="V50" s="57">
        <f t="shared" si="32"/>
        <v>-3.0970433791146059E-4</v>
      </c>
      <c r="W50" s="57">
        <f t="shared" si="32"/>
        <v>2.6100879069840949E-4</v>
      </c>
      <c r="X50" s="57">
        <f t="shared" si="32"/>
        <v>-1.9790789931144084E-4</v>
      </c>
      <c r="Y50" s="57">
        <f t="shared" si="32"/>
        <v>1.359260067554711E-4</v>
      </c>
      <c r="Z50" s="57">
        <f t="shared" si="32"/>
        <v>-8.048403951345552E-5</v>
      </c>
      <c r="AA50" s="57">
        <f t="shared" si="32"/>
        <v>4.8330127567419274E-5</v>
      </c>
      <c r="AB50" s="57">
        <f t="shared" si="32"/>
        <v>-4.7296427699836751E-5</v>
      </c>
      <c r="AC50" s="57">
        <f t="shared" si="32"/>
        <v>7.3841147162556623E-5</v>
      </c>
      <c r="AD50" s="57">
        <f t="shared" si="32"/>
        <v>-8.4678145610188029E-5</v>
      </c>
      <c r="AE50" s="57">
        <f t="shared" si="32"/>
        <v>-1.8376778624451935E-4</v>
      </c>
      <c r="AF50" s="57">
        <f t="shared" si="32"/>
        <v>5.492873201326389E-4</v>
      </c>
      <c r="AG50" s="57">
        <f t="shared" si="32"/>
        <v>-7.636353837928312E-4</v>
      </c>
      <c r="AH50" s="57">
        <f t="shared" si="32"/>
        <v>1.0796642769236309E-3</v>
      </c>
      <c r="AI50" s="57">
        <f t="shared" si="32"/>
        <v>-1.4875489280096771E-3</v>
      </c>
      <c r="AJ50" s="57">
        <f t="shared" si="32"/>
        <v>8.5220580409194806E-4</v>
      </c>
    </row>
    <row r="51" spans="1:36" x14ac:dyDescent="0.25">
      <c r="A51" s="13" t="s">
        <v>21</v>
      </c>
      <c r="B51" s="3">
        <f>STUTT!D8</f>
        <v>6992.4087</v>
      </c>
      <c r="E51" s="11" t="s">
        <v>24</v>
      </c>
      <c r="F51" s="20">
        <f t="shared" ref="F51:AJ51" si="33">(F16-F17)^2</f>
        <v>3381.9734711162505</v>
      </c>
      <c r="G51" s="20">
        <f t="shared" si="33"/>
        <v>5655.4799564341802</v>
      </c>
      <c r="H51" s="20">
        <f t="shared" si="33"/>
        <v>396.58105789935644</v>
      </c>
      <c r="I51" s="20">
        <f t="shared" si="33"/>
        <v>10.570652453454054</v>
      </c>
      <c r="J51" s="20">
        <f t="shared" si="33"/>
        <v>0.19970832824396004</v>
      </c>
      <c r="K51" s="20">
        <f t="shared" si="33"/>
        <v>2.0720229066791603E-3</v>
      </c>
      <c r="L51" s="20">
        <f t="shared" si="33"/>
        <v>4.6825817812011869E-4</v>
      </c>
      <c r="M51" s="20">
        <f t="shared" si="33"/>
        <v>6.7843276858006321E-3</v>
      </c>
      <c r="N51" s="20">
        <f t="shared" si="33"/>
        <v>3.7798195443444739E-2</v>
      </c>
      <c r="O51" s="20">
        <f t="shared" si="33"/>
        <v>0.1564577184832025</v>
      </c>
      <c r="P51" s="20">
        <f t="shared" si="33"/>
        <v>0.4520263926441086</v>
      </c>
      <c r="Q51" s="20">
        <f t="shared" si="33"/>
        <v>0.94401838521066384</v>
      </c>
      <c r="R51" s="20">
        <f t="shared" si="33"/>
        <v>1.4139481370970675</v>
      </c>
      <c r="S51" s="20">
        <f t="shared" si="33"/>
        <v>1.5276554300351219</v>
      </c>
      <c r="T51" s="20">
        <f t="shared" si="33"/>
        <v>1.2307665963594481</v>
      </c>
      <c r="U51" s="20">
        <f t="shared" si="33"/>
        <v>0.72505550202817826</v>
      </c>
      <c r="V51" s="20">
        <f t="shared" si="33"/>
        <v>0.33018829644809283</v>
      </c>
      <c r="W51" s="20">
        <f t="shared" si="33"/>
        <v>0.10967958942971882</v>
      </c>
      <c r="X51" s="20">
        <f t="shared" si="33"/>
        <v>2.5594373267776669E-2</v>
      </c>
      <c r="Y51" s="20">
        <f t="shared" si="33"/>
        <v>4.7859898901730612E-3</v>
      </c>
      <c r="Z51" s="20">
        <f t="shared" si="33"/>
        <v>7.6690638307082976E-4</v>
      </c>
      <c r="AA51" s="20">
        <f t="shared" si="33"/>
        <v>1.6122086899662152E-4</v>
      </c>
      <c r="AB51" s="20">
        <f t="shared" si="33"/>
        <v>1.1119194252808486E-4</v>
      </c>
      <c r="AC51" s="20">
        <f t="shared" si="33"/>
        <v>2.2096109647012913E-4</v>
      </c>
      <c r="AD51" s="20">
        <f t="shared" si="33"/>
        <v>2.5354242114220585E-4</v>
      </c>
      <c r="AE51" s="20">
        <f t="shared" si="33"/>
        <v>1.1085537330364117E-3</v>
      </c>
      <c r="AF51" s="20">
        <f t="shared" si="33"/>
        <v>8.8885114597196998E-3</v>
      </c>
      <c r="AG51" s="20">
        <f t="shared" si="33"/>
        <v>1.5877432235190121E-2</v>
      </c>
      <c r="AH51" s="20">
        <f t="shared" si="33"/>
        <v>3.1476013274654241E-2</v>
      </c>
      <c r="AI51" s="20">
        <f t="shared" si="33"/>
        <v>5.8972499738518161E-2</v>
      </c>
      <c r="AJ51" s="20">
        <f t="shared" si="33"/>
        <v>1.9244756333289741E-2</v>
      </c>
    </row>
    <row r="52" spans="1:36" x14ac:dyDescent="0.25">
      <c r="A52" s="13"/>
    </row>
    <row r="53" spans="1:36" x14ac:dyDescent="0.25">
      <c r="E53" s="118" t="s">
        <v>25</v>
      </c>
      <c r="F53" s="118"/>
      <c r="G53" s="104">
        <f>SUM(F51:AJ51)</f>
        <v>9451.9092270360816</v>
      </c>
      <c r="I53" s="3">
        <f>G53+C123</f>
        <v>9451.9092270360816</v>
      </c>
      <c r="K53" s="3">
        <f>SUM(Z51:AJ51)</f>
        <v>0.13708158948661625</v>
      </c>
    </row>
    <row r="55" spans="1:36" x14ac:dyDescent="0.25">
      <c r="E55" s="30" t="s">
        <v>30</v>
      </c>
      <c r="F55" s="31">
        <f t="shared" ref="F55:AJ55" si="34">ABS(F17-F16)/F16</f>
        <v>1.0067312593258947E-2</v>
      </c>
      <c r="G55" s="31">
        <f t="shared" si="34"/>
        <v>1.349732251792217E-2</v>
      </c>
      <c r="H55" s="31">
        <f t="shared" si="34"/>
        <v>3.6873192018934968E-3</v>
      </c>
      <c r="I55" s="31">
        <f t="shared" si="34"/>
        <v>6.2343464299865136E-4</v>
      </c>
      <c r="J55" s="31">
        <f t="shared" si="34"/>
        <v>8.9638770821850032E-5</v>
      </c>
      <c r="K55" s="31">
        <f t="shared" si="34"/>
        <v>9.5662616121816482E-6</v>
      </c>
      <c r="L55" s="31">
        <f t="shared" si="34"/>
        <v>4.7397261509161389E-6</v>
      </c>
      <c r="M55" s="31">
        <f t="shared" si="34"/>
        <v>1.878435307937081E-5</v>
      </c>
      <c r="N55" s="31">
        <f t="shared" si="34"/>
        <v>4.6255038761616384E-5</v>
      </c>
      <c r="O55" s="31">
        <f t="shared" si="34"/>
        <v>9.8228290764280243E-5</v>
      </c>
      <c r="P55" s="31">
        <f t="shared" si="34"/>
        <v>1.7495699789944679E-4</v>
      </c>
      <c r="Q55" s="31">
        <f t="shared" si="34"/>
        <v>2.6707817102075178E-4</v>
      </c>
      <c r="R55" s="31">
        <f t="shared" si="34"/>
        <v>3.4901054588901207E-4</v>
      </c>
      <c r="S55" s="31">
        <f t="shared" si="34"/>
        <v>3.9290969171334474E-4</v>
      </c>
      <c r="T55" s="31">
        <f t="shared" si="34"/>
        <v>3.9091213865745844E-4</v>
      </c>
      <c r="U55" s="31">
        <f t="shared" si="34"/>
        <v>3.5096601386235883E-4</v>
      </c>
      <c r="V55" s="31">
        <f t="shared" si="34"/>
        <v>3.0980028440342653E-4</v>
      </c>
      <c r="W55" s="31">
        <f t="shared" si="34"/>
        <v>2.6094068288632532E-4</v>
      </c>
      <c r="X55" s="31">
        <f t="shared" si="34"/>
        <v>1.9794707460114999E-4</v>
      </c>
      <c r="Y55" s="31">
        <f t="shared" si="34"/>
        <v>1.359075333871698E-4</v>
      </c>
      <c r="Z55" s="31">
        <f t="shared" si="34"/>
        <v>8.0490517715463785E-5</v>
      </c>
      <c r="AA55" s="31">
        <f t="shared" si="34"/>
        <v>4.8327791879072704E-5</v>
      </c>
      <c r="AB55" s="31">
        <f t="shared" si="34"/>
        <v>4.7298664757714763E-5</v>
      </c>
      <c r="AC55" s="31">
        <f t="shared" si="34"/>
        <v>7.3835695050132575E-5</v>
      </c>
      <c r="AD55" s="31">
        <f t="shared" si="34"/>
        <v>8.4685316605758612E-5</v>
      </c>
      <c r="AE55" s="31">
        <f t="shared" si="34"/>
        <v>1.838015630508695E-4</v>
      </c>
      <c r="AF55" s="31">
        <f t="shared" si="34"/>
        <v>5.4898576921067822E-4</v>
      </c>
      <c r="AG55" s="31">
        <f t="shared" si="34"/>
        <v>7.642189684380962E-4</v>
      </c>
      <c r="AH55" s="31">
        <f t="shared" si="34"/>
        <v>1.0784998591530362E-3</v>
      </c>
      <c r="AI55" s="31">
        <f t="shared" si="34"/>
        <v>1.4897650263776515E-3</v>
      </c>
      <c r="AJ55" s="31">
        <f t="shared" si="34"/>
        <v>8.514801677509215E-4</v>
      </c>
    </row>
    <row r="56" spans="1:36" x14ac:dyDescent="0.25">
      <c r="E56" s="13" t="s">
        <v>31</v>
      </c>
      <c r="F56" s="32">
        <f>AVERAGE(F55:AJ55)</f>
        <v>1.1685296732765586E-3</v>
      </c>
    </row>
    <row r="57" spans="1:36" x14ac:dyDescent="0.25">
      <c r="A57" s="42"/>
      <c r="B57" s="15"/>
      <c r="C57" s="15"/>
      <c r="D57" s="15"/>
      <c r="F57" s="60">
        <f>AVERAGE(S55:X55)</f>
        <v>3.1724598102067731E-4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-38.517353384161886</v>
      </c>
    </row>
    <row r="119" spans="1:14" x14ac:dyDescent="0.25">
      <c r="L119" s="11">
        <f>L118+1</f>
        <v>2</v>
      </c>
      <c r="M119" s="11">
        <f t="shared" ref="M119:M124" si="35">INDEX($B$125:$K$126,1,L119)</f>
        <v>0</v>
      </c>
      <c r="N119" s="11">
        <f t="shared" ref="N119:N124" si="36">IF(L119=$B$3,0,INDEX($B$125:$K$126,2,L119))</f>
        <v>-28.242677524374091</v>
      </c>
    </row>
    <row r="120" spans="1:14" x14ac:dyDescent="0.25">
      <c r="L120" s="11">
        <f t="shared" ref="L120:L124" si="37">L119+1</f>
        <v>3</v>
      </c>
      <c r="M120" s="11">
        <f t="shared" si="35"/>
        <v>25</v>
      </c>
      <c r="N120" s="11">
        <f t="shared" si="36"/>
        <v>-23.278139985677022</v>
      </c>
    </row>
    <row r="121" spans="1:14" x14ac:dyDescent="0.25">
      <c r="A121" s="103">
        <f>(A165+A204+A243+A282+A321+A360+A399)*10^9</f>
        <v>5.9454884600472488E+16</v>
      </c>
      <c r="L121" s="11">
        <f t="shared" si="37"/>
        <v>4</v>
      </c>
      <c r="M121" s="11">
        <f t="shared" si="35"/>
        <v>50</v>
      </c>
      <c r="N121" s="11">
        <f t="shared" si="36"/>
        <v>-19.20027621554874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-13.208808155790608</v>
      </c>
    </row>
    <row r="123" spans="1:14" x14ac:dyDescent="0.25">
      <c r="A123" s="118"/>
      <c r="B123" s="118"/>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13.597146440199497</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-38.517353384161886</v>
      </c>
      <c r="C126" s="107">
        <v>-28.242677524374091</v>
      </c>
      <c r="D126" s="107">
        <v>-23.278139985677022</v>
      </c>
      <c r="E126" s="107">
        <v>-19.20027621554874</v>
      </c>
      <c r="F126" s="107">
        <v>-13.208808155790608</v>
      </c>
      <c r="G126" s="107">
        <v>9.3953597829585234E-3</v>
      </c>
      <c r="H126" s="107">
        <v>13.597146440199497</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6992.4086999976316</v>
      </c>
      <c r="C131" s="27">
        <f t="shared" ref="C131:AF131" si="40">($C$17+SUM(C132:C162))*$B$51</f>
        <v>6992.4086999763267</v>
      </c>
      <c r="D131" s="27">
        <f t="shared" si="40"/>
        <v>6992.4086997632885</v>
      </c>
      <c r="E131" s="27">
        <f t="shared" si="40"/>
        <v>6992.4086976328954</v>
      </c>
      <c r="F131" s="27">
        <f t="shared" si="40"/>
        <v>6992.408676328977</v>
      </c>
      <c r="G131" s="27">
        <f t="shared" si="40"/>
        <v>6992.4084632898011</v>
      </c>
      <c r="H131" s="27">
        <f t="shared" si="40"/>
        <v>6992.4063329000228</v>
      </c>
      <c r="I131" s="27">
        <f t="shared" si="40"/>
        <v>6992.3850291995577</v>
      </c>
      <c r="J131" s="27">
        <f t="shared" si="40"/>
        <v>6992.1720119264373</v>
      </c>
      <c r="K131" s="27">
        <f t="shared" si="40"/>
        <v>6990.0438111184676</v>
      </c>
      <c r="L131" s="27">
        <f t="shared" si="40"/>
        <v>6968.9577721376518</v>
      </c>
      <c r="M131" s="27">
        <f t="shared" si="40"/>
        <v>6776.5262642709786</v>
      </c>
      <c r="N131" s="27">
        <f t="shared" si="40"/>
        <v>5922.1351208118722</v>
      </c>
      <c r="O131" s="27">
        <f t="shared" si="40"/>
        <v>5727.4056030810843</v>
      </c>
      <c r="P131" s="27">
        <f t="shared" si="40"/>
        <v>5727.3902969000337</v>
      </c>
      <c r="Q131" s="27">
        <f t="shared" si="40"/>
        <v>5727.2373645860844</v>
      </c>
      <c r="R131" s="27">
        <f t="shared" si="40"/>
        <v>5725.711534819894</v>
      </c>
      <c r="S131" s="27">
        <f t="shared" si="40"/>
        <v>5710.7970777030387</v>
      </c>
      <c r="T131" s="27">
        <f t="shared" si="40"/>
        <v>5591.1413196435724</v>
      </c>
      <c r="U131" s="27">
        <f t="shared" si="40"/>
        <v>5334.0032576931062</v>
      </c>
      <c r="V131" s="27">
        <f t="shared" si="40"/>
        <v>5167.8655263316487</v>
      </c>
      <c r="W131" s="27">
        <f t="shared" si="40"/>
        <v>4924.1890980394264</v>
      </c>
      <c r="X131" s="27">
        <f t="shared" si="40"/>
        <v>4703.1685444218301</v>
      </c>
      <c r="Y131" s="27">
        <f t="shared" si="40"/>
        <v>4515.2078543964926</v>
      </c>
      <c r="Z131" s="27">
        <f t="shared" si="40"/>
        <v>4333.692653574155</v>
      </c>
      <c r="AA131" s="27">
        <f t="shared" si="40"/>
        <v>4150.8469271785134</v>
      </c>
      <c r="AB131" s="27">
        <f t="shared" si="40"/>
        <v>3973.7222628795625</v>
      </c>
      <c r="AC131" s="27">
        <f t="shared" si="40"/>
        <v>3785.112211542787</v>
      </c>
      <c r="AD131" s="27">
        <f t="shared" si="40"/>
        <v>3569.3951528172174</v>
      </c>
      <c r="AE131" s="27">
        <f t="shared" si="40"/>
        <v>3334.1475310645314</v>
      </c>
      <c r="AF131" s="27">
        <f t="shared" si="40"/>
        <v>3055.7832765977373</v>
      </c>
    </row>
    <row r="132" spans="1:33" x14ac:dyDescent="0.25">
      <c r="B132" s="3">
        <f t="shared" ref="B132:Z133" si="41">$C18*EXP(-B$129/$A18/EXP(-$B$126))</f>
        <v>0.18091067913282716</v>
      </c>
      <c r="C132" s="3">
        <f t="shared" ref="C132:AF132" si="42">$C18*EXP(-C$129/$A18/EXP(-$B$126))</f>
        <v>0.18091067912978043</v>
      </c>
      <c r="D132" s="3">
        <f t="shared" si="42"/>
        <v>0.18091067909931322</v>
      </c>
      <c r="E132" s="3">
        <f t="shared" si="42"/>
        <v>0.18091067879464109</v>
      </c>
      <c r="F132" s="3">
        <f t="shared" si="42"/>
        <v>0.18091067574792016</v>
      </c>
      <c r="G132" s="3">
        <f t="shared" si="42"/>
        <v>0.18091064528071366</v>
      </c>
      <c r="H132" s="3">
        <f t="shared" si="42"/>
        <v>0.18091034060893063</v>
      </c>
      <c r="I132" s="3">
        <f t="shared" si="42"/>
        <v>0.18090729391932073</v>
      </c>
      <c r="J132" s="3">
        <f t="shared" si="42"/>
        <v>0.18087682984507064</v>
      </c>
      <c r="K132" s="3">
        <f t="shared" si="42"/>
        <v>0.18057247111172051</v>
      </c>
      <c r="L132" s="3">
        <f t="shared" si="42"/>
        <v>0.177556909757147</v>
      </c>
      <c r="M132" s="3">
        <f t="shared" si="42"/>
        <v>0.15003685181637541</v>
      </c>
      <c r="N132" s="3">
        <f t="shared" si="42"/>
        <v>2.7848486241011664E-2</v>
      </c>
      <c r="O132" s="3">
        <f t="shared" si="42"/>
        <v>1.3515686093842736E-9</v>
      </c>
      <c r="P132" s="3">
        <f t="shared" si="42"/>
        <v>9.7994822422163712E-83</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4.8747329106715996E-2</v>
      </c>
      <c r="C133" s="3">
        <f t="shared" si="41"/>
        <v>4.8747329106715996E-2</v>
      </c>
      <c r="D133" s="3">
        <f t="shared" si="41"/>
        <v>4.8747329106715996E-2</v>
      </c>
      <c r="E133" s="3">
        <f t="shared" si="41"/>
        <v>4.8747329106715975E-2</v>
      </c>
      <c r="F133" s="3">
        <f t="shared" si="41"/>
        <v>4.874732910671576E-2</v>
      </c>
      <c r="G133" s="3">
        <f t="shared" si="41"/>
        <v>4.8747329106713658E-2</v>
      </c>
      <c r="H133" s="3">
        <f t="shared" si="41"/>
        <v>4.8747329106692633E-2</v>
      </c>
      <c r="I133" s="3">
        <f t="shared" si="41"/>
        <v>4.8747329106482336E-2</v>
      </c>
      <c r="J133" s="3">
        <f t="shared" si="41"/>
        <v>4.8747329104379428E-2</v>
      </c>
      <c r="K133" s="3">
        <f t="shared" si="41"/>
        <v>4.8747329083350298E-2</v>
      </c>
      <c r="L133" s="3">
        <f t="shared" si="41"/>
        <v>4.8747328873059048E-2</v>
      </c>
      <c r="M133" s="3">
        <f t="shared" si="41"/>
        <v>4.8747326770146551E-2</v>
      </c>
      <c r="N133" s="3">
        <f t="shared" si="41"/>
        <v>4.8747305741026571E-2</v>
      </c>
      <c r="O133" s="3">
        <f t="shared" si="41"/>
        <v>4.8747095450325781E-2</v>
      </c>
      <c r="P133" s="3">
        <f t="shared" si="41"/>
        <v>4.8744992593211606E-2</v>
      </c>
      <c r="Q133" s="3">
        <f t="shared" si="41"/>
        <v>4.8723969010653664E-2</v>
      </c>
      <c r="R133" s="3">
        <f t="shared" si="41"/>
        <v>4.8514231248121278E-2</v>
      </c>
      <c r="S133" s="3">
        <f t="shared" si="41"/>
        <v>4.6465874037047467E-2</v>
      </c>
      <c r="T133" s="3">
        <f t="shared" si="41"/>
        <v>3.0184478622671138E-2</v>
      </c>
      <c r="U133" s="3">
        <f t="shared" si="41"/>
        <v>4.039051193105761E-4</v>
      </c>
      <c r="V133" s="3">
        <f t="shared" si="41"/>
        <v>7.4342326474028666E-23</v>
      </c>
      <c r="W133" s="3">
        <f t="shared" si="41"/>
        <v>3.3174474266461514E-210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1.8089335916325222E-2</v>
      </c>
      <c r="C134" s="3">
        <f t="shared" si="44"/>
        <v>1.8089335916325222E-2</v>
      </c>
      <c r="D134" s="3">
        <f t="shared" si="44"/>
        <v>1.8089335916325222E-2</v>
      </c>
      <c r="E134" s="3">
        <f t="shared" si="44"/>
        <v>1.8089335916325222E-2</v>
      </c>
      <c r="F134" s="3">
        <f t="shared" si="44"/>
        <v>1.8089335916325215E-2</v>
      </c>
      <c r="G134" s="3">
        <f t="shared" si="44"/>
        <v>1.8089335916325142E-2</v>
      </c>
      <c r="H134" s="3">
        <f t="shared" si="44"/>
        <v>1.8089335916324441E-2</v>
      </c>
      <c r="I134" s="3">
        <f t="shared" si="44"/>
        <v>1.8089335916317398E-2</v>
      </c>
      <c r="J134" s="3">
        <f t="shared" si="44"/>
        <v>1.8089335916247007E-2</v>
      </c>
      <c r="K134" s="3">
        <f t="shared" si="44"/>
        <v>1.808933591554306E-2</v>
      </c>
      <c r="L134" s="3">
        <f t="shared" si="44"/>
        <v>1.8089335908503597E-2</v>
      </c>
      <c r="M134" s="3">
        <f t="shared" si="44"/>
        <v>1.8089335838108952E-2</v>
      </c>
      <c r="N134" s="3">
        <f t="shared" si="44"/>
        <v>1.8089335134162554E-2</v>
      </c>
      <c r="O134" s="3">
        <f t="shared" si="44"/>
        <v>1.8089328094700066E-2</v>
      </c>
      <c r="P134" s="3">
        <f t="shared" si="44"/>
        <v>1.8089257700225847E-2</v>
      </c>
      <c r="Q134" s="3">
        <f t="shared" si="44"/>
        <v>1.8088553770550148E-2</v>
      </c>
      <c r="R134" s="3">
        <f t="shared" si="44"/>
        <v>1.8081515980226049E-2</v>
      </c>
      <c r="S134" s="3">
        <f t="shared" si="44"/>
        <v>1.8011288503596404E-2</v>
      </c>
      <c r="T134" s="3">
        <f t="shared" si="44"/>
        <v>1.7323842042018579E-2</v>
      </c>
      <c r="U134" s="3">
        <f t="shared" si="44"/>
        <v>1.1739201017990688E-2</v>
      </c>
      <c r="V134" s="3">
        <f t="shared" si="44"/>
        <v>2.396523992948428E-4</v>
      </c>
      <c r="W134" s="3">
        <f t="shared" si="44"/>
        <v>3.0131045450436059E-21</v>
      </c>
      <c r="X134" s="3">
        <f t="shared" si="44"/>
        <v>2.9739823926906364E-190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3.7553125741215831E-2</v>
      </c>
      <c r="C135" s="3">
        <f t="shared" si="47"/>
        <v>3.7553125741215831E-2</v>
      </c>
      <c r="D135" s="3">
        <f t="shared" si="47"/>
        <v>3.7553125741215831E-2</v>
      </c>
      <c r="E135" s="3">
        <f t="shared" si="47"/>
        <v>3.7553125741215831E-2</v>
      </c>
      <c r="F135" s="3">
        <f t="shared" si="47"/>
        <v>3.7553125741215831E-2</v>
      </c>
      <c r="G135" s="3">
        <f t="shared" si="47"/>
        <v>3.7553125741215818E-2</v>
      </c>
      <c r="H135" s="3">
        <f t="shared" si="47"/>
        <v>3.7553125741215686E-2</v>
      </c>
      <c r="I135" s="3">
        <f t="shared" si="47"/>
        <v>3.7553125741214367E-2</v>
      </c>
      <c r="J135" s="3">
        <f t="shared" si="47"/>
        <v>3.7553125741201183E-2</v>
      </c>
      <c r="K135" s="3">
        <f t="shared" si="47"/>
        <v>3.7553125741069351E-2</v>
      </c>
      <c r="L135" s="3">
        <f t="shared" si="47"/>
        <v>3.7553125739751073E-2</v>
      </c>
      <c r="M135" s="3">
        <f t="shared" si="47"/>
        <v>3.7553125726568208E-2</v>
      </c>
      <c r="N135" s="3">
        <f t="shared" si="47"/>
        <v>3.7553125594739598E-2</v>
      </c>
      <c r="O135" s="3">
        <f t="shared" si="47"/>
        <v>3.7553124276453569E-2</v>
      </c>
      <c r="P135" s="3">
        <f t="shared" si="47"/>
        <v>3.7553111093595756E-2</v>
      </c>
      <c r="Q135" s="3">
        <f t="shared" si="47"/>
        <v>3.7552979265272159E-2</v>
      </c>
      <c r="R135" s="3">
        <f t="shared" si="47"/>
        <v>3.7551661007488676E-2</v>
      </c>
      <c r="S135" s="3">
        <f t="shared" si="47"/>
        <v>3.7538480974568585E-2</v>
      </c>
      <c r="T135" s="3">
        <f t="shared" si="47"/>
        <v>3.7406934806605438E-2</v>
      </c>
      <c r="U135" s="3">
        <f t="shared" si="47"/>
        <v>3.6116562205545544E-2</v>
      </c>
      <c r="V135" s="3">
        <f t="shared" si="47"/>
        <v>2.5424312929750753E-2</v>
      </c>
      <c r="W135" s="3">
        <f t="shared" si="47"/>
        <v>7.5976175878925101E-4</v>
      </c>
      <c r="X135" s="3">
        <f t="shared" si="47"/>
        <v>4.3147881837665327E-19</v>
      </c>
      <c r="Y135" s="3">
        <f t="shared" si="47"/>
        <v>1.5058440055674062E-171</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3.4655462333825049E-2</v>
      </c>
      <c r="C136" s="3">
        <f t="shared" si="49"/>
        <v>3.4655462333825049E-2</v>
      </c>
      <c r="D136" s="3">
        <f t="shared" si="49"/>
        <v>3.4655462333825049E-2</v>
      </c>
      <c r="E136" s="3">
        <f t="shared" si="49"/>
        <v>3.4655462333825049E-2</v>
      </c>
      <c r="F136" s="3">
        <f t="shared" si="49"/>
        <v>3.4655462333825049E-2</v>
      </c>
      <c r="G136" s="3">
        <f t="shared" si="49"/>
        <v>3.4655462333825049E-2</v>
      </c>
      <c r="H136" s="3">
        <f t="shared" si="49"/>
        <v>3.4655462333825035E-2</v>
      </c>
      <c r="I136" s="3">
        <f t="shared" si="49"/>
        <v>3.4655462333824924E-2</v>
      </c>
      <c r="J136" s="3">
        <f t="shared" si="49"/>
        <v>3.4655462333823828E-2</v>
      </c>
      <c r="K136" s="3">
        <f t="shared" si="49"/>
        <v>3.4655462333812857E-2</v>
      </c>
      <c r="L136" s="3">
        <f t="shared" si="49"/>
        <v>3.4655462333703112E-2</v>
      </c>
      <c r="M136" s="3">
        <f t="shared" si="49"/>
        <v>3.465546233260567E-2</v>
      </c>
      <c r="N136" s="3">
        <f t="shared" si="49"/>
        <v>3.465546232163124E-2</v>
      </c>
      <c r="O136" s="3">
        <f t="shared" si="49"/>
        <v>3.4655462211886971E-2</v>
      </c>
      <c r="P136" s="3">
        <f t="shared" si="49"/>
        <v>3.4655461114444286E-2</v>
      </c>
      <c r="Q136" s="3">
        <f t="shared" si="49"/>
        <v>3.4655450140019313E-2</v>
      </c>
      <c r="R136" s="3">
        <f t="shared" si="49"/>
        <v>3.4655340395960771E-2</v>
      </c>
      <c r="S136" s="3">
        <f t="shared" si="49"/>
        <v>3.4654242974489234E-2</v>
      </c>
      <c r="T136" s="3">
        <f t="shared" si="49"/>
        <v>3.4643270670938794E-2</v>
      </c>
      <c r="U136" s="3">
        <f t="shared" si="49"/>
        <v>3.4533738528188876E-2</v>
      </c>
      <c r="V136" s="3">
        <f t="shared" si="49"/>
        <v>3.3457284591378679E-2</v>
      </c>
      <c r="W136" s="3">
        <f t="shared" si="49"/>
        <v>2.4375954546657731E-2</v>
      </c>
      <c r="X136" s="3">
        <f t="shared" si="49"/>
        <v>1.0272379138224277E-3</v>
      </c>
      <c r="Y136" s="3">
        <f t="shared" si="49"/>
        <v>1.8145340744487696E-17</v>
      </c>
      <c r="Z136" s="3">
        <f t="shared" si="49"/>
        <v>5.3666837884265459E-155</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2.8039973666806786E-2</v>
      </c>
      <c r="C137" s="3">
        <f t="shared" si="51"/>
        <v>2.8039973666806786E-2</v>
      </c>
      <c r="D137" s="3">
        <f t="shared" si="51"/>
        <v>2.8039973666806786E-2</v>
      </c>
      <c r="E137" s="3">
        <f t="shared" si="51"/>
        <v>2.8039973666806786E-2</v>
      </c>
      <c r="F137" s="3">
        <f t="shared" si="51"/>
        <v>2.8039973666806786E-2</v>
      </c>
      <c r="G137" s="3">
        <f t="shared" si="51"/>
        <v>2.8039973666806786E-2</v>
      </c>
      <c r="H137" s="3">
        <f t="shared" si="51"/>
        <v>2.8039973666806786E-2</v>
      </c>
      <c r="I137" s="3">
        <f t="shared" si="51"/>
        <v>2.8039973666806776E-2</v>
      </c>
      <c r="J137" s="3">
        <f t="shared" si="51"/>
        <v>2.8039973666806696E-2</v>
      </c>
      <c r="K137" s="3">
        <f t="shared" si="51"/>
        <v>2.8039973666805895E-2</v>
      </c>
      <c r="L137" s="3">
        <f t="shared" si="51"/>
        <v>2.8039973666797887E-2</v>
      </c>
      <c r="M137" s="3">
        <f t="shared" si="51"/>
        <v>2.8039973666717788E-2</v>
      </c>
      <c r="N137" s="3">
        <f t="shared" si="51"/>
        <v>2.8039973665916783E-2</v>
      </c>
      <c r="O137" s="3">
        <f t="shared" si="51"/>
        <v>2.8039973657906749E-2</v>
      </c>
      <c r="P137" s="3">
        <f t="shared" si="51"/>
        <v>2.803997357780641E-2</v>
      </c>
      <c r="Q137" s="3">
        <f t="shared" si="51"/>
        <v>2.8039972776803038E-2</v>
      </c>
      <c r="R137" s="3">
        <f t="shared" si="51"/>
        <v>2.8039964766770557E-2</v>
      </c>
      <c r="S137" s="3">
        <f t="shared" si="51"/>
        <v>2.8039884666571608E-2</v>
      </c>
      <c r="T137" s="3">
        <f t="shared" si="51"/>
        <v>2.8039083677166995E-2</v>
      </c>
      <c r="U137" s="3">
        <f t="shared" si="51"/>
        <v>2.8031075041474743E-2</v>
      </c>
      <c r="V137" s="3">
        <f t="shared" si="51"/>
        <v>2.7951114387038529E-2</v>
      </c>
      <c r="W137" s="3">
        <f t="shared" si="51"/>
        <v>2.7163946237941744E-2</v>
      </c>
      <c r="X137" s="3">
        <f t="shared" si="51"/>
        <v>2.0414098671914606E-2</v>
      </c>
      <c r="Y137" s="3">
        <f t="shared" si="51"/>
        <v>1.1730153172650991E-3</v>
      </c>
      <c r="Z137" s="3">
        <f t="shared" si="51"/>
        <v>4.6029729095424195E-16</v>
      </c>
      <c r="AA137" s="3">
        <f t="shared" ref="AA137" si="52">$C23*EXP(-AA$129/$A23/EXP(-$B$126))</f>
        <v>3.9846095913428256E-140</v>
      </c>
      <c r="AB137" s="3">
        <f t="shared" si="46"/>
        <v>0</v>
      </c>
      <c r="AC137" s="3">
        <f t="shared" si="46"/>
        <v>0</v>
      </c>
      <c r="AD137" s="3">
        <f t="shared" si="46"/>
        <v>0</v>
      </c>
      <c r="AE137" s="3">
        <f t="shared" si="46"/>
        <v>0</v>
      </c>
      <c r="AF137" s="3">
        <f t="shared" si="46"/>
        <v>0</v>
      </c>
    </row>
    <row r="138" spans="1:33" x14ac:dyDescent="0.25">
      <c r="B138" s="3">
        <f t="shared" ref="B138:Z138" si="53">$C24*EXP(-B$129/$A24/EXP(-$B$126))</f>
        <v>2.6812375730219603E-2</v>
      </c>
      <c r="C138" s="3">
        <f t="shared" si="53"/>
        <v>2.6812375730219603E-2</v>
      </c>
      <c r="D138" s="3">
        <f t="shared" si="53"/>
        <v>2.6812375730219603E-2</v>
      </c>
      <c r="E138" s="3">
        <f t="shared" si="53"/>
        <v>2.6812375730219603E-2</v>
      </c>
      <c r="F138" s="3">
        <f t="shared" si="53"/>
        <v>2.6812375730219603E-2</v>
      </c>
      <c r="G138" s="3">
        <f t="shared" si="53"/>
        <v>2.6812375730219603E-2</v>
      </c>
      <c r="H138" s="3">
        <f t="shared" si="53"/>
        <v>2.6812375730219603E-2</v>
      </c>
      <c r="I138" s="3">
        <f t="shared" si="53"/>
        <v>2.6812375730219603E-2</v>
      </c>
      <c r="J138" s="3">
        <f t="shared" si="53"/>
        <v>2.6812375730219593E-2</v>
      </c>
      <c r="K138" s="3">
        <f t="shared" si="53"/>
        <v>2.6812375730219527E-2</v>
      </c>
      <c r="L138" s="3">
        <f t="shared" si="53"/>
        <v>2.6812375730218836E-2</v>
      </c>
      <c r="M138" s="3">
        <f t="shared" si="53"/>
        <v>2.6812375730211925E-2</v>
      </c>
      <c r="N138" s="3">
        <f t="shared" si="53"/>
        <v>2.6812375730142831E-2</v>
      </c>
      <c r="O138" s="3">
        <f t="shared" si="53"/>
        <v>2.6812375729451894E-2</v>
      </c>
      <c r="P138" s="3">
        <f t="shared" si="53"/>
        <v>2.6812375722542522E-2</v>
      </c>
      <c r="Q138" s="3">
        <f t="shared" si="53"/>
        <v>2.6812375653448791E-2</v>
      </c>
      <c r="R138" s="3">
        <f t="shared" si="53"/>
        <v>2.6812374962511504E-2</v>
      </c>
      <c r="S138" s="3">
        <f t="shared" si="53"/>
        <v>2.6812368053139583E-2</v>
      </c>
      <c r="T138" s="3">
        <f t="shared" si="53"/>
        <v>2.6812298959518303E-2</v>
      </c>
      <c r="U138" s="3">
        <f t="shared" si="53"/>
        <v>2.6811608033098181E-2</v>
      </c>
      <c r="V138" s="3">
        <f t="shared" si="53"/>
        <v>2.6804699748068216E-2</v>
      </c>
      <c r="W138" s="3">
        <f t="shared" si="53"/>
        <v>2.6735714721599295E-2</v>
      </c>
      <c r="X138" s="3">
        <f t="shared" si="53"/>
        <v>2.6055554207745728E-2</v>
      </c>
      <c r="Y138" s="3">
        <f t="shared" si="53"/>
        <v>2.0136569317623268E-2</v>
      </c>
      <c r="Z138" s="3">
        <f t="shared" si="53"/>
        <v>1.5305134286217807E-3</v>
      </c>
      <c r="AA138" s="3">
        <f t="shared" ref="AA138" si="54">$C24*EXP(-AA$129/$A24/EXP(-$B$126))</f>
        <v>9.8481300301789556E-15</v>
      </c>
      <c r="AB138" s="3">
        <f t="shared" si="46"/>
        <v>1.1981744980745065E-126</v>
      </c>
      <c r="AC138" s="3">
        <f t="shared" si="46"/>
        <v>0</v>
      </c>
      <c r="AD138" s="3">
        <f t="shared" si="46"/>
        <v>0</v>
      </c>
      <c r="AE138" s="3">
        <f t="shared" si="46"/>
        <v>0</v>
      </c>
      <c r="AF138" s="3">
        <f t="shared" si="46"/>
        <v>0</v>
      </c>
    </row>
    <row r="139" spans="1:33" x14ac:dyDescent="0.25">
      <c r="B139" s="3">
        <f t="shared" ref="B139:Z139" si="55">$C25*EXP(-B$129/$A25/EXP(-$B$126))</f>
        <v>2.7632018567144069E-2</v>
      </c>
      <c r="C139" s="3">
        <f t="shared" si="55"/>
        <v>2.7632018567144069E-2</v>
      </c>
      <c r="D139" s="3">
        <f t="shared" si="55"/>
        <v>2.7632018567144069E-2</v>
      </c>
      <c r="E139" s="3">
        <f t="shared" si="55"/>
        <v>2.7632018567144069E-2</v>
      </c>
      <c r="F139" s="3">
        <f t="shared" si="55"/>
        <v>2.7632018567144069E-2</v>
      </c>
      <c r="G139" s="3">
        <f t="shared" si="55"/>
        <v>2.7632018567144069E-2</v>
      </c>
      <c r="H139" s="3">
        <f t="shared" si="55"/>
        <v>2.7632018567144069E-2</v>
      </c>
      <c r="I139" s="3">
        <f t="shared" si="55"/>
        <v>2.7632018567144069E-2</v>
      </c>
      <c r="J139" s="3">
        <f t="shared" si="55"/>
        <v>2.7632018567144069E-2</v>
      </c>
      <c r="K139" s="3">
        <f t="shared" si="55"/>
        <v>2.7632018567144062E-2</v>
      </c>
      <c r="L139" s="3">
        <f t="shared" si="55"/>
        <v>2.7632018567144E-2</v>
      </c>
      <c r="M139" s="3">
        <f t="shared" si="55"/>
        <v>2.7632018567143354E-2</v>
      </c>
      <c r="N139" s="3">
        <f t="shared" si="55"/>
        <v>2.7632018567136932E-2</v>
      </c>
      <c r="O139" s="3">
        <f t="shared" si="55"/>
        <v>2.7632018567072699E-2</v>
      </c>
      <c r="P139" s="3">
        <f t="shared" si="55"/>
        <v>2.7632018566430362E-2</v>
      </c>
      <c r="Q139" s="3">
        <f t="shared" si="55"/>
        <v>2.7632018560006997E-2</v>
      </c>
      <c r="R139" s="3">
        <f t="shared" si="55"/>
        <v>2.7632018495773354E-2</v>
      </c>
      <c r="S139" s="3">
        <f t="shared" si="55"/>
        <v>2.7632017853436948E-2</v>
      </c>
      <c r="T139" s="3">
        <f t="shared" si="55"/>
        <v>2.7632011430073683E-2</v>
      </c>
      <c r="U139" s="3">
        <f t="shared" si="55"/>
        <v>2.7631947196523156E-2</v>
      </c>
      <c r="V139" s="3">
        <f t="shared" si="55"/>
        <v>2.7631304869230291E-2</v>
      </c>
      <c r="W139" s="3">
        <f t="shared" si="55"/>
        <v>2.7624882417472775E-2</v>
      </c>
      <c r="X139" s="3">
        <f t="shared" si="55"/>
        <v>2.7560739946423662E-2</v>
      </c>
      <c r="Y139" s="3">
        <f t="shared" si="55"/>
        <v>2.692744975653015E-2</v>
      </c>
      <c r="Z139" s="3">
        <f t="shared" si="55"/>
        <v>2.1342177807184271E-2</v>
      </c>
      <c r="AA139" s="3">
        <f t="shared" ref="AA139" si="56">$C25*EXP(-AA$129/$A25/EXP(-$B$126))</f>
        <v>2.0877275853855679E-3</v>
      </c>
      <c r="AB139" s="3">
        <f t="shared" si="46"/>
        <v>1.6750384784240933E-13</v>
      </c>
      <c r="AC139" s="3">
        <f t="shared" si="46"/>
        <v>1.8515454243338268E-114</v>
      </c>
      <c r="AD139" s="3">
        <f t="shared" si="46"/>
        <v>0</v>
      </c>
      <c r="AE139" s="3">
        <f t="shared" si="46"/>
        <v>0</v>
      </c>
      <c r="AF139" s="3">
        <f t="shared" si="46"/>
        <v>0</v>
      </c>
    </row>
    <row r="140" spans="1:33" x14ac:dyDescent="0.25">
      <c r="B140" s="3">
        <f t="shared" ref="B140:Z140" si="57">$C26*EXP(-B$129/$A26/EXP(-$B$126))</f>
        <v>2.5920837907154132E-2</v>
      </c>
      <c r="C140" s="3">
        <f t="shared" si="57"/>
        <v>2.5920837907154132E-2</v>
      </c>
      <c r="D140" s="3">
        <f t="shared" si="57"/>
        <v>2.5920837907154132E-2</v>
      </c>
      <c r="E140" s="3">
        <f t="shared" si="57"/>
        <v>2.5920837907154132E-2</v>
      </c>
      <c r="F140" s="3">
        <f t="shared" si="57"/>
        <v>2.5920837907154132E-2</v>
      </c>
      <c r="G140" s="3">
        <f t="shared" si="57"/>
        <v>2.5920837907154132E-2</v>
      </c>
      <c r="H140" s="3">
        <f t="shared" si="57"/>
        <v>2.5920837907154132E-2</v>
      </c>
      <c r="I140" s="3">
        <f t="shared" si="57"/>
        <v>2.5920837907154132E-2</v>
      </c>
      <c r="J140" s="3">
        <f t="shared" si="57"/>
        <v>2.5920837907154132E-2</v>
      </c>
      <c r="K140" s="3">
        <f t="shared" si="57"/>
        <v>2.5920837907154132E-2</v>
      </c>
      <c r="L140" s="3">
        <f t="shared" si="57"/>
        <v>2.5920837907154125E-2</v>
      </c>
      <c r="M140" s="3">
        <f t="shared" si="57"/>
        <v>2.5920837907154073E-2</v>
      </c>
      <c r="N140" s="3">
        <f t="shared" si="57"/>
        <v>2.5920837907153528E-2</v>
      </c>
      <c r="O140" s="3">
        <f t="shared" si="57"/>
        <v>2.5920837907148091E-2</v>
      </c>
      <c r="P140" s="3">
        <f t="shared" si="57"/>
        <v>2.5920837907093736E-2</v>
      </c>
      <c r="Q140" s="3">
        <f t="shared" si="57"/>
        <v>2.5920837906550177E-2</v>
      </c>
      <c r="R140" s="3">
        <f t="shared" si="57"/>
        <v>2.5920837901114605E-2</v>
      </c>
      <c r="S140" s="3">
        <f t="shared" si="57"/>
        <v>2.5920837846758846E-2</v>
      </c>
      <c r="T140" s="3">
        <f t="shared" si="57"/>
        <v>2.5920837303201265E-2</v>
      </c>
      <c r="U140" s="3">
        <f t="shared" si="57"/>
        <v>2.5920831867626112E-2</v>
      </c>
      <c r="V140" s="3">
        <f t="shared" si="57"/>
        <v>2.5920777511937252E-2</v>
      </c>
      <c r="W140" s="3">
        <f t="shared" si="57"/>
        <v>2.5920233961317724E-2</v>
      </c>
      <c r="X140" s="3">
        <f t="shared" si="57"/>
        <v>2.5914799081977743E-2</v>
      </c>
      <c r="Y140" s="3">
        <f t="shared" si="57"/>
        <v>2.5860512925503037E-2</v>
      </c>
      <c r="Z140" s="3">
        <f t="shared" si="57"/>
        <v>2.5323866725511814E-2</v>
      </c>
      <c r="AA140" s="3">
        <f t="shared" ref="AA140" si="58">$C26*EXP(-AA$129/$A26/EXP(-$B$126))</f>
        <v>2.0533305375800268E-2</v>
      </c>
      <c r="AB140" s="3">
        <f t="shared" si="46"/>
        <v>2.5220130812486346E-3</v>
      </c>
      <c r="AC140" s="3">
        <f t="shared" si="46"/>
        <v>1.970752209594904E-12</v>
      </c>
      <c r="AD140" s="3">
        <f t="shared" si="46"/>
        <v>1.6729343374093395E-103</v>
      </c>
      <c r="AE140" s="3">
        <f t="shared" si="46"/>
        <v>0</v>
      </c>
      <c r="AF140" s="3">
        <f t="shared" si="46"/>
        <v>0</v>
      </c>
    </row>
    <row r="141" spans="1:33" x14ac:dyDescent="0.25">
      <c r="B141" s="3">
        <f t="shared" ref="B141:Z141" si="59">$C27*EXP(-B$129/$A27/EXP(-$B$126))</f>
        <v>2.7391939908773026E-2</v>
      </c>
      <c r="C141" s="3">
        <f t="shared" si="59"/>
        <v>2.7391939908773026E-2</v>
      </c>
      <c r="D141" s="3">
        <f t="shared" si="59"/>
        <v>2.7391939908773026E-2</v>
      </c>
      <c r="E141" s="3">
        <f t="shared" si="59"/>
        <v>2.7391939908773026E-2</v>
      </c>
      <c r="F141" s="3">
        <f t="shared" si="59"/>
        <v>2.7391939908773026E-2</v>
      </c>
      <c r="G141" s="3">
        <f t="shared" si="59"/>
        <v>2.7391939908773026E-2</v>
      </c>
      <c r="H141" s="3">
        <f t="shared" si="59"/>
        <v>2.7391939908773026E-2</v>
      </c>
      <c r="I141" s="3">
        <f t="shared" si="59"/>
        <v>2.7391939908773026E-2</v>
      </c>
      <c r="J141" s="3">
        <f t="shared" si="59"/>
        <v>2.7391939908773026E-2</v>
      </c>
      <c r="K141" s="3">
        <f t="shared" si="59"/>
        <v>2.7391939908773026E-2</v>
      </c>
      <c r="L141" s="3">
        <f t="shared" si="59"/>
        <v>2.7391939908773026E-2</v>
      </c>
      <c r="M141" s="3">
        <f t="shared" si="59"/>
        <v>2.7391939908773019E-2</v>
      </c>
      <c r="N141" s="3">
        <f t="shared" si="59"/>
        <v>2.7391939908772967E-2</v>
      </c>
      <c r="O141" s="3">
        <f t="shared" si="59"/>
        <v>2.739193990877245E-2</v>
      </c>
      <c r="P141" s="3">
        <f t="shared" si="59"/>
        <v>2.739193990876727E-2</v>
      </c>
      <c r="Q141" s="3">
        <f t="shared" si="59"/>
        <v>2.7391939908715451E-2</v>
      </c>
      <c r="R141" s="3">
        <f t="shared" si="59"/>
        <v>2.7391939908197292E-2</v>
      </c>
      <c r="S141" s="3">
        <f t="shared" si="59"/>
        <v>2.7391939903015666E-2</v>
      </c>
      <c r="T141" s="3">
        <f t="shared" si="59"/>
        <v>2.7391939851199424E-2</v>
      </c>
      <c r="U141" s="3">
        <f t="shared" si="59"/>
        <v>2.7391939333037019E-2</v>
      </c>
      <c r="V141" s="3">
        <f t="shared" si="59"/>
        <v>2.73919341514135E-2</v>
      </c>
      <c r="W141" s="3">
        <f t="shared" si="59"/>
        <v>2.7391882335232227E-2</v>
      </c>
      <c r="X141" s="3">
        <f t="shared" si="59"/>
        <v>2.7391364178810444E-2</v>
      </c>
      <c r="Y141" s="3">
        <f t="shared" si="59"/>
        <v>2.7386183153653668E-2</v>
      </c>
      <c r="Z141" s="3">
        <f t="shared" si="59"/>
        <v>2.7334426770478301E-2</v>
      </c>
      <c r="AA141" s="3">
        <f t="shared" ref="AA141" si="60">$C27*EXP(-AA$129/$A27/EXP(-$B$126))</f>
        <v>2.6822212264723994E-2</v>
      </c>
      <c r="AB141" s="3">
        <f t="shared" si="46"/>
        <v>2.2199379654833311E-2</v>
      </c>
      <c r="AC141" s="3">
        <f t="shared" si="46"/>
        <v>3.3481374102224712E-3</v>
      </c>
      <c r="AD141" s="3">
        <f t="shared" si="46"/>
        <v>2.039048812521256E-11</v>
      </c>
      <c r="AE141" s="3">
        <f t="shared" si="46"/>
        <v>1.431103724049374E-93</v>
      </c>
      <c r="AF141" s="3">
        <f t="shared" si="46"/>
        <v>0</v>
      </c>
    </row>
    <row r="142" spans="1:33" x14ac:dyDescent="0.25">
      <c r="B142" s="3">
        <f t="shared" ref="B142:Z142" si="61">$C28*EXP(-B$129/$A28/EXP(-$B$126))</f>
        <v>3.256547684040112E-2</v>
      </c>
      <c r="C142" s="3">
        <f t="shared" si="61"/>
        <v>3.256547684040112E-2</v>
      </c>
      <c r="D142" s="3">
        <f t="shared" si="61"/>
        <v>3.256547684040112E-2</v>
      </c>
      <c r="E142" s="3">
        <f t="shared" si="61"/>
        <v>3.256547684040112E-2</v>
      </c>
      <c r="F142" s="3">
        <f t="shared" si="61"/>
        <v>3.256547684040112E-2</v>
      </c>
      <c r="G142" s="3">
        <f t="shared" si="61"/>
        <v>3.256547684040112E-2</v>
      </c>
      <c r="H142" s="3">
        <f t="shared" si="61"/>
        <v>3.256547684040112E-2</v>
      </c>
      <c r="I142" s="3">
        <f t="shared" si="61"/>
        <v>3.256547684040112E-2</v>
      </c>
      <c r="J142" s="3">
        <f t="shared" si="61"/>
        <v>3.256547684040112E-2</v>
      </c>
      <c r="K142" s="3">
        <f t="shared" si="61"/>
        <v>3.256547684040112E-2</v>
      </c>
      <c r="L142" s="3">
        <f t="shared" si="61"/>
        <v>3.256547684040112E-2</v>
      </c>
      <c r="M142" s="3">
        <f t="shared" si="61"/>
        <v>3.256547684040112E-2</v>
      </c>
      <c r="N142" s="3">
        <f t="shared" si="61"/>
        <v>3.2565476840401113E-2</v>
      </c>
      <c r="O142" s="3">
        <f t="shared" si="61"/>
        <v>3.2565476840401057E-2</v>
      </c>
      <c r="P142" s="3">
        <f t="shared" si="61"/>
        <v>3.2565476840400502E-2</v>
      </c>
      <c r="Q142" s="3">
        <f t="shared" si="61"/>
        <v>3.2565476840394944E-2</v>
      </c>
      <c r="R142" s="3">
        <f t="shared" si="61"/>
        <v>3.2565476840339377E-2</v>
      </c>
      <c r="S142" s="3">
        <f t="shared" si="61"/>
        <v>3.2565476839783662E-2</v>
      </c>
      <c r="T142" s="3">
        <f t="shared" si="61"/>
        <v>3.256547683422658E-2</v>
      </c>
      <c r="U142" s="3">
        <f t="shared" si="61"/>
        <v>3.2565476778655719E-2</v>
      </c>
      <c r="V142" s="3">
        <f t="shared" si="61"/>
        <v>3.256547622294708E-2</v>
      </c>
      <c r="W142" s="3">
        <f t="shared" si="61"/>
        <v>3.2565470665861275E-2</v>
      </c>
      <c r="X142" s="3">
        <f t="shared" si="61"/>
        <v>3.2565415095055394E-2</v>
      </c>
      <c r="Y142" s="3">
        <f t="shared" si="61"/>
        <v>3.2564859392212042E-2</v>
      </c>
      <c r="Z142" s="3">
        <f t="shared" si="61"/>
        <v>3.2559302885296244E-2</v>
      </c>
      <c r="AA142" s="3">
        <f t="shared" ref="AA142" si="62">$C28*EXP(-AA$129/$A28/EXP(-$B$126))</f>
        <v>3.250378993499857E-2</v>
      </c>
      <c r="AB142" s="3">
        <f t="shared" si="46"/>
        <v>3.1953839560860529E-2</v>
      </c>
      <c r="AC142" s="3">
        <f t="shared" si="46"/>
        <v>2.6940988553849674E-2</v>
      </c>
      <c r="AD142" s="3">
        <f t="shared" si="46"/>
        <v>4.8901062830199815E-3</v>
      </c>
      <c r="AE142" s="3">
        <f t="shared" si="46"/>
        <v>1.8983050699417602E-10</v>
      </c>
      <c r="AF142" s="3">
        <f t="shared" si="46"/>
        <v>1.4751734959986355E-84</v>
      </c>
    </row>
    <row r="143" spans="1:33" x14ac:dyDescent="0.25">
      <c r="B143" s="3">
        <f t="shared" ref="B143:Z143" si="63">$C29*EXP(-B$129/$A29/EXP(-$B$126))</f>
        <v>3.4198379990015168E-2</v>
      </c>
      <c r="C143" s="3">
        <f t="shared" si="63"/>
        <v>3.4198379990015168E-2</v>
      </c>
      <c r="D143" s="3">
        <f t="shared" si="63"/>
        <v>3.4198379990015168E-2</v>
      </c>
      <c r="E143" s="3">
        <f t="shared" si="63"/>
        <v>3.4198379990015168E-2</v>
      </c>
      <c r="F143" s="3">
        <f t="shared" si="63"/>
        <v>3.4198379990015168E-2</v>
      </c>
      <c r="G143" s="3">
        <f t="shared" si="63"/>
        <v>3.4198379990015168E-2</v>
      </c>
      <c r="H143" s="3">
        <f t="shared" si="63"/>
        <v>3.4198379990015168E-2</v>
      </c>
      <c r="I143" s="3">
        <f t="shared" si="63"/>
        <v>3.4198379990015168E-2</v>
      </c>
      <c r="J143" s="3">
        <f t="shared" si="63"/>
        <v>3.4198379990015168E-2</v>
      </c>
      <c r="K143" s="3">
        <f t="shared" si="63"/>
        <v>3.4198379990015168E-2</v>
      </c>
      <c r="L143" s="3">
        <f t="shared" si="63"/>
        <v>3.4198379990015168E-2</v>
      </c>
      <c r="M143" s="3">
        <f t="shared" si="63"/>
        <v>3.4198379990015168E-2</v>
      </c>
      <c r="N143" s="3">
        <f t="shared" si="63"/>
        <v>3.4198379990015168E-2</v>
      </c>
      <c r="O143" s="3">
        <f t="shared" si="63"/>
        <v>3.4198379990015161E-2</v>
      </c>
      <c r="P143" s="3">
        <f t="shared" si="63"/>
        <v>3.4198379990015113E-2</v>
      </c>
      <c r="Q143" s="3">
        <f t="shared" si="63"/>
        <v>3.4198379990014585E-2</v>
      </c>
      <c r="R143" s="3">
        <f t="shared" si="63"/>
        <v>3.4198379990009319E-2</v>
      </c>
      <c r="S143" s="3">
        <f t="shared" si="63"/>
        <v>3.4198379989956673E-2</v>
      </c>
      <c r="T143" s="3">
        <f t="shared" si="63"/>
        <v>3.419837998943024E-2</v>
      </c>
      <c r="U143" s="3">
        <f t="shared" si="63"/>
        <v>3.419837998416593E-2</v>
      </c>
      <c r="V143" s="3">
        <f t="shared" si="63"/>
        <v>3.4198379931522783E-2</v>
      </c>
      <c r="W143" s="3">
        <f t="shared" si="63"/>
        <v>3.4198379405091336E-2</v>
      </c>
      <c r="X143" s="3">
        <f t="shared" si="63"/>
        <v>3.4198374140777289E-2</v>
      </c>
      <c r="Y143" s="3">
        <f t="shared" si="63"/>
        <v>3.4198321497681358E-2</v>
      </c>
      <c r="Z143" s="3">
        <f t="shared" si="63"/>
        <v>3.4197795071179038E-2</v>
      </c>
      <c r="AA143" s="3">
        <f t="shared" ref="AA143" si="64">$C29*EXP(-AA$129/$A29/EXP(-$B$126))</f>
        <v>3.419253125182576E-2</v>
      </c>
      <c r="AB143" s="3">
        <f t="shared" si="46"/>
        <v>3.4139937599913045E-2</v>
      </c>
      <c r="AC143" s="3">
        <f t="shared" si="46"/>
        <v>3.3618429977872344E-2</v>
      </c>
      <c r="AD143" s="3">
        <f t="shared" si="46"/>
        <v>2.8822023802997913E-2</v>
      </c>
      <c r="AE143" s="3">
        <f t="shared" si="46"/>
        <v>6.1829384429794489E-3</v>
      </c>
      <c r="AF143" s="3">
        <f t="shared" si="46"/>
        <v>1.2761432412185535E-9</v>
      </c>
    </row>
    <row r="144" spans="1:33" x14ac:dyDescent="0.25">
      <c r="B144" s="3">
        <f t="shared" ref="B144:Z144" si="65">$C30*EXP(-B$129/$A30/EXP(-$B$126))</f>
        <v>4.2864410475860253E-2</v>
      </c>
      <c r="C144" s="3">
        <f t="shared" si="65"/>
        <v>4.2864410475860253E-2</v>
      </c>
      <c r="D144" s="3">
        <f t="shared" si="65"/>
        <v>4.2864410475860253E-2</v>
      </c>
      <c r="E144" s="3">
        <f t="shared" si="65"/>
        <v>4.2864410475860253E-2</v>
      </c>
      <c r="F144" s="3">
        <f t="shared" si="65"/>
        <v>4.2864410475860253E-2</v>
      </c>
      <c r="G144" s="3">
        <f t="shared" si="65"/>
        <v>4.2864410475860253E-2</v>
      </c>
      <c r="H144" s="3">
        <f t="shared" si="65"/>
        <v>4.2864410475860253E-2</v>
      </c>
      <c r="I144" s="3">
        <f t="shared" si="65"/>
        <v>4.2864410475860253E-2</v>
      </c>
      <c r="J144" s="3">
        <f t="shared" si="65"/>
        <v>4.2864410475860253E-2</v>
      </c>
      <c r="K144" s="3">
        <f t="shared" si="65"/>
        <v>4.2864410475860253E-2</v>
      </c>
      <c r="L144" s="3">
        <f t="shared" si="65"/>
        <v>4.2864410475860253E-2</v>
      </c>
      <c r="M144" s="3">
        <f t="shared" si="65"/>
        <v>4.2864410475860253E-2</v>
      </c>
      <c r="N144" s="3">
        <f t="shared" si="65"/>
        <v>4.2864410475860253E-2</v>
      </c>
      <c r="O144" s="3">
        <f t="shared" si="65"/>
        <v>4.2864410475860253E-2</v>
      </c>
      <c r="P144" s="3">
        <f t="shared" si="65"/>
        <v>4.2864410475860246E-2</v>
      </c>
      <c r="Q144" s="3">
        <f t="shared" si="65"/>
        <v>4.2864410475860183E-2</v>
      </c>
      <c r="R144" s="3">
        <f t="shared" si="65"/>
        <v>4.2864410475859593E-2</v>
      </c>
      <c r="S144" s="3">
        <f t="shared" si="65"/>
        <v>4.286441047585364E-2</v>
      </c>
      <c r="T144" s="3">
        <f t="shared" si="65"/>
        <v>4.2864410475794118E-2</v>
      </c>
      <c r="U144" s="3">
        <f t="shared" si="65"/>
        <v>4.2864410475198893E-2</v>
      </c>
      <c r="V144" s="3">
        <f t="shared" si="65"/>
        <v>4.2864410469246661E-2</v>
      </c>
      <c r="W144" s="3">
        <f t="shared" si="65"/>
        <v>4.2864410409724357E-2</v>
      </c>
      <c r="X144" s="3">
        <f t="shared" si="65"/>
        <v>4.2864409814501313E-2</v>
      </c>
      <c r="Y144" s="3">
        <f t="shared" si="65"/>
        <v>4.2864403862271284E-2</v>
      </c>
      <c r="Z144" s="3">
        <f t="shared" si="65"/>
        <v>4.2864344340016493E-2</v>
      </c>
      <c r="AA144" s="3">
        <f t="shared" ref="AA144" si="66">$C30*EXP(-AA$129/$A30/EXP(-$B$126))</f>
        <v>4.2863749122014475E-2</v>
      </c>
      <c r="AB144" s="3">
        <f t="shared" ref="AB144:AF153" si="67">$C30*EXP(-AB$129/$A30/EXP(-$B$126))</f>
        <v>4.2857797396564069E-2</v>
      </c>
      <c r="AC144" s="3">
        <f t="shared" si="67"/>
        <v>4.2798325575688065E-2</v>
      </c>
      <c r="AD144" s="3">
        <f t="shared" si="67"/>
        <v>4.2208127472894853E-2</v>
      </c>
      <c r="AE144" s="3">
        <f t="shared" si="67"/>
        <v>3.6735770943659124E-2</v>
      </c>
      <c r="AF144" s="3">
        <f t="shared" si="67"/>
        <v>9.162624488125045E-3</v>
      </c>
    </row>
    <row r="145" spans="1:32" x14ac:dyDescent="0.25">
      <c r="B145" s="3">
        <f t="shared" ref="B145:Z145" si="68">$C31*EXP(-B$129/$A31/EXP(-$B$126))</f>
        <v>4.3714566142705795E-2</v>
      </c>
      <c r="C145" s="3">
        <f t="shared" si="68"/>
        <v>4.3714566142705795E-2</v>
      </c>
      <c r="D145" s="3">
        <f t="shared" si="68"/>
        <v>4.3714566142705795E-2</v>
      </c>
      <c r="E145" s="3">
        <f t="shared" si="68"/>
        <v>4.3714566142705795E-2</v>
      </c>
      <c r="F145" s="3">
        <f t="shared" si="68"/>
        <v>4.3714566142705795E-2</v>
      </c>
      <c r="G145" s="3">
        <f t="shared" si="68"/>
        <v>4.3714566142705795E-2</v>
      </c>
      <c r="H145" s="3">
        <f t="shared" si="68"/>
        <v>4.3714566142705795E-2</v>
      </c>
      <c r="I145" s="3">
        <f t="shared" si="68"/>
        <v>4.3714566142705795E-2</v>
      </c>
      <c r="J145" s="3">
        <f t="shared" si="68"/>
        <v>4.3714566142705795E-2</v>
      </c>
      <c r="K145" s="3">
        <f t="shared" si="68"/>
        <v>4.3714566142705795E-2</v>
      </c>
      <c r="L145" s="3">
        <f t="shared" si="68"/>
        <v>4.3714566142705795E-2</v>
      </c>
      <c r="M145" s="3">
        <f t="shared" si="68"/>
        <v>4.3714566142705795E-2</v>
      </c>
      <c r="N145" s="3">
        <f t="shared" si="68"/>
        <v>4.3714566142705795E-2</v>
      </c>
      <c r="O145" s="3">
        <f t="shared" si="68"/>
        <v>4.3714566142705795E-2</v>
      </c>
      <c r="P145" s="3">
        <f t="shared" si="68"/>
        <v>4.3714566142705795E-2</v>
      </c>
      <c r="Q145" s="3">
        <f t="shared" si="68"/>
        <v>4.3714566142705788E-2</v>
      </c>
      <c r="R145" s="3">
        <f t="shared" si="68"/>
        <v>4.3714566142705732E-2</v>
      </c>
      <c r="S145" s="3">
        <f t="shared" si="68"/>
        <v>4.3714566142705191E-2</v>
      </c>
      <c r="T145" s="3">
        <f t="shared" si="68"/>
        <v>4.371456614269971E-2</v>
      </c>
      <c r="U145" s="3">
        <f t="shared" si="68"/>
        <v>4.3714566142644948E-2</v>
      </c>
      <c r="V145" s="3">
        <f t="shared" si="68"/>
        <v>4.3714566142097365E-2</v>
      </c>
      <c r="W145" s="3">
        <f t="shared" si="68"/>
        <v>4.3714566136621461E-2</v>
      </c>
      <c r="X145" s="3">
        <f t="shared" si="68"/>
        <v>4.3714566081862437E-2</v>
      </c>
      <c r="Y145" s="3">
        <f t="shared" si="68"/>
        <v>4.3714565534272262E-2</v>
      </c>
      <c r="Z145" s="3">
        <f t="shared" si="68"/>
        <v>4.3714560058370884E-2</v>
      </c>
      <c r="AA145" s="3">
        <f t="shared" ref="AA145" si="69">$C31*EXP(-AA$129/$A31/EXP(-$B$126))</f>
        <v>4.3714505299394787E-2</v>
      </c>
      <c r="AB145" s="3">
        <f t="shared" si="67"/>
        <v>4.3713957713406484E-2</v>
      </c>
      <c r="AC145" s="3">
        <f t="shared" si="67"/>
        <v>4.3708482230770132E-2</v>
      </c>
      <c r="AD145" s="3">
        <f t="shared" si="67"/>
        <v>4.3653765111598276E-2</v>
      </c>
      <c r="AE145" s="3">
        <f t="shared" si="67"/>
        <v>4.3110347220915425E-2</v>
      </c>
      <c r="AF145" s="3">
        <f t="shared" si="67"/>
        <v>3.8034670263663271E-2</v>
      </c>
    </row>
    <row r="146" spans="1:32" x14ac:dyDescent="0.25">
      <c r="B146" s="3">
        <f t="shared" ref="B146:Z146" si="70">$C32*EXP(-B$129/$A32/EXP(-$B$126))</f>
        <v>7.7757179566671539E-2</v>
      </c>
      <c r="C146" s="3">
        <f t="shared" si="70"/>
        <v>7.7757179566671539E-2</v>
      </c>
      <c r="D146" s="3">
        <f t="shared" si="70"/>
        <v>7.7757179566671539E-2</v>
      </c>
      <c r="E146" s="3">
        <f t="shared" si="70"/>
        <v>7.7757179566671539E-2</v>
      </c>
      <c r="F146" s="3">
        <f t="shared" si="70"/>
        <v>7.7757179566671539E-2</v>
      </c>
      <c r="G146" s="3">
        <f t="shared" si="70"/>
        <v>7.7757179566671539E-2</v>
      </c>
      <c r="H146" s="3">
        <f t="shared" si="70"/>
        <v>7.7757179566671539E-2</v>
      </c>
      <c r="I146" s="3">
        <f t="shared" si="70"/>
        <v>7.7757179566671539E-2</v>
      </c>
      <c r="J146" s="3">
        <f t="shared" si="70"/>
        <v>7.7757179566671539E-2</v>
      </c>
      <c r="K146" s="3">
        <f t="shared" si="70"/>
        <v>7.7757179566671539E-2</v>
      </c>
      <c r="L146" s="3">
        <f t="shared" si="70"/>
        <v>7.7757179566671539E-2</v>
      </c>
      <c r="M146" s="3">
        <f t="shared" si="70"/>
        <v>7.7757179566671539E-2</v>
      </c>
      <c r="N146" s="3">
        <f t="shared" si="70"/>
        <v>7.7757179566671539E-2</v>
      </c>
      <c r="O146" s="3">
        <f t="shared" si="70"/>
        <v>7.7757179566671539E-2</v>
      </c>
      <c r="P146" s="3">
        <f t="shared" si="70"/>
        <v>7.7757179566671539E-2</v>
      </c>
      <c r="Q146" s="3">
        <f t="shared" si="70"/>
        <v>7.7757179566671539E-2</v>
      </c>
      <c r="R146" s="3">
        <f t="shared" si="70"/>
        <v>7.7757179566671525E-2</v>
      </c>
      <c r="S146" s="3">
        <f t="shared" si="70"/>
        <v>7.7757179566671442E-2</v>
      </c>
      <c r="T146" s="3">
        <f t="shared" si="70"/>
        <v>7.7757179566670567E-2</v>
      </c>
      <c r="U146" s="3">
        <f t="shared" si="70"/>
        <v>7.7757179566661769E-2</v>
      </c>
      <c r="V146" s="3">
        <f t="shared" si="70"/>
        <v>7.7757179566573909E-2</v>
      </c>
      <c r="W146" s="3">
        <f t="shared" si="70"/>
        <v>7.7757179565695264E-2</v>
      </c>
      <c r="X146" s="3">
        <f t="shared" si="70"/>
        <v>7.7757179556908737E-2</v>
      </c>
      <c r="Y146" s="3">
        <f t="shared" si="70"/>
        <v>7.7757179469043619E-2</v>
      </c>
      <c r="Z146" s="3">
        <f t="shared" si="70"/>
        <v>7.7757178590392287E-2</v>
      </c>
      <c r="AA146" s="3">
        <f t="shared" ref="AA146" si="71">$C32*EXP(-AA$129/$A32/EXP(-$B$126))</f>
        <v>7.7757169803879631E-2</v>
      </c>
      <c r="AB146" s="3">
        <f t="shared" si="67"/>
        <v>7.7757081938807635E-2</v>
      </c>
      <c r="AC146" s="3">
        <f t="shared" si="67"/>
        <v>7.7756203293548334E-2</v>
      </c>
      <c r="AD146" s="3">
        <f t="shared" si="67"/>
        <v>7.7747417387008882E-2</v>
      </c>
      <c r="AE146" s="3">
        <f t="shared" si="67"/>
        <v>7.7659612904135589E-2</v>
      </c>
      <c r="AF146" s="3">
        <f t="shared" si="67"/>
        <v>7.6787003575518903E-2</v>
      </c>
    </row>
    <row r="147" spans="1:32" x14ac:dyDescent="0.25">
      <c r="B147" s="3">
        <f t="shared" ref="B147:Z147" si="72">$C33*EXP(-B$129/$A33/EXP(-$B$126))</f>
        <v>9.5507274749383017E-2</v>
      </c>
      <c r="C147" s="3">
        <f t="shared" si="72"/>
        <v>9.5507274749383017E-2</v>
      </c>
      <c r="D147" s="3">
        <f t="shared" si="72"/>
        <v>9.5507274749383017E-2</v>
      </c>
      <c r="E147" s="3">
        <f t="shared" si="72"/>
        <v>9.5507274749383017E-2</v>
      </c>
      <c r="F147" s="3">
        <f t="shared" si="72"/>
        <v>9.5507274749383017E-2</v>
      </c>
      <c r="G147" s="3">
        <f t="shared" si="72"/>
        <v>9.5507274749383017E-2</v>
      </c>
      <c r="H147" s="3">
        <f t="shared" si="72"/>
        <v>9.5507274749383017E-2</v>
      </c>
      <c r="I147" s="3">
        <f t="shared" si="72"/>
        <v>9.5507274749383017E-2</v>
      </c>
      <c r="J147" s="3">
        <f t="shared" si="72"/>
        <v>9.5507274749383017E-2</v>
      </c>
      <c r="K147" s="3">
        <f t="shared" si="72"/>
        <v>9.5507274749383017E-2</v>
      </c>
      <c r="L147" s="3">
        <f t="shared" si="72"/>
        <v>9.5507274749383017E-2</v>
      </c>
      <c r="M147" s="3">
        <f t="shared" si="72"/>
        <v>9.5507274749383017E-2</v>
      </c>
      <c r="N147" s="3">
        <f t="shared" si="72"/>
        <v>9.5507274749383017E-2</v>
      </c>
      <c r="O147" s="3">
        <f t="shared" si="72"/>
        <v>9.5507274749383017E-2</v>
      </c>
      <c r="P147" s="3">
        <f t="shared" si="72"/>
        <v>9.5507274749383017E-2</v>
      </c>
      <c r="Q147" s="3">
        <f t="shared" si="72"/>
        <v>9.5507274749383017E-2</v>
      </c>
      <c r="R147" s="3">
        <f t="shared" si="72"/>
        <v>9.5507274749383017E-2</v>
      </c>
      <c r="S147" s="3">
        <f t="shared" si="72"/>
        <v>9.5507274749383003E-2</v>
      </c>
      <c r="T147" s="3">
        <f t="shared" si="72"/>
        <v>9.5507274749382906E-2</v>
      </c>
      <c r="U147" s="3">
        <f t="shared" si="72"/>
        <v>9.5507274749381935E-2</v>
      </c>
      <c r="V147" s="3">
        <f t="shared" si="72"/>
        <v>9.5507274749372206E-2</v>
      </c>
      <c r="W147" s="3">
        <f t="shared" si="72"/>
        <v>9.550727474927484E-2</v>
      </c>
      <c r="X147" s="3">
        <f t="shared" si="72"/>
        <v>9.5507274748301299E-2</v>
      </c>
      <c r="Y147" s="3">
        <f t="shared" si="72"/>
        <v>9.5507274738565767E-2</v>
      </c>
      <c r="Z147" s="3">
        <f t="shared" si="72"/>
        <v>9.5507274641210588E-2</v>
      </c>
      <c r="AA147" s="3">
        <f t="shared" ref="AA147" si="73">$C33*EXP(-AA$129/$A33/EXP(-$B$126))</f>
        <v>9.5507273667658682E-2</v>
      </c>
      <c r="AB147" s="3">
        <f t="shared" si="67"/>
        <v>9.550726393214018E-2</v>
      </c>
      <c r="AC147" s="3">
        <f t="shared" si="67"/>
        <v>9.5507166577009708E-2</v>
      </c>
      <c r="AD147" s="3">
        <f t="shared" si="67"/>
        <v>9.5506193031163186E-2</v>
      </c>
      <c r="AE147" s="3">
        <f t="shared" si="67"/>
        <v>9.5496458118488753E-2</v>
      </c>
      <c r="AF147" s="3">
        <f t="shared" si="67"/>
        <v>9.5399163550251895E-2</v>
      </c>
    </row>
    <row r="148" spans="1:32" x14ac:dyDescent="0.25">
      <c r="B148" s="3">
        <f t="shared" ref="B148:Z148" si="74">$C34*EXP(-B$129/$A34/EXP(-$B$126))</f>
        <v>8.003075559639232E-2</v>
      </c>
      <c r="C148" s="3">
        <f t="shared" si="74"/>
        <v>8.003075559639232E-2</v>
      </c>
      <c r="D148" s="3">
        <f t="shared" si="74"/>
        <v>8.003075559639232E-2</v>
      </c>
      <c r="E148" s="3">
        <f t="shared" si="74"/>
        <v>8.003075559639232E-2</v>
      </c>
      <c r="F148" s="3">
        <f t="shared" si="74"/>
        <v>8.003075559639232E-2</v>
      </c>
      <c r="G148" s="3">
        <f t="shared" si="74"/>
        <v>8.003075559639232E-2</v>
      </c>
      <c r="H148" s="3">
        <f t="shared" si="74"/>
        <v>8.003075559639232E-2</v>
      </c>
      <c r="I148" s="3">
        <f t="shared" si="74"/>
        <v>8.003075559639232E-2</v>
      </c>
      <c r="J148" s="3">
        <f t="shared" si="74"/>
        <v>8.003075559639232E-2</v>
      </c>
      <c r="K148" s="3">
        <f t="shared" si="74"/>
        <v>8.003075559639232E-2</v>
      </c>
      <c r="L148" s="3">
        <f t="shared" si="74"/>
        <v>8.003075559639232E-2</v>
      </c>
      <c r="M148" s="3">
        <f t="shared" si="74"/>
        <v>8.003075559639232E-2</v>
      </c>
      <c r="N148" s="3">
        <f t="shared" si="74"/>
        <v>8.003075559639232E-2</v>
      </c>
      <c r="O148" s="3">
        <f t="shared" si="74"/>
        <v>8.003075559639232E-2</v>
      </c>
      <c r="P148" s="3">
        <f t="shared" si="74"/>
        <v>8.003075559639232E-2</v>
      </c>
      <c r="Q148" s="3">
        <f t="shared" si="74"/>
        <v>8.003075559639232E-2</v>
      </c>
      <c r="R148" s="3">
        <f t="shared" si="74"/>
        <v>8.003075559639232E-2</v>
      </c>
      <c r="S148" s="3">
        <f t="shared" si="74"/>
        <v>8.003075559639232E-2</v>
      </c>
      <c r="T148" s="3">
        <f t="shared" si="74"/>
        <v>8.0030755596392306E-2</v>
      </c>
      <c r="U148" s="3">
        <f t="shared" si="74"/>
        <v>8.0030755596392236E-2</v>
      </c>
      <c r="V148" s="3">
        <f t="shared" si="74"/>
        <v>8.0030755596391501E-2</v>
      </c>
      <c r="W148" s="3">
        <f t="shared" si="74"/>
        <v>8.0030755596384145E-2</v>
      </c>
      <c r="X148" s="3">
        <f t="shared" si="74"/>
        <v>8.0030755596310552E-2</v>
      </c>
      <c r="Y148" s="3">
        <f t="shared" si="74"/>
        <v>8.003075559557464E-2</v>
      </c>
      <c r="Z148" s="3">
        <f t="shared" si="74"/>
        <v>8.0030755588215513E-2</v>
      </c>
      <c r="AA148" s="3">
        <f>$C34*EXP(-AA$129/$A34/EXP(-$B$126))</f>
        <v>8.0030755514624269E-2</v>
      </c>
      <c r="AB148" s="3">
        <f t="shared" si="67"/>
        <v>8.0030754778711785E-2</v>
      </c>
      <c r="AC148" s="3">
        <f t="shared" si="67"/>
        <v>8.0030747419587392E-2</v>
      </c>
      <c r="AD148" s="3">
        <f t="shared" si="67"/>
        <v>8.0030673828380583E-2</v>
      </c>
      <c r="AE148" s="3">
        <f t="shared" si="67"/>
        <v>8.0029937920034364E-2</v>
      </c>
      <c r="AF148" s="3">
        <f t="shared" si="67"/>
        <v>8.0022579208742436E-2</v>
      </c>
    </row>
    <row r="149" spans="1:32" x14ac:dyDescent="0.25">
      <c r="B149" s="3">
        <f t="shared" ref="B149:Z149" si="75">$C35*EXP(-B$129/$A35/EXP(-$B$126))</f>
        <v>5.3976889971713508E-2</v>
      </c>
      <c r="C149" s="3">
        <f t="shared" si="75"/>
        <v>5.3976889971713508E-2</v>
      </c>
      <c r="D149" s="3">
        <f t="shared" si="75"/>
        <v>5.3976889971713508E-2</v>
      </c>
      <c r="E149" s="3">
        <f t="shared" si="75"/>
        <v>5.3976889971713508E-2</v>
      </c>
      <c r="F149" s="3">
        <f t="shared" si="75"/>
        <v>5.3976889971713508E-2</v>
      </c>
      <c r="G149" s="3">
        <f t="shared" si="75"/>
        <v>5.3976889971713508E-2</v>
      </c>
      <c r="H149" s="3">
        <f t="shared" si="75"/>
        <v>5.3976889971713508E-2</v>
      </c>
      <c r="I149" s="3">
        <f t="shared" si="75"/>
        <v>5.3976889971713508E-2</v>
      </c>
      <c r="J149" s="3">
        <f t="shared" si="75"/>
        <v>5.3976889971713508E-2</v>
      </c>
      <c r="K149" s="3">
        <f t="shared" si="75"/>
        <v>5.3976889971713508E-2</v>
      </c>
      <c r="L149" s="3">
        <f t="shared" si="75"/>
        <v>5.3976889971713508E-2</v>
      </c>
      <c r="M149" s="3">
        <f t="shared" si="75"/>
        <v>5.3976889971713508E-2</v>
      </c>
      <c r="N149" s="3">
        <f t="shared" si="75"/>
        <v>5.3976889971713508E-2</v>
      </c>
      <c r="O149" s="3">
        <f t="shared" si="75"/>
        <v>5.3976889971713508E-2</v>
      </c>
      <c r="P149" s="3">
        <f t="shared" si="75"/>
        <v>5.3976889971713508E-2</v>
      </c>
      <c r="Q149" s="3">
        <f t="shared" si="75"/>
        <v>5.3976889971713508E-2</v>
      </c>
      <c r="R149" s="3">
        <f t="shared" si="75"/>
        <v>5.3976889971713508E-2</v>
      </c>
      <c r="S149" s="3">
        <f t="shared" si="75"/>
        <v>5.3976889971713508E-2</v>
      </c>
      <c r="T149" s="3">
        <f t="shared" si="75"/>
        <v>5.3976889971713508E-2</v>
      </c>
      <c r="U149" s="3">
        <f t="shared" si="75"/>
        <v>5.3976889971713501E-2</v>
      </c>
      <c r="V149" s="3">
        <f t="shared" si="75"/>
        <v>5.397688997171346E-2</v>
      </c>
      <c r="W149" s="3">
        <f t="shared" si="75"/>
        <v>5.3976889971713009E-2</v>
      </c>
      <c r="X149" s="3">
        <f t="shared" si="75"/>
        <v>5.3976889971708533E-2</v>
      </c>
      <c r="Y149" s="3">
        <f t="shared" si="75"/>
        <v>5.3976889971663757E-2</v>
      </c>
      <c r="Z149" s="3">
        <f t="shared" si="75"/>
        <v>5.3976889971216024E-2</v>
      </c>
      <c r="AA149" s="3">
        <f t="shared" ref="AA149" si="76">$C35*EXP(-AA$129/$A35/EXP(-$B$126))</f>
        <v>5.3976889966738648E-2</v>
      </c>
      <c r="AB149" s="3">
        <f t="shared" si="67"/>
        <v>5.3976889921964873E-2</v>
      </c>
      <c r="AC149" s="3">
        <f t="shared" si="67"/>
        <v>5.3976889474227137E-2</v>
      </c>
      <c r="AD149" s="3">
        <f t="shared" si="67"/>
        <v>5.3976884996849987E-2</v>
      </c>
      <c r="AE149" s="3">
        <f t="shared" si="67"/>
        <v>5.3976840223098919E-2</v>
      </c>
      <c r="AF149" s="3">
        <f t="shared" si="67"/>
        <v>5.3976392487630948E-2</v>
      </c>
    </row>
    <row r="150" spans="1:32" x14ac:dyDescent="0.25">
      <c r="B150" s="3">
        <f t="shared" ref="B150:Z150" si="77">$C36*EXP(-B$129/$A36/EXP(-$B$126))</f>
        <v>2.9623895965477303E-2</v>
      </c>
      <c r="C150" s="3">
        <f t="shared" si="77"/>
        <v>2.9623895965477303E-2</v>
      </c>
      <c r="D150" s="3">
        <f t="shared" si="77"/>
        <v>2.9623895965477303E-2</v>
      </c>
      <c r="E150" s="3">
        <f t="shared" si="77"/>
        <v>2.9623895965477303E-2</v>
      </c>
      <c r="F150" s="3">
        <f t="shared" si="77"/>
        <v>2.9623895965477303E-2</v>
      </c>
      <c r="G150" s="3">
        <f t="shared" si="77"/>
        <v>2.9623895965477303E-2</v>
      </c>
      <c r="H150" s="3">
        <f t="shared" si="77"/>
        <v>2.9623895965477303E-2</v>
      </c>
      <c r="I150" s="3">
        <f t="shared" si="77"/>
        <v>2.9623895965477303E-2</v>
      </c>
      <c r="J150" s="3">
        <f t="shared" si="77"/>
        <v>2.9623895965477303E-2</v>
      </c>
      <c r="K150" s="3">
        <f t="shared" si="77"/>
        <v>2.9623895965477303E-2</v>
      </c>
      <c r="L150" s="3">
        <f t="shared" si="77"/>
        <v>2.9623895965477303E-2</v>
      </c>
      <c r="M150" s="3">
        <f t="shared" si="77"/>
        <v>2.9623895965477303E-2</v>
      </c>
      <c r="N150" s="3">
        <f t="shared" si="77"/>
        <v>2.9623895965477303E-2</v>
      </c>
      <c r="O150" s="3">
        <f t="shared" si="77"/>
        <v>2.9623895965477303E-2</v>
      </c>
      <c r="P150" s="3">
        <f t="shared" si="77"/>
        <v>2.9623895965477303E-2</v>
      </c>
      <c r="Q150" s="3">
        <f t="shared" si="77"/>
        <v>2.9623895965477303E-2</v>
      </c>
      <c r="R150" s="3">
        <f t="shared" si="77"/>
        <v>2.9623895965477303E-2</v>
      </c>
      <c r="S150" s="3">
        <f t="shared" si="77"/>
        <v>2.9623895965477303E-2</v>
      </c>
      <c r="T150" s="3">
        <f t="shared" si="77"/>
        <v>2.9623895965477303E-2</v>
      </c>
      <c r="U150" s="3">
        <f t="shared" si="77"/>
        <v>2.9623895965477303E-2</v>
      </c>
      <c r="V150" s="3">
        <f t="shared" si="77"/>
        <v>2.96238959654773E-2</v>
      </c>
      <c r="W150" s="3">
        <f t="shared" si="77"/>
        <v>2.9623895965477279E-2</v>
      </c>
      <c r="X150" s="3">
        <f t="shared" si="77"/>
        <v>2.9623895965477057E-2</v>
      </c>
      <c r="Y150" s="3">
        <f t="shared" si="77"/>
        <v>2.962389596547484E-2</v>
      </c>
      <c r="Z150" s="3">
        <f t="shared" si="77"/>
        <v>2.9623895965452673E-2</v>
      </c>
      <c r="AA150" s="3">
        <f t="shared" ref="AA150" si="78">$C36*EXP(-AA$129/$A36/EXP(-$B$126))</f>
        <v>2.9623895965231004E-2</v>
      </c>
      <c r="AB150" s="3">
        <f t="shared" si="67"/>
        <v>2.9623895963014315E-2</v>
      </c>
      <c r="AC150" s="3">
        <f t="shared" si="67"/>
        <v>2.9623895940847435E-2</v>
      </c>
      <c r="AD150" s="3">
        <f t="shared" si="67"/>
        <v>2.9623895719178617E-2</v>
      </c>
      <c r="AE150" s="3">
        <f t="shared" si="67"/>
        <v>2.9623893502490527E-2</v>
      </c>
      <c r="AF150" s="3">
        <f t="shared" si="67"/>
        <v>2.9623871335618765E-2</v>
      </c>
    </row>
    <row r="151" spans="1:32" x14ac:dyDescent="0.25">
      <c r="B151" s="3">
        <f t="shared" ref="B151:Z151" si="79">$C37*EXP(-B$129/$A37/EXP(-$B$126))</f>
        <v>1.5005107194779805E-2</v>
      </c>
      <c r="C151" s="3">
        <f t="shared" si="79"/>
        <v>1.5005107194779805E-2</v>
      </c>
      <c r="D151" s="3">
        <f t="shared" si="79"/>
        <v>1.5005107194779805E-2</v>
      </c>
      <c r="E151" s="3">
        <f t="shared" si="79"/>
        <v>1.5005107194779805E-2</v>
      </c>
      <c r="F151" s="3">
        <f t="shared" si="79"/>
        <v>1.5005107194779805E-2</v>
      </c>
      <c r="G151" s="3">
        <f t="shared" si="79"/>
        <v>1.5005107194779805E-2</v>
      </c>
      <c r="H151" s="3">
        <f t="shared" si="79"/>
        <v>1.5005107194779805E-2</v>
      </c>
      <c r="I151" s="3">
        <f t="shared" si="79"/>
        <v>1.5005107194779805E-2</v>
      </c>
      <c r="J151" s="3">
        <f t="shared" si="79"/>
        <v>1.5005107194779805E-2</v>
      </c>
      <c r="K151" s="3">
        <f t="shared" si="79"/>
        <v>1.5005107194779805E-2</v>
      </c>
      <c r="L151" s="3">
        <f t="shared" si="79"/>
        <v>1.5005107194779805E-2</v>
      </c>
      <c r="M151" s="3">
        <f t="shared" si="79"/>
        <v>1.5005107194779805E-2</v>
      </c>
      <c r="N151" s="3">
        <f t="shared" si="79"/>
        <v>1.5005107194779805E-2</v>
      </c>
      <c r="O151" s="3">
        <f t="shared" si="79"/>
        <v>1.5005107194779805E-2</v>
      </c>
      <c r="P151" s="3">
        <f t="shared" si="79"/>
        <v>1.5005107194779805E-2</v>
      </c>
      <c r="Q151" s="3">
        <f t="shared" si="79"/>
        <v>1.5005107194779805E-2</v>
      </c>
      <c r="R151" s="3">
        <f t="shared" si="79"/>
        <v>1.5005107194779805E-2</v>
      </c>
      <c r="S151" s="3">
        <f t="shared" si="79"/>
        <v>1.5005107194779805E-2</v>
      </c>
      <c r="T151" s="3">
        <f t="shared" si="79"/>
        <v>1.5005107194779805E-2</v>
      </c>
      <c r="U151" s="3">
        <f t="shared" si="79"/>
        <v>1.5005107194779805E-2</v>
      </c>
      <c r="V151" s="3">
        <f t="shared" si="79"/>
        <v>1.5005107194779805E-2</v>
      </c>
      <c r="W151" s="3">
        <f t="shared" si="79"/>
        <v>1.5005107194779804E-2</v>
      </c>
      <c r="X151" s="3">
        <f t="shared" si="79"/>
        <v>1.5005107194779793E-2</v>
      </c>
      <c r="Y151" s="3">
        <f t="shared" si="79"/>
        <v>1.5005107194779693E-2</v>
      </c>
      <c r="Z151" s="3">
        <f t="shared" si="79"/>
        <v>1.5005107194778679E-2</v>
      </c>
      <c r="AA151" s="3">
        <f t="shared" ref="AA151" si="80">$C37*EXP(-AA$129/$A37/EXP(-$B$126))</f>
        <v>1.5005107194768552E-2</v>
      </c>
      <c r="AB151" s="3">
        <f t="shared" si="67"/>
        <v>1.5005107194667265E-2</v>
      </c>
      <c r="AC151" s="3">
        <f t="shared" si="67"/>
        <v>1.5005107193654409E-2</v>
      </c>
      <c r="AD151" s="3">
        <f t="shared" si="67"/>
        <v>1.5005107183525839E-2</v>
      </c>
      <c r="AE151" s="3">
        <f t="shared" si="67"/>
        <v>1.500510708224014E-2</v>
      </c>
      <c r="AF151" s="3">
        <f t="shared" si="67"/>
        <v>1.50051060693832E-2</v>
      </c>
    </row>
    <row r="152" spans="1:32" x14ac:dyDescent="0.25">
      <c r="B152" s="3">
        <f t="shared" ref="B152:Z152" si="81">$C38*EXP(-B$129/$A38/EXP(-$B$126))</f>
        <v>4.0905508263932881E-3</v>
      </c>
      <c r="C152" s="3">
        <f t="shared" si="81"/>
        <v>4.0905508263932881E-3</v>
      </c>
      <c r="D152" s="3">
        <f t="shared" si="81"/>
        <v>4.0905508263932881E-3</v>
      </c>
      <c r="E152" s="3">
        <f t="shared" si="81"/>
        <v>4.0905508263932881E-3</v>
      </c>
      <c r="F152" s="3">
        <f t="shared" si="81"/>
        <v>4.0905508263932881E-3</v>
      </c>
      <c r="G152" s="3">
        <f t="shared" si="81"/>
        <v>4.0905508263932881E-3</v>
      </c>
      <c r="H152" s="3">
        <f t="shared" si="81"/>
        <v>4.0905508263932881E-3</v>
      </c>
      <c r="I152" s="3">
        <f t="shared" si="81"/>
        <v>4.0905508263932881E-3</v>
      </c>
      <c r="J152" s="3">
        <f t="shared" si="81"/>
        <v>4.0905508263932881E-3</v>
      </c>
      <c r="K152" s="3">
        <f t="shared" si="81"/>
        <v>4.0905508263932881E-3</v>
      </c>
      <c r="L152" s="3">
        <f t="shared" si="81"/>
        <v>4.0905508263932881E-3</v>
      </c>
      <c r="M152" s="3">
        <f t="shared" si="81"/>
        <v>4.0905508263932881E-3</v>
      </c>
      <c r="N152" s="3">
        <f t="shared" si="81"/>
        <v>4.0905508263932881E-3</v>
      </c>
      <c r="O152" s="3">
        <f t="shared" si="81"/>
        <v>4.0905508263932881E-3</v>
      </c>
      <c r="P152" s="3">
        <f t="shared" si="81"/>
        <v>4.0905508263932881E-3</v>
      </c>
      <c r="Q152" s="3">
        <f t="shared" si="81"/>
        <v>4.0905508263932881E-3</v>
      </c>
      <c r="R152" s="3">
        <f t="shared" si="81"/>
        <v>4.0905508263932881E-3</v>
      </c>
      <c r="S152" s="3">
        <f t="shared" si="81"/>
        <v>4.0905508263932881E-3</v>
      </c>
      <c r="T152" s="3">
        <f t="shared" si="81"/>
        <v>4.0905508263932881E-3</v>
      </c>
      <c r="U152" s="3">
        <f t="shared" si="81"/>
        <v>4.0905508263932881E-3</v>
      </c>
      <c r="V152" s="3">
        <f t="shared" si="81"/>
        <v>4.0905508263932881E-3</v>
      </c>
      <c r="W152" s="3">
        <f t="shared" si="81"/>
        <v>4.0905508263932881E-3</v>
      </c>
      <c r="X152" s="3">
        <f t="shared" si="81"/>
        <v>4.0905508263932872E-3</v>
      </c>
      <c r="Y152" s="3">
        <f t="shared" si="81"/>
        <v>4.0905508263932855E-3</v>
      </c>
      <c r="Z152" s="3">
        <f t="shared" si="81"/>
        <v>4.0905508263932603E-3</v>
      </c>
      <c r="AA152" s="3">
        <f t="shared" ref="AA152" si="82">$C38*EXP(-AA$129/$A38/EXP(-$B$126))</f>
        <v>4.0905508263930114E-3</v>
      </c>
      <c r="AB152" s="3">
        <f t="shared" si="67"/>
        <v>4.0905508263905203E-3</v>
      </c>
      <c r="AC152" s="3">
        <f t="shared" si="67"/>
        <v>4.0905508263656123E-3</v>
      </c>
      <c r="AD152" s="3">
        <f t="shared" si="67"/>
        <v>4.0905508261165329E-3</v>
      </c>
      <c r="AE152" s="3">
        <f t="shared" si="67"/>
        <v>4.0905508236257415E-3</v>
      </c>
      <c r="AF152" s="3">
        <f t="shared" si="67"/>
        <v>4.0905507987178246E-3</v>
      </c>
    </row>
    <row r="153" spans="1:32" x14ac:dyDescent="0.25">
      <c r="B153" s="3">
        <f t="shared" ref="B153:Z153" si="83">$C39*EXP(-B$129/$A39/EXP(-$B$126))</f>
        <v>4.6207327982835155E-3</v>
      </c>
      <c r="C153" s="3">
        <f t="shared" si="83"/>
        <v>4.6207327982835155E-3</v>
      </c>
      <c r="D153" s="3">
        <f t="shared" si="83"/>
        <v>4.6207327982835155E-3</v>
      </c>
      <c r="E153" s="3">
        <f t="shared" si="83"/>
        <v>4.6207327982835155E-3</v>
      </c>
      <c r="F153" s="3">
        <f t="shared" si="83"/>
        <v>4.6207327982835155E-3</v>
      </c>
      <c r="G153" s="3">
        <f t="shared" si="83"/>
        <v>4.6207327982835155E-3</v>
      </c>
      <c r="H153" s="3">
        <f t="shared" si="83"/>
        <v>4.6207327982835155E-3</v>
      </c>
      <c r="I153" s="3">
        <f t="shared" si="83"/>
        <v>4.6207327982835155E-3</v>
      </c>
      <c r="J153" s="3">
        <f t="shared" si="83"/>
        <v>4.6207327982835155E-3</v>
      </c>
      <c r="K153" s="3">
        <f t="shared" si="83"/>
        <v>4.6207327982835155E-3</v>
      </c>
      <c r="L153" s="3">
        <f t="shared" si="83"/>
        <v>4.6207327982835155E-3</v>
      </c>
      <c r="M153" s="3">
        <f t="shared" si="83"/>
        <v>4.6207327982835155E-3</v>
      </c>
      <c r="N153" s="3">
        <f t="shared" si="83"/>
        <v>4.6207327982835155E-3</v>
      </c>
      <c r="O153" s="3">
        <f t="shared" si="83"/>
        <v>4.6207327982835155E-3</v>
      </c>
      <c r="P153" s="3">
        <f t="shared" si="83"/>
        <v>4.6207327982835155E-3</v>
      </c>
      <c r="Q153" s="3">
        <f t="shared" si="83"/>
        <v>4.6207327982835155E-3</v>
      </c>
      <c r="R153" s="3">
        <f t="shared" si="83"/>
        <v>4.6207327982835155E-3</v>
      </c>
      <c r="S153" s="3">
        <f t="shared" si="83"/>
        <v>4.6207327982835155E-3</v>
      </c>
      <c r="T153" s="3">
        <f t="shared" si="83"/>
        <v>4.6207327982835155E-3</v>
      </c>
      <c r="U153" s="3">
        <f t="shared" si="83"/>
        <v>4.6207327982835155E-3</v>
      </c>
      <c r="V153" s="3">
        <f t="shared" si="83"/>
        <v>4.6207327982835155E-3</v>
      </c>
      <c r="W153" s="3">
        <f t="shared" si="83"/>
        <v>4.6207327982835155E-3</v>
      </c>
      <c r="X153" s="3">
        <f t="shared" si="83"/>
        <v>4.6207327982835155E-3</v>
      </c>
      <c r="Y153" s="3">
        <f t="shared" si="83"/>
        <v>4.6207327982835146E-3</v>
      </c>
      <c r="Z153" s="3">
        <f t="shared" si="83"/>
        <v>4.6207327982835068E-3</v>
      </c>
      <c r="AA153" s="3">
        <f t="shared" ref="AA153" si="84">$C39*EXP(-AA$129/$A39/EXP(-$B$126))</f>
        <v>4.6207327982834287E-3</v>
      </c>
      <c r="AB153" s="3">
        <f t="shared" si="67"/>
        <v>4.6207327982826507E-3</v>
      </c>
      <c r="AC153" s="3">
        <f t="shared" si="67"/>
        <v>4.6207327982748696E-3</v>
      </c>
      <c r="AD153" s="3">
        <f t="shared" si="67"/>
        <v>4.6207327981970508E-3</v>
      </c>
      <c r="AE153" s="3">
        <f t="shared" si="67"/>
        <v>4.6207327974188729E-3</v>
      </c>
      <c r="AF153" s="3">
        <f t="shared" si="67"/>
        <v>4.6207327896370855E-3</v>
      </c>
    </row>
    <row r="154" spans="1:32" x14ac:dyDescent="0.25">
      <c r="B154" s="3">
        <f t="shared" ref="B154:Z154" si="85">$C40*EXP(-B$129/$A40/EXP(-$B$126))</f>
        <v>2.0598839061917876E-3</v>
      </c>
      <c r="C154" s="3">
        <f t="shared" si="85"/>
        <v>2.0598839061917876E-3</v>
      </c>
      <c r="D154" s="3">
        <f t="shared" si="85"/>
        <v>2.0598839061917876E-3</v>
      </c>
      <c r="E154" s="3">
        <f t="shared" si="85"/>
        <v>2.0598839061917876E-3</v>
      </c>
      <c r="F154" s="3">
        <f t="shared" si="85"/>
        <v>2.0598839061917876E-3</v>
      </c>
      <c r="G154" s="3">
        <f t="shared" si="85"/>
        <v>2.0598839061917876E-3</v>
      </c>
      <c r="H154" s="3">
        <f t="shared" si="85"/>
        <v>2.0598839061917876E-3</v>
      </c>
      <c r="I154" s="3">
        <f t="shared" si="85"/>
        <v>2.0598839061917876E-3</v>
      </c>
      <c r="J154" s="3">
        <f t="shared" si="85"/>
        <v>2.0598839061917876E-3</v>
      </c>
      <c r="K154" s="3">
        <f t="shared" si="85"/>
        <v>2.0598839061917876E-3</v>
      </c>
      <c r="L154" s="3">
        <f t="shared" si="85"/>
        <v>2.0598839061917876E-3</v>
      </c>
      <c r="M154" s="3">
        <f t="shared" si="85"/>
        <v>2.0598839061917876E-3</v>
      </c>
      <c r="N154" s="3">
        <f t="shared" si="85"/>
        <v>2.0598839061917876E-3</v>
      </c>
      <c r="O154" s="3">
        <f t="shared" si="85"/>
        <v>2.0598839061917876E-3</v>
      </c>
      <c r="P154" s="3">
        <f t="shared" si="85"/>
        <v>2.0598839061917876E-3</v>
      </c>
      <c r="Q154" s="3">
        <f t="shared" si="85"/>
        <v>2.0598839061917876E-3</v>
      </c>
      <c r="R154" s="3">
        <f t="shared" si="85"/>
        <v>2.0598839061917876E-3</v>
      </c>
      <c r="S154" s="3">
        <f t="shared" si="85"/>
        <v>2.0598839061917876E-3</v>
      </c>
      <c r="T154" s="3">
        <f t="shared" si="85"/>
        <v>2.0598839061917876E-3</v>
      </c>
      <c r="U154" s="3">
        <f t="shared" si="85"/>
        <v>2.0598839061917876E-3</v>
      </c>
      <c r="V154" s="3">
        <f t="shared" si="85"/>
        <v>2.0598839061917876E-3</v>
      </c>
      <c r="W154" s="3">
        <f t="shared" si="85"/>
        <v>2.0598839061917876E-3</v>
      </c>
      <c r="X154" s="3">
        <f t="shared" si="85"/>
        <v>2.0598839061917876E-3</v>
      </c>
      <c r="Y154" s="3">
        <f t="shared" si="85"/>
        <v>2.0598839061917876E-3</v>
      </c>
      <c r="Z154" s="3">
        <f t="shared" si="85"/>
        <v>2.0598839061917872E-3</v>
      </c>
      <c r="AA154" s="3">
        <f t="shared" ref="AA154:AF154" si="86">$C40*EXP(-AA$129/$A40/EXP(-$B$126))</f>
        <v>2.0598839061917837E-3</v>
      </c>
      <c r="AB154" s="3">
        <f t="shared" si="86"/>
        <v>2.059883906191749E-3</v>
      </c>
      <c r="AC154" s="3">
        <f t="shared" si="86"/>
        <v>2.0598839061914021E-3</v>
      </c>
      <c r="AD154" s="3">
        <f t="shared" si="86"/>
        <v>2.0598839061879331E-3</v>
      </c>
      <c r="AE154" s="3">
        <f t="shared" si="86"/>
        <v>2.0598839061532425E-3</v>
      </c>
      <c r="AF154" s="3">
        <f t="shared" si="86"/>
        <v>2.0598839058063373E-3</v>
      </c>
    </row>
    <row r="155" spans="1:32" x14ac:dyDescent="0.25">
      <c r="B155" s="3">
        <f t="shared" ref="B155:Z155" si="87">$C41*EXP(-B$129/$A41/EXP(-$B$126))</f>
        <v>2.0793314772124174E-3</v>
      </c>
      <c r="C155" s="3">
        <f t="shared" si="87"/>
        <v>2.0793314772124174E-3</v>
      </c>
      <c r="D155" s="3">
        <f t="shared" si="87"/>
        <v>2.0793314772124174E-3</v>
      </c>
      <c r="E155" s="3">
        <f t="shared" si="87"/>
        <v>2.0793314772124174E-3</v>
      </c>
      <c r="F155" s="3">
        <f t="shared" si="87"/>
        <v>2.0793314772124174E-3</v>
      </c>
      <c r="G155" s="3">
        <f t="shared" si="87"/>
        <v>2.0793314772124174E-3</v>
      </c>
      <c r="H155" s="3">
        <f t="shared" si="87"/>
        <v>2.0793314772124174E-3</v>
      </c>
      <c r="I155" s="3">
        <f t="shared" si="87"/>
        <v>2.0793314772124174E-3</v>
      </c>
      <c r="J155" s="3">
        <f t="shared" si="87"/>
        <v>2.0793314772124174E-3</v>
      </c>
      <c r="K155" s="3">
        <f t="shared" si="87"/>
        <v>2.0793314772124174E-3</v>
      </c>
      <c r="L155" s="3">
        <f t="shared" si="87"/>
        <v>2.0793314772124174E-3</v>
      </c>
      <c r="M155" s="3">
        <f t="shared" si="87"/>
        <v>2.0793314772124174E-3</v>
      </c>
      <c r="N155" s="3">
        <f t="shared" si="87"/>
        <v>2.0793314772124174E-3</v>
      </c>
      <c r="O155" s="3">
        <f t="shared" si="87"/>
        <v>2.0793314772124174E-3</v>
      </c>
      <c r="P155" s="3">
        <f t="shared" si="87"/>
        <v>2.0793314772124174E-3</v>
      </c>
      <c r="Q155" s="3">
        <f t="shared" si="87"/>
        <v>2.0793314772124174E-3</v>
      </c>
      <c r="R155" s="3">
        <f t="shared" si="87"/>
        <v>2.0793314772124174E-3</v>
      </c>
      <c r="S155" s="3">
        <f t="shared" si="87"/>
        <v>2.0793314772124174E-3</v>
      </c>
      <c r="T155" s="3">
        <f t="shared" si="87"/>
        <v>2.0793314772124174E-3</v>
      </c>
      <c r="U155" s="3">
        <f t="shared" si="87"/>
        <v>2.0793314772124174E-3</v>
      </c>
      <c r="V155" s="3">
        <f t="shared" si="87"/>
        <v>2.0793314772124174E-3</v>
      </c>
      <c r="W155" s="3">
        <f t="shared" si="87"/>
        <v>2.0793314772124174E-3</v>
      </c>
      <c r="X155" s="3">
        <f t="shared" si="87"/>
        <v>2.0793314772124174E-3</v>
      </c>
      <c r="Y155" s="3">
        <f t="shared" si="87"/>
        <v>2.0793314772124174E-3</v>
      </c>
      <c r="Z155" s="3">
        <f t="shared" si="87"/>
        <v>2.0793314772124174E-3</v>
      </c>
      <c r="AA155" s="3">
        <f t="shared" ref="AA155:AF155" si="88">$C41*EXP(-AA$129/$A41/EXP(-$B$126))</f>
        <v>2.079331477212417E-3</v>
      </c>
      <c r="AB155" s="3">
        <f t="shared" si="88"/>
        <v>2.0793314772124135E-3</v>
      </c>
      <c r="AC155" s="3">
        <f t="shared" si="88"/>
        <v>2.0793314772123784E-3</v>
      </c>
      <c r="AD155" s="3">
        <f t="shared" si="88"/>
        <v>2.0793314772120284E-3</v>
      </c>
      <c r="AE155" s="3">
        <f t="shared" si="88"/>
        <v>2.0793314772085264E-3</v>
      </c>
      <c r="AF155" s="3">
        <f t="shared" si="88"/>
        <v>2.0793314771735084E-3</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2.538048611821601E-3</v>
      </c>
      <c r="C157" s="3">
        <f t="shared" si="91"/>
        <v>2.538048611821601E-3</v>
      </c>
      <c r="D157" s="3">
        <f t="shared" si="91"/>
        <v>2.538048611821601E-3</v>
      </c>
      <c r="E157" s="3">
        <f t="shared" si="91"/>
        <v>2.538048611821601E-3</v>
      </c>
      <c r="F157" s="3">
        <f t="shared" si="91"/>
        <v>2.538048611821601E-3</v>
      </c>
      <c r="G157" s="3">
        <f t="shared" si="91"/>
        <v>2.538048611821601E-3</v>
      </c>
      <c r="H157" s="3">
        <f t="shared" si="91"/>
        <v>2.538048611821601E-3</v>
      </c>
      <c r="I157" s="3">
        <f t="shared" si="91"/>
        <v>2.538048611821601E-3</v>
      </c>
      <c r="J157" s="3">
        <f t="shared" si="91"/>
        <v>2.538048611821601E-3</v>
      </c>
      <c r="K157" s="3">
        <f t="shared" si="91"/>
        <v>2.538048611821601E-3</v>
      </c>
      <c r="L157" s="3">
        <f t="shared" si="91"/>
        <v>2.538048611821601E-3</v>
      </c>
      <c r="M157" s="3">
        <f t="shared" si="91"/>
        <v>2.538048611821601E-3</v>
      </c>
      <c r="N157" s="3">
        <f t="shared" si="91"/>
        <v>2.538048611821601E-3</v>
      </c>
      <c r="O157" s="3">
        <f t="shared" si="91"/>
        <v>2.538048611821601E-3</v>
      </c>
      <c r="P157" s="3">
        <f t="shared" si="91"/>
        <v>2.538048611821601E-3</v>
      </c>
      <c r="Q157" s="3">
        <f t="shared" si="91"/>
        <v>2.538048611821601E-3</v>
      </c>
      <c r="R157" s="3">
        <f t="shared" si="91"/>
        <v>2.538048611821601E-3</v>
      </c>
      <c r="S157" s="3">
        <f t="shared" si="91"/>
        <v>2.538048611821601E-3</v>
      </c>
      <c r="T157" s="3">
        <f t="shared" si="91"/>
        <v>2.538048611821601E-3</v>
      </c>
      <c r="U157" s="3">
        <f t="shared" si="91"/>
        <v>2.538048611821601E-3</v>
      </c>
      <c r="V157" s="3">
        <f t="shared" si="91"/>
        <v>2.538048611821601E-3</v>
      </c>
      <c r="W157" s="3">
        <f t="shared" si="91"/>
        <v>2.538048611821601E-3</v>
      </c>
      <c r="X157" s="3">
        <f t="shared" si="91"/>
        <v>2.538048611821601E-3</v>
      </c>
      <c r="Y157" s="3">
        <f t="shared" si="91"/>
        <v>2.538048611821601E-3</v>
      </c>
      <c r="Z157" s="3">
        <f t="shared" si="91"/>
        <v>2.538048611821601E-3</v>
      </c>
      <c r="AA157" s="3">
        <f t="shared" ref="AA157:AF157" si="92">$C43*EXP(-AA$129/$A43/EXP(-$B$126))</f>
        <v>2.538048611821601E-3</v>
      </c>
      <c r="AB157" s="3">
        <f t="shared" si="92"/>
        <v>2.538048611821601E-3</v>
      </c>
      <c r="AC157" s="3">
        <f t="shared" si="92"/>
        <v>2.5380486118216005E-3</v>
      </c>
      <c r="AD157" s="3">
        <f t="shared" si="92"/>
        <v>2.5380486118215962E-3</v>
      </c>
      <c r="AE157" s="3">
        <f t="shared" si="92"/>
        <v>2.5380486118215533E-3</v>
      </c>
      <c r="AF157" s="3">
        <f t="shared" si="92"/>
        <v>2.5380486118211261E-3</v>
      </c>
    </row>
    <row r="158" spans="1:32" x14ac:dyDescent="0.25">
      <c r="B158" s="3">
        <f t="shared" ref="B158:Z158" si="93">$C44*EXP(-B$129/$A44/EXP(-$B$126))</f>
        <v>1.186723127453265E-7</v>
      </c>
      <c r="C158" s="3">
        <f t="shared" si="93"/>
        <v>1.186723127453265E-7</v>
      </c>
      <c r="D158" s="3">
        <f t="shared" si="93"/>
        <v>1.186723127453265E-7</v>
      </c>
      <c r="E158" s="3">
        <f t="shared" si="93"/>
        <v>1.186723127453265E-7</v>
      </c>
      <c r="F158" s="3">
        <f t="shared" si="93"/>
        <v>1.186723127453265E-7</v>
      </c>
      <c r="G158" s="3">
        <f t="shared" si="93"/>
        <v>1.186723127453265E-7</v>
      </c>
      <c r="H158" s="3">
        <f t="shared" si="93"/>
        <v>1.186723127453265E-7</v>
      </c>
      <c r="I158" s="3">
        <f t="shared" si="93"/>
        <v>1.186723127453265E-7</v>
      </c>
      <c r="J158" s="3">
        <f t="shared" si="93"/>
        <v>1.186723127453265E-7</v>
      </c>
      <c r="K158" s="3">
        <f t="shared" si="93"/>
        <v>1.186723127453265E-7</v>
      </c>
      <c r="L158" s="3">
        <f t="shared" si="93"/>
        <v>1.186723127453265E-7</v>
      </c>
      <c r="M158" s="3">
        <f t="shared" si="93"/>
        <v>1.186723127453265E-7</v>
      </c>
      <c r="N158" s="3">
        <f t="shared" si="93"/>
        <v>1.186723127453265E-7</v>
      </c>
      <c r="O158" s="3">
        <f t="shared" si="93"/>
        <v>1.186723127453265E-7</v>
      </c>
      <c r="P158" s="3">
        <f t="shared" si="93"/>
        <v>1.186723127453265E-7</v>
      </c>
      <c r="Q158" s="3">
        <f t="shared" si="93"/>
        <v>1.186723127453265E-7</v>
      </c>
      <c r="R158" s="3">
        <f t="shared" si="93"/>
        <v>1.186723127453265E-7</v>
      </c>
      <c r="S158" s="3">
        <f t="shared" si="93"/>
        <v>1.186723127453265E-7</v>
      </c>
      <c r="T158" s="3">
        <f t="shared" si="93"/>
        <v>1.186723127453265E-7</v>
      </c>
      <c r="U158" s="3">
        <f t="shared" si="93"/>
        <v>1.186723127453265E-7</v>
      </c>
      <c r="V158" s="3">
        <f t="shared" si="93"/>
        <v>1.186723127453265E-7</v>
      </c>
      <c r="W158" s="3">
        <f t="shared" si="93"/>
        <v>1.186723127453265E-7</v>
      </c>
      <c r="X158" s="3">
        <f t="shared" si="93"/>
        <v>1.186723127453265E-7</v>
      </c>
      <c r="Y158" s="3">
        <f t="shared" si="93"/>
        <v>1.186723127453265E-7</v>
      </c>
      <c r="Z158" s="3">
        <f t="shared" si="93"/>
        <v>1.186723127453265E-7</v>
      </c>
      <c r="AA158" s="3">
        <f t="shared" ref="AA158:AF158" si="94">$C44*EXP(-AA$129/$A44/EXP(-$B$126))</f>
        <v>1.186723127453265E-7</v>
      </c>
      <c r="AB158" s="3">
        <f t="shared" si="94"/>
        <v>1.186723127453265E-7</v>
      </c>
      <c r="AC158" s="3">
        <f t="shared" si="94"/>
        <v>1.186723127453265E-7</v>
      </c>
      <c r="AD158" s="3">
        <f t="shared" si="94"/>
        <v>1.1867231274532647E-7</v>
      </c>
      <c r="AE158" s="3">
        <f t="shared" si="94"/>
        <v>1.1867231274532627E-7</v>
      </c>
      <c r="AF158" s="3">
        <f t="shared" si="94"/>
        <v>1.1867231274532427E-7</v>
      </c>
    </row>
    <row r="159" spans="1:32" x14ac:dyDescent="0.25">
      <c r="A159" s="11" t="s">
        <v>75</v>
      </c>
      <c r="B159" s="3">
        <f t="shared" ref="B159:Z159" si="95">$C45*EXP(-B$129/$A45/EXP(-$B$126))</f>
        <v>1.5301760835243074E-4</v>
      </c>
      <c r="C159" s="3">
        <f t="shared" si="95"/>
        <v>1.5301760835243074E-4</v>
      </c>
      <c r="D159" s="3">
        <f t="shared" si="95"/>
        <v>1.5301760835243074E-4</v>
      </c>
      <c r="E159" s="3">
        <f t="shared" si="95"/>
        <v>1.5301760835243074E-4</v>
      </c>
      <c r="F159" s="3">
        <f t="shared" si="95"/>
        <v>1.5301760835243074E-4</v>
      </c>
      <c r="G159" s="3">
        <f t="shared" si="95"/>
        <v>1.5301760835243074E-4</v>
      </c>
      <c r="H159" s="3">
        <f t="shared" si="95"/>
        <v>1.5301760835243074E-4</v>
      </c>
      <c r="I159" s="3">
        <f t="shared" si="95"/>
        <v>1.5301760835243074E-4</v>
      </c>
      <c r="J159" s="3">
        <f t="shared" si="95"/>
        <v>1.5301760835243074E-4</v>
      </c>
      <c r="K159" s="3">
        <f t="shared" si="95"/>
        <v>1.5301760835243074E-4</v>
      </c>
      <c r="L159" s="3">
        <f t="shared" si="95"/>
        <v>1.5301760835243074E-4</v>
      </c>
      <c r="M159" s="3">
        <f t="shared" si="95"/>
        <v>1.5301760835243074E-4</v>
      </c>
      <c r="N159" s="3">
        <f t="shared" si="95"/>
        <v>1.5301760835243074E-4</v>
      </c>
      <c r="O159" s="3">
        <f t="shared" si="95"/>
        <v>1.5301760835243074E-4</v>
      </c>
      <c r="P159" s="3">
        <f t="shared" si="95"/>
        <v>1.5301760835243074E-4</v>
      </c>
      <c r="Q159" s="3">
        <f t="shared" si="95"/>
        <v>1.5301760835243074E-4</v>
      </c>
      <c r="R159" s="3">
        <f t="shared" si="95"/>
        <v>1.5301760835243074E-4</v>
      </c>
      <c r="S159" s="3">
        <f t="shared" si="95"/>
        <v>1.5301760835243074E-4</v>
      </c>
      <c r="T159" s="3">
        <f t="shared" si="95"/>
        <v>1.5301760835243074E-4</v>
      </c>
      <c r="U159" s="3">
        <f t="shared" si="95"/>
        <v>1.5301760835243074E-4</v>
      </c>
      <c r="V159" s="3">
        <f t="shared" si="95"/>
        <v>1.5301760835243074E-4</v>
      </c>
      <c r="W159" s="3">
        <f t="shared" si="95"/>
        <v>1.5301760835243074E-4</v>
      </c>
      <c r="X159" s="3">
        <f t="shared" si="95"/>
        <v>1.5301760835243074E-4</v>
      </c>
      <c r="Y159" s="3">
        <f t="shared" si="95"/>
        <v>1.5301760835243074E-4</v>
      </c>
      <c r="Z159" s="3">
        <f t="shared" si="95"/>
        <v>1.5301760835243074E-4</v>
      </c>
      <c r="AA159" s="3">
        <f t="shared" ref="AA159:AF159" si="96">$C45*EXP(-AA$129/$A45/EXP(-$B$126))</f>
        <v>1.5301760835243074E-4</v>
      </c>
      <c r="AB159" s="3">
        <f t="shared" si="96"/>
        <v>1.5301760835243074E-4</v>
      </c>
      <c r="AC159" s="3">
        <f t="shared" si="96"/>
        <v>1.5301760835243074E-4</v>
      </c>
      <c r="AD159" s="3">
        <f t="shared" si="96"/>
        <v>1.5301760835243074E-4</v>
      </c>
      <c r="AE159" s="3">
        <f t="shared" si="96"/>
        <v>1.5301760835243072E-4</v>
      </c>
      <c r="AF159" s="3">
        <f t="shared" si="96"/>
        <v>1.5301760835243045E-4</v>
      </c>
    </row>
    <row r="160" spans="1:32" x14ac:dyDescent="0.25">
      <c r="B160" s="3">
        <f t="shared" ref="B160:Z160" si="97">$C46*EXP(-B$129/$A46/EXP(-$B$126))</f>
        <v>1.8120582087099855E-4</v>
      </c>
      <c r="C160" s="3">
        <f t="shared" si="97"/>
        <v>1.8120582087099855E-4</v>
      </c>
      <c r="D160" s="3">
        <f t="shared" si="97"/>
        <v>1.8120582087099855E-4</v>
      </c>
      <c r="E160" s="3">
        <f t="shared" si="97"/>
        <v>1.8120582087099855E-4</v>
      </c>
      <c r="F160" s="3">
        <f t="shared" si="97"/>
        <v>1.8120582087099855E-4</v>
      </c>
      <c r="G160" s="3">
        <f t="shared" si="97"/>
        <v>1.8120582087099855E-4</v>
      </c>
      <c r="H160" s="3">
        <f t="shared" si="97"/>
        <v>1.8120582087099855E-4</v>
      </c>
      <c r="I160" s="3">
        <f t="shared" si="97"/>
        <v>1.8120582087099855E-4</v>
      </c>
      <c r="J160" s="3">
        <f t="shared" si="97"/>
        <v>1.8120582087099855E-4</v>
      </c>
      <c r="K160" s="3">
        <f t="shared" si="97"/>
        <v>1.8120582087099855E-4</v>
      </c>
      <c r="L160" s="3">
        <f t="shared" si="97"/>
        <v>1.8120582087099855E-4</v>
      </c>
      <c r="M160" s="3">
        <f t="shared" si="97"/>
        <v>1.8120582087099855E-4</v>
      </c>
      <c r="N160" s="3">
        <f t="shared" si="97"/>
        <v>1.8120582087099855E-4</v>
      </c>
      <c r="O160" s="3">
        <f t="shared" si="97"/>
        <v>1.8120582087099855E-4</v>
      </c>
      <c r="P160" s="3">
        <f t="shared" si="97"/>
        <v>1.8120582087099855E-4</v>
      </c>
      <c r="Q160" s="3">
        <f t="shared" si="97"/>
        <v>1.8120582087099855E-4</v>
      </c>
      <c r="R160" s="3">
        <f t="shared" si="97"/>
        <v>1.8120582087099855E-4</v>
      </c>
      <c r="S160" s="3">
        <f t="shared" si="97"/>
        <v>1.8120582087099855E-4</v>
      </c>
      <c r="T160" s="3">
        <f t="shared" si="97"/>
        <v>1.8120582087099855E-4</v>
      </c>
      <c r="U160" s="3">
        <f t="shared" si="97"/>
        <v>1.8120582087099855E-4</v>
      </c>
      <c r="V160" s="3">
        <f t="shared" si="97"/>
        <v>1.8120582087099855E-4</v>
      </c>
      <c r="W160" s="3">
        <f t="shared" si="97"/>
        <v>1.8120582087099855E-4</v>
      </c>
      <c r="X160" s="3">
        <f t="shared" si="97"/>
        <v>1.8120582087099855E-4</v>
      </c>
      <c r="Y160" s="3">
        <f t="shared" si="97"/>
        <v>1.8120582087099855E-4</v>
      </c>
      <c r="Z160" s="3">
        <f t="shared" si="97"/>
        <v>1.8120582087099855E-4</v>
      </c>
      <c r="AA160" s="3">
        <f t="shared" ref="AA160:AF160" si="98">$C46*EXP(-AA$129/$A46/EXP(-$B$126))</f>
        <v>1.8120582087099855E-4</v>
      </c>
      <c r="AB160" s="3">
        <f t="shared" si="98"/>
        <v>1.8120582087099855E-4</v>
      </c>
      <c r="AC160" s="3">
        <f t="shared" si="98"/>
        <v>1.8120582087099855E-4</v>
      </c>
      <c r="AD160" s="3">
        <f t="shared" si="98"/>
        <v>1.8120582087099855E-4</v>
      </c>
      <c r="AE160" s="3">
        <f t="shared" si="98"/>
        <v>1.8120582087099855E-4</v>
      </c>
      <c r="AF160" s="3">
        <f t="shared" si="98"/>
        <v>1.8120582087099852E-4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79">
        <f>AVERAGE(B163:AF163)</f>
        <v>0.15170442934197054</v>
      </c>
      <c r="B163" s="80">
        <f>IF($A$64&lt;=B129,IF($B$64&gt;=B129,ABS((B131-B130)/B130),0),0)</f>
        <v>1.4197810947806913E-2</v>
      </c>
      <c r="C163" s="80">
        <f t="shared" ref="C163:AF163" si="103">IF($A$64&lt;=C129,IF($B$64&gt;=C129,ABS((C131-C130)/C130),0),0)</f>
        <v>1.4207728184178179E-2</v>
      </c>
      <c r="D163" s="80">
        <f t="shared" si="103"/>
        <v>1.420256581876086E-2</v>
      </c>
      <c r="E163" s="80">
        <f t="shared" si="103"/>
        <v>1.4201207593987753E-2</v>
      </c>
      <c r="F163" s="80">
        <f t="shared" si="103"/>
        <v>1.4200819022555622E-2</v>
      </c>
      <c r="G163" s="80">
        <f t="shared" si="103"/>
        <v>1.4200729187245782E-2</v>
      </c>
      <c r="H163" s="80">
        <f t="shared" si="103"/>
        <v>1.4200989575891354E-2</v>
      </c>
      <c r="I163" s="80">
        <f t="shared" si="103"/>
        <v>1.4203969026834863E-2</v>
      </c>
      <c r="J163" s="80">
        <f t="shared" si="103"/>
        <v>1.423397652097602E-2</v>
      </c>
      <c r="K163" s="80">
        <f t="shared" si="103"/>
        <v>1.4533813481318507E-2</v>
      </c>
      <c r="L163" s="80">
        <f t="shared" si="103"/>
        <v>1.7504577647837628E-2</v>
      </c>
      <c r="M163" s="80">
        <f t="shared" si="103"/>
        <v>4.4614674130558626E-2</v>
      </c>
      <c r="N163" s="80">
        <f t="shared" si="103"/>
        <v>0.16490405156867244</v>
      </c>
      <c r="O163" s="80">
        <f t="shared" si="103"/>
        <v>0.19082252090089757</v>
      </c>
      <c r="P163" s="80">
        <f t="shared" si="103"/>
        <v>0.17947780027765792</v>
      </c>
      <c r="Q163" s="80">
        <f t="shared" si="103"/>
        <v>0.15995147049540612</v>
      </c>
      <c r="R163" s="80">
        <f t="shared" si="103"/>
        <v>0.14544170211511712</v>
      </c>
      <c r="S163" s="80">
        <f t="shared" si="103"/>
        <v>0.1322938754421549</v>
      </c>
      <c r="T163" s="80">
        <f t="shared" si="103"/>
        <v>0.13307234956113145</v>
      </c>
      <c r="U163" s="80">
        <f t="shared" si="103"/>
        <v>0.1519005411991074</v>
      </c>
      <c r="V163" s="80">
        <f t="shared" si="103"/>
        <v>0.14095140706916703</v>
      </c>
      <c r="W163" s="80">
        <f t="shared" si="103"/>
        <v>8.7005333972832957E-2</v>
      </c>
      <c r="X163" s="80">
        <f t="shared" si="103"/>
        <v>2.7470373739136269E-2</v>
      </c>
      <c r="Y163" s="80">
        <f t="shared" si="103"/>
        <v>0.15342066742372207</v>
      </c>
      <c r="Z163" s="80">
        <f t="shared" si="103"/>
        <v>0.26008159280100501</v>
      </c>
      <c r="AA163" s="80">
        <f t="shared" si="103"/>
        <v>0.34812575094433473</v>
      </c>
      <c r="AB163" s="80">
        <f t="shared" si="103"/>
        <v>0.4199098398195622</v>
      </c>
      <c r="AC163" s="80">
        <f t="shared" si="103"/>
        <v>0.46115607404475623</v>
      </c>
      <c r="AD163" s="80">
        <f t="shared" si="103"/>
        <v>0.46996535518512744</v>
      </c>
      <c r="AE163" s="80">
        <f t="shared" si="103"/>
        <v>0.45920791904659081</v>
      </c>
      <c r="AF163" s="80">
        <f t="shared" si="103"/>
        <v>0.41317582285675464</v>
      </c>
    </row>
    <row r="164" spans="1:34" x14ac:dyDescent="0.25">
      <c r="B164" s="21">
        <f>(B131-B130)^2</f>
        <v>10141.841770446779</v>
      </c>
      <c r="C164" s="21">
        <f t="shared" ref="C164:AF164" si="104">(C131-C130)^2</f>
        <v>10156.219308570895</v>
      </c>
      <c r="D164" s="21">
        <f t="shared" si="104"/>
        <v>10148.733848863905</v>
      </c>
      <c r="E164" s="21">
        <f t="shared" si="104"/>
        <v>10146.764880620107</v>
      </c>
      <c r="F164" s="21">
        <f t="shared" si="104"/>
        <v>10146.20155906236</v>
      </c>
      <c r="G164" s="21">
        <f t="shared" si="104"/>
        <v>10146.070720942931</v>
      </c>
      <c r="H164" s="21">
        <f t="shared" si="104"/>
        <v>10146.441984367586</v>
      </c>
      <c r="I164" s="21">
        <f t="shared" si="104"/>
        <v>10150.699503416447</v>
      </c>
      <c r="J164" s="21">
        <f t="shared" si="104"/>
        <v>10193.633317479804</v>
      </c>
      <c r="K164" s="21">
        <f t="shared" si="104"/>
        <v>10627.607478786453</v>
      </c>
      <c r="L164" s="21">
        <f t="shared" si="104"/>
        <v>15416.218879084556</v>
      </c>
      <c r="M164" s="21">
        <f t="shared" si="104"/>
        <v>100141.1487919525</v>
      </c>
      <c r="N164" s="21">
        <f t="shared" si="104"/>
        <v>1367560.4204412806</v>
      </c>
      <c r="O164" s="21">
        <f t="shared" si="104"/>
        <v>1824263.4787516494</v>
      </c>
      <c r="P164" s="21">
        <f t="shared" si="104"/>
        <v>1569474.8606118232</v>
      </c>
      <c r="Q164" s="21">
        <f t="shared" si="104"/>
        <v>1189208.7275709591</v>
      </c>
      <c r="R164" s="21">
        <f t="shared" si="104"/>
        <v>949627.83110381046</v>
      </c>
      <c r="S164" s="21">
        <f t="shared" si="104"/>
        <v>758101.94243278541</v>
      </c>
      <c r="T164" s="21">
        <f t="shared" si="104"/>
        <v>736564.66221625125</v>
      </c>
      <c r="U164" s="21">
        <f t="shared" si="104"/>
        <v>912707.50872983551</v>
      </c>
      <c r="V164" s="21">
        <f t="shared" si="104"/>
        <v>718994.84769253957</v>
      </c>
      <c r="W164" s="21">
        <f t="shared" si="104"/>
        <v>220203.75521207566</v>
      </c>
      <c r="X164" s="21">
        <f t="shared" si="104"/>
        <v>15811.446573711683</v>
      </c>
      <c r="Y164" s="21">
        <f t="shared" si="104"/>
        <v>360701.35397401487</v>
      </c>
      <c r="Z164" s="21">
        <f t="shared" si="104"/>
        <v>800088.65655763005</v>
      </c>
      <c r="AA164" s="21">
        <f t="shared" si="104"/>
        <v>1148907.133402989</v>
      </c>
      <c r="AB164" s="21">
        <f t="shared" si="104"/>
        <v>1380974.2627089438</v>
      </c>
      <c r="AC164" s="21">
        <f t="shared" si="104"/>
        <v>1427118.9362328553</v>
      </c>
      <c r="AD164" s="21">
        <f t="shared" si="104"/>
        <v>1302287.1293856776</v>
      </c>
      <c r="AE164" s="21">
        <f t="shared" si="104"/>
        <v>1100915.5539671704</v>
      </c>
      <c r="AF164" s="21">
        <f t="shared" si="104"/>
        <v>798219.81307765015</v>
      </c>
    </row>
    <row r="165" spans="1:34" x14ac:dyDescent="0.25">
      <c r="A165" s="71">
        <f>SUM(B165:AF165)</f>
        <v>18799293.902687248</v>
      </c>
      <c r="B165" s="60">
        <f>IF($A$64&lt;=B129,IF($B$64&gt;=B129,ABS(B164),0),0)</f>
        <v>10141.841770446779</v>
      </c>
      <c r="C165" s="60">
        <f t="shared" ref="C165:AF165" si="105">IF($A$64&lt;=C129,IF($B$64&gt;=C129,ABS(C164),0),0)</f>
        <v>10156.219308570895</v>
      </c>
      <c r="D165" s="60">
        <f t="shared" si="105"/>
        <v>10148.733848863905</v>
      </c>
      <c r="E165" s="60">
        <f t="shared" si="105"/>
        <v>10146.764880620107</v>
      </c>
      <c r="F165" s="60">
        <f t="shared" si="105"/>
        <v>10146.20155906236</v>
      </c>
      <c r="G165" s="60">
        <f t="shared" si="105"/>
        <v>10146.070720942931</v>
      </c>
      <c r="H165" s="60">
        <f t="shared" si="105"/>
        <v>10146.441984367586</v>
      </c>
      <c r="I165" s="60">
        <f t="shared" si="105"/>
        <v>10150.699503416447</v>
      </c>
      <c r="J165" s="60">
        <f t="shared" si="105"/>
        <v>10193.633317479804</v>
      </c>
      <c r="K165" s="60">
        <f t="shared" si="105"/>
        <v>10627.607478786453</v>
      </c>
      <c r="L165" s="60">
        <f t="shared" si="105"/>
        <v>15416.218879084556</v>
      </c>
      <c r="M165" s="60">
        <f t="shared" si="105"/>
        <v>100141.1487919525</v>
      </c>
      <c r="N165" s="60">
        <f t="shared" si="105"/>
        <v>1367560.4204412806</v>
      </c>
      <c r="O165" s="60">
        <f t="shared" si="105"/>
        <v>1824263.4787516494</v>
      </c>
      <c r="P165" s="60">
        <f t="shared" si="105"/>
        <v>1569474.8606118232</v>
      </c>
      <c r="Q165" s="60">
        <f t="shared" si="105"/>
        <v>1189208.7275709591</v>
      </c>
      <c r="R165" s="60">
        <f t="shared" si="105"/>
        <v>949627.83110381046</v>
      </c>
      <c r="S165" s="60">
        <f t="shared" si="105"/>
        <v>758101.94243278541</v>
      </c>
      <c r="T165" s="60">
        <f t="shared" si="105"/>
        <v>736564.66221625125</v>
      </c>
      <c r="U165" s="60">
        <f t="shared" si="105"/>
        <v>912707.50872983551</v>
      </c>
      <c r="V165" s="60">
        <f t="shared" si="105"/>
        <v>718994.84769253957</v>
      </c>
      <c r="W165" s="60">
        <f t="shared" si="105"/>
        <v>220203.75521207566</v>
      </c>
      <c r="X165" s="60">
        <f t="shared" si="105"/>
        <v>15811.446573711683</v>
      </c>
      <c r="Y165" s="60">
        <f t="shared" si="105"/>
        <v>360701.35397401487</v>
      </c>
      <c r="Z165" s="60">
        <f t="shared" si="105"/>
        <v>800088.65655763005</v>
      </c>
      <c r="AA165" s="60">
        <f t="shared" si="105"/>
        <v>1148907.133402989</v>
      </c>
      <c r="AB165" s="60">
        <f t="shared" si="105"/>
        <v>1380974.2627089438</v>
      </c>
      <c r="AC165" s="60">
        <f t="shared" si="105"/>
        <v>1427118.9362328553</v>
      </c>
      <c r="AD165" s="60">
        <f t="shared" si="105"/>
        <v>1302287.1293856776</v>
      </c>
      <c r="AE165" s="60">
        <f t="shared" si="105"/>
        <v>1100915.5539671704</v>
      </c>
      <c r="AF165" s="60">
        <f t="shared" si="105"/>
        <v>798219.81307765015</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6992.4086313797916</v>
      </c>
      <c r="C170" s="27">
        <f t="shared" ref="C170:AF170" si="106">($C$17+SUM(C171:C201))*$B$51</f>
        <v>6992.4080137980945</v>
      </c>
      <c r="D170" s="27">
        <f t="shared" si="106"/>
        <v>6992.4018379977078</v>
      </c>
      <c r="E170" s="27">
        <f t="shared" si="106"/>
        <v>6992.340081652098</v>
      </c>
      <c r="F170" s="27">
        <f t="shared" si="106"/>
        <v>6991.7226839918076</v>
      </c>
      <c r="G170" s="27">
        <f t="shared" si="106"/>
        <v>6985.5652570601133</v>
      </c>
      <c r="H170" s="27">
        <f t="shared" si="106"/>
        <v>6925.6164465121947</v>
      </c>
      <c r="I170" s="27">
        <f t="shared" si="106"/>
        <v>6462.7795502866056</v>
      </c>
      <c r="J170" s="27">
        <f t="shared" si="106"/>
        <v>5732.9819130051583</v>
      </c>
      <c r="K170" s="27">
        <f t="shared" si="106"/>
        <v>5727.4023661169031</v>
      </c>
      <c r="L170" s="27">
        <f t="shared" si="106"/>
        <v>5727.358024382409</v>
      </c>
      <c r="M170" s="27">
        <f t="shared" si="106"/>
        <v>5726.9149009785197</v>
      </c>
      <c r="N170" s="27">
        <f t="shared" si="106"/>
        <v>5722.5129258675397</v>
      </c>
      <c r="O170" s="27">
        <f t="shared" si="106"/>
        <v>5681.2884607186043</v>
      </c>
      <c r="P170" s="27">
        <f t="shared" si="106"/>
        <v>5453.3669151622462</v>
      </c>
      <c r="Q170" s="27">
        <f t="shared" si="106"/>
        <v>5265.4418786411379</v>
      </c>
      <c r="R170" s="27">
        <f t="shared" si="106"/>
        <v>5056.7689832396745</v>
      </c>
      <c r="S170" s="27">
        <f t="shared" si="106"/>
        <v>4823.586490981018</v>
      </c>
      <c r="T170" s="27">
        <f t="shared" si="106"/>
        <v>4620.7042067966677</v>
      </c>
      <c r="U170" s="27">
        <f t="shared" si="106"/>
        <v>4438.0754959279893</v>
      </c>
      <c r="V170" s="27">
        <f t="shared" si="106"/>
        <v>4256.6694822095897</v>
      </c>
      <c r="W170" s="27">
        <f t="shared" si="106"/>
        <v>4076.7804430035258</v>
      </c>
      <c r="X170" s="27">
        <f t="shared" si="106"/>
        <v>3896.441892685255</v>
      </c>
      <c r="Y170" s="27">
        <f t="shared" si="106"/>
        <v>3696.6923590787064</v>
      </c>
      <c r="Z170" s="27">
        <f t="shared" si="106"/>
        <v>3470.7735013423694</v>
      </c>
      <c r="AA170" s="27">
        <f t="shared" si="106"/>
        <v>3218.0460207623728</v>
      </c>
      <c r="AB170" s="27">
        <f t="shared" si="106"/>
        <v>2919.1685908026679</v>
      </c>
      <c r="AC170" s="27">
        <f t="shared" si="106"/>
        <v>2549.555923256336</v>
      </c>
      <c r="AD170" s="27">
        <f t="shared" si="106"/>
        <v>1999.6285377127776</v>
      </c>
      <c r="AE170" s="27">
        <f t="shared" si="106"/>
        <v>1392.9426404396711</v>
      </c>
      <c r="AF170" s="27">
        <f t="shared" si="106"/>
        <v>897.49978711616654</v>
      </c>
      <c r="AG170" s="27"/>
      <c r="AH170" s="27"/>
    </row>
    <row r="171" spans="1:34" x14ac:dyDescent="0.25">
      <c r="B171" s="3">
        <f t="shared" ref="B171:AF171" si="107">$C18*EXP(-B$168/$A18/EXP(-$C$126))</f>
        <v>0.18091066931963715</v>
      </c>
      <c r="C171" s="3">
        <f t="shared" si="107"/>
        <v>0.18091058099790436</v>
      </c>
      <c r="D171" s="3">
        <f t="shared" si="107"/>
        <v>0.18090969778294821</v>
      </c>
      <c r="E171" s="3">
        <f t="shared" si="107"/>
        <v>0.18090086587053791</v>
      </c>
      <c r="F171" s="3">
        <f t="shared" si="107"/>
        <v>0.1808125704572642</v>
      </c>
      <c r="G171" s="3">
        <f t="shared" si="107"/>
        <v>0.17993198313000394</v>
      </c>
      <c r="H171" s="3">
        <f t="shared" si="107"/>
        <v>0.17135857034973864</v>
      </c>
      <c r="I171" s="3">
        <f t="shared" si="107"/>
        <v>0.10516723747175762</v>
      </c>
      <c r="J171" s="3">
        <f t="shared" si="107"/>
        <v>7.9730929067824033E-4</v>
      </c>
      <c r="K171" s="3">
        <f t="shared" si="107"/>
        <v>5.0013864356237045E-25</v>
      </c>
      <c r="L171" s="3">
        <f t="shared" si="107"/>
        <v>4.717656146114221E-237</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4.8747329106715323E-2</v>
      </c>
      <c r="C172" s="3">
        <f t="shared" si="108"/>
        <v>4.8747329106709217E-2</v>
      </c>
      <c r="D172" s="3">
        <f t="shared" si="108"/>
        <v>4.8747329106648259E-2</v>
      </c>
      <c r="E172" s="3">
        <f t="shared" si="108"/>
        <v>4.8747329106038649E-2</v>
      </c>
      <c r="F172" s="3">
        <f t="shared" si="108"/>
        <v>4.8747329099942484E-2</v>
      </c>
      <c r="G172" s="3">
        <f t="shared" si="108"/>
        <v>4.8747329038980901E-2</v>
      </c>
      <c r="H172" s="3">
        <f t="shared" si="108"/>
        <v>4.8747328429365071E-2</v>
      </c>
      <c r="I172" s="3">
        <f t="shared" si="108"/>
        <v>4.8747322333207145E-2</v>
      </c>
      <c r="J172" s="3">
        <f t="shared" si="108"/>
        <v>4.8747261371669799E-2</v>
      </c>
      <c r="K172" s="3">
        <f t="shared" si="108"/>
        <v>4.874665176048941E-2</v>
      </c>
      <c r="L172" s="3">
        <f t="shared" si="108"/>
        <v>4.8740556067963403E-2</v>
      </c>
      <c r="M172" s="3">
        <f t="shared" si="108"/>
        <v>4.8679641051104269E-2</v>
      </c>
      <c r="N172" s="3">
        <f t="shared" si="108"/>
        <v>4.8074662395946821E-2</v>
      </c>
      <c r="O172" s="3">
        <f t="shared" si="108"/>
        <v>4.2423354087605059E-2</v>
      </c>
      <c r="P172" s="3">
        <f t="shared" si="108"/>
        <v>1.2147658923705536E-2</v>
      </c>
      <c r="Q172" s="3">
        <f t="shared" si="108"/>
        <v>4.5016162093187822E-8</v>
      </c>
      <c r="R172" s="3">
        <f t="shared" si="108"/>
        <v>2.1985038496252631E-62</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1.8089335916325201E-2</v>
      </c>
      <c r="C173" s="3">
        <f t="shared" si="109"/>
        <v>1.8089335916324997E-2</v>
      </c>
      <c r="D173" s="3">
        <f t="shared" si="109"/>
        <v>1.8089335916322953E-2</v>
      </c>
      <c r="E173" s="3">
        <f t="shared" si="109"/>
        <v>1.8089335916302549E-2</v>
      </c>
      <c r="F173" s="3">
        <f t="shared" si="109"/>
        <v>1.808933591609848E-2</v>
      </c>
      <c r="G173" s="3">
        <f t="shared" si="109"/>
        <v>1.80893359140578E-2</v>
      </c>
      <c r="H173" s="3">
        <f t="shared" si="109"/>
        <v>1.8089335893651016E-2</v>
      </c>
      <c r="I173" s="3">
        <f t="shared" si="109"/>
        <v>1.8089335689583146E-2</v>
      </c>
      <c r="J173" s="3">
        <f t="shared" si="109"/>
        <v>1.8089333648904585E-2</v>
      </c>
      <c r="K173" s="3">
        <f t="shared" si="109"/>
        <v>1.8089313242131651E-2</v>
      </c>
      <c r="L173" s="3">
        <f t="shared" si="109"/>
        <v>1.8089109175668441E-2</v>
      </c>
      <c r="M173" s="3">
        <f t="shared" si="109"/>
        <v>1.8087068637646694E-2</v>
      </c>
      <c r="N173" s="3">
        <f t="shared" si="109"/>
        <v>1.8066675913180445E-2</v>
      </c>
      <c r="O173" s="3">
        <f t="shared" si="109"/>
        <v>1.7864008977017148E-2</v>
      </c>
      <c r="P173" s="3">
        <f t="shared" si="109"/>
        <v>1.59582649206172E-2</v>
      </c>
      <c r="Q173" s="3">
        <f t="shared" si="109"/>
        <v>5.1647950432514257E-3</v>
      </c>
      <c r="R173" s="3">
        <f t="shared" si="109"/>
        <v>6.5121936496570245E-8</v>
      </c>
      <c r="S173" s="3">
        <f t="shared" si="109"/>
        <v>6.6140801280172429E-57</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3.7553125741215825E-2</v>
      </c>
      <c r="C174" s="3">
        <f t="shared" si="110"/>
        <v>3.755312574121579E-2</v>
      </c>
      <c r="D174" s="3">
        <f t="shared" si="110"/>
        <v>3.7553125741215408E-2</v>
      </c>
      <c r="E174" s="3">
        <f t="shared" si="110"/>
        <v>3.7553125741211585E-2</v>
      </c>
      <c r="F174" s="3">
        <f t="shared" si="110"/>
        <v>3.7553125741173365E-2</v>
      </c>
      <c r="G174" s="3">
        <f t="shared" si="110"/>
        <v>3.7553125740791213E-2</v>
      </c>
      <c r="H174" s="3">
        <f t="shared" si="110"/>
        <v>3.7553125736969617E-2</v>
      </c>
      <c r="I174" s="3">
        <f t="shared" si="110"/>
        <v>3.7553125698753666E-2</v>
      </c>
      <c r="J174" s="3">
        <f t="shared" si="110"/>
        <v>3.7553125316594139E-2</v>
      </c>
      <c r="K174" s="3">
        <f t="shared" si="110"/>
        <v>3.7553121494999106E-2</v>
      </c>
      <c r="L174" s="3">
        <f t="shared" si="110"/>
        <v>3.7553083279070212E-2</v>
      </c>
      <c r="M174" s="3">
        <f t="shared" si="110"/>
        <v>3.7552701121920232E-2</v>
      </c>
      <c r="N174" s="3">
        <f t="shared" si="110"/>
        <v>3.7548879764309144E-2</v>
      </c>
      <c r="O174" s="3">
        <f t="shared" si="110"/>
        <v>3.7510687569015273E-2</v>
      </c>
      <c r="P174" s="3">
        <f t="shared" si="110"/>
        <v>3.7130895669119091E-2</v>
      </c>
      <c r="Q174" s="3">
        <f t="shared" si="110"/>
        <v>3.3538175341971378E-2</v>
      </c>
      <c r="R174" s="3">
        <f t="shared" si="110"/>
        <v>1.2122145337202656E-2</v>
      </c>
      <c r="S174" s="3">
        <f t="shared" si="110"/>
        <v>4.6129637681355102E-7</v>
      </c>
      <c r="T174" s="3">
        <f t="shared" si="110"/>
        <v>2.9375523328481908E-51</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3.4655462333825049E-2</v>
      </c>
      <c r="C175" s="3">
        <f t="shared" si="111"/>
        <v>3.4655462333825042E-2</v>
      </c>
      <c r="D175" s="3">
        <f t="shared" si="111"/>
        <v>3.4655462333825014E-2</v>
      </c>
      <c r="E175" s="3">
        <f t="shared" si="111"/>
        <v>3.4655462333824695E-2</v>
      </c>
      <c r="F175" s="3">
        <f t="shared" si="111"/>
        <v>3.465546233382151E-2</v>
      </c>
      <c r="G175" s="3">
        <f t="shared" si="111"/>
        <v>3.4655462333789702E-2</v>
      </c>
      <c r="H175" s="3">
        <f t="shared" si="111"/>
        <v>3.4655462333471561E-2</v>
      </c>
      <c r="I175" s="3">
        <f t="shared" si="111"/>
        <v>3.4655462330290168E-2</v>
      </c>
      <c r="J175" s="3">
        <f t="shared" si="111"/>
        <v>3.4655462298476276E-2</v>
      </c>
      <c r="K175" s="3">
        <f t="shared" si="111"/>
        <v>3.4655461980337289E-2</v>
      </c>
      <c r="L175" s="3">
        <f t="shared" si="111"/>
        <v>3.4655458798947651E-2</v>
      </c>
      <c r="M175" s="3">
        <f t="shared" si="111"/>
        <v>3.4655426985067316E-2</v>
      </c>
      <c r="N175" s="3">
        <f t="shared" si="111"/>
        <v>3.4655108847870202E-2</v>
      </c>
      <c r="O175" s="3">
        <f t="shared" si="111"/>
        <v>3.4651927636522285E-2</v>
      </c>
      <c r="P175" s="3">
        <f t="shared" si="111"/>
        <v>3.4620131579912505E-2</v>
      </c>
      <c r="Q175" s="3">
        <f t="shared" si="111"/>
        <v>3.4303771260209191E-2</v>
      </c>
      <c r="R175" s="3">
        <f t="shared" si="111"/>
        <v>3.1294888175793505E-2</v>
      </c>
      <c r="S175" s="3">
        <f t="shared" si="111"/>
        <v>1.2496510739495511E-2</v>
      </c>
      <c r="T175" s="3">
        <f t="shared" si="111"/>
        <v>1.2880786855480118E-6</v>
      </c>
      <c r="U175" s="3">
        <f t="shared" si="111"/>
        <v>1.7437276909995891E-46</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2.8039973666806786E-2</v>
      </c>
      <c r="C176" s="3">
        <f t="shared" si="112"/>
        <v>2.8039973666806786E-2</v>
      </c>
      <c r="D176" s="3">
        <f t="shared" si="112"/>
        <v>2.8039973666806783E-2</v>
      </c>
      <c r="E176" s="3">
        <f t="shared" si="112"/>
        <v>2.8039973666806762E-2</v>
      </c>
      <c r="F176" s="3">
        <f t="shared" si="112"/>
        <v>2.8039973666806529E-2</v>
      </c>
      <c r="G176" s="3">
        <f t="shared" si="112"/>
        <v>2.8039973666804205E-2</v>
      </c>
      <c r="H176" s="3">
        <f t="shared" si="112"/>
        <v>2.8039973666780984E-2</v>
      </c>
      <c r="I176" s="3">
        <f t="shared" si="112"/>
        <v>2.8039973666548781E-2</v>
      </c>
      <c r="J176" s="3">
        <f t="shared" si="112"/>
        <v>2.8039973664226742E-2</v>
      </c>
      <c r="K176" s="3">
        <f t="shared" si="112"/>
        <v>2.8039973641006358E-2</v>
      </c>
      <c r="L176" s="3">
        <f t="shared" si="112"/>
        <v>2.8039973408802529E-2</v>
      </c>
      <c r="M176" s="3">
        <f t="shared" si="112"/>
        <v>2.8039971086764329E-2</v>
      </c>
      <c r="N176" s="3">
        <f t="shared" si="112"/>
        <v>2.8039947866392897E-2</v>
      </c>
      <c r="O176" s="3">
        <f t="shared" si="112"/>
        <v>2.8039715663736194E-2</v>
      </c>
      <c r="P176" s="3">
        <f t="shared" si="112"/>
        <v>2.8037393742926138E-2</v>
      </c>
      <c r="Q176" s="3">
        <f t="shared" si="112"/>
        <v>2.8014185107284512E-2</v>
      </c>
      <c r="R176" s="3">
        <f t="shared" si="112"/>
        <v>2.7783152764487996E-2</v>
      </c>
      <c r="S176" s="3">
        <f t="shared" si="112"/>
        <v>2.5575071459838995E-2</v>
      </c>
      <c r="T176" s="3">
        <f t="shared" si="112"/>
        <v>1.1173008924228412E-2</v>
      </c>
      <c r="U176" s="3">
        <f t="shared" si="112"/>
        <v>2.8294566439584277E-6</v>
      </c>
      <c r="V176" s="3">
        <f t="shared" si="112"/>
        <v>3.0692482926938205E-42</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2.6812375730219603E-2</v>
      </c>
      <c r="C177" s="3">
        <f t="shared" si="113"/>
        <v>2.6812375730219603E-2</v>
      </c>
      <c r="D177" s="3">
        <f t="shared" si="113"/>
        <v>2.6812375730219603E-2</v>
      </c>
      <c r="E177" s="3">
        <f t="shared" si="113"/>
        <v>2.6812375730219599E-2</v>
      </c>
      <c r="F177" s="3">
        <f t="shared" si="113"/>
        <v>2.6812375730219582E-2</v>
      </c>
      <c r="G177" s="3">
        <f t="shared" si="113"/>
        <v>2.6812375730219381E-2</v>
      </c>
      <c r="H177" s="3">
        <f t="shared" si="113"/>
        <v>2.6812375730217376E-2</v>
      </c>
      <c r="I177" s="3">
        <f t="shared" si="113"/>
        <v>2.681237573019735E-2</v>
      </c>
      <c r="J177" s="3">
        <f t="shared" si="113"/>
        <v>2.6812375729997052E-2</v>
      </c>
      <c r="K177" s="3">
        <f t="shared" si="113"/>
        <v>2.6812375727994085E-2</v>
      </c>
      <c r="L177" s="3">
        <f t="shared" si="113"/>
        <v>2.6812375707964423E-2</v>
      </c>
      <c r="M177" s="3">
        <f t="shared" si="113"/>
        <v>2.6812375507667782E-2</v>
      </c>
      <c r="N177" s="3">
        <f t="shared" si="113"/>
        <v>2.6812373504701451E-2</v>
      </c>
      <c r="O177" s="3">
        <f t="shared" si="113"/>
        <v>2.6812353475046395E-2</v>
      </c>
      <c r="P177" s="3">
        <f t="shared" si="113"/>
        <v>2.6812153179318791E-2</v>
      </c>
      <c r="Q177" s="3">
        <f t="shared" si="113"/>
        <v>2.6810150304335475E-2</v>
      </c>
      <c r="R177" s="3">
        <f t="shared" si="113"/>
        <v>2.6790129781499673E-2</v>
      </c>
      <c r="S177" s="3">
        <f t="shared" si="113"/>
        <v>2.6590744983464924E-2</v>
      </c>
      <c r="T177" s="3">
        <f t="shared" si="113"/>
        <v>2.4676716957119579E-2</v>
      </c>
      <c r="U177" s="3">
        <f t="shared" si="113"/>
        <v>1.1691120247448811E-2</v>
      </c>
      <c r="V177" s="3">
        <f t="shared" si="113"/>
        <v>6.6610639646982963E-6</v>
      </c>
      <c r="W177" s="3">
        <f t="shared" si="113"/>
        <v>2.4011449121374295E-38</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2.7632018567144069E-2</v>
      </c>
      <c r="C178" s="3">
        <f t="shared" si="114"/>
        <v>2.7632018567144069E-2</v>
      </c>
      <c r="D178" s="3">
        <f t="shared" si="114"/>
        <v>2.7632018567144069E-2</v>
      </c>
      <c r="E178" s="3">
        <f t="shared" si="114"/>
        <v>2.7632018567144069E-2</v>
      </c>
      <c r="F178" s="3">
        <f t="shared" si="114"/>
        <v>2.7632018567144066E-2</v>
      </c>
      <c r="G178" s="3">
        <f t="shared" si="114"/>
        <v>2.7632018567144048E-2</v>
      </c>
      <c r="H178" s="3">
        <f t="shared" si="114"/>
        <v>2.7632018567143864E-2</v>
      </c>
      <c r="I178" s="3">
        <f t="shared" si="114"/>
        <v>2.7632018567142001E-2</v>
      </c>
      <c r="J178" s="3">
        <f t="shared" si="114"/>
        <v>2.7632018567123381E-2</v>
      </c>
      <c r="K178" s="3">
        <f t="shared" si="114"/>
        <v>2.7632018566937172E-2</v>
      </c>
      <c r="L178" s="3">
        <f t="shared" si="114"/>
        <v>2.7632018565075096E-2</v>
      </c>
      <c r="M178" s="3">
        <f t="shared" si="114"/>
        <v>2.7632018546454327E-2</v>
      </c>
      <c r="N178" s="3">
        <f t="shared" si="114"/>
        <v>2.7632018360246653E-2</v>
      </c>
      <c r="O178" s="3">
        <f t="shared" si="114"/>
        <v>2.7632016498169994E-2</v>
      </c>
      <c r="P178" s="3">
        <f t="shared" si="114"/>
        <v>2.7631997877410285E-2</v>
      </c>
      <c r="Q178" s="3">
        <f t="shared" si="114"/>
        <v>2.7631811670503353E-2</v>
      </c>
      <c r="R178" s="3">
        <f t="shared" si="114"/>
        <v>2.7629949670447389E-2</v>
      </c>
      <c r="S178" s="3">
        <f t="shared" si="114"/>
        <v>2.7611336569503667E-2</v>
      </c>
      <c r="T178" s="3">
        <f t="shared" si="114"/>
        <v>2.7425893804425443E-2</v>
      </c>
      <c r="U178" s="3">
        <f t="shared" si="114"/>
        <v>2.5638605036155095E-2</v>
      </c>
      <c r="V178" s="3">
        <f t="shared" si="114"/>
        <v>1.3068640533194958E-2</v>
      </c>
      <c r="W178" s="3">
        <f t="shared" si="114"/>
        <v>1.5473573264874626E-5</v>
      </c>
      <c r="X178" s="3">
        <f t="shared" si="114"/>
        <v>8.3790088157407622E-35</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2.5920837907154132E-2</v>
      </c>
      <c r="C179" s="3">
        <f t="shared" si="115"/>
        <v>2.5920837907154132E-2</v>
      </c>
      <c r="D179" s="3">
        <f t="shared" si="115"/>
        <v>2.5920837907154132E-2</v>
      </c>
      <c r="E179" s="3">
        <f t="shared" si="115"/>
        <v>2.5920837907154132E-2</v>
      </c>
      <c r="F179" s="3">
        <f t="shared" si="115"/>
        <v>2.5920837907154132E-2</v>
      </c>
      <c r="G179" s="3">
        <f t="shared" si="115"/>
        <v>2.5920837907154128E-2</v>
      </c>
      <c r="H179" s="3">
        <f t="shared" si="115"/>
        <v>2.5920837907154114E-2</v>
      </c>
      <c r="I179" s="3">
        <f t="shared" si="115"/>
        <v>2.5920837907153955E-2</v>
      </c>
      <c r="J179" s="3">
        <f t="shared" si="115"/>
        <v>2.5920837907152383E-2</v>
      </c>
      <c r="K179" s="3">
        <f t="shared" si="115"/>
        <v>2.5920837907136625E-2</v>
      </c>
      <c r="L179" s="3">
        <f t="shared" si="115"/>
        <v>2.592083790697905E-2</v>
      </c>
      <c r="M179" s="3">
        <f t="shared" si="115"/>
        <v>2.5920837905403327E-2</v>
      </c>
      <c r="N179" s="3">
        <f t="shared" si="115"/>
        <v>2.5920837889646071E-2</v>
      </c>
      <c r="O179" s="3">
        <f t="shared" si="115"/>
        <v>2.5920837732073512E-2</v>
      </c>
      <c r="P179" s="3">
        <f t="shared" si="115"/>
        <v>2.5920836156347972E-2</v>
      </c>
      <c r="Q179" s="3">
        <f t="shared" si="115"/>
        <v>2.5920820399097863E-2</v>
      </c>
      <c r="R179" s="3">
        <f t="shared" si="115"/>
        <v>2.5920662827123617E-2</v>
      </c>
      <c r="S179" s="3">
        <f t="shared" si="115"/>
        <v>2.5919087160063331E-2</v>
      </c>
      <c r="T179" s="3">
        <f t="shared" si="115"/>
        <v>2.5903335756496657E-2</v>
      </c>
      <c r="U179" s="3">
        <f t="shared" si="115"/>
        <v>2.5746347241695701E-2</v>
      </c>
      <c r="V179" s="3">
        <f t="shared" si="115"/>
        <v>2.4227851138849902E-2</v>
      </c>
      <c r="W179" s="3">
        <f t="shared" si="115"/>
        <v>1.3191908781862065E-2</v>
      </c>
      <c r="X179" s="3">
        <f t="shared" si="115"/>
        <v>3.021586767568306E-5</v>
      </c>
      <c r="Y179" s="3">
        <f t="shared" si="115"/>
        <v>1.2009069903358988E-31</v>
      </c>
      <c r="Z179" s="3">
        <f t="shared" si="115"/>
        <v>1.1810068095390846E-295</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2.7391939908773026E-2</v>
      </c>
      <c r="C180" s="3">
        <f t="shared" si="116"/>
        <v>2.7391939908773026E-2</v>
      </c>
      <c r="D180" s="3">
        <f t="shared" si="116"/>
        <v>2.7391939908773026E-2</v>
      </c>
      <c r="E180" s="3">
        <f t="shared" si="116"/>
        <v>2.7391939908773026E-2</v>
      </c>
      <c r="F180" s="3">
        <f t="shared" si="116"/>
        <v>2.7391939908773026E-2</v>
      </c>
      <c r="G180" s="3">
        <f t="shared" si="116"/>
        <v>2.7391939908773026E-2</v>
      </c>
      <c r="H180" s="3">
        <f t="shared" si="116"/>
        <v>2.7391939908773023E-2</v>
      </c>
      <c r="I180" s="3">
        <f t="shared" si="116"/>
        <v>2.7391939908773012E-2</v>
      </c>
      <c r="J180" s="3">
        <f t="shared" si="116"/>
        <v>2.739193990877286E-2</v>
      </c>
      <c r="K180" s="3">
        <f t="shared" si="116"/>
        <v>2.7391939908771357E-2</v>
      </c>
      <c r="L180" s="3">
        <f t="shared" si="116"/>
        <v>2.7391939908756338E-2</v>
      </c>
      <c r="M180" s="3">
        <f t="shared" si="116"/>
        <v>2.7391939908606125E-2</v>
      </c>
      <c r="N180" s="3">
        <f t="shared" si="116"/>
        <v>2.7391939907104017E-2</v>
      </c>
      <c r="O180" s="3">
        <f t="shared" si="116"/>
        <v>2.7391939892082946E-2</v>
      </c>
      <c r="P180" s="3">
        <f t="shared" si="116"/>
        <v>2.7391939741872224E-2</v>
      </c>
      <c r="Q180" s="3">
        <f t="shared" si="116"/>
        <v>2.7391938239765049E-2</v>
      </c>
      <c r="R180" s="3">
        <f t="shared" si="116"/>
        <v>2.7391923218697847E-2</v>
      </c>
      <c r="S180" s="3">
        <f t="shared" si="116"/>
        <v>2.7391773008478844E-2</v>
      </c>
      <c r="T180" s="3">
        <f t="shared" si="116"/>
        <v>2.7390270951592334E-2</v>
      </c>
      <c r="U180" s="3">
        <f t="shared" si="116"/>
        <v>2.7375254912160498E-2</v>
      </c>
      <c r="V180" s="3">
        <f t="shared" si="116"/>
        <v>2.7225546543496324E-2</v>
      </c>
      <c r="W180" s="3">
        <f t="shared" si="116"/>
        <v>2.5772761564597083E-2</v>
      </c>
      <c r="X180" s="3">
        <f t="shared" si="116"/>
        <v>1.4893763277106887E-2</v>
      </c>
      <c r="Y180" s="3">
        <f t="shared" si="116"/>
        <v>6.1864193573775433E-5</v>
      </c>
      <c r="Z180" s="3">
        <f t="shared" si="116"/>
        <v>9.457763469541346E-29</v>
      </c>
      <c r="AA180" s="3">
        <f t="shared" si="116"/>
        <v>6.5959806437075582E-267</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3.256547684040112E-2</v>
      </c>
      <c r="C181" s="3">
        <f t="shared" si="117"/>
        <v>3.256547684040112E-2</v>
      </c>
      <c r="D181" s="3">
        <f t="shared" si="117"/>
        <v>3.256547684040112E-2</v>
      </c>
      <c r="E181" s="3">
        <f t="shared" si="117"/>
        <v>3.256547684040112E-2</v>
      </c>
      <c r="F181" s="3">
        <f t="shared" si="117"/>
        <v>3.256547684040112E-2</v>
      </c>
      <c r="G181" s="3">
        <f t="shared" si="117"/>
        <v>3.256547684040112E-2</v>
      </c>
      <c r="H181" s="3">
        <f t="shared" si="117"/>
        <v>3.256547684040112E-2</v>
      </c>
      <c r="I181" s="3">
        <f t="shared" si="117"/>
        <v>3.256547684040112E-2</v>
      </c>
      <c r="J181" s="3">
        <f t="shared" si="117"/>
        <v>3.2565476840401099E-2</v>
      </c>
      <c r="K181" s="3">
        <f t="shared" si="117"/>
        <v>3.2565476840400939E-2</v>
      </c>
      <c r="L181" s="3">
        <f t="shared" si="117"/>
        <v>3.2565476840399329E-2</v>
      </c>
      <c r="M181" s="3">
        <f t="shared" si="117"/>
        <v>3.2565476840383217E-2</v>
      </c>
      <c r="N181" s="3">
        <f t="shared" si="117"/>
        <v>3.2565476840222124E-2</v>
      </c>
      <c r="O181" s="3">
        <f t="shared" si="117"/>
        <v>3.2565476838611176E-2</v>
      </c>
      <c r="P181" s="3">
        <f t="shared" si="117"/>
        <v>3.2565476822501674E-2</v>
      </c>
      <c r="Q181" s="3">
        <f t="shared" si="117"/>
        <v>3.2565476661406627E-2</v>
      </c>
      <c r="R181" s="3">
        <f t="shared" si="117"/>
        <v>3.2565475050456247E-2</v>
      </c>
      <c r="S181" s="3">
        <f t="shared" si="117"/>
        <v>3.2565458940956818E-2</v>
      </c>
      <c r="T181" s="3">
        <f t="shared" si="117"/>
        <v>3.2565297846400817E-2</v>
      </c>
      <c r="U181" s="3">
        <f t="shared" si="117"/>
        <v>3.2563686944669719E-2</v>
      </c>
      <c r="V181" s="3">
        <f t="shared" si="117"/>
        <v>3.2547582309448625E-2</v>
      </c>
      <c r="W181" s="3">
        <f t="shared" si="117"/>
        <v>3.2386973365226675E-2</v>
      </c>
      <c r="X181" s="3">
        <f t="shared" si="117"/>
        <v>3.0823834609466295E-2</v>
      </c>
      <c r="Y181" s="3">
        <f t="shared" si="117"/>
        <v>1.8795318166351081E-2</v>
      </c>
      <c r="Z181" s="3">
        <f t="shared" si="117"/>
        <v>1.3356105559770884E-4</v>
      </c>
      <c r="AA181" s="3">
        <f t="shared" si="117"/>
        <v>4.3851197014569924E-26</v>
      </c>
      <c r="AB181" s="3">
        <f t="shared" si="117"/>
        <v>6.3825989049399306E-241</v>
      </c>
      <c r="AC181" s="3">
        <f t="shared" si="117"/>
        <v>0</v>
      </c>
      <c r="AD181" s="3">
        <f t="shared" si="117"/>
        <v>0</v>
      </c>
      <c r="AE181" s="3">
        <f t="shared" si="117"/>
        <v>0</v>
      </c>
      <c r="AF181" s="3">
        <f t="shared" si="117"/>
        <v>0</v>
      </c>
      <c r="AG181" s="3"/>
      <c r="AH181" s="3"/>
    </row>
    <row r="182" spans="2:34" x14ac:dyDescent="0.25">
      <c r="B182" s="3">
        <f t="shared" ref="B182:AF182" si="118">$C29*EXP(-B$168/$A29/EXP(-$C$126))</f>
        <v>3.4198379990015168E-2</v>
      </c>
      <c r="C182" s="3">
        <f t="shared" si="118"/>
        <v>3.4198379990015168E-2</v>
      </c>
      <c r="D182" s="3">
        <f t="shared" si="118"/>
        <v>3.4198379990015168E-2</v>
      </c>
      <c r="E182" s="3">
        <f t="shared" si="118"/>
        <v>3.4198379990015168E-2</v>
      </c>
      <c r="F182" s="3">
        <f t="shared" si="118"/>
        <v>3.4198379990015168E-2</v>
      </c>
      <c r="G182" s="3">
        <f t="shared" si="118"/>
        <v>3.4198379990015168E-2</v>
      </c>
      <c r="H182" s="3">
        <f t="shared" si="118"/>
        <v>3.4198379990015168E-2</v>
      </c>
      <c r="I182" s="3">
        <f t="shared" si="118"/>
        <v>3.4198379990015168E-2</v>
      </c>
      <c r="J182" s="3">
        <f t="shared" si="118"/>
        <v>3.4198379990015168E-2</v>
      </c>
      <c r="K182" s="3">
        <f t="shared" si="118"/>
        <v>3.4198379990015154E-2</v>
      </c>
      <c r="L182" s="3">
        <f t="shared" si="118"/>
        <v>3.4198379990014995E-2</v>
      </c>
      <c r="M182" s="3">
        <f t="shared" si="118"/>
        <v>3.4198379990013468E-2</v>
      </c>
      <c r="N182" s="3">
        <f t="shared" si="118"/>
        <v>3.4198379989998209E-2</v>
      </c>
      <c r="O182" s="3">
        <f t="shared" si="118"/>
        <v>3.4198379989845602E-2</v>
      </c>
      <c r="P182" s="3">
        <f t="shared" si="118"/>
        <v>3.4198379988319524E-2</v>
      </c>
      <c r="Q182" s="3">
        <f t="shared" si="118"/>
        <v>3.4198379973058739E-2</v>
      </c>
      <c r="R182" s="3">
        <f t="shared" si="118"/>
        <v>3.4198379820450896E-2</v>
      </c>
      <c r="S182" s="3">
        <f t="shared" si="118"/>
        <v>3.4198378294372486E-2</v>
      </c>
      <c r="T182" s="3">
        <f t="shared" si="118"/>
        <v>3.4198363033592138E-2</v>
      </c>
      <c r="U182" s="3">
        <f t="shared" si="118"/>
        <v>3.4198210426163222E-2</v>
      </c>
      <c r="V182" s="3">
        <f t="shared" si="118"/>
        <v>3.4196684389328408E-2</v>
      </c>
      <c r="W182" s="3">
        <f t="shared" si="118"/>
        <v>3.4181427765802533E-2</v>
      </c>
      <c r="X182" s="3">
        <f t="shared" si="118"/>
        <v>3.4029235395195707E-2</v>
      </c>
      <c r="Y182" s="3">
        <f t="shared" si="118"/>
        <v>3.2544088165758295E-2</v>
      </c>
      <c r="Z182" s="3">
        <f t="shared" si="118"/>
        <v>2.0829136958024297E-2</v>
      </c>
      <c r="AA182" s="3">
        <f t="shared" si="118"/>
        <v>2.4024975512142957E-4</v>
      </c>
      <c r="AB182" s="3">
        <f t="shared" si="118"/>
        <v>1.0013357791586659E-23</v>
      </c>
      <c r="AC182" s="3">
        <f t="shared" si="118"/>
        <v>1.5839721510151008E-217</v>
      </c>
      <c r="AD182" s="3">
        <f t="shared" si="118"/>
        <v>0</v>
      </c>
      <c r="AE182" s="3">
        <f t="shared" si="118"/>
        <v>0</v>
      </c>
      <c r="AF182" s="3">
        <f t="shared" si="118"/>
        <v>0</v>
      </c>
      <c r="AG182" s="3"/>
      <c r="AH182" s="3"/>
    </row>
    <row r="183" spans="2:34" x14ac:dyDescent="0.25">
      <c r="B183" s="3">
        <f t="shared" ref="B183:AF183" si="119">$C30*EXP(-B$168/$A30/EXP(-$C$126))</f>
        <v>4.2864410475860253E-2</v>
      </c>
      <c r="C183" s="3">
        <f t="shared" si="119"/>
        <v>4.2864410475860253E-2</v>
      </c>
      <c r="D183" s="3">
        <f t="shared" si="119"/>
        <v>4.2864410475860253E-2</v>
      </c>
      <c r="E183" s="3">
        <f t="shared" si="119"/>
        <v>4.2864410475860253E-2</v>
      </c>
      <c r="F183" s="3">
        <f t="shared" si="119"/>
        <v>4.2864410475860253E-2</v>
      </c>
      <c r="G183" s="3">
        <f t="shared" si="119"/>
        <v>4.2864410475860253E-2</v>
      </c>
      <c r="H183" s="3">
        <f t="shared" si="119"/>
        <v>4.2864410475860253E-2</v>
      </c>
      <c r="I183" s="3">
        <f t="shared" si="119"/>
        <v>4.2864410475860253E-2</v>
      </c>
      <c r="J183" s="3">
        <f t="shared" si="119"/>
        <v>4.2864410475860253E-2</v>
      </c>
      <c r="K183" s="3">
        <f t="shared" si="119"/>
        <v>4.2864410475860253E-2</v>
      </c>
      <c r="L183" s="3">
        <f t="shared" si="119"/>
        <v>4.2864410475860232E-2</v>
      </c>
      <c r="M183" s="3">
        <f t="shared" si="119"/>
        <v>4.2864410475860065E-2</v>
      </c>
      <c r="N183" s="3">
        <f t="shared" si="119"/>
        <v>4.2864410475858337E-2</v>
      </c>
      <c r="O183" s="3">
        <f t="shared" si="119"/>
        <v>4.286441047584108E-2</v>
      </c>
      <c r="P183" s="3">
        <f t="shared" si="119"/>
        <v>4.2864410475668531E-2</v>
      </c>
      <c r="Q183" s="3">
        <f t="shared" si="119"/>
        <v>4.2864410473943029E-2</v>
      </c>
      <c r="R183" s="3">
        <f t="shared" si="119"/>
        <v>4.286441045668804E-2</v>
      </c>
      <c r="S183" s="3">
        <f t="shared" si="119"/>
        <v>4.2864410284138114E-2</v>
      </c>
      <c r="T183" s="3">
        <f t="shared" si="119"/>
        <v>4.286440855863892E-2</v>
      </c>
      <c r="U183" s="3">
        <f t="shared" si="119"/>
        <v>4.2864391303650759E-2</v>
      </c>
      <c r="V183" s="3">
        <f t="shared" si="119"/>
        <v>4.2864218754151216E-2</v>
      </c>
      <c r="W183" s="3">
        <f t="shared" si="119"/>
        <v>4.286249329735798E-2</v>
      </c>
      <c r="X183" s="3">
        <f t="shared" si="119"/>
        <v>4.2845242549075062E-2</v>
      </c>
      <c r="Y183" s="3">
        <f t="shared" si="119"/>
        <v>4.2673116462895087E-2</v>
      </c>
      <c r="Z183" s="3">
        <f t="shared" si="119"/>
        <v>4.0989433267792953E-2</v>
      </c>
      <c r="AA183" s="3">
        <f t="shared" si="119"/>
        <v>2.740611276617554E-2</v>
      </c>
      <c r="AB183" s="3">
        <f t="shared" si="119"/>
        <v>4.8933097436630612E-4</v>
      </c>
      <c r="AC183" s="3">
        <f t="shared" si="119"/>
        <v>1.6112219725918871E-21</v>
      </c>
      <c r="AD183" s="3">
        <f t="shared" si="119"/>
        <v>2.4136931717878485E-196</v>
      </c>
      <c r="AE183" s="3">
        <f t="shared" si="119"/>
        <v>0</v>
      </c>
      <c r="AF183" s="3">
        <f t="shared" si="119"/>
        <v>0</v>
      </c>
      <c r="AG183" s="3"/>
      <c r="AH183" s="3"/>
    </row>
    <row r="184" spans="2:34" x14ac:dyDescent="0.25">
      <c r="B184" s="3">
        <f t="shared" ref="B184:AF184" si="120">$C31*EXP(-B$168/$A31/EXP(-$C$126))</f>
        <v>4.3714566142705795E-2</v>
      </c>
      <c r="C184" s="3">
        <f t="shared" si="120"/>
        <v>4.3714566142705795E-2</v>
      </c>
      <c r="D184" s="3">
        <f t="shared" si="120"/>
        <v>4.3714566142705795E-2</v>
      </c>
      <c r="E184" s="3">
        <f t="shared" si="120"/>
        <v>4.3714566142705795E-2</v>
      </c>
      <c r="F184" s="3">
        <f t="shared" si="120"/>
        <v>4.3714566142705795E-2</v>
      </c>
      <c r="G184" s="3">
        <f t="shared" si="120"/>
        <v>4.3714566142705795E-2</v>
      </c>
      <c r="H184" s="3">
        <f t="shared" si="120"/>
        <v>4.3714566142705795E-2</v>
      </c>
      <c r="I184" s="3">
        <f t="shared" si="120"/>
        <v>4.3714566142705795E-2</v>
      </c>
      <c r="J184" s="3">
        <f t="shared" si="120"/>
        <v>4.3714566142705795E-2</v>
      </c>
      <c r="K184" s="3">
        <f t="shared" si="120"/>
        <v>4.3714566142705795E-2</v>
      </c>
      <c r="L184" s="3">
        <f t="shared" si="120"/>
        <v>4.3714566142705795E-2</v>
      </c>
      <c r="M184" s="3">
        <f t="shared" si="120"/>
        <v>4.3714566142705774E-2</v>
      </c>
      <c r="N184" s="3">
        <f t="shared" si="120"/>
        <v>4.3714566142705621E-2</v>
      </c>
      <c r="O184" s="3">
        <f t="shared" si="120"/>
        <v>4.3714566142704032E-2</v>
      </c>
      <c r="P184" s="3">
        <f t="shared" si="120"/>
        <v>4.3714566142688156E-2</v>
      </c>
      <c r="Q184" s="3">
        <f t="shared" si="120"/>
        <v>4.3714566142529415E-2</v>
      </c>
      <c r="R184" s="3">
        <f t="shared" si="120"/>
        <v>4.3714566140942004E-2</v>
      </c>
      <c r="S184" s="3">
        <f t="shared" si="120"/>
        <v>4.3714566125067841E-2</v>
      </c>
      <c r="T184" s="3">
        <f t="shared" si="120"/>
        <v>4.3714565966326273E-2</v>
      </c>
      <c r="U184" s="3">
        <f t="shared" si="120"/>
        <v>4.3714564378910567E-2</v>
      </c>
      <c r="V184" s="3">
        <f t="shared" si="120"/>
        <v>4.3714548504756749E-2</v>
      </c>
      <c r="W184" s="3">
        <f t="shared" si="120"/>
        <v>4.3714389763535609E-2</v>
      </c>
      <c r="X184" s="3">
        <f t="shared" si="120"/>
        <v>4.3712802383027952E-2</v>
      </c>
      <c r="Y184" s="3">
        <f t="shared" si="120"/>
        <v>4.3696931747906044E-2</v>
      </c>
      <c r="Z184" s="3">
        <f t="shared" si="120"/>
        <v>4.3538541966651072E-2</v>
      </c>
      <c r="AA184" s="3">
        <f t="shared" si="120"/>
        <v>4.1985879910622685E-2</v>
      </c>
      <c r="AB184" s="3">
        <f t="shared" si="120"/>
        <v>2.9200954012049401E-2</v>
      </c>
      <c r="AC184" s="3">
        <f t="shared" si="120"/>
        <v>7.7327656942400604E-4</v>
      </c>
      <c r="AD184" s="3">
        <f t="shared" si="120"/>
        <v>1.3113329039327092E-19</v>
      </c>
      <c r="AE184" s="3">
        <f t="shared" si="120"/>
        <v>2.5792535341409808E-177</v>
      </c>
      <c r="AF184" s="3">
        <f t="shared" si="120"/>
        <v>0</v>
      </c>
      <c r="AG184" s="3"/>
      <c r="AH184" s="3"/>
    </row>
    <row r="185" spans="2:34" x14ac:dyDescent="0.25">
      <c r="B185" s="3">
        <f t="shared" ref="B185:AF185" si="121">$C32*EXP(-B$168/$A32/EXP(-$C$126))</f>
        <v>7.7757179566671539E-2</v>
      </c>
      <c r="C185" s="3">
        <f t="shared" si="121"/>
        <v>7.7757179566671539E-2</v>
      </c>
      <c r="D185" s="3">
        <f t="shared" si="121"/>
        <v>7.7757179566671539E-2</v>
      </c>
      <c r="E185" s="3">
        <f t="shared" si="121"/>
        <v>7.7757179566671539E-2</v>
      </c>
      <c r="F185" s="3">
        <f t="shared" si="121"/>
        <v>7.7757179566671539E-2</v>
      </c>
      <c r="G185" s="3">
        <f t="shared" si="121"/>
        <v>7.7757179566671539E-2</v>
      </c>
      <c r="H185" s="3">
        <f t="shared" si="121"/>
        <v>7.7757179566671539E-2</v>
      </c>
      <c r="I185" s="3">
        <f t="shared" si="121"/>
        <v>7.7757179566671539E-2</v>
      </c>
      <c r="J185" s="3">
        <f t="shared" si="121"/>
        <v>7.7757179566671539E-2</v>
      </c>
      <c r="K185" s="3">
        <f t="shared" si="121"/>
        <v>7.7757179566671539E-2</v>
      </c>
      <c r="L185" s="3">
        <f t="shared" si="121"/>
        <v>7.7757179566671539E-2</v>
      </c>
      <c r="M185" s="3">
        <f t="shared" si="121"/>
        <v>7.7757179566671539E-2</v>
      </c>
      <c r="N185" s="3">
        <f t="shared" si="121"/>
        <v>7.7757179566671511E-2</v>
      </c>
      <c r="O185" s="3">
        <f t="shared" si="121"/>
        <v>7.7757179566671247E-2</v>
      </c>
      <c r="P185" s="3">
        <f t="shared" si="121"/>
        <v>7.7757179566668708E-2</v>
      </c>
      <c r="Q185" s="3">
        <f t="shared" si="121"/>
        <v>7.7757179566643242E-2</v>
      </c>
      <c r="R185" s="3">
        <f t="shared" si="121"/>
        <v>7.7757179566388515E-2</v>
      </c>
      <c r="S185" s="3">
        <f t="shared" si="121"/>
        <v>7.77571795638414E-2</v>
      </c>
      <c r="T185" s="3">
        <f t="shared" si="121"/>
        <v>7.7757179538370066E-2</v>
      </c>
      <c r="U185" s="3">
        <f t="shared" si="121"/>
        <v>7.7757179283656774E-2</v>
      </c>
      <c r="V185" s="3">
        <f t="shared" si="121"/>
        <v>7.7757176736523964E-2</v>
      </c>
      <c r="W185" s="3">
        <f t="shared" si="121"/>
        <v>7.7757151265200483E-2</v>
      </c>
      <c r="X185" s="3">
        <f t="shared" si="121"/>
        <v>7.7756896552424487E-2</v>
      </c>
      <c r="Y185" s="3">
        <f t="shared" si="121"/>
        <v>7.7754349470554748E-2</v>
      </c>
      <c r="Z185" s="3">
        <f t="shared" si="121"/>
        <v>7.7728883240316834E-2</v>
      </c>
      <c r="AA185" s="3">
        <f t="shared" si="121"/>
        <v>7.7474679228239529E-2</v>
      </c>
      <c r="AB185" s="3">
        <f t="shared" si="121"/>
        <v>7.4977917510215042E-2</v>
      </c>
      <c r="AC185" s="3">
        <f t="shared" si="121"/>
        <v>5.4034264517884754E-2</v>
      </c>
      <c r="AD185" s="3">
        <f t="shared" si="121"/>
        <v>2.0418693535581272E-3</v>
      </c>
      <c r="AE185" s="3">
        <f t="shared" si="121"/>
        <v>1.2123137041750921E-17</v>
      </c>
      <c r="AF185" s="3">
        <f t="shared" si="121"/>
        <v>6.5991143083834662E-160</v>
      </c>
      <c r="AG185" s="3"/>
      <c r="AH185" s="3"/>
    </row>
    <row r="186" spans="2:34" x14ac:dyDescent="0.25">
      <c r="B186" s="3">
        <f t="shared" ref="B186:AF186" si="122">$C33*EXP(-B$168/$A33/EXP(-$C$126))</f>
        <v>9.5507274749383017E-2</v>
      </c>
      <c r="C186" s="3">
        <f t="shared" si="122"/>
        <v>9.5507274749383017E-2</v>
      </c>
      <c r="D186" s="3">
        <f t="shared" si="122"/>
        <v>9.5507274749383017E-2</v>
      </c>
      <c r="E186" s="3">
        <f t="shared" si="122"/>
        <v>9.5507274749383017E-2</v>
      </c>
      <c r="F186" s="3">
        <f t="shared" si="122"/>
        <v>9.5507274749383017E-2</v>
      </c>
      <c r="G186" s="3">
        <f t="shared" si="122"/>
        <v>9.5507274749383017E-2</v>
      </c>
      <c r="H186" s="3">
        <f t="shared" si="122"/>
        <v>9.5507274749383017E-2</v>
      </c>
      <c r="I186" s="3">
        <f t="shared" si="122"/>
        <v>9.5507274749383017E-2</v>
      </c>
      <c r="J186" s="3">
        <f t="shared" si="122"/>
        <v>9.5507274749383017E-2</v>
      </c>
      <c r="K186" s="3">
        <f t="shared" si="122"/>
        <v>9.5507274749383017E-2</v>
      </c>
      <c r="L186" s="3">
        <f t="shared" si="122"/>
        <v>9.5507274749383017E-2</v>
      </c>
      <c r="M186" s="3">
        <f t="shared" si="122"/>
        <v>9.5507274749383017E-2</v>
      </c>
      <c r="N186" s="3">
        <f t="shared" si="122"/>
        <v>9.5507274749383017E-2</v>
      </c>
      <c r="O186" s="3">
        <f t="shared" si="122"/>
        <v>9.5507274749382989E-2</v>
      </c>
      <c r="P186" s="3">
        <f t="shared" si="122"/>
        <v>9.5507274749382698E-2</v>
      </c>
      <c r="Q186" s="3">
        <f t="shared" si="122"/>
        <v>9.5507274749379881E-2</v>
      </c>
      <c r="R186" s="3">
        <f t="shared" si="122"/>
        <v>9.5507274749351667E-2</v>
      </c>
      <c r="S186" s="3">
        <f t="shared" si="122"/>
        <v>9.5507274749069435E-2</v>
      </c>
      <c r="T186" s="3">
        <f t="shared" si="122"/>
        <v>9.5507274746247192E-2</v>
      </c>
      <c r="U186" s="3">
        <f t="shared" si="122"/>
        <v>9.5507274718024782E-2</v>
      </c>
      <c r="V186" s="3">
        <f t="shared" si="122"/>
        <v>9.5507274435800663E-2</v>
      </c>
      <c r="W186" s="3">
        <f t="shared" si="122"/>
        <v>9.5507271613559402E-2</v>
      </c>
      <c r="X186" s="3">
        <f t="shared" si="122"/>
        <v>9.5507243391151506E-2</v>
      </c>
      <c r="Y186" s="3">
        <f t="shared" si="122"/>
        <v>9.5506961167531185E-2</v>
      </c>
      <c r="Z186" s="3">
        <f t="shared" si="122"/>
        <v>9.5504138977195882E-2</v>
      </c>
      <c r="AA186" s="3">
        <f t="shared" si="122"/>
        <v>9.5475921660135535E-2</v>
      </c>
      <c r="AB186" s="3">
        <f t="shared" si="122"/>
        <v>9.5194206617751256E-2</v>
      </c>
      <c r="AC186" s="3">
        <f t="shared" si="122"/>
        <v>9.2422372055630655E-2</v>
      </c>
      <c r="AD186" s="3">
        <f t="shared" si="122"/>
        <v>6.8776968712191744E-2</v>
      </c>
      <c r="AE186" s="3">
        <f t="shared" si="122"/>
        <v>3.5818074177658356E-3</v>
      </c>
      <c r="AF186" s="3">
        <f t="shared" si="122"/>
        <v>5.2564705964344277E-16</v>
      </c>
      <c r="AG186" s="3"/>
      <c r="AH186" s="3"/>
    </row>
    <row r="187" spans="2:34" x14ac:dyDescent="0.25">
      <c r="B187" s="3">
        <f t="shared" ref="B187:AF187" si="123">$C34*EXP(-B$168/$A34/EXP(-$C$126))</f>
        <v>8.003075559639232E-2</v>
      </c>
      <c r="C187" s="3">
        <f t="shared" si="123"/>
        <v>8.003075559639232E-2</v>
      </c>
      <c r="D187" s="3">
        <f t="shared" si="123"/>
        <v>8.003075559639232E-2</v>
      </c>
      <c r="E187" s="3">
        <f t="shared" si="123"/>
        <v>8.003075559639232E-2</v>
      </c>
      <c r="F187" s="3">
        <f t="shared" si="123"/>
        <v>8.003075559639232E-2</v>
      </c>
      <c r="G187" s="3">
        <f t="shared" si="123"/>
        <v>8.003075559639232E-2</v>
      </c>
      <c r="H187" s="3">
        <f t="shared" si="123"/>
        <v>8.003075559639232E-2</v>
      </c>
      <c r="I187" s="3">
        <f t="shared" si="123"/>
        <v>8.003075559639232E-2</v>
      </c>
      <c r="J187" s="3">
        <f t="shared" si="123"/>
        <v>8.003075559639232E-2</v>
      </c>
      <c r="K187" s="3">
        <f t="shared" si="123"/>
        <v>8.003075559639232E-2</v>
      </c>
      <c r="L187" s="3">
        <f t="shared" si="123"/>
        <v>8.003075559639232E-2</v>
      </c>
      <c r="M187" s="3">
        <f t="shared" si="123"/>
        <v>8.003075559639232E-2</v>
      </c>
      <c r="N187" s="3">
        <f t="shared" si="123"/>
        <v>8.003075559639232E-2</v>
      </c>
      <c r="O187" s="3">
        <f t="shared" si="123"/>
        <v>8.003075559639232E-2</v>
      </c>
      <c r="P187" s="3">
        <f t="shared" si="123"/>
        <v>8.0030755596392292E-2</v>
      </c>
      <c r="Q187" s="3">
        <f t="shared" si="123"/>
        <v>8.0030755596392084E-2</v>
      </c>
      <c r="R187" s="3">
        <f t="shared" si="123"/>
        <v>8.0030755596389946E-2</v>
      </c>
      <c r="S187" s="3">
        <f t="shared" si="123"/>
        <v>8.0030755596368616E-2</v>
      </c>
      <c r="T187" s="3">
        <f t="shared" si="123"/>
        <v>8.0030755596155287E-2</v>
      </c>
      <c r="U187" s="3">
        <f t="shared" si="123"/>
        <v>8.0030755594021938E-2</v>
      </c>
      <c r="V187" s="3">
        <f t="shared" si="123"/>
        <v>8.0030755572688489E-2</v>
      </c>
      <c r="W187" s="3">
        <f t="shared" si="123"/>
        <v>8.0030755359353931E-2</v>
      </c>
      <c r="X187" s="3">
        <f t="shared" si="123"/>
        <v>8.0030753226008458E-2</v>
      </c>
      <c r="Y187" s="3">
        <f t="shared" si="123"/>
        <v>8.0030731892556828E-2</v>
      </c>
      <c r="Z187" s="3">
        <f t="shared" si="123"/>
        <v>8.0030518558353331E-2</v>
      </c>
      <c r="AA187" s="3">
        <f t="shared" si="123"/>
        <v>8.002838524759523E-2</v>
      </c>
      <c r="AB187" s="3">
        <f t="shared" si="123"/>
        <v>8.0007055267393573E-2</v>
      </c>
      <c r="AC187" s="3">
        <f t="shared" si="123"/>
        <v>7.9794067895089166E-2</v>
      </c>
      <c r="AD187" s="3">
        <f t="shared" si="123"/>
        <v>7.7695131180812088E-2</v>
      </c>
      <c r="AE187" s="3">
        <f t="shared" si="123"/>
        <v>5.9514910911345552E-2</v>
      </c>
      <c r="AF187" s="3">
        <f t="shared" si="123"/>
        <v>4.1394784239154837E-3</v>
      </c>
      <c r="AG187" s="3"/>
      <c r="AH187" s="3"/>
    </row>
    <row r="188" spans="2:34" x14ac:dyDescent="0.25">
      <c r="B188" s="3">
        <f t="shared" ref="B188:AF188" si="124">$C35*EXP(-B$168/$A35/EXP(-$C$126))</f>
        <v>5.3976889971713508E-2</v>
      </c>
      <c r="C188" s="3">
        <f t="shared" si="124"/>
        <v>5.3976889971713508E-2</v>
      </c>
      <c r="D188" s="3">
        <f t="shared" si="124"/>
        <v>5.3976889971713508E-2</v>
      </c>
      <c r="E188" s="3">
        <f t="shared" si="124"/>
        <v>5.3976889971713508E-2</v>
      </c>
      <c r="F188" s="3">
        <f t="shared" si="124"/>
        <v>5.3976889971713508E-2</v>
      </c>
      <c r="G188" s="3">
        <f t="shared" si="124"/>
        <v>5.3976889971713508E-2</v>
      </c>
      <c r="H188" s="3">
        <f t="shared" si="124"/>
        <v>5.3976889971713508E-2</v>
      </c>
      <c r="I188" s="3">
        <f t="shared" si="124"/>
        <v>5.3976889971713508E-2</v>
      </c>
      <c r="J188" s="3">
        <f t="shared" si="124"/>
        <v>5.3976889971713508E-2</v>
      </c>
      <c r="K188" s="3">
        <f t="shared" si="124"/>
        <v>5.3976889971713508E-2</v>
      </c>
      <c r="L188" s="3">
        <f t="shared" si="124"/>
        <v>5.3976889971713508E-2</v>
      </c>
      <c r="M188" s="3">
        <f t="shared" si="124"/>
        <v>5.3976889971713508E-2</v>
      </c>
      <c r="N188" s="3">
        <f t="shared" si="124"/>
        <v>5.3976889971713508E-2</v>
      </c>
      <c r="O188" s="3">
        <f t="shared" si="124"/>
        <v>5.3976889971713508E-2</v>
      </c>
      <c r="P188" s="3">
        <f t="shared" si="124"/>
        <v>5.3976889971713508E-2</v>
      </c>
      <c r="Q188" s="3">
        <f t="shared" si="124"/>
        <v>5.3976889971713495E-2</v>
      </c>
      <c r="R188" s="3">
        <f t="shared" si="124"/>
        <v>5.3976889971713363E-2</v>
      </c>
      <c r="S188" s="3">
        <f t="shared" si="124"/>
        <v>5.3976889971712065E-2</v>
      </c>
      <c r="T188" s="3">
        <f t="shared" si="124"/>
        <v>5.3976889971699082E-2</v>
      </c>
      <c r="U188" s="3">
        <f t="shared" si="124"/>
        <v>5.397688997156929E-2</v>
      </c>
      <c r="V188" s="3">
        <f t="shared" si="124"/>
        <v>5.3976889970271336E-2</v>
      </c>
      <c r="W188" s="3">
        <f t="shared" si="124"/>
        <v>5.3976889957291815E-2</v>
      </c>
      <c r="X188" s="3">
        <f t="shared" si="124"/>
        <v>5.3976889827496585E-2</v>
      </c>
      <c r="Y188" s="3">
        <f t="shared" si="124"/>
        <v>5.3976888529544312E-2</v>
      </c>
      <c r="Z188" s="3">
        <f t="shared" si="124"/>
        <v>5.3976875550023298E-2</v>
      </c>
      <c r="AA188" s="3">
        <f t="shared" si="124"/>
        <v>5.3976745754984817E-2</v>
      </c>
      <c r="AB188" s="3">
        <f t="shared" si="124"/>
        <v>5.3975447821765936E-2</v>
      </c>
      <c r="AC188" s="3">
        <f t="shared" si="124"/>
        <v>5.3962470206020026E-2</v>
      </c>
      <c r="AD188" s="3">
        <f t="shared" si="124"/>
        <v>5.3832865540233248E-2</v>
      </c>
      <c r="AE188" s="3">
        <f t="shared" si="124"/>
        <v>5.2553816446727866E-2</v>
      </c>
      <c r="AF188" s="3">
        <f t="shared" si="124"/>
        <v>4.1321100362090787E-2</v>
      </c>
      <c r="AG188" s="3"/>
      <c r="AH188" s="3"/>
    </row>
    <row r="189" spans="2:34" x14ac:dyDescent="0.25">
      <c r="B189" s="3">
        <f t="shared" ref="B189:AF189" si="125">$C36*EXP(-B$168/$A36/EXP(-$C$126))</f>
        <v>2.9623895965477303E-2</v>
      </c>
      <c r="C189" s="3">
        <f t="shared" si="125"/>
        <v>2.9623895965477303E-2</v>
      </c>
      <c r="D189" s="3">
        <f t="shared" si="125"/>
        <v>2.9623895965477303E-2</v>
      </c>
      <c r="E189" s="3">
        <f t="shared" si="125"/>
        <v>2.9623895965477303E-2</v>
      </c>
      <c r="F189" s="3">
        <f t="shared" si="125"/>
        <v>2.9623895965477303E-2</v>
      </c>
      <c r="G189" s="3">
        <f t="shared" si="125"/>
        <v>2.9623895965477303E-2</v>
      </c>
      <c r="H189" s="3">
        <f t="shared" si="125"/>
        <v>2.9623895965477303E-2</v>
      </c>
      <c r="I189" s="3">
        <f t="shared" si="125"/>
        <v>2.9623895965477303E-2</v>
      </c>
      <c r="J189" s="3">
        <f t="shared" si="125"/>
        <v>2.9623895965477303E-2</v>
      </c>
      <c r="K189" s="3">
        <f t="shared" si="125"/>
        <v>2.9623895965477303E-2</v>
      </c>
      <c r="L189" s="3">
        <f t="shared" si="125"/>
        <v>2.9623895965477303E-2</v>
      </c>
      <c r="M189" s="3">
        <f t="shared" si="125"/>
        <v>2.9623895965477303E-2</v>
      </c>
      <c r="N189" s="3">
        <f t="shared" si="125"/>
        <v>2.9623895965477303E-2</v>
      </c>
      <c r="O189" s="3">
        <f t="shared" si="125"/>
        <v>2.9623895965477303E-2</v>
      </c>
      <c r="P189" s="3">
        <f t="shared" si="125"/>
        <v>2.9623895965477303E-2</v>
      </c>
      <c r="Q189" s="3">
        <f t="shared" si="125"/>
        <v>2.9623895965477303E-2</v>
      </c>
      <c r="R189" s="3">
        <f t="shared" si="125"/>
        <v>2.9623895965477296E-2</v>
      </c>
      <c r="S189" s="3">
        <f t="shared" si="125"/>
        <v>2.962389596547723E-2</v>
      </c>
      <c r="T189" s="3">
        <f t="shared" si="125"/>
        <v>2.9623895965476588E-2</v>
      </c>
      <c r="U189" s="3">
        <f t="shared" si="125"/>
        <v>2.9623895965470163E-2</v>
      </c>
      <c r="V189" s="3">
        <f t="shared" si="125"/>
        <v>2.9623895965405905E-2</v>
      </c>
      <c r="W189" s="3">
        <f t="shared" si="125"/>
        <v>2.9623895964763305E-2</v>
      </c>
      <c r="X189" s="3">
        <f t="shared" si="125"/>
        <v>2.962389595833732E-2</v>
      </c>
      <c r="Y189" s="3">
        <f t="shared" si="125"/>
        <v>2.9623895894077483E-2</v>
      </c>
      <c r="Z189" s="3">
        <f t="shared" si="125"/>
        <v>2.9623895251479095E-2</v>
      </c>
      <c r="AA189" s="3">
        <f t="shared" si="125"/>
        <v>2.9623888825495992E-2</v>
      </c>
      <c r="AB189" s="3">
        <f t="shared" si="125"/>
        <v>2.9623824565741651E-2</v>
      </c>
      <c r="AC189" s="3">
        <f t="shared" si="125"/>
        <v>2.9623181975864697E-2</v>
      </c>
      <c r="AD189" s="3">
        <f t="shared" si="125"/>
        <v>2.9616756843681497E-2</v>
      </c>
      <c r="AE189" s="3">
        <f t="shared" si="125"/>
        <v>2.955258211899011E-2</v>
      </c>
      <c r="AF189" s="3">
        <f t="shared" si="125"/>
        <v>2.8918433464349077E-2</v>
      </c>
      <c r="AG189" s="3"/>
      <c r="AH189" s="3"/>
    </row>
    <row r="190" spans="2:34" x14ac:dyDescent="0.25">
      <c r="B190" s="3">
        <f t="shared" ref="B190:AF190" si="126">$C37*EXP(-B$168/$A37/EXP(-$C$126))</f>
        <v>1.5005107194779805E-2</v>
      </c>
      <c r="C190" s="3">
        <f t="shared" si="126"/>
        <v>1.5005107194779805E-2</v>
      </c>
      <c r="D190" s="3">
        <f t="shared" si="126"/>
        <v>1.5005107194779805E-2</v>
      </c>
      <c r="E190" s="3">
        <f t="shared" si="126"/>
        <v>1.5005107194779805E-2</v>
      </c>
      <c r="F190" s="3">
        <f t="shared" si="126"/>
        <v>1.5005107194779805E-2</v>
      </c>
      <c r="G190" s="3">
        <f t="shared" si="126"/>
        <v>1.5005107194779805E-2</v>
      </c>
      <c r="H190" s="3">
        <f t="shared" si="126"/>
        <v>1.5005107194779805E-2</v>
      </c>
      <c r="I190" s="3">
        <f t="shared" si="126"/>
        <v>1.5005107194779805E-2</v>
      </c>
      <c r="J190" s="3">
        <f t="shared" si="126"/>
        <v>1.5005107194779805E-2</v>
      </c>
      <c r="K190" s="3">
        <f t="shared" si="126"/>
        <v>1.5005107194779805E-2</v>
      </c>
      <c r="L190" s="3">
        <f t="shared" si="126"/>
        <v>1.5005107194779805E-2</v>
      </c>
      <c r="M190" s="3">
        <f t="shared" si="126"/>
        <v>1.5005107194779805E-2</v>
      </c>
      <c r="N190" s="3">
        <f t="shared" si="126"/>
        <v>1.5005107194779805E-2</v>
      </c>
      <c r="O190" s="3">
        <f t="shared" si="126"/>
        <v>1.5005107194779805E-2</v>
      </c>
      <c r="P190" s="3">
        <f t="shared" si="126"/>
        <v>1.5005107194779805E-2</v>
      </c>
      <c r="Q190" s="3">
        <f t="shared" si="126"/>
        <v>1.5005107194779805E-2</v>
      </c>
      <c r="R190" s="3">
        <f t="shared" si="126"/>
        <v>1.5005107194779805E-2</v>
      </c>
      <c r="S190" s="3">
        <f t="shared" si="126"/>
        <v>1.5005107194779802E-2</v>
      </c>
      <c r="T190" s="3">
        <f t="shared" si="126"/>
        <v>1.5005107194779772E-2</v>
      </c>
      <c r="U190" s="3">
        <f t="shared" si="126"/>
        <v>1.5005107194779479E-2</v>
      </c>
      <c r="V190" s="3">
        <f t="shared" si="126"/>
        <v>1.5005107194776544E-2</v>
      </c>
      <c r="W190" s="3">
        <f t="shared" si="126"/>
        <v>1.500510719474718E-2</v>
      </c>
      <c r="X190" s="3">
        <f t="shared" si="126"/>
        <v>1.5005107194453563E-2</v>
      </c>
      <c r="Y190" s="3">
        <f t="shared" si="126"/>
        <v>1.5005107191517379E-2</v>
      </c>
      <c r="Z190" s="3">
        <f t="shared" si="126"/>
        <v>1.5005107162155548E-2</v>
      </c>
      <c r="AA190" s="3">
        <f t="shared" si="126"/>
        <v>1.5005106868537225E-2</v>
      </c>
      <c r="AB190" s="3">
        <f t="shared" si="126"/>
        <v>1.5005103932354333E-2</v>
      </c>
      <c r="AC190" s="3">
        <f t="shared" si="126"/>
        <v>1.5005074570556996E-2</v>
      </c>
      <c r="AD190" s="3">
        <f t="shared" si="126"/>
        <v>1.5004780955743624E-2</v>
      </c>
      <c r="AE190" s="3">
        <f t="shared" si="126"/>
        <v>1.5001845123586537E-2</v>
      </c>
      <c r="AF190" s="3">
        <f t="shared" si="126"/>
        <v>1.4972518376813525E-2</v>
      </c>
      <c r="AG190" s="3"/>
      <c r="AH190" s="3"/>
    </row>
    <row r="191" spans="2:34" x14ac:dyDescent="0.25">
      <c r="B191" s="3">
        <f t="shared" ref="B191:AF191" si="127">$C38*EXP(-B$168/$A38/EXP(-$C$126))</f>
        <v>4.0905508263932881E-3</v>
      </c>
      <c r="C191" s="3">
        <f t="shared" si="127"/>
        <v>4.0905508263932881E-3</v>
      </c>
      <c r="D191" s="3">
        <f t="shared" si="127"/>
        <v>4.0905508263932881E-3</v>
      </c>
      <c r="E191" s="3">
        <f t="shared" si="127"/>
        <v>4.0905508263932881E-3</v>
      </c>
      <c r="F191" s="3">
        <f t="shared" si="127"/>
        <v>4.0905508263932881E-3</v>
      </c>
      <c r="G191" s="3">
        <f t="shared" si="127"/>
        <v>4.0905508263932881E-3</v>
      </c>
      <c r="H191" s="3">
        <f t="shared" si="127"/>
        <v>4.0905508263932881E-3</v>
      </c>
      <c r="I191" s="3">
        <f t="shared" si="127"/>
        <v>4.0905508263932881E-3</v>
      </c>
      <c r="J191" s="3">
        <f t="shared" si="127"/>
        <v>4.0905508263932881E-3</v>
      </c>
      <c r="K191" s="3">
        <f t="shared" si="127"/>
        <v>4.0905508263932881E-3</v>
      </c>
      <c r="L191" s="3">
        <f t="shared" si="127"/>
        <v>4.0905508263932881E-3</v>
      </c>
      <c r="M191" s="3">
        <f t="shared" si="127"/>
        <v>4.0905508263932881E-3</v>
      </c>
      <c r="N191" s="3">
        <f t="shared" si="127"/>
        <v>4.0905508263932881E-3</v>
      </c>
      <c r="O191" s="3">
        <f t="shared" si="127"/>
        <v>4.0905508263932881E-3</v>
      </c>
      <c r="P191" s="3">
        <f t="shared" si="127"/>
        <v>4.0905508263932881E-3</v>
      </c>
      <c r="Q191" s="3">
        <f t="shared" si="127"/>
        <v>4.0905508263932881E-3</v>
      </c>
      <c r="R191" s="3">
        <f t="shared" si="127"/>
        <v>4.0905508263932881E-3</v>
      </c>
      <c r="S191" s="3">
        <f t="shared" si="127"/>
        <v>4.0905508263932881E-3</v>
      </c>
      <c r="T191" s="3">
        <f t="shared" si="127"/>
        <v>4.0905508263932872E-3</v>
      </c>
      <c r="U191" s="3">
        <f t="shared" si="127"/>
        <v>4.0905508263932803E-3</v>
      </c>
      <c r="V191" s="3">
        <f t="shared" si="127"/>
        <v>4.0905508263932074E-3</v>
      </c>
      <c r="W191" s="3">
        <f t="shared" si="127"/>
        <v>4.0905508263924858E-3</v>
      </c>
      <c r="X191" s="3">
        <f t="shared" si="127"/>
        <v>4.090550826385265E-3</v>
      </c>
      <c r="Y191" s="3">
        <f t="shared" si="127"/>
        <v>4.0905508263130597E-3</v>
      </c>
      <c r="Z191" s="3">
        <f t="shared" si="127"/>
        <v>4.090550825591001E-3</v>
      </c>
      <c r="AA191" s="3">
        <f t="shared" si="127"/>
        <v>4.0905508183704149E-3</v>
      </c>
      <c r="AB191" s="3">
        <f t="shared" si="127"/>
        <v>4.0905507461645564E-3</v>
      </c>
      <c r="AC191" s="3">
        <f t="shared" si="127"/>
        <v>4.0905500241060462E-3</v>
      </c>
      <c r="AD191" s="3">
        <f t="shared" si="127"/>
        <v>4.0905428035279525E-3</v>
      </c>
      <c r="AE191" s="3">
        <f t="shared" si="127"/>
        <v>4.0904705984480191E-3</v>
      </c>
      <c r="AF191" s="3">
        <f t="shared" si="127"/>
        <v>4.0897486177448542E-3</v>
      </c>
      <c r="AG191" s="3"/>
      <c r="AH191" s="3"/>
    </row>
    <row r="192" spans="2:34" x14ac:dyDescent="0.25">
      <c r="B192" s="3">
        <f t="shared" ref="B192:AF192" si="128">$C39*EXP(-B$168/$A39/EXP(-$C$126))</f>
        <v>4.6207327982835155E-3</v>
      </c>
      <c r="C192" s="3">
        <f t="shared" si="128"/>
        <v>4.6207327982835155E-3</v>
      </c>
      <c r="D192" s="3">
        <f t="shared" si="128"/>
        <v>4.6207327982835155E-3</v>
      </c>
      <c r="E192" s="3">
        <f t="shared" si="128"/>
        <v>4.6207327982835155E-3</v>
      </c>
      <c r="F192" s="3">
        <f t="shared" si="128"/>
        <v>4.6207327982835155E-3</v>
      </c>
      <c r="G192" s="3">
        <f t="shared" si="128"/>
        <v>4.6207327982835155E-3</v>
      </c>
      <c r="H192" s="3">
        <f t="shared" si="128"/>
        <v>4.6207327982835155E-3</v>
      </c>
      <c r="I192" s="3">
        <f t="shared" si="128"/>
        <v>4.6207327982835155E-3</v>
      </c>
      <c r="J192" s="3">
        <f t="shared" si="128"/>
        <v>4.6207327982835155E-3</v>
      </c>
      <c r="K192" s="3">
        <f t="shared" si="128"/>
        <v>4.6207327982835155E-3</v>
      </c>
      <c r="L192" s="3">
        <f t="shared" si="128"/>
        <v>4.6207327982835155E-3</v>
      </c>
      <c r="M192" s="3">
        <f t="shared" si="128"/>
        <v>4.6207327982835155E-3</v>
      </c>
      <c r="N192" s="3">
        <f t="shared" si="128"/>
        <v>4.6207327982835155E-3</v>
      </c>
      <c r="O192" s="3">
        <f t="shared" si="128"/>
        <v>4.6207327982835155E-3</v>
      </c>
      <c r="P192" s="3">
        <f t="shared" si="128"/>
        <v>4.6207327982835155E-3</v>
      </c>
      <c r="Q192" s="3">
        <f t="shared" si="128"/>
        <v>4.6207327982835155E-3</v>
      </c>
      <c r="R192" s="3">
        <f t="shared" si="128"/>
        <v>4.6207327982835155E-3</v>
      </c>
      <c r="S192" s="3">
        <f t="shared" si="128"/>
        <v>4.6207327982835155E-3</v>
      </c>
      <c r="T192" s="3">
        <f t="shared" si="128"/>
        <v>4.6207327982835155E-3</v>
      </c>
      <c r="U192" s="3">
        <f t="shared" si="128"/>
        <v>4.6207327982835129E-3</v>
      </c>
      <c r="V192" s="3">
        <f t="shared" si="128"/>
        <v>4.6207327982834903E-3</v>
      </c>
      <c r="W192" s="3">
        <f t="shared" si="128"/>
        <v>4.6207327982832648E-3</v>
      </c>
      <c r="X192" s="3">
        <f t="shared" si="128"/>
        <v>4.6207327982810088E-3</v>
      </c>
      <c r="Y192" s="3">
        <f t="shared" si="128"/>
        <v>4.6207327982584505E-3</v>
      </c>
      <c r="Z192" s="3">
        <f t="shared" si="128"/>
        <v>4.6207327980328627E-3</v>
      </c>
      <c r="AA192" s="3">
        <f t="shared" si="128"/>
        <v>4.620732795776991E-3</v>
      </c>
      <c r="AB192" s="3">
        <f t="shared" si="128"/>
        <v>4.6207327732182765E-3</v>
      </c>
      <c r="AC192" s="3">
        <f t="shared" si="128"/>
        <v>4.6207325476311312E-3</v>
      </c>
      <c r="AD192" s="3">
        <f t="shared" si="128"/>
        <v>4.6207302917602817E-3</v>
      </c>
      <c r="AE192" s="3">
        <f t="shared" si="128"/>
        <v>4.6207077331123598E-3</v>
      </c>
      <c r="AF192" s="3">
        <f t="shared" si="128"/>
        <v>4.6204821526903452E-3</v>
      </c>
      <c r="AG192" s="3"/>
      <c r="AH192" s="3"/>
    </row>
    <row r="193" spans="1:34" x14ac:dyDescent="0.25">
      <c r="B193" s="3">
        <f t="shared" ref="B193:AF193" si="129">$C40*EXP(-B$168/$A40/EXP(-$C$126))</f>
        <v>2.0598839061917876E-3</v>
      </c>
      <c r="C193" s="3">
        <f t="shared" si="129"/>
        <v>2.0598839061917876E-3</v>
      </c>
      <c r="D193" s="3">
        <f t="shared" si="129"/>
        <v>2.0598839061917876E-3</v>
      </c>
      <c r="E193" s="3">
        <f t="shared" si="129"/>
        <v>2.0598839061917876E-3</v>
      </c>
      <c r="F193" s="3">
        <f t="shared" si="129"/>
        <v>2.0598839061917876E-3</v>
      </c>
      <c r="G193" s="3">
        <f t="shared" si="129"/>
        <v>2.0598839061917876E-3</v>
      </c>
      <c r="H193" s="3">
        <f t="shared" si="129"/>
        <v>2.0598839061917876E-3</v>
      </c>
      <c r="I193" s="3">
        <f t="shared" si="129"/>
        <v>2.0598839061917876E-3</v>
      </c>
      <c r="J193" s="3">
        <f t="shared" si="129"/>
        <v>2.0598839061917876E-3</v>
      </c>
      <c r="K193" s="3">
        <f t="shared" si="129"/>
        <v>2.0598839061917876E-3</v>
      </c>
      <c r="L193" s="3">
        <f t="shared" si="129"/>
        <v>2.0598839061917876E-3</v>
      </c>
      <c r="M193" s="3">
        <f t="shared" si="129"/>
        <v>2.0598839061917876E-3</v>
      </c>
      <c r="N193" s="3">
        <f t="shared" si="129"/>
        <v>2.0598839061917876E-3</v>
      </c>
      <c r="O193" s="3">
        <f t="shared" si="129"/>
        <v>2.0598839061917876E-3</v>
      </c>
      <c r="P193" s="3">
        <f t="shared" si="129"/>
        <v>2.0598839061917876E-3</v>
      </c>
      <c r="Q193" s="3">
        <f t="shared" si="129"/>
        <v>2.0598839061917876E-3</v>
      </c>
      <c r="R193" s="3">
        <f t="shared" si="129"/>
        <v>2.0598839061917876E-3</v>
      </c>
      <c r="S193" s="3">
        <f t="shared" si="129"/>
        <v>2.0598839061917876E-3</v>
      </c>
      <c r="T193" s="3">
        <f t="shared" si="129"/>
        <v>2.0598839061917876E-3</v>
      </c>
      <c r="U193" s="3">
        <f t="shared" si="129"/>
        <v>2.0598839061917876E-3</v>
      </c>
      <c r="V193" s="3">
        <f t="shared" si="129"/>
        <v>2.0598839061917863E-3</v>
      </c>
      <c r="W193" s="3">
        <f t="shared" si="129"/>
        <v>2.0598839061917763E-3</v>
      </c>
      <c r="X193" s="3">
        <f t="shared" si="129"/>
        <v>2.0598839061916757E-3</v>
      </c>
      <c r="Y193" s="3">
        <f t="shared" si="129"/>
        <v>2.05988390619067E-3</v>
      </c>
      <c r="Z193" s="3">
        <f t="shared" si="129"/>
        <v>2.0598839061806138E-3</v>
      </c>
      <c r="AA193" s="3">
        <f t="shared" si="129"/>
        <v>2.0598839060800489E-3</v>
      </c>
      <c r="AB193" s="3">
        <f t="shared" si="129"/>
        <v>2.0598839050744002E-3</v>
      </c>
      <c r="AC193" s="3">
        <f t="shared" si="129"/>
        <v>2.0598838950179141E-3</v>
      </c>
      <c r="AD193" s="3">
        <f t="shared" si="129"/>
        <v>2.0598837944530578E-3</v>
      </c>
      <c r="AE193" s="3">
        <f t="shared" si="129"/>
        <v>2.0598827888047636E-3</v>
      </c>
      <c r="AF193" s="3">
        <f t="shared" si="129"/>
        <v>2.059872732348823E-3</v>
      </c>
      <c r="AG193" s="3"/>
      <c r="AH193" s="3"/>
    </row>
    <row r="194" spans="1:34" x14ac:dyDescent="0.25">
      <c r="B194" s="3">
        <f t="shared" ref="B194:AF194" si="130">$C41*EXP(-B$168/$A41/EXP(-$C$126))</f>
        <v>2.0793314772124174E-3</v>
      </c>
      <c r="C194" s="3">
        <f t="shared" si="130"/>
        <v>2.0793314772124174E-3</v>
      </c>
      <c r="D194" s="3">
        <f t="shared" si="130"/>
        <v>2.0793314772124174E-3</v>
      </c>
      <c r="E194" s="3">
        <f t="shared" si="130"/>
        <v>2.0793314772124174E-3</v>
      </c>
      <c r="F194" s="3">
        <f t="shared" si="130"/>
        <v>2.0793314772124174E-3</v>
      </c>
      <c r="G194" s="3">
        <f t="shared" si="130"/>
        <v>2.0793314772124174E-3</v>
      </c>
      <c r="H194" s="3">
        <f t="shared" si="130"/>
        <v>2.0793314772124174E-3</v>
      </c>
      <c r="I194" s="3">
        <f t="shared" si="130"/>
        <v>2.0793314772124174E-3</v>
      </c>
      <c r="J194" s="3">
        <f t="shared" si="130"/>
        <v>2.0793314772124174E-3</v>
      </c>
      <c r="K194" s="3">
        <f t="shared" si="130"/>
        <v>2.0793314772124174E-3</v>
      </c>
      <c r="L194" s="3">
        <f t="shared" si="130"/>
        <v>2.0793314772124174E-3</v>
      </c>
      <c r="M194" s="3">
        <f t="shared" si="130"/>
        <v>2.0793314772124174E-3</v>
      </c>
      <c r="N194" s="3">
        <f t="shared" si="130"/>
        <v>2.0793314772124174E-3</v>
      </c>
      <c r="O194" s="3">
        <f t="shared" si="130"/>
        <v>2.0793314772124174E-3</v>
      </c>
      <c r="P194" s="3">
        <f t="shared" si="130"/>
        <v>2.0793314772124174E-3</v>
      </c>
      <c r="Q194" s="3">
        <f t="shared" si="130"/>
        <v>2.0793314772124174E-3</v>
      </c>
      <c r="R194" s="3">
        <f t="shared" si="130"/>
        <v>2.0793314772124174E-3</v>
      </c>
      <c r="S194" s="3">
        <f t="shared" si="130"/>
        <v>2.0793314772124174E-3</v>
      </c>
      <c r="T194" s="3">
        <f t="shared" si="130"/>
        <v>2.0793314772124174E-3</v>
      </c>
      <c r="U194" s="3">
        <f t="shared" si="130"/>
        <v>2.0793314772124174E-3</v>
      </c>
      <c r="V194" s="3">
        <f t="shared" si="130"/>
        <v>2.0793314772124174E-3</v>
      </c>
      <c r="W194" s="3">
        <f t="shared" si="130"/>
        <v>2.0793314772124161E-3</v>
      </c>
      <c r="X194" s="3">
        <f t="shared" si="130"/>
        <v>2.0793314772124061E-3</v>
      </c>
      <c r="Y194" s="3">
        <f t="shared" si="130"/>
        <v>2.0793314772123046E-3</v>
      </c>
      <c r="Z194" s="3">
        <f t="shared" si="130"/>
        <v>2.0793314772112894E-3</v>
      </c>
      <c r="AA194" s="3">
        <f t="shared" si="130"/>
        <v>2.0793314772011378E-3</v>
      </c>
      <c r="AB194" s="3">
        <f t="shared" si="130"/>
        <v>2.0793314770996235E-3</v>
      </c>
      <c r="AC194" s="3">
        <f t="shared" si="130"/>
        <v>2.0793314760844807E-3</v>
      </c>
      <c r="AD194" s="3">
        <f t="shared" si="130"/>
        <v>2.0793314659330502E-3</v>
      </c>
      <c r="AE194" s="3">
        <f t="shared" si="130"/>
        <v>2.0793313644187511E-3</v>
      </c>
      <c r="AF194" s="3">
        <f t="shared" si="130"/>
        <v>2.0793303492760303E-3</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2.538048611821601E-3</v>
      </c>
      <c r="C196" s="3">
        <f t="shared" si="132"/>
        <v>2.538048611821601E-3</v>
      </c>
      <c r="D196" s="3">
        <f t="shared" si="132"/>
        <v>2.538048611821601E-3</v>
      </c>
      <c r="E196" s="3">
        <f t="shared" si="132"/>
        <v>2.538048611821601E-3</v>
      </c>
      <c r="F196" s="3">
        <f t="shared" si="132"/>
        <v>2.538048611821601E-3</v>
      </c>
      <c r="G196" s="3">
        <f t="shared" si="132"/>
        <v>2.538048611821601E-3</v>
      </c>
      <c r="H196" s="3">
        <f t="shared" si="132"/>
        <v>2.538048611821601E-3</v>
      </c>
      <c r="I196" s="3">
        <f t="shared" si="132"/>
        <v>2.538048611821601E-3</v>
      </c>
      <c r="J196" s="3">
        <f t="shared" si="132"/>
        <v>2.538048611821601E-3</v>
      </c>
      <c r="K196" s="3">
        <f t="shared" si="132"/>
        <v>2.538048611821601E-3</v>
      </c>
      <c r="L196" s="3">
        <f t="shared" si="132"/>
        <v>2.538048611821601E-3</v>
      </c>
      <c r="M196" s="3">
        <f t="shared" si="132"/>
        <v>2.538048611821601E-3</v>
      </c>
      <c r="N196" s="3">
        <f t="shared" si="132"/>
        <v>2.538048611821601E-3</v>
      </c>
      <c r="O196" s="3">
        <f t="shared" si="132"/>
        <v>2.538048611821601E-3</v>
      </c>
      <c r="P196" s="3">
        <f t="shared" si="132"/>
        <v>2.538048611821601E-3</v>
      </c>
      <c r="Q196" s="3">
        <f t="shared" si="132"/>
        <v>2.538048611821601E-3</v>
      </c>
      <c r="R196" s="3">
        <f t="shared" si="132"/>
        <v>2.538048611821601E-3</v>
      </c>
      <c r="S196" s="3">
        <f t="shared" si="132"/>
        <v>2.538048611821601E-3</v>
      </c>
      <c r="T196" s="3">
        <f t="shared" si="132"/>
        <v>2.538048611821601E-3</v>
      </c>
      <c r="U196" s="3">
        <f t="shared" si="132"/>
        <v>2.538048611821601E-3</v>
      </c>
      <c r="V196" s="3">
        <f t="shared" si="132"/>
        <v>2.538048611821601E-3</v>
      </c>
      <c r="W196" s="3">
        <f t="shared" si="132"/>
        <v>2.538048611821601E-3</v>
      </c>
      <c r="X196" s="3">
        <f t="shared" si="132"/>
        <v>2.538048611821601E-3</v>
      </c>
      <c r="Y196" s="3">
        <f t="shared" si="132"/>
        <v>2.5380486118215997E-3</v>
      </c>
      <c r="Z196" s="3">
        <f t="shared" si="132"/>
        <v>2.5380486118215871E-3</v>
      </c>
      <c r="AA196" s="3">
        <f t="shared" si="132"/>
        <v>2.5380486118214631E-3</v>
      </c>
      <c r="AB196" s="3">
        <f t="shared" si="132"/>
        <v>2.538048611820224E-3</v>
      </c>
      <c r="AC196" s="3">
        <f t="shared" si="132"/>
        <v>2.5380486118078333E-3</v>
      </c>
      <c r="AD196" s="3">
        <f t="shared" si="132"/>
        <v>2.5380486116839242E-3</v>
      </c>
      <c r="AE196" s="3">
        <f t="shared" si="132"/>
        <v>2.5380486104448325E-3</v>
      </c>
      <c r="AF196" s="3">
        <f t="shared" si="132"/>
        <v>2.5380485980539156E-3</v>
      </c>
      <c r="AG196" s="3"/>
      <c r="AH196" s="3"/>
    </row>
    <row r="197" spans="1:34" x14ac:dyDescent="0.25">
      <c r="B197" s="3">
        <f t="shared" ref="B197:AF197" si="133">$C44*EXP(-B$168/$A44/EXP(-$C$126))</f>
        <v>1.186723127453265E-7</v>
      </c>
      <c r="C197" s="3">
        <f t="shared" si="133"/>
        <v>1.186723127453265E-7</v>
      </c>
      <c r="D197" s="3">
        <f t="shared" si="133"/>
        <v>1.186723127453265E-7</v>
      </c>
      <c r="E197" s="3">
        <f t="shared" si="133"/>
        <v>1.186723127453265E-7</v>
      </c>
      <c r="F197" s="3">
        <f t="shared" si="133"/>
        <v>1.186723127453265E-7</v>
      </c>
      <c r="G197" s="3">
        <f t="shared" si="133"/>
        <v>1.186723127453265E-7</v>
      </c>
      <c r="H197" s="3">
        <f t="shared" si="133"/>
        <v>1.186723127453265E-7</v>
      </c>
      <c r="I197" s="3">
        <f t="shared" si="133"/>
        <v>1.186723127453265E-7</v>
      </c>
      <c r="J197" s="3">
        <f t="shared" si="133"/>
        <v>1.186723127453265E-7</v>
      </c>
      <c r="K197" s="3">
        <f t="shared" si="133"/>
        <v>1.186723127453265E-7</v>
      </c>
      <c r="L197" s="3">
        <f t="shared" si="133"/>
        <v>1.186723127453265E-7</v>
      </c>
      <c r="M197" s="3">
        <f t="shared" si="133"/>
        <v>1.186723127453265E-7</v>
      </c>
      <c r="N197" s="3">
        <f t="shared" si="133"/>
        <v>1.186723127453265E-7</v>
      </c>
      <c r="O197" s="3">
        <f t="shared" si="133"/>
        <v>1.186723127453265E-7</v>
      </c>
      <c r="P197" s="3">
        <f t="shared" si="133"/>
        <v>1.186723127453265E-7</v>
      </c>
      <c r="Q197" s="3">
        <f t="shared" si="133"/>
        <v>1.186723127453265E-7</v>
      </c>
      <c r="R197" s="3">
        <f t="shared" si="133"/>
        <v>1.186723127453265E-7</v>
      </c>
      <c r="S197" s="3">
        <f t="shared" si="133"/>
        <v>1.186723127453265E-7</v>
      </c>
      <c r="T197" s="3">
        <f t="shared" si="133"/>
        <v>1.186723127453265E-7</v>
      </c>
      <c r="U197" s="3">
        <f t="shared" si="133"/>
        <v>1.186723127453265E-7</v>
      </c>
      <c r="V197" s="3">
        <f t="shared" si="133"/>
        <v>1.186723127453265E-7</v>
      </c>
      <c r="W197" s="3">
        <f t="shared" si="133"/>
        <v>1.186723127453265E-7</v>
      </c>
      <c r="X197" s="3">
        <f t="shared" si="133"/>
        <v>1.186723127453265E-7</v>
      </c>
      <c r="Y197" s="3">
        <f t="shared" si="133"/>
        <v>1.186723127453265E-7</v>
      </c>
      <c r="Z197" s="3">
        <f t="shared" si="133"/>
        <v>1.1867231274532643E-7</v>
      </c>
      <c r="AA197" s="3">
        <f t="shared" si="133"/>
        <v>1.1867231274532585E-7</v>
      </c>
      <c r="AB197" s="3">
        <f t="shared" si="133"/>
        <v>1.1867231274532005E-7</v>
      </c>
      <c r="AC197" s="3">
        <f t="shared" si="133"/>
        <v>1.1867231274526212E-7</v>
      </c>
      <c r="AD197" s="3">
        <f t="shared" si="133"/>
        <v>1.1867231274468275E-7</v>
      </c>
      <c r="AE197" s="3">
        <f t="shared" si="133"/>
        <v>1.186723127388891E-7</v>
      </c>
      <c r="AF197" s="3">
        <f t="shared" si="133"/>
        <v>1.1867231268095251E-7</v>
      </c>
      <c r="AG197" s="3"/>
      <c r="AH197" s="3"/>
    </row>
    <row r="198" spans="1:34" x14ac:dyDescent="0.25">
      <c r="B198" s="3">
        <f t="shared" ref="B198:AF198" si="134">$C45*EXP(-B$168/$A45/EXP(-$C$126))</f>
        <v>1.5301760835243074E-4</v>
      </c>
      <c r="C198" s="3">
        <f t="shared" si="134"/>
        <v>1.5301760835243074E-4</v>
      </c>
      <c r="D198" s="3">
        <f t="shared" si="134"/>
        <v>1.5301760835243074E-4</v>
      </c>
      <c r="E198" s="3">
        <f t="shared" si="134"/>
        <v>1.5301760835243074E-4</v>
      </c>
      <c r="F198" s="3">
        <f t="shared" si="134"/>
        <v>1.5301760835243074E-4</v>
      </c>
      <c r="G198" s="3">
        <f t="shared" si="134"/>
        <v>1.5301760835243074E-4</v>
      </c>
      <c r="H198" s="3">
        <f t="shared" si="134"/>
        <v>1.5301760835243074E-4</v>
      </c>
      <c r="I198" s="3">
        <f t="shared" si="134"/>
        <v>1.5301760835243074E-4</v>
      </c>
      <c r="J198" s="3">
        <f t="shared" si="134"/>
        <v>1.5301760835243074E-4</v>
      </c>
      <c r="K198" s="3">
        <f t="shared" si="134"/>
        <v>1.5301760835243074E-4</v>
      </c>
      <c r="L198" s="3">
        <f t="shared" si="134"/>
        <v>1.5301760835243074E-4</v>
      </c>
      <c r="M198" s="3">
        <f t="shared" si="134"/>
        <v>1.5301760835243074E-4</v>
      </c>
      <c r="N198" s="3">
        <f t="shared" si="134"/>
        <v>1.5301760835243074E-4</v>
      </c>
      <c r="O198" s="3">
        <f t="shared" si="134"/>
        <v>1.5301760835243074E-4</v>
      </c>
      <c r="P198" s="3">
        <f t="shared" si="134"/>
        <v>1.5301760835243074E-4</v>
      </c>
      <c r="Q198" s="3">
        <f t="shared" si="134"/>
        <v>1.5301760835243074E-4</v>
      </c>
      <c r="R198" s="3">
        <f t="shared" si="134"/>
        <v>1.5301760835243074E-4</v>
      </c>
      <c r="S198" s="3">
        <f t="shared" si="134"/>
        <v>1.5301760835243074E-4</v>
      </c>
      <c r="T198" s="3">
        <f t="shared" si="134"/>
        <v>1.5301760835243074E-4</v>
      </c>
      <c r="U198" s="3">
        <f t="shared" si="134"/>
        <v>1.5301760835243074E-4</v>
      </c>
      <c r="V198" s="3">
        <f t="shared" si="134"/>
        <v>1.5301760835243074E-4</v>
      </c>
      <c r="W198" s="3">
        <f t="shared" si="134"/>
        <v>1.5301760835243074E-4</v>
      </c>
      <c r="X198" s="3">
        <f t="shared" si="134"/>
        <v>1.5301760835243074E-4</v>
      </c>
      <c r="Y198" s="3">
        <f t="shared" si="134"/>
        <v>1.5301760835243074E-4</v>
      </c>
      <c r="Z198" s="3">
        <f t="shared" si="134"/>
        <v>1.5301760835243074E-4</v>
      </c>
      <c r="AA198" s="3">
        <f t="shared" si="134"/>
        <v>1.5301760835243066E-4</v>
      </c>
      <c r="AB198" s="3">
        <f t="shared" si="134"/>
        <v>1.530176083524299E-4</v>
      </c>
      <c r="AC198" s="3">
        <f t="shared" si="134"/>
        <v>1.5301760835242245E-4</v>
      </c>
      <c r="AD198" s="3">
        <f t="shared" si="134"/>
        <v>1.5301760835234775E-4</v>
      </c>
      <c r="AE198" s="3">
        <f t="shared" si="134"/>
        <v>1.5301760835160071E-4</v>
      </c>
      <c r="AF198" s="3">
        <f t="shared" si="134"/>
        <v>1.5301760834413028E-4</v>
      </c>
      <c r="AG198" s="3"/>
      <c r="AH198" s="3"/>
    </row>
    <row r="199" spans="1:34" x14ac:dyDescent="0.25">
      <c r="B199" s="3">
        <f t="shared" ref="B199:AF199" si="135">$C46*EXP(-B$168/$A46/EXP(-$C$126))</f>
        <v>1.8120582087099855E-4</v>
      </c>
      <c r="C199" s="3">
        <f t="shared" si="135"/>
        <v>1.8120582087099855E-4</v>
      </c>
      <c r="D199" s="3">
        <f t="shared" si="135"/>
        <v>1.8120582087099855E-4</v>
      </c>
      <c r="E199" s="3">
        <f t="shared" si="135"/>
        <v>1.8120582087099855E-4</v>
      </c>
      <c r="F199" s="3">
        <f t="shared" si="135"/>
        <v>1.8120582087099855E-4</v>
      </c>
      <c r="G199" s="3">
        <f t="shared" si="135"/>
        <v>1.8120582087099855E-4</v>
      </c>
      <c r="H199" s="3">
        <f t="shared" si="135"/>
        <v>1.8120582087099855E-4</v>
      </c>
      <c r="I199" s="3">
        <f t="shared" si="135"/>
        <v>1.8120582087099855E-4</v>
      </c>
      <c r="J199" s="3">
        <f t="shared" si="135"/>
        <v>1.8120582087099855E-4</v>
      </c>
      <c r="K199" s="3">
        <f t="shared" si="135"/>
        <v>1.8120582087099855E-4</v>
      </c>
      <c r="L199" s="3">
        <f t="shared" si="135"/>
        <v>1.8120582087099855E-4</v>
      </c>
      <c r="M199" s="3">
        <f t="shared" si="135"/>
        <v>1.8120582087099855E-4</v>
      </c>
      <c r="N199" s="3">
        <f t="shared" si="135"/>
        <v>1.8120582087099855E-4</v>
      </c>
      <c r="O199" s="3">
        <f t="shared" si="135"/>
        <v>1.8120582087099855E-4</v>
      </c>
      <c r="P199" s="3">
        <f t="shared" si="135"/>
        <v>1.8120582087099855E-4</v>
      </c>
      <c r="Q199" s="3">
        <f t="shared" si="135"/>
        <v>1.8120582087099855E-4</v>
      </c>
      <c r="R199" s="3">
        <f t="shared" si="135"/>
        <v>1.8120582087099855E-4</v>
      </c>
      <c r="S199" s="3">
        <f t="shared" si="135"/>
        <v>1.8120582087099855E-4</v>
      </c>
      <c r="T199" s="3">
        <f t="shared" si="135"/>
        <v>1.8120582087099855E-4</v>
      </c>
      <c r="U199" s="3">
        <f t="shared" si="135"/>
        <v>1.8120582087099855E-4</v>
      </c>
      <c r="V199" s="3">
        <f t="shared" si="135"/>
        <v>1.8120582087099855E-4</v>
      </c>
      <c r="W199" s="3">
        <f t="shared" si="135"/>
        <v>1.8120582087099855E-4</v>
      </c>
      <c r="X199" s="3">
        <f t="shared" si="135"/>
        <v>1.8120582087099855E-4</v>
      </c>
      <c r="Y199" s="3">
        <f t="shared" si="135"/>
        <v>1.8120582087099855E-4</v>
      </c>
      <c r="Z199" s="3">
        <f t="shared" si="135"/>
        <v>1.8120582087099855E-4</v>
      </c>
      <c r="AA199" s="3">
        <f t="shared" si="135"/>
        <v>1.8120582087099855E-4</v>
      </c>
      <c r="AB199" s="3">
        <f t="shared" si="135"/>
        <v>1.8120582087099844E-4</v>
      </c>
      <c r="AC199" s="3">
        <f t="shared" si="135"/>
        <v>1.8120582087099757E-4</v>
      </c>
      <c r="AD199" s="3">
        <f t="shared" si="135"/>
        <v>1.8120582087098871E-4</v>
      </c>
      <c r="AE199" s="3">
        <f t="shared" si="135"/>
        <v>1.8120582087090026E-4</v>
      </c>
      <c r="AF199" s="3">
        <f t="shared" si="135"/>
        <v>1.8120582087001558E-4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79">
        <f>AVERAGE(B202:AF202)</f>
        <v>0.16481485884571803</v>
      </c>
      <c r="B202" s="80">
        <f>IF($A$64&lt;=B168,IF($B$64&gt;=B168,ABS((B170-B169)/B169),0),0)</f>
        <v>5.619022267949466E-3</v>
      </c>
      <c r="C202" s="80">
        <f t="shared" ref="C202:AF202" si="138">IF($A$64&lt;=C168,IF($B$64&gt;=C168,ABS((C170-C169)/C169),0),0)</f>
        <v>5.6289554038908146E-3</v>
      </c>
      <c r="D202" s="80">
        <f t="shared" si="138"/>
        <v>5.6246233091349265E-3</v>
      </c>
      <c r="E202" s="80">
        <f t="shared" si="138"/>
        <v>5.6319111916478147E-3</v>
      </c>
      <c r="F202" s="80">
        <f t="shared" si="138"/>
        <v>5.7179123293490961E-3</v>
      </c>
      <c r="G202" s="80">
        <f t="shared" si="138"/>
        <v>6.5794037386546706E-3</v>
      </c>
      <c r="H202" s="80">
        <f t="shared" si="138"/>
        <v>1.4966517626343823E-2</v>
      </c>
      <c r="I202" s="80">
        <f t="shared" si="138"/>
        <v>7.9551141877673093E-2</v>
      </c>
      <c r="J202" s="80">
        <f t="shared" si="138"/>
        <v>0.17463873806171423</v>
      </c>
      <c r="K202" s="80">
        <f t="shared" si="138"/>
        <v>0.15497347804960801</v>
      </c>
      <c r="L202" s="80">
        <f t="shared" si="138"/>
        <v>0.1399628744412568</v>
      </c>
      <c r="M202" s="80">
        <f t="shared" si="138"/>
        <v>0.12494650157354632</v>
      </c>
      <c r="N202" s="80">
        <f t="shared" si="138"/>
        <v>0.10806442065846017</v>
      </c>
      <c r="O202" s="80">
        <f t="shared" si="138"/>
        <v>9.5218056317446578E-2</v>
      </c>
      <c r="P202" s="80">
        <f t="shared" si="138"/>
        <v>0.10959650606174154</v>
      </c>
      <c r="Q202" s="80">
        <f t="shared" si="138"/>
        <v>0.11606627345284121</v>
      </c>
      <c r="R202" s="80">
        <f t="shared" si="138"/>
        <v>0.12475760123286539</v>
      </c>
      <c r="S202" s="80">
        <f t="shared" si="138"/>
        <v>0.13897683453405998</v>
      </c>
      <c r="T202" s="80">
        <f t="shared" si="138"/>
        <v>0.13612511836259908</v>
      </c>
      <c r="U202" s="80">
        <f t="shared" si="138"/>
        <v>7.4117222052421453E-2</v>
      </c>
      <c r="V202" s="80">
        <f t="shared" si="138"/>
        <v>6.2604559892021197E-2</v>
      </c>
      <c r="W202" s="80">
        <f t="shared" si="138"/>
        <v>0.21823028778590492</v>
      </c>
      <c r="X202" s="80">
        <f t="shared" si="138"/>
        <v>0.34722889496152454</v>
      </c>
      <c r="Y202" s="80">
        <f t="shared" si="138"/>
        <v>0.43861305792599758</v>
      </c>
      <c r="Z202" s="80">
        <f t="shared" si="138"/>
        <v>0.48510855950169457</v>
      </c>
      <c r="AA202" s="80">
        <f t="shared" si="138"/>
        <v>0.49589545279061814</v>
      </c>
      <c r="AB202" s="80">
        <f t="shared" si="138"/>
        <v>0.46671664163587046</v>
      </c>
      <c r="AC202" s="80">
        <f t="shared" si="138"/>
        <v>0.39447186157504655</v>
      </c>
      <c r="AD202" s="80">
        <f t="shared" si="138"/>
        <v>0.20085079746148149</v>
      </c>
      <c r="AE202" s="80">
        <f t="shared" si="138"/>
        <v>6.4719536989050433E-2</v>
      </c>
      <c r="AF202" s="80">
        <f t="shared" si="138"/>
        <v>0.30805786115484424</v>
      </c>
    </row>
    <row r="203" spans="1:34" x14ac:dyDescent="0.25">
      <c r="B203" s="21">
        <f>(B170-B169)^2</f>
        <v>1561.2393588241646</v>
      </c>
      <c r="C203" s="21">
        <f t="shared" ref="C203:AF203" si="139">(C170-C169)^2</f>
        <v>1566.7950855672782</v>
      </c>
      <c r="D203" s="21">
        <f t="shared" si="139"/>
        <v>1564.3679802581391</v>
      </c>
      <c r="E203" s="21">
        <f t="shared" si="139"/>
        <v>1568.4198279817042</v>
      </c>
      <c r="F203" s="21">
        <f t="shared" si="139"/>
        <v>1616.6802842065299</v>
      </c>
      <c r="G203" s="21">
        <f t="shared" si="139"/>
        <v>2140.4735371183683</v>
      </c>
      <c r="H203" s="21">
        <f t="shared" si="139"/>
        <v>11072.773311865547</v>
      </c>
      <c r="I203" s="21">
        <f t="shared" si="139"/>
        <v>311983.90767339541</v>
      </c>
      <c r="J203" s="21">
        <f t="shared" si="139"/>
        <v>1471479.2732228967</v>
      </c>
      <c r="K203" s="21">
        <f t="shared" si="139"/>
        <v>1103289.4600743297</v>
      </c>
      <c r="L203" s="21">
        <f t="shared" si="139"/>
        <v>868760.3121055665</v>
      </c>
      <c r="M203" s="21">
        <f t="shared" si="139"/>
        <v>668683.25827002584</v>
      </c>
      <c r="N203" s="21">
        <f t="shared" si="139"/>
        <v>480697.70325420744</v>
      </c>
      <c r="O203" s="21">
        <f t="shared" si="139"/>
        <v>357473.99615301104</v>
      </c>
      <c r="P203" s="21">
        <f t="shared" si="139"/>
        <v>450556.38138205832</v>
      </c>
      <c r="Q203" s="21">
        <f t="shared" si="139"/>
        <v>478015.87354574603</v>
      </c>
      <c r="R203" s="21">
        <f t="shared" si="139"/>
        <v>519545.47076154099</v>
      </c>
      <c r="S203" s="21">
        <f t="shared" si="139"/>
        <v>606171.20091962756</v>
      </c>
      <c r="T203" s="21">
        <f t="shared" si="139"/>
        <v>530140.74510969652</v>
      </c>
      <c r="U203" s="21">
        <f t="shared" si="139"/>
        <v>126216.35273514454</v>
      </c>
      <c r="V203" s="21">
        <f t="shared" si="139"/>
        <v>62893.887973005352</v>
      </c>
      <c r="W203" s="21">
        <f t="shared" si="139"/>
        <v>533342.15463174693</v>
      </c>
      <c r="X203" s="21">
        <f t="shared" si="139"/>
        <v>1008521.9310997215</v>
      </c>
      <c r="Y203" s="21">
        <f t="shared" si="139"/>
        <v>1270286.660537234</v>
      </c>
      <c r="Z203" s="21">
        <f t="shared" si="139"/>
        <v>1285328.14942863</v>
      </c>
      <c r="AA203" s="21">
        <f t="shared" si="139"/>
        <v>1138052.4263869054</v>
      </c>
      <c r="AB203" s="21">
        <f t="shared" si="139"/>
        <v>862844.40896615153</v>
      </c>
      <c r="AC203" s="21">
        <f t="shared" si="139"/>
        <v>520165.60703657061</v>
      </c>
      <c r="AD203" s="21">
        <f t="shared" si="139"/>
        <v>111858.16008605561</v>
      </c>
      <c r="AE203" s="21">
        <f t="shared" si="139"/>
        <v>9290.8092674746749</v>
      </c>
      <c r="AF203" s="21">
        <f t="shared" si="139"/>
        <v>159659.12348565477</v>
      </c>
      <c r="AG203" s="3"/>
      <c r="AH203" s="3"/>
    </row>
    <row r="204" spans="1:34" x14ac:dyDescent="0.25">
      <c r="A204" s="71">
        <f>SUM(B204:AF204)</f>
        <v>14956348.003492219</v>
      </c>
      <c r="B204" s="60">
        <f>IF($A$64&lt;=B168,IF($B$64&gt;=B168,ABS(B203),0),0)</f>
        <v>1561.2393588241646</v>
      </c>
      <c r="C204" s="60">
        <f t="shared" ref="C204" si="140">IF($A$64&lt;=C168,IF($B$64&gt;=C168,ABS(C203),0),0)</f>
        <v>1566.7950855672782</v>
      </c>
      <c r="D204" s="60">
        <f t="shared" ref="D204" si="141">IF($A$64&lt;=D168,IF($B$64&gt;=D168,ABS(D203),0),0)</f>
        <v>1564.3679802581391</v>
      </c>
      <c r="E204" s="60">
        <f t="shared" ref="E204" si="142">IF($A$64&lt;=E168,IF($B$64&gt;=E168,ABS(E203),0),0)</f>
        <v>1568.4198279817042</v>
      </c>
      <c r="F204" s="60">
        <f t="shared" ref="F204" si="143">IF($A$64&lt;=F168,IF($B$64&gt;=F168,ABS(F203),0),0)</f>
        <v>1616.6802842065299</v>
      </c>
      <c r="G204" s="60">
        <f t="shared" ref="G204" si="144">IF($A$64&lt;=G168,IF($B$64&gt;=G168,ABS(G203),0),0)</f>
        <v>2140.4735371183683</v>
      </c>
      <c r="H204" s="60">
        <f t="shared" ref="H204" si="145">IF($A$64&lt;=H168,IF($B$64&gt;=H168,ABS(H203),0),0)</f>
        <v>11072.773311865547</v>
      </c>
      <c r="I204" s="60">
        <f t="shared" ref="I204" si="146">IF($A$64&lt;=I168,IF($B$64&gt;=I168,ABS(I203),0),0)</f>
        <v>311983.90767339541</v>
      </c>
      <c r="J204" s="60">
        <f t="shared" ref="J204" si="147">IF($A$64&lt;=J168,IF($B$64&gt;=J168,ABS(J203),0),0)</f>
        <v>1471479.2732228967</v>
      </c>
      <c r="K204" s="60">
        <f t="shared" ref="K204" si="148">IF($A$64&lt;=K168,IF($B$64&gt;=K168,ABS(K203),0),0)</f>
        <v>1103289.4600743297</v>
      </c>
      <c r="L204" s="60">
        <f t="shared" ref="L204" si="149">IF($A$64&lt;=L168,IF($B$64&gt;=L168,ABS(L203),0),0)</f>
        <v>868760.3121055665</v>
      </c>
      <c r="M204" s="60">
        <f t="shared" ref="M204" si="150">IF($A$64&lt;=M168,IF($B$64&gt;=M168,ABS(M203),0),0)</f>
        <v>668683.25827002584</v>
      </c>
      <c r="N204" s="60">
        <f t="shared" ref="N204" si="151">IF($A$64&lt;=N168,IF($B$64&gt;=N168,ABS(N203),0),0)</f>
        <v>480697.70325420744</v>
      </c>
      <c r="O204" s="60">
        <f t="shared" ref="O204" si="152">IF($A$64&lt;=O168,IF($B$64&gt;=O168,ABS(O203),0),0)</f>
        <v>357473.99615301104</v>
      </c>
      <c r="P204" s="60">
        <f t="shared" ref="P204" si="153">IF($A$64&lt;=P168,IF($B$64&gt;=P168,ABS(P203),0),0)</f>
        <v>450556.38138205832</v>
      </c>
      <c r="Q204" s="60">
        <f t="shared" ref="Q204" si="154">IF($A$64&lt;=Q168,IF($B$64&gt;=Q168,ABS(Q203),0),0)</f>
        <v>478015.87354574603</v>
      </c>
      <c r="R204" s="60">
        <f t="shared" ref="R204" si="155">IF($A$64&lt;=R168,IF($B$64&gt;=R168,ABS(R203),0),0)</f>
        <v>519545.47076154099</v>
      </c>
      <c r="S204" s="60">
        <f t="shared" ref="S204" si="156">IF($A$64&lt;=S168,IF($B$64&gt;=S168,ABS(S203),0),0)</f>
        <v>606171.20091962756</v>
      </c>
      <c r="T204" s="60">
        <f t="shared" ref="T204" si="157">IF($A$64&lt;=T168,IF($B$64&gt;=T168,ABS(T203),0),0)</f>
        <v>530140.74510969652</v>
      </c>
      <c r="U204" s="60">
        <f t="shared" ref="U204" si="158">IF($A$64&lt;=U168,IF($B$64&gt;=U168,ABS(U203),0),0)</f>
        <v>126216.35273514454</v>
      </c>
      <c r="V204" s="60">
        <f t="shared" ref="V204" si="159">IF($A$64&lt;=V168,IF($B$64&gt;=V168,ABS(V203),0),0)</f>
        <v>62893.887973005352</v>
      </c>
      <c r="W204" s="60">
        <f t="shared" ref="W204" si="160">IF($A$64&lt;=W168,IF($B$64&gt;=W168,ABS(W203),0),0)</f>
        <v>533342.15463174693</v>
      </c>
      <c r="X204" s="60">
        <f t="shared" ref="X204" si="161">IF($A$64&lt;=X168,IF($B$64&gt;=X168,ABS(X203),0),0)</f>
        <v>1008521.9310997215</v>
      </c>
      <c r="Y204" s="60">
        <f t="shared" ref="Y204" si="162">IF($A$64&lt;=Y168,IF($B$64&gt;=Y168,ABS(Y203),0),0)</f>
        <v>1270286.660537234</v>
      </c>
      <c r="Z204" s="60">
        <f t="shared" ref="Z204" si="163">IF($A$64&lt;=Z168,IF($B$64&gt;=Z168,ABS(Z203),0),0)</f>
        <v>1285328.14942863</v>
      </c>
      <c r="AA204" s="60">
        <f t="shared" ref="AA204" si="164">IF($A$64&lt;=AA168,IF($B$64&gt;=AA168,ABS(AA203),0),0)</f>
        <v>1138052.4263869054</v>
      </c>
      <c r="AB204" s="60">
        <f t="shared" ref="AB204" si="165">IF($A$64&lt;=AB168,IF($B$64&gt;=AB168,ABS(AB203),0),0)</f>
        <v>862844.40896615153</v>
      </c>
      <c r="AC204" s="60">
        <f t="shared" ref="AC204" si="166">IF($A$64&lt;=AC168,IF($B$64&gt;=AC168,ABS(AC203),0),0)</f>
        <v>520165.60703657061</v>
      </c>
      <c r="AD204" s="60">
        <f t="shared" ref="AD204" si="167">IF($A$64&lt;=AD168,IF($B$64&gt;=AD168,ABS(AD203),0),0)</f>
        <v>111858.16008605561</v>
      </c>
      <c r="AE204" s="60">
        <f t="shared" ref="AE204" si="168">IF($A$64&lt;=AE168,IF($B$64&gt;=AE168,ABS(AE203),0),0)</f>
        <v>9290.8092674746749</v>
      </c>
      <c r="AF204" s="60">
        <f t="shared" ref="AF204" si="169">IF($A$64&lt;=AF168,IF($B$64&gt;=AF168,ABS(AF203),0),0)</f>
        <v>159659.12348565477</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6992.3988707222416</v>
      </c>
      <c r="C209" s="27">
        <f t="shared" ref="C209:AF209" si="170">($C$17+SUM(C210:C240))*$B$51</f>
        <v>6992.3104106592355</v>
      </c>
      <c r="D209" s="27">
        <f t="shared" si="170"/>
        <v>6991.426150185368</v>
      </c>
      <c r="E209" s="27">
        <f t="shared" si="170"/>
        <v>6982.6174732152167</v>
      </c>
      <c r="F209" s="27">
        <f t="shared" si="170"/>
        <v>6897.8373110420325</v>
      </c>
      <c r="G209" s="27">
        <f t="shared" si="170"/>
        <v>6309.0220441005213</v>
      </c>
      <c r="H209" s="27">
        <f t="shared" si="170"/>
        <v>5727.9405805348233</v>
      </c>
      <c r="I209" s="27">
        <f t="shared" si="170"/>
        <v>5727.4002355077546</v>
      </c>
      <c r="J209" s="27">
        <f t="shared" si="170"/>
        <v>5727.3367214152404</v>
      </c>
      <c r="K209" s="27">
        <f t="shared" si="170"/>
        <v>5726.702183475084</v>
      </c>
      <c r="L209" s="27">
        <f t="shared" si="170"/>
        <v>5720.4167059346755</v>
      </c>
      <c r="M209" s="27">
        <f t="shared" si="170"/>
        <v>5663.1744694671506</v>
      </c>
      <c r="N209" s="27">
        <f t="shared" si="170"/>
        <v>5407.7334343719131</v>
      </c>
      <c r="O209" s="27">
        <f t="shared" si="170"/>
        <v>5237.9985571123889</v>
      </c>
      <c r="P209" s="27">
        <f t="shared" si="170"/>
        <v>5013.7005015491595</v>
      </c>
      <c r="Q209" s="27">
        <f t="shared" si="170"/>
        <v>4784.7082688779465</v>
      </c>
      <c r="R209" s="27">
        <f t="shared" si="170"/>
        <v>4588.2876277968689</v>
      </c>
      <c r="S209" s="27">
        <f t="shared" si="170"/>
        <v>4407.1095916160293</v>
      </c>
      <c r="T209" s="27">
        <f t="shared" si="170"/>
        <v>4225.9116000826143</v>
      </c>
      <c r="U209" s="27">
        <f t="shared" si="170"/>
        <v>4048.0307772866872</v>
      </c>
      <c r="V209" s="27">
        <f t="shared" si="170"/>
        <v>3866.4835415165267</v>
      </c>
      <c r="W209" s="27">
        <f t="shared" si="170"/>
        <v>3663.0221187865468</v>
      </c>
      <c r="X209" s="27">
        <f t="shared" si="170"/>
        <v>3435.7029256804003</v>
      </c>
      <c r="Y209" s="27">
        <f t="shared" si="170"/>
        <v>3176.8302696023125</v>
      </c>
      <c r="Z209" s="27">
        <f t="shared" si="170"/>
        <v>2874.3436827945197</v>
      </c>
      <c r="AA209" s="27">
        <f t="shared" si="170"/>
        <v>2480.199733702354</v>
      </c>
      <c r="AB209" s="27">
        <f t="shared" si="170"/>
        <v>1917.2844320256863</v>
      </c>
      <c r="AC209" s="27">
        <f t="shared" si="170"/>
        <v>1319.4781504201028</v>
      </c>
      <c r="AD209" s="27">
        <f t="shared" si="170"/>
        <v>842.8722974231074</v>
      </c>
      <c r="AE209" s="27">
        <f t="shared" si="170"/>
        <v>529.20633789599378</v>
      </c>
      <c r="AF209" s="27">
        <f t="shared" si="170"/>
        <v>355.07380245036245</v>
      </c>
      <c r="AG209" s="27"/>
      <c r="AH209" s="27"/>
    </row>
    <row r="210" spans="1:34" x14ac:dyDescent="0.25">
      <c r="B210" s="3">
        <f t="shared" ref="B210:AF210" si="171">$C18*EXP(-B$207/$A18/EXP(-$D$126))</f>
        <v>0.18090927342628077</v>
      </c>
      <c r="C210" s="3">
        <f t="shared" si="171"/>
        <v>0.18089662255582273</v>
      </c>
      <c r="D210" s="3">
        <f t="shared" si="171"/>
        <v>0.18077016249773903</v>
      </c>
      <c r="E210" s="3">
        <f t="shared" si="171"/>
        <v>0.17951041400292592</v>
      </c>
      <c r="F210" s="3">
        <f t="shared" si="171"/>
        <v>0.16738581438947586</v>
      </c>
      <c r="G210" s="3">
        <f t="shared" si="171"/>
        <v>8.3178035828030822E-2</v>
      </c>
      <c r="H210" s="3">
        <f t="shared" si="171"/>
        <v>7.6367534757338802E-5</v>
      </c>
      <c r="I210" s="3">
        <f t="shared" si="171"/>
        <v>3.250198434340134E-35</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4.874732910661897E-2</v>
      </c>
      <c r="C211" s="3">
        <f t="shared" si="172"/>
        <v>4.8747329105745744E-2</v>
      </c>
      <c r="D211" s="3">
        <f t="shared" si="172"/>
        <v>4.8747329097013466E-2</v>
      </c>
      <c r="E211" s="3">
        <f t="shared" si="172"/>
        <v>4.8747329009690692E-2</v>
      </c>
      <c r="F211" s="3">
        <f t="shared" si="172"/>
        <v>4.8747328136463014E-2</v>
      </c>
      <c r="G211" s="3">
        <f t="shared" si="172"/>
        <v>4.8747319404187028E-2</v>
      </c>
      <c r="H211" s="3">
        <f t="shared" si="172"/>
        <v>4.8747232081513214E-2</v>
      </c>
      <c r="I211" s="3">
        <f t="shared" si="172"/>
        <v>4.8746358863378345E-2</v>
      </c>
      <c r="J211" s="3">
        <f t="shared" si="172"/>
        <v>4.873762754229987E-2</v>
      </c>
      <c r="K211" s="3">
        <f t="shared" si="172"/>
        <v>4.8650400301545015E-2</v>
      </c>
      <c r="L211" s="3">
        <f t="shared" si="172"/>
        <v>4.7786668188586325E-2</v>
      </c>
      <c r="M211" s="3">
        <f t="shared" si="172"/>
        <v>3.9949383830298356E-2</v>
      </c>
      <c r="N211" s="3">
        <f t="shared" si="172"/>
        <v>6.6610611934702591E-3</v>
      </c>
      <c r="O211" s="3">
        <f t="shared" si="172"/>
        <v>1.1063099164592942E-10</v>
      </c>
      <c r="P211" s="3">
        <f t="shared" si="172"/>
        <v>1.7668945177040712E-88</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1.8089335916321975E-2</v>
      </c>
      <c r="C212" s="3">
        <f t="shared" si="173"/>
        <v>1.8089335916292745E-2</v>
      </c>
      <c r="D212" s="3">
        <f t="shared" si="173"/>
        <v>1.808933591600043E-2</v>
      </c>
      <c r="E212" s="3">
        <f t="shared" si="173"/>
        <v>1.8089335913077317E-2</v>
      </c>
      <c r="F212" s="3">
        <f t="shared" si="173"/>
        <v>1.8089335883846168E-2</v>
      </c>
      <c r="G212" s="3">
        <f t="shared" si="173"/>
        <v>1.8089335591534677E-2</v>
      </c>
      <c r="H212" s="3">
        <f t="shared" si="173"/>
        <v>1.8089332668420045E-2</v>
      </c>
      <c r="I212" s="3">
        <f t="shared" si="173"/>
        <v>1.8089303437299697E-2</v>
      </c>
      <c r="J212" s="3">
        <f t="shared" si="173"/>
        <v>1.8089011128694172E-2</v>
      </c>
      <c r="K212" s="3">
        <f t="shared" si="173"/>
        <v>1.80860883024173E-2</v>
      </c>
      <c r="L212" s="3">
        <f t="shared" si="173"/>
        <v>1.8056886001960658E-2</v>
      </c>
      <c r="M212" s="3">
        <f t="shared" si="173"/>
        <v>1.7767443772734291E-2</v>
      </c>
      <c r="N212" s="3">
        <f t="shared" si="173"/>
        <v>1.5116313309661579E-2</v>
      </c>
      <c r="O212" s="3">
        <f t="shared" si="173"/>
        <v>3.003690875251909E-3</v>
      </c>
      <c r="P212" s="3">
        <f t="shared" si="173"/>
        <v>2.8823634343771321E-10</v>
      </c>
      <c r="Q212" s="3">
        <f t="shared" si="173"/>
        <v>1.9084631748982534E-80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3.7553125741215221E-2</v>
      </c>
      <c r="C213" s="3">
        <f t="shared" si="174"/>
        <v>3.7553125741209746E-2</v>
      </c>
      <c r="D213" s="3">
        <f t="shared" si="174"/>
        <v>3.7553125741155005E-2</v>
      </c>
      <c r="E213" s="3">
        <f t="shared" si="174"/>
        <v>3.7553125740607596E-2</v>
      </c>
      <c r="F213" s="3">
        <f t="shared" si="174"/>
        <v>3.7553125735133454E-2</v>
      </c>
      <c r="G213" s="3">
        <f t="shared" si="174"/>
        <v>3.7553125680392048E-2</v>
      </c>
      <c r="H213" s="3">
        <f t="shared" si="174"/>
        <v>3.7553125132977989E-2</v>
      </c>
      <c r="I213" s="3">
        <f t="shared" si="174"/>
        <v>3.7553119658837869E-2</v>
      </c>
      <c r="J213" s="3">
        <f t="shared" si="174"/>
        <v>3.755306491748054E-2</v>
      </c>
      <c r="K213" s="3">
        <f t="shared" si="174"/>
        <v>3.7552517508296038E-2</v>
      </c>
      <c r="L213" s="3">
        <f t="shared" si="174"/>
        <v>3.7547043855307466E-2</v>
      </c>
      <c r="M213" s="3">
        <f t="shared" si="174"/>
        <v>3.7492351187404571E-2</v>
      </c>
      <c r="N213" s="3">
        <f t="shared" si="174"/>
        <v>3.6949787141605246E-2</v>
      </c>
      <c r="O213" s="3">
        <f t="shared" si="174"/>
        <v>3.1937769776275556E-2</v>
      </c>
      <c r="P213" s="3">
        <f t="shared" si="174"/>
        <v>7.4341451560376668E-3</v>
      </c>
      <c r="Q213" s="3">
        <f t="shared" si="174"/>
        <v>3.4713271429335207E-9</v>
      </c>
      <c r="R213" s="3">
        <f t="shared" si="174"/>
        <v>1.7105690843957709E-72</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3.4655462333825E-2</v>
      </c>
      <c r="C214" s="3">
        <f t="shared" si="175"/>
        <v>3.4655462333824542E-2</v>
      </c>
      <c r="D214" s="3">
        <f t="shared" si="175"/>
        <v>3.4655462333819984E-2</v>
      </c>
      <c r="E214" s="3">
        <f t="shared" si="175"/>
        <v>3.4655462333774416E-2</v>
      </c>
      <c r="F214" s="3">
        <f t="shared" si="175"/>
        <v>3.4655462333318704E-2</v>
      </c>
      <c r="G214" s="3">
        <f t="shared" si="175"/>
        <v>3.4655462328761606E-2</v>
      </c>
      <c r="H214" s="3">
        <f t="shared" si="175"/>
        <v>3.4655462283190649E-2</v>
      </c>
      <c r="I214" s="3">
        <f t="shared" si="175"/>
        <v>3.4655461827481089E-2</v>
      </c>
      <c r="J214" s="3">
        <f t="shared" si="175"/>
        <v>3.4655457270385798E-2</v>
      </c>
      <c r="K214" s="3">
        <f t="shared" si="175"/>
        <v>3.4655411699465816E-2</v>
      </c>
      <c r="L214" s="3">
        <f t="shared" si="175"/>
        <v>3.4654955993561845E-2</v>
      </c>
      <c r="M214" s="3">
        <f t="shared" si="175"/>
        <v>3.4650399264089207E-2</v>
      </c>
      <c r="N214" s="3">
        <f t="shared" si="175"/>
        <v>3.4604864910040271E-2</v>
      </c>
      <c r="O214" s="3">
        <f t="shared" si="175"/>
        <v>3.415279946656994E-2</v>
      </c>
      <c r="P214" s="3">
        <f t="shared" si="175"/>
        <v>2.99445511246169E-2</v>
      </c>
      <c r="Q214" s="3">
        <f t="shared" si="175"/>
        <v>8.0395695981222218E-3</v>
      </c>
      <c r="R214" s="3">
        <f t="shared" si="175"/>
        <v>1.5645257609467441E-8</v>
      </c>
      <c r="S214" s="3">
        <f t="shared" si="175"/>
        <v>1.2186581888002E-65</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2.8039973666806783E-2</v>
      </c>
      <c r="C215" s="3">
        <f t="shared" si="176"/>
        <v>2.8039973666806748E-2</v>
      </c>
      <c r="D215" s="3">
        <f t="shared" si="176"/>
        <v>2.8039973666806415E-2</v>
      </c>
      <c r="E215" s="3">
        <f t="shared" si="176"/>
        <v>2.8039973666803091E-2</v>
      </c>
      <c r="F215" s="3">
        <f t="shared" si="176"/>
        <v>2.803997366676983E-2</v>
      </c>
      <c r="G215" s="3">
        <f t="shared" si="176"/>
        <v>2.8039973666437217E-2</v>
      </c>
      <c r="H215" s="3">
        <f t="shared" si="176"/>
        <v>2.8039973663111072E-2</v>
      </c>
      <c r="I215" s="3">
        <f t="shared" si="176"/>
        <v>2.8039973629849665E-2</v>
      </c>
      <c r="J215" s="3">
        <f t="shared" si="176"/>
        <v>2.8039973297235579E-2</v>
      </c>
      <c r="K215" s="3">
        <f t="shared" si="176"/>
        <v>2.8039969971094938E-2</v>
      </c>
      <c r="L215" s="3">
        <f t="shared" si="176"/>
        <v>2.8039936709710212E-2</v>
      </c>
      <c r="M215" s="3">
        <f t="shared" si="176"/>
        <v>2.8039604098033011E-2</v>
      </c>
      <c r="N215" s="3">
        <f t="shared" si="176"/>
        <v>2.8036278198253724E-2</v>
      </c>
      <c r="O215" s="3">
        <f t="shared" si="176"/>
        <v>2.8003040890213368E-2</v>
      </c>
      <c r="P215" s="3">
        <f t="shared" si="176"/>
        <v>2.7672827295580276E-2</v>
      </c>
      <c r="Q215" s="3">
        <f t="shared" si="176"/>
        <v>2.4577455248359265E-2</v>
      </c>
      <c r="R215" s="3">
        <f t="shared" si="176"/>
        <v>7.5053461519576032E-3</v>
      </c>
      <c r="S215" s="3">
        <f t="shared" si="176"/>
        <v>5.293084865693207E-8</v>
      </c>
      <c r="T215" s="3">
        <f t="shared" si="176"/>
        <v>1.6109800392356241E-59</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2.6812375730219603E-2</v>
      </c>
      <c r="C216" s="3">
        <f t="shared" si="177"/>
        <v>2.6812375730219599E-2</v>
      </c>
      <c r="D216" s="3">
        <f t="shared" si="177"/>
        <v>2.6812375730219572E-2</v>
      </c>
      <c r="E216" s="3">
        <f t="shared" si="177"/>
        <v>2.6812375730219284E-2</v>
      </c>
      <c r="F216" s="3">
        <f t="shared" si="177"/>
        <v>2.6812375730216415E-2</v>
      </c>
      <c r="G216" s="3">
        <f t="shared" si="177"/>
        <v>2.6812375730187726E-2</v>
      </c>
      <c r="H216" s="3">
        <f t="shared" si="177"/>
        <v>2.6812375729900813E-2</v>
      </c>
      <c r="I216" s="3">
        <f t="shared" si="177"/>
        <v>2.6812375727031719E-2</v>
      </c>
      <c r="J216" s="3">
        <f t="shared" si="177"/>
        <v>2.681237569834077E-2</v>
      </c>
      <c r="K216" s="3">
        <f t="shared" si="177"/>
        <v>2.6812375411431274E-2</v>
      </c>
      <c r="L216" s="3">
        <f t="shared" si="177"/>
        <v>2.6812372542336475E-2</v>
      </c>
      <c r="M216" s="3">
        <f t="shared" si="177"/>
        <v>2.6812343851405369E-2</v>
      </c>
      <c r="N216" s="3">
        <f t="shared" si="177"/>
        <v>2.6812056943782882E-2</v>
      </c>
      <c r="O216" s="3">
        <f t="shared" si="177"/>
        <v>2.6809188036406886E-2</v>
      </c>
      <c r="P216" s="3">
        <f t="shared" si="177"/>
        <v>2.6780515840850016E-2</v>
      </c>
      <c r="Q216" s="3">
        <f t="shared" si="177"/>
        <v>2.6495475042197698E-2</v>
      </c>
      <c r="R216" s="3">
        <f t="shared" si="177"/>
        <v>2.3806712904340954E-2</v>
      </c>
      <c r="S216" s="3">
        <f t="shared" si="177"/>
        <v>8.165385180960166E-3</v>
      </c>
      <c r="T216" s="3">
        <f t="shared" si="177"/>
        <v>1.8397088296427419E-7</v>
      </c>
      <c r="U216" s="3">
        <f t="shared" si="177"/>
        <v>6.2011645754681857E-54</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2.7632018567144069E-2</v>
      </c>
      <c r="C217" s="3">
        <f t="shared" si="178"/>
        <v>2.7632018567144069E-2</v>
      </c>
      <c r="D217" s="3">
        <f t="shared" si="178"/>
        <v>2.7632018567144066E-2</v>
      </c>
      <c r="E217" s="3">
        <f t="shared" si="178"/>
        <v>2.7632018567144038E-2</v>
      </c>
      <c r="F217" s="3">
        <f t="shared" si="178"/>
        <v>2.7632018567143771E-2</v>
      </c>
      <c r="G217" s="3">
        <f t="shared" si="178"/>
        <v>2.7632018567141106E-2</v>
      </c>
      <c r="H217" s="3">
        <f t="shared" si="178"/>
        <v>2.7632018567114433E-2</v>
      </c>
      <c r="I217" s="3">
        <f t="shared" si="178"/>
        <v>2.7632018566847705E-2</v>
      </c>
      <c r="J217" s="3">
        <f t="shared" si="178"/>
        <v>2.7632018564180422E-2</v>
      </c>
      <c r="K217" s="3">
        <f t="shared" si="178"/>
        <v>2.7632018537507609E-2</v>
      </c>
      <c r="L217" s="3">
        <f t="shared" si="178"/>
        <v>2.7632018270779473E-2</v>
      </c>
      <c r="M217" s="3">
        <f t="shared" si="178"/>
        <v>2.7632015603498251E-2</v>
      </c>
      <c r="N217" s="3">
        <f t="shared" si="178"/>
        <v>2.7631988930700204E-2</v>
      </c>
      <c r="O217" s="3">
        <f t="shared" si="178"/>
        <v>2.7631722204135817E-2</v>
      </c>
      <c r="P217" s="3">
        <f t="shared" si="178"/>
        <v>2.7629055080094302E-2</v>
      </c>
      <c r="Q217" s="3">
        <f t="shared" si="178"/>
        <v>2.7602397994859619E-2</v>
      </c>
      <c r="R217" s="3">
        <f t="shared" si="178"/>
        <v>2.7337237617978245E-2</v>
      </c>
      <c r="S217" s="3">
        <f t="shared" si="178"/>
        <v>2.4821771240024351E-2</v>
      </c>
      <c r="T217" s="3">
        <f t="shared" si="178"/>
        <v>9.4539691230794594E-3</v>
      </c>
      <c r="U217" s="3">
        <f t="shared" si="178"/>
        <v>6.0733496838328516E-7</v>
      </c>
      <c r="V217" s="3">
        <f t="shared" si="178"/>
        <v>7.2705851108128907E-49</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2.5920837907154132E-2</v>
      </c>
      <c r="C218" s="3">
        <f t="shared" si="179"/>
        <v>2.5920837907154132E-2</v>
      </c>
      <c r="D218" s="3">
        <f t="shared" si="179"/>
        <v>2.5920837907154132E-2</v>
      </c>
      <c r="E218" s="3">
        <f t="shared" si="179"/>
        <v>2.5920837907154128E-2</v>
      </c>
      <c r="F218" s="3">
        <f t="shared" si="179"/>
        <v>2.5920837907154107E-2</v>
      </c>
      <c r="G218" s="3">
        <f t="shared" si="179"/>
        <v>2.5920837907153882E-2</v>
      </c>
      <c r="H218" s="3">
        <f t="shared" si="179"/>
        <v>2.5920837907151627E-2</v>
      </c>
      <c r="I218" s="3">
        <f t="shared" si="179"/>
        <v>2.5920837907129051E-2</v>
      </c>
      <c r="J218" s="3">
        <f t="shared" si="179"/>
        <v>2.5920837906903339E-2</v>
      </c>
      <c r="K218" s="3">
        <f t="shared" si="179"/>
        <v>2.5920837904646239E-2</v>
      </c>
      <c r="L218" s="3">
        <f t="shared" si="179"/>
        <v>2.5920837882075182E-2</v>
      </c>
      <c r="M218" s="3">
        <f t="shared" si="179"/>
        <v>2.5920837656364638E-2</v>
      </c>
      <c r="N218" s="3">
        <f t="shared" si="179"/>
        <v>2.5920835399259316E-2</v>
      </c>
      <c r="O218" s="3">
        <f t="shared" si="179"/>
        <v>2.5920812828216899E-2</v>
      </c>
      <c r="P218" s="3">
        <f t="shared" si="179"/>
        <v>2.5920587118873694E-2</v>
      </c>
      <c r="Q218" s="3">
        <f t="shared" si="179"/>
        <v>2.5918330133535703E-2</v>
      </c>
      <c r="R218" s="3">
        <f t="shared" si="179"/>
        <v>2.5895771086079336E-2</v>
      </c>
      <c r="S218" s="3">
        <f t="shared" si="179"/>
        <v>2.5671257730462138E-2</v>
      </c>
      <c r="T218" s="3">
        <f t="shared" si="179"/>
        <v>2.3530445113555877E-2</v>
      </c>
      <c r="U218" s="3">
        <f t="shared" si="179"/>
        <v>9.8505413739624487E-3</v>
      </c>
      <c r="V218" s="3">
        <f t="shared" si="179"/>
        <v>1.6283946550620771E-6</v>
      </c>
      <c r="W218" s="3">
        <f t="shared" si="179"/>
        <v>2.4817347148797543E-44</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2.7391939908773026E-2</v>
      </c>
      <c r="C219" s="3">
        <f t="shared" si="180"/>
        <v>2.7391939908773026E-2</v>
      </c>
      <c r="D219" s="3">
        <f t="shared" si="180"/>
        <v>2.7391939908773026E-2</v>
      </c>
      <c r="E219" s="3">
        <f t="shared" si="180"/>
        <v>2.7391939908773026E-2</v>
      </c>
      <c r="F219" s="3">
        <f t="shared" si="180"/>
        <v>2.7391939908773023E-2</v>
      </c>
      <c r="G219" s="3">
        <f t="shared" si="180"/>
        <v>2.7391939908773002E-2</v>
      </c>
      <c r="H219" s="3">
        <f t="shared" si="180"/>
        <v>2.7391939908772787E-2</v>
      </c>
      <c r="I219" s="3">
        <f t="shared" si="180"/>
        <v>2.7391939908770636E-2</v>
      </c>
      <c r="J219" s="3">
        <f t="shared" si="180"/>
        <v>2.7391939908749122E-2</v>
      </c>
      <c r="K219" s="3">
        <f t="shared" si="180"/>
        <v>2.7391939908533953E-2</v>
      </c>
      <c r="L219" s="3">
        <f t="shared" si="180"/>
        <v>2.73919399063823E-2</v>
      </c>
      <c r="M219" s="3">
        <f t="shared" si="180"/>
        <v>2.7391939884865771E-2</v>
      </c>
      <c r="N219" s="3">
        <f t="shared" si="180"/>
        <v>2.7391939669700494E-2</v>
      </c>
      <c r="O219" s="3">
        <f t="shared" si="180"/>
        <v>2.7391937518047797E-2</v>
      </c>
      <c r="P219" s="3">
        <f t="shared" si="180"/>
        <v>2.7391916001530126E-2</v>
      </c>
      <c r="Q219" s="3">
        <f t="shared" si="180"/>
        <v>2.7391700837283008E-2</v>
      </c>
      <c r="R219" s="3">
        <f t="shared" si="180"/>
        <v>2.7389549287766268E-2</v>
      </c>
      <c r="S219" s="3">
        <f t="shared" si="180"/>
        <v>2.7368043085344431E-2</v>
      </c>
      <c r="T219" s="3">
        <f t="shared" si="180"/>
        <v>2.7153907640531622E-2</v>
      </c>
      <c r="U219" s="3">
        <f t="shared" si="180"/>
        <v>2.5102573798669276E-2</v>
      </c>
      <c r="V219" s="3">
        <f t="shared" si="180"/>
        <v>1.1443988505218317E-2</v>
      </c>
      <c r="W219" s="3">
        <f t="shared" si="180"/>
        <v>4.4378131912825602E-6</v>
      </c>
      <c r="X219" s="3">
        <f t="shared" si="180"/>
        <v>3.4125973971284053E-40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3.256547684040112E-2</v>
      </c>
      <c r="C220" s="3">
        <f t="shared" si="181"/>
        <v>3.256547684040112E-2</v>
      </c>
      <c r="D220" s="3">
        <f t="shared" si="181"/>
        <v>3.256547684040112E-2</v>
      </c>
      <c r="E220" s="3">
        <f t="shared" si="181"/>
        <v>3.256547684040112E-2</v>
      </c>
      <c r="F220" s="3">
        <f t="shared" si="181"/>
        <v>3.256547684040112E-2</v>
      </c>
      <c r="G220" s="3">
        <f t="shared" si="181"/>
        <v>3.2565476840401113E-2</v>
      </c>
      <c r="H220" s="3">
        <f t="shared" si="181"/>
        <v>3.2565476840401092E-2</v>
      </c>
      <c r="I220" s="3">
        <f t="shared" si="181"/>
        <v>3.2565476840400863E-2</v>
      </c>
      <c r="J220" s="3">
        <f t="shared" si="181"/>
        <v>3.2565476840398559E-2</v>
      </c>
      <c r="K220" s="3">
        <f t="shared" si="181"/>
        <v>3.256547684037548E-2</v>
      </c>
      <c r="L220" s="3">
        <f t="shared" si="181"/>
        <v>3.2565476840144721E-2</v>
      </c>
      <c r="M220" s="3">
        <f t="shared" si="181"/>
        <v>3.2565476837837164E-2</v>
      </c>
      <c r="N220" s="3">
        <f t="shared" si="181"/>
        <v>3.2565476814761539E-2</v>
      </c>
      <c r="O220" s="3">
        <f t="shared" si="181"/>
        <v>3.2565476584005312E-2</v>
      </c>
      <c r="P220" s="3">
        <f t="shared" si="181"/>
        <v>3.2565474276443108E-2</v>
      </c>
      <c r="Q220" s="3">
        <f t="shared" si="181"/>
        <v>3.2565451200830084E-2</v>
      </c>
      <c r="R220" s="3">
        <f t="shared" si="181"/>
        <v>3.256522044559914E-2</v>
      </c>
      <c r="S220" s="3">
        <f t="shared" si="181"/>
        <v>3.2562912983218679E-2</v>
      </c>
      <c r="T220" s="3">
        <f t="shared" si="181"/>
        <v>3.2539847349950558E-2</v>
      </c>
      <c r="U220" s="3">
        <f t="shared" si="181"/>
        <v>3.2310087718256657E-2</v>
      </c>
      <c r="V220" s="3">
        <f t="shared" si="181"/>
        <v>3.0099854435538753E-2</v>
      </c>
      <c r="W220" s="3">
        <f t="shared" si="181"/>
        <v>1.4819275700794004E-2</v>
      </c>
      <c r="X220" s="3">
        <f t="shared" si="181"/>
        <v>1.2400888499724173E-5</v>
      </c>
      <c r="Y220" s="3">
        <f t="shared" si="181"/>
        <v>2.0879065220718604E-36</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3.4198379990015168E-2</v>
      </c>
      <c r="C221" s="3">
        <f t="shared" si="182"/>
        <v>3.4198379990015168E-2</v>
      </c>
      <c r="D221" s="3">
        <f t="shared" si="182"/>
        <v>3.4198379990015168E-2</v>
      </c>
      <c r="E221" s="3">
        <f t="shared" si="182"/>
        <v>3.4198379990015168E-2</v>
      </c>
      <c r="F221" s="3">
        <f t="shared" si="182"/>
        <v>3.4198379990015168E-2</v>
      </c>
      <c r="G221" s="3">
        <f t="shared" si="182"/>
        <v>3.4198379990015168E-2</v>
      </c>
      <c r="H221" s="3">
        <f t="shared" si="182"/>
        <v>3.4198379990015161E-2</v>
      </c>
      <c r="I221" s="3">
        <f t="shared" si="182"/>
        <v>3.4198379990015147E-2</v>
      </c>
      <c r="J221" s="3">
        <f t="shared" si="182"/>
        <v>3.4198379990014925E-2</v>
      </c>
      <c r="K221" s="3">
        <f t="shared" si="182"/>
        <v>3.4198379990012739E-2</v>
      </c>
      <c r="L221" s="3">
        <f t="shared" si="182"/>
        <v>3.4198379989990882E-2</v>
      </c>
      <c r="M221" s="3">
        <f t="shared" si="182"/>
        <v>3.4198379989772279E-2</v>
      </c>
      <c r="N221" s="3">
        <f t="shared" si="182"/>
        <v>3.4198379987586291E-2</v>
      </c>
      <c r="O221" s="3">
        <f t="shared" si="182"/>
        <v>3.4198379965726396E-2</v>
      </c>
      <c r="P221" s="3">
        <f t="shared" si="182"/>
        <v>3.4198379747127416E-2</v>
      </c>
      <c r="Q221" s="3">
        <f t="shared" si="182"/>
        <v>3.419837756113777E-2</v>
      </c>
      <c r="R221" s="3">
        <f t="shared" si="182"/>
        <v>3.4198355701248961E-2</v>
      </c>
      <c r="S221" s="3">
        <f t="shared" si="182"/>
        <v>3.4198137103129418E-2</v>
      </c>
      <c r="T221" s="3">
        <f t="shared" si="182"/>
        <v>3.4195951198783596E-2</v>
      </c>
      <c r="U221" s="3">
        <f t="shared" si="182"/>
        <v>3.4174099838474671E-2</v>
      </c>
      <c r="V221" s="3">
        <f t="shared" si="182"/>
        <v>3.3956352736296165E-2</v>
      </c>
      <c r="W221" s="3">
        <f t="shared" si="182"/>
        <v>3.1853749554911354E-2</v>
      </c>
      <c r="X221" s="3">
        <f t="shared" si="182"/>
        <v>1.6809539238448263E-2</v>
      </c>
      <c r="Y221" s="3">
        <f t="shared" si="182"/>
        <v>2.8151937548659749E-5</v>
      </c>
      <c r="Z221" s="3">
        <f t="shared" si="182"/>
        <v>4.8868960553628506E-33</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4.2864410475860253E-2</v>
      </c>
      <c r="C222" s="3">
        <f t="shared" si="183"/>
        <v>4.2864410475860253E-2</v>
      </c>
      <c r="D222" s="3">
        <f t="shared" si="183"/>
        <v>4.2864410475860253E-2</v>
      </c>
      <c r="E222" s="3">
        <f t="shared" si="183"/>
        <v>4.2864410475860253E-2</v>
      </c>
      <c r="F222" s="3">
        <f t="shared" si="183"/>
        <v>4.2864410475860253E-2</v>
      </c>
      <c r="G222" s="3">
        <f t="shared" si="183"/>
        <v>4.2864410475860253E-2</v>
      </c>
      <c r="H222" s="3">
        <f t="shared" si="183"/>
        <v>4.2864410475860253E-2</v>
      </c>
      <c r="I222" s="3">
        <f t="shared" si="183"/>
        <v>4.2864410475860246E-2</v>
      </c>
      <c r="J222" s="3">
        <f t="shared" si="183"/>
        <v>4.2864410475860225E-2</v>
      </c>
      <c r="K222" s="3">
        <f t="shared" si="183"/>
        <v>4.2864410475859975E-2</v>
      </c>
      <c r="L222" s="3">
        <f t="shared" si="183"/>
        <v>4.2864410475857505E-2</v>
      </c>
      <c r="M222" s="3">
        <f t="shared" si="183"/>
        <v>4.2864410475832788E-2</v>
      </c>
      <c r="N222" s="3">
        <f t="shared" si="183"/>
        <v>4.2864410475585625E-2</v>
      </c>
      <c r="O222" s="3">
        <f t="shared" si="183"/>
        <v>4.2864410473113977E-2</v>
      </c>
      <c r="P222" s="3">
        <f t="shared" si="183"/>
        <v>4.286441044839754E-2</v>
      </c>
      <c r="Q222" s="3">
        <f t="shared" si="183"/>
        <v>4.286441020123307E-2</v>
      </c>
      <c r="R222" s="3">
        <f t="shared" si="183"/>
        <v>4.2864407729588522E-2</v>
      </c>
      <c r="S222" s="3">
        <f t="shared" si="183"/>
        <v>4.2864383013150806E-2</v>
      </c>
      <c r="T222" s="3">
        <f t="shared" si="183"/>
        <v>4.2864135849557589E-2</v>
      </c>
      <c r="U222" s="3">
        <f t="shared" si="183"/>
        <v>4.2861664292009424E-2</v>
      </c>
      <c r="V222" s="3">
        <f t="shared" si="183"/>
        <v>4.2836956553258927E-2</v>
      </c>
      <c r="W222" s="3">
        <f t="shared" si="183"/>
        <v>4.2590661169486017E-2</v>
      </c>
      <c r="X222" s="3">
        <f t="shared" si="183"/>
        <v>4.0204264727382956E-2</v>
      </c>
      <c r="Y222" s="3">
        <f t="shared" si="183"/>
        <v>2.2586531481691825E-2</v>
      </c>
      <c r="Z222" s="3">
        <f t="shared" si="183"/>
        <v>7.0733270057330152E-5</v>
      </c>
      <c r="AA222" s="3">
        <f t="shared" si="183"/>
        <v>6.4174968920562435E-30</v>
      </c>
      <c r="AB222" s="3">
        <f t="shared" si="183"/>
        <v>2.4254089387795115E-280</v>
      </c>
      <c r="AC222" s="3">
        <f t="shared" si="183"/>
        <v>0</v>
      </c>
      <c r="AD222" s="3">
        <f t="shared" si="183"/>
        <v>0</v>
      </c>
      <c r="AE222" s="3">
        <f t="shared" si="183"/>
        <v>0</v>
      </c>
      <c r="AF222" s="3">
        <f t="shared" si="183"/>
        <v>0</v>
      </c>
      <c r="AG222" s="3"/>
      <c r="AH222" s="3"/>
    </row>
    <row r="223" spans="1:34" x14ac:dyDescent="0.25">
      <c r="B223" s="3">
        <f t="shared" ref="B223:AF223" si="184">$C31*EXP(-B$207/$A31/EXP(-$D$126))</f>
        <v>4.3714566142705795E-2</v>
      </c>
      <c r="C223" s="3">
        <f t="shared" si="184"/>
        <v>4.3714566142705795E-2</v>
      </c>
      <c r="D223" s="3">
        <f t="shared" si="184"/>
        <v>4.3714566142705795E-2</v>
      </c>
      <c r="E223" s="3">
        <f t="shared" si="184"/>
        <v>4.3714566142705795E-2</v>
      </c>
      <c r="F223" s="3">
        <f t="shared" si="184"/>
        <v>4.3714566142705795E-2</v>
      </c>
      <c r="G223" s="3">
        <f t="shared" si="184"/>
        <v>4.3714566142705795E-2</v>
      </c>
      <c r="H223" s="3">
        <f t="shared" si="184"/>
        <v>4.3714566142705795E-2</v>
      </c>
      <c r="I223" s="3">
        <f t="shared" si="184"/>
        <v>4.3714566142705795E-2</v>
      </c>
      <c r="J223" s="3">
        <f t="shared" si="184"/>
        <v>4.3714566142705788E-2</v>
      </c>
      <c r="K223" s="3">
        <f t="shared" si="184"/>
        <v>4.3714566142705774E-2</v>
      </c>
      <c r="L223" s="3">
        <f t="shared" si="184"/>
        <v>4.3714566142705545E-2</v>
      </c>
      <c r="M223" s="3">
        <f t="shared" si="184"/>
        <v>4.3714566142703269E-2</v>
      </c>
      <c r="N223" s="3">
        <f t="shared" si="184"/>
        <v>4.371456614268053E-2</v>
      </c>
      <c r="O223" s="3">
        <f t="shared" si="184"/>
        <v>4.371456614245315E-2</v>
      </c>
      <c r="P223" s="3">
        <f t="shared" si="184"/>
        <v>4.3714566140179295E-2</v>
      </c>
      <c r="Q223" s="3">
        <f t="shared" si="184"/>
        <v>4.3714566117440783E-2</v>
      </c>
      <c r="R223" s="3">
        <f t="shared" si="184"/>
        <v>4.371456589005572E-2</v>
      </c>
      <c r="S223" s="3">
        <f t="shared" si="184"/>
        <v>4.3714563616205127E-2</v>
      </c>
      <c r="T223" s="3">
        <f t="shared" si="184"/>
        <v>4.3714540877705717E-2</v>
      </c>
      <c r="U223" s="3">
        <f t="shared" si="184"/>
        <v>4.3714313493362085E-2</v>
      </c>
      <c r="V223" s="3">
        <f t="shared" si="184"/>
        <v>4.3712039714976343E-2</v>
      </c>
      <c r="W223" s="3">
        <f t="shared" si="184"/>
        <v>4.3689308434924197E-2</v>
      </c>
      <c r="X223" s="3">
        <f t="shared" si="184"/>
        <v>4.3462644764952721E-2</v>
      </c>
      <c r="Y223" s="3">
        <f t="shared" si="184"/>
        <v>4.1259689004050921E-2</v>
      </c>
      <c r="Z223" s="3">
        <f t="shared" si="184"/>
        <v>2.4525843303177131E-2</v>
      </c>
      <c r="AA223" s="3">
        <f t="shared" si="184"/>
        <v>1.3508400861554615E-4</v>
      </c>
      <c r="AB223" s="3">
        <f t="shared" si="184"/>
        <v>3.4705942756265545E-27</v>
      </c>
      <c r="AC223" s="3">
        <f t="shared" si="184"/>
        <v>4.3491352038187272E-253</v>
      </c>
      <c r="AD223" s="3">
        <f t="shared" si="184"/>
        <v>0</v>
      </c>
      <c r="AE223" s="3">
        <f t="shared" si="184"/>
        <v>0</v>
      </c>
      <c r="AF223" s="3">
        <f t="shared" si="184"/>
        <v>0</v>
      </c>
      <c r="AG223" s="3"/>
      <c r="AH223" s="3"/>
    </row>
    <row r="224" spans="1:34" x14ac:dyDescent="0.25">
      <c r="B224" s="3">
        <f t="shared" ref="B224:AF224" si="185">$C32*EXP(-B$207/$A32/EXP(-$D$126))</f>
        <v>7.7757179566671539E-2</v>
      </c>
      <c r="C224" s="3">
        <f t="shared" si="185"/>
        <v>7.7757179566671539E-2</v>
      </c>
      <c r="D224" s="3">
        <f t="shared" si="185"/>
        <v>7.7757179566671539E-2</v>
      </c>
      <c r="E224" s="3">
        <f t="shared" si="185"/>
        <v>7.7757179566671539E-2</v>
      </c>
      <c r="F224" s="3">
        <f t="shared" si="185"/>
        <v>7.7757179566671539E-2</v>
      </c>
      <c r="G224" s="3">
        <f t="shared" si="185"/>
        <v>7.7757179566671539E-2</v>
      </c>
      <c r="H224" s="3">
        <f t="shared" si="185"/>
        <v>7.7757179566671539E-2</v>
      </c>
      <c r="I224" s="3">
        <f t="shared" si="185"/>
        <v>7.7757179566671539E-2</v>
      </c>
      <c r="J224" s="3">
        <f t="shared" si="185"/>
        <v>7.7757179566671539E-2</v>
      </c>
      <c r="K224" s="3">
        <f t="shared" si="185"/>
        <v>7.7757179566671539E-2</v>
      </c>
      <c r="L224" s="3">
        <f t="shared" si="185"/>
        <v>7.7757179566671497E-2</v>
      </c>
      <c r="M224" s="3">
        <f t="shared" si="185"/>
        <v>7.7757179566671136E-2</v>
      </c>
      <c r="N224" s="3">
        <f t="shared" si="185"/>
        <v>7.7757179566667486E-2</v>
      </c>
      <c r="O224" s="3">
        <f t="shared" si="185"/>
        <v>7.7757179566631002E-2</v>
      </c>
      <c r="P224" s="3">
        <f t="shared" si="185"/>
        <v>7.7757179566266141E-2</v>
      </c>
      <c r="Q224" s="3">
        <f t="shared" si="185"/>
        <v>7.7757179562617573E-2</v>
      </c>
      <c r="R224" s="3">
        <f t="shared" si="185"/>
        <v>7.7757179526131856E-2</v>
      </c>
      <c r="S224" s="3">
        <f t="shared" si="185"/>
        <v>7.7757179161274712E-2</v>
      </c>
      <c r="T224" s="3">
        <f t="shared" si="185"/>
        <v>7.775717551270335E-2</v>
      </c>
      <c r="U224" s="3">
        <f t="shared" si="185"/>
        <v>7.7757139026999211E-2</v>
      </c>
      <c r="V224" s="3">
        <f t="shared" si="185"/>
        <v>7.775677417089942E-2</v>
      </c>
      <c r="W224" s="3">
        <f t="shared" si="185"/>
        <v>7.77531257040599E-2</v>
      </c>
      <c r="X224" s="3">
        <f t="shared" si="185"/>
        <v>7.7716650449880187E-2</v>
      </c>
      <c r="Y224" s="3">
        <f t="shared" si="185"/>
        <v>7.7352837697231988E-2</v>
      </c>
      <c r="Z224" s="3">
        <f t="shared" si="185"/>
        <v>7.3807077758652292E-2</v>
      </c>
      <c r="AA224" s="3">
        <f t="shared" si="185"/>
        <v>4.6165294733779144E-2</v>
      </c>
      <c r="AB224" s="3">
        <f t="shared" si="185"/>
        <v>4.2314735619161469E-4</v>
      </c>
      <c r="AC224" s="3">
        <f t="shared" si="185"/>
        <v>1.7711356453541107E-24</v>
      </c>
      <c r="AD224" s="3">
        <f t="shared" si="185"/>
        <v>2.9231677740769048E-228</v>
      </c>
      <c r="AE224" s="3">
        <f t="shared" si="185"/>
        <v>0</v>
      </c>
      <c r="AF224" s="3">
        <f t="shared" si="185"/>
        <v>0</v>
      </c>
      <c r="AG224" s="3"/>
      <c r="AH224" s="3"/>
    </row>
    <row r="225" spans="2:34" x14ac:dyDescent="0.25">
      <c r="B225" s="3">
        <f t="shared" ref="B225:AF225" si="186">$C33*EXP(-B$207/$A33/EXP(-$D$126))</f>
        <v>9.5507274749383017E-2</v>
      </c>
      <c r="C225" s="3">
        <f t="shared" si="186"/>
        <v>9.5507274749383017E-2</v>
      </c>
      <c r="D225" s="3">
        <f t="shared" si="186"/>
        <v>9.5507274749383017E-2</v>
      </c>
      <c r="E225" s="3">
        <f t="shared" si="186"/>
        <v>9.5507274749383017E-2</v>
      </c>
      <c r="F225" s="3">
        <f t="shared" si="186"/>
        <v>9.5507274749383017E-2</v>
      </c>
      <c r="G225" s="3">
        <f t="shared" si="186"/>
        <v>9.5507274749383017E-2</v>
      </c>
      <c r="H225" s="3">
        <f t="shared" si="186"/>
        <v>9.5507274749383017E-2</v>
      </c>
      <c r="I225" s="3">
        <f t="shared" si="186"/>
        <v>9.5507274749383017E-2</v>
      </c>
      <c r="J225" s="3">
        <f t="shared" si="186"/>
        <v>9.5507274749383017E-2</v>
      </c>
      <c r="K225" s="3">
        <f t="shared" si="186"/>
        <v>9.5507274749383017E-2</v>
      </c>
      <c r="L225" s="3">
        <f t="shared" si="186"/>
        <v>9.5507274749383017E-2</v>
      </c>
      <c r="M225" s="3">
        <f t="shared" si="186"/>
        <v>9.5507274749382975E-2</v>
      </c>
      <c r="N225" s="3">
        <f t="shared" si="186"/>
        <v>9.5507274749382573E-2</v>
      </c>
      <c r="O225" s="3">
        <f t="shared" si="186"/>
        <v>9.5507274749378521E-2</v>
      </c>
      <c r="P225" s="3">
        <f t="shared" si="186"/>
        <v>9.5507274749338095E-2</v>
      </c>
      <c r="Q225" s="3">
        <f t="shared" si="186"/>
        <v>9.5507274748933835E-2</v>
      </c>
      <c r="R225" s="3">
        <f t="shared" si="186"/>
        <v>9.5507274744891194E-2</v>
      </c>
      <c r="S225" s="3">
        <f t="shared" si="186"/>
        <v>9.5507274704464754E-2</v>
      </c>
      <c r="T225" s="3">
        <f t="shared" si="186"/>
        <v>9.5507274300200451E-2</v>
      </c>
      <c r="U225" s="3">
        <f t="shared" si="186"/>
        <v>9.5507270257557467E-2</v>
      </c>
      <c r="V225" s="3">
        <f t="shared" si="186"/>
        <v>9.5507229831136992E-2</v>
      </c>
      <c r="W225" s="3">
        <f t="shared" si="186"/>
        <v>9.5506825567873349E-2</v>
      </c>
      <c r="X225" s="3">
        <f t="shared" si="186"/>
        <v>9.5502783029349975E-2</v>
      </c>
      <c r="Y225" s="3">
        <f t="shared" si="186"/>
        <v>9.5462367053939526E-2</v>
      </c>
      <c r="Z225" s="3">
        <f t="shared" si="186"/>
        <v>9.5059146810119816E-2</v>
      </c>
      <c r="AA225" s="3">
        <f t="shared" si="186"/>
        <v>9.1119440506379143E-2</v>
      </c>
      <c r="AB225" s="3">
        <f t="shared" si="186"/>
        <v>5.9673617786932726E-2</v>
      </c>
      <c r="AC225" s="3">
        <f t="shared" si="186"/>
        <v>8.659555638821935E-4</v>
      </c>
      <c r="AD225" s="3">
        <f t="shared" si="186"/>
        <v>3.5861462237569038E-22</v>
      </c>
      <c r="AE225" s="3">
        <f t="shared" si="186"/>
        <v>5.3204928260591046E-206</v>
      </c>
      <c r="AF225" s="3">
        <f t="shared" si="186"/>
        <v>0</v>
      </c>
      <c r="AG225" s="3"/>
      <c r="AH225" s="3"/>
    </row>
    <row r="226" spans="2:34" x14ac:dyDescent="0.25">
      <c r="B226" s="3">
        <f t="shared" ref="B226:AF226" si="187">$C34*EXP(-B$207/$A34/EXP(-$D$126))</f>
        <v>8.003075559639232E-2</v>
      </c>
      <c r="C226" s="3">
        <f t="shared" si="187"/>
        <v>8.003075559639232E-2</v>
      </c>
      <c r="D226" s="3">
        <f t="shared" si="187"/>
        <v>8.003075559639232E-2</v>
      </c>
      <c r="E226" s="3">
        <f t="shared" si="187"/>
        <v>8.003075559639232E-2</v>
      </c>
      <c r="F226" s="3">
        <f t="shared" si="187"/>
        <v>8.003075559639232E-2</v>
      </c>
      <c r="G226" s="3">
        <f t="shared" si="187"/>
        <v>8.003075559639232E-2</v>
      </c>
      <c r="H226" s="3">
        <f t="shared" si="187"/>
        <v>8.003075559639232E-2</v>
      </c>
      <c r="I226" s="3">
        <f t="shared" si="187"/>
        <v>8.003075559639232E-2</v>
      </c>
      <c r="J226" s="3">
        <f t="shared" si="187"/>
        <v>8.003075559639232E-2</v>
      </c>
      <c r="K226" s="3">
        <f t="shared" si="187"/>
        <v>8.003075559639232E-2</v>
      </c>
      <c r="L226" s="3">
        <f t="shared" si="187"/>
        <v>8.003075559639232E-2</v>
      </c>
      <c r="M226" s="3">
        <f t="shared" si="187"/>
        <v>8.003075559639232E-2</v>
      </c>
      <c r="N226" s="3">
        <f t="shared" si="187"/>
        <v>8.0030755596392278E-2</v>
      </c>
      <c r="O226" s="3">
        <f t="shared" si="187"/>
        <v>8.0030755596391986E-2</v>
      </c>
      <c r="P226" s="3">
        <f t="shared" si="187"/>
        <v>8.0030755596388919E-2</v>
      </c>
      <c r="Q226" s="3">
        <f t="shared" si="187"/>
        <v>8.0030755596358374E-2</v>
      </c>
      <c r="R226" s="3">
        <f t="shared" si="187"/>
        <v>8.0030755596052786E-2</v>
      </c>
      <c r="S226" s="3">
        <f t="shared" si="187"/>
        <v>8.0030755592996924E-2</v>
      </c>
      <c r="T226" s="3">
        <f t="shared" si="187"/>
        <v>8.0030755562438396E-2</v>
      </c>
      <c r="U226" s="3">
        <f t="shared" si="187"/>
        <v>8.0030755256853103E-2</v>
      </c>
      <c r="V226" s="3">
        <f t="shared" si="187"/>
        <v>8.0030752201000199E-2</v>
      </c>
      <c r="W226" s="3">
        <f t="shared" si="187"/>
        <v>8.0030721642477501E-2</v>
      </c>
      <c r="X226" s="3">
        <f t="shared" si="187"/>
        <v>8.0030416057892309E-2</v>
      </c>
      <c r="Y226" s="3">
        <f t="shared" si="187"/>
        <v>8.0027360276215181E-2</v>
      </c>
      <c r="Z226" s="3">
        <f t="shared" si="187"/>
        <v>7.9996808876007672E-2</v>
      </c>
      <c r="AA226" s="3">
        <f t="shared" si="187"/>
        <v>7.9691935624707222E-2</v>
      </c>
      <c r="AB226" s="3">
        <f t="shared" si="187"/>
        <v>7.6706382114974325E-2</v>
      </c>
      <c r="AC226" s="3">
        <f t="shared" si="187"/>
        <v>5.2360374078813429E-2</v>
      </c>
      <c r="AD226" s="3">
        <f t="shared" si="187"/>
        <v>1.1500458395357336E-3</v>
      </c>
      <c r="AE226" s="3">
        <f t="shared" si="187"/>
        <v>3.004963885041731E-20</v>
      </c>
      <c r="AF226" s="3">
        <f t="shared" si="187"/>
        <v>4.457386703774921E-186</v>
      </c>
      <c r="AG226" s="3"/>
      <c r="AH226" s="3"/>
    </row>
    <row r="227" spans="2:34" x14ac:dyDescent="0.25">
      <c r="B227" s="3">
        <f t="shared" ref="B227:AF227" si="188">$C35*EXP(-B$207/$A35/EXP(-$D$126))</f>
        <v>5.3976889971713508E-2</v>
      </c>
      <c r="C227" s="3">
        <f t="shared" si="188"/>
        <v>5.3976889971713508E-2</v>
      </c>
      <c r="D227" s="3">
        <f t="shared" si="188"/>
        <v>5.3976889971713508E-2</v>
      </c>
      <c r="E227" s="3">
        <f t="shared" si="188"/>
        <v>5.3976889971713508E-2</v>
      </c>
      <c r="F227" s="3">
        <f t="shared" si="188"/>
        <v>5.3976889971713508E-2</v>
      </c>
      <c r="G227" s="3">
        <f t="shared" si="188"/>
        <v>5.3976889971713508E-2</v>
      </c>
      <c r="H227" s="3">
        <f t="shared" si="188"/>
        <v>5.3976889971713508E-2</v>
      </c>
      <c r="I227" s="3">
        <f t="shared" si="188"/>
        <v>5.3976889971713508E-2</v>
      </c>
      <c r="J227" s="3">
        <f t="shared" si="188"/>
        <v>5.3976889971713508E-2</v>
      </c>
      <c r="K227" s="3">
        <f t="shared" si="188"/>
        <v>5.3976889971713508E-2</v>
      </c>
      <c r="L227" s="3">
        <f t="shared" si="188"/>
        <v>5.3976889971713508E-2</v>
      </c>
      <c r="M227" s="3">
        <f t="shared" si="188"/>
        <v>5.3976889971713508E-2</v>
      </c>
      <c r="N227" s="3">
        <f t="shared" si="188"/>
        <v>5.3976889971713508E-2</v>
      </c>
      <c r="O227" s="3">
        <f t="shared" si="188"/>
        <v>5.3976889971713488E-2</v>
      </c>
      <c r="P227" s="3">
        <f t="shared" si="188"/>
        <v>5.3976889971713307E-2</v>
      </c>
      <c r="Q227" s="3">
        <f t="shared" si="188"/>
        <v>5.3976889971711441E-2</v>
      </c>
      <c r="R227" s="3">
        <f t="shared" si="188"/>
        <v>5.3976889971692851E-2</v>
      </c>
      <c r="S227" s="3">
        <f t="shared" si="188"/>
        <v>5.3976889971506931E-2</v>
      </c>
      <c r="T227" s="3">
        <f t="shared" si="188"/>
        <v>5.3976889969647716E-2</v>
      </c>
      <c r="U227" s="3">
        <f t="shared" si="188"/>
        <v>5.3976889951055547E-2</v>
      </c>
      <c r="V227" s="3">
        <f t="shared" si="188"/>
        <v>5.3976889765133887E-2</v>
      </c>
      <c r="W227" s="3">
        <f t="shared" si="188"/>
        <v>5.3976887905917328E-2</v>
      </c>
      <c r="X227" s="3">
        <f t="shared" si="188"/>
        <v>5.3976869313755255E-2</v>
      </c>
      <c r="Y227" s="3">
        <f t="shared" si="188"/>
        <v>5.3976683392486749E-2</v>
      </c>
      <c r="Z227" s="3">
        <f t="shared" si="188"/>
        <v>5.3974824215023288E-2</v>
      </c>
      <c r="AA227" s="3">
        <f t="shared" si="188"/>
        <v>5.3956235962096366E-2</v>
      </c>
      <c r="AB227" s="3">
        <f t="shared" si="188"/>
        <v>5.3770705155188239E-2</v>
      </c>
      <c r="AC227" s="3">
        <f t="shared" si="188"/>
        <v>5.1950125168558257E-2</v>
      </c>
      <c r="AD227" s="3">
        <f t="shared" si="188"/>
        <v>3.6812495758488425E-2</v>
      </c>
      <c r="AE227" s="3">
        <f t="shared" si="188"/>
        <v>1.1751191405279594E-3</v>
      </c>
      <c r="AF227" s="3">
        <f t="shared" si="188"/>
        <v>1.2910655150971467E-18</v>
      </c>
      <c r="AG227" s="3"/>
      <c r="AH227" s="3"/>
    </row>
    <row r="228" spans="2:34" x14ac:dyDescent="0.25">
      <c r="B228" s="3">
        <f t="shared" ref="B228:AF228" si="189">$C36*EXP(-B$207/$A36/EXP(-$D$126))</f>
        <v>2.9623895965477303E-2</v>
      </c>
      <c r="C228" s="3">
        <f t="shared" si="189"/>
        <v>2.9623895965477303E-2</v>
      </c>
      <c r="D228" s="3">
        <f t="shared" si="189"/>
        <v>2.9623895965477303E-2</v>
      </c>
      <c r="E228" s="3">
        <f t="shared" si="189"/>
        <v>2.9623895965477303E-2</v>
      </c>
      <c r="F228" s="3">
        <f t="shared" si="189"/>
        <v>2.9623895965477303E-2</v>
      </c>
      <c r="G228" s="3">
        <f t="shared" si="189"/>
        <v>2.9623895965477303E-2</v>
      </c>
      <c r="H228" s="3">
        <f t="shared" si="189"/>
        <v>2.9623895965477303E-2</v>
      </c>
      <c r="I228" s="3">
        <f t="shared" si="189"/>
        <v>2.9623895965477303E-2</v>
      </c>
      <c r="J228" s="3">
        <f t="shared" si="189"/>
        <v>2.9623895965477303E-2</v>
      </c>
      <c r="K228" s="3">
        <f t="shared" si="189"/>
        <v>2.9623895965477303E-2</v>
      </c>
      <c r="L228" s="3">
        <f t="shared" si="189"/>
        <v>2.9623895965477303E-2</v>
      </c>
      <c r="M228" s="3">
        <f t="shared" si="189"/>
        <v>2.9623895965477303E-2</v>
      </c>
      <c r="N228" s="3">
        <f t="shared" si="189"/>
        <v>2.9623895965477303E-2</v>
      </c>
      <c r="O228" s="3">
        <f t="shared" si="189"/>
        <v>2.9623895965477303E-2</v>
      </c>
      <c r="P228" s="3">
        <f t="shared" si="189"/>
        <v>2.9623895965477293E-2</v>
      </c>
      <c r="Q228" s="3">
        <f t="shared" si="189"/>
        <v>2.9623895965477202E-2</v>
      </c>
      <c r="R228" s="3">
        <f t="shared" si="189"/>
        <v>2.962389596547628E-2</v>
      </c>
      <c r="S228" s="3">
        <f t="shared" si="189"/>
        <v>2.9623895965467075E-2</v>
      </c>
      <c r="T228" s="3">
        <f t="shared" si="189"/>
        <v>2.9623895965375027E-2</v>
      </c>
      <c r="U228" s="3">
        <f t="shared" si="189"/>
        <v>2.9623895964454555E-2</v>
      </c>
      <c r="V228" s="3">
        <f t="shared" si="189"/>
        <v>2.9623895955249828E-2</v>
      </c>
      <c r="W228" s="3">
        <f t="shared" si="189"/>
        <v>2.9623895863202562E-2</v>
      </c>
      <c r="X228" s="3">
        <f t="shared" si="189"/>
        <v>2.9623894942729916E-2</v>
      </c>
      <c r="Y228" s="3">
        <f t="shared" si="189"/>
        <v>2.9623885738005035E-2</v>
      </c>
      <c r="Z228" s="3">
        <f t="shared" si="189"/>
        <v>2.962379369091353E-2</v>
      </c>
      <c r="AA228" s="3">
        <f t="shared" si="189"/>
        <v>2.9622873235728747E-2</v>
      </c>
      <c r="AB228" s="3">
        <f t="shared" si="189"/>
        <v>2.9613670256729188E-2</v>
      </c>
      <c r="AC228" s="3">
        <f t="shared" si="189"/>
        <v>2.9521797570886604E-2</v>
      </c>
      <c r="AD228" s="3">
        <f t="shared" si="189"/>
        <v>2.8618602002311446E-2</v>
      </c>
      <c r="AE228" s="3">
        <f t="shared" si="189"/>
        <v>2.0975126317083648E-2</v>
      </c>
      <c r="AF228" s="3">
        <f t="shared" si="189"/>
        <v>9.3813704248476789E-4</v>
      </c>
      <c r="AG228" s="3"/>
      <c r="AH228" s="3"/>
    </row>
    <row r="229" spans="2:34" x14ac:dyDescent="0.25">
      <c r="B229" s="3">
        <f t="shared" ref="B229:AF229" si="190">$C37*EXP(-B$207/$A37/EXP(-$D$126))</f>
        <v>1.5005107194779805E-2</v>
      </c>
      <c r="C229" s="3">
        <f t="shared" si="190"/>
        <v>1.5005107194779805E-2</v>
      </c>
      <c r="D229" s="3">
        <f t="shared" si="190"/>
        <v>1.5005107194779805E-2</v>
      </c>
      <c r="E229" s="3">
        <f t="shared" si="190"/>
        <v>1.5005107194779805E-2</v>
      </c>
      <c r="F229" s="3">
        <f t="shared" si="190"/>
        <v>1.5005107194779805E-2</v>
      </c>
      <c r="G229" s="3">
        <f t="shared" si="190"/>
        <v>1.5005107194779805E-2</v>
      </c>
      <c r="H229" s="3">
        <f t="shared" si="190"/>
        <v>1.5005107194779805E-2</v>
      </c>
      <c r="I229" s="3">
        <f t="shared" si="190"/>
        <v>1.5005107194779805E-2</v>
      </c>
      <c r="J229" s="3">
        <f t="shared" si="190"/>
        <v>1.5005107194779805E-2</v>
      </c>
      <c r="K229" s="3">
        <f t="shared" si="190"/>
        <v>1.5005107194779805E-2</v>
      </c>
      <c r="L229" s="3">
        <f t="shared" si="190"/>
        <v>1.5005107194779805E-2</v>
      </c>
      <c r="M229" s="3">
        <f t="shared" si="190"/>
        <v>1.5005107194779805E-2</v>
      </c>
      <c r="N229" s="3">
        <f t="shared" si="190"/>
        <v>1.5005107194779805E-2</v>
      </c>
      <c r="O229" s="3">
        <f t="shared" si="190"/>
        <v>1.5005107194779805E-2</v>
      </c>
      <c r="P229" s="3">
        <f t="shared" si="190"/>
        <v>1.5005107194779805E-2</v>
      </c>
      <c r="Q229" s="3">
        <f t="shared" si="190"/>
        <v>1.50051071947798E-2</v>
      </c>
      <c r="R229" s="3">
        <f t="shared" si="190"/>
        <v>1.5005107194779758E-2</v>
      </c>
      <c r="S229" s="3">
        <f t="shared" si="190"/>
        <v>1.5005107194779337E-2</v>
      </c>
      <c r="T229" s="3">
        <f t="shared" si="190"/>
        <v>1.5005107194775132E-2</v>
      </c>
      <c r="U229" s="3">
        <f t="shared" si="190"/>
        <v>1.5005107194733074E-2</v>
      </c>
      <c r="V229" s="3">
        <f t="shared" si="190"/>
        <v>1.5005107194312488E-2</v>
      </c>
      <c r="W229" s="3">
        <f t="shared" si="190"/>
        <v>1.5005107190106632E-2</v>
      </c>
      <c r="X229" s="3">
        <f t="shared" si="190"/>
        <v>1.500510714804807E-2</v>
      </c>
      <c r="Y229" s="3">
        <f t="shared" si="190"/>
        <v>1.5005106727462464E-2</v>
      </c>
      <c r="Z229" s="3">
        <f t="shared" si="190"/>
        <v>1.5005102521607036E-2</v>
      </c>
      <c r="AA229" s="3">
        <f t="shared" si="190"/>
        <v>1.5005060463117621E-2</v>
      </c>
      <c r="AB229" s="3">
        <f t="shared" si="190"/>
        <v>1.5004639884707219E-2</v>
      </c>
      <c r="AC229" s="3">
        <f t="shared" si="190"/>
        <v>1.5000434748912678E-2</v>
      </c>
      <c r="AD229" s="3">
        <f t="shared" si="190"/>
        <v>1.4958448154730009E-2</v>
      </c>
      <c r="AE229" s="3">
        <f t="shared" si="190"/>
        <v>1.4544991923839543E-2</v>
      </c>
      <c r="AF229" s="3">
        <f t="shared" si="190"/>
        <v>1.0989626272538812E-2</v>
      </c>
      <c r="AG229" s="3"/>
      <c r="AH229" s="3"/>
    </row>
    <row r="230" spans="2:34" x14ac:dyDescent="0.25">
      <c r="B230" s="3">
        <f t="shared" ref="B230:AF230" si="191">$C38*EXP(-B$207/$A38/EXP(-$D$126))</f>
        <v>4.0905508263932881E-3</v>
      </c>
      <c r="C230" s="3">
        <f t="shared" si="191"/>
        <v>4.0905508263932881E-3</v>
      </c>
      <c r="D230" s="3">
        <f t="shared" si="191"/>
        <v>4.0905508263932881E-3</v>
      </c>
      <c r="E230" s="3">
        <f t="shared" si="191"/>
        <v>4.0905508263932881E-3</v>
      </c>
      <c r="F230" s="3">
        <f t="shared" si="191"/>
        <v>4.0905508263932881E-3</v>
      </c>
      <c r="G230" s="3">
        <f t="shared" si="191"/>
        <v>4.0905508263932881E-3</v>
      </c>
      <c r="H230" s="3">
        <f t="shared" si="191"/>
        <v>4.0905508263932881E-3</v>
      </c>
      <c r="I230" s="3">
        <f t="shared" si="191"/>
        <v>4.0905508263932881E-3</v>
      </c>
      <c r="J230" s="3">
        <f t="shared" si="191"/>
        <v>4.0905508263932881E-3</v>
      </c>
      <c r="K230" s="3">
        <f t="shared" si="191"/>
        <v>4.0905508263932881E-3</v>
      </c>
      <c r="L230" s="3">
        <f t="shared" si="191"/>
        <v>4.0905508263932881E-3</v>
      </c>
      <c r="M230" s="3">
        <f t="shared" si="191"/>
        <v>4.0905508263932881E-3</v>
      </c>
      <c r="N230" s="3">
        <f t="shared" si="191"/>
        <v>4.0905508263932881E-3</v>
      </c>
      <c r="O230" s="3">
        <f t="shared" si="191"/>
        <v>4.0905508263932881E-3</v>
      </c>
      <c r="P230" s="3">
        <f t="shared" si="191"/>
        <v>4.0905508263932881E-3</v>
      </c>
      <c r="Q230" s="3">
        <f t="shared" si="191"/>
        <v>4.0905508263932881E-3</v>
      </c>
      <c r="R230" s="3">
        <f t="shared" si="191"/>
        <v>4.0905508263932864E-3</v>
      </c>
      <c r="S230" s="3">
        <f t="shared" si="191"/>
        <v>4.0905508263932768E-3</v>
      </c>
      <c r="T230" s="3">
        <f t="shared" si="191"/>
        <v>4.0905508263931736E-3</v>
      </c>
      <c r="U230" s="3">
        <f t="shared" si="191"/>
        <v>4.0905508263921388E-3</v>
      </c>
      <c r="V230" s="3">
        <f t="shared" si="191"/>
        <v>4.0905508263817964E-3</v>
      </c>
      <c r="W230" s="3">
        <f t="shared" si="191"/>
        <v>4.0905508262783661E-3</v>
      </c>
      <c r="X230" s="3">
        <f t="shared" si="191"/>
        <v>4.0905508252440737E-3</v>
      </c>
      <c r="Y230" s="3">
        <f t="shared" si="191"/>
        <v>4.0905508149011406E-3</v>
      </c>
      <c r="Z230" s="3">
        <f t="shared" si="191"/>
        <v>4.0905507114718156E-3</v>
      </c>
      <c r="AA230" s="3">
        <f t="shared" si="191"/>
        <v>4.0905496771787122E-3</v>
      </c>
      <c r="AB230" s="3">
        <f t="shared" si="191"/>
        <v>4.0905393342620553E-3</v>
      </c>
      <c r="AC230" s="3">
        <f t="shared" si="191"/>
        <v>4.0904359065338418E-3</v>
      </c>
      <c r="AD230" s="3">
        <f t="shared" si="191"/>
        <v>4.0894017730729766E-3</v>
      </c>
      <c r="AE230" s="3">
        <f t="shared" si="191"/>
        <v>4.0790748071461722E-3</v>
      </c>
      <c r="AF230" s="3">
        <f t="shared" si="191"/>
        <v>3.9772286639794575E-3</v>
      </c>
      <c r="AG230" s="3"/>
      <c r="AH230" s="3"/>
    </row>
    <row r="231" spans="2:34" x14ac:dyDescent="0.25">
      <c r="B231" s="3">
        <f t="shared" ref="B231:AF231" si="192">$C39*EXP(-B$207/$A39/EXP(-$D$126))</f>
        <v>4.6207327982835155E-3</v>
      </c>
      <c r="C231" s="3">
        <f t="shared" si="192"/>
        <v>4.6207327982835155E-3</v>
      </c>
      <c r="D231" s="3">
        <f t="shared" si="192"/>
        <v>4.6207327982835155E-3</v>
      </c>
      <c r="E231" s="3">
        <f t="shared" si="192"/>
        <v>4.6207327982835155E-3</v>
      </c>
      <c r="F231" s="3">
        <f t="shared" si="192"/>
        <v>4.6207327982835155E-3</v>
      </c>
      <c r="G231" s="3">
        <f t="shared" si="192"/>
        <v>4.6207327982835155E-3</v>
      </c>
      <c r="H231" s="3">
        <f t="shared" si="192"/>
        <v>4.6207327982835155E-3</v>
      </c>
      <c r="I231" s="3">
        <f t="shared" si="192"/>
        <v>4.6207327982835155E-3</v>
      </c>
      <c r="J231" s="3">
        <f t="shared" si="192"/>
        <v>4.6207327982835155E-3</v>
      </c>
      <c r="K231" s="3">
        <f t="shared" si="192"/>
        <v>4.6207327982835155E-3</v>
      </c>
      <c r="L231" s="3">
        <f t="shared" si="192"/>
        <v>4.6207327982835155E-3</v>
      </c>
      <c r="M231" s="3">
        <f t="shared" si="192"/>
        <v>4.6207327982835155E-3</v>
      </c>
      <c r="N231" s="3">
        <f t="shared" si="192"/>
        <v>4.6207327982835155E-3</v>
      </c>
      <c r="O231" s="3">
        <f t="shared" si="192"/>
        <v>4.6207327982835155E-3</v>
      </c>
      <c r="P231" s="3">
        <f t="shared" si="192"/>
        <v>4.6207327982835155E-3</v>
      </c>
      <c r="Q231" s="3">
        <f t="shared" si="192"/>
        <v>4.6207327982835155E-3</v>
      </c>
      <c r="R231" s="3">
        <f t="shared" si="192"/>
        <v>4.6207327982835146E-3</v>
      </c>
      <c r="S231" s="3">
        <f t="shared" si="192"/>
        <v>4.620732798283512E-3</v>
      </c>
      <c r="T231" s="3">
        <f t="shared" si="192"/>
        <v>4.6207327982834799E-3</v>
      </c>
      <c r="U231" s="3">
        <f t="shared" si="192"/>
        <v>4.6207327982831564E-3</v>
      </c>
      <c r="V231" s="3">
        <f t="shared" si="192"/>
        <v>4.6207327982799246E-3</v>
      </c>
      <c r="W231" s="3">
        <f t="shared" si="192"/>
        <v>4.620732798247611E-3</v>
      </c>
      <c r="X231" s="3">
        <f t="shared" si="192"/>
        <v>4.6207327979244754E-3</v>
      </c>
      <c r="Y231" s="3">
        <f t="shared" si="192"/>
        <v>4.6207327946931132E-3</v>
      </c>
      <c r="Z231" s="3">
        <f t="shared" si="192"/>
        <v>4.6207327623794927E-3</v>
      </c>
      <c r="AA231" s="3">
        <f t="shared" si="192"/>
        <v>4.6207324392433012E-3</v>
      </c>
      <c r="AB231" s="3">
        <f t="shared" si="192"/>
        <v>4.6207292078826335E-3</v>
      </c>
      <c r="AC231" s="3">
        <f t="shared" si="192"/>
        <v>4.620696894400235E-3</v>
      </c>
      <c r="AD231" s="3">
        <f t="shared" si="192"/>
        <v>4.6203737720045173E-3</v>
      </c>
      <c r="AE231" s="3">
        <f t="shared" si="192"/>
        <v>4.6171437905525659E-3</v>
      </c>
      <c r="AF231" s="3">
        <f t="shared" si="192"/>
        <v>4.5849679056602947E-3</v>
      </c>
      <c r="AG231" s="3"/>
      <c r="AH231" s="3"/>
    </row>
    <row r="232" spans="2:34" x14ac:dyDescent="0.25">
      <c r="B232" s="3">
        <f t="shared" ref="B232:AF232" si="193">$C40*EXP(-B$207/$A40/EXP(-$D$126))</f>
        <v>2.0598839061917876E-3</v>
      </c>
      <c r="C232" s="3">
        <f t="shared" si="193"/>
        <v>2.0598839061917876E-3</v>
      </c>
      <c r="D232" s="3">
        <f t="shared" si="193"/>
        <v>2.0598839061917876E-3</v>
      </c>
      <c r="E232" s="3">
        <f t="shared" si="193"/>
        <v>2.0598839061917876E-3</v>
      </c>
      <c r="F232" s="3">
        <f t="shared" si="193"/>
        <v>2.0598839061917876E-3</v>
      </c>
      <c r="G232" s="3">
        <f t="shared" si="193"/>
        <v>2.0598839061917876E-3</v>
      </c>
      <c r="H232" s="3">
        <f t="shared" si="193"/>
        <v>2.0598839061917876E-3</v>
      </c>
      <c r="I232" s="3">
        <f t="shared" si="193"/>
        <v>2.0598839061917876E-3</v>
      </c>
      <c r="J232" s="3">
        <f t="shared" si="193"/>
        <v>2.0598839061917876E-3</v>
      </c>
      <c r="K232" s="3">
        <f t="shared" si="193"/>
        <v>2.0598839061917876E-3</v>
      </c>
      <c r="L232" s="3">
        <f t="shared" si="193"/>
        <v>2.0598839061917876E-3</v>
      </c>
      <c r="M232" s="3">
        <f t="shared" si="193"/>
        <v>2.0598839061917876E-3</v>
      </c>
      <c r="N232" s="3">
        <f t="shared" si="193"/>
        <v>2.0598839061917876E-3</v>
      </c>
      <c r="O232" s="3">
        <f t="shared" si="193"/>
        <v>2.0598839061917876E-3</v>
      </c>
      <c r="P232" s="3">
        <f t="shared" si="193"/>
        <v>2.0598839061917876E-3</v>
      </c>
      <c r="Q232" s="3">
        <f t="shared" si="193"/>
        <v>2.0598839061917876E-3</v>
      </c>
      <c r="R232" s="3">
        <f t="shared" si="193"/>
        <v>2.0598839061917876E-3</v>
      </c>
      <c r="S232" s="3">
        <f t="shared" si="193"/>
        <v>2.0598839061917872E-3</v>
      </c>
      <c r="T232" s="3">
        <f t="shared" si="193"/>
        <v>2.0598839061917859E-3</v>
      </c>
      <c r="U232" s="3">
        <f t="shared" si="193"/>
        <v>2.0598839061917716E-3</v>
      </c>
      <c r="V232" s="3">
        <f t="shared" si="193"/>
        <v>2.0598839061916276E-3</v>
      </c>
      <c r="W232" s="3">
        <f t="shared" si="193"/>
        <v>2.0598839061901869E-3</v>
      </c>
      <c r="X232" s="3">
        <f t="shared" si="193"/>
        <v>2.0598839061757817E-3</v>
      </c>
      <c r="Y232" s="3">
        <f t="shared" si="193"/>
        <v>2.0598839060317307E-3</v>
      </c>
      <c r="Z232" s="3">
        <f t="shared" si="193"/>
        <v>2.0598839045912164E-3</v>
      </c>
      <c r="AA232" s="3">
        <f t="shared" si="193"/>
        <v>2.0598838901860757E-3</v>
      </c>
      <c r="AB232" s="3">
        <f t="shared" si="193"/>
        <v>2.0598837461346729E-3</v>
      </c>
      <c r="AC232" s="3">
        <f t="shared" si="193"/>
        <v>2.0598823056212036E-3</v>
      </c>
      <c r="AD232" s="3">
        <f t="shared" si="193"/>
        <v>2.0598679005419114E-3</v>
      </c>
      <c r="AE232" s="3">
        <f t="shared" si="193"/>
        <v>2.0597238552894108E-3</v>
      </c>
      <c r="AF232" s="3">
        <f t="shared" si="193"/>
        <v>2.0582839566628021E-3</v>
      </c>
      <c r="AG232" s="3"/>
      <c r="AH232" s="3"/>
    </row>
    <row r="233" spans="2:34" x14ac:dyDescent="0.25">
      <c r="B233" s="3">
        <f t="shared" ref="B233:AF233" si="194">$C41*EXP(-B$207/$A41/EXP(-$D$126))</f>
        <v>2.0793314772124174E-3</v>
      </c>
      <c r="C233" s="3">
        <f t="shared" si="194"/>
        <v>2.0793314772124174E-3</v>
      </c>
      <c r="D233" s="3">
        <f t="shared" si="194"/>
        <v>2.0793314772124174E-3</v>
      </c>
      <c r="E233" s="3">
        <f t="shared" si="194"/>
        <v>2.0793314772124174E-3</v>
      </c>
      <c r="F233" s="3">
        <f t="shared" si="194"/>
        <v>2.0793314772124174E-3</v>
      </c>
      <c r="G233" s="3">
        <f t="shared" si="194"/>
        <v>2.0793314772124174E-3</v>
      </c>
      <c r="H233" s="3">
        <f t="shared" si="194"/>
        <v>2.0793314772124174E-3</v>
      </c>
      <c r="I233" s="3">
        <f t="shared" si="194"/>
        <v>2.0793314772124174E-3</v>
      </c>
      <c r="J233" s="3">
        <f t="shared" si="194"/>
        <v>2.0793314772124174E-3</v>
      </c>
      <c r="K233" s="3">
        <f t="shared" si="194"/>
        <v>2.0793314772124174E-3</v>
      </c>
      <c r="L233" s="3">
        <f t="shared" si="194"/>
        <v>2.0793314772124174E-3</v>
      </c>
      <c r="M233" s="3">
        <f t="shared" si="194"/>
        <v>2.0793314772124174E-3</v>
      </c>
      <c r="N233" s="3">
        <f t="shared" si="194"/>
        <v>2.0793314772124174E-3</v>
      </c>
      <c r="O233" s="3">
        <f t="shared" si="194"/>
        <v>2.0793314772124174E-3</v>
      </c>
      <c r="P233" s="3">
        <f t="shared" si="194"/>
        <v>2.0793314772124174E-3</v>
      </c>
      <c r="Q233" s="3">
        <f t="shared" si="194"/>
        <v>2.0793314772124174E-3</v>
      </c>
      <c r="R233" s="3">
        <f t="shared" si="194"/>
        <v>2.0793314772124174E-3</v>
      </c>
      <c r="S233" s="3">
        <f t="shared" si="194"/>
        <v>2.0793314772124174E-3</v>
      </c>
      <c r="T233" s="3">
        <f t="shared" si="194"/>
        <v>2.079331477212417E-3</v>
      </c>
      <c r="U233" s="3">
        <f t="shared" si="194"/>
        <v>2.0793314772124157E-3</v>
      </c>
      <c r="V233" s="3">
        <f t="shared" si="194"/>
        <v>2.0793314772124013E-3</v>
      </c>
      <c r="W233" s="3">
        <f t="shared" si="194"/>
        <v>2.0793314772122556E-3</v>
      </c>
      <c r="X233" s="3">
        <f t="shared" si="194"/>
        <v>2.0793314772108015E-3</v>
      </c>
      <c r="Y233" s="3">
        <f t="shared" si="194"/>
        <v>2.0793314771962606E-3</v>
      </c>
      <c r="Z233" s="3">
        <f t="shared" si="194"/>
        <v>2.0793314770508491E-3</v>
      </c>
      <c r="AA233" s="3">
        <f t="shared" si="194"/>
        <v>2.079331475596735E-3</v>
      </c>
      <c r="AB233" s="3">
        <f t="shared" si="194"/>
        <v>2.0793314610555937E-3</v>
      </c>
      <c r="AC233" s="3">
        <f t="shared" si="194"/>
        <v>2.0793313156441877E-3</v>
      </c>
      <c r="AD233" s="3">
        <f t="shared" si="194"/>
        <v>2.0793298615306853E-3</v>
      </c>
      <c r="AE233" s="3">
        <f t="shared" si="194"/>
        <v>2.0793153204515919E-3</v>
      </c>
      <c r="AF233" s="3">
        <f t="shared" si="194"/>
        <v>2.0791699152533827E-3</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2.538048611821601E-3</v>
      </c>
      <c r="C235" s="3">
        <f t="shared" si="196"/>
        <v>2.538048611821601E-3</v>
      </c>
      <c r="D235" s="3">
        <f t="shared" si="196"/>
        <v>2.538048611821601E-3</v>
      </c>
      <c r="E235" s="3">
        <f t="shared" si="196"/>
        <v>2.538048611821601E-3</v>
      </c>
      <c r="F235" s="3">
        <f t="shared" si="196"/>
        <v>2.538048611821601E-3</v>
      </c>
      <c r="G235" s="3">
        <f t="shared" si="196"/>
        <v>2.538048611821601E-3</v>
      </c>
      <c r="H235" s="3">
        <f t="shared" si="196"/>
        <v>2.538048611821601E-3</v>
      </c>
      <c r="I235" s="3">
        <f t="shared" si="196"/>
        <v>2.538048611821601E-3</v>
      </c>
      <c r="J235" s="3">
        <f t="shared" si="196"/>
        <v>2.538048611821601E-3</v>
      </c>
      <c r="K235" s="3">
        <f t="shared" si="196"/>
        <v>2.538048611821601E-3</v>
      </c>
      <c r="L235" s="3">
        <f t="shared" si="196"/>
        <v>2.538048611821601E-3</v>
      </c>
      <c r="M235" s="3">
        <f t="shared" si="196"/>
        <v>2.538048611821601E-3</v>
      </c>
      <c r="N235" s="3">
        <f t="shared" si="196"/>
        <v>2.538048611821601E-3</v>
      </c>
      <c r="O235" s="3">
        <f t="shared" si="196"/>
        <v>2.538048611821601E-3</v>
      </c>
      <c r="P235" s="3">
        <f t="shared" si="196"/>
        <v>2.538048611821601E-3</v>
      </c>
      <c r="Q235" s="3">
        <f t="shared" si="196"/>
        <v>2.538048611821601E-3</v>
      </c>
      <c r="R235" s="3">
        <f t="shared" si="196"/>
        <v>2.538048611821601E-3</v>
      </c>
      <c r="S235" s="3">
        <f t="shared" si="196"/>
        <v>2.538048611821601E-3</v>
      </c>
      <c r="T235" s="3">
        <f t="shared" si="196"/>
        <v>2.538048611821601E-3</v>
      </c>
      <c r="U235" s="3">
        <f t="shared" si="196"/>
        <v>2.538048611821601E-3</v>
      </c>
      <c r="V235" s="3">
        <f t="shared" si="196"/>
        <v>2.5380486118216005E-3</v>
      </c>
      <c r="W235" s="3">
        <f t="shared" si="196"/>
        <v>2.5380486118215988E-3</v>
      </c>
      <c r="X235" s="3">
        <f t="shared" si="196"/>
        <v>2.5380486118215815E-3</v>
      </c>
      <c r="Y235" s="3">
        <f t="shared" si="196"/>
        <v>2.5380486118214036E-3</v>
      </c>
      <c r="Z235" s="3">
        <f t="shared" si="196"/>
        <v>2.5380486118196286E-3</v>
      </c>
      <c r="AA235" s="3">
        <f t="shared" si="196"/>
        <v>2.5380486118018798E-3</v>
      </c>
      <c r="AB235" s="3">
        <f t="shared" si="196"/>
        <v>2.5380486116243898E-3</v>
      </c>
      <c r="AC235" s="3">
        <f t="shared" si="196"/>
        <v>2.5380486098494862E-3</v>
      </c>
      <c r="AD235" s="3">
        <f t="shared" si="196"/>
        <v>2.5380485921004531E-3</v>
      </c>
      <c r="AE235" s="3">
        <f t="shared" si="196"/>
        <v>2.538048414610129E-3</v>
      </c>
      <c r="AF235" s="3">
        <f t="shared" si="196"/>
        <v>2.538046639707572E-3</v>
      </c>
      <c r="AG235" s="3"/>
      <c r="AH235" s="3"/>
    </row>
    <row r="236" spans="2:34" x14ac:dyDescent="0.25">
      <c r="B236" s="3">
        <f t="shared" ref="B236:AF236" si="197">$C44*EXP(-B$207/$A44/EXP(-$D$126))</f>
        <v>1.186723127453265E-7</v>
      </c>
      <c r="C236" s="3">
        <f t="shared" si="197"/>
        <v>1.186723127453265E-7</v>
      </c>
      <c r="D236" s="3">
        <f t="shared" si="197"/>
        <v>1.186723127453265E-7</v>
      </c>
      <c r="E236" s="3">
        <f t="shared" si="197"/>
        <v>1.186723127453265E-7</v>
      </c>
      <c r="F236" s="3">
        <f t="shared" si="197"/>
        <v>1.186723127453265E-7</v>
      </c>
      <c r="G236" s="3">
        <f t="shared" si="197"/>
        <v>1.186723127453265E-7</v>
      </c>
      <c r="H236" s="3">
        <f t="shared" si="197"/>
        <v>1.186723127453265E-7</v>
      </c>
      <c r="I236" s="3">
        <f t="shared" si="197"/>
        <v>1.186723127453265E-7</v>
      </c>
      <c r="J236" s="3">
        <f t="shared" si="197"/>
        <v>1.186723127453265E-7</v>
      </c>
      <c r="K236" s="3">
        <f t="shared" si="197"/>
        <v>1.186723127453265E-7</v>
      </c>
      <c r="L236" s="3">
        <f t="shared" si="197"/>
        <v>1.186723127453265E-7</v>
      </c>
      <c r="M236" s="3">
        <f t="shared" si="197"/>
        <v>1.186723127453265E-7</v>
      </c>
      <c r="N236" s="3">
        <f t="shared" si="197"/>
        <v>1.186723127453265E-7</v>
      </c>
      <c r="O236" s="3">
        <f t="shared" si="197"/>
        <v>1.186723127453265E-7</v>
      </c>
      <c r="P236" s="3">
        <f t="shared" si="197"/>
        <v>1.186723127453265E-7</v>
      </c>
      <c r="Q236" s="3">
        <f t="shared" si="197"/>
        <v>1.186723127453265E-7</v>
      </c>
      <c r="R236" s="3">
        <f t="shared" si="197"/>
        <v>1.186723127453265E-7</v>
      </c>
      <c r="S236" s="3">
        <f t="shared" si="197"/>
        <v>1.186723127453265E-7</v>
      </c>
      <c r="T236" s="3">
        <f t="shared" si="197"/>
        <v>1.186723127453265E-7</v>
      </c>
      <c r="U236" s="3">
        <f t="shared" si="197"/>
        <v>1.186723127453265E-7</v>
      </c>
      <c r="V236" s="3">
        <f t="shared" si="197"/>
        <v>1.186723127453265E-7</v>
      </c>
      <c r="W236" s="3">
        <f t="shared" si="197"/>
        <v>1.1867231274532648E-7</v>
      </c>
      <c r="X236" s="3">
        <f t="shared" si="197"/>
        <v>1.186723127453264E-7</v>
      </c>
      <c r="Y236" s="3">
        <f t="shared" si="197"/>
        <v>1.1867231274532557E-7</v>
      </c>
      <c r="Z236" s="3">
        <f t="shared" si="197"/>
        <v>1.1867231274531727E-7</v>
      </c>
      <c r="AA236" s="3">
        <f t="shared" si="197"/>
        <v>1.1867231274523429E-7</v>
      </c>
      <c r="AB236" s="3">
        <f t="shared" si="197"/>
        <v>1.1867231274440438E-7</v>
      </c>
      <c r="AC236" s="3">
        <f t="shared" si="197"/>
        <v>1.1867231273610543E-7</v>
      </c>
      <c r="AD236" s="3">
        <f t="shared" si="197"/>
        <v>1.1867231265311572E-7</v>
      </c>
      <c r="AE236" s="3">
        <f t="shared" si="197"/>
        <v>1.1867231182321877E-7</v>
      </c>
      <c r="AF236" s="3">
        <f t="shared" si="197"/>
        <v>1.1867230352424958E-7</v>
      </c>
      <c r="AG236" s="3"/>
      <c r="AH236" s="3"/>
    </row>
    <row r="237" spans="2:34" x14ac:dyDescent="0.25">
      <c r="B237" s="3">
        <f t="shared" ref="B237:AF237" si="198">$C45*EXP(-B$207/$A45/EXP(-$D$126))</f>
        <v>1.5301760835243074E-4</v>
      </c>
      <c r="C237" s="3">
        <f t="shared" si="198"/>
        <v>1.5301760835243074E-4</v>
      </c>
      <c r="D237" s="3">
        <f t="shared" si="198"/>
        <v>1.5301760835243074E-4</v>
      </c>
      <c r="E237" s="3">
        <f t="shared" si="198"/>
        <v>1.5301760835243074E-4</v>
      </c>
      <c r="F237" s="3">
        <f t="shared" si="198"/>
        <v>1.5301760835243074E-4</v>
      </c>
      <c r="G237" s="3">
        <f t="shared" si="198"/>
        <v>1.5301760835243074E-4</v>
      </c>
      <c r="H237" s="3">
        <f t="shared" si="198"/>
        <v>1.5301760835243074E-4</v>
      </c>
      <c r="I237" s="3">
        <f t="shared" si="198"/>
        <v>1.5301760835243074E-4</v>
      </c>
      <c r="J237" s="3">
        <f t="shared" si="198"/>
        <v>1.5301760835243074E-4</v>
      </c>
      <c r="K237" s="3">
        <f t="shared" si="198"/>
        <v>1.5301760835243074E-4</v>
      </c>
      <c r="L237" s="3">
        <f t="shared" si="198"/>
        <v>1.5301760835243074E-4</v>
      </c>
      <c r="M237" s="3">
        <f t="shared" si="198"/>
        <v>1.5301760835243074E-4</v>
      </c>
      <c r="N237" s="3">
        <f t="shared" si="198"/>
        <v>1.5301760835243074E-4</v>
      </c>
      <c r="O237" s="3">
        <f t="shared" si="198"/>
        <v>1.5301760835243074E-4</v>
      </c>
      <c r="P237" s="3">
        <f t="shared" si="198"/>
        <v>1.5301760835243074E-4</v>
      </c>
      <c r="Q237" s="3">
        <f t="shared" si="198"/>
        <v>1.5301760835243074E-4</v>
      </c>
      <c r="R237" s="3">
        <f t="shared" si="198"/>
        <v>1.5301760835243074E-4</v>
      </c>
      <c r="S237" s="3">
        <f t="shared" si="198"/>
        <v>1.5301760835243074E-4</v>
      </c>
      <c r="T237" s="3">
        <f t="shared" si="198"/>
        <v>1.5301760835243074E-4</v>
      </c>
      <c r="U237" s="3">
        <f t="shared" si="198"/>
        <v>1.5301760835243074E-4</v>
      </c>
      <c r="V237" s="3">
        <f t="shared" si="198"/>
        <v>1.5301760835243074E-4</v>
      </c>
      <c r="W237" s="3">
        <f t="shared" si="198"/>
        <v>1.5301760835243074E-4</v>
      </c>
      <c r="X237" s="3">
        <f t="shared" si="198"/>
        <v>1.5301760835243072E-4</v>
      </c>
      <c r="Y237" s="3">
        <f t="shared" si="198"/>
        <v>1.5301760835243063E-4</v>
      </c>
      <c r="Z237" s="3">
        <f t="shared" si="198"/>
        <v>1.5301760835242955E-4</v>
      </c>
      <c r="AA237" s="3">
        <f t="shared" si="198"/>
        <v>1.5301760835241884E-4</v>
      </c>
      <c r="AB237" s="3">
        <f t="shared" si="198"/>
        <v>1.5301760835231183E-4</v>
      </c>
      <c r="AC237" s="3">
        <f t="shared" si="198"/>
        <v>1.5301760835124175E-4</v>
      </c>
      <c r="AD237" s="3">
        <f t="shared" si="198"/>
        <v>1.5301760834054098E-4</v>
      </c>
      <c r="AE237" s="3">
        <f t="shared" si="198"/>
        <v>1.5301760823353299E-4</v>
      </c>
      <c r="AF237" s="3">
        <f t="shared" si="198"/>
        <v>1.5301760716345317E-4</v>
      </c>
      <c r="AG237" s="3"/>
      <c r="AH237" s="3"/>
    </row>
    <row r="238" spans="2:34" x14ac:dyDescent="0.25">
      <c r="B238" s="3">
        <f t="shared" ref="B238:AF238" si="199">$C46*EXP(-B$207/$A46/EXP(-$D$126))</f>
        <v>1.8120582087099855E-4</v>
      </c>
      <c r="C238" s="3">
        <f t="shared" si="199"/>
        <v>1.8120582087099855E-4</v>
      </c>
      <c r="D238" s="3">
        <f t="shared" si="199"/>
        <v>1.8120582087099855E-4</v>
      </c>
      <c r="E238" s="3">
        <f t="shared" si="199"/>
        <v>1.8120582087099855E-4</v>
      </c>
      <c r="F238" s="3">
        <f t="shared" si="199"/>
        <v>1.8120582087099855E-4</v>
      </c>
      <c r="G238" s="3">
        <f t="shared" si="199"/>
        <v>1.8120582087099855E-4</v>
      </c>
      <c r="H238" s="3">
        <f t="shared" si="199"/>
        <v>1.8120582087099855E-4</v>
      </c>
      <c r="I238" s="3">
        <f t="shared" si="199"/>
        <v>1.8120582087099855E-4</v>
      </c>
      <c r="J238" s="3">
        <f t="shared" si="199"/>
        <v>1.8120582087099855E-4</v>
      </c>
      <c r="K238" s="3">
        <f t="shared" si="199"/>
        <v>1.8120582087099855E-4</v>
      </c>
      <c r="L238" s="3">
        <f t="shared" si="199"/>
        <v>1.8120582087099855E-4</v>
      </c>
      <c r="M238" s="3">
        <f t="shared" si="199"/>
        <v>1.8120582087099855E-4</v>
      </c>
      <c r="N238" s="3">
        <f t="shared" si="199"/>
        <v>1.8120582087099855E-4</v>
      </c>
      <c r="O238" s="3">
        <f t="shared" si="199"/>
        <v>1.8120582087099855E-4</v>
      </c>
      <c r="P238" s="3">
        <f t="shared" si="199"/>
        <v>1.8120582087099855E-4</v>
      </c>
      <c r="Q238" s="3">
        <f t="shared" si="199"/>
        <v>1.8120582087099855E-4</v>
      </c>
      <c r="R238" s="3">
        <f t="shared" si="199"/>
        <v>1.8120582087099855E-4</v>
      </c>
      <c r="S238" s="3">
        <f t="shared" si="199"/>
        <v>1.8120582087099855E-4</v>
      </c>
      <c r="T238" s="3">
        <f t="shared" si="199"/>
        <v>1.8120582087099855E-4</v>
      </c>
      <c r="U238" s="3">
        <f t="shared" si="199"/>
        <v>1.8120582087099855E-4</v>
      </c>
      <c r="V238" s="3">
        <f t="shared" si="199"/>
        <v>1.8120582087099855E-4</v>
      </c>
      <c r="W238" s="3">
        <f t="shared" si="199"/>
        <v>1.8120582087099855E-4</v>
      </c>
      <c r="X238" s="3">
        <f t="shared" si="199"/>
        <v>1.8120582087099855E-4</v>
      </c>
      <c r="Y238" s="3">
        <f t="shared" si="199"/>
        <v>1.8120582087099852E-4</v>
      </c>
      <c r="Z238" s="3">
        <f t="shared" si="199"/>
        <v>1.8120582087099841E-4</v>
      </c>
      <c r="AA238" s="3">
        <f t="shared" si="199"/>
        <v>1.8120582087099714E-4</v>
      </c>
      <c r="AB238" s="3">
        <f t="shared" si="199"/>
        <v>1.8120582087098445E-4</v>
      </c>
      <c r="AC238" s="3">
        <f t="shared" si="199"/>
        <v>1.8120582087085773E-4</v>
      </c>
      <c r="AD238" s="3">
        <f t="shared" si="199"/>
        <v>1.8120582086959055E-4</v>
      </c>
      <c r="AE238" s="3">
        <f t="shared" si="199"/>
        <v>1.812058208569185E-4</v>
      </c>
      <c r="AF238" s="3">
        <f t="shared" si="199"/>
        <v>1.8120582073019798E-4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79">
        <f>AVERAGE(B241:AF241)</f>
        <v>0.17400454790729775</v>
      </c>
      <c r="B241" s="80">
        <f>IF($A$64&lt;=B207,IF($B$64&gt;=B207,ABS((B209-B208)/B208),0),0)</f>
        <v>3.4360775236395109E-7</v>
      </c>
      <c r="C241" s="80">
        <f t="shared" ref="C241:AF241" si="202">IF($A$64&lt;=C207,IF($B$64&gt;=C207,ABS((C209-C208)/C208),0),0)</f>
        <v>2.1257443070506828E-5</v>
      </c>
      <c r="D241" s="80">
        <f t="shared" si="202"/>
        <v>1.339654631414182E-4</v>
      </c>
      <c r="E241" s="80">
        <f t="shared" si="202"/>
        <v>1.3074730117704509E-3</v>
      </c>
      <c r="F241" s="80">
        <f t="shared" si="202"/>
        <v>1.2615321639059903E-2</v>
      </c>
      <c r="G241" s="80">
        <f t="shared" si="202"/>
        <v>9.0398895464457868E-2</v>
      </c>
      <c r="H241" s="80">
        <f t="shared" si="202"/>
        <v>0.15359175825371293</v>
      </c>
      <c r="I241" s="80">
        <f t="shared" si="202"/>
        <v>0.13802790750175054</v>
      </c>
      <c r="J241" s="80">
        <f t="shared" si="202"/>
        <v>0.12328861210424083</v>
      </c>
      <c r="K241" s="80">
        <f t="shared" si="202"/>
        <v>0.10607700582534109</v>
      </c>
      <c r="L241" s="80">
        <f t="shared" si="202"/>
        <v>8.8178933429818654E-2</v>
      </c>
      <c r="M241" s="80">
        <f t="shared" si="202"/>
        <v>7.5126712935017909E-2</v>
      </c>
      <c r="N241" s="80">
        <f t="shared" si="202"/>
        <v>9.2523246361955691E-2</v>
      </c>
      <c r="O241" s="80">
        <f t="shared" si="202"/>
        <v>9.3961288215500954E-2</v>
      </c>
      <c r="P241" s="80">
        <f t="shared" si="202"/>
        <v>0.10761971603763508</v>
      </c>
      <c r="Q241" s="80">
        <f t="shared" si="202"/>
        <v>0.120618428985256</v>
      </c>
      <c r="R241" s="80">
        <f t="shared" si="202"/>
        <v>0.12126809086038676</v>
      </c>
      <c r="S241" s="80">
        <f t="shared" si="202"/>
        <v>0.10536967706561688</v>
      </c>
      <c r="T241" s="80">
        <f t="shared" si="202"/>
        <v>4.8856950360795758E-2</v>
      </c>
      <c r="U241" s="80">
        <f t="shared" si="202"/>
        <v>7.8676822795131302E-2</v>
      </c>
      <c r="V241" s="80">
        <f t="shared" si="202"/>
        <v>0.23504659150069029</v>
      </c>
      <c r="W241" s="80">
        <f t="shared" si="202"/>
        <v>0.36384880568631428</v>
      </c>
      <c r="X241" s="80">
        <f t="shared" si="202"/>
        <v>0.45067569359465626</v>
      </c>
      <c r="Y241" s="80">
        <f t="shared" si="202"/>
        <v>0.489773865104003</v>
      </c>
      <c r="Z241" s="80">
        <f t="shared" si="202"/>
        <v>0.49148504543164018</v>
      </c>
      <c r="AA241" s="80">
        <f t="shared" si="202"/>
        <v>0.42492727055607749</v>
      </c>
      <c r="AB241" s="80">
        <f t="shared" si="202"/>
        <v>0.23505159079882229</v>
      </c>
      <c r="AC241" s="80">
        <f t="shared" si="202"/>
        <v>2.6479007665855175E-2</v>
      </c>
      <c r="AD241" s="80">
        <f t="shared" si="202"/>
        <v>0.25732629023690651</v>
      </c>
      <c r="AE241" s="80">
        <f t="shared" si="202"/>
        <v>0.40704967609946829</v>
      </c>
      <c r="AF241" s="80">
        <f t="shared" si="202"/>
        <v>0.45481474109038339</v>
      </c>
    </row>
    <row r="242" spans="1:34" x14ac:dyDescent="0.25">
      <c r="B242" s="21">
        <f>(B209-B208)^2</f>
        <v>5.7726868215974515E-6</v>
      </c>
      <c r="C242" s="21">
        <f t="shared" ref="C242:AF242" si="203">(C209-C208)^2</f>
        <v>2.2094384775766016E-2</v>
      </c>
      <c r="D242" s="21">
        <f t="shared" si="203"/>
        <v>0.87747270824332424</v>
      </c>
      <c r="E242" s="21">
        <f t="shared" si="203"/>
        <v>83.567684271901157</v>
      </c>
      <c r="F242" s="21">
        <f t="shared" si="203"/>
        <v>7766.9369918362154</v>
      </c>
      <c r="G242" s="21">
        <f t="shared" si="203"/>
        <v>393141.03784862784</v>
      </c>
      <c r="H242" s="21">
        <f t="shared" si="203"/>
        <v>1080371.3659514706</v>
      </c>
      <c r="I242" s="21">
        <f t="shared" si="203"/>
        <v>841128.72377395886</v>
      </c>
      <c r="J242" s="21">
        <f t="shared" si="203"/>
        <v>648691.28819176496</v>
      </c>
      <c r="K242" s="21">
        <f t="shared" si="203"/>
        <v>461797.40110833495</v>
      </c>
      <c r="L242" s="21">
        <f t="shared" si="203"/>
        <v>306031.24697000068</v>
      </c>
      <c r="M242" s="21">
        <f t="shared" si="203"/>
        <v>211613.89723371429</v>
      </c>
      <c r="N242" s="21">
        <f t="shared" si="203"/>
        <v>303991.37279280263</v>
      </c>
      <c r="O242" s="21">
        <f t="shared" si="203"/>
        <v>295076.86844182457</v>
      </c>
      <c r="P242" s="21">
        <f t="shared" si="203"/>
        <v>365595.23382536945</v>
      </c>
      <c r="Q242" s="21">
        <f t="shared" si="203"/>
        <v>430708.59849227831</v>
      </c>
      <c r="R242" s="21">
        <f t="shared" si="203"/>
        <v>400942.00375526742</v>
      </c>
      <c r="S242" s="21">
        <f t="shared" si="203"/>
        <v>269433.61005406099</v>
      </c>
      <c r="T242" s="21">
        <f t="shared" si="203"/>
        <v>47119.627493375679</v>
      </c>
      <c r="U242" s="21">
        <f t="shared" si="203"/>
        <v>87176.322400878475</v>
      </c>
      <c r="V242" s="21">
        <f t="shared" si="203"/>
        <v>541468.9584022474</v>
      </c>
      <c r="W242" s="21">
        <f t="shared" si="203"/>
        <v>954967.37361061375</v>
      </c>
      <c r="X242" s="21">
        <f t="shared" si="203"/>
        <v>1139249.4096413292</v>
      </c>
      <c r="Y242" s="21">
        <f t="shared" si="203"/>
        <v>1090783.4393474062</v>
      </c>
      <c r="Z242" s="21">
        <f t="shared" si="203"/>
        <v>897139.9568542114</v>
      </c>
      <c r="AA242" s="21">
        <f t="shared" si="203"/>
        <v>547037.53202986659</v>
      </c>
      <c r="AB242" s="21">
        <f t="shared" si="203"/>
        <v>133146.35524977429</v>
      </c>
      <c r="AC242" s="21">
        <f t="shared" si="203"/>
        <v>1288.003891435173</v>
      </c>
      <c r="AD242" s="21">
        <f t="shared" si="203"/>
        <v>85289.541071625616</v>
      </c>
      <c r="AE242" s="21">
        <f t="shared" si="203"/>
        <v>131980.0471701693</v>
      </c>
      <c r="AF242" s="21">
        <f t="shared" si="203"/>
        <v>87744.139114031554</v>
      </c>
      <c r="AG242" s="3"/>
      <c r="AH242" s="3"/>
    </row>
    <row r="243" spans="1:34" x14ac:dyDescent="0.25">
      <c r="A243" s="71">
        <f>SUM(B243:AF243)</f>
        <v>11760764.758965414</v>
      </c>
      <c r="B243" s="60">
        <f>IF($A$64&lt;=B207,IF($B$64&gt;=B207,ABS(B242),0),0)</f>
        <v>5.7726868215974515E-6</v>
      </c>
      <c r="C243" s="60">
        <f t="shared" ref="C243" si="204">IF($A$64&lt;=C207,IF($B$64&gt;=C207,ABS(C242),0),0)</f>
        <v>2.2094384775766016E-2</v>
      </c>
      <c r="D243" s="60">
        <f t="shared" ref="D243" si="205">IF($A$64&lt;=D207,IF($B$64&gt;=D207,ABS(D242),0),0)</f>
        <v>0.87747270824332424</v>
      </c>
      <c r="E243" s="60">
        <f t="shared" ref="E243" si="206">IF($A$64&lt;=E207,IF($B$64&gt;=E207,ABS(E242),0),0)</f>
        <v>83.567684271901157</v>
      </c>
      <c r="F243" s="60">
        <f t="shared" ref="F243" si="207">IF($A$64&lt;=F207,IF($B$64&gt;=F207,ABS(F242),0),0)</f>
        <v>7766.9369918362154</v>
      </c>
      <c r="G243" s="60">
        <f t="shared" ref="G243" si="208">IF($A$64&lt;=G207,IF($B$64&gt;=G207,ABS(G242),0),0)</f>
        <v>393141.03784862784</v>
      </c>
      <c r="H243" s="60">
        <f t="shared" ref="H243" si="209">IF($A$64&lt;=H207,IF($B$64&gt;=H207,ABS(H242),0),0)</f>
        <v>1080371.3659514706</v>
      </c>
      <c r="I243" s="60">
        <f t="shared" ref="I243" si="210">IF($A$64&lt;=I207,IF($B$64&gt;=I207,ABS(I242),0),0)</f>
        <v>841128.72377395886</v>
      </c>
      <c r="J243" s="60">
        <f t="shared" ref="J243" si="211">IF($A$64&lt;=J207,IF($B$64&gt;=J207,ABS(J242),0),0)</f>
        <v>648691.28819176496</v>
      </c>
      <c r="K243" s="60">
        <f t="shared" ref="K243" si="212">IF($A$64&lt;=K207,IF($B$64&gt;=K207,ABS(K242),0),0)</f>
        <v>461797.40110833495</v>
      </c>
      <c r="L243" s="60">
        <f t="shared" ref="L243" si="213">IF($A$64&lt;=L207,IF($B$64&gt;=L207,ABS(L242),0),0)</f>
        <v>306031.24697000068</v>
      </c>
      <c r="M243" s="60">
        <f t="shared" ref="M243" si="214">IF($A$64&lt;=M207,IF($B$64&gt;=M207,ABS(M242),0),0)</f>
        <v>211613.89723371429</v>
      </c>
      <c r="N243" s="60">
        <f t="shared" ref="N243" si="215">IF($A$64&lt;=N207,IF($B$64&gt;=N207,ABS(N242),0),0)</f>
        <v>303991.37279280263</v>
      </c>
      <c r="O243" s="60">
        <f t="shared" ref="O243" si="216">IF($A$64&lt;=O207,IF($B$64&gt;=O207,ABS(O242),0),0)</f>
        <v>295076.86844182457</v>
      </c>
      <c r="P243" s="60">
        <f t="shared" ref="P243" si="217">IF($A$64&lt;=P207,IF($B$64&gt;=P207,ABS(P242),0),0)</f>
        <v>365595.23382536945</v>
      </c>
      <c r="Q243" s="60">
        <f t="shared" ref="Q243" si="218">IF($A$64&lt;=Q207,IF($B$64&gt;=Q207,ABS(Q242),0),0)</f>
        <v>430708.59849227831</v>
      </c>
      <c r="R243" s="60">
        <f t="shared" ref="R243" si="219">IF($A$64&lt;=R207,IF($B$64&gt;=R207,ABS(R242),0),0)</f>
        <v>400942.00375526742</v>
      </c>
      <c r="S243" s="60">
        <f t="shared" ref="S243" si="220">IF($A$64&lt;=S207,IF($B$64&gt;=S207,ABS(S242),0),0)</f>
        <v>269433.61005406099</v>
      </c>
      <c r="T243" s="60">
        <f t="shared" ref="T243" si="221">IF($A$64&lt;=T207,IF($B$64&gt;=T207,ABS(T242),0),0)</f>
        <v>47119.627493375679</v>
      </c>
      <c r="U243" s="60">
        <f t="shared" ref="U243" si="222">IF($A$64&lt;=U207,IF($B$64&gt;=U207,ABS(U242),0),0)</f>
        <v>87176.322400878475</v>
      </c>
      <c r="V243" s="60">
        <f t="shared" ref="V243" si="223">IF($A$64&lt;=V207,IF($B$64&gt;=V207,ABS(V242),0),0)</f>
        <v>541468.9584022474</v>
      </c>
      <c r="W243" s="60">
        <f t="shared" ref="W243" si="224">IF($A$64&lt;=W207,IF($B$64&gt;=W207,ABS(W242),0),0)</f>
        <v>954967.37361061375</v>
      </c>
      <c r="X243" s="60">
        <f t="shared" ref="X243" si="225">IF($A$64&lt;=X207,IF($B$64&gt;=X207,ABS(X242),0),0)</f>
        <v>1139249.4096413292</v>
      </c>
      <c r="Y243" s="60">
        <f t="shared" ref="Y243" si="226">IF($A$64&lt;=Y207,IF($B$64&gt;=Y207,ABS(Y242),0),0)</f>
        <v>1090783.4393474062</v>
      </c>
      <c r="Z243" s="60">
        <f t="shared" ref="Z243" si="227">IF($A$64&lt;=Z207,IF($B$64&gt;=Z207,ABS(Z242),0),0)</f>
        <v>897139.9568542114</v>
      </c>
      <c r="AA243" s="60">
        <f t="shared" ref="AA243" si="228">IF($A$64&lt;=AA207,IF($B$64&gt;=AA207,ABS(AA242),0),0)</f>
        <v>547037.53202986659</v>
      </c>
      <c r="AB243" s="60">
        <f t="shared" ref="AB243" si="229">IF($A$64&lt;=AB207,IF($B$64&gt;=AB207,ABS(AB242),0),0)</f>
        <v>133146.35524977429</v>
      </c>
      <c r="AC243" s="60">
        <f t="shared" ref="AC243" si="230">IF($A$64&lt;=AC207,IF($B$64&gt;=AC207,ABS(AC242),0),0)</f>
        <v>1288.003891435173</v>
      </c>
      <c r="AD243" s="60">
        <f t="shared" ref="AD243" si="231">IF($A$64&lt;=AD207,IF($B$64&gt;=AD207,ABS(AD242),0),0)</f>
        <v>85289.541071625616</v>
      </c>
      <c r="AE243" s="60">
        <f t="shared" ref="AE243" si="232">IF($A$64&lt;=AE207,IF($B$64&gt;=AE207,ABS(AE242),0),0)</f>
        <v>131980.0471701693</v>
      </c>
      <c r="AF243" s="60">
        <f t="shared" ref="AF243" si="233">IF($A$64&lt;=AF207,IF($B$64&gt;=AF207,ABS(AF242),0),0)</f>
        <v>87744.139114031554</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6991.8287140805596</v>
      </c>
      <c r="C248" s="27">
        <f t="shared" ref="C248:AF248" si="234">($C$17+SUM(C249:C279))*$B$51</f>
        <v>6986.6207923894744</v>
      </c>
      <c r="D248" s="27">
        <f t="shared" si="234"/>
        <v>6935.7068933399587</v>
      </c>
      <c r="E248" s="27">
        <f t="shared" si="234"/>
        <v>6527.1075465521171</v>
      </c>
      <c r="F248" s="27">
        <f t="shared" si="234"/>
        <v>5740.3028310623695</v>
      </c>
      <c r="G248" s="27">
        <f t="shared" si="234"/>
        <v>5727.403127829718</v>
      </c>
      <c r="H248" s="27">
        <f t="shared" si="234"/>
        <v>5727.3656406631399</v>
      </c>
      <c r="I248" s="27">
        <f t="shared" si="234"/>
        <v>5726.990979096664</v>
      </c>
      <c r="J248" s="27">
        <f t="shared" si="234"/>
        <v>5723.2652916382267</v>
      </c>
      <c r="K248" s="27">
        <f t="shared" si="234"/>
        <v>5688.0218579129178</v>
      </c>
      <c r="L248" s="27">
        <f t="shared" si="234"/>
        <v>5476.400126728201</v>
      </c>
      <c r="M248" s="27">
        <f t="shared" si="234"/>
        <v>5277.7109272586076</v>
      </c>
      <c r="N248" s="27">
        <f t="shared" si="234"/>
        <v>5076.7434678000973</v>
      </c>
      <c r="O248" s="27">
        <f t="shared" si="234"/>
        <v>4841.3516240114759</v>
      </c>
      <c r="P248" s="27">
        <f t="shared" si="234"/>
        <v>4635.152744318968</v>
      </c>
      <c r="Q248" s="27">
        <f t="shared" si="234"/>
        <v>4451.6259808271097</v>
      </c>
      <c r="R248" s="27">
        <f t="shared" si="234"/>
        <v>4269.9843292370379</v>
      </c>
      <c r="S248" s="27">
        <f t="shared" si="234"/>
        <v>4089.0881153272321</v>
      </c>
      <c r="T248" s="27">
        <f t="shared" si="234"/>
        <v>3909.1622493861232</v>
      </c>
      <c r="U248" s="27">
        <f t="shared" si="234"/>
        <v>3711.0048471884397</v>
      </c>
      <c r="V248" s="27">
        <f t="shared" si="234"/>
        <v>3485.8399739285892</v>
      </c>
      <c r="W248" s="27">
        <f t="shared" si="234"/>
        <v>3235.8799580964205</v>
      </c>
      <c r="X248" s="27">
        <f t="shared" si="234"/>
        <v>2939.0440390708359</v>
      </c>
      <c r="Y248" s="27">
        <f t="shared" si="234"/>
        <v>2579.6679221514837</v>
      </c>
      <c r="Z248" s="27">
        <f t="shared" si="234"/>
        <v>2038.1111324202784</v>
      </c>
      <c r="AA248" s="27">
        <f t="shared" si="234"/>
        <v>1430.6042421621003</v>
      </c>
      <c r="AB248" s="27">
        <f t="shared" si="234"/>
        <v>927.28441026988139</v>
      </c>
      <c r="AC248" s="27">
        <f t="shared" si="234"/>
        <v>584.06311700514902</v>
      </c>
      <c r="AD248" s="27">
        <f t="shared" si="234"/>
        <v>386.40331818446595</v>
      </c>
      <c r="AE248" s="27">
        <f t="shared" si="234"/>
        <v>283.52888177205779</v>
      </c>
      <c r="AF248" s="27">
        <f t="shared" si="234"/>
        <v>236.97336199657559</v>
      </c>
      <c r="AG248" s="27"/>
      <c r="AH248" s="27"/>
    </row>
    <row r="249" spans="1:34" x14ac:dyDescent="0.25">
      <c r="B249" s="3">
        <f t="shared" ref="B249:AF249" si="235">$C18*EXP(-B$246/$A18/EXP(-$E$126))</f>
        <v>0.18082773405620192</v>
      </c>
      <c r="C249" s="3">
        <f t="shared" si="235"/>
        <v>0.18008293758625438</v>
      </c>
      <c r="D249" s="3">
        <f t="shared" si="235"/>
        <v>0.17280162759924442</v>
      </c>
      <c r="E249" s="3">
        <f t="shared" si="235"/>
        <v>0.11436692693617496</v>
      </c>
      <c r="F249" s="3">
        <f t="shared" si="235"/>
        <v>1.8442792547024934E-3</v>
      </c>
      <c r="G249" s="3">
        <f t="shared" si="235"/>
        <v>2.193254230562756E-21</v>
      </c>
      <c r="H249" s="3">
        <f t="shared" si="235"/>
        <v>1.2408289620856783E-200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4.8747329100989632E-2</v>
      </c>
      <c r="C250" s="3">
        <f t="shared" si="236"/>
        <v>4.8747329049452386E-2</v>
      </c>
      <c r="D250" s="3">
        <f t="shared" si="236"/>
        <v>4.8747328534079898E-2</v>
      </c>
      <c r="E250" s="3">
        <f t="shared" si="236"/>
        <v>4.8747323380355312E-2</v>
      </c>
      <c r="F250" s="3">
        <f t="shared" si="236"/>
        <v>4.8747271843139449E-2</v>
      </c>
      <c r="G250" s="3">
        <f t="shared" si="236"/>
        <v>4.8746756473977568E-2</v>
      </c>
      <c r="H250" s="3">
        <f t="shared" si="236"/>
        <v>4.8741603082023369E-2</v>
      </c>
      <c r="I250" s="3">
        <f t="shared" si="236"/>
        <v>4.8690099117223475E-2</v>
      </c>
      <c r="J250" s="3">
        <f t="shared" si="236"/>
        <v>4.8178043258927924E-2</v>
      </c>
      <c r="K250" s="3">
        <f t="shared" si="236"/>
        <v>4.3344514556326735E-2</v>
      </c>
      <c r="L250" s="3">
        <f t="shared" si="236"/>
        <v>1.5058579448179102E-2</v>
      </c>
      <c r="M250" s="3">
        <f t="shared" si="236"/>
        <v>3.8572928923404978E-7</v>
      </c>
      <c r="N250" s="3">
        <f t="shared" si="236"/>
        <v>4.6910357322593723E-53</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1.8089335916133535E-2</v>
      </c>
      <c r="C251" s="3">
        <f t="shared" si="237"/>
        <v>1.8089335914408332E-2</v>
      </c>
      <c r="D251" s="3">
        <f t="shared" si="237"/>
        <v>1.8089335897156326E-2</v>
      </c>
      <c r="E251" s="3">
        <f t="shared" si="237"/>
        <v>1.8089335724636259E-2</v>
      </c>
      <c r="F251" s="3">
        <f t="shared" si="237"/>
        <v>1.8089333999435669E-2</v>
      </c>
      <c r="G251" s="3">
        <f t="shared" si="237"/>
        <v>1.8089316747438824E-2</v>
      </c>
      <c r="H251" s="3">
        <f t="shared" si="237"/>
        <v>1.8089144228375317E-2</v>
      </c>
      <c r="I251" s="3">
        <f t="shared" si="237"/>
        <v>1.8087419128230593E-2</v>
      </c>
      <c r="J251" s="3">
        <f t="shared" si="237"/>
        <v>1.8070177172626361E-2</v>
      </c>
      <c r="K251" s="3">
        <f t="shared" si="237"/>
        <v>1.7898659016974447E-2</v>
      </c>
      <c r="L251" s="3">
        <f t="shared" si="237"/>
        <v>1.6270516221652605E-2</v>
      </c>
      <c r="M251" s="3">
        <f t="shared" si="237"/>
        <v>6.2691651315915347E-3</v>
      </c>
      <c r="N251" s="3">
        <f t="shared" si="237"/>
        <v>4.521613967178595E-7</v>
      </c>
      <c r="O251" s="3">
        <f t="shared" si="237"/>
        <v>1.7223888459905738E-48</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3.7553125741179937E-2</v>
      </c>
      <c r="C252" s="3">
        <f t="shared" si="238"/>
        <v>3.7553125740856855E-2</v>
      </c>
      <c r="D252" s="3">
        <f t="shared" si="238"/>
        <v>3.7553125737626057E-2</v>
      </c>
      <c r="E252" s="3">
        <f t="shared" si="238"/>
        <v>3.7553125705318081E-2</v>
      </c>
      <c r="F252" s="3">
        <f t="shared" si="238"/>
        <v>3.755312538223838E-2</v>
      </c>
      <c r="G252" s="3">
        <f t="shared" si="238"/>
        <v>3.7553122151441465E-2</v>
      </c>
      <c r="H252" s="3">
        <f t="shared" si="238"/>
        <v>3.7553089843487639E-2</v>
      </c>
      <c r="I252" s="3">
        <f t="shared" si="238"/>
        <v>3.7552766765478106E-2</v>
      </c>
      <c r="J252" s="3">
        <f t="shared" si="238"/>
        <v>3.7549536138252154E-2</v>
      </c>
      <c r="K252" s="3">
        <f t="shared" si="238"/>
        <v>3.7517245148069048E-2</v>
      </c>
      <c r="L252" s="3">
        <f t="shared" si="238"/>
        <v>3.7195858600445192E-2</v>
      </c>
      <c r="M252" s="3">
        <f t="shared" si="238"/>
        <v>3.4129588966357066E-2</v>
      </c>
      <c r="N252" s="3">
        <f t="shared" si="238"/>
        <v>1.4437624981756457E-2</v>
      </c>
      <c r="O252" s="3">
        <f t="shared" si="238"/>
        <v>2.6493707982410179E-6</v>
      </c>
      <c r="P252" s="3">
        <f t="shared" si="238"/>
        <v>1.147129976108148E-43</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3.4655462333822058E-2</v>
      </c>
      <c r="C253" s="3">
        <f t="shared" si="239"/>
        <v>3.4655462333795163E-2</v>
      </c>
      <c r="D253" s="3">
        <f t="shared" si="239"/>
        <v>3.4655462333526205E-2</v>
      </c>
      <c r="E253" s="3">
        <f t="shared" si="239"/>
        <v>3.4655462330836648E-2</v>
      </c>
      <c r="F253" s="3">
        <f t="shared" si="239"/>
        <v>3.4655462303941002E-2</v>
      </c>
      <c r="G253" s="3">
        <f t="shared" si="239"/>
        <v>3.465546203498461E-2</v>
      </c>
      <c r="H253" s="3">
        <f t="shared" si="239"/>
        <v>3.4655459345420768E-2</v>
      </c>
      <c r="I253" s="3">
        <f t="shared" si="239"/>
        <v>3.4655432449793806E-2</v>
      </c>
      <c r="J253" s="3">
        <f t="shared" si="239"/>
        <v>3.4655163494672243E-2</v>
      </c>
      <c r="K253" s="3">
        <f t="shared" si="239"/>
        <v>3.4652474058256375E-2</v>
      </c>
      <c r="L253" s="3">
        <f t="shared" si="239"/>
        <v>3.4625591170775578E-2</v>
      </c>
      <c r="M253" s="3">
        <f t="shared" si="239"/>
        <v>3.435790667503457E-2</v>
      </c>
      <c r="N253" s="3">
        <f t="shared" si="239"/>
        <v>3.1792280621969031E-2</v>
      </c>
      <c r="O253" s="3">
        <f t="shared" si="239"/>
        <v>1.4630917386389178E-2</v>
      </c>
      <c r="P253" s="3">
        <f t="shared" si="239"/>
        <v>6.2340503693865062E-6</v>
      </c>
      <c r="Q253" s="3">
        <f t="shared" si="239"/>
        <v>1.2295828457212239E-39</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2.8039973666806568E-2</v>
      </c>
      <c r="C254" s="3">
        <f t="shared" si="240"/>
        <v>2.8039973666804604E-2</v>
      </c>
      <c r="D254" s="3">
        <f t="shared" si="240"/>
        <v>2.8039973666784974E-2</v>
      </c>
      <c r="E254" s="3">
        <f t="shared" si="240"/>
        <v>2.8039973666588669E-2</v>
      </c>
      <c r="F254" s="3">
        <f t="shared" si="240"/>
        <v>2.8039973664625604E-2</v>
      </c>
      <c r="G254" s="3">
        <f t="shared" si="240"/>
        <v>2.8039973644994966E-2</v>
      </c>
      <c r="H254" s="3">
        <f t="shared" si="240"/>
        <v>2.8039973448688606E-2</v>
      </c>
      <c r="I254" s="3">
        <f t="shared" si="240"/>
        <v>2.8039971485625075E-2</v>
      </c>
      <c r="J254" s="3">
        <f t="shared" si="240"/>
        <v>2.8039951854997316E-2</v>
      </c>
      <c r="K254" s="3">
        <f t="shared" si="240"/>
        <v>2.80397555494756E-2</v>
      </c>
      <c r="L254" s="3">
        <f t="shared" si="240"/>
        <v>2.8037792569844431E-2</v>
      </c>
      <c r="M254" s="3">
        <f t="shared" si="240"/>
        <v>2.8018170330174702E-2</v>
      </c>
      <c r="N254" s="3">
        <f t="shared" si="240"/>
        <v>2.7822701643897801E-2</v>
      </c>
      <c r="O254" s="3">
        <f t="shared" si="240"/>
        <v>2.5941469472436855E-2</v>
      </c>
      <c r="P254" s="3">
        <f t="shared" si="240"/>
        <v>1.2880932981433019E-2</v>
      </c>
      <c r="Q254" s="3">
        <f t="shared" si="240"/>
        <v>1.1734775715155082E-5</v>
      </c>
      <c r="R254" s="3">
        <f t="shared" si="240"/>
        <v>4.6211442063866124E-36</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2.6812375730219586E-2</v>
      </c>
      <c r="C255" s="3">
        <f t="shared" si="241"/>
        <v>2.6812375730219416E-2</v>
      </c>
      <c r="D255" s="3">
        <f t="shared" si="241"/>
        <v>2.6812375730217722E-2</v>
      </c>
      <c r="E255" s="3">
        <f t="shared" si="241"/>
        <v>2.6812375730200788E-2</v>
      </c>
      <c r="F255" s="3">
        <f t="shared" si="241"/>
        <v>2.6812375730031455E-2</v>
      </c>
      <c r="G255" s="3">
        <f t="shared" si="241"/>
        <v>2.6812375728338136E-2</v>
      </c>
      <c r="H255" s="3">
        <f t="shared" si="241"/>
        <v>2.6812375711404952E-2</v>
      </c>
      <c r="I255" s="3">
        <f t="shared" si="241"/>
        <v>2.6812375542073101E-2</v>
      </c>
      <c r="J255" s="3">
        <f t="shared" si="241"/>
        <v>2.681237384875464E-2</v>
      </c>
      <c r="K255" s="3">
        <f t="shared" si="241"/>
        <v>2.6812356915575913E-2</v>
      </c>
      <c r="L255" s="3">
        <f t="shared" si="241"/>
        <v>2.6812187584376819E-2</v>
      </c>
      <c r="M255" s="3">
        <f t="shared" si="241"/>
        <v>2.6810494331201598E-2</v>
      </c>
      <c r="N255" s="3">
        <f t="shared" si="241"/>
        <v>2.6793567679647509E-2</v>
      </c>
      <c r="O255" s="3">
        <f t="shared" si="241"/>
        <v>2.6624887812205757E-2</v>
      </c>
      <c r="P255" s="3">
        <f t="shared" si="241"/>
        <v>2.4995405970003777E-2</v>
      </c>
      <c r="Q255" s="3">
        <f t="shared" si="241"/>
        <v>1.3291814713010134E-2</v>
      </c>
      <c r="R255" s="3">
        <f t="shared" si="241"/>
        <v>2.4033947940164747E-5</v>
      </c>
      <c r="S255" s="3">
        <f t="shared" si="241"/>
        <v>8.9791141171082198E-33</v>
      </c>
      <c r="T255" s="3">
        <f t="shared" si="241"/>
        <v>4.7568257318244052E-307</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2.7632018567144066E-2</v>
      </c>
      <c r="C256" s="3">
        <f t="shared" si="242"/>
        <v>2.7632018567144052E-2</v>
      </c>
      <c r="D256" s="3">
        <f t="shared" si="242"/>
        <v>2.7632018567143896E-2</v>
      </c>
      <c r="E256" s="3">
        <f t="shared" si="242"/>
        <v>2.763201856714232E-2</v>
      </c>
      <c r="F256" s="3">
        <f t="shared" si="242"/>
        <v>2.7632018567126576E-2</v>
      </c>
      <c r="G256" s="3">
        <f t="shared" si="242"/>
        <v>2.7632018566969157E-2</v>
      </c>
      <c r="H256" s="3">
        <f t="shared" si="242"/>
        <v>2.7632018565394947E-2</v>
      </c>
      <c r="I256" s="3">
        <f t="shared" si="242"/>
        <v>2.7632018549652852E-2</v>
      </c>
      <c r="J256" s="3">
        <f t="shared" si="242"/>
        <v>2.7632018392231891E-2</v>
      </c>
      <c r="K256" s="3">
        <f t="shared" si="242"/>
        <v>2.7632016818022308E-2</v>
      </c>
      <c r="L256" s="3">
        <f t="shared" si="242"/>
        <v>2.7632001075931438E-2</v>
      </c>
      <c r="M256" s="3">
        <f t="shared" si="242"/>
        <v>2.7631843655515988E-2</v>
      </c>
      <c r="N256" s="3">
        <f t="shared" si="242"/>
        <v>2.763026950068628E-2</v>
      </c>
      <c r="O256" s="3">
        <f t="shared" si="242"/>
        <v>2.7614532883826294E-2</v>
      </c>
      <c r="P256" s="3">
        <f t="shared" si="242"/>
        <v>2.7457658821016036E-2</v>
      </c>
      <c r="Q256" s="3">
        <f t="shared" si="242"/>
        <v>2.5937107075952745E-2</v>
      </c>
      <c r="R256" s="3">
        <f t="shared" si="242"/>
        <v>1.4672423063381991E-2</v>
      </c>
      <c r="S256" s="3">
        <f t="shared" si="242"/>
        <v>4.9238509821876602E-5</v>
      </c>
      <c r="T256" s="3">
        <f t="shared" si="242"/>
        <v>8.9193970925383549E-30</v>
      </c>
      <c r="U256" s="3">
        <f t="shared" si="242"/>
        <v>3.3934502263237659E-277</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2.5920837907154132E-2</v>
      </c>
      <c r="C257" s="3">
        <f t="shared" si="243"/>
        <v>2.5920837907154128E-2</v>
      </c>
      <c r="D257" s="3">
        <f t="shared" si="243"/>
        <v>2.5920837907154118E-2</v>
      </c>
      <c r="E257" s="3">
        <f t="shared" si="243"/>
        <v>2.5920837907153986E-2</v>
      </c>
      <c r="F257" s="3">
        <f t="shared" si="243"/>
        <v>2.5920837907152654E-2</v>
      </c>
      <c r="G257" s="3">
        <f t="shared" si="243"/>
        <v>2.5920837907139331E-2</v>
      </c>
      <c r="H257" s="3">
        <f t="shared" si="243"/>
        <v>2.5920837907006118E-2</v>
      </c>
      <c r="I257" s="3">
        <f t="shared" si="243"/>
        <v>2.5920837905673993E-2</v>
      </c>
      <c r="J257" s="3">
        <f t="shared" si="243"/>
        <v>2.5920837892352722E-2</v>
      </c>
      <c r="K257" s="3">
        <f t="shared" si="243"/>
        <v>2.5920837759140038E-2</v>
      </c>
      <c r="L257" s="3">
        <f t="shared" si="243"/>
        <v>2.592083642701323E-2</v>
      </c>
      <c r="M257" s="3">
        <f t="shared" si="243"/>
        <v>2.5920823105748933E-2</v>
      </c>
      <c r="N257" s="3">
        <f t="shared" si="243"/>
        <v>2.5920689893482472E-2</v>
      </c>
      <c r="O257" s="3">
        <f t="shared" si="243"/>
        <v>2.5919357808470534E-2</v>
      </c>
      <c r="P257" s="3">
        <f t="shared" si="243"/>
        <v>2.5906040722901112E-2</v>
      </c>
      <c r="Q257" s="3">
        <f t="shared" si="243"/>
        <v>2.5773245607351062E-2</v>
      </c>
      <c r="R257" s="3">
        <f t="shared" si="243"/>
        <v>2.448216370852533E-2</v>
      </c>
      <c r="S257" s="3">
        <f t="shared" si="243"/>
        <v>1.4643896487023316E-2</v>
      </c>
      <c r="T257" s="3">
        <f t="shared" si="243"/>
        <v>8.5847010674215018E-5</v>
      </c>
      <c r="U257" s="3">
        <f t="shared" si="243"/>
        <v>4.1153847428648278E-27</v>
      </c>
      <c r="V257" s="3">
        <f t="shared" si="243"/>
        <v>2.6379290181633958E-250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2.7391939908773026E-2</v>
      </c>
      <c r="C258" s="3">
        <f t="shared" si="244"/>
        <v>2.7391939908773026E-2</v>
      </c>
      <c r="D258" s="3">
        <f t="shared" si="244"/>
        <v>2.7391939908773026E-2</v>
      </c>
      <c r="E258" s="3">
        <f t="shared" si="244"/>
        <v>2.7391939908773012E-2</v>
      </c>
      <c r="F258" s="3">
        <f t="shared" si="244"/>
        <v>2.7391939908772887E-2</v>
      </c>
      <c r="G258" s="3">
        <f t="shared" si="244"/>
        <v>2.7391939908771614E-2</v>
      </c>
      <c r="H258" s="3">
        <f t="shared" si="244"/>
        <v>2.7391939908758916E-2</v>
      </c>
      <c r="I258" s="3">
        <f t="shared" si="244"/>
        <v>2.7391939908631927E-2</v>
      </c>
      <c r="J258" s="3">
        <f t="shared" si="244"/>
        <v>2.7391939907362037E-2</v>
      </c>
      <c r="K258" s="3">
        <f t="shared" si="244"/>
        <v>2.7391939894663143E-2</v>
      </c>
      <c r="L258" s="3">
        <f t="shared" si="244"/>
        <v>2.7391939767674196E-2</v>
      </c>
      <c r="M258" s="3">
        <f t="shared" si="244"/>
        <v>2.7391938497784749E-2</v>
      </c>
      <c r="N258" s="3">
        <f t="shared" si="244"/>
        <v>2.7391925798893522E-2</v>
      </c>
      <c r="O258" s="3">
        <f t="shared" si="244"/>
        <v>2.7391798810305044E-2</v>
      </c>
      <c r="P258" s="3">
        <f t="shared" si="244"/>
        <v>2.7390528956799273E-2</v>
      </c>
      <c r="Q258" s="3">
        <f t="shared" si="244"/>
        <v>2.737783365908655E-2</v>
      </c>
      <c r="R258" s="3">
        <f t="shared" si="244"/>
        <v>2.725120386183788E-2</v>
      </c>
      <c r="S258" s="3">
        <f t="shared" si="244"/>
        <v>2.601667632790686E-2</v>
      </c>
      <c r="T258" s="3">
        <f t="shared" si="244"/>
        <v>1.6364887615502574E-2</v>
      </c>
      <c r="U258" s="3">
        <f t="shared" si="244"/>
        <v>1.5868108427777354E-4</v>
      </c>
      <c r="V258" s="3">
        <f t="shared" si="244"/>
        <v>1.1658602126662491E-24</v>
      </c>
      <c r="W258" s="3">
        <f t="shared" si="244"/>
        <v>5.3439169657757981E-226</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3.256547684040112E-2</v>
      </c>
      <c r="C259" s="3">
        <f t="shared" si="245"/>
        <v>3.256547684040112E-2</v>
      </c>
      <c r="D259" s="3">
        <f t="shared" si="245"/>
        <v>3.256547684040112E-2</v>
      </c>
      <c r="E259" s="3">
        <f t="shared" si="245"/>
        <v>3.256547684040112E-2</v>
      </c>
      <c r="F259" s="3">
        <f t="shared" si="245"/>
        <v>3.2565476840401106E-2</v>
      </c>
      <c r="G259" s="3">
        <f t="shared" si="245"/>
        <v>3.2565476840400967E-2</v>
      </c>
      <c r="H259" s="3">
        <f t="shared" si="245"/>
        <v>3.2565476840399607E-2</v>
      </c>
      <c r="I259" s="3">
        <f t="shared" si="245"/>
        <v>3.2565476840385986E-2</v>
      </c>
      <c r="J259" s="3">
        <f t="shared" si="245"/>
        <v>3.2565476840249796E-2</v>
      </c>
      <c r="K259" s="3">
        <f t="shared" si="245"/>
        <v>3.2565476838887893E-2</v>
      </c>
      <c r="L259" s="3">
        <f t="shared" si="245"/>
        <v>3.2565476825268828E-2</v>
      </c>
      <c r="M259" s="3">
        <f t="shared" si="245"/>
        <v>3.2565476689078214E-2</v>
      </c>
      <c r="N259" s="3">
        <f t="shared" si="245"/>
        <v>3.2565475327172147E-2</v>
      </c>
      <c r="O259" s="3">
        <f t="shared" si="245"/>
        <v>3.2565461708114515E-2</v>
      </c>
      <c r="P259" s="3">
        <f t="shared" si="245"/>
        <v>3.2565325517851448E-2</v>
      </c>
      <c r="Q259" s="3">
        <f t="shared" si="245"/>
        <v>3.2563963646545929E-2</v>
      </c>
      <c r="R259" s="3">
        <f t="shared" si="245"/>
        <v>3.2550348065513518E-2</v>
      </c>
      <c r="S259" s="3">
        <f t="shared" si="245"/>
        <v>3.2414504973377799E-2</v>
      </c>
      <c r="T259" s="3">
        <f t="shared" si="245"/>
        <v>3.1086867348409795E-2</v>
      </c>
      <c r="U259" s="3">
        <f t="shared" si="245"/>
        <v>2.0462214104465755E-2</v>
      </c>
      <c r="V259" s="3">
        <f t="shared" si="245"/>
        <v>3.1239873748008956E-4</v>
      </c>
      <c r="W259" s="3">
        <f t="shared" si="245"/>
        <v>2.1491945230602543E-22</v>
      </c>
      <c r="X259" s="3">
        <f t="shared" si="245"/>
        <v>5.1043480046339259E-204</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3.4198379990015168E-2</v>
      </c>
      <c r="C260" s="3">
        <f t="shared" si="246"/>
        <v>3.4198379990015168E-2</v>
      </c>
      <c r="D260" s="3">
        <f t="shared" si="246"/>
        <v>3.4198379990015168E-2</v>
      </c>
      <c r="E260" s="3">
        <f t="shared" si="246"/>
        <v>3.4198379990015168E-2</v>
      </c>
      <c r="F260" s="3">
        <f t="shared" si="246"/>
        <v>3.4198379990015168E-2</v>
      </c>
      <c r="G260" s="3">
        <f t="shared" si="246"/>
        <v>3.4198379990015154E-2</v>
      </c>
      <c r="H260" s="3">
        <f t="shared" si="246"/>
        <v>3.4198379990015022E-2</v>
      </c>
      <c r="I260" s="3">
        <f t="shared" si="246"/>
        <v>3.4198379990013732E-2</v>
      </c>
      <c r="J260" s="3">
        <f t="shared" si="246"/>
        <v>3.4198379990000832E-2</v>
      </c>
      <c r="K260" s="3">
        <f t="shared" si="246"/>
        <v>3.4198379989871817E-2</v>
      </c>
      <c r="L260" s="3">
        <f t="shared" si="246"/>
        <v>3.4198379988581662E-2</v>
      </c>
      <c r="M260" s="3">
        <f t="shared" si="246"/>
        <v>3.4198379975680114E-2</v>
      </c>
      <c r="N260" s="3">
        <f t="shared" si="246"/>
        <v>3.4198379846664628E-2</v>
      </c>
      <c r="O260" s="3">
        <f t="shared" si="246"/>
        <v>3.419837855650977E-2</v>
      </c>
      <c r="P260" s="3">
        <f t="shared" si="246"/>
        <v>3.4198365654963883E-2</v>
      </c>
      <c r="Q260" s="3">
        <f t="shared" si="246"/>
        <v>3.4198236639772714E-2</v>
      </c>
      <c r="R260" s="3">
        <f t="shared" si="246"/>
        <v>3.4196946514630164E-2</v>
      </c>
      <c r="S260" s="3">
        <f t="shared" si="246"/>
        <v>3.4184047939743188E-2</v>
      </c>
      <c r="T260" s="3">
        <f t="shared" si="246"/>
        <v>3.4055329471501979E-2</v>
      </c>
      <c r="U260" s="3">
        <f t="shared" si="246"/>
        <v>3.2794503503763187E-2</v>
      </c>
      <c r="V260" s="3">
        <f t="shared" si="246"/>
        <v>2.2488516121757209E-2</v>
      </c>
      <c r="W260" s="3">
        <f t="shared" si="246"/>
        <v>5.1708054434349785E-4</v>
      </c>
      <c r="X260" s="3">
        <f t="shared" si="246"/>
        <v>2.1356602818802596E-20</v>
      </c>
      <c r="Y260" s="3">
        <f t="shared" si="246"/>
        <v>3.0851189022945419E-184</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4.2864410475860253E-2</v>
      </c>
      <c r="C261" s="3">
        <f t="shared" si="247"/>
        <v>4.2864410475860253E-2</v>
      </c>
      <c r="D261" s="3">
        <f t="shared" si="247"/>
        <v>4.2864410475860253E-2</v>
      </c>
      <c r="E261" s="3">
        <f t="shared" si="247"/>
        <v>4.2864410475860253E-2</v>
      </c>
      <c r="F261" s="3">
        <f t="shared" si="247"/>
        <v>4.2864410475860253E-2</v>
      </c>
      <c r="G261" s="3">
        <f t="shared" si="247"/>
        <v>4.2864410475860253E-2</v>
      </c>
      <c r="H261" s="3">
        <f t="shared" si="247"/>
        <v>4.2864410475860239E-2</v>
      </c>
      <c r="I261" s="3">
        <f t="shared" si="247"/>
        <v>4.2864410475860093E-2</v>
      </c>
      <c r="J261" s="3">
        <f t="shared" si="247"/>
        <v>4.2864410475858629E-2</v>
      </c>
      <c r="K261" s="3">
        <f t="shared" si="247"/>
        <v>4.2864410475844043E-2</v>
      </c>
      <c r="L261" s="3">
        <f t="shared" si="247"/>
        <v>4.2864410475698167E-2</v>
      </c>
      <c r="M261" s="3">
        <f t="shared" si="247"/>
        <v>4.2864410474239424E-2</v>
      </c>
      <c r="N261" s="3">
        <f t="shared" si="247"/>
        <v>4.2864410459651961E-2</v>
      </c>
      <c r="O261" s="3">
        <f t="shared" si="247"/>
        <v>4.2864410313777329E-2</v>
      </c>
      <c r="P261" s="3">
        <f t="shared" si="247"/>
        <v>4.2864408855031073E-2</v>
      </c>
      <c r="Q261" s="3">
        <f t="shared" si="247"/>
        <v>4.2864394267571222E-2</v>
      </c>
      <c r="R261" s="3">
        <f t="shared" si="247"/>
        <v>4.2864248393245791E-2</v>
      </c>
      <c r="S261" s="3">
        <f t="shared" si="247"/>
        <v>4.2862789677294996E-2</v>
      </c>
      <c r="T261" s="3">
        <f t="shared" si="247"/>
        <v>4.2848205247799372E-2</v>
      </c>
      <c r="U261" s="3">
        <f t="shared" si="247"/>
        <v>4.2702633610629891E-2</v>
      </c>
      <c r="V261" s="3">
        <f t="shared" si="247"/>
        <v>4.1273842797752786E-2</v>
      </c>
      <c r="W261" s="3">
        <f t="shared" si="247"/>
        <v>2.9368202141464076E-2</v>
      </c>
      <c r="X261" s="3">
        <f t="shared" si="247"/>
        <v>9.7701652923775327E-4</v>
      </c>
      <c r="Y261" s="3">
        <f t="shared" si="247"/>
        <v>1.6223606934932176E-18</v>
      </c>
      <c r="Z261" s="3">
        <f t="shared" si="247"/>
        <v>2.5858448317337395E-166</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4.3714566142705795E-2</v>
      </c>
      <c r="C262" s="3">
        <f t="shared" si="248"/>
        <v>4.3714566142705795E-2</v>
      </c>
      <c r="D262" s="3">
        <f t="shared" si="248"/>
        <v>4.3714566142705795E-2</v>
      </c>
      <c r="E262" s="3">
        <f t="shared" si="248"/>
        <v>4.3714566142705795E-2</v>
      </c>
      <c r="F262" s="3">
        <f t="shared" si="248"/>
        <v>4.3714566142705795E-2</v>
      </c>
      <c r="G262" s="3">
        <f t="shared" si="248"/>
        <v>4.3714566142705795E-2</v>
      </c>
      <c r="H262" s="3">
        <f t="shared" si="248"/>
        <v>4.3714566142705795E-2</v>
      </c>
      <c r="I262" s="3">
        <f t="shared" si="248"/>
        <v>4.3714566142705781E-2</v>
      </c>
      <c r="J262" s="3">
        <f t="shared" si="248"/>
        <v>4.3714566142705642E-2</v>
      </c>
      <c r="K262" s="3">
        <f t="shared" si="248"/>
        <v>4.3714566142704303E-2</v>
      </c>
      <c r="L262" s="3">
        <f t="shared" si="248"/>
        <v>4.3714566142690883E-2</v>
      </c>
      <c r="M262" s="3">
        <f t="shared" si="248"/>
        <v>4.3714566142556685E-2</v>
      </c>
      <c r="N262" s="3">
        <f t="shared" si="248"/>
        <v>4.3714566141214675E-2</v>
      </c>
      <c r="O262" s="3">
        <f t="shared" si="248"/>
        <v>4.3714566127794577E-2</v>
      </c>
      <c r="P262" s="3">
        <f t="shared" si="248"/>
        <v>4.37145659935936E-2</v>
      </c>
      <c r="Q262" s="3">
        <f t="shared" si="248"/>
        <v>4.3714564651583875E-2</v>
      </c>
      <c r="R262" s="3">
        <f t="shared" si="248"/>
        <v>4.3714551231488853E-2</v>
      </c>
      <c r="S262" s="3">
        <f t="shared" si="248"/>
        <v>4.3714417030765278E-2</v>
      </c>
      <c r="T262" s="3">
        <f t="shared" si="248"/>
        <v>4.3713075046188613E-2</v>
      </c>
      <c r="U262" s="3">
        <f t="shared" si="248"/>
        <v>4.3699657466073141E-2</v>
      </c>
      <c r="V262" s="3">
        <f t="shared" si="248"/>
        <v>4.3565707972899846E-2</v>
      </c>
      <c r="W262" s="3">
        <f t="shared" si="248"/>
        <v>4.2248588878546128E-2</v>
      </c>
      <c r="X262" s="3">
        <f t="shared" si="248"/>
        <v>3.1080394798065545E-2</v>
      </c>
      <c r="Y262" s="3">
        <f t="shared" si="248"/>
        <v>1.4428783452922302E-3</v>
      </c>
      <c r="Z262" s="3">
        <f t="shared" si="248"/>
        <v>6.7090588824259472E-17</v>
      </c>
      <c r="AA262" s="3">
        <f t="shared" si="248"/>
        <v>3.1694250257620421E-150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7.7757179566671539E-2</v>
      </c>
      <c r="C263" s="3">
        <f t="shared" si="249"/>
        <v>7.7757179566671539E-2</v>
      </c>
      <c r="D263" s="3">
        <f t="shared" si="249"/>
        <v>7.7757179566671539E-2</v>
      </c>
      <c r="E263" s="3">
        <f t="shared" si="249"/>
        <v>7.7757179566671539E-2</v>
      </c>
      <c r="F263" s="3">
        <f t="shared" si="249"/>
        <v>7.7757179566671539E-2</v>
      </c>
      <c r="G263" s="3">
        <f t="shared" si="249"/>
        <v>7.7757179566671539E-2</v>
      </c>
      <c r="H263" s="3">
        <f t="shared" si="249"/>
        <v>7.7757179566671539E-2</v>
      </c>
      <c r="I263" s="3">
        <f t="shared" si="249"/>
        <v>7.7757179566671539E-2</v>
      </c>
      <c r="J263" s="3">
        <f t="shared" si="249"/>
        <v>7.7757179566671511E-2</v>
      </c>
      <c r="K263" s="3">
        <f t="shared" si="249"/>
        <v>7.7757179566671303E-2</v>
      </c>
      <c r="L263" s="3">
        <f t="shared" si="249"/>
        <v>7.7757179566669152E-2</v>
      </c>
      <c r="M263" s="3">
        <f t="shared" si="249"/>
        <v>7.7757179566647613E-2</v>
      </c>
      <c r="N263" s="3">
        <f t="shared" si="249"/>
        <v>7.7757179566432272E-2</v>
      </c>
      <c r="O263" s="3">
        <f t="shared" si="249"/>
        <v>7.7757179564278925E-2</v>
      </c>
      <c r="P263" s="3">
        <f t="shared" si="249"/>
        <v>7.7757179542745317E-2</v>
      </c>
      <c r="Q263" s="3">
        <f t="shared" si="249"/>
        <v>7.7757179327409345E-2</v>
      </c>
      <c r="R263" s="3">
        <f t="shared" si="249"/>
        <v>7.7757177174049633E-2</v>
      </c>
      <c r="S263" s="3">
        <f t="shared" si="249"/>
        <v>7.7757155640455836E-2</v>
      </c>
      <c r="T263" s="3">
        <f t="shared" si="249"/>
        <v>7.7756940304845798E-2</v>
      </c>
      <c r="U263" s="3">
        <f t="shared" si="249"/>
        <v>7.7754786981543658E-2</v>
      </c>
      <c r="V263" s="3">
        <f t="shared" si="249"/>
        <v>7.7733257028009387E-2</v>
      </c>
      <c r="W263" s="3">
        <f t="shared" si="249"/>
        <v>7.7518285105590723E-2</v>
      </c>
      <c r="X263" s="3">
        <f t="shared" si="249"/>
        <v>7.5400993955627355E-2</v>
      </c>
      <c r="Y263" s="3">
        <f t="shared" si="249"/>
        <v>5.7161841962411544E-2</v>
      </c>
      <c r="Z263" s="3">
        <f t="shared" si="249"/>
        <v>3.5842447262160598E-3</v>
      </c>
      <c r="AA263" s="3">
        <f t="shared" si="249"/>
        <v>3.3675345099074142E-15</v>
      </c>
      <c r="AB263" s="3">
        <f t="shared" si="249"/>
        <v>1.8049120978192456E-135</v>
      </c>
      <c r="AC263" s="3">
        <f t="shared" si="249"/>
        <v>0</v>
      </c>
      <c r="AD263" s="3">
        <f t="shared" si="249"/>
        <v>0</v>
      </c>
      <c r="AE263" s="3">
        <f t="shared" si="249"/>
        <v>0</v>
      </c>
      <c r="AF263" s="3">
        <f t="shared" si="249"/>
        <v>0</v>
      </c>
      <c r="AG263" s="3"/>
      <c r="AH263" s="3"/>
    </row>
    <row r="264" spans="2:34" x14ac:dyDescent="0.25">
      <c r="B264" s="3">
        <f t="shared" ref="B264:AF264" si="250">$C33*EXP(-B$246/$A33/EXP(-$E$126))</f>
        <v>9.5507274749383017E-2</v>
      </c>
      <c r="C264" s="3">
        <f t="shared" si="250"/>
        <v>9.5507274749383017E-2</v>
      </c>
      <c r="D264" s="3">
        <f t="shared" si="250"/>
        <v>9.5507274749383017E-2</v>
      </c>
      <c r="E264" s="3">
        <f t="shared" si="250"/>
        <v>9.5507274749383017E-2</v>
      </c>
      <c r="F264" s="3">
        <f t="shared" si="250"/>
        <v>9.5507274749383017E-2</v>
      </c>
      <c r="G264" s="3">
        <f t="shared" si="250"/>
        <v>9.5507274749383017E-2</v>
      </c>
      <c r="H264" s="3">
        <f t="shared" si="250"/>
        <v>9.5507274749383017E-2</v>
      </c>
      <c r="I264" s="3">
        <f t="shared" si="250"/>
        <v>9.5507274749383017E-2</v>
      </c>
      <c r="J264" s="3">
        <f t="shared" si="250"/>
        <v>9.5507274749383017E-2</v>
      </c>
      <c r="K264" s="3">
        <f t="shared" si="250"/>
        <v>9.5507274749382989E-2</v>
      </c>
      <c r="L264" s="3">
        <f t="shared" si="250"/>
        <v>9.5507274749382753E-2</v>
      </c>
      <c r="M264" s="3">
        <f t="shared" si="250"/>
        <v>9.5507274749380366E-2</v>
      </c>
      <c r="N264" s="3">
        <f t="shared" si="250"/>
        <v>9.5507274749356511E-2</v>
      </c>
      <c r="O264" s="3">
        <f t="shared" si="250"/>
        <v>9.550727474911791E-2</v>
      </c>
      <c r="P264" s="3">
        <f t="shared" si="250"/>
        <v>9.5507274746731971E-2</v>
      </c>
      <c r="Q264" s="3">
        <f t="shared" si="250"/>
        <v>9.5507274722872598E-2</v>
      </c>
      <c r="R264" s="3">
        <f t="shared" si="250"/>
        <v>9.5507274484278815E-2</v>
      </c>
      <c r="S264" s="3">
        <f t="shared" si="250"/>
        <v>9.5507272098340951E-2</v>
      </c>
      <c r="T264" s="3">
        <f t="shared" si="250"/>
        <v>9.550724823896567E-2</v>
      </c>
      <c r="U264" s="3">
        <f t="shared" si="250"/>
        <v>9.5507009645540694E-2</v>
      </c>
      <c r="V264" s="3">
        <f t="shared" si="250"/>
        <v>9.5504623744073314E-2</v>
      </c>
      <c r="W264" s="3">
        <f t="shared" si="250"/>
        <v>9.548076800733124E-2</v>
      </c>
      <c r="X264" s="3">
        <f t="shared" si="250"/>
        <v>9.5242538130297844E-2</v>
      </c>
      <c r="Y264" s="3">
        <f t="shared" si="250"/>
        <v>9.2892687703486534E-2</v>
      </c>
      <c r="Z264" s="3">
        <f t="shared" si="250"/>
        <v>7.2358109413048669E-2</v>
      </c>
      <c r="AA264" s="3">
        <f t="shared" si="250"/>
        <v>5.950370859644053E-3</v>
      </c>
      <c r="AB264" s="3">
        <f t="shared" si="250"/>
        <v>8.4161267195276746E-14</v>
      </c>
      <c r="AC264" s="3">
        <f t="shared" si="250"/>
        <v>2.6964637323377436E-122</v>
      </c>
      <c r="AD264" s="3">
        <f t="shared" si="250"/>
        <v>0</v>
      </c>
      <c r="AE264" s="3">
        <f t="shared" si="250"/>
        <v>0</v>
      </c>
      <c r="AF264" s="3">
        <f t="shared" si="250"/>
        <v>0</v>
      </c>
      <c r="AG264" s="3"/>
      <c r="AH264" s="3"/>
    </row>
    <row r="265" spans="2:34" x14ac:dyDescent="0.25">
      <c r="B265" s="3">
        <f t="shared" ref="B265:AF265" si="251">$C34*EXP(-B$246/$A34/EXP(-$E$126))</f>
        <v>8.003075559639232E-2</v>
      </c>
      <c r="C265" s="3">
        <f t="shared" si="251"/>
        <v>8.003075559639232E-2</v>
      </c>
      <c r="D265" s="3">
        <f t="shared" si="251"/>
        <v>8.003075559639232E-2</v>
      </c>
      <c r="E265" s="3">
        <f t="shared" si="251"/>
        <v>8.003075559639232E-2</v>
      </c>
      <c r="F265" s="3">
        <f t="shared" si="251"/>
        <v>8.003075559639232E-2</v>
      </c>
      <c r="G265" s="3">
        <f t="shared" si="251"/>
        <v>8.003075559639232E-2</v>
      </c>
      <c r="H265" s="3">
        <f t="shared" si="251"/>
        <v>8.003075559639232E-2</v>
      </c>
      <c r="I265" s="3">
        <f t="shared" si="251"/>
        <v>8.003075559639232E-2</v>
      </c>
      <c r="J265" s="3">
        <f t="shared" si="251"/>
        <v>8.003075559639232E-2</v>
      </c>
      <c r="K265" s="3">
        <f t="shared" si="251"/>
        <v>8.003075559639232E-2</v>
      </c>
      <c r="L265" s="3">
        <f t="shared" si="251"/>
        <v>8.0030755596392306E-2</v>
      </c>
      <c r="M265" s="3">
        <f t="shared" si="251"/>
        <v>8.0030755596392111E-2</v>
      </c>
      <c r="N265" s="3">
        <f t="shared" si="251"/>
        <v>8.0030755596390307E-2</v>
      </c>
      <c r="O265" s="3">
        <f t="shared" si="251"/>
        <v>8.003075559637228E-2</v>
      </c>
      <c r="P265" s="3">
        <f t="shared" si="251"/>
        <v>8.0030755596191924E-2</v>
      </c>
      <c r="Q265" s="3">
        <f t="shared" si="251"/>
        <v>8.0030755594388381E-2</v>
      </c>
      <c r="R265" s="3">
        <f t="shared" si="251"/>
        <v>8.0030755576352974E-2</v>
      </c>
      <c r="S265" s="3">
        <f t="shared" si="251"/>
        <v>8.0030755395998798E-2</v>
      </c>
      <c r="T265" s="3">
        <f t="shared" si="251"/>
        <v>8.0030753592457107E-2</v>
      </c>
      <c r="U265" s="3">
        <f t="shared" si="251"/>
        <v>8.0030735557042529E-2</v>
      </c>
      <c r="V265" s="3">
        <f t="shared" si="251"/>
        <v>8.003055520312026E-2</v>
      </c>
      <c r="W265" s="3">
        <f t="shared" si="251"/>
        <v>8.0028751686251412E-2</v>
      </c>
      <c r="X265" s="3">
        <f t="shared" si="251"/>
        <v>8.0010718752770812E-2</v>
      </c>
      <c r="Y265" s="3">
        <f t="shared" si="251"/>
        <v>7.9830612752487901E-2</v>
      </c>
      <c r="Z265" s="3">
        <f t="shared" si="251"/>
        <v>7.8051701098946671E-2</v>
      </c>
      <c r="AA265" s="3">
        <f t="shared" si="251"/>
        <v>6.2303360527972265E-2</v>
      </c>
      <c r="AB265" s="3">
        <f t="shared" si="251"/>
        <v>6.5433849121256825E-3</v>
      </c>
      <c r="AC265" s="3">
        <f t="shared" si="251"/>
        <v>1.0683472280317201E-12</v>
      </c>
      <c r="AD265" s="3">
        <f t="shared" si="251"/>
        <v>1.4381759437929013E-110</v>
      </c>
      <c r="AE265" s="3">
        <f t="shared" si="251"/>
        <v>0</v>
      </c>
      <c r="AF265" s="3">
        <f t="shared" si="251"/>
        <v>0</v>
      </c>
      <c r="AG265" s="3"/>
      <c r="AH265" s="3"/>
    </row>
    <row r="266" spans="2:34" x14ac:dyDescent="0.25">
      <c r="B266" s="3">
        <f t="shared" ref="B266:AF266" si="252">$C35*EXP(-B$246/$A35/EXP(-$E$126))</f>
        <v>5.3976889971713508E-2</v>
      </c>
      <c r="C266" s="3">
        <f t="shared" si="252"/>
        <v>5.3976889971713508E-2</v>
      </c>
      <c r="D266" s="3">
        <f t="shared" si="252"/>
        <v>5.3976889971713508E-2</v>
      </c>
      <c r="E266" s="3">
        <f t="shared" si="252"/>
        <v>5.3976889971713508E-2</v>
      </c>
      <c r="F266" s="3">
        <f t="shared" si="252"/>
        <v>5.3976889971713508E-2</v>
      </c>
      <c r="G266" s="3">
        <f t="shared" si="252"/>
        <v>5.3976889971713508E-2</v>
      </c>
      <c r="H266" s="3">
        <f t="shared" si="252"/>
        <v>5.3976889971713508E-2</v>
      </c>
      <c r="I266" s="3">
        <f t="shared" si="252"/>
        <v>5.3976889971713508E-2</v>
      </c>
      <c r="J266" s="3">
        <f t="shared" si="252"/>
        <v>5.3976889971713508E-2</v>
      </c>
      <c r="K266" s="3">
        <f t="shared" si="252"/>
        <v>5.3976889971713508E-2</v>
      </c>
      <c r="L266" s="3">
        <f t="shared" si="252"/>
        <v>5.3976889971713508E-2</v>
      </c>
      <c r="M266" s="3">
        <f t="shared" si="252"/>
        <v>5.3976889971713495E-2</v>
      </c>
      <c r="N266" s="3">
        <f t="shared" si="252"/>
        <v>5.397688997171339E-2</v>
      </c>
      <c r="O266" s="3">
        <f t="shared" si="252"/>
        <v>5.3976889971712294E-2</v>
      </c>
      <c r="P266" s="3">
        <f t="shared" si="252"/>
        <v>5.3976889971701317E-2</v>
      </c>
      <c r="Q266" s="3">
        <f t="shared" si="252"/>
        <v>5.3976889971591585E-2</v>
      </c>
      <c r="R266" s="3">
        <f t="shared" si="252"/>
        <v>5.3976889970494289E-2</v>
      </c>
      <c r="S266" s="3">
        <f t="shared" si="252"/>
        <v>5.3976889959521338E-2</v>
      </c>
      <c r="T266" s="3">
        <f t="shared" si="252"/>
        <v>5.3976889849791751E-2</v>
      </c>
      <c r="U266" s="3">
        <f t="shared" si="252"/>
        <v>5.3976888752495955E-2</v>
      </c>
      <c r="V266" s="3">
        <f t="shared" si="252"/>
        <v>5.3976877779539204E-2</v>
      </c>
      <c r="W266" s="3">
        <f t="shared" si="252"/>
        <v>5.3976768050094409E-2</v>
      </c>
      <c r="X266" s="3">
        <f t="shared" si="252"/>
        <v>5.3975670767915165E-2</v>
      </c>
      <c r="Y266" s="3">
        <f t="shared" si="252"/>
        <v>5.3964699172900733E-2</v>
      </c>
      <c r="Z266" s="3">
        <f t="shared" si="252"/>
        <v>5.3855105808331548E-2</v>
      </c>
      <c r="AA266" s="3">
        <f t="shared" si="252"/>
        <v>5.2771339013873791E-2</v>
      </c>
      <c r="AB266" s="3">
        <f t="shared" si="252"/>
        <v>4.3063608623612339E-2</v>
      </c>
      <c r="AC266" s="3">
        <f t="shared" si="252"/>
        <v>5.6394074977508092E-3</v>
      </c>
      <c r="AD266" s="3">
        <f t="shared" si="252"/>
        <v>8.3649635558198133E-12</v>
      </c>
      <c r="AE266" s="3">
        <f t="shared" si="252"/>
        <v>4.3129041957520733E-100</v>
      </c>
      <c r="AF266" s="3">
        <f t="shared" si="252"/>
        <v>0</v>
      </c>
      <c r="AG266" s="3"/>
      <c r="AH266" s="3"/>
    </row>
    <row r="267" spans="2:34" x14ac:dyDescent="0.25">
      <c r="B267" s="3">
        <f t="shared" ref="B267:AF267" si="253">$C36*EXP(-B$246/$A36/EXP(-$E$126))</f>
        <v>2.9623895965477303E-2</v>
      </c>
      <c r="C267" s="3">
        <f t="shared" si="253"/>
        <v>2.9623895965477303E-2</v>
      </c>
      <c r="D267" s="3">
        <f t="shared" si="253"/>
        <v>2.9623895965477303E-2</v>
      </c>
      <c r="E267" s="3">
        <f t="shared" si="253"/>
        <v>2.9623895965477303E-2</v>
      </c>
      <c r="F267" s="3">
        <f t="shared" si="253"/>
        <v>2.9623895965477303E-2</v>
      </c>
      <c r="G267" s="3">
        <f t="shared" si="253"/>
        <v>2.9623895965477303E-2</v>
      </c>
      <c r="H267" s="3">
        <f t="shared" si="253"/>
        <v>2.9623895965477303E-2</v>
      </c>
      <c r="I267" s="3">
        <f t="shared" si="253"/>
        <v>2.9623895965477303E-2</v>
      </c>
      <c r="J267" s="3">
        <f t="shared" si="253"/>
        <v>2.9623895965477303E-2</v>
      </c>
      <c r="K267" s="3">
        <f t="shared" si="253"/>
        <v>2.9623895965477303E-2</v>
      </c>
      <c r="L267" s="3">
        <f t="shared" si="253"/>
        <v>2.9623895965477303E-2</v>
      </c>
      <c r="M267" s="3">
        <f t="shared" si="253"/>
        <v>2.9623895965477303E-2</v>
      </c>
      <c r="N267" s="3">
        <f t="shared" si="253"/>
        <v>2.9623895965477296E-2</v>
      </c>
      <c r="O267" s="3">
        <f t="shared" si="253"/>
        <v>2.9623895965477244E-2</v>
      </c>
      <c r="P267" s="3">
        <f t="shared" si="253"/>
        <v>2.9623895965476699E-2</v>
      </c>
      <c r="Q267" s="3">
        <f t="shared" si="253"/>
        <v>2.9623895965471266E-2</v>
      </c>
      <c r="R267" s="3">
        <f t="shared" si="253"/>
        <v>2.9623895965416942E-2</v>
      </c>
      <c r="S267" s="3">
        <f t="shared" si="253"/>
        <v>2.9623895964873685E-2</v>
      </c>
      <c r="T267" s="3">
        <f t="shared" si="253"/>
        <v>2.9623895959441125E-2</v>
      </c>
      <c r="U267" s="3">
        <f t="shared" si="253"/>
        <v>2.9623895905115511E-2</v>
      </c>
      <c r="V267" s="3">
        <f t="shared" si="253"/>
        <v>2.9623895361859397E-2</v>
      </c>
      <c r="W267" s="3">
        <f t="shared" si="253"/>
        <v>2.9623889929298798E-2</v>
      </c>
      <c r="X267" s="3">
        <f t="shared" si="253"/>
        <v>2.9623835603747588E-2</v>
      </c>
      <c r="Y267" s="3">
        <f t="shared" si="253"/>
        <v>2.9623292353714813E-2</v>
      </c>
      <c r="Z267" s="3">
        <f t="shared" si="253"/>
        <v>2.9617860401281684E-2</v>
      </c>
      <c r="AA267" s="3">
        <f t="shared" si="253"/>
        <v>2.9563595629254064E-2</v>
      </c>
      <c r="AB267" s="3">
        <f t="shared" si="253"/>
        <v>2.9026386170213723E-2</v>
      </c>
      <c r="AC267" s="3">
        <f t="shared" si="253"/>
        <v>2.4162959381099254E-2</v>
      </c>
      <c r="AD267" s="3">
        <f t="shared" si="253"/>
        <v>3.8611944518471644E-3</v>
      </c>
      <c r="AE267" s="3">
        <f t="shared" si="253"/>
        <v>4.192153437997279E-11</v>
      </c>
      <c r="AF267" s="3">
        <f t="shared" si="253"/>
        <v>9.5409613158419298E-91</v>
      </c>
      <c r="AG267" s="3"/>
      <c r="AH267" s="3"/>
    </row>
    <row r="268" spans="2:34" x14ac:dyDescent="0.25">
      <c r="B268" s="3">
        <f t="shared" ref="B268:AF268" si="254">$C37*EXP(-B$246/$A37/EXP(-$E$126))</f>
        <v>1.5005107194779805E-2</v>
      </c>
      <c r="C268" s="3">
        <f t="shared" si="254"/>
        <v>1.5005107194779805E-2</v>
      </c>
      <c r="D268" s="3">
        <f t="shared" si="254"/>
        <v>1.5005107194779805E-2</v>
      </c>
      <c r="E268" s="3">
        <f t="shared" si="254"/>
        <v>1.5005107194779805E-2</v>
      </c>
      <c r="F268" s="3">
        <f t="shared" si="254"/>
        <v>1.5005107194779805E-2</v>
      </c>
      <c r="G268" s="3">
        <f t="shared" si="254"/>
        <v>1.5005107194779805E-2</v>
      </c>
      <c r="H268" s="3">
        <f t="shared" si="254"/>
        <v>1.5005107194779805E-2</v>
      </c>
      <c r="I268" s="3">
        <f t="shared" si="254"/>
        <v>1.5005107194779805E-2</v>
      </c>
      <c r="J268" s="3">
        <f t="shared" si="254"/>
        <v>1.5005107194779805E-2</v>
      </c>
      <c r="K268" s="3">
        <f t="shared" si="254"/>
        <v>1.5005107194779805E-2</v>
      </c>
      <c r="L268" s="3">
        <f t="shared" si="254"/>
        <v>1.5005107194779805E-2</v>
      </c>
      <c r="M268" s="3">
        <f t="shared" si="254"/>
        <v>1.5005107194779805E-2</v>
      </c>
      <c r="N268" s="3">
        <f t="shared" si="254"/>
        <v>1.5005107194779805E-2</v>
      </c>
      <c r="O268" s="3">
        <f t="shared" si="254"/>
        <v>1.5005107194779802E-2</v>
      </c>
      <c r="P268" s="3">
        <f t="shared" si="254"/>
        <v>1.5005107194779778E-2</v>
      </c>
      <c r="Q268" s="3">
        <f t="shared" si="254"/>
        <v>1.5005107194779529E-2</v>
      </c>
      <c r="R268" s="3">
        <f t="shared" si="254"/>
        <v>1.5005107194777047E-2</v>
      </c>
      <c r="S268" s="3">
        <f t="shared" si="254"/>
        <v>1.5005107194752225E-2</v>
      </c>
      <c r="T268" s="3">
        <f t="shared" si="254"/>
        <v>1.5005107194503998E-2</v>
      </c>
      <c r="U268" s="3">
        <f t="shared" si="254"/>
        <v>1.5005107192021734E-2</v>
      </c>
      <c r="V268" s="3">
        <f t="shared" si="254"/>
        <v>1.5005107167199083E-2</v>
      </c>
      <c r="W268" s="3">
        <f t="shared" si="254"/>
        <v>1.5005106918972583E-2</v>
      </c>
      <c r="X268" s="3">
        <f t="shared" si="254"/>
        <v>1.5005104436707812E-2</v>
      </c>
      <c r="Y268" s="3">
        <f t="shared" si="254"/>
        <v>1.5005079614082685E-2</v>
      </c>
      <c r="Z268" s="3">
        <f t="shared" si="254"/>
        <v>1.5004831390089899E-2</v>
      </c>
      <c r="AA268" s="3">
        <f t="shared" si="254"/>
        <v>1.5002349375996579E-2</v>
      </c>
      <c r="AB268" s="3">
        <f t="shared" si="254"/>
        <v>1.4977551804699552E-2</v>
      </c>
      <c r="AC268" s="3">
        <f t="shared" si="254"/>
        <v>1.4731819301759503E-2</v>
      </c>
      <c r="AD268" s="3">
        <f t="shared" si="254"/>
        <v>1.2485671700356858E-2</v>
      </c>
      <c r="AE268" s="3">
        <f t="shared" si="254"/>
        <v>2.38763091051899E-3</v>
      </c>
      <c r="AF268" s="3">
        <f t="shared" si="254"/>
        <v>1.5614209635319132E-10</v>
      </c>
      <c r="AG268" s="3"/>
      <c r="AH268" s="3"/>
    </row>
    <row r="269" spans="2:34" x14ac:dyDescent="0.25">
      <c r="B269" s="3">
        <f t="shared" ref="B269:AF269" si="255">$C38*EXP(-B$246/$A38/EXP(-$E$126))</f>
        <v>4.0905508263932881E-3</v>
      </c>
      <c r="C269" s="3">
        <f t="shared" si="255"/>
        <v>4.0905508263932881E-3</v>
      </c>
      <c r="D269" s="3">
        <f t="shared" si="255"/>
        <v>4.0905508263932881E-3</v>
      </c>
      <c r="E269" s="3">
        <f t="shared" si="255"/>
        <v>4.0905508263932881E-3</v>
      </c>
      <c r="F269" s="3">
        <f t="shared" si="255"/>
        <v>4.0905508263932881E-3</v>
      </c>
      <c r="G269" s="3">
        <f t="shared" si="255"/>
        <v>4.0905508263932881E-3</v>
      </c>
      <c r="H269" s="3">
        <f t="shared" si="255"/>
        <v>4.0905508263932881E-3</v>
      </c>
      <c r="I269" s="3">
        <f t="shared" si="255"/>
        <v>4.0905508263932881E-3</v>
      </c>
      <c r="J269" s="3">
        <f t="shared" si="255"/>
        <v>4.0905508263932881E-3</v>
      </c>
      <c r="K269" s="3">
        <f t="shared" si="255"/>
        <v>4.0905508263932881E-3</v>
      </c>
      <c r="L269" s="3">
        <f t="shared" si="255"/>
        <v>4.0905508263932881E-3</v>
      </c>
      <c r="M269" s="3">
        <f t="shared" si="255"/>
        <v>4.0905508263932881E-3</v>
      </c>
      <c r="N269" s="3">
        <f t="shared" si="255"/>
        <v>4.0905508263932881E-3</v>
      </c>
      <c r="O269" s="3">
        <f t="shared" si="255"/>
        <v>4.0905508263932881E-3</v>
      </c>
      <c r="P269" s="3">
        <f t="shared" si="255"/>
        <v>4.0905508263932872E-3</v>
      </c>
      <c r="Q269" s="3">
        <f t="shared" si="255"/>
        <v>4.0905508263932812E-3</v>
      </c>
      <c r="R269" s="3">
        <f t="shared" si="255"/>
        <v>4.0905508263932204E-3</v>
      </c>
      <c r="S269" s="3">
        <f t="shared" si="255"/>
        <v>4.0905508263926098E-3</v>
      </c>
      <c r="T269" s="3">
        <f t="shared" si="255"/>
        <v>4.0905508263865053E-3</v>
      </c>
      <c r="U269" s="3">
        <f t="shared" si="255"/>
        <v>4.0905508263254621E-3</v>
      </c>
      <c r="V269" s="3">
        <f t="shared" si="255"/>
        <v>4.0905508257150303E-3</v>
      </c>
      <c r="W269" s="3">
        <f t="shared" si="255"/>
        <v>4.0905508196107084E-3</v>
      </c>
      <c r="X269" s="3">
        <f t="shared" si="255"/>
        <v>4.0905507585674893E-3</v>
      </c>
      <c r="Y269" s="3">
        <f t="shared" si="255"/>
        <v>4.0905501481353522E-3</v>
      </c>
      <c r="Z269" s="3">
        <f t="shared" si="255"/>
        <v>4.0905440438189873E-3</v>
      </c>
      <c r="AA269" s="3">
        <f t="shared" si="255"/>
        <v>4.0904830011563569E-3</v>
      </c>
      <c r="AB269" s="3">
        <f t="shared" si="255"/>
        <v>4.0898726246290573E-3</v>
      </c>
      <c r="AC269" s="3">
        <f t="shared" si="255"/>
        <v>4.0837738664915735E-3</v>
      </c>
      <c r="AD269" s="3">
        <f t="shared" si="255"/>
        <v>4.0232842449775767E-3</v>
      </c>
      <c r="AE269" s="3">
        <f t="shared" si="255"/>
        <v>3.4655408786757741E-3</v>
      </c>
      <c r="AF269" s="3">
        <f t="shared" si="255"/>
        <v>7.7924517338317232E-4</v>
      </c>
      <c r="AG269" s="3"/>
      <c r="AH269" s="3"/>
    </row>
    <row r="270" spans="2:34" x14ac:dyDescent="0.25">
      <c r="B270" s="3">
        <f t="shared" ref="B270:AF270" si="256">$C39*EXP(-B$246/$A39/EXP(-$E$126))</f>
        <v>4.6207327982835155E-3</v>
      </c>
      <c r="C270" s="3">
        <f t="shared" si="256"/>
        <v>4.6207327982835155E-3</v>
      </c>
      <c r="D270" s="3">
        <f t="shared" si="256"/>
        <v>4.6207327982835155E-3</v>
      </c>
      <c r="E270" s="3">
        <f t="shared" si="256"/>
        <v>4.6207327982835155E-3</v>
      </c>
      <c r="F270" s="3">
        <f t="shared" si="256"/>
        <v>4.6207327982835155E-3</v>
      </c>
      <c r="G270" s="3">
        <f t="shared" si="256"/>
        <v>4.6207327982835155E-3</v>
      </c>
      <c r="H270" s="3">
        <f t="shared" si="256"/>
        <v>4.6207327982835155E-3</v>
      </c>
      <c r="I270" s="3">
        <f t="shared" si="256"/>
        <v>4.6207327982835155E-3</v>
      </c>
      <c r="J270" s="3">
        <f t="shared" si="256"/>
        <v>4.6207327982835155E-3</v>
      </c>
      <c r="K270" s="3">
        <f t="shared" si="256"/>
        <v>4.6207327982835155E-3</v>
      </c>
      <c r="L270" s="3">
        <f t="shared" si="256"/>
        <v>4.6207327982835155E-3</v>
      </c>
      <c r="M270" s="3">
        <f t="shared" si="256"/>
        <v>4.6207327982835155E-3</v>
      </c>
      <c r="N270" s="3">
        <f t="shared" si="256"/>
        <v>4.6207327982835155E-3</v>
      </c>
      <c r="O270" s="3">
        <f t="shared" si="256"/>
        <v>4.6207327982835155E-3</v>
      </c>
      <c r="P270" s="3">
        <f t="shared" si="256"/>
        <v>4.6207327982835155E-3</v>
      </c>
      <c r="Q270" s="3">
        <f t="shared" si="256"/>
        <v>4.6207327982835137E-3</v>
      </c>
      <c r="R270" s="3">
        <f t="shared" si="256"/>
        <v>4.6207327982834947E-3</v>
      </c>
      <c r="S270" s="3">
        <f t="shared" si="256"/>
        <v>4.6207327982833038E-3</v>
      </c>
      <c r="T270" s="3">
        <f t="shared" si="256"/>
        <v>4.6207327982813965E-3</v>
      </c>
      <c r="U270" s="3">
        <f t="shared" si="256"/>
        <v>4.620732798262325E-3</v>
      </c>
      <c r="V270" s="3">
        <f t="shared" si="256"/>
        <v>4.6207327980716129E-3</v>
      </c>
      <c r="W270" s="3">
        <f t="shared" si="256"/>
        <v>4.6207327961644866E-3</v>
      </c>
      <c r="X270" s="3">
        <f t="shared" si="256"/>
        <v>4.6207327770932281E-3</v>
      </c>
      <c r="Y270" s="3">
        <f t="shared" si="256"/>
        <v>4.6207325863806478E-3</v>
      </c>
      <c r="Z270" s="3">
        <f t="shared" si="256"/>
        <v>4.6207306792552761E-3</v>
      </c>
      <c r="AA270" s="3">
        <f t="shared" si="256"/>
        <v>4.620711608044851E-3</v>
      </c>
      <c r="AB270" s="3">
        <f t="shared" si="256"/>
        <v>4.6205209002697523E-3</v>
      </c>
      <c r="AC270" s="3">
        <f t="shared" si="256"/>
        <v>4.6186142553681997E-3</v>
      </c>
      <c r="AD270" s="3">
        <f t="shared" si="256"/>
        <v>4.5995910252680074E-3</v>
      </c>
      <c r="AE270" s="3">
        <f t="shared" si="256"/>
        <v>4.4136153380799625E-3</v>
      </c>
      <c r="AF270" s="3">
        <f t="shared" si="256"/>
        <v>2.9211045631191688E-3</v>
      </c>
      <c r="AG270" s="3"/>
      <c r="AH270" s="3"/>
    </row>
    <row r="271" spans="2:34" x14ac:dyDescent="0.25">
      <c r="B271" s="3">
        <f t="shared" ref="B271:AF271" si="257">$C40*EXP(-B$246/$A40/EXP(-$E$126))</f>
        <v>2.0598839061917876E-3</v>
      </c>
      <c r="C271" s="3">
        <f t="shared" si="257"/>
        <v>2.0598839061917876E-3</v>
      </c>
      <c r="D271" s="3">
        <f t="shared" si="257"/>
        <v>2.0598839061917876E-3</v>
      </c>
      <c r="E271" s="3">
        <f t="shared" si="257"/>
        <v>2.0598839061917876E-3</v>
      </c>
      <c r="F271" s="3">
        <f t="shared" si="257"/>
        <v>2.0598839061917876E-3</v>
      </c>
      <c r="G271" s="3">
        <f t="shared" si="257"/>
        <v>2.0598839061917876E-3</v>
      </c>
      <c r="H271" s="3">
        <f t="shared" si="257"/>
        <v>2.0598839061917876E-3</v>
      </c>
      <c r="I271" s="3">
        <f t="shared" si="257"/>
        <v>2.0598839061917876E-3</v>
      </c>
      <c r="J271" s="3">
        <f t="shared" si="257"/>
        <v>2.0598839061917876E-3</v>
      </c>
      <c r="K271" s="3">
        <f t="shared" si="257"/>
        <v>2.0598839061917876E-3</v>
      </c>
      <c r="L271" s="3">
        <f t="shared" si="257"/>
        <v>2.0598839061917876E-3</v>
      </c>
      <c r="M271" s="3">
        <f t="shared" si="257"/>
        <v>2.0598839061917876E-3</v>
      </c>
      <c r="N271" s="3">
        <f t="shared" si="257"/>
        <v>2.0598839061917876E-3</v>
      </c>
      <c r="O271" s="3">
        <f t="shared" si="257"/>
        <v>2.0598839061917876E-3</v>
      </c>
      <c r="P271" s="3">
        <f t="shared" si="257"/>
        <v>2.0598839061917876E-3</v>
      </c>
      <c r="Q271" s="3">
        <f t="shared" si="257"/>
        <v>2.0598839061917876E-3</v>
      </c>
      <c r="R271" s="3">
        <f t="shared" si="257"/>
        <v>2.0598839061917867E-3</v>
      </c>
      <c r="S271" s="3">
        <f t="shared" si="257"/>
        <v>2.0598839061917781E-3</v>
      </c>
      <c r="T271" s="3">
        <f t="shared" si="257"/>
        <v>2.0598839061916931E-3</v>
      </c>
      <c r="U271" s="3">
        <f t="shared" si="257"/>
        <v>2.0598839061908431E-3</v>
      </c>
      <c r="V271" s="3">
        <f t="shared" si="257"/>
        <v>2.0598839061823412E-3</v>
      </c>
      <c r="W271" s="3">
        <f t="shared" si="257"/>
        <v>2.0598839060973232E-3</v>
      </c>
      <c r="X271" s="3">
        <f t="shared" si="257"/>
        <v>2.0598839052471422E-3</v>
      </c>
      <c r="Y271" s="3">
        <f t="shared" si="257"/>
        <v>2.0598838967453353E-3</v>
      </c>
      <c r="Z271" s="3">
        <f t="shared" si="257"/>
        <v>2.0598838117272672E-3</v>
      </c>
      <c r="AA271" s="3">
        <f t="shared" si="257"/>
        <v>2.0598829615467804E-3</v>
      </c>
      <c r="AB271" s="3">
        <f t="shared" si="257"/>
        <v>2.0598744597612106E-3</v>
      </c>
      <c r="AC271" s="3">
        <f t="shared" si="257"/>
        <v>2.0597894438354127E-3</v>
      </c>
      <c r="AD271" s="3">
        <f t="shared" si="257"/>
        <v>2.0589394775380777E-3</v>
      </c>
      <c r="AE271" s="3">
        <f t="shared" si="257"/>
        <v>2.0504590811945096E-3</v>
      </c>
      <c r="AF271" s="3">
        <f t="shared" si="257"/>
        <v>1.9675526804773078E-3</v>
      </c>
      <c r="AG271" s="3"/>
      <c r="AH271" s="3"/>
    </row>
    <row r="272" spans="2:34" x14ac:dyDescent="0.25">
      <c r="B272" s="3">
        <f t="shared" ref="B272:AF272" si="258">$C41*EXP(-B$246/$A41/EXP(-$E$126))</f>
        <v>2.0793314772124174E-3</v>
      </c>
      <c r="C272" s="3">
        <f t="shared" si="258"/>
        <v>2.0793314772124174E-3</v>
      </c>
      <c r="D272" s="3">
        <f t="shared" si="258"/>
        <v>2.0793314772124174E-3</v>
      </c>
      <c r="E272" s="3">
        <f t="shared" si="258"/>
        <v>2.0793314772124174E-3</v>
      </c>
      <c r="F272" s="3">
        <f t="shared" si="258"/>
        <v>2.0793314772124174E-3</v>
      </c>
      <c r="G272" s="3">
        <f t="shared" si="258"/>
        <v>2.0793314772124174E-3</v>
      </c>
      <c r="H272" s="3">
        <f t="shared" si="258"/>
        <v>2.0793314772124174E-3</v>
      </c>
      <c r="I272" s="3">
        <f t="shared" si="258"/>
        <v>2.0793314772124174E-3</v>
      </c>
      <c r="J272" s="3">
        <f t="shared" si="258"/>
        <v>2.0793314772124174E-3</v>
      </c>
      <c r="K272" s="3">
        <f t="shared" si="258"/>
        <v>2.0793314772124174E-3</v>
      </c>
      <c r="L272" s="3">
        <f t="shared" si="258"/>
        <v>2.0793314772124174E-3</v>
      </c>
      <c r="M272" s="3">
        <f t="shared" si="258"/>
        <v>2.0793314772124174E-3</v>
      </c>
      <c r="N272" s="3">
        <f t="shared" si="258"/>
        <v>2.0793314772124174E-3</v>
      </c>
      <c r="O272" s="3">
        <f t="shared" si="258"/>
        <v>2.0793314772124174E-3</v>
      </c>
      <c r="P272" s="3">
        <f t="shared" si="258"/>
        <v>2.0793314772124174E-3</v>
      </c>
      <c r="Q272" s="3">
        <f t="shared" si="258"/>
        <v>2.0793314772124174E-3</v>
      </c>
      <c r="R272" s="3">
        <f t="shared" si="258"/>
        <v>2.0793314772124174E-3</v>
      </c>
      <c r="S272" s="3">
        <f t="shared" si="258"/>
        <v>2.0793314772124165E-3</v>
      </c>
      <c r="T272" s="3">
        <f t="shared" si="258"/>
        <v>2.0793314772124078E-3</v>
      </c>
      <c r="U272" s="3">
        <f t="shared" si="258"/>
        <v>2.079331477212322E-3</v>
      </c>
      <c r="V272" s="3">
        <f t="shared" si="258"/>
        <v>2.0793314772114637E-3</v>
      </c>
      <c r="W272" s="3">
        <f t="shared" si="258"/>
        <v>2.0793314772028816E-3</v>
      </c>
      <c r="X272" s="3">
        <f t="shared" si="258"/>
        <v>2.0793314771170609E-3</v>
      </c>
      <c r="Y272" s="3">
        <f t="shared" si="258"/>
        <v>2.0793314762588538E-3</v>
      </c>
      <c r="Z272" s="3">
        <f t="shared" si="258"/>
        <v>2.0793314676767803E-3</v>
      </c>
      <c r="AA272" s="3">
        <f t="shared" si="258"/>
        <v>2.0793313818560479E-3</v>
      </c>
      <c r="AB272" s="3">
        <f t="shared" si="258"/>
        <v>2.0793305236489219E-3</v>
      </c>
      <c r="AC272" s="3">
        <f t="shared" si="258"/>
        <v>2.07932194159714E-3</v>
      </c>
      <c r="AD272" s="3">
        <f t="shared" si="258"/>
        <v>2.0792361230274406E-3</v>
      </c>
      <c r="AE272" s="3">
        <f t="shared" si="258"/>
        <v>2.0783781321128529E-3</v>
      </c>
      <c r="AF272" s="3">
        <f t="shared" si="258"/>
        <v>2.0698176714949441E-3</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2.538048611821601E-3</v>
      </c>
      <c r="C274" s="3">
        <f t="shared" si="260"/>
        <v>2.538048611821601E-3</v>
      </c>
      <c r="D274" s="3">
        <f t="shared" si="260"/>
        <v>2.538048611821601E-3</v>
      </c>
      <c r="E274" s="3">
        <f t="shared" si="260"/>
        <v>2.538048611821601E-3</v>
      </c>
      <c r="F274" s="3">
        <f t="shared" si="260"/>
        <v>2.538048611821601E-3</v>
      </c>
      <c r="G274" s="3">
        <f t="shared" si="260"/>
        <v>2.538048611821601E-3</v>
      </c>
      <c r="H274" s="3">
        <f t="shared" si="260"/>
        <v>2.538048611821601E-3</v>
      </c>
      <c r="I274" s="3">
        <f t="shared" si="260"/>
        <v>2.538048611821601E-3</v>
      </c>
      <c r="J274" s="3">
        <f t="shared" si="260"/>
        <v>2.538048611821601E-3</v>
      </c>
      <c r="K274" s="3">
        <f t="shared" si="260"/>
        <v>2.538048611821601E-3</v>
      </c>
      <c r="L274" s="3">
        <f t="shared" si="260"/>
        <v>2.538048611821601E-3</v>
      </c>
      <c r="M274" s="3">
        <f t="shared" si="260"/>
        <v>2.538048611821601E-3</v>
      </c>
      <c r="N274" s="3">
        <f t="shared" si="260"/>
        <v>2.538048611821601E-3</v>
      </c>
      <c r="O274" s="3">
        <f t="shared" si="260"/>
        <v>2.538048611821601E-3</v>
      </c>
      <c r="P274" s="3">
        <f t="shared" si="260"/>
        <v>2.538048611821601E-3</v>
      </c>
      <c r="Q274" s="3">
        <f t="shared" si="260"/>
        <v>2.538048611821601E-3</v>
      </c>
      <c r="R274" s="3">
        <f t="shared" si="260"/>
        <v>2.538048611821601E-3</v>
      </c>
      <c r="S274" s="3">
        <f t="shared" si="260"/>
        <v>2.538048611821601E-3</v>
      </c>
      <c r="T274" s="3">
        <f t="shared" si="260"/>
        <v>2.538048611821601E-3</v>
      </c>
      <c r="U274" s="3">
        <f t="shared" si="260"/>
        <v>2.5380486118215997E-3</v>
      </c>
      <c r="V274" s="3">
        <f t="shared" si="260"/>
        <v>2.5380486118215893E-3</v>
      </c>
      <c r="W274" s="3">
        <f t="shared" si="260"/>
        <v>2.5380486118214847E-3</v>
      </c>
      <c r="X274" s="3">
        <f t="shared" si="260"/>
        <v>2.538048611820437E-3</v>
      </c>
      <c r="Y274" s="3">
        <f t="shared" si="260"/>
        <v>2.5380486118099618E-3</v>
      </c>
      <c r="Z274" s="3">
        <f t="shared" si="260"/>
        <v>2.5380486117052084E-3</v>
      </c>
      <c r="AA274" s="3">
        <f t="shared" si="260"/>
        <v>2.5380486106576735E-3</v>
      </c>
      <c r="AB274" s="3">
        <f t="shared" si="260"/>
        <v>2.5380486001823259E-3</v>
      </c>
      <c r="AC274" s="3">
        <f t="shared" si="260"/>
        <v>2.5380484954288548E-3</v>
      </c>
      <c r="AD274" s="3">
        <f t="shared" si="260"/>
        <v>2.5380474478943807E-3</v>
      </c>
      <c r="AE274" s="3">
        <f t="shared" si="260"/>
        <v>2.5380369725734181E-3</v>
      </c>
      <c r="AF274" s="3">
        <f t="shared" si="260"/>
        <v>2.5379322217416816E-3</v>
      </c>
      <c r="AG274" s="3"/>
      <c r="AH274" s="3"/>
    </row>
    <row r="275" spans="1:34" x14ac:dyDescent="0.25">
      <c r="B275" s="3">
        <f t="shared" ref="B275:AF275" si="261">$C44*EXP(-B$246/$A44/EXP(-$E$126))</f>
        <v>1.186723127453265E-7</v>
      </c>
      <c r="C275" s="3">
        <f t="shared" si="261"/>
        <v>1.186723127453265E-7</v>
      </c>
      <c r="D275" s="3">
        <f t="shared" si="261"/>
        <v>1.186723127453265E-7</v>
      </c>
      <c r="E275" s="3">
        <f t="shared" si="261"/>
        <v>1.186723127453265E-7</v>
      </c>
      <c r="F275" s="3">
        <f t="shared" si="261"/>
        <v>1.186723127453265E-7</v>
      </c>
      <c r="G275" s="3">
        <f t="shared" si="261"/>
        <v>1.186723127453265E-7</v>
      </c>
      <c r="H275" s="3">
        <f t="shared" si="261"/>
        <v>1.186723127453265E-7</v>
      </c>
      <c r="I275" s="3">
        <f t="shared" si="261"/>
        <v>1.186723127453265E-7</v>
      </c>
      <c r="J275" s="3">
        <f t="shared" si="261"/>
        <v>1.186723127453265E-7</v>
      </c>
      <c r="K275" s="3">
        <f t="shared" si="261"/>
        <v>1.186723127453265E-7</v>
      </c>
      <c r="L275" s="3">
        <f t="shared" si="261"/>
        <v>1.186723127453265E-7</v>
      </c>
      <c r="M275" s="3">
        <f t="shared" si="261"/>
        <v>1.186723127453265E-7</v>
      </c>
      <c r="N275" s="3">
        <f t="shared" si="261"/>
        <v>1.186723127453265E-7</v>
      </c>
      <c r="O275" s="3">
        <f t="shared" si="261"/>
        <v>1.186723127453265E-7</v>
      </c>
      <c r="P275" s="3">
        <f t="shared" si="261"/>
        <v>1.186723127453265E-7</v>
      </c>
      <c r="Q275" s="3">
        <f t="shared" si="261"/>
        <v>1.186723127453265E-7</v>
      </c>
      <c r="R275" s="3">
        <f t="shared" si="261"/>
        <v>1.186723127453265E-7</v>
      </c>
      <c r="S275" s="3">
        <f t="shared" si="261"/>
        <v>1.186723127453265E-7</v>
      </c>
      <c r="T275" s="3">
        <f t="shared" si="261"/>
        <v>1.186723127453265E-7</v>
      </c>
      <c r="U275" s="3">
        <f t="shared" si="261"/>
        <v>1.186723127453265E-7</v>
      </c>
      <c r="V275" s="3">
        <f t="shared" si="261"/>
        <v>1.1867231274532644E-7</v>
      </c>
      <c r="W275" s="3">
        <f t="shared" si="261"/>
        <v>1.1867231274532595E-7</v>
      </c>
      <c r="X275" s="3">
        <f t="shared" si="261"/>
        <v>1.1867231274532106E-7</v>
      </c>
      <c r="Y275" s="3">
        <f t="shared" si="261"/>
        <v>1.1867231274527208E-7</v>
      </c>
      <c r="Z275" s="3">
        <f t="shared" si="261"/>
        <v>1.1867231274478228E-7</v>
      </c>
      <c r="AA275" s="3">
        <f t="shared" si="261"/>
        <v>1.186723127398843E-7</v>
      </c>
      <c r="AB275" s="3">
        <f t="shared" si="261"/>
        <v>1.1867231269090438E-7</v>
      </c>
      <c r="AC275" s="3">
        <f t="shared" si="261"/>
        <v>1.1867231220110538E-7</v>
      </c>
      <c r="AD275" s="3">
        <f t="shared" si="261"/>
        <v>1.1867230730311538E-7</v>
      </c>
      <c r="AE275" s="3">
        <f t="shared" si="261"/>
        <v>1.1867225832322661E-7</v>
      </c>
      <c r="AF275" s="3">
        <f t="shared" si="261"/>
        <v>1.1867176852545061E-7</v>
      </c>
      <c r="AG275" s="3"/>
      <c r="AH275" s="3"/>
    </row>
    <row r="276" spans="1:34" x14ac:dyDescent="0.25">
      <c r="B276" s="3">
        <f t="shared" ref="B276:AF276" si="262">$C45*EXP(-B$246/$A45/EXP(-$E$126))</f>
        <v>1.5301760835243074E-4</v>
      </c>
      <c r="C276" s="3">
        <f t="shared" si="262"/>
        <v>1.5301760835243074E-4</v>
      </c>
      <c r="D276" s="3">
        <f t="shared" si="262"/>
        <v>1.5301760835243074E-4</v>
      </c>
      <c r="E276" s="3">
        <f t="shared" si="262"/>
        <v>1.5301760835243074E-4</v>
      </c>
      <c r="F276" s="3">
        <f t="shared" si="262"/>
        <v>1.5301760835243074E-4</v>
      </c>
      <c r="G276" s="3">
        <f t="shared" si="262"/>
        <v>1.5301760835243074E-4</v>
      </c>
      <c r="H276" s="3">
        <f t="shared" si="262"/>
        <v>1.5301760835243074E-4</v>
      </c>
      <c r="I276" s="3">
        <f t="shared" si="262"/>
        <v>1.5301760835243074E-4</v>
      </c>
      <c r="J276" s="3">
        <f t="shared" si="262"/>
        <v>1.5301760835243074E-4</v>
      </c>
      <c r="K276" s="3">
        <f t="shared" si="262"/>
        <v>1.5301760835243074E-4</v>
      </c>
      <c r="L276" s="3">
        <f t="shared" si="262"/>
        <v>1.5301760835243074E-4</v>
      </c>
      <c r="M276" s="3">
        <f t="shared" si="262"/>
        <v>1.5301760835243074E-4</v>
      </c>
      <c r="N276" s="3">
        <f t="shared" si="262"/>
        <v>1.5301760835243074E-4</v>
      </c>
      <c r="O276" s="3">
        <f t="shared" si="262"/>
        <v>1.5301760835243074E-4</v>
      </c>
      <c r="P276" s="3">
        <f t="shared" si="262"/>
        <v>1.5301760835243074E-4</v>
      </c>
      <c r="Q276" s="3">
        <f t="shared" si="262"/>
        <v>1.5301760835243074E-4</v>
      </c>
      <c r="R276" s="3">
        <f t="shared" si="262"/>
        <v>1.5301760835243074E-4</v>
      </c>
      <c r="S276" s="3">
        <f t="shared" si="262"/>
        <v>1.5301760835243074E-4</v>
      </c>
      <c r="T276" s="3">
        <f t="shared" si="262"/>
        <v>1.5301760835243074E-4</v>
      </c>
      <c r="U276" s="3">
        <f t="shared" si="262"/>
        <v>1.5301760835243074E-4</v>
      </c>
      <c r="V276" s="3">
        <f t="shared" si="262"/>
        <v>1.5301760835243074E-4</v>
      </c>
      <c r="W276" s="3">
        <f t="shared" si="262"/>
        <v>1.5301760835243066E-4</v>
      </c>
      <c r="X276" s="3">
        <f t="shared" si="262"/>
        <v>1.5301760835243004E-4</v>
      </c>
      <c r="Y276" s="3">
        <f t="shared" si="262"/>
        <v>1.5301760835242372E-4</v>
      </c>
      <c r="Z276" s="3">
        <f t="shared" si="262"/>
        <v>1.5301760835236057E-4</v>
      </c>
      <c r="AA276" s="3">
        <f t="shared" si="262"/>
        <v>1.5301760835172902E-4</v>
      </c>
      <c r="AB276" s="3">
        <f t="shared" si="262"/>
        <v>1.5301760834541349E-4</v>
      </c>
      <c r="AC276" s="3">
        <f t="shared" si="262"/>
        <v>1.5301760828225817E-4</v>
      </c>
      <c r="AD276" s="3">
        <f t="shared" si="262"/>
        <v>1.5301760765070501E-4</v>
      </c>
      <c r="AE276" s="3">
        <f t="shared" si="262"/>
        <v>1.5301760133517363E-4</v>
      </c>
      <c r="AF276" s="3">
        <f t="shared" si="262"/>
        <v>1.5301753817987428E-4</v>
      </c>
      <c r="AG276" s="3"/>
      <c r="AH276" s="3"/>
    </row>
    <row r="277" spans="1:34" x14ac:dyDescent="0.25">
      <c r="B277" s="3">
        <f t="shared" ref="B277:AF277" si="263">$C46*EXP(-B$246/$A46/EXP(-$E$126))</f>
        <v>1.8120582087099855E-4</v>
      </c>
      <c r="C277" s="3">
        <f t="shared" si="263"/>
        <v>1.8120582087099855E-4</v>
      </c>
      <c r="D277" s="3">
        <f t="shared" si="263"/>
        <v>1.8120582087099855E-4</v>
      </c>
      <c r="E277" s="3">
        <f t="shared" si="263"/>
        <v>1.8120582087099855E-4</v>
      </c>
      <c r="F277" s="3">
        <f t="shared" si="263"/>
        <v>1.8120582087099855E-4</v>
      </c>
      <c r="G277" s="3">
        <f t="shared" si="263"/>
        <v>1.8120582087099855E-4</v>
      </c>
      <c r="H277" s="3">
        <f t="shared" si="263"/>
        <v>1.8120582087099855E-4</v>
      </c>
      <c r="I277" s="3">
        <f t="shared" si="263"/>
        <v>1.8120582087099855E-4</v>
      </c>
      <c r="J277" s="3">
        <f t="shared" si="263"/>
        <v>1.8120582087099855E-4</v>
      </c>
      <c r="K277" s="3">
        <f t="shared" si="263"/>
        <v>1.8120582087099855E-4</v>
      </c>
      <c r="L277" s="3">
        <f t="shared" si="263"/>
        <v>1.8120582087099855E-4</v>
      </c>
      <c r="M277" s="3">
        <f t="shared" si="263"/>
        <v>1.8120582087099855E-4</v>
      </c>
      <c r="N277" s="3">
        <f t="shared" si="263"/>
        <v>1.8120582087099855E-4</v>
      </c>
      <c r="O277" s="3">
        <f t="shared" si="263"/>
        <v>1.8120582087099855E-4</v>
      </c>
      <c r="P277" s="3">
        <f t="shared" si="263"/>
        <v>1.8120582087099855E-4</v>
      </c>
      <c r="Q277" s="3">
        <f t="shared" si="263"/>
        <v>1.8120582087099855E-4</v>
      </c>
      <c r="R277" s="3">
        <f t="shared" si="263"/>
        <v>1.8120582087099855E-4</v>
      </c>
      <c r="S277" s="3">
        <f t="shared" si="263"/>
        <v>1.8120582087099855E-4</v>
      </c>
      <c r="T277" s="3">
        <f t="shared" si="263"/>
        <v>1.8120582087099855E-4</v>
      </c>
      <c r="U277" s="3">
        <f t="shared" si="263"/>
        <v>1.8120582087099855E-4</v>
      </c>
      <c r="V277" s="3">
        <f t="shared" si="263"/>
        <v>1.8120582087099855E-4</v>
      </c>
      <c r="W277" s="3">
        <f t="shared" si="263"/>
        <v>1.8120582087099855E-4</v>
      </c>
      <c r="X277" s="3">
        <f t="shared" si="263"/>
        <v>1.8120582087099846E-4</v>
      </c>
      <c r="Y277" s="3">
        <f t="shared" si="263"/>
        <v>1.8120582087099773E-4</v>
      </c>
      <c r="Z277" s="3">
        <f t="shared" si="263"/>
        <v>1.8120582087099022E-4</v>
      </c>
      <c r="AA277" s="3">
        <f t="shared" si="263"/>
        <v>1.8120582087091544E-4</v>
      </c>
      <c r="AB277" s="3">
        <f t="shared" si="263"/>
        <v>1.8120582087016756E-4</v>
      </c>
      <c r="AC277" s="3">
        <f t="shared" si="263"/>
        <v>1.8120582086268862E-4</v>
      </c>
      <c r="AD277" s="3">
        <f t="shared" si="263"/>
        <v>1.8120582078789908E-4</v>
      </c>
      <c r="AE277" s="3">
        <f t="shared" si="263"/>
        <v>1.8120582004000407E-4</v>
      </c>
      <c r="AF277" s="3">
        <f t="shared" si="263"/>
        <v>1.8120581256105404E-4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79">
        <f>AVERAGE(B280:AF280)</f>
        <v>0.10815142254784738</v>
      </c>
      <c r="B280" s="80">
        <f>IF($D$61&lt;=B246,IF($E$61&gt;=B246,ABS((B248-B247)/B247),0),0)</f>
        <v>5.7613759291990441E-3</v>
      </c>
      <c r="C280" s="80">
        <f t="shared" ref="C280:AF280" si="266">IF($D$61&lt;=C246,IF($E$61&gt;=C246,ABS((C248-C247)/C247),0),0)</f>
        <v>5.160470330739228E-3</v>
      </c>
      <c r="D280" s="80">
        <f t="shared" si="266"/>
        <v>6.4719139804821286E-4</v>
      </c>
      <c r="E280" s="80">
        <f t="shared" si="266"/>
        <v>4.8405769942332505E-2</v>
      </c>
      <c r="F280" s="80">
        <f t="shared" si="266"/>
        <v>0.14268325300793566</v>
      </c>
      <c r="G280" s="80">
        <f t="shared" si="266"/>
        <v>0.1295596081404837</v>
      </c>
      <c r="H280" s="80">
        <f t="shared" si="266"/>
        <v>0.11424224588177465</v>
      </c>
      <c r="I280" s="80">
        <f t="shared" si="266"/>
        <v>9.6544971957899989E-2</v>
      </c>
      <c r="J280" s="80">
        <f t="shared" si="266"/>
        <v>7.7418000766555403E-2</v>
      </c>
      <c r="K280" s="80">
        <f t="shared" si="266"/>
        <v>5.9926885281923428E-2</v>
      </c>
      <c r="L280" s="80">
        <f t="shared" si="266"/>
        <v>6.9414133987797597E-2</v>
      </c>
      <c r="M280" s="80">
        <f t="shared" si="266"/>
        <v>7.5602453077470919E-2</v>
      </c>
      <c r="N280" s="80">
        <f t="shared" si="266"/>
        <v>8.4927387099654403E-2</v>
      </c>
      <c r="O280" s="80">
        <f t="shared" si="266"/>
        <v>9.7475966137227574E-2</v>
      </c>
      <c r="P280" s="80">
        <f t="shared" si="266"/>
        <v>9.8734485343221712E-2</v>
      </c>
      <c r="Q280" s="80">
        <f t="shared" si="266"/>
        <v>9.1737284742974476E-2</v>
      </c>
      <c r="R280" s="80">
        <f t="shared" si="266"/>
        <v>8.3961067045823248E-2</v>
      </c>
      <c r="S280" s="80">
        <f t="shared" si="266"/>
        <v>4.8756702853674415E-2</v>
      </c>
      <c r="T280" s="80">
        <f t="shared" si="266"/>
        <v>6.4087175017498735E-2</v>
      </c>
      <c r="U280" s="80">
        <f t="shared" si="266"/>
        <v>0.21435068687846345</v>
      </c>
      <c r="V280" s="80">
        <f t="shared" si="266"/>
        <v>0.34775708037101033</v>
      </c>
      <c r="W280" s="80">
        <f t="shared" si="266"/>
        <v>0.43987475632506767</v>
      </c>
      <c r="X280" s="80">
        <f t="shared" si="266"/>
        <v>0.48488525924904702</v>
      </c>
      <c r="Y280" s="80">
        <f t="shared" si="266"/>
        <v>0.4707798882174451</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1604.1466974124103</v>
      </c>
      <c r="C281" s="21">
        <f t="shared" ref="C281:AF281" si="267">(C248-C247)^2</f>
        <v>1286.5957523534973</v>
      </c>
      <c r="D281" s="21">
        <f t="shared" si="267"/>
        <v>20.174801048310179</v>
      </c>
      <c r="E281" s="21">
        <f t="shared" si="267"/>
        <v>110238.22247331594</v>
      </c>
      <c r="F281" s="21">
        <f t="shared" si="267"/>
        <v>912710.39786948136</v>
      </c>
      <c r="G281" s="21">
        <f t="shared" si="267"/>
        <v>726736.01761115552</v>
      </c>
      <c r="H281" s="21">
        <f t="shared" si="267"/>
        <v>545674.121940237</v>
      </c>
      <c r="I281" s="21">
        <f t="shared" si="267"/>
        <v>374540.8925286493</v>
      </c>
      <c r="J281" s="21">
        <f t="shared" si="267"/>
        <v>230654.37951468161</v>
      </c>
      <c r="K281" s="21">
        <f t="shared" si="267"/>
        <v>131474.8426826965</v>
      </c>
      <c r="L281" s="21">
        <f t="shared" si="267"/>
        <v>166868.07620549703</v>
      </c>
      <c r="M281" s="21">
        <f t="shared" si="267"/>
        <v>186313.96332496294</v>
      </c>
      <c r="N281" s="21">
        <f t="shared" si="267"/>
        <v>222000.95745701619</v>
      </c>
      <c r="O281" s="21">
        <f t="shared" si="267"/>
        <v>273407.7354360692</v>
      </c>
      <c r="P281" s="21">
        <f t="shared" si="267"/>
        <v>257845.95704858215</v>
      </c>
      <c r="Q281" s="21">
        <f t="shared" si="267"/>
        <v>202165.07307809687</v>
      </c>
      <c r="R281" s="21">
        <f t="shared" si="267"/>
        <v>153172.42800047935</v>
      </c>
      <c r="S281" s="21">
        <f t="shared" si="267"/>
        <v>43927.691156604924</v>
      </c>
      <c r="T281" s="21">
        <f t="shared" si="267"/>
        <v>55431.321308672843</v>
      </c>
      <c r="U281" s="21">
        <f t="shared" si="267"/>
        <v>429086.20930399018</v>
      </c>
      <c r="V281" s="21">
        <f t="shared" si="267"/>
        <v>808990.85021905368</v>
      </c>
      <c r="W281" s="21">
        <f t="shared" si="267"/>
        <v>977222.47625769454</v>
      </c>
      <c r="X281" s="21">
        <f t="shared" si="267"/>
        <v>921094.85938973271</v>
      </c>
      <c r="Y281" s="21">
        <f t="shared" si="267"/>
        <v>681817.34359343955</v>
      </c>
      <c r="Z281" s="21">
        <f t="shared" si="267"/>
        <v>246837.92244001929</v>
      </c>
      <c r="AA281" s="21">
        <f t="shared" si="267"/>
        <v>10998.181872546496</v>
      </c>
      <c r="AB281" s="21">
        <f t="shared" si="267"/>
        <v>26589.771436574829</v>
      </c>
      <c r="AC281" s="21">
        <f t="shared" si="267"/>
        <v>64810.77246610092</v>
      </c>
      <c r="AD281" s="21">
        <f t="shared" si="267"/>
        <v>45857.373544590781</v>
      </c>
      <c r="AE281" s="21">
        <f t="shared" si="267"/>
        <v>17542.385259607188</v>
      </c>
      <c r="AF281" s="21">
        <f t="shared" si="267"/>
        <v>3686.8022449596988</v>
      </c>
      <c r="AG281" s="3"/>
      <c r="AH281" s="3"/>
    </row>
    <row r="282" spans="1:34" s="3" customFormat="1" x14ac:dyDescent="0.25">
      <c r="A282" s="71">
        <f>SUM(B282:AF282)</f>
        <v>8414284.7336509246</v>
      </c>
      <c r="B282" s="21">
        <f>IF($D$61&lt;=B246,IF($E$61&gt;=B246,ABS(B281),0),0)</f>
        <v>1604.1466974124103</v>
      </c>
      <c r="C282" s="21">
        <f t="shared" ref="C282:AF282" si="268">IF($D$61&lt;=C246,IF($E$61&gt;=C246,ABS(C281),0),0)</f>
        <v>1286.5957523534973</v>
      </c>
      <c r="D282" s="21">
        <f t="shared" si="268"/>
        <v>20.174801048310179</v>
      </c>
      <c r="E282" s="21">
        <f t="shared" si="268"/>
        <v>110238.22247331594</v>
      </c>
      <c r="F282" s="21">
        <f t="shared" si="268"/>
        <v>912710.39786948136</v>
      </c>
      <c r="G282" s="21">
        <f t="shared" si="268"/>
        <v>726736.01761115552</v>
      </c>
      <c r="H282" s="21">
        <f t="shared" si="268"/>
        <v>545674.121940237</v>
      </c>
      <c r="I282" s="21">
        <f t="shared" si="268"/>
        <v>374540.8925286493</v>
      </c>
      <c r="J282" s="21">
        <f t="shared" si="268"/>
        <v>230654.37951468161</v>
      </c>
      <c r="K282" s="21">
        <f t="shared" si="268"/>
        <v>131474.8426826965</v>
      </c>
      <c r="L282" s="21">
        <f t="shared" si="268"/>
        <v>166868.07620549703</v>
      </c>
      <c r="M282" s="21">
        <f t="shared" si="268"/>
        <v>186313.96332496294</v>
      </c>
      <c r="N282" s="21">
        <f t="shared" si="268"/>
        <v>222000.95745701619</v>
      </c>
      <c r="O282" s="21">
        <f t="shared" si="268"/>
        <v>273407.7354360692</v>
      </c>
      <c r="P282" s="21">
        <f t="shared" si="268"/>
        <v>257845.95704858215</v>
      </c>
      <c r="Q282" s="21">
        <f t="shared" si="268"/>
        <v>202165.07307809687</v>
      </c>
      <c r="R282" s="21">
        <f t="shared" si="268"/>
        <v>153172.42800047935</v>
      </c>
      <c r="S282" s="21">
        <f t="shared" si="268"/>
        <v>43927.691156604924</v>
      </c>
      <c r="T282" s="21">
        <f t="shared" si="268"/>
        <v>55431.321308672843</v>
      </c>
      <c r="U282" s="21">
        <f t="shared" si="268"/>
        <v>429086.20930399018</v>
      </c>
      <c r="V282" s="21">
        <f t="shared" si="268"/>
        <v>808990.85021905368</v>
      </c>
      <c r="W282" s="21">
        <f t="shared" si="268"/>
        <v>977222.47625769454</v>
      </c>
      <c r="X282" s="21">
        <f t="shared" si="268"/>
        <v>921094.85938973271</v>
      </c>
      <c r="Y282" s="21">
        <f t="shared" si="268"/>
        <v>681817.34359343955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6780.3996549106596</v>
      </c>
      <c r="C287" s="27">
        <f t="shared" ref="C287:AF287" si="269">($C$17+SUM(C288:C318))*$B$51</f>
        <v>5929.4451919187422</v>
      </c>
      <c r="D287" s="27">
        <f t="shared" si="269"/>
        <v>5727.4056407661374</v>
      </c>
      <c r="E287" s="27">
        <f t="shared" si="269"/>
        <v>5727.3906316243983</v>
      </c>
      <c r="F287" s="27">
        <f t="shared" si="269"/>
        <v>5727.2407104514577</v>
      </c>
      <c r="G287" s="27">
        <f t="shared" si="269"/>
        <v>5725.744855968238</v>
      </c>
      <c r="H287" s="27">
        <f t="shared" si="269"/>
        <v>5711.1168560315436</v>
      </c>
      <c r="I287" s="27">
        <f t="shared" si="269"/>
        <v>5593.2682662471116</v>
      </c>
      <c r="J287" s="27">
        <f t="shared" si="269"/>
        <v>5335.1969912622817</v>
      </c>
      <c r="K287" s="27">
        <f t="shared" si="269"/>
        <v>5169.5609338918521</v>
      </c>
      <c r="L287" s="27">
        <f t="shared" si="269"/>
        <v>4925.9288959273863</v>
      </c>
      <c r="M287" s="27">
        <f t="shared" si="269"/>
        <v>4704.6925244665517</v>
      </c>
      <c r="N287" s="27">
        <f t="shared" si="269"/>
        <v>4516.6381616859562</v>
      </c>
      <c r="O287" s="27">
        <f t="shared" si="269"/>
        <v>4335.1646609894406</v>
      </c>
      <c r="P287" s="27">
        <f t="shared" si="269"/>
        <v>4152.356125840849</v>
      </c>
      <c r="Q287" s="27">
        <f t="shared" si="269"/>
        <v>3975.2867228084888</v>
      </c>
      <c r="R287" s="27">
        <f t="shared" si="269"/>
        <v>3786.8956890170757</v>
      </c>
      <c r="S287" s="27">
        <f t="shared" si="269"/>
        <v>3571.4756993737437</v>
      </c>
      <c r="T287" s="27">
        <f t="shared" si="269"/>
        <v>3336.5080602601811</v>
      </c>
      <c r="U287" s="27">
        <f t="shared" si="269"/>
        <v>3058.6388572579835</v>
      </c>
      <c r="V287" s="27">
        <f t="shared" si="269"/>
        <v>2740.5321901482762</v>
      </c>
      <c r="W287" s="27">
        <f t="shared" si="269"/>
        <v>2272.3271380306237</v>
      </c>
      <c r="X287" s="27">
        <f t="shared" si="269"/>
        <v>1684.9434492035989</v>
      </c>
      <c r="Y287" s="27">
        <f t="shared" si="269"/>
        <v>1133.4024174632852</v>
      </c>
      <c r="Z287" s="27">
        <f t="shared" si="269"/>
        <v>720.71963619837913</v>
      </c>
      <c r="AA287" s="27">
        <f t="shared" si="269"/>
        <v>461.68819669756499</v>
      </c>
      <c r="AB287" s="27">
        <f t="shared" si="269"/>
        <v>320.63130523913236</v>
      </c>
      <c r="AC287" s="27">
        <f t="shared" si="269"/>
        <v>253.22095114369364</v>
      </c>
      <c r="AD287" s="27">
        <f t="shared" si="269"/>
        <v>214.32847453485633</v>
      </c>
      <c r="AE287" s="27">
        <f t="shared" si="269"/>
        <v>197.23954099740584</v>
      </c>
      <c r="AF287" s="27">
        <f t="shared" si="269"/>
        <v>184.86823659847977</v>
      </c>
      <c r="AG287" s="27"/>
      <c r="AH287" s="27"/>
    </row>
    <row r="288" spans="1:34" x14ac:dyDescent="0.25">
      <c r="B288" s="3">
        <f t="shared" ref="B288:AF288" si="270">$C18*EXP(-B$285/$A18/EXP(-$F$126))</f>
        <v>0.15059079402300607</v>
      </c>
      <c r="C288" s="3">
        <f t="shared" si="270"/>
        <v>2.889391537324679E-2</v>
      </c>
      <c r="D288" s="3">
        <f t="shared" si="270"/>
        <v>1.9538270993454089E-9</v>
      </c>
      <c r="E288" s="3">
        <f t="shared" si="270"/>
        <v>3.9055612537806491E-81</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4.8747326816163596E-2</v>
      </c>
      <c r="C289" s="3">
        <f t="shared" si="271"/>
        <v>4.8747306201196848E-2</v>
      </c>
      <c r="D289" s="3">
        <f t="shared" si="271"/>
        <v>4.8747100052008829E-2</v>
      </c>
      <c r="E289" s="3">
        <f t="shared" si="271"/>
        <v>4.87450386080766E-2</v>
      </c>
      <c r="F289" s="3">
        <f t="shared" si="271"/>
        <v>4.8724428962796641E-2</v>
      </c>
      <c r="G289" s="3">
        <f t="shared" si="271"/>
        <v>4.8518811164948356E-2</v>
      </c>
      <c r="H289" s="3">
        <f t="shared" si="271"/>
        <v>4.6509758122338415E-2</v>
      </c>
      <c r="I289" s="3">
        <f t="shared" si="271"/>
        <v>3.0470766580423407E-2</v>
      </c>
      <c r="J289" s="3">
        <f t="shared" si="271"/>
        <v>4.4389103498072087E-4</v>
      </c>
      <c r="K289" s="3">
        <f t="shared" si="271"/>
        <v>1.9107607431344473E-22</v>
      </c>
      <c r="L289" s="3">
        <f t="shared" si="271"/>
        <v>4.1735504874189219E-206</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1.8089335839649365E-2</v>
      </c>
      <c r="C290" s="3">
        <f t="shared" si="272"/>
        <v>1.8089335149566683E-2</v>
      </c>
      <c r="D290" s="3">
        <f t="shared" si="272"/>
        <v>1.808932824874129E-2</v>
      </c>
      <c r="E290" s="3">
        <f t="shared" si="272"/>
        <v>1.8089259240632174E-2</v>
      </c>
      <c r="F290" s="3">
        <f t="shared" si="272"/>
        <v>1.8088569174019877E-2</v>
      </c>
      <c r="G290" s="3">
        <f t="shared" si="272"/>
        <v>1.8081669955582479E-2</v>
      </c>
      <c r="H290" s="3">
        <f t="shared" si="272"/>
        <v>1.8012822335630174E-2</v>
      </c>
      <c r="I290" s="3">
        <f t="shared" si="272"/>
        <v>1.7338600591351366E-2</v>
      </c>
      <c r="J290" s="3">
        <f t="shared" si="272"/>
        <v>1.1839594037572886E-2</v>
      </c>
      <c r="K290" s="3">
        <f t="shared" si="272"/>
        <v>2.609543258533451E-4</v>
      </c>
      <c r="L290" s="3">
        <f t="shared" si="272"/>
        <v>7.0605965008681552E-21</v>
      </c>
      <c r="M290" s="3">
        <f t="shared" si="272"/>
        <v>1.4846029484312619E-186</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3.7553125726856686E-2</v>
      </c>
      <c r="C291" s="3">
        <f t="shared" si="273"/>
        <v>3.7553125597624346E-2</v>
      </c>
      <c r="D291" s="3">
        <f t="shared" si="273"/>
        <v>3.7553124305301E-2</v>
      </c>
      <c r="E291" s="3">
        <f t="shared" si="273"/>
        <v>3.7553111382070001E-2</v>
      </c>
      <c r="F291" s="3">
        <f t="shared" si="273"/>
        <v>3.755298215000457E-2</v>
      </c>
      <c r="G291" s="3">
        <f t="shared" si="273"/>
        <v>3.7551689853810126E-2</v>
      </c>
      <c r="H291" s="3">
        <f t="shared" si="273"/>
        <v>3.7538769337533986E-2</v>
      </c>
      <c r="I291" s="3">
        <f t="shared" si="273"/>
        <v>3.7409808430485005E-2</v>
      </c>
      <c r="J291" s="3">
        <f t="shared" si="273"/>
        <v>3.6144316765324008E-2</v>
      </c>
      <c r="K291" s="3">
        <f t="shared" si="273"/>
        <v>2.5620368636393782E-2</v>
      </c>
      <c r="L291" s="3">
        <f t="shared" si="273"/>
        <v>8.2042506435516991E-4</v>
      </c>
      <c r="M291" s="3">
        <f t="shared" si="273"/>
        <v>9.3019580177109215E-19</v>
      </c>
      <c r="N291" s="3">
        <f t="shared" si="273"/>
        <v>3.2653439072419739E-168</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3.4655462332629686E-2</v>
      </c>
      <c r="C292" s="3">
        <f t="shared" si="274"/>
        <v>3.4655462321871389E-2</v>
      </c>
      <c r="D292" s="3">
        <f t="shared" si="274"/>
        <v>3.4655462214288453E-2</v>
      </c>
      <c r="E292" s="3">
        <f t="shared" si="274"/>
        <v>3.4655461138459104E-2</v>
      </c>
      <c r="F292" s="3">
        <f t="shared" si="274"/>
        <v>3.4655450380167471E-2</v>
      </c>
      <c r="G292" s="3">
        <f t="shared" si="274"/>
        <v>3.4655342797434804E-2</v>
      </c>
      <c r="H292" s="3">
        <f t="shared" si="274"/>
        <v>3.4654266988476602E-2</v>
      </c>
      <c r="I292" s="3">
        <f t="shared" si="274"/>
        <v>3.4643510735527433E-2</v>
      </c>
      <c r="J292" s="3">
        <f t="shared" si="274"/>
        <v>3.453613165854226E-2</v>
      </c>
      <c r="K292" s="3">
        <f t="shared" si="274"/>
        <v>3.3480477161838135E-2</v>
      </c>
      <c r="L292" s="3">
        <f t="shared" si="274"/>
        <v>2.4545456596074499E-2</v>
      </c>
      <c r="M292" s="3">
        <f t="shared" si="274"/>
        <v>1.1009456480399174E-3</v>
      </c>
      <c r="N292" s="3">
        <f t="shared" si="274"/>
        <v>3.6283862865656346E-17</v>
      </c>
      <c r="O292" s="3">
        <f t="shared" si="274"/>
        <v>5.4851675095703155E-152</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2.803997366671954E-2</v>
      </c>
      <c r="C293" s="3">
        <f t="shared" si="275"/>
        <v>2.803997366593431E-2</v>
      </c>
      <c r="D293" s="3">
        <f t="shared" si="275"/>
        <v>2.8039973658082026E-2</v>
      </c>
      <c r="E293" s="3">
        <f t="shared" si="275"/>
        <v>2.8039973579559209E-2</v>
      </c>
      <c r="F293" s="3">
        <f t="shared" si="275"/>
        <v>2.8039972794331017E-2</v>
      </c>
      <c r="G293" s="3">
        <f t="shared" si="275"/>
        <v>2.8039964942050317E-2</v>
      </c>
      <c r="H293" s="3">
        <f t="shared" si="275"/>
        <v>2.8039886419364238E-2</v>
      </c>
      <c r="I293" s="3">
        <f t="shared" si="275"/>
        <v>2.803910120459753E-2</v>
      </c>
      <c r="J293" s="3">
        <f t="shared" si="275"/>
        <v>2.8031250266210464E-2</v>
      </c>
      <c r="K293" s="3">
        <f t="shared" si="275"/>
        <v>2.7952861685135083E-2</v>
      </c>
      <c r="L293" s="3">
        <f t="shared" si="275"/>
        <v>2.7180931916916288E-2</v>
      </c>
      <c r="M293" s="3">
        <f t="shared" si="275"/>
        <v>2.0542108295733202E-2</v>
      </c>
      <c r="N293" s="3">
        <f t="shared" si="275"/>
        <v>1.2486816554926913E-3</v>
      </c>
      <c r="O293" s="3">
        <f t="shared" si="275"/>
        <v>8.6004049818374753E-16</v>
      </c>
      <c r="P293" s="3">
        <f t="shared" si="275"/>
        <v>2.066286831474615E-137</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2.6812375730212078E-2</v>
      </c>
      <c r="C294" s="3">
        <f t="shared" si="276"/>
        <v>2.6812375730144344E-2</v>
      </c>
      <c r="D294" s="3">
        <f t="shared" si="276"/>
        <v>2.6812375729467014E-2</v>
      </c>
      <c r="E294" s="3">
        <f t="shared" si="276"/>
        <v>2.6812375722693717E-2</v>
      </c>
      <c r="F294" s="3">
        <f t="shared" si="276"/>
        <v>2.6812375654960738E-2</v>
      </c>
      <c r="G294" s="3">
        <f t="shared" si="276"/>
        <v>2.6812374977630959E-2</v>
      </c>
      <c r="H294" s="3">
        <f t="shared" si="276"/>
        <v>2.6812368204334105E-2</v>
      </c>
      <c r="I294" s="3">
        <f t="shared" si="276"/>
        <v>2.6812300471459702E-2</v>
      </c>
      <c r="J294" s="3">
        <f t="shared" si="276"/>
        <v>2.6811623152126388E-2</v>
      </c>
      <c r="K294" s="3">
        <f t="shared" si="276"/>
        <v>2.6804850899778108E-2</v>
      </c>
      <c r="L294" s="3">
        <f t="shared" si="276"/>
        <v>2.6737222386889744E-2</v>
      </c>
      <c r="M294" s="3">
        <f t="shared" si="276"/>
        <v>2.6070251037486666E-2</v>
      </c>
      <c r="N294" s="3">
        <f t="shared" si="276"/>
        <v>2.0250439873276141E-2</v>
      </c>
      <c r="O294" s="3">
        <f t="shared" si="276"/>
        <v>1.6192986078490876E-3</v>
      </c>
      <c r="P294" s="3">
        <f t="shared" si="276"/>
        <v>1.7308194026050599E-14</v>
      </c>
      <c r="Q294" s="3">
        <f t="shared" si="276"/>
        <v>3.3689912283178938E-124</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2.7632018567143368E-2</v>
      </c>
      <c r="C295" s="3">
        <f t="shared" si="277"/>
        <v>2.7632018567137071E-2</v>
      </c>
      <c r="D295" s="3">
        <f t="shared" si="277"/>
        <v>2.7632018567074101E-2</v>
      </c>
      <c r="E295" s="3">
        <f t="shared" si="277"/>
        <v>2.7632018566444417E-2</v>
      </c>
      <c r="F295" s="3">
        <f t="shared" si="277"/>
        <v>2.7632018560147558E-2</v>
      </c>
      <c r="G295" s="3">
        <f t="shared" si="277"/>
        <v>2.7632018497178949E-2</v>
      </c>
      <c r="H295" s="3">
        <f t="shared" si="277"/>
        <v>2.7632017867492892E-2</v>
      </c>
      <c r="I295" s="3">
        <f t="shared" si="277"/>
        <v>2.7632011570633112E-2</v>
      </c>
      <c r="J295" s="3">
        <f t="shared" si="277"/>
        <v>2.7631948602114209E-2</v>
      </c>
      <c r="K295" s="3">
        <f t="shared" si="277"/>
        <v>2.7631318924817339E-2</v>
      </c>
      <c r="L295" s="3">
        <f t="shared" si="277"/>
        <v>2.7625022940994986E-2</v>
      </c>
      <c r="M295" s="3">
        <f t="shared" si="277"/>
        <v>2.7562141950909759E-2</v>
      </c>
      <c r="N295" s="3">
        <f t="shared" si="277"/>
        <v>2.6941150785106196E-2</v>
      </c>
      <c r="O295" s="3">
        <f t="shared" si="277"/>
        <v>2.1451018495056779E-2</v>
      </c>
      <c r="P295" s="3">
        <f t="shared" si="277"/>
        <v>2.1966742789271921E-3</v>
      </c>
      <c r="Q295" s="3">
        <f t="shared" si="277"/>
        <v>2.7857564210482179E-13</v>
      </c>
      <c r="R295" s="3">
        <f t="shared" si="277"/>
        <v>2.9972149751109534E-112</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2.5920837907154073E-2</v>
      </c>
      <c r="C296" s="3">
        <f t="shared" si="278"/>
        <v>2.5920837907153538E-2</v>
      </c>
      <c r="D296" s="3">
        <f t="shared" si="278"/>
        <v>2.5920837907148213E-2</v>
      </c>
      <c r="E296" s="3">
        <f t="shared" si="278"/>
        <v>2.5920837907094926E-2</v>
      </c>
      <c r="F296" s="3">
        <f t="shared" si="278"/>
        <v>2.5920837906562071E-2</v>
      </c>
      <c r="G296" s="3">
        <f t="shared" si="278"/>
        <v>2.5920837901233548E-2</v>
      </c>
      <c r="H296" s="3">
        <f t="shared" si="278"/>
        <v>2.5920837847948283E-2</v>
      </c>
      <c r="I296" s="3">
        <f t="shared" si="278"/>
        <v>2.5920837315095681E-2</v>
      </c>
      <c r="J296" s="3">
        <f t="shared" si="278"/>
        <v>2.5920831986570241E-2</v>
      </c>
      <c r="K296" s="3">
        <f t="shared" si="278"/>
        <v>2.5920778701376077E-2</v>
      </c>
      <c r="L296" s="3">
        <f t="shared" si="278"/>
        <v>2.5920245855458976E-2</v>
      </c>
      <c r="M296" s="3">
        <f t="shared" si="278"/>
        <v>2.5914917998696555E-2</v>
      </c>
      <c r="N296" s="3">
        <f t="shared" si="278"/>
        <v>2.5861699626135746E-2</v>
      </c>
      <c r="O296" s="3">
        <f t="shared" si="278"/>
        <v>2.5335489872805334E-2</v>
      </c>
      <c r="P296" s="3">
        <f t="shared" si="278"/>
        <v>2.0627744022664905E-2</v>
      </c>
      <c r="Q296" s="3">
        <f t="shared" si="278"/>
        <v>2.6404382054732072E-3</v>
      </c>
      <c r="R296" s="3">
        <f t="shared" si="278"/>
        <v>3.1183061737227266E-12</v>
      </c>
      <c r="S296" s="3">
        <f t="shared" si="278"/>
        <v>1.6456831371499732E-101</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2.7391939908773019E-2</v>
      </c>
      <c r="C297" s="3">
        <f t="shared" si="279"/>
        <v>2.7391939908772967E-2</v>
      </c>
      <c r="D297" s="3">
        <f t="shared" si="279"/>
        <v>2.7391939908772461E-2</v>
      </c>
      <c r="E297" s="3">
        <f t="shared" si="279"/>
        <v>2.7391939908767381E-2</v>
      </c>
      <c r="F297" s="3">
        <f t="shared" si="279"/>
        <v>2.7391939908716585E-2</v>
      </c>
      <c r="G297" s="3">
        <f t="shared" si="279"/>
        <v>2.7391939908208627E-2</v>
      </c>
      <c r="H297" s="3">
        <f t="shared" si="279"/>
        <v>2.7391939903129051E-2</v>
      </c>
      <c r="I297" s="3">
        <f t="shared" si="279"/>
        <v>2.7391939852333298E-2</v>
      </c>
      <c r="J297" s="3">
        <f t="shared" si="279"/>
        <v>2.7391939344375723E-2</v>
      </c>
      <c r="K297" s="3">
        <f t="shared" si="279"/>
        <v>2.7391934264800525E-2</v>
      </c>
      <c r="L297" s="3">
        <f t="shared" si="279"/>
        <v>2.7391883469100362E-2</v>
      </c>
      <c r="M297" s="3">
        <f t="shared" si="279"/>
        <v>2.7391375517279465E-2</v>
      </c>
      <c r="N297" s="3">
        <f t="shared" si="279"/>
        <v>2.7386296517108555E-2</v>
      </c>
      <c r="O297" s="3">
        <f t="shared" si="279"/>
        <v>2.733555828367995E-2</v>
      </c>
      <c r="P297" s="3">
        <f t="shared" si="279"/>
        <v>2.6833317433177281E-2</v>
      </c>
      <c r="Q297" s="3">
        <f t="shared" si="279"/>
        <v>2.2291462913668254E-2</v>
      </c>
      <c r="R297" s="3">
        <f t="shared" si="279"/>
        <v>3.4896397451300359E-3</v>
      </c>
      <c r="S297" s="3">
        <f t="shared" si="279"/>
        <v>3.0846140619314884E-11</v>
      </c>
      <c r="T297" s="3">
        <f t="shared" si="279"/>
        <v>8.9826241533234097E-92</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3.256547684040112E-2</v>
      </c>
      <c r="C298" s="3">
        <f t="shared" si="280"/>
        <v>3.2565476840401113E-2</v>
      </c>
      <c r="D298" s="3">
        <f t="shared" si="280"/>
        <v>3.2565476840401057E-2</v>
      </c>
      <c r="E298" s="3">
        <f t="shared" si="280"/>
        <v>3.2565476840400516E-2</v>
      </c>
      <c r="F298" s="3">
        <f t="shared" si="280"/>
        <v>3.2565476840395069E-2</v>
      </c>
      <c r="G298" s="3">
        <f t="shared" si="280"/>
        <v>3.2565476840340592E-2</v>
      </c>
      <c r="H298" s="3">
        <f t="shared" si="280"/>
        <v>3.2565476839795826E-2</v>
      </c>
      <c r="I298" s="3">
        <f t="shared" si="280"/>
        <v>3.2565476834348184E-2</v>
      </c>
      <c r="J298" s="3">
        <f t="shared" si="280"/>
        <v>3.2565476779871746E-2</v>
      </c>
      <c r="K298" s="3">
        <f t="shared" si="280"/>
        <v>3.2565476235107395E-2</v>
      </c>
      <c r="L298" s="3">
        <f t="shared" si="280"/>
        <v>3.2565470787464371E-2</v>
      </c>
      <c r="M298" s="3">
        <f t="shared" si="280"/>
        <v>3.2565416311084255E-2</v>
      </c>
      <c r="N298" s="3">
        <f t="shared" si="280"/>
        <v>3.2564871552295212E-2</v>
      </c>
      <c r="O298" s="3">
        <f t="shared" si="280"/>
        <v>3.2559424465583596E-2</v>
      </c>
      <c r="P298" s="3">
        <f t="shared" si="280"/>
        <v>3.2505003685348026E-2</v>
      </c>
      <c r="Q298" s="3">
        <f t="shared" si="280"/>
        <v>3.1965773708185735E-2</v>
      </c>
      <c r="R298" s="3">
        <f t="shared" si="280"/>
        <v>2.7041777264270733E-2</v>
      </c>
      <c r="S298" s="3">
        <f t="shared" si="280"/>
        <v>5.0761604093278985E-3</v>
      </c>
      <c r="T298" s="3">
        <f t="shared" si="280"/>
        <v>2.7576325727649685E-10</v>
      </c>
      <c r="U298" s="3">
        <f t="shared" si="280"/>
        <v>6.1737213970225581E-83</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3.4198379990015168E-2</v>
      </c>
      <c r="C299" s="3">
        <f t="shared" si="281"/>
        <v>3.4198379990015168E-2</v>
      </c>
      <c r="D299" s="3">
        <f t="shared" si="281"/>
        <v>3.4198379990015161E-2</v>
      </c>
      <c r="E299" s="3">
        <f t="shared" si="281"/>
        <v>3.4198379990015113E-2</v>
      </c>
      <c r="F299" s="3">
        <f t="shared" si="281"/>
        <v>3.4198379990014592E-2</v>
      </c>
      <c r="G299" s="3">
        <f t="shared" si="281"/>
        <v>3.4198379990009437E-2</v>
      </c>
      <c r="H299" s="3">
        <f t="shared" si="281"/>
        <v>3.4198379989957832E-2</v>
      </c>
      <c r="I299" s="3">
        <f t="shared" si="281"/>
        <v>3.4198379989441766E-2</v>
      </c>
      <c r="J299" s="3">
        <f t="shared" si="281"/>
        <v>3.4198379984281123E-2</v>
      </c>
      <c r="K299" s="3">
        <f t="shared" si="281"/>
        <v>3.4198379932674751E-2</v>
      </c>
      <c r="L299" s="3">
        <f t="shared" si="281"/>
        <v>3.419837941661099E-2</v>
      </c>
      <c r="M299" s="3">
        <f t="shared" si="281"/>
        <v>3.4198374255973787E-2</v>
      </c>
      <c r="N299" s="3">
        <f t="shared" si="281"/>
        <v>3.4198322649644661E-2</v>
      </c>
      <c r="O299" s="3">
        <f t="shared" si="281"/>
        <v>3.4197806590636523E-2</v>
      </c>
      <c r="P299" s="3">
        <f t="shared" si="281"/>
        <v>3.4192646428844169E-2</v>
      </c>
      <c r="Q299" s="3">
        <f t="shared" si="281"/>
        <v>3.4141087615920086E-2</v>
      </c>
      <c r="R299" s="3">
        <f t="shared" si="281"/>
        <v>3.362975618300202E-2</v>
      </c>
      <c r="S299" s="3">
        <f t="shared" si="281"/>
        <v>2.8919273886192507E-2</v>
      </c>
      <c r="T299" s="3">
        <f t="shared" si="281"/>
        <v>6.3947569301791287E-3</v>
      </c>
      <c r="U299" s="3">
        <f t="shared" si="281"/>
        <v>1.7872718291365575E-9</v>
      </c>
      <c r="V299" s="3">
        <f t="shared" si="281"/>
        <v>5.1982396626152287E-75</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4.2864410475860253E-2</v>
      </c>
      <c r="C300" s="3">
        <f t="shared" si="282"/>
        <v>4.2864410475860253E-2</v>
      </c>
      <c r="D300" s="3">
        <f t="shared" si="282"/>
        <v>4.2864410475860253E-2</v>
      </c>
      <c r="E300" s="3">
        <f t="shared" si="282"/>
        <v>4.2864410475860246E-2</v>
      </c>
      <c r="F300" s="3">
        <f t="shared" si="282"/>
        <v>4.2864410475860183E-2</v>
      </c>
      <c r="G300" s="3">
        <f t="shared" si="282"/>
        <v>4.2864410475859607E-2</v>
      </c>
      <c r="H300" s="3">
        <f t="shared" si="282"/>
        <v>4.2864410475853772E-2</v>
      </c>
      <c r="I300" s="3">
        <f t="shared" si="282"/>
        <v>4.2864410475795416E-2</v>
      </c>
      <c r="J300" s="3">
        <f t="shared" si="282"/>
        <v>4.2864410475211917E-2</v>
      </c>
      <c r="K300" s="3">
        <f t="shared" si="282"/>
        <v>4.2864410469376918E-2</v>
      </c>
      <c r="L300" s="3">
        <f t="shared" si="282"/>
        <v>4.2864410411026857E-2</v>
      </c>
      <c r="M300" s="3">
        <f t="shared" si="282"/>
        <v>4.2864409827526297E-2</v>
      </c>
      <c r="N300" s="3">
        <f t="shared" si="282"/>
        <v>4.2864403992521137E-2</v>
      </c>
      <c r="O300" s="3">
        <f t="shared" si="282"/>
        <v>4.2864345642513187E-2</v>
      </c>
      <c r="P300" s="3">
        <f t="shared" si="282"/>
        <v>4.2863762146802355E-2</v>
      </c>
      <c r="Q300" s="3">
        <f t="shared" si="282"/>
        <v>4.2857927626535716E-2</v>
      </c>
      <c r="R300" s="3">
        <f t="shared" si="282"/>
        <v>4.2799626086045234E-2</v>
      </c>
      <c r="S300" s="3">
        <f t="shared" si="282"/>
        <v>4.2220954987247407E-2</v>
      </c>
      <c r="T300" s="3">
        <f t="shared" si="282"/>
        <v>3.684756780172619E-2</v>
      </c>
      <c r="U300" s="3">
        <f t="shared" si="282"/>
        <v>9.4453176973646902E-3</v>
      </c>
      <c r="V300" s="3">
        <f t="shared" si="282"/>
        <v>1.1568951635960875E-8</v>
      </c>
      <c r="W300" s="3">
        <f t="shared" si="282"/>
        <v>8.7916088741035274E-68</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4.3714566142705795E-2</v>
      </c>
      <c r="C301" s="3">
        <f t="shared" si="283"/>
        <v>4.3714566142705795E-2</v>
      </c>
      <c r="D301" s="3">
        <f t="shared" si="283"/>
        <v>4.3714566142705795E-2</v>
      </c>
      <c r="E301" s="3">
        <f t="shared" si="283"/>
        <v>4.3714566142705795E-2</v>
      </c>
      <c r="F301" s="3">
        <f t="shared" si="283"/>
        <v>4.3714566142705788E-2</v>
      </c>
      <c r="G301" s="3">
        <f t="shared" si="283"/>
        <v>4.3714566142705739E-2</v>
      </c>
      <c r="H301" s="3">
        <f t="shared" si="283"/>
        <v>4.3714566142705198E-2</v>
      </c>
      <c r="I301" s="3">
        <f t="shared" si="283"/>
        <v>4.3714566142699827E-2</v>
      </c>
      <c r="J301" s="3">
        <f t="shared" si="283"/>
        <v>4.3714566142646148E-2</v>
      </c>
      <c r="K301" s="3">
        <f t="shared" si="283"/>
        <v>4.3714566142109341E-2</v>
      </c>
      <c r="L301" s="3">
        <f t="shared" si="283"/>
        <v>4.3714566136741288E-2</v>
      </c>
      <c r="M301" s="3">
        <f t="shared" si="283"/>
        <v>4.3714566083060707E-2</v>
      </c>
      <c r="N301" s="3">
        <f t="shared" si="283"/>
        <v>4.3714565546254927E-2</v>
      </c>
      <c r="O301" s="3">
        <f t="shared" si="283"/>
        <v>4.3714560178197456E-2</v>
      </c>
      <c r="P301" s="3">
        <f t="shared" si="283"/>
        <v>4.3714506497659039E-2</v>
      </c>
      <c r="Q301" s="3">
        <f t="shared" si="283"/>
        <v>4.3713969695900391E-2</v>
      </c>
      <c r="R301" s="3">
        <f t="shared" si="283"/>
        <v>4.3708602040848102E-2</v>
      </c>
      <c r="S301" s="3">
        <f t="shared" si="283"/>
        <v>4.3654961727277765E-2</v>
      </c>
      <c r="T301" s="3">
        <f t="shared" si="283"/>
        <v>4.3122165876432458E-2</v>
      </c>
      <c r="U301" s="3">
        <f t="shared" si="283"/>
        <v>3.813907063571987E-2</v>
      </c>
      <c r="V301" s="3">
        <f t="shared" si="283"/>
        <v>1.1170317262801226E-2</v>
      </c>
      <c r="W301" s="3">
        <f t="shared" si="283"/>
        <v>5.1882337002701114E-8</v>
      </c>
      <c r="X301" s="3">
        <f t="shared" si="283"/>
        <v>2.424151461383371E-61</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7.7757179566671539E-2</v>
      </c>
      <c r="C302" s="3">
        <f t="shared" si="284"/>
        <v>7.7757179566671539E-2</v>
      </c>
      <c r="D302" s="3">
        <f t="shared" si="284"/>
        <v>7.7757179566671539E-2</v>
      </c>
      <c r="E302" s="3">
        <f t="shared" si="284"/>
        <v>7.7757179566671539E-2</v>
      </c>
      <c r="F302" s="3">
        <f t="shared" si="284"/>
        <v>7.7757179566671539E-2</v>
      </c>
      <c r="G302" s="3">
        <f t="shared" si="284"/>
        <v>7.7757179566671525E-2</v>
      </c>
      <c r="H302" s="3">
        <f t="shared" si="284"/>
        <v>7.7757179566671442E-2</v>
      </c>
      <c r="I302" s="3">
        <f t="shared" si="284"/>
        <v>7.7757179566670581E-2</v>
      </c>
      <c r="J302" s="3">
        <f t="shared" si="284"/>
        <v>7.7757179566661963E-2</v>
      </c>
      <c r="K302" s="3">
        <f t="shared" si="284"/>
        <v>7.7757179566575838E-2</v>
      </c>
      <c r="L302" s="3">
        <f t="shared" si="284"/>
        <v>7.7757179565714485E-2</v>
      </c>
      <c r="M302" s="3">
        <f t="shared" si="284"/>
        <v>7.7757179557101014E-2</v>
      </c>
      <c r="N302" s="3">
        <f t="shared" si="284"/>
        <v>7.7757179470966331E-2</v>
      </c>
      <c r="O302" s="3">
        <f t="shared" si="284"/>
        <v>7.7757178609619407E-2</v>
      </c>
      <c r="P302" s="3">
        <f t="shared" si="284"/>
        <v>7.775716999615076E-2</v>
      </c>
      <c r="Q302" s="3">
        <f t="shared" si="284"/>
        <v>7.7757083861516724E-2</v>
      </c>
      <c r="R302" s="3">
        <f t="shared" si="284"/>
        <v>7.7756222520424134E-2</v>
      </c>
      <c r="S302" s="3">
        <f t="shared" si="284"/>
        <v>7.7747609634255727E-2</v>
      </c>
      <c r="T302" s="3">
        <f t="shared" si="284"/>
        <v>7.7661533226816765E-2</v>
      </c>
      <c r="U302" s="3">
        <f t="shared" si="284"/>
        <v>7.6805993141403781E-2</v>
      </c>
      <c r="V302" s="3">
        <f t="shared" si="284"/>
        <v>6.8752199697641431E-2</v>
      </c>
      <c r="W302" s="3">
        <f t="shared" si="284"/>
        <v>2.2709181633658621E-2</v>
      </c>
      <c r="X302" s="3">
        <f t="shared" si="284"/>
        <v>3.5103493947625673E-7</v>
      </c>
      <c r="Y302" s="3">
        <f t="shared" si="284"/>
        <v>2.7342546378385716E-55</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9.5507274749383017E-2</v>
      </c>
      <c r="C303" s="3">
        <f t="shared" si="285"/>
        <v>9.5507274749383017E-2</v>
      </c>
      <c r="D303" s="3">
        <f t="shared" si="285"/>
        <v>9.5507274749383017E-2</v>
      </c>
      <c r="E303" s="3">
        <f t="shared" si="285"/>
        <v>9.5507274749383017E-2</v>
      </c>
      <c r="F303" s="3">
        <f t="shared" si="285"/>
        <v>9.5507274749383017E-2</v>
      </c>
      <c r="G303" s="3">
        <f t="shared" si="285"/>
        <v>9.5507274749383017E-2</v>
      </c>
      <c r="H303" s="3">
        <f t="shared" si="285"/>
        <v>9.5507274749383003E-2</v>
      </c>
      <c r="I303" s="3">
        <f t="shared" si="285"/>
        <v>9.5507274749382906E-2</v>
      </c>
      <c r="J303" s="3">
        <f t="shared" si="285"/>
        <v>9.5507274749381962E-2</v>
      </c>
      <c r="K303" s="3">
        <f t="shared" si="285"/>
        <v>9.5507274749372414E-2</v>
      </c>
      <c r="L303" s="3">
        <f t="shared" si="285"/>
        <v>9.5507274749276977E-2</v>
      </c>
      <c r="M303" s="3">
        <f t="shared" si="285"/>
        <v>9.5507274748322601E-2</v>
      </c>
      <c r="N303" s="3">
        <f t="shared" si="285"/>
        <v>9.5507274738778819E-2</v>
      </c>
      <c r="O303" s="3">
        <f t="shared" si="285"/>
        <v>9.5507274643340967E-2</v>
      </c>
      <c r="P303" s="3">
        <f t="shared" si="285"/>
        <v>9.550727368896246E-2</v>
      </c>
      <c r="Q303" s="3">
        <f t="shared" si="285"/>
        <v>9.5507264145177947E-2</v>
      </c>
      <c r="R303" s="3">
        <f t="shared" si="285"/>
        <v>9.5507168707385307E-2</v>
      </c>
      <c r="S303" s="3">
        <f t="shared" si="285"/>
        <v>9.5506214334704062E-2</v>
      </c>
      <c r="T303" s="3">
        <f t="shared" si="285"/>
        <v>9.5496671132396765E-2</v>
      </c>
      <c r="U303" s="3">
        <f t="shared" si="285"/>
        <v>9.5401291540444286E-2</v>
      </c>
      <c r="V303" s="3">
        <f t="shared" si="285"/>
        <v>9.4452719399265E-2</v>
      </c>
      <c r="W303" s="3">
        <f t="shared" si="285"/>
        <v>8.5470567340077422E-2</v>
      </c>
      <c r="X303" s="3">
        <f t="shared" si="285"/>
        <v>3.1465728539297182E-2</v>
      </c>
      <c r="Y303" s="3">
        <f t="shared" si="285"/>
        <v>1.4389637060326374E-6</v>
      </c>
      <c r="Z303" s="3">
        <f t="shared" si="285"/>
        <v>5.7566566324841565E-50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8.003075559639232E-2</v>
      </c>
      <c r="C304" s="3">
        <f t="shared" si="286"/>
        <v>8.003075559639232E-2</v>
      </c>
      <c r="D304" s="3">
        <f t="shared" si="286"/>
        <v>8.003075559639232E-2</v>
      </c>
      <c r="E304" s="3">
        <f t="shared" si="286"/>
        <v>8.003075559639232E-2</v>
      </c>
      <c r="F304" s="3">
        <f t="shared" si="286"/>
        <v>8.003075559639232E-2</v>
      </c>
      <c r="G304" s="3">
        <f t="shared" si="286"/>
        <v>8.003075559639232E-2</v>
      </c>
      <c r="H304" s="3">
        <f t="shared" si="286"/>
        <v>8.003075559639232E-2</v>
      </c>
      <c r="I304" s="3">
        <f t="shared" si="286"/>
        <v>8.0030755596392306E-2</v>
      </c>
      <c r="J304" s="3">
        <f t="shared" si="286"/>
        <v>8.0030755596392236E-2</v>
      </c>
      <c r="K304" s="3">
        <f t="shared" si="286"/>
        <v>8.0030755596391515E-2</v>
      </c>
      <c r="L304" s="3">
        <f t="shared" si="286"/>
        <v>8.0030755596384298E-2</v>
      </c>
      <c r="M304" s="3">
        <f t="shared" si="286"/>
        <v>8.0030755596312161E-2</v>
      </c>
      <c r="N304" s="3">
        <f t="shared" si="286"/>
        <v>8.0030755595590738E-2</v>
      </c>
      <c r="O304" s="3">
        <f t="shared" si="286"/>
        <v>8.0030755588376551E-2</v>
      </c>
      <c r="P304" s="3">
        <f t="shared" si="286"/>
        <v>8.0030755516234633E-2</v>
      </c>
      <c r="Q304" s="3">
        <f t="shared" si="286"/>
        <v>8.0030754794815417E-2</v>
      </c>
      <c r="R304" s="3">
        <f t="shared" si="286"/>
        <v>8.0030747580623646E-2</v>
      </c>
      <c r="S304" s="3">
        <f t="shared" si="286"/>
        <v>8.0030675438741719E-2</v>
      </c>
      <c r="T304" s="3">
        <f t="shared" si="286"/>
        <v>8.0029954023499078E-2</v>
      </c>
      <c r="U304" s="3">
        <f t="shared" si="286"/>
        <v>8.0022740228728365E-2</v>
      </c>
      <c r="V304" s="3">
        <f t="shared" si="286"/>
        <v>7.9950638034660446E-2</v>
      </c>
      <c r="W304" s="3">
        <f t="shared" si="286"/>
        <v>7.9233179561749009E-2</v>
      </c>
      <c r="X304" s="3">
        <f t="shared" si="286"/>
        <v>7.2403337600732753E-2</v>
      </c>
      <c r="Y304" s="3">
        <f t="shared" si="286"/>
        <v>2.9395009826001604E-2</v>
      </c>
      <c r="Z304" s="3">
        <f t="shared" si="286"/>
        <v>3.5762168238142781E-6</v>
      </c>
      <c r="AA304" s="3">
        <f t="shared" si="286"/>
        <v>2.5405407434595712E-45</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5.3976889971713508E-2</v>
      </c>
      <c r="C305" s="3">
        <f t="shared" si="287"/>
        <v>5.3976889971713508E-2</v>
      </c>
      <c r="D305" s="3">
        <f t="shared" si="287"/>
        <v>5.3976889971713508E-2</v>
      </c>
      <c r="E305" s="3">
        <f t="shared" si="287"/>
        <v>5.3976889971713508E-2</v>
      </c>
      <c r="F305" s="3">
        <f t="shared" si="287"/>
        <v>5.3976889971713508E-2</v>
      </c>
      <c r="G305" s="3">
        <f t="shared" si="287"/>
        <v>5.3976889971713508E-2</v>
      </c>
      <c r="H305" s="3">
        <f t="shared" si="287"/>
        <v>5.3976889971713508E-2</v>
      </c>
      <c r="I305" s="3">
        <f t="shared" si="287"/>
        <v>5.3976889971713508E-2</v>
      </c>
      <c r="J305" s="3">
        <f t="shared" si="287"/>
        <v>5.3976889971713501E-2</v>
      </c>
      <c r="K305" s="3">
        <f t="shared" si="287"/>
        <v>5.397688997171346E-2</v>
      </c>
      <c r="L305" s="3">
        <f t="shared" si="287"/>
        <v>5.3976889971713023E-2</v>
      </c>
      <c r="M305" s="3">
        <f t="shared" si="287"/>
        <v>5.397688997170863E-2</v>
      </c>
      <c r="N305" s="3">
        <f t="shared" si="287"/>
        <v>5.3976889971664742E-2</v>
      </c>
      <c r="O305" s="3">
        <f t="shared" si="287"/>
        <v>5.3976889971225822E-2</v>
      </c>
      <c r="P305" s="3">
        <f t="shared" si="287"/>
        <v>5.3976889966836618E-2</v>
      </c>
      <c r="Q305" s="3">
        <f t="shared" si="287"/>
        <v>5.3976889922944638E-2</v>
      </c>
      <c r="R305" s="3">
        <f t="shared" si="287"/>
        <v>5.3976889484024772E-2</v>
      </c>
      <c r="S305" s="3">
        <f t="shared" si="287"/>
        <v>5.3976885094826323E-2</v>
      </c>
      <c r="T305" s="3">
        <f t="shared" si="287"/>
        <v>5.397684120286151E-2</v>
      </c>
      <c r="U305" s="3">
        <f t="shared" si="287"/>
        <v>5.3976402285176417E-2</v>
      </c>
      <c r="V305" s="3">
        <f t="shared" si="287"/>
        <v>5.397201330462114E-2</v>
      </c>
      <c r="W305" s="3">
        <f t="shared" si="287"/>
        <v>5.3928143122733856E-2</v>
      </c>
      <c r="X305" s="3">
        <f t="shared" si="287"/>
        <v>5.3491397779055053E-2</v>
      </c>
      <c r="Y305" s="3">
        <f t="shared" si="287"/>
        <v>4.9313831262837143E-2</v>
      </c>
      <c r="Z305" s="3">
        <f t="shared" si="287"/>
        <v>2.1868385813743986E-2</v>
      </c>
      <c r="AA305" s="3">
        <f t="shared" si="287"/>
        <v>6.4312671864623817E-6</v>
      </c>
      <c r="AB305" s="3">
        <f t="shared" si="287"/>
        <v>3.1123956963186198E-41</v>
      </c>
      <c r="AC305" s="3">
        <f t="shared" si="287"/>
        <v>0</v>
      </c>
      <c r="AD305" s="3">
        <f t="shared" si="287"/>
        <v>0</v>
      </c>
      <c r="AE305" s="3">
        <f t="shared" si="287"/>
        <v>0</v>
      </c>
      <c r="AF305" s="3">
        <f t="shared" si="287"/>
        <v>0</v>
      </c>
      <c r="AG305" s="3"/>
      <c r="AH305" s="3"/>
    </row>
    <row r="306" spans="1:34" x14ac:dyDescent="0.25">
      <c r="B306" s="3">
        <f t="shared" ref="B306:AF306" si="288">$C36*EXP(-B$285/$A36/EXP(-$F$126))</f>
        <v>2.9623895965477303E-2</v>
      </c>
      <c r="C306" s="3">
        <f t="shared" si="288"/>
        <v>2.9623895965477303E-2</v>
      </c>
      <c r="D306" s="3">
        <f t="shared" si="288"/>
        <v>2.9623895965477303E-2</v>
      </c>
      <c r="E306" s="3">
        <f t="shared" si="288"/>
        <v>2.9623895965477303E-2</v>
      </c>
      <c r="F306" s="3">
        <f t="shared" si="288"/>
        <v>2.9623895965477303E-2</v>
      </c>
      <c r="G306" s="3">
        <f t="shared" si="288"/>
        <v>2.9623895965477303E-2</v>
      </c>
      <c r="H306" s="3">
        <f t="shared" si="288"/>
        <v>2.9623895965477303E-2</v>
      </c>
      <c r="I306" s="3">
        <f t="shared" si="288"/>
        <v>2.9623895965477303E-2</v>
      </c>
      <c r="J306" s="3">
        <f t="shared" si="288"/>
        <v>2.9623895965477303E-2</v>
      </c>
      <c r="K306" s="3">
        <f t="shared" si="288"/>
        <v>2.96238959654773E-2</v>
      </c>
      <c r="L306" s="3">
        <f t="shared" si="288"/>
        <v>2.9623895965477279E-2</v>
      </c>
      <c r="M306" s="3">
        <f t="shared" si="288"/>
        <v>2.9623895965477064E-2</v>
      </c>
      <c r="N306" s="3">
        <f t="shared" si="288"/>
        <v>2.9623895965474888E-2</v>
      </c>
      <c r="O306" s="3">
        <f t="shared" si="288"/>
        <v>2.9623895965453159E-2</v>
      </c>
      <c r="P306" s="3">
        <f t="shared" si="288"/>
        <v>2.9623895965235854E-2</v>
      </c>
      <c r="Q306" s="3">
        <f t="shared" si="288"/>
        <v>2.9623895963062825E-2</v>
      </c>
      <c r="R306" s="3">
        <f t="shared" si="288"/>
        <v>2.9623895941332499E-2</v>
      </c>
      <c r="S306" s="3">
        <f t="shared" si="288"/>
        <v>2.9623895724029289E-2</v>
      </c>
      <c r="T306" s="3">
        <f t="shared" si="288"/>
        <v>2.9623893550997274E-2</v>
      </c>
      <c r="U306" s="3">
        <f t="shared" si="288"/>
        <v>2.9623871820685849E-2</v>
      </c>
      <c r="V306" s="3">
        <f t="shared" si="288"/>
        <v>2.9623654518448287E-2</v>
      </c>
      <c r="W306" s="3">
        <f t="shared" si="288"/>
        <v>2.9621481583740405E-2</v>
      </c>
      <c r="X306" s="3">
        <f t="shared" si="288"/>
        <v>2.959976100105461E-2</v>
      </c>
      <c r="Y306" s="3">
        <f t="shared" si="288"/>
        <v>2.9383429239415945E-2</v>
      </c>
      <c r="Z306" s="3">
        <f t="shared" si="288"/>
        <v>2.7305191675362318E-2</v>
      </c>
      <c r="AA306" s="3">
        <f t="shared" si="288"/>
        <v>1.3112114419707083E-2</v>
      </c>
      <c r="AB306" s="3">
        <f t="shared" si="288"/>
        <v>8.5496382354807794E-6</v>
      </c>
      <c r="AC306" s="3">
        <f t="shared" si="288"/>
        <v>1.1876755649410687E-37</v>
      </c>
      <c r="AD306" s="3">
        <f t="shared" si="288"/>
        <v>0</v>
      </c>
      <c r="AE306" s="3">
        <f t="shared" si="288"/>
        <v>0</v>
      </c>
      <c r="AF306" s="3">
        <f t="shared" si="288"/>
        <v>0</v>
      </c>
      <c r="AG306" s="3"/>
      <c r="AH306" s="3"/>
    </row>
    <row r="307" spans="1:34" x14ac:dyDescent="0.25">
      <c r="B307" s="3">
        <f t="shared" ref="B307:AF307" si="289">$C37*EXP(-B$285/$A37/EXP(-$F$126))</f>
        <v>1.5005107194779805E-2</v>
      </c>
      <c r="C307" s="3">
        <f t="shared" si="289"/>
        <v>1.5005107194779805E-2</v>
      </c>
      <c r="D307" s="3">
        <f t="shared" si="289"/>
        <v>1.5005107194779805E-2</v>
      </c>
      <c r="E307" s="3">
        <f t="shared" si="289"/>
        <v>1.5005107194779805E-2</v>
      </c>
      <c r="F307" s="3">
        <f t="shared" si="289"/>
        <v>1.5005107194779805E-2</v>
      </c>
      <c r="G307" s="3">
        <f t="shared" si="289"/>
        <v>1.5005107194779805E-2</v>
      </c>
      <c r="H307" s="3">
        <f t="shared" si="289"/>
        <v>1.5005107194779805E-2</v>
      </c>
      <c r="I307" s="3">
        <f t="shared" si="289"/>
        <v>1.5005107194779805E-2</v>
      </c>
      <c r="J307" s="3">
        <f t="shared" si="289"/>
        <v>1.5005107194779805E-2</v>
      </c>
      <c r="K307" s="3">
        <f t="shared" si="289"/>
        <v>1.5005107194779805E-2</v>
      </c>
      <c r="L307" s="3">
        <f t="shared" si="289"/>
        <v>1.5005107194779804E-2</v>
      </c>
      <c r="M307" s="3">
        <f t="shared" si="289"/>
        <v>1.5005107194779793E-2</v>
      </c>
      <c r="N307" s="3">
        <f t="shared" si="289"/>
        <v>1.5005107194779696E-2</v>
      </c>
      <c r="O307" s="3">
        <f t="shared" si="289"/>
        <v>1.5005107194778702E-2</v>
      </c>
      <c r="P307" s="3">
        <f t="shared" si="289"/>
        <v>1.5005107194768774E-2</v>
      </c>
      <c r="Q307" s="3">
        <f t="shared" si="289"/>
        <v>1.5005107194669482E-2</v>
      </c>
      <c r="R307" s="3">
        <f t="shared" si="289"/>
        <v>1.5005107193676571E-2</v>
      </c>
      <c r="S307" s="3">
        <f t="shared" si="289"/>
        <v>1.5005107183747477E-2</v>
      </c>
      <c r="T307" s="3">
        <f t="shared" si="289"/>
        <v>1.5005107084456529E-2</v>
      </c>
      <c r="U307" s="3">
        <f t="shared" si="289"/>
        <v>1.5005106091547073E-2</v>
      </c>
      <c r="V307" s="3">
        <f t="shared" si="289"/>
        <v>1.500509616245612E-2</v>
      </c>
      <c r="W307" s="3">
        <f t="shared" si="289"/>
        <v>1.5004996871907974E-2</v>
      </c>
      <c r="X307" s="3">
        <f t="shared" si="289"/>
        <v>1.5004004002561766E-2</v>
      </c>
      <c r="Y307" s="3">
        <f t="shared" si="289"/>
        <v>1.499407892174044E-2</v>
      </c>
      <c r="Z307" s="3">
        <f t="shared" si="289"/>
        <v>1.4895188494667975E-2</v>
      </c>
      <c r="AA307" s="3">
        <f t="shared" si="289"/>
        <v>1.3941455401328748E-2</v>
      </c>
      <c r="AB307" s="3">
        <f t="shared" si="289"/>
        <v>7.1933172871167725E-3</v>
      </c>
      <c r="AC307" s="3">
        <f t="shared" si="289"/>
        <v>9.6192286377055502E-6</v>
      </c>
      <c r="AD307" s="3">
        <f t="shared" si="289"/>
        <v>1.7589380925955117E-34</v>
      </c>
      <c r="AE307" s="3">
        <f t="shared" si="289"/>
        <v>0</v>
      </c>
      <c r="AF307" s="3">
        <f t="shared" si="289"/>
        <v>0</v>
      </c>
      <c r="AG307" s="3"/>
      <c r="AH307" s="3"/>
    </row>
    <row r="308" spans="1:34" x14ac:dyDescent="0.25">
      <c r="B308" s="3">
        <f t="shared" ref="B308:AF308" si="290">$C38*EXP(-B$285/$A38/EXP(-$F$126))</f>
        <v>4.0905508263932881E-3</v>
      </c>
      <c r="C308" s="3">
        <f t="shared" si="290"/>
        <v>4.0905508263932881E-3</v>
      </c>
      <c r="D308" s="3">
        <f t="shared" si="290"/>
        <v>4.0905508263932881E-3</v>
      </c>
      <c r="E308" s="3">
        <f t="shared" si="290"/>
        <v>4.0905508263932881E-3</v>
      </c>
      <c r="F308" s="3">
        <f t="shared" si="290"/>
        <v>4.0905508263932881E-3</v>
      </c>
      <c r="G308" s="3">
        <f t="shared" si="290"/>
        <v>4.0905508263932881E-3</v>
      </c>
      <c r="H308" s="3">
        <f t="shared" si="290"/>
        <v>4.0905508263932881E-3</v>
      </c>
      <c r="I308" s="3">
        <f t="shared" si="290"/>
        <v>4.0905508263932881E-3</v>
      </c>
      <c r="J308" s="3">
        <f t="shared" si="290"/>
        <v>4.0905508263932881E-3</v>
      </c>
      <c r="K308" s="3">
        <f t="shared" si="290"/>
        <v>4.0905508263932881E-3</v>
      </c>
      <c r="L308" s="3">
        <f t="shared" si="290"/>
        <v>4.0905508263932881E-3</v>
      </c>
      <c r="M308" s="3">
        <f t="shared" si="290"/>
        <v>4.0905508263932872E-3</v>
      </c>
      <c r="N308" s="3">
        <f t="shared" si="290"/>
        <v>4.0905508263932855E-3</v>
      </c>
      <c r="O308" s="3">
        <f t="shared" si="290"/>
        <v>4.0905508263932612E-3</v>
      </c>
      <c r="P308" s="3">
        <f t="shared" si="290"/>
        <v>4.0905508263930166E-3</v>
      </c>
      <c r="Q308" s="3">
        <f t="shared" si="290"/>
        <v>4.090550826390575E-3</v>
      </c>
      <c r="R308" s="3">
        <f t="shared" si="290"/>
        <v>4.0905508263661579E-3</v>
      </c>
      <c r="S308" s="3">
        <f t="shared" si="290"/>
        <v>4.0905508261219843E-3</v>
      </c>
      <c r="T308" s="3">
        <f t="shared" si="290"/>
        <v>4.0905508236802465E-3</v>
      </c>
      <c r="U308" s="3">
        <f t="shared" si="290"/>
        <v>4.090550799262873E-3</v>
      </c>
      <c r="V308" s="3">
        <f t="shared" si="290"/>
        <v>4.0905505550891466E-3</v>
      </c>
      <c r="W308" s="3">
        <f t="shared" si="290"/>
        <v>4.0905481133526886E-3</v>
      </c>
      <c r="X308" s="3">
        <f t="shared" si="290"/>
        <v>4.0905236960682625E-3</v>
      </c>
      <c r="Y308" s="3">
        <f t="shared" si="290"/>
        <v>4.0902795312401981E-3</v>
      </c>
      <c r="Z308" s="3">
        <f t="shared" si="290"/>
        <v>4.0878386844017773E-3</v>
      </c>
      <c r="AA308" s="3">
        <f t="shared" si="290"/>
        <v>4.0635101835145926E-3</v>
      </c>
      <c r="AB308" s="3">
        <f t="shared" si="290"/>
        <v>3.8280480919835186E-3</v>
      </c>
      <c r="AC308" s="3">
        <f t="shared" si="290"/>
        <v>2.107355051275941E-3</v>
      </c>
      <c r="AD308" s="3">
        <f t="shared" si="290"/>
        <v>5.3869257062084844E-6</v>
      </c>
      <c r="AE308" s="3">
        <f t="shared" si="290"/>
        <v>6.4176159002582839E-32</v>
      </c>
      <c r="AF308" s="3">
        <f t="shared" si="290"/>
        <v>3.6957370768726104E-291</v>
      </c>
      <c r="AG308" s="3"/>
      <c r="AH308" s="3"/>
    </row>
    <row r="309" spans="1:34" x14ac:dyDescent="0.25">
      <c r="B309" s="3">
        <f t="shared" ref="B309:AF309" si="291">$C39*EXP(-B$285/$A39/EXP(-$F$126))</f>
        <v>4.6207327982835155E-3</v>
      </c>
      <c r="C309" s="3">
        <f t="shared" si="291"/>
        <v>4.6207327982835155E-3</v>
      </c>
      <c r="D309" s="3">
        <f t="shared" si="291"/>
        <v>4.6207327982835155E-3</v>
      </c>
      <c r="E309" s="3">
        <f t="shared" si="291"/>
        <v>4.6207327982835155E-3</v>
      </c>
      <c r="F309" s="3">
        <f t="shared" si="291"/>
        <v>4.6207327982835155E-3</v>
      </c>
      <c r="G309" s="3">
        <f t="shared" si="291"/>
        <v>4.6207327982835155E-3</v>
      </c>
      <c r="H309" s="3">
        <f t="shared" si="291"/>
        <v>4.6207327982835155E-3</v>
      </c>
      <c r="I309" s="3">
        <f t="shared" si="291"/>
        <v>4.6207327982835155E-3</v>
      </c>
      <c r="J309" s="3">
        <f t="shared" si="291"/>
        <v>4.6207327982835155E-3</v>
      </c>
      <c r="K309" s="3">
        <f t="shared" si="291"/>
        <v>4.6207327982835155E-3</v>
      </c>
      <c r="L309" s="3">
        <f t="shared" si="291"/>
        <v>4.6207327982835155E-3</v>
      </c>
      <c r="M309" s="3">
        <f t="shared" si="291"/>
        <v>4.6207327982835155E-3</v>
      </c>
      <c r="N309" s="3">
        <f t="shared" si="291"/>
        <v>4.6207327982835146E-3</v>
      </c>
      <c r="O309" s="3">
        <f t="shared" si="291"/>
        <v>4.6207327982835068E-3</v>
      </c>
      <c r="P309" s="3">
        <f t="shared" si="291"/>
        <v>4.6207327982834305E-3</v>
      </c>
      <c r="Q309" s="3">
        <f t="shared" si="291"/>
        <v>4.6207327982826681E-3</v>
      </c>
      <c r="R309" s="3">
        <f t="shared" si="291"/>
        <v>4.6207327982750387E-3</v>
      </c>
      <c r="S309" s="3">
        <f t="shared" si="291"/>
        <v>4.6207327981987534E-3</v>
      </c>
      <c r="T309" s="3">
        <f t="shared" si="291"/>
        <v>4.620732797435901E-3</v>
      </c>
      <c r="U309" s="3">
        <f t="shared" si="291"/>
        <v>4.6207327898073703E-3</v>
      </c>
      <c r="V309" s="3">
        <f t="shared" si="291"/>
        <v>4.6207327135220693E-3</v>
      </c>
      <c r="W309" s="3">
        <f t="shared" si="291"/>
        <v>4.6207319506691262E-3</v>
      </c>
      <c r="X309" s="3">
        <f t="shared" si="291"/>
        <v>4.6207243221466146E-3</v>
      </c>
      <c r="Y309" s="3">
        <f t="shared" si="291"/>
        <v>4.6206480376141815E-3</v>
      </c>
      <c r="Z309" s="3">
        <f t="shared" si="291"/>
        <v>4.6198852615532962E-3</v>
      </c>
      <c r="AA309" s="3">
        <f t="shared" si="291"/>
        <v>4.6122644230600449E-3</v>
      </c>
      <c r="AB309" s="3">
        <f t="shared" si="291"/>
        <v>4.5367440399486144E-3</v>
      </c>
      <c r="AC309" s="3">
        <f t="shared" si="291"/>
        <v>3.8463170023780848E-3</v>
      </c>
      <c r="AD309" s="3">
        <f t="shared" si="291"/>
        <v>7.3799436868905992E-4</v>
      </c>
      <c r="AE309" s="3">
        <f t="shared" si="291"/>
        <v>4.9903703879609099E-11</v>
      </c>
      <c r="AF309" s="3">
        <f t="shared" si="291"/>
        <v>9.9753950775704199E-83</v>
      </c>
      <c r="AG309" s="3"/>
      <c r="AH309" s="3"/>
    </row>
    <row r="310" spans="1:34" x14ac:dyDescent="0.25">
      <c r="B310" s="3">
        <f t="shared" ref="B310:AF310" si="292">$C40*EXP(-B$285/$A40/EXP(-$F$126))</f>
        <v>2.0598839061917876E-3</v>
      </c>
      <c r="C310" s="3">
        <f t="shared" si="292"/>
        <v>2.0598839061917876E-3</v>
      </c>
      <c r="D310" s="3">
        <f t="shared" si="292"/>
        <v>2.0598839061917876E-3</v>
      </c>
      <c r="E310" s="3">
        <f t="shared" si="292"/>
        <v>2.0598839061917876E-3</v>
      </c>
      <c r="F310" s="3">
        <f t="shared" si="292"/>
        <v>2.0598839061917876E-3</v>
      </c>
      <c r="G310" s="3">
        <f t="shared" si="292"/>
        <v>2.0598839061917876E-3</v>
      </c>
      <c r="H310" s="3">
        <f t="shared" si="292"/>
        <v>2.0598839061917876E-3</v>
      </c>
      <c r="I310" s="3">
        <f t="shared" si="292"/>
        <v>2.0598839061917876E-3</v>
      </c>
      <c r="J310" s="3">
        <f t="shared" si="292"/>
        <v>2.0598839061917876E-3</v>
      </c>
      <c r="K310" s="3">
        <f t="shared" si="292"/>
        <v>2.0598839061917876E-3</v>
      </c>
      <c r="L310" s="3">
        <f t="shared" si="292"/>
        <v>2.0598839061917876E-3</v>
      </c>
      <c r="M310" s="3">
        <f t="shared" si="292"/>
        <v>2.0598839061917876E-3</v>
      </c>
      <c r="N310" s="3">
        <f t="shared" si="292"/>
        <v>2.0598839061917876E-3</v>
      </c>
      <c r="O310" s="3">
        <f t="shared" si="292"/>
        <v>2.0598839061917872E-3</v>
      </c>
      <c r="P310" s="3">
        <f t="shared" si="292"/>
        <v>2.0598839061917837E-3</v>
      </c>
      <c r="Q310" s="3">
        <f t="shared" si="292"/>
        <v>2.0598839061917499E-3</v>
      </c>
      <c r="R310" s="3">
        <f t="shared" si="292"/>
        <v>2.0598839061914099E-3</v>
      </c>
      <c r="S310" s="3">
        <f t="shared" si="292"/>
        <v>2.0598839061880089E-3</v>
      </c>
      <c r="T310" s="3">
        <f t="shared" si="292"/>
        <v>2.0598839061540014E-3</v>
      </c>
      <c r="U310" s="3">
        <f t="shared" si="292"/>
        <v>2.059883905813928E-3</v>
      </c>
      <c r="V310" s="3">
        <f t="shared" si="292"/>
        <v>2.0598839024131934E-3</v>
      </c>
      <c r="W310" s="3">
        <f t="shared" si="292"/>
        <v>2.0598838684058461E-3</v>
      </c>
      <c r="X310" s="3">
        <f t="shared" si="292"/>
        <v>2.0598835283324058E-3</v>
      </c>
      <c r="Y310" s="3">
        <f t="shared" si="292"/>
        <v>2.0598801276010856E-3</v>
      </c>
      <c r="Z310" s="3">
        <f t="shared" si="292"/>
        <v>2.0598461205966752E-3</v>
      </c>
      <c r="AA310" s="3">
        <f t="shared" si="292"/>
        <v>2.0595060814296343E-3</v>
      </c>
      <c r="AB310" s="3">
        <f t="shared" si="292"/>
        <v>2.056108775580275E-3</v>
      </c>
      <c r="AC310" s="3">
        <f t="shared" si="292"/>
        <v>2.0224424225250928E-3</v>
      </c>
      <c r="AD310" s="3">
        <f t="shared" si="292"/>
        <v>1.7146558429549609E-3</v>
      </c>
      <c r="AE310" s="3">
        <f t="shared" si="292"/>
        <v>3.2899169661735738E-4</v>
      </c>
      <c r="AF310" s="3">
        <f t="shared" si="292"/>
        <v>2.2246652418238399E-11</v>
      </c>
      <c r="AG310" s="3"/>
      <c r="AH310" s="3"/>
    </row>
    <row r="311" spans="1:34" x14ac:dyDescent="0.25">
      <c r="B311" s="3">
        <f t="shared" ref="B311:AF311" si="293">$C41*EXP(-B$285/$A41/EXP(-$F$126))</f>
        <v>2.0793314772124174E-3</v>
      </c>
      <c r="C311" s="3">
        <f t="shared" si="293"/>
        <v>2.0793314772124174E-3</v>
      </c>
      <c r="D311" s="3">
        <f t="shared" si="293"/>
        <v>2.0793314772124174E-3</v>
      </c>
      <c r="E311" s="3">
        <f t="shared" si="293"/>
        <v>2.0793314772124174E-3</v>
      </c>
      <c r="F311" s="3">
        <f t="shared" si="293"/>
        <v>2.0793314772124174E-3</v>
      </c>
      <c r="G311" s="3">
        <f t="shared" si="293"/>
        <v>2.0793314772124174E-3</v>
      </c>
      <c r="H311" s="3">
        <f t="shared" si="293"/>
        <v>2.0793314772124174E-3</v>
      </c>
      <c r="I311" s="3">
        <f t="shared" si="293"/>
        <v>2.0793314772124174E-3</v>
      </c>
      <c r="J311" s="3">
        <f t="shared" si="293"/>
        <v>2.0793314772124174E-3</v>
      </c>
      <c r="K311" s="3">
        <f t="shared" si="293"/>
        <v>2.0793314772124174E-3</v>
      </c>
      <c r="L311" s="3">
        <f t="shared" si="293"/>
        <v>2.0793314772124174E-3</v>
      </c>
      <c r="M311" s="3">
        <f t="shared" si="293"/>
        <v>2.0793314772124174E-3</v>
      </c>
      <c r="N311" s="3">
        <f t="shared" si="293"/>
        <v>2.0793314772124174E-3</v>
      </c>
      <c r="O311" s="3">
        <f t="shared" si="293"/>
        <v>2.0793314772124174E-3</v>
      </c>
      <c r="P311" s="3">
        <f t="shared" si="293"/>
        <v>2.079331477212417E-3</v>
      </c>
      <c r="Q311" s="3">
        <f t="shared" si="293"/>
        <v>2.0793314772124135E-3</v>
      </c>
      <c r="R311" s="3">
        <f t="shared" si="293"/>
        <v>2.0793314772123792E-3</v>
      </c>
      <c r="S311" s="3">
        <f t="shared" si="293"/>
        <v>2.0793314772120362E-3</v>
      </c>
      <c r="T311" s="3">
        <f t="shared" si="293"/>
        <v>2.0793314772086032E-3</v>
      </c>
      <c r="U311" s="3">
        <f t="shared" si="293"/>
        <v>2.0793314771742747E-3</v>
      </c>
      <c r="V311" s="3">
        <f t="shared" si="293"/>
        <v>2.0793314768309903E-3</v>
      </c>
      <c r="W311" s="3">
        <f t="shared" si="293"/>
        <v>2.079331473398149E-3</v>
      </c>
      <c r="X311" s="3">
        <f t="shared" si="293"/>
        <v>2.0793314390697352E-3</v>
      </c>
      <c r="Y311" s="3">
        <f t="shared" si="293"/>
        <v>2.0793310957856271E-3</v>
      </c>
      <c r="Z311" s="3">
        <f t="shared" si="293"/>
        <v>2.0793276629476605E-3</v>
      </c>
      <c r="AA311" s="3">
        <f t="shared" si="293"/>
        <v>2.0792933348797032E-3</v>
      </c>
      <c r="AB311" s="3">
        <f t="shared" si="293"/>
        <v>2.0789500853687056E-3</v>
      </c>
      <c r="AC311" s="3">
        <f t="shared" si="293"/>
        <v>2.07552070521332E-3</v>
      </c>
      <c r="AD311" s="3">
        <f t="shared" si="293"/>
        <v>2.0415365047347575E-3</v>
      </c>
      <c r="AE311" s="3">
        <f t="shared" si="293"/>
        <v>1.7308440811277873E-3</v>
      </c>
      <c r="AF311" s="3">
        <f t="shared" si="293"/>
        <v>3.3209774029580524E-4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2.538048611821601E-3</v>
      </c>
      <c r="C313" s="3">
        <f t="shared" si="295"/>
        <v>2.538048611821601E-3</v>
      </c>
      <c r="D313" s="3">
        <f t="shared" si="295"/>
        <v>2.538048611821601E-3</v>
      </c>
      <c r="E313" s="3">
        <f t="shared" si="295"/>
        <v>2.538048611821601E-3</v>
      </c>
      <c r="F313" s="3">
        <f t="shared" si="295"/>
        <v>2.538048611821601E-3</v>
      </c>
      <c r="G313" s="3">
        <f t="shared" si="295"/>
        <v>2.538048611821601E-3</v>
      </c>
      <c r="H313" s="3">
        <f t="shared" si="295"/>
        <v>2.538048611821601E-3</v>
      </c>
      <c r="I313" s="3">
        <f t="shared" si="295"/>
        <v>2.538048611821601E-3</v>
      </c>
      <c r="J313" s="3">
        <f t="shared" si="295"/>
        <v>2.538048611821601E-3</v>
      </c>
      <c r="K313" s="3">
        <f t="shared" si="295"/>
        <v>2.538048611821601E-3</v>
      </c>
      <c r="L313" s="3">
        <f t="shared" si="295"/>
        <v>2.538048611821601E-3</v>
      </c>
      <c r="M313" s="3">
        <f t="shared" si="295"/>
        <v>2.538048611821601E-3</v>
      </c>
      <c r="N313" s="3">
        <f t="shared" si="295"/>
        <v>2.538048611821601E-3</v>
      </c>
      <c r="O313" s="3">
        <f t="shared" si="295"/>
        <v>2.538048611821601E-3</v>
      </c>
      <c r="P313" s="3">
        <f t="shared" si="295"/>
        <v>2.538048611821601E-3</v>
      </c>
      <c r="Q313" s="3">
        <f t="shared" si="295"/>
        <v>2.538048611821601E-3</v>
      </c>
      <c r="R313" s="3">
        <f t="shared" si="295"/>
        <v>2.5380486118216005E-3</v>
      </c>
      <c r="S313" s="3">
        <f t="shared" si="295"/>
        <v>2.5380486118215962E-3</v>
      </c>
      <c r="T313" s="3">
        <f t="shared" si="295"/>
        <v>2.5380486118215546E-3</v>
      </c>
      <c r="U313" s="3">
        <f t="shared" si="295"/>
        <v>2.5380486118211356E-3</v>
      </c>
      <c r="V313" s="3">
        <f t="shared" si="295"/>
        <v>2.538048611816945E-3</v>
      </c>
      <c r="W313" s="3">
        <f t="shared" si="295"/>
        <v>2.5380486117750436E-3</v>
      </c>
      <c r="X313" s="3">
        <f t="shared" si="295"/>
        <v>2.5380486113560281E-3</v>
      </c>
      <c r="Y313" s="3">
        <f t="shared" si="295"/>
        <v>2.5380486071658746E-3</v>
      </c>
      <c r="Z313" s="3">
        <f t="shared" si="295"/>
        <v>2.5380485652643382E-3</v>
      </c>
      <c r="AA313" s="3">
        <f t="shared" si="295"/>
        <v>2.5380481462490135E-3</v>
      </c>
      <c r="AB313" s="3">
        <f t="shared" si="295"/>
        <v>2.5380439560995687E-3</v>
      </c>
      <c r="AC313" s="3">
        <f t="shared" si="295"/>
        <v>2.53800205498559E-3</v>
      </c>
      <c r="AD313" s="3">
        <f t="shared" si="295"/>
        <v>2.537583081890418E-3</v>
      </c>
      <c r="AE313" s="3">
        <f t="shared" si="295"/>
        <v>2.533397153077157E-3</v>
      </c>
      <c r="AF313" s="3">
        <f t="shared" si="295"/>
        <v>2.491915766490293E-3</v>
      </c>
      <c r="AG313" s="3"/>
      <c r="AH313" s="3"/>
    </row>
    <row r="314" spans="1:34" x14ac:dyDescent="0.25">
      <c r="B314" s="3">
        <f t="shared" ref="B314:AF314" si="296">$C44*EXP(-B$285/$A44/EXP(-$F$126))</f>
        <v>1.186723127453265E-7</v>
      </c>
      <c r="C314" s="3">
        <f t="shared" si="296"/>
        <v>1.186723127453265E-7</v>
      </c>
      <c r="D314" s="3">
        <f t="shared" si="296"/>
        <v>1.186723127453265E-7</v>
      </c>
      <c r="E314" s="3">
        <f t="shared" si="296"/>
        <v>1.186723127453265E-7</v>
      </c>
      <c r="F314" s="3">
        <f t="shared" si="296"/>
        <v>1.186723127453265E-7</v>
      </c>
      <c r="G314" s="3">
        <f t="shared" si="296"/>
        <v>1.186723127453265E-7</v>
      </c>
      <c r="H314" s="3">
        <f t="shared" si="296"/>
        <v>1.186723127453265E-7</v>
      </c>
      <c r="I314" s="3">
        <f t="shared" si="296"/>
        <v>1.186723127453265E-7</v>
      </c>
      <c r="J314" s="3">
        <f t="shared" si="296"/>
        <v>1.186723127453265E-7</v>
      </c>
      <c r="K314" s="3">
        <f t="shared" si="296"/>
        <v>1.186723127453265E-7</v>
      </c>
      <c r="L314" s="3">
        <f t="shared" si="296"/>
        <v>1.186723127453265E-7</v>
      </c>
      <c r="M314" s="3">
        <f t="shared" si="296"/>
        <v>1.186723127453265E-7</v>
      </c>
      <c r="N314" s="3">
        <f t="shared" si="296"/>
        <v>1.186723127453265E-7</v>
      </c>
      <c r="O314" s="3">
        <f t="shared" si="296"/>
        <v>1.186723127453265E-7</v>
      </c>
      <c r="P314" s="3">
        <f t="shared" si="296"/>
        <v>1.186723127453265E-7</v>
      </c>
      <c r="Q314" s="3">
        <f t="shared" si="296"/>
        <v>1.186723127453265E-7</v>
      </c>
      <c r="R314" s="3">
        <f t="shared" si="296"/>
        <v>1.186723127453265E-7</v>
      </c>
      <c r="S314" s="3">
        <f t="shared" si="296"/>
        <v>1.1867231274532647E-7</v>
      </c>
      <c r="T314" s="3">
        <f t="shared" si="296"/>
        <v>1.1867231274532627E-7</v>
      </c>
      <c r="U314" s="3">
        <f t="shared" si="296"/>
        <v>1.1867231274532433E-7</v>
      </c>
      <c r="V314" s="3">
        <f t="shared" si="296"/>
        <v>1.1867231274530473E-7</v>
      </c>
      <c r="W314" s="3">
        <f t="shared" si="296"/>
        <v>1.186723127451088E-7</v>
      </c>
      <c r="X314" s="3">
        <f t="shared" si="296"/>
        <v>1.186723127431496E-7</v>
      </c>
      <c r="Y314" s="3">
        <f t="shared" si="296"/>
        <v>1.1867231272355758E-7</v>
      </c>
      <c r="Z314" s="3">
        <f t="shared" si="296"/>
        <v>1.1867231252763728E-7</v>
      </c>
      <c r="AA314" s="3">
        <f t="shared" si="296"/>
        <v>1.1867231056843438E-7</v>
      </c>
      <c r="AB314" s="3">
        <f t="shared" si="296"/>
        <v>1.1867229097640708E-7</v>
      </c>
      <c r="AC314" s="3">
        <f t="shared" si="296"/>
        <v>1.1867209505631199E-7</v>
      </c>
      <c r="AD314" s="3">
        <f t="shared" si="296"/>
        <v>1.1867013587315085E-7</v>
      </c>
      <c r="AE314" s="3">
        <f t="shared" si="296"/>
        <v>1.1865054582040302E-7</v>
      </c>
      <c r="AF314" s="3">
        <f t="shared" si="296"/>
        <v>1.1845482307067189E-7</v>
      </c>
      <c r="AG314" s="3"/>
      <c r="AH314" s="3"/>
    </row>
    <row r="315" spans="1:34" x14ac:dyDescent="0.25">
      <c r="B315" s="3">
        <f t="shared" ref="B315:AF315" si="297">$C45*EXP(-B$285/$A45/EXP(-$F$126))</f>
        <v>1.5301760835243074E-4</v>
      </c>
      <c r="C315" s="3">
        <f t="shared" si="297"/>
        <v>1.5301760835243074E-4</v>
      </c>
      <c r="D315" s="3">
        <f t="shared" si="297"/>
        <v>1.5301760835243074E-4</v>
      </c>
      <c r="E315" s="3">
        <f t="shared" si="297"/>
        <v>1.5301760835243074E-4</v>
      </c>
      <c r="F315" s="3">
        <f t="shared" si="297"/>
        <v>1.5301760835243074E-4</v>
      </c>
      <c r="G315" s="3">
        <f t="shared" si="297"/>
        <v>1.5301760835243074E-4</v>
      </c>
      <c r="H315" s="3">
        <f t="shared" si="297"/>
        <v>1.5301760835243074E-4</v>
      </c>
      <c r="I315" s="3">
        <f t="shared" si="297"/>
        <v>1.5301760835243074E-4</v>
      </c>
      <c r="J315" s="3">
        <f t="shared" si="297"/>
        <v>1.5301760835243074E-4</v>
      </c>
      <c r="K315" s="3">
        <f t="shared" si="297"/>
        <v>1.5301760835243074E-4</v>
      </c>
      <c r="L315" s="3">
        <f t="shared" si="297"/>
        <v>1.5301760835243074E-4</v>
      </c>
      <c r="M315" s="3">
        <f t="shared" si="297"/>
        <v>1.5301760835243074E-4</v>
      </c>
      <c r="N315" s="3">
        <f t="shared" si="297"/>
        <v>1.5301760835243074E-4</v>
      </c>
      <c r="O315" s="3">
        <f t="shared" si="297"/>
        <v>1.5301760835243074E-4</v>
      </c>
      <c r="P315" s="3">
        <f t="shared" si="297"/>
        <v>1.5301760835243074E-4</v>
      </c>
      <c r="Q315" s="3">
        <f t="shared" si="297"/>
        <v>1.5301760835243074E-4</v>
      </c>
      <c r="R315" s="3">
        <f t="shared" si="297"/>
        <v>1.5301760835243074E-4</v>
      </c>
      <c r="S315" s="3">
        <f t="shared" si="297"/>
        <v>1.5301760835243074E-4</v>
      </c>
      <c r="T315" s="3">
        <f t="shared" si="297"/>
        <v>1.5301760835243072E-4</v>
      </c>
      <c r="U315" s="3">
        <f t="shared" si="297"/>
        <v>1.5301760835243045E-4</v>
      </c>
      <c r="V315" s="3">
        <f t="shared" si="297"/>
        <v>1.5301760835242795E-4</v>
      </c>
      <c r="W315" s="3">
        <f t="shared" si="297"/>
        <v>1.5301760835240269E-4</v>
      </c>
      <c r="X315" s="3">
        <f t="shared" si="297"/>
        <v>1.5301760835215004E-4</v>
      </c>
      <c r="Y315" s="3">
        <f t="shared" si="297"/>
        <v>1.5301760834962383E-4</v>
      </c>
      <c r="Z315" s="3">
        <f t="shared" si="297"/>
        <v>1.5301760832436162E-4</v>
      </c>
      <c r="AA315" s="3">
        <f t="shared" si="297"/>
        <v>1.5301760807173947E-4</v>
      </c>
      <c r="AB315" s="3">
        <f t="shared" si="297"/>
        <v>1.53017605545518E-4</v>
      </c>
      <c r="AC315" s="3">
        <f t="shared" si="297"/>
        <v>1.530175802833057E-4</v>
      </c>
      <c r="AD315" s="3">
        <f t="shared" si="297"/>
        <v>1.5301732766141198E-4</v>
      </c>
      <c r="AE315" s="3">
        <f t="shared" si="297"/>
        <v>1.5301480146541303E-4</v>
      </c>
      <c r="AF315" s="3">
        <f t="shared" si="297"/>
        <v>1.5298954179911325E-4</v>
      </c>
      <c r="AG315" s="3"/>
      <c r="AH315" s="3"/>
    </row>
    <row r="316" spans="1:34" x14ac:dyDescent="0.25">
      <c r="B316" s="3">
        <f t="shared" ref="B316:AF316" si="298">$C46*EXP(-B$285/$A46/EXP(-$F$126))</f>
        <v>1.8120582087099855E-4</v>
      </c>
      <c r="C316" s="3">
        <f t="shared" si="298"/>
        <v>1.8120582087099855E-4</v>
      </c>
      <c r="D316" s="3">
        <f t="shared" si="298"/>
        <v>1.8120582087099855E-4</v>
      </c>
      <c r="E316" s="3">
        <f t="shared" si="298"/>
        <v>1.8120582087099855E-4</v>
      </c>
      <c r="F316" s="3">
        <f t="shared" si="298"/>
        <v>1.8120582087099855E-4</v>
      </c>
      <c r="G316" s="3">
        <f t="shared" si="298"/>
        <v>1.8120582087099855E-4</v>
      </c>
      <c r="H316" s="3">
        <f t="shared" si="298"/>
        <v>1.8120582087099855E-4</v>
      </c>
      <c r="I316" s="3">
        <f t="shared" si="298"/>
        <v>1.8120582087099855E-4</v>
      </c>
      <c r="J316" s="3">
        <f t="shared" si="298"/>
        <v>1.8120582087099855E-4</v>
      </c>
      <c r="K316" s="3">
        <f t="shared" si="298"/>
        <v>1.8120582087099855E-4</v>
      </c>
      <c r="L316" s="3">
        <f t="shared" si="298"/>
        <v>1.8120582087099855E-4</v>
      </c>
      <c r="M316" s="3">
        <f t="shared" si="298"/>
        <v>1.8120582087099855E-4</v>
      </c>
      <c r="N316" s="3">
        <f t="shared" si="298"/>
        <v>1.8120582087099855E-4</v>
      </c>
      <c r="O316" s="3">
        <f t="shared" si="298"/>
        <v>1.8120582087099855E-4</v>
      </c>
      <c r="P316" s="3">
        <f t="shared" si="298"/>
        <v>1.8120582087099855E-4</v>
      </c>
      <c r="Q316" s="3">
        <f t="shared" si="298"/>
        <v>1.8120582087099855E-4</v>
      </c>
      <c r="R316" s="3">
        <f t="shared" si="298"/>
        <v>1.8120582087099855E-4</v>
      </c>
      <c r="S316" s="3">
        <f t="shared" si="298"/>
        <v>1.8120582087099855E-4</v>
      </c>
      <c r="T316" s="3">
        <f t="shared" si="298"/>
        <v>1.8120582087099855E-4</v>
      </c>
      <c r="U316" s="3">
        <f t="shared" si="298"/>
        <v>1.8120582087099852E-4</v>
      </c>
      <c r="V316" s="3">
        <f t="shared" si="298"/>
        <v>1.8120582087099819E-4</v>
      </c>
      <c r="W316" s="3">
        <f t="shared" si="298"/>
        <v>1.8120582087099524E-4</v>
      </c>
      <c r="X316" s="3">
        <f t="shared" si="298"/>
        <v>1.8120582087096531E-4</v>
      </c>
      <c r="Y316" s="3">
        <f t="shared" si="298"/>
        <v>1.8120582087066613E-4</v>
      </c>
      <c r="Z316" s="3">
        <f t="shared" si="298"/>
        <v>1.8120582086767454E-4</v>
      </c>
      <c r="AA316" s="3">
        <f t="shared" si="298"/>
        <v>1.8120582083775864E-4</v>
      </c>
      <c r="AB316" s="3">
        <f t="shared" si="298"/>
        <v>1.8120582053859959E-4</v>
      </c>
      <c r="AC316" s="3">
        <f t="shared" si="298"/>
        <v>1.8120581754700902E-4</v>
      </c>
      <c r="AD316" s="3">
        <f t="shared" si="298"/>
        <v>1.812057876311061E-4</v>
      </c>
      <c r="AE316" s="3">
        <f t="shared" si="298"/>
        <v>1.8120548847234838E-4</v>
      </c>
      <c r="AF316" s="3">
        <f t="shared" si="298"/>
        <v>1.812024969119352E-4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79">
        <f>AVERAGE(B319:AF319)</f>
        <v>0.1173012971774252</v>
      </c>
      <c r="B319" s="80">
        <f>IF($A$64&lt;=B285,IF($B$64&gt;=B285,ABS((B287-B286)/B286),0),0)</f>
        <v>8.7984658018477341E-3</v>
      </c>
      <c r="C319" s="80">
        <f t="shared" ref="C319:AF319" si="301">IF($A$64&lt;=C285,IF($B$64&gt;=C285,ABS((C287-C286)/C286),0),0)</f>
        <v>0.10749469180062217</v>
      </c>
      <c r="D319" s="80">
        <f t="shared" si="301"/>
        <v>0.12252685575895106</v>
      </c>
      <c r="E319" s="80">
        <f t="shared" si="301"/>
        <v>0.10690923878866071</v>
      </c>
      <c r="F319" s="80">
        <f t="shared" si="301"/>
        <v>8.9005842521385894E-2</v>
      </c>
      <c r="G319" s="80">
        <f t="shared" si="301"/>
        <v>6.9198972784742491E-2</v>
      </c>
      <c r="H319" s="80">
        <f t="shared" si="301"/>
        <v>4.7997607264379814E-2</v>
      </c>
      <c r="I319" s="80">
        <f t="shared" si="301"/>
        <v>4.1295108883856013E-2</v>
      </c>
      <c r="J319" s="80">
        <f t="shared" si="301"/>
        <v>5.7496916191120274E-2</v>
      </c>
      <c r="K319" s="80">
        <f t="shared" si="301"/>
        <v>6.0188131563126163E-2</v>
      </c>
      <c r="L319" s="80">
        <f t="shared" si="301"/>
        <v>7.3386273907281044E-2</v>
      </c>
      <c r="M319" s="80">
        <f t="shared" si="301"/>
        <v>7.659906182912718E-2</v>
      </c>
      <c r="N319" s="80">
        <f t="shared" si="301"/>
        <v>7.0588503537974343E-2</v>
      </c>
      <c r="O319" s="80">
        <f t="shared" si="301"/>
        <v>6.8471297162611383E-2</v>
      </c>
      <c r="P319" s="80">
        <f t="shared" si="301"/>
        <v>7.0889858777671802E-2</v>
      </c>
      <c r="Q319" s="80">
        <f t="shared" si="301"/>
        <v>6.8575659988537194E-2</v>
      </c>
      <c r="R319" s="80">
        <f t="shared" si="301"/>
        <v>4.7747906828573002E-2</v>
      </c>
      <c r="S319" s="80">
        <f t="shared" si="301"/>
        <v>3.6514510136296786E-2</v>
      </c>
      <c r="T319" s="80">
        <f t="shared" si="301"/>
        <v>0.17508921606519345</v>
      </c>
      <c r="U319" s="80">
        <f t="shared" si="301"/>
        <v>0.30790872150093229</v>
      </c>
      <c r="V319" s="80">
        <f t="shared" si="301"/>
        <v>0.39799730540348938</v>
      </c>
      <c r="W319" s="80">
        <f t="shared" si="301"/>
        <v>0.37191428937381638</v>
      </c>
      <c r="X319" s="80">
        <f t="shared" si="301"/>
        <v>0.21462678251661299</v>
      </c>
      <c r="Y319" s="80">
        <f t="shared" si="301"/>
        <v>1.1871652862036147E-2</v>
      </c>
      <c r="Z319" s="80">
        <f t="shared" si="301"/>
        <v>0.15139349112058204</v>
      </c>
      <c r="AA319" s="80">
        <f t="shared" si="301"/>
        <v>0.23310228910818845</v>
      </c>
      <c r="AB319" s="80">
        <f t="shared" si="301"/>
        <v>0.2265586253305171</v>
      </c>
      <c r="AC319" s="80">
        <f t="shared" si="301"/>
        <v>0.1467268970645759</v>
      </c>
      <c r="AD319" s="80">
        <f t="shared" si="301"/>
        <v>9.3763631231345221E-2</v>
      </c>
      <c r="AE319" s="80">
        <f t="shared" si="301"/>
        <v>4.552812866160158E-2</v>
      </c>
      <c r="AF319" s="80">
        <f t="shared" si="301"/>
        <v>3.6174278734525452E-2</v>
      </c>
    </row>
    <row r="320" spans="1:34" x14ac:dyDescent="0.25">
      <c r="B320" s="21">
        <f>(B287-B286)^2</f>
        <v>3622.4346195728876</v>
      </c>
      <c r="C320" s="21">
        <f t="shared" ref="C320:AF320" si="302">(C287-C286)^2</f>
        <v>510012.17106499121</v>
      </c>
      <c r="D320" s="21">
        <f t="shared" si="302"/>
        <v>639603.44883142039</v>
      </c>
      <c r="E320" s="21">
        <f t="shared" si="302"/>
        <v>470059.56111531955</v>
      </c>
      <c r="F320" s="21">
        <f t="shared" si="302"/>
        <v>313109.84315155982</v>
      </c>
      <c r="G320" s="21">
        <f t="shared" si="302"/>
        <v>181196.4024407088</v>
      </c>
      <c r="H320" s="21">
        <f t="shared" si="302"/>
        <v>82909.670402232863</v>
      </c>
      <c r="I320" s="21">
        <f t="shared" si="302"/>
        <v>58044.175189676753</v>
      </c>
      <c r="J320" s="21">
        <f t="shared" si="302"/>
        <v>105931.33943515386</v>
      </c>
      <c r="K320" s="21">
        <f t="shared" si="302"/>
        <v>109609.24600335865</v>
      </c>
      <c r="L320" s="21">
        <f t="shared" si="302"/>
        <v>152197.84175945073</v>
      </c>
      <c r="M320" s="21">
        <f t="shared" si="302"/>
        <v>152310.12298019408</v>
      </c>
      <c r="N320" s="21">
        <f t="shared" si="302"/>
        <v>117674.52904471141</v>
      </c>
      <c r="O320" s="21">
        <f t="shared" si="302"/>
        <v>101539.68789101212</v>
      </c>
      <c r="P320" s="21">
        <f t="shared" si="302"/>
        <v>100374.41074095003</v>
      </c>
      <c r="Q320" s="21">
        <f t="shared" si="302"/>
        <v>85660.724449021785</v>
      </c>
      <c r="R320" s="21">
        <f t="shared" si="302"/>
        <v>36055.497186283479</v>
      </c>
      <c r="S320" s="21">
        <f t="shared" si="302"/>
        <v>15829.805694984108</v>
      </c>
      <c r="T320" s="21">
        <f t="shared" si="302"/>
        <v>247150.48767570333</v>
      </c>
      <c r="U320" s="21">
        <f t="shared" si="302"/>
        <v>518496.1219049244</v>
      </c>
      <c r="V320" s="21">
        <f t="shared" si="302"/>
        <v>608719.7743716191</v>
      </c>
      <c r="W320" s="21">
        <f t="shared" si="302"/>
        <v>379466.53425147943</v>
      </c>
      <c r="X320" s="21">
        <f t="shared" si="302"/>
        <v>88644.701709049841</v>
      </c>
      <c r="Y320" s="21">
        <f t="shared" si="302"/>
        <v>176.8234208088802</v>
      </c>
      <c r="Z320" s="21">
        <f t="shared" si="302"/>
        <v>16532.342734279911</v>
      </c>
      <c r="AA320" s="21">
        <f t="shared" si="302"/>
        <v>19693.174870352879</v>
      </c>
      <c r="AB320" s="21">
        <f t="shared" si="302"/>
        <v>8821.0086202478451</v>
      </c>
      <c r="AC320" s="21">
        <f t="shared" si="302"/>
        <v>1896.0187432103733</v>
      </c>
      <c r="AD320" s="21">
        <f t="shared" si="302"/>
        <v>491.75140316901161</v>
      </c>
      <c r="AE320" s="21">
        <f t="shared" si="302"/>
        <v>88.515901745129113</v>
      </c>
      <c r="AF320" s="21">
        <f t="shared" si="302"/>
        <v>48.142355396618925</v>
      </c>
      <c r="AG320" s="3"/>
      <c r="AH320" s="3"/>
    </row>
    <row r="321" spans="1:34" x14ac:dyDescent="0.25">
      <c r="A321" s="71">
        <f>SUM(B321:AF321)</f>
        <v>5125966.3099625893</v>
      </c>
      <c r="B321" s="60">
        <f>IF($A$64&lt;=B285,IF($B$64&gt;=B285,ABS(B320),0),0)</f>
        <v>3622.4346195728876</v>
      </c>
      <c r="C321" s="60">
        <f t="shared" ref="C321" si="303">IF($A$64&lt;=C285,IF($B$64&gt;=C285,ABS(C320),0),0)</f>
        <v>510012.17106499121</v>
      </c>
      <c r="D321" s="60">
        <f t="shared" ref="D321" si="304">IF($A$64&lt;=D285,IF($B$64&gt;=D285,ABS(D320),0),0)</f>
        <v>639603.44883142039</v>
      </c>
      <c r="E321" s="60">
        <f t="shared" ref="E321" si="305">IF($A$64&lt;=E285,IF($B$64&gt;=E285,ABS(E320),0),0)</f>
        <v>470059.56111531955</v>
      </c>
      <c r="F321" s="60">
        <f t="shared" ref="F321" si="306">IF($A$64&lt;=F285,IF($B$64&gt;=F285,ABS(F320),0),0)</f>
        <v>313109.84315155982</v>
      </c>
      <c r="G321" s="60">
        <f t="shared" ref="G321" si="307">IF($A$64&lt;=G285,IF($B$64&gt;=G285,ABS(G320),0),0)</f>
        <v>181196.4024407088</v>
      </c>
      <c r="H321" s="60">
        <f t="shared" ref="H321" si="308">IF($A$64&lt;=H285,IF($B$64&gt;=H285,ABS(H320),0),0)</f>
        <v>82909.670402232863</v>
      </c>
      <c r="I321" s="60">
        <f t="shared" ref="I321" si="309">IF($A$64&lt;=I285,IF($B$64&gt;=I285,ABS(I320),0),0)</f>
        <v>58044.175189676753</v>
      </c>
      <c r="J321" s="60">
        <f t="shared" ref="J321" si="310">IF($A$64&lt;=J285,IF($B$64&gt;=J285,ABS(J320),0),0)</f>
        <v>105931.33943515386</v>
      </c>
      <c r="K321" s="60">
        <f t="shared" ref="K321" si="311">IF($A$64&lt;=K285,IF($B$64&gt;=K285,ABS(K320),0),0)</f>
        <v>109609.24600335865</v>
      </c>
      <c r="L321" s="60">
        <f t="shared" ref="L321" si="312">IF($A$64&lt;=L285,IF($B$64&gt;=L285,ABS(L320),0),0)</f>
        <v>152197.84175945073</v>
      </c>
      <c r="M321" s="60">
        <f t="shared" ref="M321" si="313">IF($A$64&lt;=M285,IF($B$64&gt;=M285,ABS(M320),0),0)</f>
        <v>152310.12298019408</v>
      </c>
      <c r="N321" s="60">
        <f t="shared" ref="N321" si="314">IF($A$64&lt;=N285,IF($B$64&gt;=N285,ABS(N320),0),0)</f>
        <v>117674.52904471141</v>
      </c>
      <c r="O321" s="60">
        <f t="shared" ref="O321" si="315">IF($A$64&lt;=O285,IF($B$64&gt;=O285,ABS(O320),0),0)</f>
        <v>101539.68789101212</v>
      </c>
      <c r="P321" s="60">
        <f t="shared" ref="P321" si="316">IF($A$64&lt;=P285,IF($B$64&gt;=P285,ABS(P320),0),0)</f>
        <v>100374.41074095003</v>
      </c>
      <c r="Q321" s="60">
        <f t="shared" ref="Q321" si="317">IF($A$64&lt;=Q285,IF($B$64&gt;=Q285,ABS(Q320),0),0)</f>
        <v>85660.724449021785</v>
      </c>
      <c r="R321" s="60">
        <f t="shared" ref="R321" si="318">IF($A$64&lt;=R285,IF($B$64&gt;=R285,ABS(R320),0),0)</f>
        <v>36055.497186283479</v>
      </c>
      <c r="S321" s="60">
        <f t="shared" ref="S321" si="319">IF($A$64&lt;=S285,IF($B$64&gt;=S285,ABS(S320),0),0)</f>
        <v>15829.805694984108</v>
      </c>
      <c r="T321" s="60">
        <f t="shared" ref="T321" si="320">IF($A$64&lt;=T285,IF($B$64&gt;=T285,ABS(T320),0),0)</f>
        <v>247150.48767570333</v>
      </c>
      <c r="U321" s="60">
        <f t="shared" ref="U321" si="321">IF($A$64&lt;=U285,IF($B$64&gt;=U285,ABS(U320),0),0)</f>
        <v>518496.1219049244</v>
      </c>
      <c r="V321" s="60">
        <f t="shared" ref="V321" si="322">IF($A$64&lt;=V285,IF($B$64&gt;=V285,ABS(V320),0),0)</f>
        <v>608719.7743716191</v>
      </c>
      <c r="W321" s="60">
        <f t="shared" ref="W321" si="323">IF($A$64&lt;=W285,IF($B$64&gt;=W285,ABS(W320),0),0)</f>
        <v>379466.53425147943</v>
      </c>
      <c r="X321" s="60">
        <f t="shared" ref="X321" si="324">IF($A$64&lt;=X285,IF($B$64&gt;=X285,ABS(X320),0),0)</f>
        <v>88644.701709049841</v>
      </c>
      <c r="Y321" s="60">
        <f t="shared" ref="Y321" si="325">IF($A$64&lt;=Y285,IF($B$64&gt;=Y285,ABS(Y320),0),0)</f>
        <v>176.8234208088802</v>
      </c>
      <c r="Z321" s="60">
        <f t="shared" ref="Z321" si="326">IF($A$64&lt;=Z285,IF($B$64&gt;=Z285,ABS(Z320),0),0)</f>
        <v>16532.342734279911</v>
      </c>
      <c r="AA321" s="60">
        <f t="shared" ref="AA321" si="327">IF($A$64&lt;=AA285,IF($B$64&gt;=AA285,ABS(AA320),0),0)</f>
        <v>19693.174870352879</v>
      </c>
      <c r="AB321" s="60">
        <f t="shared" ref="AB321" si="328">IF($A$64&lt;=AB285,IF($B$64&gt;=AB285,ABS(AB320),0),0)</f>
        <v>8821.0086202478451</v>
      </c>
      <c r="AC321" s="60">
        <f t="shared" ref="AC321" si="329">IF($A$64&lt;=AC285,IF($B$64&gt;=AC285,ABS(AC320),0),0)</f>
        <v>1896.0187432103733</v>
      </c>
      <c r="AD321" s="60">
        <f t="shared" ref="AD321" si="330">IF($A$64&lt;=AD285,IF($B$64&gt;=AD285,ABS(AD320),0),0)</f>
        <v>491.75140316901161</v>
      </c>
      <c r="AE321" s="60">
        <f t="shared" ref="AE321" si="331">IF($A$64&lt;=AE285,IF($B$64&gt;=AE285,ABS(AE320),0),0)</f>
        <v>88.515901745129113</v>
      </c>
      <c r="AF321" s="60">
        <f t="shared" ref="AF321" si="332">IF($A$64&lt;=AF285,IF($B$64&gt;=AF285,ABS(AF320),0),0)</f>
        <v>48.142355396618925</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5718.3516260377874</v>
      </c>
      <c r="C326" s="27">
        <f t="shared" ref="C326:AF326" si="333">($C$17+SUM(C327:C357))*$B$51</f>
        <v>5646.2252617446529</v>
      </c>
      <c r="D326" s="27">
        <f t="shared" si="333"/>
        <v>5379.9477494550765</v>
      </c>
      <c r="E326" s="27">
        <f t="shared" si="333"/>
        <v>5217.5837399962329</v>
      </c>
      <c r="F326" s="27">
        <f t="shared" si="333"/>
        <v>4983.9519524239595</v>
      </c>
      <c r="G326" s="27">
        <f t="shared" si="333"/>
        <v>4757.4361429237551</v>
      </c>
      <c r="H326" s="27">
        <f t="shared" si="333"/>
        <v>4564.7025931531225</v>
      </c>
      <c r="I326" s="27">
        <f t="shared" si="333"/>
        <v>4383.9675652074848</v>
      </c>
      <c r="J326" s="27">
        <f t="shared" si="333"/>
        <v>4202.5203252522797</v>
      </c>
      <c r="K326" s="27">
        <f t="shared" si="333"/>
        <v>4025.6065519044937</v>
      </c>
      <c r="L326" s="27">
        <f t="shared" si="333"/>
        <v>3842.62025490736</v>
      </c>
      <c r="M326" s="27">
        <f t="shared" si="333"/>
        <v>3635.9363401794467</v>
      </c>
      <c r="N326" s="27">
        <f t="shared" si="333"/>
        <v>3407.1722818984808</v>
      </c>
      <c r="O326" s="27">
        <f t="shared" si="333"/>
        <v>3143.2248271550106</v>
      </c>
      <c r="P326" s="27">
        <f t="shared" si="333"/>
        <v>2837.6999183258617</v>
      </c>
      <c r="Q326" s="27">
        <f t="shared" si="333"/>
        <v>2423.158094788073</v>
      </c>
      <c r="R326" s="27">
        <f t="shared" si="333"/>
        <v>1852.9736876472984</v>
      </c>
      <c r="S326" s="27">
        <f t="shared" si="333"/>
        <v>1266.9129426078732</v>
      </c>
      <c r="T326" s="27">
        <f t="shared" si="333"/>
        <v>807.09144195145939</v>
      </c>
      <c r="U326" s="27">
        <f t="shared" si="333"/>
        <v>508.23976751483667</v>
      </c>
      <c r="V326" s="27">
        <f t="shared" si="333"/>
        <v>343.70356072623309</v>
      </c>
      <c r="W326" s="27">
        <f t="shared" si="333"/>
        <v>262.55200038495985</v>
      </c>
      <c r="X326" s="27">
        <f t="shared" si="333"/>
        <v>222.79926991187503</v>
      </c>
      <c r="Y326" s="27">
        <f t="shared" si="333"/>
        <v>201.2447808468624</v>
      </c>
      <c r="Z326" s="27">
        <f t="shared" si="333"/>
        <v>187.98964566276308</v>
      </c>
      <c r="AA326" s="27">
        <f t="shared" si="333"/>
        <v>181.16425040191245</v>
      </c>
      <c r="AB326" s="27">
        <f t="shared" si="333"/>
        <v>171.57714050779475</v>
      </c>
      <c r="AC326" s="27">
        <f t="shared" si="333"/>
        <v>165.00654688655513</v>
      </c>
      <c r="AD326" s="27">
        <f t="shared" si="333"/>
        <v>164.31926927241011</v>
      </c>
      <c r="AE326" s="27">
        <f t="shared" si="333"/>
        <v>163.24573628020883</v>
      </c>
      <c r="AF326" s="27">
        <f t="shared" si="333"/>
        <v>162.78399656862885</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4.7503014045189557E-2</v>
      </c>
      <c r="C328" s="3">
        <f t="shared" si="335"/>
        <v>3.7640400337082956E-2</v>
      </c>
      <c r="D328" s="3">
        <f t="shared" si="335"/>
        <v>3.6726953877963949E-3</v>
      </c>
      <c r="E328" s="3">
        <f t="shared" si="335"/>
        <v>2.8727092106688107E-13</v>
      </c>
      <c r="F328" s="3">
        <f t="shared" si="335"/>
        <v>2.4624036119233282E-114</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1.8047191012009581E-2</v>
      </c>
      <c r="C329" s="3">
        <f t="shared" si="336"/>
        <v>1.7672278085610327E-2</v>
      </c>
      <c r="D329" s="3">
        <f t="shared" si="336"/>
        <v>1.4325894739813536E-2</v>
      </c>
      <c r="E329" s="3">
        <f t="shared" si="336"/>
        <v>1.7555530017723611E-3</v>
      </c>
      <c r="F329" s="3">
        <f t="shared" si="336"/>
        <v>1.3407130755069654E-12</v>
      </c>
      <c r="G329" s="3">
        <f t="shared" si="336"/>
        <v>9.048046766060908E-104</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3.754522485428495E-2</v>
      </c>
      <c r="C330" s="3">
        <f t="shared" si="337"/>
        <v>3.7474191632799608E-2</v>
      </c>
      <c r="D330" s="3">
        <f t="shared" si="337"/>
        <v>3.677120909677839E-2</v>
      </c>
      <c r="E330" s="3">
        <f t="shared" si="337"/>
        <v>3.042736058862653E-2</v>
      </c>
      <c r="F330" s="3">
        <f t="shared" si="337"/>
        <v>4.5796046722831833E-3</v>
      </c>
      <c r="G330" s="3">
        <f t="shared" si="337"/>
        <v>2.7319017415584859E-11</v>
      </c>
      <c r="H330" s="3">
        <f t="shared" si="337"/>
        <v>1.5589634282201743E-93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3.4654804540273552E-2</v>
      </c>
      <c r="C331" s="3">
        <f t="shared" si="338"/>
        <v>3.4648884960131181E-2</v>
      </c>
      <c r="D331" s="3">
        <f t="shared" si="338"/>
        <v>3.4589744743822856E-2</v>
      </c>
      <c r="E331" s="3">
        <f t="shared" si="338"/>
        <v>3.4003866118470574E-2</v>
      </c>
      <c r="F331" s="3">
        <f t="shared" si="338"/>
        <v>2.8664059858296464E-2</v>
      </c>
      <c r="G331" s="3">
        <f t="shared" si="338"/>
        <v>5.1931605231783969E-3</v>
      </c>
      <c r="H331" s="3">
        <f t="shared" si="338"/>
        <v>1.9786646587780942E-10</v>
      </c>
      <c r="I331" s="3">
        <f t="shared" si="338"/>
        <v>1.2757826587784273E-84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2.8039925655242423E-2</v>
      </c>
      <c r="C332" s="3">
        <f t="shared" si="339"/>
        <v>2.8039493554862498E-2</v>
      </c>
      <c r="D332" s="3">
        <f t="shared" si="339"/>
        <v>2.8035172917277331E-2</v>
      </c>
      <c r="E332" s="3">
        <f t="shared" si="339"/>
        <v>2.799200314196252E-2</v>
      </c>
      <c r="F332" s="3">
        <f t="shared" si="339"/>
        <v>2.7563944659306488E-2</v>
      </c>
      <c r="G332" s="3">
        <f t="shared" si="339"/>
        <v>2.3627364438824214E-2</v>
      </c>
      <c r="H332" s="3">
        <f t="shared" si="339"/>
        <v>5.0600451038209683E-3</v>
      </c>
      <c r="I332" s="3">
        <f t="shared" si="339"/>
        <v>1.0269409392087131E-9</v>
      </c>
      <c r="J332" s="3">
        <f t="shared" si="339"/>
        <v>1.217464373811274E-76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2.6812371588788114E-2</v>
      </c>
      <c r="C333" s="3">
        <f t="shared" si="340"/>
        <v>2.6812334315933498E-2</v>
      </c>
      <c r="D333" s="3">
        <f t="shared" si="340"/>
        <v>2.6811961590237146E-2</v>
      </c>
      <c r="E333" s="3">
        <f t="shared" si="340"/>
        <v>2.6808234618236695E-2</v>
      </c>
      <c r="F333" s="3">
        <f t="shared" si="340"/>
        <v>2.6770993379890185E-2</v>
      </c>
      <c r="G333" s="3">
        <f t="shared" si="340"/>
        <v>2.6401414566976967E-2</v>
      </c>
      <c r="H333" s="3">
        <f t="shared" si="340"/>
        <v>2.2974935270020674E-2</v>
      </c>
      <c r="I333" s="3">
        <f t="shared" si="340"/>
        <v>5.7217027869689383E-3</v>
      </c>
      <c r="J333" s="3">
        <f t="shared" si="340"/>
        <v>5.2509184911866468E-9</v>
      </c>
      <c r="K333" s="3">
        <f t="shared" si="340"/>
        <v>2.2250260442635543E-69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2.7632018182131932E-2</v>
      </c>
      <c r="C334" s="3">
        <f t="shared" si="341"/>
        <v>2.7632014717022962E-2</v>
      </c>
      <c r="D334" s="3">
        <f t="shared" si="341"/>
        <v>2.7631980065957119E-2</v>
      </c>
      <c r="E334" s="3">
        <f t="shared" si="341"/>
        <v>2.7631633557688613E-2</v>
      </c>
      <c r="F334" s="3">
        <f t="shared" si="341"/>
        <v>2.7628168713983561E-2</v>
      </c>
      <c r="G334" s="3">
        <f t="shared" si="341"/>
        <v>2.7593544163847957E-2</v>
      </c>
      <c r="H334" s="3">
        <f t="shared" si="341"/>
        <v>2.7249676307840209E-2</v>
      </c>
      <c r="I334" s="3">
        <f t="shared" si="341"/>
        <v>2.4038090686265105E-2</v>
      </c>
      <c r="J334" s="3">
        <f t="shared" si="341"/>
        <v>6.859400870875396E-3</v>
      </c>
      <c r="K334" s="3">
        <f t="shared" si="341"/>
        <v>2.4555474689834147E-8</v>
      </c>
      <c r="L334" s="3">
        <f t="shared" si="341"/>
        <v>8.4873054433161175E-63</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2.5920837874573655E-2</v>
      </c>
      <c r="C335" s="3">
        <f t="shared" si="342"/>
        <v>2.5920837581349367E-2</v>
      </c>
      <c r="D335" s="3">
        <f t="shared" si="342"/>
        <v>2.5920834649106654E-2</v>
      </c>
      <c r="E335" s="3">
        <f t="shared" si="342"/>
        <v>2.5920805326697768E-2</v>
      </c>
      <c r="F335" s="3">
        <f t="shared" si="342"/>
        <v>2.5920512104433267E-2</v>
      </c>
      <c r="G335" s="3">
        <f t="shared" si="342"/>
        <v>2.5917580064217065E-2</v>
      </c>
      <c r="H335" s="3">
        <f t="shared" si="342"/>
        <v>2.5888277897299441E-2</v>
      </c>
      <c r="I335" s="3">
        <f t="shared" si="342"/>
        <v>2.5597072143148662E-2</v>
      </c>
      <c r="J335" s="3">
        <f t="shared" si="342"/>
        <v>2.2859230050696219E-2</v>
      </c>
      <c r="K335" s="3">
        <f t="shared" si="342"/>
        <v>7.3752145154024626E-3</v>
      </c>
      <c r="L335" s="3">
        <f t="shared" si="342"/>
        <v>9.0137444426114063E-8</v>
      </c>
      <c r="M335" s="3">
        <f t="shared" si="342"/>
        <v>6.7021027495011149E-57</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2.7391939905667195E-2</v>
      </c>
      <c r="C336" s="3">
        <f t="shared" si="343"/>
        <v>2.7391939877714721E-2</v>
      </c>
      <c r="D336" s="3">
        <f t="shared" si="343"/>
        <v>2.7391939598189956E-2</v>
      </c>
      <c r="E336" s="3">
        <f t="shared" si="343"/>
        <v>2.7391936802942482E-2</v>
      </c>
      <c r="F336" s="3">
        <f t="shared" si="343"/>
        <v>2.739190885048344E-2</v>
      </c>
      <c r="G336" s="3">
        <f t="shared" si="343"/>
        <v>2.7391629327461853E-2</v>
      </c>
      <c r="H336" s="3">
        <f t="shared" si="343"/>
        <v>2.738883425412407E-2</v>
      </c>
      <c r="I336" s="3">
        <f t="shared" si="343"/>
        <v>2.7360899202632398E-2</v>
      </c>
      <c r="J336" s="3">
        <f t="shared" si="343"/>
        <v>2.7083110971428275E-2</v>
      </c>
      <c r="K336" s="3">
        <f t="shared" si="343"/>
        <v>2.4455715866488557E-2</v>
      </c>
      <c r="L336" s="3">
        <f t="shared" si="343"/>
        <v>8.8145204064634542E-3</v>
      </c>
      <c r="M336" s="3">
        <f t="shared" si="343"/>
        <v>3.2612325102246495E-7</v>
      </c>
      <c r="N336" s="3">
        <f t="shared" si="343"/>
        <v>1.5675179324026249E-51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3.2565476840068032E-2</v>
      </c>
      <c r="C337" s="3">
        <f t="shared" si="344"/>
        <v>3.2565476837070242E-2</v>
      </c>
      <c r="D337" s="3">
        <f t="shared" si="344"/>
        <v>3.256547680709232E-2</v>
      </c>
      <c r="E337" s="3">
        <f t="shared" si="344"/>
        <v>3.256547650731309E-2</v>
      </c>
      <c r="F337" s="3">
        <f t="shared" si="344"/>
        <v>3.2565473509521006E-2</v>
      </c>
      <c r="G337" s="3">
        <f t="shared" si="344"/>
        <v>3.2565443531615341E-2</v>
      </c>
      <c r="H337" s="3">
        <f t="shared" si="344"/>
        <v>3.2565143754076403E-2</v>
      </c>
      <c r="I337" s="3">
        <f t="shared" si="344"/>
        <v>3.2562146130459171E-2</v>
      </c>
      <c r="J337" s="3">
        <f t="shared" si="344"/>
        <v>3.2532185066326443E-2</v>
      </c>
      <c r="K337" s="3">
        <f t="shared" si="344"/>
        <v>3.2234086474051321E-2</v>
      </c>
      <c r="L337" s="3">
        <f t="shared" si="344"/>
        <v>2.9399279768534316E-2</v>
      </c>
      <c r="M337" s="3">
        <f t="shared" si="344"/>
        <v>1.1709812343888735E-2</v>
      </c>
      <c r="N337" s="3">
        <f t="shared" si="344"/>
        <v>1.1767450436128122E-6</v>
      </c>
      <c r="O337" s="3">
        <f t="shared" si="344"/>
        <v>1.2359667915231058E-46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3.419837998998361E-2</v>
      </c>
      <c r="C338" s="3">
        <f t="shared" si="345"/>
        <v>3.4198379989699629E-2</v>
      </c>
      <c r="D338" s="3">
        <f t="shared" si="345"/>
        <v>3.4198379986859768E-2</v>
      </c>
      <c r="E338" s="3">
        <f t="shared" si="345"/>
        <v>3.4198379958461221E-2</v>
      </c>
      <c r="F338" s="3">
        <f t="shared" si="345"/>
        <v>3.4198379674475692E-2</v>
      </c>
      <c r="G338" s="3">
        <f t="shared" si="345"/>
        <v>3.4198376834620507E-2</v>
      </c>
      <c r="H338" s="3">
        <f t="shared" si="345"/>
        <v>3.419834843608166E-2</v>
      </c>
      <c r="I338" s="3">
        <f t="shared" si="345"/>
        <v>3.4198064451990216E-2</v>
      </c>
      <c r="J338" s="3">
        <f t="shared" si="345"/>
        <v>3.419522474077423E-2</v>
      </c>
      <c r="K338" s="3">
        <f t="shared" si="345"/>
        <v>3.4166840594474508E-2</v>
      </c>
      <c r="L338" s="3">
        <f t="shared" si="345"/>
        <v>3.3884291742561544E-2</v>
      </c>
      <c r="M338" s="3">
        <f t="shared" si="345"/>
        <v>3.1184179459591014E-2</v>
      </c>
      <c r="N338" s="3">
        <f t="shared" si="345"/>
        <v>1.3592314299959022E-2</v>
      </c>
      <c r="O338" s="3">
        <f t="shared" si="345"/>
        <v>3.3642191674520298E-6</v>
      </c>
      <c r="P338" s="3">
        <f t="shared" si="345"/>
        <v>2.9026388665170292E-42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4.2864410475856686E-2</v>
      </c>
      <c r="C339" s="3">
        <f t="shared" si="346"/>
        <v>4.2864410475824573E-2</v>
      </c>
      <c r="D339" s="3">
        <f t="shared" si="346"/>
        <v>4.2864410475503482E-2</v>
      </c>
      <c r="E339" s="3">
        <f t="shared" si="346"/>
        <v>4.2864410472292523E-2</v>
      </c>
      <c r="F339" s="3">
        <f t="shared" si="346"/>
        <v>4.2864410440182979E-2</v>
      </c>
      <c r="G339" s="3">
        <f t="shared" si="346"/>
        <v>4.2864410119087551E-2</v>
      </c>
      <c r="H339" s="3">
        <f t="shared" si="346"/>
        <v>4.2864406908133368E-2</v>
      </c>
      <c r="I339" s="3">
        <f t="shared" si="346"/>
        <v>4.286437479860479E-2</v>
      </c>
      <c r="J339" s="3">
        <f t="shared" si="346"/>
        <v>4.2864053704641886E-2</v>
      </c>
      <c r="K339" s="3">
        <f t="shared" si="346"/>
        <v>4.2860842897300945E-2</v>
      </c>
      <c r="L339" s="3">
        <f t="shared" si="346"/>
        <v>4.2828748049033832E-2</v>
      </c>
      <c r="M339" s="3">
        <f t="shared" si="346"/>
        <v>4.2509118422370748E-2</v>
      </c>
      <c r="N339" s="3">
        <f t="shared" si="346"/>
        <v>3.9441124436185478E-2</v>
      </c>
      <c r="O339" s="3">
        <f t="shared" si="346"/>
        <v>1.8647524315187691E-2</v>
      </c>
      <c r="P339" s="3">
        <f t="shared" si="346"/>
        <v>1.0407349152623777E-5</v>
      </c>
      <c r="Q339" s="3">
        <f t="shared" si="346"/>
        <v>3.0516136699110165E-38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4.3714566142705462E-2</v>
      </c>
      <c r="C340" s="3">
        <f t="shared" si="347"/>
        <v>4.3714566142702513E-2</v>
      </c>
      <c r="D340" s="3">
        <f t="shared" si="347"/>
        <v>4.3714566142672974E-2</v>
      </c>
      <c r="E340" s="3">
        <f t="shared" si="347"/>
        <v>4.3714566142377571E-2</v>
      </c>
      <c r="F340" s="3">
        <f t="shared" si="347"/>
        <v>4.371456613942358E-2</v>
      </c>
      <c r="G340" s="3">
        <f t="shared" si="347"/>
        <v>4.3714566109883606E-2</v>
      </c>
      <c r="H340" s="3">
        <f t="shared" si="347"/>
        <v>4.3714565814483915E-2</v>
      </c>
      <c r="I340" s="3">
        <f t="shared" si="347"/>
        <v>4.3714562860487131E-2</v>
      </c>
      <c r="J340" s="3">
        <f t="shared" si="347"/>
        <v>4.3714533320530241E-2</v>
      </c>
      <c r="K340" s="3">
        <f t="shared" si="347"/>
        <v>4.3714237922059196E-2</v>
      </c>
      <c r="L340" s="3">
        <f t="shared" si="347"/>
        <v>4.3711284047134195E-2</v>
      </c>
      <c r="M340" s="3">
        <f t="shared" si="347"/>
        <v>4.3681756273678131E-2</v>
      </c>
      <c r="N340" s="3">
        <f t="shared" si="347"/>
        <v>4.3387573379231548E-2</v>
      </c>
      <c r="O340" s="3">
        <f t="shared" si="347"/>
        <v>4.0552539834715635E-2</v>
      </c>
      <c r="P340" s="3">
        <f t="shared" si="347"/>
        <v>2.0632176459747756E-2</v>
      </c>
      <c r="Q340" s="3">
        <f t="shared" si="347"/>
        <v>2.3978106395031796E-5</v>
      </c>
      <c r="R340" s="3">
        <f t="shared" si="347"/>
        <v>1.0777382007403994E-34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7.7757179566671483E-2</v>
      </c>
      <c r="C341" s="3">
        <f t="shared" si="348"/>
        <v>7.7757179566671011E-2</v>
      </c>
      <c r="D341" s="3">
        <f t="shared" si="348"/>
        <v>7.7757179566666279E-2</v>
      </c>
      <c r="E341" s="3">
        <f t="shared" si="348"/>
        <v>7.7757179566618873E-2</v>
      </c>
      <c r="F341" s="3">
        <f t="shared" si="348"/>
        <v>7.7757179566144877E-2</v>
      </c>
      <c r="G341" s="3">
        <f t="shared" si="348"/>
        <v>7.775717956140496E-2</v>
      </c>
      <c r="H341" s="3">
        <f t="shared" si="348"/>
        <v>7.7757179514005764E-2</v>
      </c>
      <c r="I341" s="3">
        <f t="shared" si="348"/>
        <v>7.7757179040013835E-2</v>
      </c>
      <c r="J341" s="3">
        <f t="shared" si="348"/>
        <v>7.7757174300094642E-2</v>
      </c>
      <c r="K341" s="3">
        <f t="shared" si="348"/>
        <v>7.7757126900918558E-2</v>
      </c>
      <c r="L341" s="3">
        <f t="shared" si="348"/>
        <v>7.7756652910746932E-2</v>
      </c>
      <c r="M341" s="3">
        <f t="shared" si="348"/>
        <v>7.7751913167941306E-2</v>
      </c>
      <c r="N341" s="3">
        <f t="shared" si="348"/>
        <v>7.7704531627374368E-2</v>
      </c>
      <c r="O341" s="3">
        <f t="shared" si="348"/>
        <v>7.7232301393121927E-2</v>
      </c>
      <c r="P341" s="3">
        <f t="shared" si="348"/>
        <v>7.2664998474346709E-2</v>
      </c>
      <c r="Q341" s="3">
        <f t="shared" si="348"/>
        <v>3.9499190357459794E-2</v>
      </c>
      <c r="R341" s="3">
        <f t="shared" si="348"/>
        <v>8.8964643499424452E-5</v>
      </c>
      <c r="S341" s="3">
        <f t="shared" si="348"/>
        <v>2.9888900122277784E-31</v>
      </c>
      <c r="T341" s="3">
        <f t="shared" si="348"/>
        <v>5.4756394511535402E-296</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9.5507274749383003E-2</v>
      </c>
      <c r="C342" s="3">
        <f t="shared" si="349"/>
        <v>9.5507274749382948E-2</v>
      </c>
      <c r="D342" s="3">
        <f t="shared" si="349"/>
        <v>9.5507274749382434E-2</v>
      </c>
      <c r="E342" s="3">
        <f t="shared" si="349"/>
        <v>9.5507274749377188E-2</v>
      </c>
      <c r="F342" s="3">
        <f t="shared" si="349"/>
        <v>9.5507274749324661E-2</v>
      </c>
      <c r="G342" s="3">
        <f t="shared" si="349"/>
        <v>9.5507274748799484E-2</v>
      </c>
      <c r="H342" s="3">
        <f t="shared" si="349"/>
        <v>9.5507274743547615E-2</v>
      </c>
      <c r="I342" s="3">
        <f t="shared" si="349"/>
        <v>9.5507274691028973E-2</v>
      </c>
      <c r="J342" s="3">
        <f t="shared" si="349"/>
        <v>9.5507274165842537E-2</v>
      </c>
      <c r="K342" s="3">
        <f t="shared" si="349"/>
        <v>9.5507268913978371E-2</v>
      </c>
      <c r="L342" s="3">
        <f t="shared" si="349"/>
        <v>9.5507216395352701E-2</v>
      </c>
      <c r="M342" s="3">
        <f t="shared" si="349"/>
        <v>9.5506691210684239E-2</v>
      </c>
      <c r="N342" s="3">
        <f t="shared" si="349"/>
        <v>9.5501439522833659E-2</v>
      </c>
      <c r="O342" s="3">
        <f t="shared" si="349"/>
        <v>9.5448938524494542E-2</v>
      </c>
      <c r="P342" s="3">
        <f t="shared" si="349"/>
        <v>9.4925513331550318E-2</v>
      </c>
      <c r="Q342" s="3">
        <f t="shared" si="349"/>
        <v>8.9846562912437172E-2</v>
      </c>
      <c r="R342" s="3">
        <f t="shared" si="349"/>
        <v>5.1842579467629164E-2</v>
      </c>
      <c r="S342" s="3">
        <f t="shared" si="349"/>
        <v>2.120986697591265E-4</v>
      </c>
      <c r="T342" s="3">
        <f t="shared" si="349"/>
        <v>2.7864507494365092E-28</v>
      </c>
      <c r="U342" s="3">
        <f t="shared" si="349"/>
        <v>4.2676189716831232E-267</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8.003075559639232E-2</v>
      </c>
      <c r="C343" s="3">
        <f t="shared" si="350"/>
        <v>8.003075559639232E-2</v>
      </c>
      <c r="D343" s="3">
        <f t="shared" si="350"/>
        <v>8.0030755596392278E-2</v>
      </c>
      <c r="E343" s="3">
        <f t="shared" si="350"/>
        <v>8.0030755596391875E-2</v>
      </c>
      <c r="F343" s="3">
        <f t="shared" si="350"/>
        <v>8.0030755596387906E-2</v>
      </c>
      <c r="G343" s="3">
        <f t="shared" si="350"/>
        <v>8.0030755596348216E-2</v>
      </c>
      <c r="H343" s="3">
        <f t="shared" si="350"/>
        <v>8.0030755595951228E-2</v>
      </c>
      <c r="I343" s="3">
        <f t="shared" si="350"/>
        <v>8.0030755591981306E-2</v>
      </c>
      <c r="J343" s="3">
        <f t="shared" si="350"/>
        <v>8.0030755552282215E-2</v>
      </c>
      <c r="K343" s="3">
        <f t="shared" si="350"/>
        <v>8.0030755155291317E-2</v>
      </c>
      <c r="L343" s="3">
        <f t="shared" si="350"/>
        <v>8.0030751185382415E-2</v>
      </c>
      <c r="M343" s="3">
        <f t="shared" si="350"/>
        <v>8.0030711486304237E-2</v>
      </c>
      <c r="N343" s="3">
        <f t="shared" si="350"/>
        <v>8.0030314496605567E-2</v>
      </c>
      <c r="O343" s="3">
        <f t="shared" si="350"/>
        <v>8.0026344707926245E-2</v>
      </c>
      <c r="P343" s="3">
        <f t="shared" si="350"/>
        <v>7.9986657649882761E-2</v>
      </c>
      <c r="Q343" s="3">
        <f t="shared" si="350"/>
        <v>7.9590867959574055E-2</v>
      </c>
      <c r="R343" s="3">
        <f t="shared" si="350"/>
        <v>7.5739102275626524E-2</v>
      </c>
      <c r="S343" s="3">
        <f t="shared" si="350"/>
        <v>4.6119997683797084E-2</v>
      </c>
      <c r="T343" s="3">
        <f t="shared" si="350"/>
        <v>3.2328124730374055E-4</v>
      </c>
      <c r="U343" s="3">
        <f t="shared" si="350"/>
        <v>9.2574819839365011E-26</v>
      </c>
      <c r="V343" s="3">
        <f t="shared" si="350"/>
        <v>3.4325470617675502E-241</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5.3976889971713508E-2</v>
      </c>
      <c r="C344" s="3">
        <f t="shared" si="351"/>
        <v>5.3976889971713508E-2</v>
      </c>
      <c r="D344" s="3">
        <f t="shared" si="351"/>
        <v>5.3976889971713508E-2</v>
      </c>
      <c r="E344" s="3">
        <f t="shared" si="351"/>
        <v>5.3976889971713488E-2</v>
      </c>
      <c r="F344" s="3">
        <f t="shared" si="351"/>
        <v>5.3976889971713238E-2</v>
      </c>
      <c r="G344" s="3">
        <f t="shared" si="351"/>
        <v>5.3976889971710823E-2</v>
      </c>
      <c r="H344" s="3">
        <f t="shared" si="351"/>
        <v>5.3976889971686676E-2</v>
      </c>
      <c r="I344" s="3">
        <f t="shared" si="351"/>
        <v>5.397688997144514E-2</v>
      </c>
      <c r="J344" s="3">
        <f t="shared" si="351"/>
        <v>5.3976889969029801E-2</v>
      </c>
      <c r="K344" s="3">
        <f t="shared" si="351"/>
        <v>5.3976889944876413E-2</v>
      </c>
      <c r="L344" s="3">
        <f t="shared" si="351"/>
        <v>5.3976889703342516E-2</v>
      </c>
      <c r="M344" s="3">
        <f t="shared" si="351"/>
        <v>5.3976887288003629E-2</v>
      </c>
      <c r="N344" s="3">
        <f t="shared" si="351"/>
        <v>5.397686313462069E-2</v>
      </c>
      <c r="O344" s="3">
        <f t="shared" si="351"/>
        <v>5.3976621601385756E-2</v>
      </c>
      <c r="P344" s="3">
        <f t="shared" si="351"/>
        <v>5.3974206328479782E-2</v>
      </c>
      <c r="Q344" s="3">
        <f t="shared" si="351"/>
        <v>5.395005954276736E-2</v>
      </c>
      <c r="R344" s="3">
        <f t="shared" si="351"/>
        <v>5.3709185037535474E-2</v>
      </c>
      <c r="S344" s="3">
        <f t="shared" si="351"/>
        <v>5.1358804431396274E-2</v>
      </c>
      <c r="T344" s="3">
        <f t="shared" si="351"/>
        <v>3.2830563179525082E-2</v>
      </c>
      <c r="U344" s="3">
        <f t="shared" si="351"/>
        <v>3.7403531330004779E-4</v>
      </c>
      <c r="V344" s="3">
        <f t="shared" si="351"/>
        <v>1.378019443233198E-23</v>
      </c>
      <c r="W344" s="3">
        <f t="shared" si="351"/>
        <v>6.3486696945666042E-218</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2.9623895965477303E-2</v>
      </c>
      <c r="C345" s="3">
        <f t="shared" si="352"/>
        <v>2.9623895965477303E-2</v>
      </c>
      <c r="D345" s="3">
        <f t="shared" si="352"/>
        <v>2.9623895965477303E-2</v>
      </c>
      <c r="E345" s="3">
        <f t="shared" si="352"/>
        <v>2.9623895965477303E-2</v>
      </c>
      <c r="F345" s="3">
        <f t="shared" si="352"/>
        <v>2.9623895965477289E-2</v>
      </c>
      <c r="G345" s="3">
        <f t="shared" si="352"/>
        <v>2.9623895965477171E-2</v>
      </c>
      <c r="H345" s="3">
        <f t="shared" si="352"/>
        <v>2.9623895965475974E-2</v>
      </c>
      <c r="I345" s="3">
        <f t="shared" si="352"/>
        <v>2.9623895965464015E-2</v>
      </c>
      <c r="J345" s="3">
        <f t="shared" si="352"/>
        <v>2.9623895965344437E-2</v>
      </c>
      <c r="K345" s="3">
        <f t="shared" si="352"/>
        <v>2.9623895964148633E-2</v>
      </c>
      <c r="L345" s="3">
        <f t="shared" si="352"/>
        <v>2.9623895952190622E-2</v>
      </c>
      <c r="M345" s="3">
        <f t="shared" si="352"/>
        <v>2.9623895832610502E-2</v>
      </c>
      <c r="N345" s="3">
        <f t="shared" si="352"/>
        <v>2.9623894636809311E-2</v>
      </c>
      <c r="O345" s="3">
        <f t="shared" si="352"/>
        <v>2.9623882678800045E-2</v>
      </c>
      <c r="P345" s="3">
        <f t="shared" si="352"/>
        <v>2.9623763098972911E-2</v>
      </c>
      <c r="Q345" s="3">
        <f t="shared" si="352"/>
        <v>2.9622567327249535E-2</v>
      </c>
      <c r="R345" s="3">
        <f t="shared" si="352"/>
        <v>2.9610612264416147E-2</v>
      </c>
      <c r="S345" s="3">
        <f t="shared" si="352"/>
        <v>2.9491326680101831E-2</v>
      </c>
      <c r="T345" s="3">
        <f t="shared" si="352"/>
        <v>2.8324583621373807E-2</v>
      </c>
      <c r="U345" s="3">
        <f t="shared" si="352"/>
        <v>1.8917153096360325E-2</v>
      </c>
      <c r="V345" s="3">
        <f t="shared" si="352"/>
        <v>3.3402442201389842E-4</v>
      </c>
      <c r="W345" s="3">
        <f t="shared" si="352"/>
        <v>9.8401710315421009E-22</v>
      </c>
      <c r="X345" s="3">
        <f t="shared" si="352"/>
        <v>4.8444770703202268E-197</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1.5005107194779805E-2</v>
      </c>
      <c r="C346" s="3">
        <f t="shared" si="353"/>
        <v>1.5005107194779805E-2</v>
      </c>
      <c r="D346" s="3">
        <f t="shared" si="353"/>
        <v>1.5005107194779805E-2</v>
      </c>
      <c r="E346" s="3">
        <f t="shared" si="353"/>
        <v>1.5005107194779805E-2</v>
      </c>
      <c r="F346" s="3">
        <f t="shared" si="353"/>
        <v>1.5005107194779805E-2</v>
      </c>
      <c r="G346" s="3">
        <f t="shared" si="353"/>
        <v>1.5005107194779798E-2</v>
      </c>
      <c r="H346" s="3">
        <f t="shared" si="353"/>
        <v>1.5005107194779745E-2</v>
      </c>
      <c r="I346" s="3">
        <f t="shared" si="353"/>
        <v>1.5005107194779198E-2</v>
      </c>
      <c r="J346" s="3">
        <f t="shared" si="353"/>
        <v>1.5005107194773736E-2</v>
      </c>
      <c r="K346" s="3">
        <f t="shared" si="353"/>
        <v>1.5005107194719095E-2</v>
      </c>
      <c r="L346" s="3">
        <f t="shared" si="353"/>
        <v>1.5005107194172706E-2</v>
      </c>
      <c r="M346" s="3">
        <f t="shared" si="353"/>
        <v>1.5005107188708809E-2</v>
      </c>
      <c r="N346" s="3">
        <f t="shared" si="353"/>
        <v>1.5005107134069839E-2</v>
      </c>
      <c r="O346" s="3">
        <f t="shared" si="353"/>
        <v>1.500510658768014E-2</v>
      </c>
      <c r="P346" s="3">
        <f t="shared" si="353"/>
        <v>1.5005101123784252E-2</v>
      </c>
      <c r="Q346" s="3">
        <f t="shared" si="353"/>
        <v>1.5005046484934819E-2</v>
      </c>
      <c r="R346" s="3">
        <f t="shared" si="353"/>
        <v>1.5004500107383117E-2</v>
      </c>
      <c r="S346" s="3">
        <f t="shared" si="353"/>
        <v>1.4999037425982685E-2</v>
      </c>
      <c r="T346" s="3">
        <f t="shared" si="353"/>
        <v>1.4944519876369125E-2</v>
      </c>
      <c r="U346" s="3">
        <f t="shared" si="353"/>
        <v>1.4410125029979248E-2</v>
      </c>
      <c r="V346" s="3">
        <f t="shared" si="353"/>
        <v>1.0012109001750025E-2</v>
      </c>
      <c r="W346" s="3">
        <f t="shared" si="353"/>
        <v>2.6248456490791954E-4</v>
      </c>
      <c r="X346" s="3">
        <f t="shared" si="353"/>
        <v>4.026111353224831E-20</v>
      </c>
      <c r="Y346" s="3">
        <f t="shared" si="353"/>
        <v>2.9020567604241909E-178</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4.0905508263932881E-3</v>
      </c>
      <c r="C347" s="3">
        <f t="shared" si="354"/>
        <v>4.0905508263932881E-3</v>
      </c>
      <c r="D347" s="3">
        <f t="shared" si="354"/>
        <v>4.0905508263932881E-3</v>
      </c>
      <c r="E347" s="3">
        <f t="shared" si="354"/>
        <v>4.0905508263932881E-3</v>
      </c>
      <c r="F347" s="3">
        <f t="shared" si="354"/>
        <v>4.0905508263932881E-3</v>
      </c>
      <c r="G347" s="3">
        <f t="shared" si="354"/>
        <v>4.0905508263932881E-3</v>
      </c>
      <c r="H347" s="3">
        <f t="shared" si="354"/>
        <v>4.0905508263932864E-3</v>
      </c>
      <c r="I347" s="3">
        <f t="shared" si="354"/>
        <v>4.0905508263932733E-3</v>
      </c>
      <c r="J347" s="3">
        <f t="shared" si="354"/>
        <v>4.0905508263931389E-3</v>
      </c>
      <c r="K347" s="3">
        <f t="shared" si="354"/>
        <v>4.0905508263917954E-3</v>
      </c>
      <c r="L347" s="3">
        <f t="shared" si="354"/>
        <v>4.0905508263783582E-3</v>
      </c>
      <c r="M347" s="3">
        <f t="shared" si="354"/>
        <v>4.0905508262439917E-3</v>
      </c>
      <c r="N347" s="3">
        <f t="shared" si="354"/>
        <v>4.0905508249003244E-3</v>
      </c>
      <c r="O347" s="3">
        <f t="shared" si="354"/>
        <v>4.0905508114636498E-3</v>
      </c>
      <c r="P347" s="3">
        <f t="shared" si="354"/>
        <v>4.0905506770969081E-3</v>
      </c>
      <c r="Q347" s="3">
        <f t="shared" si="354"/>
        <v>4.0905493334297367E-3</v>
      </c>
      <c r="R347" s="3">
        <f t="shared" si="354"/>
        <v>4.0905358967822944E-3</v>
      </c>
      <c r="S347" s="3">
        <f t="shared" si="354"/>
        <v>4.090401532735371E-3</v>
      </c>
      <c r="T347" s="3">
        <f t="shared" si="354"/>
        <v>4.0890581349862917E-3</v>
      </c>
      <c r="U347" s="3">
        <f t="shared" si="354"/>
        <v>4.0756484000370099E-3</v>
      </c>
      <c r="V347" s="3">
        <f t="shared" si="354"/>
        <v>3.9439460979093779E-3</v>
      </c>
      <c r="W347" s="3">
        <f t="shared" si="354"/>
        <v>2.8397072378212491E-3</v>
      </c>
      <c r="X347" s="3">
        <f t="shared" si="354"/>
        <v>1.0634070721232648E-4</v>
      </c>
      <c r="Y347" s="3">
        <f t="shared" si="354"/>
        <v>5.767124179377298E-19</v>
      </c>
      <c r="Z347" s="3">
        <f t="shared" si="354"/>
        <v>1.2692783990210668E-161</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4.6207327982835155E-3</v>
      </c>
      <c r="C348" s="3">
        <f t="shared" si="355"/>
        <v>4.6207327982835155E-3</v>
      </c>
      <c r="D348" s="3">
        <f t="shared" si="355"/>
        <v>4.6207327982835155E-3</v>
      </c>
      <c r="E348" s="3">
        <f t="shared" si="355"/>
        <v>4.6207327982835155E-3</v>
      </c>
      <c r="F348" s="3">
        <f t="shared" si="355"/>
        <v>4.6207327982835155E-3</v>
      </c>
      <c r="G348" s="3">
        <f t="shared" si="355"/>
        <v>4.6207327982835155E-3</v>
      </c>
      <c r="H348" s="3">
        <f t="shared" si="355"/>
        <v>4.6207327982835146E-3</v>
      </c>
      <c r="I348" s="3">
        <f t="shared" si="355"/>
        <v>4.6207327982835111E-3</v>
      </c>
      <c r="J348" s="3">
        <f t="shared" si="355"/>
        <v>4.6207327982834686E-3</v>
      </c>
      <c r="K348" s="3">
        <f t="shared" si="355"/>
        <v>4.6207327982830488E-3</v>
      </c>
      <c r="L348" s="3">
        <f t="shared" si="355"/>
        <v>4.6207327982788517E-3</v>
      </c>
      <c r="M348" s="3">
        <f t="shared" si="355"/>
        <v>4.6207327982368722E-3</v>
      </c>
      <c r="N348" s="3">
        <f t="shared" si="355"/>
        <v>4.6207327978170804E-3</v>
      </c>
      <c r="O348" s="3">
        <f t="shared" si="355"/>
        <v>4.620732793619165E-3</v>
      </c>
      <c r="P348" s="3">
        <f t="shared" si="355"/>
        <v>4.620732751640007E-3</v>
      </c>
      <c r="Q348" s="3">
        <f t="shared" si="355"/>
        <v>4.6207323318484556E-3</v>
      </c>
      <c r="R348" s="3">
        <f t="shared" si="355"/>
        <v>4.6207281339350412E-3</v>
      </c>
      <c r="S348" s="3">
        <f t="shared" si="355"/>
        <v>4.6206861550106533E-3</v>
      </c>
      <c r="T348" s="3">
        <f t="shared" si="355"/>
        <v>4.6202663867418196E-3</v>
      </c>
      <c r="U348" s="3">
        <f t="shared" si="355"/>
        <v>4.6160708008538068E-3</v>
      </c>
      <c r="V348" s="3">
        <f t="shared" si="355"/>
        <v>4.5743239188899745E-3</v>
      </c>
      <c r="W348" s="3">
        <f t="shared" si="355"/>
        <v>4.1770670742827939E-3</v>
      </c>
      <c r="X348" s="3">
        <f t="shared" si="355"/>
        <v>1.6839019204923263E-3</v>
      </c>
      <c r="Y348" s="3">
        <f t="shared" si="355"/>
        <v>1.9088430615061191E-7</v>
      </c>
      <c r="Z348" s="3">
        <f t="shared" si="355"/>
        <v>6.6881274085871058E-47</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2.0598839061917876E-3</v>
      </c>
      <c r="C349" s="3">
        <f t="shared" si="356"/>
        <v>2.0598839061917876E-3</v>
      </c>
      <c r="D349" s="3">
        <f t="shared" si="356"/>
        <v>2.0598839061917876E-3</v>
      </c>
      <c r="E349" s="3">
        <f t="shared" si="356"/>
        <v>2.0598839061917876E-3</v>
      </c>
      <c r="F349" s="3">
        <f t="shared" si="356"/>
        <v>2.0598839061917876E-3</v>
      </c>
      <c r="G349" s="3">
        <f t="shared" si="356"/>
        <v>2.0598839061917876E-3</v>
      </c>
      <c r="H349" s="3">
        <f t="shared" si="356"/>
        <v>2.0598839061917876E-3</v>
      </c>
      <c r="I349" s="3">
        <f t="shared" si="356"/>
        <v>2.0598839061917872E-3</v>
      </c>
      <c r="J349" s="3">
        <f t="shared" si="356"/>
        <v>2.0598839061917854E-3</v>
      </c>
      <c r="K349" s="3">
        <f t="shared" si="356"/>
        <v>2.0598839061917668E-3</v>
      </c>
      <c r="L349" s="3">
        <f t="shared" si="356"/>
        <v>2.0598839061915799E-3</v>
      </c>
      <c r="M349" s="3">
        <f t="shared" si="356"/>
        <v>2.0598839061897085E-3</v>
      </c>
      <c r="N349" s="3">
        <f t="shared" si="356"/>
        <v>2.0598839061709943E-3</v>
      </c>
      <c r="O349" s="3">
        <f t="shared" si="356"/>
        <v>2.059883905983855E-3</v>
      </c>
      <c r="P349" s="3">
        <f t="shared" si="356"/>
        <v>2.0598839041124591E-3</v>
      </c>
      <c r="Q349" s="3">
        <f t="shared" si="356"/>
        <v>2.059883885398503E-3</v>
      </c>
      <c r="R349" s="3">
        <f t="shared" si="356"/>
        <v>2.0598836982589522E-3</v>
      </c>
      <c r="S349" s="3">
        <f t="shared" si="356"/>
        <v>2.059881826864379E-3</v>
      </c>
      <c r="T349" s="3">
        <f t="shared" si="356"/>
        <v>2.0598631130121568E-3</v>
      </c>
      <c r="U349" s="3">
        <f t="shared" si="356"/>
        <v>2.0596759838404327E-3</v>
      </c>
      <c r="V349" s="3">
        <f t="shared" si="356"/>
        <v>2.057805626859182E-3</v>
      </c>
      <c r="W349" s="3">
        <f t="shared" si="356"/>
        <v>2.0391952172023131E-3</v>
      </c>
      <c r="X349" s="3">
        <f t="shared" si="356"/>
        <v>1.8621014494919531E-3</v>
      </c>
      <c r="Y349" s="3">
        <f t="shared" si="356"/>
        <v>7.5066934554538585E-4</v>
      </c>
      <c r="Z349" s="3">
        <f t="shared" si="356"/>
        <v>8.509462185960961E-8</v>
      </c>
      <c r="AA349" s="3">
        <f t="shared" si="356"/>
        <v>2.9815110747426218E-47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2.0793314772124174E-3</v>
      </c>
      <c r="C350" s="3">
        <f t="shared" si="357"/>
        <v>2.0793314772124174E-3</v>
      </c>
      <c r="D350" s="3">
        <f t="shared" si="357"/>
        <v>2.0793314772124174E-3</v>
      </c>
      <c r="E350" s="3">
        <f t="shared" si="357"/>
        <v>2.0793314772124174E-3</v>
      </c>
      <c r="F350" s="3">
        <f t="shared" si="357"/>
        <v>2.0793314772124174E-3</v>
      </c>
      <c r="G350" s="3">
        <f t="shared" si="357"/>
        <v>2.0793314772124174E-3</v>
      </c>
      <c r="H350" s="3">
        <f t="shared" si="357"/>
        <v>2.0793314772124174E-3</v>
      </c>
      <c r="I350" s="3">
        <f t="shared" si="357"/>
        <v>2.0793314772124174E-3</v>
      </c>
      <c r="J350" s="3">
        <f t="shared" si="357"/>
        <v>2.079331477212417E-3</v>
      </c>
      <c r="K350" s="3">
        <f t="shared" si="357"/>
        <v>2.0793314772124152E-3</v>
      </c>
      <c r="L350" s="3">
        <f t="shared" si="357"/>
        <v>2.0793314772123966E-3</v>
      </c>
      <c r="M350" s="3">
        <f t="shared" si="357"/>
        <v>2.0793314772122075E-3</v>
      </c>
      <c r="N350" s="3">
        <f t="shared" si="357"/>
        <v>2.0793314772103184E-3</v>
      </c>
      <c r="O350" s="3">
        <f t="shared" si="357"/>
        <v>2.0793314771914277E-3</v>
      </c>
      <c r="P350" s="3">
        <f t="shared" si="357"/>
        <v>2.0793314770025215E-3</v>
      </c>
      <c r="Q350" s="3">
        <f t="shared" si="357"/>
        <v>2.0793314751134579E-3</v>
      </c>
      <c r="R350" s="3">
        <f t="shared" si="357"/>
        <v>2.0793314562228215E-3</v>
      </c>
      <c r="S350" s="3">
        <f t="shared" si="357"/>
        <v>2.0793312673164674E-3</v>
      </c>
      <c r="T350" s="3">
        <f t="shared" si="357"/>
        <v>2.0793293782538701E-3</v>
      </c>
      <c r="U350" s="3">
        <f t="shared" si="357"/>
        <v>2.0793104877222875E-3</v>
      </c>
      <c r="V350" s="3">
        <f t="shared" si="357"/>
        <v>2.0791215918452427E-3</v>
      </c>
      <c r="W350" s="3">
        <f t="shared" si="357"/>
        <v>2.0772335766357213E-3</v>
      </c>
      <c r="X350" s="3">
        <f t="shared" si="357"/>
        <v>2.0584474642305387E-3</v>
      </c>
      <c r="Y350" s="3">
        <f t="shared" si="357"/>
        <v>1.8796817364575239E-3</v>
      </c>
      <c r="Z350" s="3">
        <f t="shared" si="357"/>
        <v>7.5775649029496202E-4</v>
      </c>
      <c r="AA350" s="3">
        <f t="shared" si="357"/>
        <v>8.589800873841088E-8</v>
      </c>
      <c r="AB350" s="3">
        <f t="shared" si="357"/>
        <v>3.0096598205047299E-47</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2.538048611821601E-3</v>
      </c>
      <c r="C352" s="3">
        <f t="shared" si="359"/>
        <v>2.538048611821601E-3</v>
      </c>
      <c r="D352" s="3">
        <f t="shared" si="359"/>
        <v>2.538048611821601E-3</v>
      </c>
      <c r="E352" s="3">
        <f t="shared" si="359"/>
        <v>2.538048611821601E-3</v>
      </c>
      <c r="F352" s="3">
        <f t="shared" si="359"/>
        <v>2.538048611821601E-3</v>
      </c>
      <c r="G352" s="3">
        <f t="shared" si="359"/>
        <v>2.538048611821601E-3</v>
      </c>
      <c r="H352" s="3">
        <f t="shared" si="359"/>
        <v>2.538048611821601E-3</v>
      </c>
      <c r="I352" s="3">
        <f t="shared" si="359"/>
        <v>2.538048611821601E-3</v>
      </c>
      <c r="J352" s="3">
        <f t="shared" si="359"/>
        <v>2.538048611821601E-3</v>
      </c>
      <c r="K352" s="3">
        <f t="shared" si="359"/>
        <v>2.538048611821601E-3</v>
      </c>
      <c r="L352" s="3">
        <f t="shared" si="359"/>
        <v>2.5380486118216005E-3</v>
      </c>
      <c r="M352" s="3">
        <f t="shared" si="359"/>
        <v>2.5380486118215984E-3</v>
      </c>
      <c r="N352" s="3">
        <f t="shared" si="359"/>
        <v>2.5380486118215754E-3</v>
      </c>
      <c r="O352" s="3">
        <f t="shared" si="359"/>
        <v>2.5380486118213447E-3</v>
      </c>
      <c r="P352" s="3">
        <f t="shared" si="359"/>
        <v>2.5380486118190392E-3</v>
      </c>
      <c r="Q352" s="3">
        <f t="shared" si="359"/>
        <v>2.5380486117959808E-3</v>
      </c>
      <c r="R352" s="3">
        <f t="shared" si="359"/>
        <v>2.5380486115654005E-3</v>
      </c>
      <c r="S352" s="3">
        <f t="shared" si="359"/>
        <v>2.5380486092595939E-3</v>
      </c>
      <c r="T352" s="3">
        <f t="shared" si="359"/>
        <v>2.5380485862015324E-3</v>
      </c>
      <c r="U352" s="3">
        <f t="shared" si="359"/>
        <v>2.5380483556209275E-3</v>
      </c>
      <c r="V352" s="3">
        <f t="shared" si="359"/>
        <v>2.5380460498160302E-3</v>
      </c>
      <c r="W352" s="3">
        <f t="shared" si="359"/>
        <v>2.5380229918822738E-3</v>
      </c>
      <c r="X352" s="3">
        <f t="shared" si="359"/>
        <v>2.5377924240657587E-3</v>
      </c>
      <c r="Y352" s="3">
        <f t="shared" si="359"/>
        <v>2.5354878976186104E-3</v>
      </c>
      <c r="Z352" s="3">
        <f t="shared" si="359"/>
        <v>2.5125574187440164E-3</v>
      </c>
      <c r="AA352" s="3">
        <f t="shared" si="359"/>
        <v>2.2943545433545486E-3</v>
      </c>
      <c r="AB352" s="3">
        <f t="shared" si="359"/>
        <v>9.2492362539052107E-4</v>
      </c>
      <c r="AC352" s="3">
        <f t="shared" si="359"/>
        <v>1.0484779566220744E-7</v>
      </c>
      <c r="AD352" s="3">
        <f t="shared" si="359"/>
        <v>3.6736148195706554E-47</v>
      </c>
      <c r="AE352" s="3">
        <f t="shared" si="359"/>
        <v>0</v>
      </c>
      <c r="AF352" s="3">
        <f t="shared" si="359"/>
        <v>0</v>
      </c>
      <c r="AG352" s="3"/>
      <c r="AH352" s="3"/>
    </row>
    <row r="353" spans="1:34" x14ac:dyDescent="0.25">
      <c r="B353" s="3">
        <f t="shared" ref="B353:AF353" si="360">$C44*EXP(-B$363/$A44/EXP(-$G$126))</f>
        <v>1.186723127453265E-7</v>
      </c>
      <c r="C353" s="3">
        <f t="shared" si="360"/>
        <v>1.186723127453265E-7</v>
      </c>
      <c r="D353" s="3">
        <f t="shared" si="360"/>
        <v>1.186723127453265E-7</v>
      </c>
      <c r="E353" s="3">
        <f t="shared" si="360"/>
        <v>1.186723127453265E-7</v>
      </c>
      <c r="F353" s="3">
        <f t="shared" si="360"/>
        <v>1.186723127453265E-7</v>
      </c>
      <c r="G353" s="3">
        <f t="shared" si="360"/>
        <v>1.186723127453265E-7</v>
      </c>
      <c r="H353" s="3">
        <f t="shared" si="360"/>
        <v>1.186723127453265E-7</v>
      </c>
      <c r="I353" s="3">
        <f t="shared" si="360"/>
        <v>1.186723127453265E-7</v>
      </c>
      <c r="J353" s="3">
        <f t="shared" si="360"/>
        <v>1.186723127453265E-7</v>
      </c>
      <c r="K353" s="3">
        <f t="shared" si="360"/>
        <v>1.186723127453265E-7</v>
      </c>
      <c r="L353" s="3">
        <f t="shared" si="360"/>
        <v>1.186723127453265E-7</v>
      </c>
      <c r="M353" s="3">
        <f t="shared" si="360"/>
        <v>1.1867231274532648E-7</v>
      </c>
      <c r="N353" s="3">
        <f t="shared" si="360"/>
        <v>1.1867231274532638E-7</v>
      </c>
      <c r="O353" s="3">
        <f t="shared" si="360"/>
        <v>1.1867231274532529E-7</v>
      </c>
      <c r="P353" s="3">
        <f t="shared" si="360"/>
        <v>1.1867231274531452E-7</v>
      </c>
      <c r="Q353" s="3">
        <f t="shared" si="360"/>
        <v>1.1867231274520671E-7</v>
      </c>
      <c r="R353" s="3">
        <f t="shared" si="360"/>
        <v>1.1867231274412858E-7</v>
      </c>
      <c r="S353" s="3">
        <f t="shared" si="360"/>
        <v>1.1867231273334725E-7</v>
      </c>
      <c r="T353" s="3">
        <f t="shared" si="360"/>
        <v>1.1867231262553396E-7</v>
      </c>
      <c r="U353" s="3">
        <f t="shared" si="360"/>
        <v>1.1867231154740114E-7</v>
      </c>
      <c r="V353" s="3">
        <f t="shared" si="360"/>
        <v>1.1867230076607349E-7</v>
      </c>
      <c r="W353" s="3">
        <f t="shared" si="360"/>
        <v>1.1867219295285092E-7</v>
      </c>
      <c r="X353" s="3">
        <f t="shared" si="360"/>
        <v>1.1867111482601235E-7</v>
      </c>
      <c r="Y353" s="3">
        <f t="shared" si="360"/>
        <v>1.1866033409631983E-7</v>
      </c>
      <c r="Z353" s="3">
        <f t="shared" si="360"/>
        <v>1.1855258065062458E-7</v>
      </c>
      <c r="AA353" s="3">
        <f t="shared" si="360"/>
        <v>1.174804132588216E-7</v>
      </c>
      <c r="AB353" s="3">
        <f t="shared" si="360"/>
        <v>1.0727783488836107E-7</v>
      </c>
      <c r="AC353" s="3">
        <f t="shared" si="360"/>
        <v>4.3246935943873224E-8</v>
      </c>
      <c r="AD353" s="3">
        <f t="shared" si="360"/>
        <v>4.902400347861482E-12</v>
      </c>
      <c r="AE353" s="3">
        <f t="shared" si="360"/>
        <v>1.7176832813342438E-51</v>
      </c>
      <c r="AF353" s="3">
        <f t="shared" si="360"/>
        <v>0</v>
      </c>
      <c r="AG353" s="3"/>
      <c r="AH353" s="3"/>
    </row>
    <row r="354" spans="1:34" x14ac:dyDescent="0.25">
      <c r="B354" s="3">
        <f t="shared" ref="B354:AF354" si="361">$C45*EXP(-B$363/$A45/EXP(-$G$126))</f>
        <v>1.5301760835243074E-4</v>
      </c>
      <c r="C354" s="3">
        <f t="shared" si="361"/>
        <v>1.5301760835243074E-4</v>
      </c>
      <c r="D354" s="3">
        <f t="shared" si="361"/>
        <v>1.5301760835243074E-4</v>
      </c>
      <c r="E354" s="3">
        <f t="shared" si="361"/>
        <v>1.5301760835243074E-4</v>
      </c>
      <c r="F354" s="3">
        <f t="shared" si="361"/>
        <v>1.5301760835243074E-4</v>
      </c>
      <c r="G354" s="3">
        <f t="shared" si="361"/>
        <v>1.5301760835243074E-4</v>
      </c>
      <c r="H354" s="3">
        <f t="shared" si="361"/>
        <v>1.5301760835243074E-4</v>
      </c>
      <c r="I354" s="3">
        <f t="shared" si="361"/>
        <v>1.5301760835243074E-4</v>
      </c>
      <c r="J354" s="3">
        <f t="shared" si="361"/>
        <v>1.5301760835243074E-4</v>
      </c>
      <c r="K354" s="3">
        <f t="shared" si="361"/>
        <v>1.5301760835243074E-4</v>
      </c>
      <c r="L354" s="3">
        <f t="shared" si="361"/>
        <v>1.5301760835243074E-4</v>
      </c>
      <c r="M354" s="3">
        <f t="shared" si="361"/>
        <v>1.5301760835243074E-4</v>
      </c>
      <c r="N354" s="3">
        <f t="shared" si="361"/>
        <v>1.5301760835243072E-4</v>
      </c>
      <c r="O354" s="3">
        <f t="shared" si="361"/>
        <v>1.5301760835243058E-4</v>
      </c>
      <c r="P354" s="3">
        <f t="shared" si="361"/>
        <v>1.530176083524292E-4</v>
      </c>
      <c r="Q354" s="3">
        <f t="shared" si="361"/>
        <v>1.5301760835241529E-4</v>
      </c>
      <c r="R354" s="3">
        <f t="shared" si="361"/>
        <v>1.5301760835227627E-4</v>
      </c>
      <c r="S354" s="3">
        <f t="shared" si="361"/>
        <v>1.5301760835088613E-4</v>
      </c>
      <c r="T354" s="3">
        <f t="shared" si="361"/>
        <v>1.5301760833698455E-4</v>
      </c>
      <c r="U354" s="3">
        <f t="shared" si="361"/>
        <v>1.5301760819796872E-4</v>
      </c>
      <c r="V354" s="3">
        <f t="shared" si="361"/>
        <v>1.5301760680781035E-4</v>
      </c>
      <c r="W354" s="3">
        <f t="shared" si="361"/>
        <v>1.5301759290622764E-4</v>
      </c>
      <c r="X354" s="3">
        <f t="shared" si="361"/>
        <v>1.5301745389047002E-4</v>
      </c>
      <c r="Y354" s="3">
        <f t="shared" si="361"/>
        <v>1.5301606373983992E-4</v>
      </c>
      <c r="Z354" s="3">
        <f t="shared" si="361"/>
        <v>1.5300216292813681E-4</v>
      </c>
      <c r="AA354" s="3">
        <f t="shared" si="361"/>
        <v>1.5286322424757528E-4</v>
      </c>
      <c r="AB354" s="3">
        <f t="shared" si="361"/>
        <v>1.5148075780488252E-4</v>
      </c>
      <c r="AC354" s="3">
        <f t="shared" si="361"/>
        <v>1.3832542186206301E-4</v>
      </c>
      <c r="AD354" s="3">
        <f t="shared" si="361"/>
        <v>5.5763156153395703E-5</v>
      </c>
      <c r="AE354" s="3">
        <f t="shared" si="361"/>
        <v>6.3212181431547165E-9</v>
      </c>
      <c r="AF354" s="3">
        <f t="shared" si="361"/>
        <v>2.2148029438068933E-48</v>
      </c>
      <c r="AG354" s="3"/>
      <c r="AH354" s="3"/>
    </row>
    <row r="355" spans="1:34" x14ac:dyDescent="0.25">
      <c r="B355" s="3">
        <f t="shared" ref="B355:AF355" si="362">$C46*EXP(-B$363/$A46/EXP(-$G$126))</f>
        <v>1.8120582087099855E-4</v>
      </c>
      <c r="C355" s="3">
        <f t="shared" si="362"/>
        <v>1.8120582087099855E-4</v>
      </c>
      <c r="D355" s="3">
        <f t="shared" si="362"/>
        <v>1.8120582087099855E-4</v>
      </c>
      <c r="E355" s="3">
        <f t="shared" si="362"/>
        <v>1.8120582087099855E-4</v>
      </c>
      <c r="F355" s="3">
        <f t="shared" si="362"/>
        <v>1.8120582087099855E-4</v>
      </c>
      <c r="G355" s="3">
        <f t="shared" si="362"/>
        <v>1.8120582087099855E-4</v>
      </c>
      <c r="H355" s="3">
        <f t="shared" si="362"/>
        <v>1.8120582087099855E-4</v>
      </c>
      <c r="I355" s="3">
        <f t="shared" si="362"/>
        <v>1.8120582087099855E-4</v>
      </c>
      <c r="J355" s="3">
        <f t="shared" si="362"/>
        <v>1.8120582087099855E-4</v>
      </c>
      <c r="K355" s="3">
        <f t="shared" si="362"/>
        <v>1.8120582087099855E-4</v>
      </c>
      <c r="L355" s="3">
        <f t="shared" si="362"/>
        <v>1.8120582087099855E-4</v>
      </c>
      <c r="M355" s="3">
        <f t="shared" si="362"/>
        <v>1.8120582087099855E-4</v>
      </c>
      <c r="N355" s="3">
        <f t="shared" si="362"/>
        <v>1.8120582087099855E-4</v>
      </c>
      <c r="O355" s="3">
        <f t="shared" si="362"/>
        <v>1.8120582087099852E-4</v>
      </c>
      <c r="P355" s="3">
        <f t="shared" si="362"/>
        <v>1.8120582087099836E-4</v>
      </c>
      <c r="Q355" s="3">
        <f t="shared" si="362"/>
        <v>1.812058208709967E-4</v>
      </c>
      <c r="R355" s="3">
        <f t="shared" si="362"/>
        <v>1.8120582087098025E-4</v>
      </c>
      <c r="S355" s="3">
        <f t="shared" si="362"/>
        <v>1.8120582087081564E-4</v>
      </c>
      <c r="T355" s="3">
        <f t="shared" si="362"/>
        <v>1.8120582086916939E-4</v>
      </c>
      <c r="U355" s="3">
        <f t="shared" si="362"/>
        <v>1.8120582085270692E-4</v>
      </c>
      <c r="V355" s="3">
        <f t="shared" si="362"/>
        <v>1.812058206880822E-4</v>
      </c>
      <c r="W355" s="3">
        <f t="shared" si="362"/>
        <v>1.8120581904183518E-4</v>
      </c>
      <c r="X355" s="3">
        <f t="shared" si="362"/>
        <v>1.8120580257936569E-4</v>
      </c>
      <c r="Y355" s="3">
        <f t="shared" si="362"/>
        <v>1.8120563795475322E-4</v>
      </c>
      <c r="Z355" s="3">
        <f t="shared" si="362"/>
        <v>1.8120399171685437E-4</v>
      </c>
      <c r="AA355" s="3">
        <f t="shared" si="362"/>
        <v>1.8118753016041944E-4</v>
      </c>
      <c r="AB355" s="3">
        <f t="shared" si="362"/>
        <v>1.8102299682381219E-4</v>
      </c>
      <c r="AC355" s="3">
        <f t="shared" si="362"/>
        <v>1.7938585865865558E-4</v>
      </c>
      <c r="AD355" s="3">
        <f t="shared" si="362"/>
        <v>1.6380710616069517E-4</v>
      </c>
      <c r="AE355" s="3">
        <f t="shared" si="362"/>
        <v>6.603559285713555E-5</v>
      </c>
      <c r="AF355" s="3">
        <f t="shared" si="362"/>
        <v>7.4856843919349083E-9</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1.473557226128393E-3</v>
      </c>
      <c r="B358" s="80">
        <f>IF($A$64&lt;=B324,IF($B$64&gt;=B324,ABS((B326-B325)/B325),0),0)</f>
        <v>1.0081792052573051E-2</v>
      </c>
      <c r="C358" s="80">
        <f t="shared" ref="C358:AF358" si="365">IF($A$64&lt;=C324,IF($B$64&gt;=C324,ABS((C326-C325)/C325),0),0)</f>
        <v>1.3377115036044782E-2</v>
      </c>
      <c r="D358" s="80">
        <f t="shared" si="365"/>
        <v>3.8544268169752923E-3</v>
      </c>
      <c r="E358" s="80">
        <f t="shared" si="365"/>
        <v>4.8242142235276774E-4</v>
      </c>
      <c r="F358" s="80">
        <f t="shared" si="365"/>
        <v>2.9548996065318446E-4</v>
      </c>
      <c r="G358" s="80">
        <f t="shared" si="365"/>
        <v>1.8892077752031503E-4</v>
      </c>
      <c r="H358" s="80">
        <f t="shared" si="365"/>
        <v>1.7716500296720424E-4</v>
      </c>
      <c r="I358" s="80">
        <f t="shared" si="365"/>
        <v>2.0682667687058135E-4</v>
      </c>
      <c r="J358" s="80">
        <f t="shared" si="365"/>
        <v>1.5348168162239258E-4</v>
      </c>
      <c r="K358" s="80">
        <f t="shared" si="365"/>
        <v>3.006334780346297E-4</v>
      </c>
      <c r="L358" s="80">
        <f t="shared" si="365"/>
        <v>5.3213154738886886E-5</v>
      </c>
      <c r="M358" s="80">
        <f t="shared" si="365"/>
        <v>5.4225445623401112E-4</v>
      </c>
      <c r="N358" s="80">
        <f t="shared" si="365"/>
        <v>3.6620993401303544E-5</v>
      </c>
      <c r="O358" s="80">
        <f t="shared" si="365"/>
        <v>7.9296382183781226E-4</v>
      </c>
      <c r="P358" s="80">
        <f t="shared" si="365"/>
        <v>9.7224872725375043E-5</v>
      </c>
      <c r="Q358" s="80">
        <f t="shared" si="365"/>
        <v>1.2398939894162967E-3</v>
      </c>
      <c r="R358" s="80">
        <f t="shared" si="365"/>
        <v>9.8910018289056286E-4</v>
      </c>
      <c r="S358" s="80">
        <f t="shared" si="365"/>
        <v>1.7813964690043666E-3</v>
      </c>
      <c r="T358" s="80">
        <f t="shared" si="365"/>
        <v>1.3815619979610234E-3</v>
      </c>
      <c r="U358" s="80">
        <f t="shared" si="365"/>
        <v>1.5500819481446171E-3</v>
      </c>
      <c r="V358" s="80">
        <f t="shared" si="365"/>
        <v>1.018200320536015E-3</v>
      </c>
      <c r="W358" s="80">
        <f t="shared" si="365"/>
        <v>6.867285416406651E-4</v>
      </c>
      <c r="X358" s="80">
        <f t="shared" si="365"/>
        <v>6.30742889118928E-4</v>
      </c>
      <c r="Y358" s="80">
        <f t="shared" si="365"/>
        <v>3.8426138718959744E-4</v>
      </c>
      <c r="Z358" s="80">
        <f t="shared" si="365"/>
        <v>1.9172199269089374E-4</v>
      </c>
      <c r="AA358" s="80">
        <f t="shared" si="365"/>
        <v>9.9769757776025441E-5</v>
      </c>
      <c r="AB358" s="80">
        <f t="shared" si="365"/>
        <v>9.0682065232846644E-4</v>
      </c>
      <c r="AC358" s="80">
        <f t="shared" si="365"/>
        <v>7.5750315256719475E-4</v>
      </c>
      <c r="AD358" s="80">
        <f t="shared" si="365"/>
        <v>1.1075564597629243E-3</v>
      </c>
      <c r="AE358" s="80">
        <f t="shared" si="365"/>
        <v>1.462872091974272E-3</v>
      </c>
      <c r="AF358" s="80">
        <f t="shared" si="365"/>
        <v>8.5151197242674308E-4</v>
      </c>
    </row>
    <row r="359" spans="1:34" x14ac:dyDescent="0.25">
      <c r="B359" s="21">
        <f>(B326-B325)^2</f>
        <v>3391.7088125229957</v>
      </c>
      <c r="C359" s="21">
        <f t="shared" ref="C359:AF359" si="366">(C326-C325)^2</f>
        <v>5555.1928501934744</v>
      </c>
      <c r="D359" s="21">
        <f t="shared" si="366"/>
        <v>433.34132351276929</v>
      </c>
      <c r="E359" s="21">
        <f t="shared" si="366"/>
        <v>6.3295538748723841</v>
      </c>
      <c r="F359" s="21">
        <f t="shared" si="366"/>
        <v>2.1701504908577474</v>
      </c>
      <c r="G359" s="21">
        <f t="shared" si="366"/>
        <v>0.80810816320315881</v>
      </c>
      <c r="H359" s="21">
        <f t="shared" si="366"/>
        <v>0.65423645918425932</v>
      </c>
      <c r="I359" s="21">
        <f t="shared" si="366"/>
        <v>0.82248396329896967</v>
      </c>
      <c r="J359" s="21">
        <f t="shared" si="366"/>
        <v>0.41616549153112137</v>
      </c>
      <c r="K359" s="21">
        <f t="shared" si="366"/>
        <v>1.4655427831949266</v>
      </c>
      <c r="L359" s="21">
        <f t="shared" si="366"/>
        <v>4.1815680663444287E-2</v>
      </c>
      <c r="M359" s="21">
        <f t="shared" si="366"/>
        <v>3.891436292896588</v>
      </c>
      <c r="N359" s="21">
        <f t="shared" si="366"/>
        <v>1.5567419264323618E-2</v>
      </c>
      <c r="O359" s="21">
        <f t="shared" si="366"/>
        <v>6.2222387649023343</v>
      </c>
      <c r="P359" s="21">
        <f t="shared" si="366"/>
        <v>7.6132861710514199E-2</v>
      </c>
      <c r="Q359" s="21">
        <f t="shared" si="366"/>
        <v>9.0492010151042006</v>
      </c>
      <c r="R359" s="21">
        <f t="shared" si="366"/>
        <v>3.3657248998931864</v>
      </c>
      <c r="S359" s="21">
        <f t="shared" si="366"/>
        <v>5.1116769718060064</v>
      </c>
      <c r="T359" s="21">
        <f t="shared" si="366"/>
        <v>1.2467721175486759</v>
      </c>
      <c r="U359" s="21">
        <f t="shared" si="366"/>
        <v>0.62257837735784405</v>
      </c>
      <c r="V359" s="21">
        <f t="shared" si="366"/>
        <v>0.12272113683818629</v>
      </c>
      <c r="W359" s="21">
        <f t="shared" si="366"/>
        <v>3.2553489482338813E-2</v>
      </c>
      <c r="X359" s="21">
        <f t="shared" si="366"/>
        <v>1.9773351289664735E-2</v>
      </c>
      <c r="Y359" s="21">
        <f t="shared" si="366"/>
        <v>5.984619921048517E-3</v>
      </c>
      <c r="Z359" s="21">
        <f t="shared" si="366"/>
        <v>1.2995059449544281E-3</v>
      </c>
      <c r="AA359" s="21">
        <f t="shared" si="366"/>
        <v>3.2663008491887007E-4</v>
      </c>
      <c r="AB359" s="21">
        <f t="shared" si="366"/>
        <v>2.4252117727703679E-2</v>
      </c>
      <c r="AC359" s="21">
        <f t="shared" si="366"/>
        <v>1.5599602467166759E-2</v>
      </c>
      <c r="AD359" s="21">
        <f t="shared" si="366"/>
        <v>3.3194893774579834E-2</v>
      </c>
      <c r="AE359" s="21">
        <f t="shared" si="366"/>
        <v>5.6862597875684137E-2</v>
      </c>
      <c r="AF359" s="21">
        <f t="shared" si="366"/>
        <v>1.9246194028942031E-2</v>
      </c>
      <c r="AG359" s="3"/>
      <c r="AH359" s="3"/>
    </row>
    <row r="360" spans="1:34" x14ac:dyDescent="0.25">
      <c r="A360" s="71">
        <f>SUM(B360:AF360)</f>
        <v>9422.8841859959666</v>
      </c>
      <c r="B360" s="60">
        <f>IF($A$64&lt;=B324,IF($B$64&gt;=B324,ABS(B359),0),0)</f>
        <v>3391.7088125229957</v>
      </c>
      <c r="C360" s="60">
        <f t="shared" ref="C360:AF360" si="367">IF($A$64&lt;=C324,IF($B$64&gt;=C324,ABS(C359),0),0)</f>
        <v>5555.1928501934744</v>
      </c>
      <c r="D360" s="60">
        <f t="shared" si="367"/>
        <v>433.34132351276929</v>
      </c>
      <c r="E360" s="60">
        <f t="shared" si="367"/>
        <v>6.3295538748723841</v>
      </c>
      <c r="F360" s="60">
        <f t="shared" si="367"/>
        <v>2.1701504908577474</v>
      </c>
      <c r="G360" s="60">
        <f t="shared" si="367"/>
        <v>0.80810816320315881</v>
      </c>
      <c r="H360" s="60">
        <f t="shared" si="367"/>
        <v>0.65423645918425932</v>
      </c>
      <c r="I360" s="60">
        <f t="shared" si="367"/>
        <v>0.82248396329896967</v>
      </c>
      <c r="J360" s="60">
        <f t="shared" si="367"/>
        <v>0.41616549153112137</v>
      </c>
      <c r="K360" s="60">
        <f t="shared" si="367"/>
        <v>1.4655427831949266</v>
      </c>
      <c r="L360" s="60">
        <f t="shared" si="367"/>
        <v>4.1815680663444287E-2</v>
      </c>
      <c r="M360" s="60">
        <f t="shared" si="367"/>
        <v>3.891436292896588</v>
      </c>
      <c r="N360" s="60">
        <f t="shared" si="367"/>
        <v>1.5567419264323618E-2</v>
      </c>
      <c r="O360" s="60">
        <f t="shared" si="367"/>
        <v>6.2222387649023343</v>
      </c>
      <c r="P360" s="60">
        <f t="shared" si="367"/>
        <v>7.6132861710514199E-2</v>
      </c>
      <c r="Q360" s="60">
        <f t="shared" si="367"/>
        <v>9.0492010151042006</v>
      </c>
      <c r="R360" s="60">
        <f t="shared" si="367"/>
        <v>3.3657248998931864</v>
      </c>
      <c r="S360" s="60">
        <f t="shared" si="367"/>
        <v>5.1116769718060064</v>
      </c>
      <c r="T360" s="60">
        <f t="shared" si="367"/>
        <v>1.2467721175486759</v>
      </c>
      <c r="U360" s="60">
        <f t="shared" si="367"/>
        <v>0.62257837735784405</v>
      </c>
      <c r="V360" s="60">
        <f t="shared" si="367"/>
        <v>0.12272113683818629</v>
      </c>
      <c r="W360" s="60">
        <f t="shared" si="367"/>
        <v>3.2553489482338813E-2</v>
      </c>
      <c r="X360" s="60">
        <f t="shared" si="367"/>
        <v>1.9773351289664735E-2</v>
      </c>
      <c r="Y360" s="60">
        <f t="shared" si="367"/>
        <v>5.984619921048517E-3</v>
      </c>
      <c r="Z360" s="60">
        <f t="shared" si="367"/>
        <v>1.2995059449544281E-3</v>
      </c>
      <c r="AA360" s="60">
        <f t="shared" si="367"/>
        <v>3.2663008491887007E-4</v>
      </c>
      <c r="AB360" s="60">
        <f t="shared" si="367"/>
        <v>2.4252117727703679E-2</v>
      </c>
      <c r="AC360" s="60">
        <f t="shared" si="367"/>
        <v>1.5599602467166759E-2</v>
      </c>
      <c r="AD360" s="60">
        <f t="shared" si="367"/>
        <v>3.3194893774579834E-2</v>
      </c>
      <c r="AE360" s="60">
        <f t="shared" si="367"/>
        <v>5.6862597875684137E-2</v>
      </c>
      <c r="AF360" s="60">
        <f t="shared" si="367"/>
        <v>1.9246194028942031E-2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4585.1952095415036</v>
      </c>
      <c r="C365" s="27">
        <f t="shared" ref="C365:AF365" si="368">($C$17+SUM(C366:C396))*$B$51</f>
        <v>4404.1068296113917</v>
      </c>
      <c r="D365" s="27">
        <f t="shared" si="368"/>
        <v>4222.8968793170443</v>
      </c>
      <c r="E365" s="27">
        <f t="shared" si="368"/>
        <v>4045.1720144024912</v>
      </c>
      <c r="F365" s="27">
        <f t="shared" si="368"/>
        <v>3863.4696772190455</v>
      </c>
      <c r="G365" s="27">
        <f t="shared" si="368"/>
        <v>3659.6184888069502</v>
      </c>
      <c r="H365" s="27">
        <f t="shared" si="368"/>
        <v>3432.1442868334102</v>
      </c>
      <c r="I365" s="27">
        <f t="shared" si="368"/>
        <v>3172.6503477873166</v>
      </c>
      <c r="J365" s="27">
        <f t="shared" si="368"/>
        <v>2869.815046438714</v>
      </c>
      <c r="K365" s="27">
        <f t="shared" si="368"/>
        <v>2473.1533838656114</v>
      </c>
      <c r="L365" s="27">
        <f t="shared" si="368"/>
        <v>1909.2432494366137</v>
      </c>
      <c r="M365" s="27">
        <f t="shared" si="368"/>
        <v>1312.744878279995</v>
      </c>
      <c r="N365" s="27">
        <f t="shared" si="368"/>
        <v>838.15016814276157</v>
      </c>
      <c r="O365" s="27">
        <f t="shared" si="368"/>
        <v>526.3399434948991</v>
      </c>
      <c r="P365" s="27">
        <f t="shared" si="368"/>
        <v>353.47969063348307</v>
      </c>
      <c r="Q365" s="27">
        <f t="shared" si="368"/>
        <v>267.07248746800661</v>
      </c>
      <c r="R365" s="27">
        <f t="shared" si="368"/>
        <v>226.60774587123959</v>
      </c>
      <c r="S365" s="27">
        <f t="shared" si="368"/>
        <v>202.7287501982043</v>
      </c>
      <c r="T365" s="27">
        <f t="shared" si="368"/>
        <v>189.23938560158115</v>
      </c>
      <c r="U365" s="27">
        <f t="shared" si="368"/>
        <v>181.50186230685864</v>
      </c>
      <c r="V365" s="27">
        <f t="shared" si="368"/>
        <v>173.05592194781616</v>
      </c>
      <c r="W365" s="27">
        <f t="shared" si="368"/>
        <v>165.03428678531665</v>
      </c>
      <c r="X365" s="27">
        <f t="shared" si="368"/>
        <v>164.43207051069359</v>
      </c>
      <c r="Y365" s="27">
        <f t="shared" si="368"/>
        <v>163.35144084589916</v>
      </c>
      <c r="Z365" s="27">
        <f t="shared" si="368"/>
        <v>162.78435329591315</v>
      </c>
      <c r="AA365" s="27">
        <f t="shared" si="368"/>
        <v>162.78394422566419</v>
      </c>
      <c r="AB365" s="27">
        <f t="shared" si="368"/>
        <v>162.78394422566419</v>
      </c>
      <c r="AC365" s="27">
        <f t="shared" si="368"/>
        <v>162.78394422566419</v>
      </c>
      <c r="AD365" s="27">
        <f t="shared" si="368"/>
        <v>162.78394422566419</v>
      </c>
      <c r="AE365" s="27">
        <f t="shared" si="368"/>
        <v>162.78394422566419</v>
      </c>
      <c r="AF365" s="27">
        <f t="shared" si="368"/>
        <v>162.78394422566419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6.3954291509127357E-75</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9.4498015443043989E-9</v>
      </c>
      <c r="C370" s="3">
        <f t="shared" si="373"/>
        <v>7.8755629264765041E-68</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7.1716437955357997E-3</v>
      </c>
      <c r="C371" s="3">
        <f t="shared" si="374"/>
        <v>3.3588351854042011E-8</v>
      </c>
      <c r="D371" s="3">
        <f t="shared" si="374"/>
        <v>1.705644534202181E-61</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2.3709240303004572E-2</v>
      </c>
      <c r="C372" s="3">
        <f t="shared" si="375"/>
        <v>7.8371600201990518E-3</v>
      </c>
      <c r="D372" s="3">
        <f t="shared" si="375"/>
        <v>1.2205890608309491E-7</v>
      </c>
      <c r="E372" s="3">
        <f t="shared" si="375"/>
        <v>1.0248895476576963E-55</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2.7327121949908457E-2</v>
      </c>
      <c r="C373" s="3">
        <f t="shared" si="376"/>
        <v>2.4730075394626943E-2</v>
      </c>
      <c r="D373" s="3">
        <f t="shared" si="376"/>
        <v>9.1104723748355026E-3</v>
      </c>
      <c r="E373" s="3">
        <f t="shared" si="376"/>
        <v>4.1946472766769137E-7</v>
      </c>
      <c r="F373" s="3">
        <f t="shared" si="376"/>
        <v>1.7957296978815142E-50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2.5894906539304575E-2</v>
      </c>
      <c r="C374" s="3">
        <f t="shared" si="377"/>
        <v>2.5662688505404541E-2</v>
      </c>
      <c r="D374" s="3">
        <f t="shared" si="377"/>
        <v>2.3452016909582884E-2</v>
      </c>
      <c r="E374" s="3">
        <f t="shared" si="377"/>
        <v>9.5270986044721055E-3</v>
      </c>
      <c r="F374" s="3">
        <f t="shared" si="377"/>
        <v>1.1661791570108162E-6</v>
      </c>
      <c r="G374" s="3">
        <f t="shared" si="377"/>
        <v>8.8066639422099227E-46</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2.7389466798446931E-2</v>
      </c>
      <c r="C375" s="3">
        <f t="shared" si="378"/>
        <v>2.736721885102571E-2</v>
      </c>
      <c r="D375" s="3">
        <f t="shared" si="378"/>
        <v>2.7145730896024019E-2</v>
      </c>
      <c r="E375" s="3">
        <f t="shared" si="378"/>
        <v>2.5027085798546796E-2</v>
      </c>
      <c r="F375" s="3">
        <f t="shared" si="378"/>
        <v>1.1104466861889798E-2</v>
      </c>
      <c r="G375" s="3">
        <f t="shared" si="378"/>
        <v>3.2837645624868989E-6</v>
      </c>
      <c r="H375" s="3">
        <f t="shared" si="378"/>
        <v>1.6792486400364644E-41</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3.2565211598232148E-2</v>
      </c>
      <c r="C376" s="3">
        <f t="shared" si="379"/>
        <v>3.2562824515925799E-2</v>
      </c>
      <c r="D376" s="3">
        <f t="shared" si="379"/>
        <v>3.2538963314479551E-2</v>
      </c>
      <c r="E376" s="3">
        <f t="shared" si="379"/>
        <v>3.2301310857210566E-2</v>
      </c>
      <c r="F376" s="3">
        <f t="shared" si="379"/>
        <v>3.0018189681346074E-2</v>
      </c>
      <c r="G376" s="3">
        <f t="shared" si="379"/>
        <v>1.4422083305843211E-2</v>
      </c>
      <c r="H376" s="3">
        <f t="shared" si="379"/>
        <v>9.45067923109925E-6</v>
      </c>
      <c r="I376" s="3">
        <f t="shared" si="379"/>
        <v>1.3797908265386364E-37</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3.4198354863117994E-2</v>
      </c>
      <c r="C377" s="3">
        <f t="shared" si="380"/>
        <v>3.4198128721874194E-2</v>
      </c>
      <c r="D377" s="3">
        <f t="shared" si="380"/>
        <v>3.4195867391680963E-2</v>
      </c>
      <c r="E377" s="3">
        <f t="shared" si="380"/>
        <v>3.4173262312216041E-2</v>
      </c>
      <c r="F377" s="3">
        <f t="shared" si="380"/>
        <v>3.3948031756083179E-2</v>
      </c>
      <c r="G377" s="3">
        <f t="shared" si="380"/>
        <v>3.1775778186362298E-2</v>
      </c>
      <c r="H377" s="3">
        <f t="shared" si="380"/>
        <v>1.6402579431675741E-2</v>
      </c>
      <c r="I377" s="3">
        <f t="shared" si="380"/>
        <v>2.203290151746329E-5</v>
      </c>
      <c r="J377" s="3">
        <f t="shared" si="380"/>
        <v>4.2137341323248022E-34</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4.2864407634823055E-2</v>
      </c>
      <c r="C378" s="3">
        <f t="shared" si="381"/>
        <v>4.2864382065496739E-2</v>
      </c>
      <c r="D378" s="3">
        <f t="shared" si="381"/>
        <v>4.286412637307245E-2</v>
      </c>
      <c r="E378" s="3">
        <f t="shared" si="381"/>
        <v>4.2861569532716512E-2</v>
      </c>
      <c r="F378" s="3">
        <f t="shared" si="381"/>
        <v>4.2836009515994436E-2</v>
      </c>
      <c r="G378" s="3">
        <f t="shared" si="381"/>
        <v>4.2581246184394753E-2</v>
      </c>
      <c r="H378" s="3">
        <f t="shared" si="381"/>
        <v>4.0115478541424207E-2</v>
      </c>
      <c r="I378" s="3">
        <f t="shared" si="381"/>
        <v>2.2092663449239488E-2</v>
      </c>
      <c r="J378" s="3">
        <f t="shared" si="381"/>
        <v>5.6703396157623364E-5</v>
      </c>
      <c r="K378" s="3">
        <f t="shared" si="381"/>
        <v>7.0342696747293464E-31</v>
      </c>
      <c r="L378" s="3">
        <f t="shared" si="381"/>
        <v>6.0718137778394629E-290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4.3714565881337535E-2</v>
      </c>
      <c r="C379" s="3">
        <f t="shared" si="382"/>
        <v>4.3714563529023295E-2</v>
      </c>
      <c r="D379" s="3">
        <f t="shared" si="382"/>
        <v>4.3714540005887835E-2</v>
      </c>
      <c r="E379" s="3">
        <f t="shared" si="382"/>
        <v>4.3714304775229466E-2</v>
      </c>
      <c r="F379" s="3">
        <f t="shared" si="382"/>
        <v>4.3711952538263092E-2</v>
      </c>
      <c r="G379" s="3">
        <f t="shared" si="382"/>
        <v>4.36884371289505E-2</v>
      </c>
      <c r="H379" s="3">
        <f t="shared" si="382"/>
        <v>4.3453977687126548E-2</v>
      </c>
      <c r="I379" s="3">
        <f t="shared" si="382"/>
        <v>4.1177485031033426E-2</v>
      </c>
      <c r="J379" s="3">
        <f t="shared" si="382"/>
        <v>2.4041559061340118E-2</v>
      </c>
      <c r="K379" s="3">
        <f t="shared" si="382"/>
        <v>1.1066001482999464E-4</v>
      </c>
      <c r="L379" s="3">
        <f t="shared" si="382"/>
        <v>4.7235844970447573E-28</v>
      </c>
      <c r="M379" s="3">
        <f t="shared" si="382"/>
        <v>9.4859609701608221E-262</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7.7757179524732947E-2</v>
      </c>
      <c r="C380" s="3">
        <f t="shared" si="383"/>
        <v>7.7757179147285707E-2</v>
      </c>
      <c r="D380" s="3">
        <f t="shared" si="383"/>
        <v>7.7757175372813278E-2</v>
      </c>
      <c r="E380" s="3">
        <f t="shared" si="383"/>
        <v>7.7757137628099077E-2</v>
      </c>
      <c r="F380" s="3">
        <f t="shared" si="383"/>
        <v>7.775676018196484E-2</v>
      </c>
      <c r="G380" s="3">
        <f t="shared" si="383"/>
        <v>7.7752985821391257E-2</v>
      </c>
      <c r="H380" s="3">
        <f t="shared" si="383"/>
        <v>7.7715252290725206E-2</v>
      </c>
      <c r="I380" s="3">
        <f t="shared" si="383"/>
        <v>7.7338922683866773E-2</v>
      </c>
      <c r="J380" s="3">
        <f t="shared" si="383"/>
        <v>7.3674413525644467E-2</v>
      </c>
      <c r="K380" s="3">
        <f t="shared" si="383"/>
        <v>4.5342178255566454E-2</v>
      </c>
      <c r="L380" s="3">
        <f t="shared" si="383"/>
        <v>3.5347549035910403E-4</v>
      </c>
      <c r="M380" s="3">
        <f t="shared" si="383"/>
        <v>2.9304111778961835E-25</v>
      </c>
      <c r="N380" s="3">
        <f t="shared" si="383"/>
        <v>4.4938764531608394E-236</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9.5507274744736192E-2</v>
      </c>
      <c r="C381" s="3">
        <f t="shared" si="384"/>
        <v>9.5507274702914771E-2</v>
      </c>
      <c r="D381" s="3">
        <f t="shared" si="384"/>
        <v>9.550727428470053E-2</v>
      </c>
      <c r="E381" s="3">
        <f t="shared" si="384"/>
        <v>9.5507270102558259E-2</v>
      </c>
      <c r="F381" s="3">
        <f t="shared" si="384"/>
        <v>9.550722828114562E-2</v>
      </c>
      <c r="G381" s="3">
        <f t="shared" si="384"/>
        <v>9.5506810068026429E-2</v>
      </c>
      <c r="H381" s="3">
        <f t="shared" si="384"/>
        <v>9.5502628037554646E-2</v>
      </c>
      <c r="I381" s="3">
        <f t="shared" si="384"/>
        <v>9.5460817803212791E-2</v>
      </c>
      <c r="J381" s="3">
        <f t="shared" si="384"/>
        <v>9.5043720867718715E-2</v>
      </c>
      <c r="K381" s="3">
        <f t="shared" si="384"/>
        <v>9.0971682263930292E-2</v>
      </c>
      <c r="L381" s="3">
        <f t="shared" si="384"/>
        <v>5.8712987941885883E-2</v>
      </c>
      <c r="M381" s="3">
        <f t="shared" si="384"/>
        <v>7.3623040455612291E-4</v>
      </c>
      <c r="N381" s="3">
        <f t="shared" si="384"/>
        <v>7.0763517432133204E-23</v>
      </c>
      <c r="O381" s="3">
        <f t="shared" si="384"/>
        <v>4.7617440305369861E-213</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8.0030755596041059E-2</v>
      </c>
      <c r="C382" s="3">
        <f t="shared" si="385"/>
        <v>8.0030755592879754E-2</v>
      </c>
      <c r="D382" s="3">
        <f t="shared" si="385"/>
        <v>8.003075556126675E-2</v>
      </c>
      <c r="E382" s="3">
        <f t="shared" si="385"/>
        <v>8.0030755245136642E-2</v>
      </c>
      <c r="F382" s="3">
        <f t="shared" si="385"/>
        <v>8.003075208383556E-2</v>
      </c>
      <c r="G382" s="3">
        <f t="shared" si="385"/>
        <v>8.0030720470831665E-2</v>
      </c>
      <c r="H382" s="3">
        <f t="shared" si="385"/>
        <v>8.0030404341479427E-2</v>
      </c>
      <c r="I382" s="3">
        <f t="shared" si="385"/>
        <v>8.0027243116637198E-2</v>
      </c>
      <c r="J382" s="3">
        <f t="shared" si="385"/>
        <v>7.9995637735213926E-2</v>
      </c>
      <c r="K382" s="3">
        <f t="shared" si="385"/>
        <v>7.9680269618306598E-2</v>
      </c>
      <c r="L382" s="3">
        <f t="shared" si="385"/>
        <v>7.6594166508588829E-2</v>
      </c>
      <c r="M382" s="3">
        <f t="shared" si="385"/>
        <v>5.1599404634171724E-2</v>
      </c>
      <c r="N382" s="3">
        <f t="shared" si="385"/>
        <v>9.9342400858771834E-4</v>
      </c>
      <c r="O382" s="3">
        <f t="shared" si="385"/>
        <v>6.9507914939659478E-21</v>
      </c>
      <c r="P382" s="3">
        <f t="shared" si="385"/>
        <v>1.9544760577552452E-192</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5.3976889971692137E-2</v>
      </c>
      <c r="C383" s="3">
        <f t="shared" si="386"/>
        <v>5.3976889971499797E-2</v>
      </c>
      <c r="D383" s="3">
        <f t="shared" si="386"/>
        <v>5.3976889969576426E-2</v>
      </c>
      <c r="E383" s="3">
        <f t="shared" si="386"/>
        <v>5.3976889950342707E-2</v>
      </c>
      <c r="F383" s="3">
        <f t="shared" si="386"/>
        <v>5.397688975800545E-2</v>
      </c>
      <c r="G383" s="3">
        <f t="shared" si="386"/>
        <v>5.3976887834632996E-2</v>
      </c>
      <c r="H383" s="3">
        <f t="shared" si="386"/>
        <v>5.3976868600912234E-2</v>
      </c>
      <c r="I383" s="3">
        <f t="shared" si="386"/>
        <v>5.397667626408148E-2</v>
      </c>
      <c r="J383" s="3">
        <f t="shared" si="386"/>
        <v>5.3974752933468241E-2</v>
      </c>
      <c r="K383" s="3">
        <f t="shared" si="386"/>
        <v>5.3955523396265331E-2</v>
      </c>
      <c r="L383" s="3">
        <f t="shared" si="386"/>
        <v>5.3763604420753598E-2</v>
      </c>
      <c r="M383" s="3">
        <f t="shared" si="386"/>
        <v>5.1881562759156515E-2</v>
      </c>
      <c r="N383" s="3">
        <f t="shared" si="386"/>
        <v>3.6329529390807837E-2</v>
      </c>
      <c r="O383" s="3">
        <f t="shared" si="386"/>
        <v>1.0297386177556219E-3</v>
      </c>
      <c r="P383" s="3">
        <f t="shared" si="386"/>
        <v>3.4466666421669577E-19</v>
      </c>
      <c r="Q383" s="3">
        <f t="shared" si="386"/>
        <v>6.0830598409583812E-174</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2.9623895965476245E-2</v>
      </c>
      <c r="C384" s="3">
        <f t="shared" si="387"/>
        <v>2.9623895965466721E-2</v>
      </c>
      <c r="D384" s="3">
        <f t="shared" si="387"/>
        <v>2.9623895965371499E-2</v>
      </c>
      <c r="E384" s="3">
        <f t="shared" si="387"/>
        <v>2.9623895964419264E-2</v>
      </c>
      <c r="F384" s="3">
        <f t="shared" si="387"/>
        <v>2.9623895954896909E-2</v>
      </c>
      <c r="G384" s="3">
        <f t="shared" si="387"/>
        <v>2.9623895859673371E-2</v>
      </c>
      <c r="H384" s="3">
        <f t="shared" si="387"/>
        <v>2.9623894907438025E-2</v>
      </c>
      <c r="I384" s="3">
        <f t="shared" si="387"/>
        <v>2.9623885385086209E-2</v>
      </c>
      <c r="J384" s="3">
        <f t="shared" si="387"/>
        <v>2.9623790161736406E-2</v>
      </c>
      <c r="K384" s="3">
        <f t="shared" si="387"/>
        <v>2.9622837945073012E-2</v>
      </c>
      <c r="L384" s="3">
        <f t="shared" si="387"/>
        <v>2.9613317461701146E-2</v>
      </c>
      <c r="M384" s="3">
        <f t="shared" si="387"/>
        <v>2.9518280754167375E-2</v>
      </c>
      <c r="N384" s="3">
        <f t="shared" si="387"/>
        <v>2.8584528046737445E-2</v>
      </c>
      <c r="O384" s="3">
        <f t="shared" si="387"/>
        <v>2.0726725502753882E-2</v>
      </c>
      <c r="P384" s="3">
        <f t="shared" si="387"/>
        <v>8.3277445173086538E-4</v>
      </c>
      <c r="Q384" s="3">
        <f t="shared" si="387"/>
        <v>9.1304959300852375E-18</v>
      </c>
      <c r="R384" s="3">
        <f t="shared" si="387"/>
        <v>2.2917334693604697E-157</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1.5005107194779757E-2</v>
      </c>
      <c r="C385" s="3">
        <f t="shared" si="388"/>
        <v>1.5005107194779323E-2</v>
      </c>
      <c r="D385" s="3">
        <f t="shared" si="388"/>
        <v>1.5005107194774971E-2</v>
      </c>
      <c r="E385" s="3">
        <f t="shared" si="388"/>
        <v>1.500510719473146E-2</v>
      </c>
      <c r="F385" s="3">
        <f t="shared" si="388"/>
        <v>1.5005107194296362E-2</v>
      </c>
      <c r="G385" s="3">
        <f t="shared" si="388"/>
        <v>1.5005107189945376E-2</v>
      </c>
      <c r="H385" s="3">
        <f t="shared" si="388"/>
        <v>1.5005107146435501E-2</v>
      </c>
      <c r="I385" s="3">
        <f t="shared" si="388"/>
        <v>1.5005106711336766E-2</v>
      </c>
      <c r="J385" s="3">
        <f t="shared" si="388"/>
        <v>1.5005102360350115E-2</v>
      </c>
      <c r="K385" s="3">
        <f t="shared" si="388"/>
        <v>1.5005058850553012E-2</v>
      </c>
      <c r="L385" s="3">
        <f t="shared" si="388"/>
        <v>1.5004623759520918E-2</v>
      </c>
      <c r="M385" s="3">
        <f t="shared" si="388"/>
        <v>1.5000273543021032E-2</v>
      </c>
      <c r="N385" s="3">
        <f t="shared" si="388"/>
        <v>1.4956840685746337E-2</v>
      </c>
      <c r="O385" s="3">
        <f t="shared" si="388"/>
        <v>1.4529369099884278E-2</v>
      </c>
      <c r="P385" s="3">
        <f t="shared" si="388"/>
        <v>1.0872155243876629E-2</v>
      </c>
      <c r="Q385" s="3">
        <f t="shared" si="388"/>
        <v>5.9841783673539794E-4</v>
      </c>
      <c r="R385" s="3">
        <f t="shared" si="388"/>
        <v>1.5271910756519584E-16</v>
      </c>
      <c r="S385" s="3">
        <f t="shared" si="388"/>
        <v>1.7897066608769335E-142</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4.0905508263932864E-3</v>
      </c>
      <c r="C386" s="3">
        <f t="shared" si="389"/>
        <v>4.0905508263932759E-3</v>
      </c>
      <c r="D386" s="3">
        <f t="shared" si="389"/>
        <v>4.0905508263931693E-3</v>
      </c>
      <c r="E386" s="3">
        <f t="shared" si="389"/>
        <v>4.0905508263920989E-3</v>
      </c>
      <c r="F386" s="3">
        <f t="shared" si="389"/>
        <v>4.0905508263813992E-3</v>
      </c>
      <c r="G386" s="3">
        <f t="shared" si="389"/>
        <v>4.0905508262744006E-3</v>
      </c>
      <c r="H386" s="3">
        <f t="shared" si="389"/>
        <v>4.090550825204417E-3</v>
      </c>
      <c r="I386" s="3">
        <f t="shared" si="389"/>
        <v>4.0905508145045819E-3</v>
      </c>
      <c r="J386" s="3">
        <f t="shared" si="389"/>
        <v>4.0905507075062264E-3</v>
      </c>
      <c r="K386" s="3">
        <f t="shared" si="389"/>
        <v>4.0905496375228259E-3</v>
      </c>
      <c r="L386" s="3">
        <f t="shared" si="389"/>
        <v>4.0905389377042158E-3</v>
      </c>
      <c r="M386" s="3">
        <f t="shared" si="389"/>
        <v>4.090431941057438E-3</v>
      </c>
      <c r="N386" s="3">
        <f t="shared" si="389"/>
        <v>4.0893621285073029E-3</v>
      </c>
      <c r="O386" s="3">
        <f t="shared" si="389"/>
        <v>4.0786793798844711E-3</v>
      </c>
      <c r="P386" s="3">
        <f t="shared" si="389"/>
        <v>3.973374802926595E-3</v>
      </c>
      <c r="Q386" s="3">
        <f t="shared" si="389"/>
        <v>3.0588571402700442E-3</v>
      </c>
      <c r="R386" s="3">
        <f t="shared" si="389"/>
        <v>2.2364325461774167E-4</v>
      </c>
      <c r="S386" s="3">
        <f t="shared" si="389"/>
        <v>9.7616200233526977E-16</v>
      </c>
      <c r="T386" s="3">
        <f t="shared" si="389"/>
        <v>2.4500945563167793E-129</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4.6207327982835146E-3</v>
      </c>
      <c r="C387" s="3">
        <f t="shared" si="390"/>
        <v>4.620732798283512E-3</v>
      </c>
      <c r="D387" s="3">
        <f t="shared" si="390"/>
        <v>4.6207327982834782E-3</v>
      </c>
      <c r="E387" s="3">
        <f t="shared" si="390"/>
        <v>4.6207327982831442E-3</v>
      </c>
      <c r="F387" s="3">
        <f t="shared" si="390"/>
        <v>4.6207327982798014E-3</v>
      </c>
      <c r="G387" s="3">
        <f t="shared" si="390"/>
        <v>4.6207327982463724E-3</v>
      </c>
      <c r="H387" s="3">
        <f t="shared" si="390"/>
        <v>4.620732797912086E-3</v>
      </c>
      <c r="I387" s="3">
        <f t="shared" si="390"/>
        <v>4.6207327945692192E-3</v>
      </c>
      <c r="J387" s="3">
        <f t="shared" si="390"/>
        <v>4.620732761140554E-3</v>
      </c>
      <c r="K387" s="3">
        <f t="shared" si="390"/>
        <v>4.6207324268539192E-3</v>
      </c>
      <c r="L387" s="3">
        <f t="shared" si="390"/>
        <v>4.6207290839888936E-3</v>
      </c>
      <c r="M387" s="3">
        <f t="shared" si="390"/>
        <v>4.6206956554716511E-3</v>
      </c>
      <c r="N387" s="3">
        <f t="shared" si="390"/>
        <v>4.6203613835999998E-3</v>
      </c>
      <c r="O387" s="3">
        <f t="shared" si="390"/>
        <v>4.6170199946051439E-3</v>
      </c>
      <c r="P387" s="3">
        <f t="shared" si="390"/>
        <v>4.5837387215747335E-3</v>
      </c>
      <c r="Q387" s="3">
        <f t="shared" si="390"/>
        <v>4.2638394640125551E-3</v>
      </c>
      <c r="R387" s="3">
        <f t="shared" si="390"/>
        <v>2.0682867514057544E-3</v>
      </c>
      <c r="S387" s="3">
        <f t="shared" si="390"/>
        <v>1.4917972479709758E-6</v>
      </c>
      <c r="T387" s="3">
        <f t="shared" si="390"/>
        <v>5.6846053249980969E-38</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2.0598839061917876E-3</v>
      </c>
      <c r="C388" s="3">
        <f t="shared" si="391"/>
        <v>2.0598839061917872E-3</v>
      </c>
      <c r="D388" s="3">
        <f t="shared" si="391"/>
        <v>2.0598839061917859E-3</v>
      </c>
      <c r="E388" s="3">
        <f t="shared" si="391"/>
        <v>2.0598839061917711E-3</v>
      </c>
      <c r="F388" s="3">
        <f t="shared" si="391"/>
        <v>2.0598839061916219E-3</v>
      </c>
      <c r="G388" s="3">
        <f t="shared" si="391"/>
        <v>2.0598839061901318E-3</v>
      </c>
      <c r="H388" s="3">
        <f t="shared" si="391"/>
        <v>2.0598839061752297E-3</v>
      </c>
      <c r="I388" s="3">
        <f t="shared" si="391"/>
        <v>2.0598839060262074E-3</v>
      </c>
      <c r="J388" s="3">
        <f t="shared" si="391"/>
        <v>2.0598839045359858E-3</v>
      </c>
      <c r="K388" s="3">
        <f t="shared" si="391"/>
        <v>2.059883889633767E-3</v>
      </c>
      <c r="L388" s="3">
        <f t="shared" si="391"/>
        <v>2.0598837406115905E-3</v>
      </c>
      <c r="M388" s="3">
        <f t="shared" si="391"/>
        <v>2.059882250390414E-3</v>
      </c>
      <c r="N388" s="3">
        <f t="shared" si="391"/>
        <v>2.0598673482379454E-3</v>
      </c>
      <c r="O388" s="3">
        <f t="shared" si="391"/>
        <v>2.0597183326426351E-3</v>
      </c>
      <c r="P388" s="3">
        <f t="shared" si="391"/>
        <v>2.058228769468286E-3</v>
      </c>
      <c r="Q388" s="3">
        <f t="shared" si="391"/>
        <v>2.0433922572340398E-3</v>
      </c>
      <c r="R388" s="3">
        <f t="shared" si="391"/>
        <v>1.9007838526753909E-3</v>
      </c>
      <c r="S388" s="3">
        <f t="shared" si="391"/>
        <v>9.2202487756769865E-4</v>
      </c>
      <c r="T388" s="3">
        <f t="shared" si="391"/>
        <v>6.6503069459851205E-7</v>
      </c>
      <c r="U388" s="3">
        <f t="shared" si="391"/>
        <v>2.5341493510218865E-38</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2.0793314772124174E-3</v>
      </c>
      <c r="C389" s="3">
        <f t="shared" si="392"/>
        <v>2.0793314772124174E-3</v>
      </c>
      <c r="D389" s="3">
        <f t="shared" si="392"/>
        <v>2.079331477212417E-3</v>
      </c>
      <c r="E389" s="3">
        <f t="shared" si="392"/>
        <v>2.0793314772124157E-3</v>
      </c>
      <c r="F389" s="3">
        <f t="shared" si="392"/>
        <v>2.0793314772124009E-3</v>
      </c>
      <c r="G389" s="3">
        <f t="shared" si="392"/>
        <v>2.0793314772122504E-3</v>
      </c>
      <c r="H389" s="3">
        <f t="shared" si="392"/>
        <v>2.079331477210746E-3</v>
      </c>
      <c r="I389" s="3">
        <f t="shared" si="392"/>
        <v>2.0793314771957029E-3</v>
      </c>
      <c r="J389" s="3">
        <f t="shared" si="392"/>
        <v>2.0793314770452737E-3</v>
      </c>
      <c r="K389" s="3">
        <f t="shared" si="392"/>
        <v>2.0793314755409827E-3</v>
      </c>
      <c r="L389" s="3">
        <f t="shared" si="392"/>
        <v>2.0793314604980709E-3</v>
      </c>
      <c r="M389" s="3">
        <f t="shared" si="392"/>
        <v>2.0793313100689608E-3</v>
      </c>
      <c r="N389" s="3">
        <f t="shared" si="392"/>
        <v>2.0793298057784565E-3</v>
      </c>
      <c r="O389" s="3">
        <f t="shared" si="392"/>
        <v>2.0793147629332687E-3</v>
      </c>
      <c r="P389" s="3">
        <f t="shared" si="392"/>
        <v>2.0791643404667439E-3</v>
      </c>
      <c r="Q389" s="3">
        <f t="shared" si="392"/>
        <v>2.0776607141767328E-3</v>
      </c>
      <c r="R389" s="3">
        <f t="shared" si="392"/>
        <v>2.0626841289390968E-3</v>
      </c>
      <c r="S389" s="3">
        <f t="shared" si="392"/>
        <v>1.918729344097823E-3</v>
      </c>
      <c r="T389" s="3">
        <f t="shared" si="392"/>
        <v>9.3072980711998373E-4</v>
      </c>
      <c r="U389" s="3">
        <f t="shared" si="392"/>
        <v>6.7130931623598756E-7</v>
      </c>
      <c r="V389" s="3">
        <f t="shared" si="392"/>
        <v>2.5580745097809513E-38</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2.538048611821601E-3</v>
      </c>
      <c r="C391" s="3">
        <f t="shared" si="394"/>
        <v>2.538048611821601E-3</v>
      </c>
      <c r="D391" s="3">
        <f t="shared" si="394"/>
        <v>2.538048611821601E-3</v>
      </c>
      <c r="E391" s="3">
        <f t="shared" si="394"/>
        <v>2.538048611821601E-3</v>
      </c>
      <c r="F391" s="3">
        <f t="shared" si="394"/>
        <v>2.5380486118216005E-3</v>
      </c>
      <c r="G391" s="3">
        <f t="shared" si="394"/>
        <v>2.5380486118215988E-3</v>
      </c>
      <c r="H391" s="3">
        <f t="shared" si="394"/>
        <v>2.5380486118215806E-3</v>
      </c>
      <c r="I391" s="3">
        <f t="shared" si="394"/>
        <v>2.5380486118213971E-3</v>
      </c>
      <c r="J391" s="3">
        <f t="shared" si="394"/>
        <v>2.5380486118195609E-3</v>
      </c>
      <c r="K391" s="3">
        <f t="shared" si="394"/>
        <v>2.5380486118011993E-3</v>
      </c>
      <c r="L391" s="3">
        <f t="shared" si="394"/>
        <v>2.5380486116175845E-3</v>
      </c>
      <c r="M391" s="3">
        <f t="shared" si="394"/>
        <v>2.5380486097814348E-3</v>
      </c>
      <c r="N391" s="3">
        <f t="shared" si="394"/>
        <v>2.5380485914199362E-3</v>
      </c>
      <c r="O391" s="3">
        <f t="shared" si="394"/>
        <v>2.5380484078049628E-3</v>
      </c>
      <c r="P391" s="3">
        <f t="shared" si="394"/>
        <v>2.538046571655956E-3</v>
      </c>
      <c r="Q391" s="3">
        <f t="shared" si="394"/>
        <v>2.5380282102389503E-3</v>
      </c>
      <c r="R391" s="3">
        <f t="shared" si="394"/>
        <v>2.5378446033746602E-3</v>
      </c>
      <c r="S391" s="3">
        <f t="shared" si="394"/>
        <v>2.5360092651133563E-3</v>
      </c>
      <c r="T391" s="3">
        <f t="shared" si="394"/>
        <v>2.5177287255318715E-3</v>
      </c>
      <c r="U391" s="3">
        <f t="shared" si="394"/>
        <v>2.3420163651720481E-3</v>
      </c>
      <c r="V391" s="3">
        <f t="shared" si="394"/>
        <v>1.1360562377042028E-3</v>
      </c>
      <c r="W391" s="3">
        <f t="shared" si="394"/>
        <v>8.1940551415102749E-7</v>
      </c>
      <c r="X391" s="3">
        <f t="shared" si="394"/>
        <v>3.1224061818126902E-38</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1.186723127453265E-7</v>
      </c>
      <c r="C392" s="3">
        <f t="shared" si="395"/>
        <v>1.186723127453265E-7</v>
      </c>
      <c r="D392" s="3">
        <f t="shared" si="395"/>
        <v>1.186723127453265E-7</v>
      </c>
      <c r="E392" s="3">
        <f t="shared" si="395"/>
        <v>1.186723127453265E-7</v>
      </c>
      <c r="F392" s="3">
        <f t="shared" si="395"/>
        <v>1.186723127453265E-7</v>
      </c>
      <c r="G392" s="3">
        <f t="shared" si="395"/>
        <v>1.1867231274532648E-7</v>
      </c>
      <c r="H392" s="3">
        <f t="shared" si="395"/>
        <v>1.186723127453264E-7</v>
      </c>
      <c r="I392" s="3">
        <f t="shared" si="395"/>
        <v>1.1867231274532554E-7</v>
      </c>
      <c r="J392" s="3">
        <f t="shared" si="395"/>
        <v>1.1867231274531696E-7</v>
      </c>
      <c r="K392" s="3">
        <f t="shared" si="395"/>
        <v>1.1867231274523111E-7</v>
      </c>
      <c r="L392" s="3">
        <f t="shared" si="395"/>
        <v>1.1867231274437257E-7</v>
      </c>
      <c r="M392" s="3">
        <f t="shared" si="395"/>
        <v>1.1867231273578723E-7</v>
      </c>
      <c r="N392" s="3">
        <f t="shared" si="395"/>
        <v>1.1867231264993382E-7</v>
      </c>
      <c r="O392" s="3">
        <f t="shared" si="395"/>
        <v>1.1867231179139965E-7</v>
      </c>
      <c r="P392" s="3">
        <f t="shared" si="395"/>
        <v>1.1867230320605835E-7</v>
      </c>
      <c r="Q392" s="3">
        <f t="shared" si="395"/>
        <v>1.1867221735267944E-7</v>
      </c>
      <c r="R392" s="3">
        <f t="shared" si="395"/>
        <v>1.1867135882230643E-7</v>
      </c>
      <c r="S392" s="3">
        <f t="shared" si="395"/>
        <v>1.1866277386017462E-7</v>
      </c>
      <c r="T392" s="3">
        <f t="shared" si="395"/>
        <v>1.1857695838953138E-7</v>
      </c>
      <c r="U392" s="3">
        <f t="shared" si="395"/>
        <v>1.1772220962693368E-7</v>
      </c>
      <c r="V392" s="3">
        <f t="shared" si="395"/>
        <v>1.0950637322225801E-7</v>
      </c>
      <c r="W392" s="3">
        <f t="shared" si="395"/>
        <v>5.3118927868111495E-8</v>
      </c>
      <c r="X392" s="3">
        <f t="shared" si="395"/>
        <v>3.8313193446198195E-11</v>
      </c>
      <c r="Y392" s="3">
        <f t="shared" si="395"/>
        <v>1.4599529780482464E-42</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1.5301760835243074E-4</v>
      </c>
      <c r="C393" s="3">
        <f t="shared" si="396"/>
        <v>1.5301760835243074E-4</v>
      </c>
      <c r="D393" s="3">
        <f t="shared" si="396"/>
        <v>1.5301760835243074E-4</v>
      </c>
      <c r="E393" s="3">
        <f t="shared" si="396"/>
        <v>1.5301760835243074E-4</v>
      </c>
      <c r="F393" s="3">
        <f t="shared" si="396"/>
        <v>1.5301760835243074E-4</v>
      </c>
      <c r="G393" s="3">
        <f t="shared" si="396"/>
        <v>1.5301760835243074E-4</v>
      </c>
      <c r="H393" s="3">
        <f t="shared" si="396"/>
        <v>1.5301760835243072E-4</v>
      </c>
      <c r="I393" s="3">
        <f t="shared" si="396"/>
        <v>1.5301760835243063E-4</v>
      </c>
      <c r="J393" s="3">
        <f t="shared" si="396"/>
        <v>1.5301760835242952E-4</v>
      </c>
      <c r="K393" s="3">
        <f t="shared" si="396"/>
        <v>1.5301760835241844E-4</v>
      </c>
      <c r="L393" s="3">
        <f t="shared" si="396"/>
        <v>1.5301760835230774E-4</v>
      </c>
      <c r="M393" s="3">
        <f t="shared" si="396"/>
        <v>1.5301760835120074E-4</v>
      </c>
      <c r="N393" s="3">
        <f t="shared" si="396"/>
        <v>1.5301760834013069E-4</v>
      </c>
      <c r="O393" s="3">
        <f t="shared" si="396"/>
        <v>1.530176082294302E-4</v>
      </c>
      <c r="P393" s="3">
        <f t="shared" si="396"/>
        <v>1.5301760712242517E-4</v>
      </c>
      <c r="Q393" s="3">
        <f t="shared" si="396"/>
        <v>1.5301759605237554E-4</v>
      </c>
      <c r="R393" s="3">
        <f t="shared" si="396"/>
        <v>1.5301748535192312E-4</v>
      </c>
      <c r="S393" s="3">
        <f t="shared" si="396"/>
        <v>1.5301637835180376E-4</v>
      </c>
      <c r="T393" s="3">
        <f t="shared" si="396"/>
        <v>1.5300530879107119E-4</v>
      </c>
      <c r="U393" s="3">
        <f t="shared" si="396"/>
        <v>1.5289465721806574E-4</v>
      </c>
      <c r="V393" s="3">
        <f t="shared" si="396"/>
        <v>1.5179253315585436E-4</v>
      </c>
      <c r="W393" s="3">
        <f t="shared" si="396"/>
        <v>1.41198927889593E-4</v>
      </c>
      <c r="X393" s="3">
        <f t="shared" si="396"/>
        <v>6.8492229675062112E-5</v>
      </c>
      <c r="Y393" s="3">
        <f t="shared" si="396"/>
        <v>4.9401525038637539E-8</v>
      </c>
      <c r="Z393" s="3">
        <f t="shared" si="396"/>
        <v>1.8824821716196751E-39</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1.8120582087099855E-4</v>
      </c>
      <c r="C394" s="3">
        <f t="shared" si="397"/>
        <v>1.8120582087099855E-4</v>
      </c>
      <c r="D394" s="3">
        <f t="shared" si="397"/>
        <v>1.8120582087099855E-4</v>
      </c>
      <c r="E394" s="3">
        <f t="shared" si="397"/>
        <v>1.8120582087099855E-4</v>
      </c>
      <c r="F394" s="3">
        <f t="shared" si="397"/>
        <v>1.8120582087099855E-4</v>
      </c>
      <c r="G394" s="3">
        <f t="shared" si="397"/>
        <v>1.8120582087099855E-4</v>
      </c>
      <c r="H394" s="3">
        <f t="shared" si="397"/>
        <v>1.8120582087099855E-4</v>
      </c>
      <c r="I394" s="3">
        <f t="shared" si="397"/>
        <v>1.8120582087099852E-4</v>
      </c>
      <c r="J394" s="3">
        <f t="shared" si="397"/>
        <v>1.8120582087099841E-4</v>
      </c>
      <c r="K394" s="3">
        <f t="shared" si="397"/>
        <v>1.8120582087099711E-4</v>
      </c>
      <c r="L394" s="3">
        <f t="shared" si="397"/>
        <v>1.8120582087098399E-4</v>
      </c>
      <c r="M394" s="3">
        <f t="shared" si="397"/>
        <v>1.8120582087085288E-4</v>
      </c>
      <c r="N394" s="3">
        <f t="shared" si="397"/>
        <v>1.8120582086954195E-4</v>
      </c>
      <c r="O394" s="3">
        <f t="shared" si="397"/>
        <v>1.8120582085643264E-4</v>
      </c>
      <c r="P394" s="3">
        <f t="shared" si="397"/>
        <v>1.812058207253394E-4</v>
      </c>
      <c r="Q394" s="3">
        <f t="shared" si="397"/>
        <v>1.8120581941440689E-4</v>
      </c>
      <c r="R394" s="3">
        <f t="shared" si="397"/>
        <v>1.8120580630508274E-4</v>
      </c>
      <c r="S394" s="3">
        <f t="shared" si="397"/>
        <v>1.8120567521189308E-4</v>
      </c>
      <c r="T394" s="3">
        <f t="shared" si="397"/>
        <v>1.8120436428521288E-4</v>
      </c>
      <c r="U394" s="3">
        <f t="shared" si="397"/>
        <v>1.8119125554001144E-4</v>
      </c>
      <c r="V394" s="3">
        <f t="shared" si="397"/>
        <v>1.8106022023412074E-4</v>
      </c>
      <c r="W394" s="3">
        <f t="shared" si="397"/>
        <v>1.7975506785626683E-4</v>
      </c>
      <c r="X394" s="3">
        <f t="shared" si="397"/>
        <v>1.6720995648689463E-4</v>
      </c>
      <c r="Y394" s="3">
        <f t="shared" si="397"/>
        <v>8.1109558796456249E-5</v>
      </c>
      <c r="Z394" s="3">
        <f t="shared" si="397"/>
        <v>5.8502050798543282E-8</v>
      </c>
      <c r="AA394" s="3">
        <f t="shared" si="397"/>
        <v>2.2292645327307812E-39</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0.11315117272680382</v>
      </c>
      <c r="B397" s="80">
        <f>IF($A$64&lt;=B363,IF($B$64&gt;=B363,ABS((B365-B364)/B364),0),0)</f>
        <v>1.0794163307402004E-2</v>
      </c>
      <c r="C397" s="80">
        <f t="shared" ref="C397:AF397" si="400">IF($A$64&lt;=C363,IF($B$64&gt;=C363,ABS((C365-C364)/C364),0),0)</f>
        <v>2.3468161430284289E-2</v>
      </c>
      <c r="D397" s="80">
        <f t="shared" si="400"/>
        <v>2.3086120686352414E-2</v>
      </c>
      <c r="E397" s="80">
        <f t="shared" si="400"/>
        <v>2.5235084219355081E-2</v>
      </c>
      <c r="F397" s="80">
        <f t="shared" si="400"/>
        <v>2.5711531402707939E-2</v>
      </c>
      <c r="G397" s="80">
        <f t="shared" si="400"/>
        <v>3.0314823478341225E-2</v>
      </c>
      <c r="H397" s="80">
        <f t="shared" si="400"/>
        <v>3.4261242071633405E-2</v>
      </c>
      <c r="I397" s="80">
        <f t="shared" si="400"/>
        <v>3.998289109823587E-2</v>
      </c>
      <c r="J397" s="80">
        <f t="shared" si="400"/>
        <v>4.5418684958163223E-2</v>
      </c>
      <c r="K397" s="80">
        <f t="shared" si="400"/>
        <v>3.9153534534115214E-2</v>
      </c>
      <c r="L397" s="80">
        <f t="shared" si="400"/>
        <v>2.025493793131506E-2</v>
      </c>
      <c r="M397" s="80">
        <f t="shared" si="400"/>
        <v>0.11472165595295906</v>
      </c>
      <c r="N397" s="80">
        <f t="shared" si="400"/>
        <v>0.21283445869106735</v>
      </c>
      <c r="O397" s="80">
        <f t="shared" si="400"/>
        <v>0.30382615747357916</v>
      </c>
      <c r="P397" s="80">
        <f t="shared" si="400"/>
        <v>0.38447945206548451</v>
      </c>
      <c r="Q397" s="80">
        <f t="shared" si="400"/>
        <v>0.43460009957540791</v>
      </c>
      <c r="R397" s="80">
        <f t="shared" si="400"/>
        <v>0.4401513613464928</v>
      </c>
      <c r="S397" s="80">
        <f t="shared" si="400"/>
        <v>0.39051644758711868</v>
      </c>
      <c r="T397" s="80">
        <f t="shared" si="400"/>
        <v>0.29940428344182402</v>
      </c>
      <c r="U397" s="80">
        <f t="shared" si="400"/>
        <v>0.21166682333417794</v>
      </c>
      <c r="V397" s="80">
        <f t="shared" si="400"/>
        <v>0.13027386173566233</v>
      </c>
      <c r="W397" s="80">
        <f t="shared" si="400"/>
        <v>9.6586734900503998E-2</v>
      </c>
      <c r="X397" s="80">
        <f t="shared" si="400"/>
        <v>5.8383694590205301E-2</v>
      </c>
      <c r="Y397" s="80">
        <f t="shared" si="400"/>
        <v>3.8367840376955571E-2</v>
      </c>
      <c r="Z397" s="80">
        <f t="shared" si="400"/>
        <v>2.4318584473611123E-2</v>
      </c>
      <c r="AA397" s="80">
        <f t="shared" si="400"/>
        <v>2.0114085273256907E-2</v>
      </c>
      <c r="AB397" s="80">
        <f t="shared" si="400"/>
        <v>1.4970893998658037E-2</v>
      </c>
      <c r="AC397" s="80">
        <f t="shared" si="400"/>
        <v>1.1740896451438128E-3</v>
      </c>
      <c r="AD397" s="80">
        <f t="shared" si="400"/>
        <v>7.8312912081213669E-4</v>
      </c>
      <c r="AE397" s="80">
        <f t="shared" si="400"/>
        <v>5.2807681423270624E-3</v>
      </c>
      <c r="AF397" s="80">
        <f t="shared" si="400"/>
        <v>7.550757687764943E-3</v>
      </c>
    </row>
    <row r="398" spans="1:34" x14ac:dyDescent="0.25">
      <c r="B398" s="21">
        <f>(B365-B364)^2</f>
        <v>2397.5527862021236</v>
      </c>
      <c r="C398" s="21">
        <f t="shared" ref="C398:AF398" si="401">(C365-C364)^2</f>
        <v>10198.238163839813</v>
      </c>
      <c r="D398" s="21">
        <f t="shared" si="401"/>
        <v>9080.2643050134175</v>
      </c>
      <c r="E398" s="21">
        <f t="shared" si="401"/>
        <v>9913.7185642925633</v>
      </c>
      <c r="F398" s="21">
        <f t="shared" si="401"/>
        <v>9379.0840703915801</v>
      </c>
      <c r="G398" s="21">
        <f t="shared" si="401"/>
        <v>11594.227480918578</v>
      </c>
      <c r="H398" s="21">
        <f t="shared" si="401"/>
        <v>12926.375890587848</v>
      </c>
      <c r="I398" s="21">
        <f t="shared" si="401"/>
        <v>14877.858450694766</v>
      </c>
      <c r="J398" s="21">
        <f t="shared" si="401"/>
        <v>15545.203497644208</v>
      </c>
      <c r="K398" s="21">
        <f t="shared" si="401"/>
        <v>8683.2961394698159</v>
      </c>
      <c r="L398" s="21">
        <f t="shared" si="401"/>
        <v>1557.966783926792</v>
      </c>
      <c r="M398" s="21">
        <f t="shared" si="401"/>
        <v>28939.551651961741</v>
      </c>
      <c r="N398" s="21">
        <f t="shared" si="401"/>
        <v>51356.499089772689</v>
      </c>
      <c r="O398" s="21">
        <f t="shared" si="401"/>
        <v>52765.198752934433</v>
      </c>
      <c r="P398" s="21">
        <f t="shared" si="401"/>
        <v>48751.736592561312</v>
      </c>
      <c r="Q398" s="21">
        <f t="shared" si="401"/>
        <v>42143.101139095801</v>
      </c>
      <c r="R398" s="21">
        <f t="shared" si="401"/>
        <v>31740.396481140528</v>
      </c>
      <c r="S398" s="21">
        <f t="shared" si="401"/>
        <v>16872.730338433761</v>
      </c>
      <c r="T398" s="21">
        <f t="shared" si="401"/>
        <v>6540.397169556174</v>
      </c>
      <c r="U398" s="21">
        <f t="shared" si="401"/>
        <v>2374.9154178865765</v>
      </c>
      <c r="V398" s="21">
        <f t="shared" si="401"/>
        <v>671.92756919426665</v>
      </c>
      <c r="W398" s="21">
        <f t="shared" si="401"/>
        <v>311.32242534439456</v>
      </c>
      <c r="X398" s="21">
        <f t="shared" si="401"/>
        <v>103.94611414517897</v>
      </c>
      <c r="Y398" s="21">
        <f t="shared" si="401"/>
        <v>42.477865992378028</v>
      </c>
      <c r="Z398" s="21">
        <f t="shared" si="401"/>
        <v>16.462122750461276</v>
      </c>
      <c r="AA398" s="21">
        <f t="shared" si="401"/>
        <v>11.165358659803127</v>
      </c>
      <c r="AB398" s="21">
        <f t="shared" si="401"/>
        <v>6.1209732035465407</v>
      </c>
      <c r="AC398" s="21">
        <f t="shared" si="401"/>
        <v>3.6613905001555119E-2</v>
      </c>
      <c r="AD398" s="21">
        <f t="shared" si="401"/>
        <v>1.6276850151644033E-2</v>
      </c>
      <c r="AE398" s="21">
        <f t="shared" si="401"/>
        <v>0.73121077988238403</v>
      </c>
      <c r="AF398" s="21">
        <f t="shared" si="401"/>
        <v>1.4882309544416656</v>
      </c>
      <c r="AG398" s="3"/>
      <c r="AH398" s="3"/>
    </row>
    <row r="399" spans="1:34" x14ac:dyDescent="0.25">
      <c r="A399" s="71">
        <f>SUM(B399:AF399)</f>
        <v>388804.007528104</v>
      </c>
      <c r="B399" s="60">
        <f>IF($A$64&lt;=B363,IF($B$64&gt;=B363,ABS(B398),0),0)</f>
        <v>2397.5527862021236</v>
      </c>
      <c r="C399" s="60">
        <f t="shared" ref="C399" si="402">IF($A$64&lt;=C363,IF($B$64&gt;=C363,ABS(C398),0),0)</f>
        <v>10198.238163839813</v>
      </c>
      <c r="D399" s="60">
        <f t="shared" ref="D399" si="403">IF($A$64&lt;=D363,IF($B$64&gt;=D363,ABS(D398),0),0)</f>
        <v>9080.2643050134175</v>
      </c>
      <c r="E399" s="60">
        <f t="shared" ref="E399" si="404">IF($A$64&lt;=E363,IF($B$64&gt;=E363,ABS(E398),0),0)</f>
        <v>9913.7185642925633</v>
      </c>
      <c r="F399" s="60">
        <f t="shared" ref="F399" si="405">IF($A$64&lt;=F363,IF($B$64&gt;=F363,ABS(F398),0),0)</f>
        <v>9379.0840703915801</v>
      </c>
      <c r="G399" s="60">
        <f t="shared" ref="G399" si="406">IF($A$64&lt;=G363,IF($B$64&gt;=G363,ABS(G398),0),0)</f>
        <v>11594.227480918578</v>
      </c>
      <c r="H399" s="60">
        <f t="shared" ref="H399" si="407">IF($A$64&lt;=H363,IF($B$64&gt;=H363,ABS(H398),0),0)</f>
        <v>12926.375890587848</v>
      </c>
      <c r="I399" s="60">
        <f t="shared" ref="I399" si="408">IF($A$64&lt;=I363,IF($B$64&gt;=I363,ABS(I398),0),0)</f>
        <v>14877.858450694766</v>
      </c>
      <c r="J399" s="60">
        <f t="shared" ref="J399" si="409">IF($A$64&lt;=J363,IF($B$64&gt;=J363,ABS(J398),0),0)</f>
        <v>15545.203497644208</v>
      </c>
      <c r="K399" s="60">
        <f t="shared" ref="K399" si="410">IF($A$64&lt;=K363,IF($B$64&gt;=K363,ABS(K398),0),0)</f>
        <v>8683.2961394698159</v>
      </c>
      <c r="L399" s="60">
        <f t="shared" ref="L399" si="411">IF($A$64&lt;=L363,IF($B$64&gt;=L363,ABS(L398),0),0)</f>
        <v>1557.966783926792</v>
      </c>
      <c r="M399" s="60">
        <f t="shared" ref="M399" si="412">IF($A$64&lt;=M363,IF($B$64&gt;=M363,ABS(M398),0),0)</f>
        <v>28939.551651961741</v>
      </c>
      <c r="N399" s="60">
        <f t="shared" ref="N399" si="413">IF($A$64&lt;=N363,IF($B$64&gt;=N363,ABS(N398),0),0)</f>
        <v>51356.499089772689</v>
      </c>
      <c r="O399" s="60">
        <f t="shared" ref="O399" si="414">IF($A$64&lt;=O363,IF($B$64&gt;=O363,ABS(O398),0),0)</f>
        <v>52765.198752934433</v>
      </c>
      <c r="P399" s="60">
        <f t="shared" ref="P399" si="415">IF($A$64&lt;=P363,IF($B$64&gt;=P363,ABS(P398),0),0)</f>
        <v>48751.736592561312</v>
      </c>
      <c r="Q399" s="60">
        <f t="shared" ref="Q399" si="416">IF($A$64&lt;=Q363,IF($B$64&gt;=Q363,ABS(Q398),0),0)</f>
        <v>42143.101139095801</v>
      </c>
      <c r="R399" s="60">
        <f t="shared" ref="R399" si="417">IF($A$64&lt;=R363,IF($B$64&gt;=R363,ABS(R398),0),0)</f>
        <v>31740.396481140528</v>
      </c>
      <c r="S399" s="60">
        <f t="shared" ref="S399" si="418">IF($A$64&lt;=S363,IF($B$64&gt;=S363,ABS(S398),0),0)</f>
        <v>16872.730338433761</v>
      </c>
      <c r="T399" s="60">
        <f t="shared" ref="T399" si="419">IF($A$64&lt;=T363,IF($B$64&gt;=T363,ABS(T398),0),0)</f>
        <v>6540.397169556174</v>
      </c>
      <c r="U399" s="60">
        <f t="shared" ref="U399" si="420">IF($A$64&lt;=U363,IF($B$64&gt;=U363,ABS(U398),0),0)</f>
        <v>2374.9154178865765</v>
      </c>
      <c r="V399" s="60">
        <f t="shared" ref="V399" si="421">IF($A$64&lt;=V363,IF($B$64&gt;=V363,ABS(V398),0),0)</f>
        <v>671.92756919426665</v>
      </c>
      <c r="W399" s="60">
        <f t="shared" ref="W399" si="422">IF($A$64&lt;=W363,IF($B$64&gt;=W363,ABS(W398),0),0)</f>
        <v>311.32242534439456</v>
      </c>
      <c r="X399" s="60">
        <f t="shared" ref="X399" si="423">IF($A$64&lt;=X363,IF($B$64&gt;=X363,ABS(X398),0),0)</f>
        <v>103.94611414517897</v>
      </c>
      <c r="Y399" s="60">
        <f t="shared" ref="Y399" si="424">IF($A$64&lt;=Y363,IF($B$64&gt;=Y363,ABS(Y398),0),0)</f>
        <v>42.477865992378028</v>
      </c>
      <c r="Z399" s="60">
        <f t="shared" ref="Z399" si="425">IF($A$64&lt;=Z363,IF($B$64&gt;=Z363,ABS(Z398),0),0)</f>
        <v>16.462122750461276</v>
      </c>
      <c r="AA399" s="60">
        <f t="shared" ref="AA399" si="426">IF($A$64&lt;=AA363,IF($B$64&gt;=AA363,ABS(AA398),0),0)</f>
        <v>11.165358659803127</v>
      </c>
      <c r="AB399" s="60">
        <f t="shared" ref="AB399" si="427">IF($A$64&lt;=AB363,IF($B$64&gt;=AB363,ABS(AB398),0),0)</f>
        <v>6.1209732035465407</v>
      </c>
      <c r="AC399" s="60">
        <f t="shared" ref="AC399" si="428">IF($A$64&lt;=AC363,IF($B$64&gt;=AC363,ABS(AC398),0),0)</f>
        <v>3.6613905001555119E-2</v>
      </c>
      <c r="AD399" s="60">
        <f t="shared" ref="AD399" si="429">IF($A$64&lt;=AD363,IF($B$64&gt;=AD363,ABS(AD398),0),0)</f>
        <v>1.6276850151644033E-2</v>
      </c>
      <c r="AE399" s="60">
        <f t="shared" ref="AE399" si="430">IF($A$64&lt;=AE363,IF($B$64&gt;=AE363,ABS(AE398),0),0)</f>
        <v>0.73121077988238403</v>
      </c>
      <c r="AF399" s="60">
        <f t="shared" ref="AF399" si="431">IF($A$64&lt;=AF363,IF($B$64&gt;=AF363,ABS(AF398),0),0)</f>
        <v>1.4882309544416656</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-38.517353384161886</v>
      </c>
      <c r="C403" s="107">
        <f t="shared" ref="C403:H403" si="432">IF(C125=$B$2,0,C126)</f>
        <v>-28.242677524374091</v>
      </c>
      <c r="D403" s="107">
        <f t="shared" si="432"/>
        <v>-23.278139985677022</v>
      </c>
      <c r="E403" s="107">
        <f t="shared" si="432"/>
        <v>-19.20027621554874</v>
      </c>
      <c r="F403" s="107">
        <f t="shared" si="432"/>
        <v>-13.208808155790608</v>
      </c>
      <c r="G403" s="107">
        <f t="shared" si="432"/>
        <v>0</v>
      </c>
      <c r="H403" s="107">
        <f t="shared" si="432"/>
        <v>13.597146440199497</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1.871224813116794E-32</v>
      </c>
      <c r="C404" s="3">
        <f t="shared" ref="C404:H419" si="433">$A404/EXP(-C$403)</f>
        <v>5.4245160308756829E-28</v>
      </c>
      <c r="D404" s="3">
        <f t="shared" si="433"/>
        <v>7.7702010348621365E-26</v>
      </c>
      <c r="E404" s="3">
        <f t="shared" si="433"/>
        <v>4.5859148706976726E-24</v>
      </c>
      <c r="F404" s="3">
        <f t="shared" si="433"/>
        <v>1.8343723917762092E-21</v>
      </c>
      <c r="G404" s="3">
        <f t="shared" si="433"/>
        <v>1.0000000000000001E-15</v>
      </c>
      <c r="H404" s="3">
        <f t="shared" si="433"/>
        <v>8.0383269860784793E-10</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1.8712248131167939E-31</v>
      </c>
      <c r="C405" s="3">
        <f t="shared" si="433"/>
        <v>5.4245160308756822E-27</v>
      </c>
      <c r="D405" s="3">
        <f t="shared" si="433"/>
        <v>7.770201034862136E-25</v>
      </c>
      <c r="E405" s="3">
        <f t="shared" si="433"/>
        <v>4.5859148706976723E-23</v>
      </c>
      <c r="F405" s="3">
        <f t="shared" si="433"/>
        <v>1.834372391776209E-20</v>
      </c>
      <c r="G405" s="3">
        <f t="shared" si="433"/>
        <v>1E-14</v>
      </c>
      <c r="H405" s="3">
        <f t="shared" si="433"/>
        <v>8.0383269860784797E-9</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1.8712248131167939E-30</v>
      </c>
      <c r="C406" s="3">
        <f t="shared" si="433"/>
        <v>5.4245160308756831E-26</v>
      </c>
      <c r="D406" s="3">
        <f t="shared" si="433"/>
        <v>7.7702010348621356E-24</v>
      </c>
      <c r="E406" s="3">
        <f t="shared" si="433"/>
        <v>4.5859148706976724E-22</v>
      </c>
      <c r="F406" s="3">
        <f t="shared" si="433"/>
        <v>1.8343723917762089E-19</v>
      </c>
      <c r="G406" s="3">
        <f t="shared" si="433"/>
        <v>1E-13</v>
      </c>
      <c r="H406" s="3">
        <f t="shared" si="433"/>
        <v>8.0383269860784787E-8</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1.871224813116794E-29</v>
      </c>
      <c r="C407" s="3">
        <f t="shared" si="433"/>
        <v>5.4245160308756819E-25</v>
      </c>
      <c r="D407" s="3">
        <f t="shared" si="433"/>
        <v>7.7702010348621362E-23</v>
      </c>
      <c r="E407" s="3">
        <f t="shared" si="433"/>
        <v>4.5859148706976719E-21</v>
      </c>
      <c r="F407" s="3">
        <f t="shared" si="433"/>
        <v>1.834372391776209E-18</v>
      </c>
      <c r="G407" s="3">
        <f t="shared" si="433"/>
        <v>9.9999999999999998E-13</v>
      </c>
      <c r="H407" s="3">
        <f t="shared" si="433"/>
        <v>8.0383269860784785E-7</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1.8712248131167937E-28</v>
      </c>
      <c r="C408" s="3">
        <f t="shared" si="433"/>
        <v>5.4245160308756818E-24</v>
      </c>
      <c r="D408" s="3">
        <f t="shared" si="433"/>
        <v>7.770201034862135E-22</v>
      </c>
      <c r="E408" s="3">
        <f t="shared" si="433"/>
        <v>4.5859148706976719E-20</v>
      </c>
      <c r="F408" s="3">
        <f t="shared" si="433"/>
        <v>1.8343723917762088E-17</v>
      </c>
      <c r="G408" s="3">
        <f t="shared" si="433"/>
        <v>9.9999999999999994E-12</v>
      </c>
      <c r="H408" s="3">
        <f t="shared" si="433"/>
        <v>8.0383269860784793E-6</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1.8712248131167939E-27</v>
      </c>
      <c r="C409" s="3">
        <f t="shared" si="433"/>
        <v>5.4245160308756821E-23</v>
      </c>
      <c r="D409" s="3">
        <f t="shared" si="433"/>
        <v>7.7702010348621358E-21</v>
      </c>
      <c r="E409" s="3">
        <f t="shared" si="433"/>
        <v>4.5859148706976725E-19</v>
      </c>
      <c r="F409" s="3">
        <f t="shared" si="433"/>
        <v>1.834372391776209E-16</v>
      </c>
      <c r="G409" s="3">
        <f t="shared" si="433"/>
        <v>1E-10</v>
      </c>
      <c r="H409" s="3">
        <f t="shared" si="433"/>
        <v>8.0383269860784793E-5</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1.8712248131167941E-26</v>
      </c>
      <c r="C410" s="3">
        <f t="shared" si="433"/>
        <v>5.4245160308756823E-22</v>
      </c>
      <c r="D410" s="3">
        <f t="shared" si="433"/>
        <v>7.7702010348621364E-20</v>
      </c>
      <c r="E410" s="3">
        <f t="shared" si="433"/>
        <v>4.5859148706976727E-18</v>
      </c>
      <c r="F410" s="3">
        <f t="shared" si="433"/>
        <v>1.8343723917762089E-15</v>
      </c>
      <c r="G410" s="3">
        <f t="shared" si="433"/>
        <v>1.0000000000000001E-9</v>
      </c>
      <c r="H410" s="3">
        <f t="shared" si="433"/>
        <v>8.0383269860784799E-4</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1.8712248131167939E-25</v>
      </c>
      <c r="C411" s="3">
        <f t="shared" si="433"/>
        <v>5.4245160308756823E-21</v>
      </c>
      <c r="D411" s="3">
        <f t="shared" si="433"/>
        <v>7.7702010348621359E-19</v>
      </c>
      <c r="E411" s="3">
        <f t="shared" si="433"/>
        <v>4.5859148706976722E-17</v>
      </c>
      <c r="F411" s="3">
        <f t="shared" si="433"/>
        <v>1.8343723917762089E-14</v>
      </c>
      <c r="G411" s="3">
        <f t="shared" si="433"/>
        <v>1E-8</v>
      </c>
      <c r="H411" s="3">
        <f t="shared" si="433"/>
        <v>8.0383269860784794E-3</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1.8712248131167939E-24</v>
      </c>
      <c r="C412" s="3">
        <f t="shared" si="433"/>
        <v>5.4245160308756826E-20</v>
      </c>
      <c r="D412" s="3">
        <f t="shared" si="433"/>
        <v>7.7702010348621361E-18</v>
      </c>
      <c r="E412" s="3">
        <f t="shared" si="433"/>
        <v>4.5859148706976715E-16</v>
      </c>
      <c r="F412" s="3">
        <f t="shared" si="433"/>
        <v>1.8343723917762088E-13</v>
      </c>
      <c r="G412" s="3">
        <f t="shared" si="433"/>
        <v>9.9999999999999995E-8</v>
      </c>
      <c r="H412" s="3">
        <f t="shared" si="433"/>
        <v>8.0383269860784784E-2</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1.8712248131167937E-23</v>
      </c>
      <c r="C413" s="3">
        <f t="shared" si="433"/>
        <v>5.4245160308756819E-19</v>
      </c>
      <c r="D413" s="3">
        <f t="shared" si="433"/>
        <v>7.7702010348621355E-17</v>
      </c>
      <c r="E413" s="3">
        <f t="shared" si="433"/>
        <v>4.5859148706976721E-15</v>
      </c>
      <c r="F413" s="3">
        <f t="shared" si="433"/>
        <v>1.8343723917762089E-12</v>
      </c>
      <c r="G413" s="3">
        <f t="shared" si="433"/>
        <v>9.9999999999999995E-7</v>
      </c>
      <c r="H413" s="3">
        <f t="shared" si="433"/>
        <v>0.8038326986078479</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1.8712248131167941E-22</v>
      </c>
      <c r="C414" s="3">
        <f t="shared" si="433"/>
        <v>5.4245160308756828E-18</v>
      </c>
      <c r="D414" s="3">
        <f t="shared" si="433"/>
        <v>7.7702010348621362E-16</v>
      </c>
      <c r="E414" s="3">
        <f t="shared" si="433"/>
        <v>4.5859148706976722E-14</v>
      </c>
      <c r="F414" s="3">
        <f t="shared" si="433"/>
        <v>1.834372391776209E-11</v>
      </c>
      <c r="G414" s="3">
        <f t="shared" si="433"/>
        <v>1.0000000000000001E-5</v>
      </c>
      <c r="H414" s="3">
        <f t="shared" si="433"/>
        <v>8.038326986078479</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1.8712248131167941E-21</v>
      </c>
      <c r="C415" s="3">
        <f t="shared" si="433"/>
        <v>5.4245160308756827E-17</v>
      </c>
      <c r="D415" s="3">
        <f t="shared" si="433"/>
        <v>7.770201034862136E-15</v>
      </c>
      <c r="E415" s="3">
        <f t="shared" si="433"/>
        <v>4.5859148706976725E-13</v>
      </c>
      <c r="F415" s="3">
        <f t="shared" si="433"/>
        <v>1.8343723917762091E-10</v>
      </c>
      <c r="G415" s="3">
        <f t="shared" si="433"/>
        <v>1E-4</v>
      </c>
      <c r="H415" s="3">
        <f t="shared" si="433"/>
        <v>80.383269860784793</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1.8712248131167938E-20</v>
      </c>
      <c r="C416" s="3">
        <f t="shared" si="433"/>
        <v>5.4245160308756823E-16</v>
      </c>
      <c r="D416" s="3">
        <f t="shared" si="433"/>
        <v>7.7702010348621354E-14</v>
      </c>
      <c r="E416" s="3">
        <f t="shared" si="433"/>
        <v>4.5859148706976723E-12</v>
      </c>
      <c r="F416" s="3">
        <f t="shared" si="433"/>
        <v>1.8343723917762089E-9</v>
      </c>
      <c r="G416" s="3">
        <f t="shared" si="433"/>
        <v>1E-3</v>
      </c>
      <c r="H416" s="3">
        <f t="shared" si="433"/>
        <v>803.83269860784787</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1.8712248131167939E-19</v>
      </c>
      <c r="C417" s="3">
        <f t="shared" si="433"/>
        <v>5.4245160308756829E-15</v>
      </c>
      <c r="D417" s="3">
        <f t="shared" si="433"/>
        <v>7.7702010348621359E-13</v>
      </c>
      <c r="E417" s="3">
        <f t="shared" si="433"/>
        <v>4.5859148706976719E-11</v>
      </c>
      <c r="F417" s="3">
        <f t="shared" si="433"/>
        <v>1.8343723917762091E-8</v>
      </c>
      <c r="G417" s="3">
        <f t="shared" si="433"/>
        <v>0.01</v>
      </c>
      <c r="H417" s="3">
        <f t="shared" si="433"/>
        <v>8038.3269860784794</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1.8712248131167941E-18</v>
      </c>
      <c r="C418" s="3">
        <f t="shared" si="433"/>
        <v>5.4245160308756829E-14</v>
      </c>
      <c r="D418" s="3">
        <f t="shared" si="433"/>
        <v>7.7702010348621367E-12</v>
      </c>
      <c r="E418" s="3">
        <f t="shared" si="433"/>
        <v>4.5859148706976721E-10</v>
      </c>
      <c r="F418" s="3">
        <f t="shared" si="433"/>
        <v>1.834372391776209E-7</v>
      </c>
      <c r="G418" s="3">
        <f t="shared" si="433"/>
        <v>0.1</v>
      </c>
      <c r="H418" s="3">
        <f t="shared" si="433"/>
        <v>80383.2698607848</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1.8712248131167939E-17</v>
      </c>
      <c r="C419" s="3">
        <f t="shared" si="433"/>
        <v>5.4245160308756825E-13</v>
      </c>
      <c r="D419" s="3">
        <f t="shared" si="433"/>
        <v>7.7702010348621354E-11</v>
      </c>
      <c r="E419" s="3">
        <f t="shared" si="433"/>
        <v>4.5859148706976718E-9</v>
      </c>
      <c r="F419" s="3">
        <f t="shared" si="433"/>
        <v>1.834372391776209E-6</v>
      </c>
      <c r="G419" s="3">
        <f t="shared" si="433"/>
        <v>1</v>
      </c>
      <c r="H419" s="3">
        <f t="shared" si="433"/>
        <v>803832.69860784791</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1.871224813116794E-16</v>
      </c>
      <c r="C420" s="3">
        <f t="shared" si="434"/>
        <v>5.4245160308756821E-12</v>
      </c>
      <c r="D420" s="3">
        <f t="shared" si="434"/>
        <v>7.7702010348621359E-10</v>
      </c>
      <c r="E420" s="3">
        <f t="shared" si="434"/>
        <v>4.5859148706976719E-8</v>
      </c>
      <c r="F420" s="3">
        <f t="shared" si="434"/>
        <v>1.834372391776209E-5</v>
      </c>
      <c r="G420" s="3">
        <f t="shared" si="434"/>
        <v>10</v>
      </c>
      <c r="H420" s="3">
        <f t="shared" si="434"/>
        <v>8038326.9860784793</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1.8712248131167938E-15</v>
      </c>
      <c r="C421" s="3">
        <f t="shared" si="434"/>
        <v>5.4245160308756826E-11</v>
      </c>
      <c r="D421" s="3">
        <f t="shared" si="434"/>
        <v>7.7702010348621364E-9</v>
      </c>
      <c r="E421" s="3">
        <f t="shared" si="434"/>
        <v>4.5859148706976722E-7</v>
      </c>
      <c r="F421" s="3">
        <f t="shared" si="434"/>
        <v>1.8343723917762088E-4</v>
      </c>
      <c r="G421" s="3">
        <f t="shared" si="434"/>
        <v>100</v>
      </c>
      <c r="H421" s="3">
        <f t="shared" si="434"/>
        <v>80383269.860784784</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1.8712248131167941E-14</v>
      </c>
      <c r="C422" s="3">
        <f t="shared" si="434"/>
        <v>5.4245160308756829E-10</v>
      </c>
      <c r="D422" s="3">
        <f t="shared" si="434"/>
        <v>7.7702010348621357E-8</v>
      </c>
      <c r="E422" s="3">
        <f t="shared" si="434"/>
        <v>4.5859148706976718E-6</v>
      </c>
      <c r="F422" s="3">
        <f t="shared" si="434"/>
        <v>1.8343723917762088E-3</v>
      </c>
      <c r="G422" s="3">
        <f t="shared" si="434"/>
        <v>1000</v>
      </c>
      <c r="H422" s="3">
        <f t="shared" si="434"/>
        <v>803832698.60784793</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1.8712248131167939E-13</v>
      </c>
      <c r="C423" s="3">
        <f t="shared" si="434"/>
        <v>5.424516030875682E-9</v>
      </c>
      <c r="D423" s="3">
        <f t="shared" si="434"/>
        <v>7.7702010348621354E-7</v>
      </c>
      <c r="E423" s="3">
        <f t="shared" si="434"/>
        <v>4.5859148706976721E-5</v>
      </c>
      <c r="F423" s="3">
        <f t="shared" si="434"/>
        <v>1.8343723917762088E-2</v>
      </c>
      <c r="G423" s="3">
        <f t="shared" si="434"/>
        <v>10000</v>
      </c>
      <c r="H423" s="3">
        <f t="shared" si="434"/>
        <v>8038326986.0784788</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1.8712248131167937E-12</v>
      </c>
      <c r="C424" s="3">
        <f t="shared" si="434"/>
        <v>5.4245160308756822E-8</v>
      </c>
      <c r="D424" s="3">
        <f t="shared" si="434"/>
        <v>7.7702010348621363E-6</v>
      </c>
      <c r="E424" s="3">
        <f t="shared" si="434"/>
        <v>4.5859148706976722E-4</v>
      </c>
      <c r="F424" s="3">
        <f t="shared" si="434"/>
        <v>0.18343723917762089</v>
      </c>
      <c r="G424" s="3">
        <f t="shared" si="434"/>
        <v>100000</v>
      </c>
      <c r="H424" s="3">
        <f t="shared" si="434"/>
        <v>80383269860.78479</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1.8712248131167941E-11</v>
      </c>
      <c r="C425" s="3">
        <f t="shared" si="434"/>
        <v>5.4245160308756826E-7</v>
      </c>
      <c r="D425" s="3">
        <f t="shared" si="434"/>
        <v>7.7702010348621356E-5</v>
      </c>
      <c r="E425" s="3">
        <f t="shared" si="434"/>
        <v>4.5859148706976719E-3</v>
      </c>
      <c r="F425" s="3">
        <f t="shared" si="434"/>
        <v>1.8343723917762089</v>
      </c>
      <c r="G425" s="3">
        <f t="shared" si="434"/>
        <v>1000000</v>
      </c>
      <c r="H425" s="3">
        <f t="shared" si="434"/>
        <v>803832698607.8479</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1.8712248131167938E-10</v>
      </c>
      <c r="C426" s="3">
        <f t="shared" si="434"/>
        <v>5.4245160308756824E-6</v>
      </c>
      <c r="D426" s="3">
        <f t="shared" si="434"/>
        <v>7.7702010348621353E-4</v>
      </c>
      <c r="E426" s="3">
        <f t="shared" si="434"/>
        <v>4.5859148706976723E-2</v>
      </c>
      <c r="F426" s="3">
        <f t="shared" si="434"/>
        <v>18.343723917762087</v>
      </c>
      <c r="G426" s="3">
        <f t="shared" si="434"/>
        <v>10000000</v>
      </c>
      <c r="H426" s="3">
        <f t="shared" si="434"/>
        <v>8038326986078.4795</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1.871224813116794E-9</v>
      </c>
      <c r="C427" s="3">
        <f t="shared" si="434"/>
        <v>5.4245160308756822E-5</v>
      </c>
      <c r="D427" s="3">
        <f t="shared" si="434"/>
        <v>7.7702010348621358E-3</v>
      </c>
      <c r="E427" s="3">
        <f t="shared" si="434"/>
        <v>0.45859148706976721</v>
      </c>
      <c r="F427" s="3">
        <f t="shared" si="434"/>
        <v>183.43723917762088</v>
      </c>
      <c r="G427" s="3">
        <f t="shared" si="434"/>
        <v>100000000</v>
      </c>
      <c r="H427" s="3">
        <f t="shared" si="434"/>
        <v>80383269860784.797</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1.8712248131167938E-8</v>
      </c>
      <c r="C428" s="3">
        <f t="shared" si="434"/>
        <v>5.4245160308756828E-4</v>
      </c>
      <c r="D428" s="3">
        <f t="shared" si="434"/>
        <v>7.7702010348621356E-2</v>
      </c>
      <c r="E428" s="3">
        <f t="shared" si="434"/>
        <v>4.585914870697672</v>
      </c>
      <c r="F428" s="3">
        <f t="shared" si="434"/>
        <v>1834.3723917762088</v>
      </c>
      <c r="G428" s="3">
        <f t="shared" si="434"/>
        <v>1000000000</v>
      </c>
      <c r="H428" s="3">
        <f t="shared" si="434"/>
        <v>803832698607847.87</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1.871224813116794E-7</v>
      </c>
      <c r="C429" s="3">
        <f t="shared" si="434"/>
        <v>5.4245160308756821E-3</v>
      </c>
      <c r="D429" s="3">
        <f t="shared" si="434"/>
        <v>0.77702010348621353</v>
      </c>
      <c r="E429" s="3">
        <f t="shared" si="434"/>
        <v>45.859148706976718</v>
      </c>
      <c r="F429" s="3">
        <f t="shared" si="434"/>
        <v>18343.72391776209</v>
      </c>
      <c r="G429" s="3">
        <f t="shared" si="434"/>
        <v>10000000000</v>
      </c>
      <c r="H429" s="3">
        <f t="shared" si="434"/>
        <v>8038326986078479</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1.8712248131167939E-6</v>
      </c>
      <c r="C430" s="3">
        <f t="shared" si="434"/>
        <v>5.4245160308756826E-2</v>
      </c>
      <c r="D430" s="3">
        <f t="shared" si="434"/>
        <v>7.7702010348621355</v>
      </c>
      <c r="E430" s="3">
        <f t="shared" si="434"/>
        <v>458.5914870697672</v>
      </c>
      <c r="F430" s="3">
        <f t="shared" si="434"/>
        <v>183437.23917762088</v>
      </c>
      <c r="G430" s="3">
        <f t="shared" si="434"/>
        <v>100000000000</v>
      </c>
      <c r="H430" s="3">
        <f t="shared" si="434"/>
        <v>8.0383269860784784E+16</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1.8712248131167939E-5</v>
      </c>
      <c r="C431" s="3">
        <f t="shared" si="434"/>
        <v>0.54245160308756823</v>
      </c>
      <c r="D431" s="3">
        <f t="shared" si="434"/>
        <v>77.702010348621357</v>
      </c>
      <c r="E431" s="3">
        <f t="shared" si="434"/>
        <v>4585.9148706976721</v>
      </c>
      <c r="F431" s="3">
        <f t="shared" si="434"/>
        <v>1834372.391776209</v>
      </c>
      <c r="G431" s="3">
        <f t="shared" si="434"/>
        <v>1000000000000</v>
      </c>
      <c r="H431" s="3">
        <f t="shared" si="434"/>
        <v>8.0383269860784794E+17</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1.8712248131167938E-4</v>
      </c>
      <c r="C432" s="3">
        <f t="shared" si="434"/>
        <v>5.4245160308756821</v>
      </c>
      <c r="D432" s="3">
        <f t="shared" si="434"/>
        <v>777.02010348621354</v>
      </c>
      <c r="E432" s="3">
        <f t="shared" si="434"/>
        <v>45859.148706976717</v>
      </c>
      <c r="F432" s="3">
        <f t="shared" si="434"/>
        <v>18343723.91776209</v>
      </c>
      <c r="G432" s="3">
        <f t="shared" si="434"/>
        <v>10000000000000</v>
      </c>
      <c r="H432" s="3">
        <f t="shared" si="434"/>
        <v>8.0383269860784794E+18</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1.8712248131167938E-3</v>
      </c>
      <c r="C433" s="3">
        <f t="shared" si="434"/>
        <v>54.245160308756823</v>
      </c>
      <c r="D433" s="3">
        <f t="shared" si="434"/>
        <v>7770.2010348621361</v>
      </c>
      <c r="E433" s="3">
        <f t="shared" si="434"/>
        <v>458591.4870697672</v>
      </c>
      <c r="F433" s="3">
        <f t="shared" si="434"/>
        <v>183437239.17762089</v>
      </c>
      <c r="G433" s="3">
        <f t="shared" si="434"/>
        <v>100000000000000</v>
      </c>
      <c r="H433" s="3">
        <f t="shared" si="434"/>
        <v>8.0383269860784783E+19</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1.8712248131167938E-2</v>
      </c>
      <c r="C434" s="3">
        <f t="shared" si="434"/>
        <v>542.45160308756829</v>
      </c>
      <c r="D434" s="3">
        <f t="shared" si="434"/>
        <v>77702.010348621363</v>
      </c>
      <c r="E434" s="3">
        <f t="shared" si="434"/>
        <v>4585914.8706976725</v>
      </c>
      <c r="F434" s="3">
        <f t="shared" si="434"/>
        <v>1834372391.7762089</v>
      </c>
      <c r="G434" s="3">
        <f t="shared" si="434"/>
        <v>1000000000000000</v>
      </c>
      <c r="H434" s="3">
        <f t="shared" si="434"/>
        <v>8.0383269860784787E+20</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-38.517353384161886</v>
      </c>
      <c r="M1" s="54">
        <v>1</v>
      </c>
      <c r="N1" s="56">
        <f>INDEX($H$217:$P$217,1,Q1)</f>
        <v>0.35109203232849645</v>
      </c>
      <c r="O1" s="11"/>
      <c r="P1" s="55">
        <v>1</v>
      </c>
      <c r="Q1" s="11">
        <v>2</v>
      </c>
    </row>
    <row r="2" spans="1:17" x14ac:dyDescent="0.25">
      <c r="A2" s="11">
        <f>'Mastercurve bestimmen'!M119</f>
        <v>0</v>
      </c>
      <c r="B2" s="11">
        <f>'Mastercurve bestimmen'!N119</f>
        <v>-28.242677524374091</v>
      </c>
      <c r="M2" s="54">
        <v>2</v>
      </c>
      <c r="N2" s="56">
        <f t="shared" ref="N2:N9" si="0">INDEX($H$217:$P$217,1,Q2)</f>
        <v>1.3945190749000351E-3</v>
      </c>
      <c r="O2" s="11"/>
      <c r="P2" s="55">
        <v>2</v>
      </c>
      <c r="Q2" s="11">
        <f>Q1+1</f>
        <v>3</v>
      </c>
    </row>
    <row r="3" spans="1:17" x14ac:dyDescent="0.25">
      <c r="A3" s="11">
        <f>'Mastercurve bestimmen'!M120</f>
        <v>25</v>
      </c>
      <c r="B3" s="11">
        <f>'Mastercurve bestimmen'!N120</f>
        <v>-23.278139985677022</v>
      </c>
      <c r="M3" s="54">
        <v>3</v>
      </c>
      <c r="N3" s="56">
        <f t="shared" si="0"/>
        <v>4.4450379581841327E-6</v>
      </c>
      <c r="O3" s="11"/>
      <c r="P3" s="55">
        <v>3</v>
      </c>
      <c r="Q3" s="11">
        <f t="shared" ref="Q3:Q8" si="1">Q2+1</f>
        <v>4</v>
      </c>
    </row>
    <row r="4" spans="1:17" x14ac:dyDescent="0.25">
      <c r="A4" s="11">
        <f>'Mastercurve bestimmen'!M121</f>
        <v>50</v>
      </c>
      <c r="B4" s="11">
        <f>'Mastercurve bestimmen'!N121</f>
        <v>-19.20027621554874</v>
      </c>
      <c r="M4" s="54">
        <v>4</v>
      </c>
      <c r="N4" s="56">
        <f t="shared" si="0"/>
        <v>-1.0787330367290096E-7</v>
      </c>
      <c r="O4" s="11"/>
      <c r="P4" s="55">
        <v>4</v>
      </c>
      <c r="Q4" s="11">
        <f t="shared" si="1"/>
        <v>5</v>
      </c>
    </row>
    <row r="5" spans="1:17" x14ac:dyDescent="0.25">
      <c r="A5" s="11">
        <f>'Mastercurve bestimmen'!M122</f>
        <v>80</v>
      </c>
      <c r="B5" s="11">
        <f>'Mastercurve bestimmen'!N122</f>
        <v>-13.208808155790608</v>
      </c>
      <c r="M5" s="54">
        <v>5</v>
      </c>
      <c r="N5" s="56">
        <f t="shared" si="0"/>
        <v>-6.1072095022153902E-9</v>
      </c>
      <c r="O5" s="11"/>
      <c r="P5" s="55">
        <v>5</v>
      </c>
      <c r="Q5" s="11">
        <f t="shared" si="1"/>
        <v>6</v>
      </c>
    </row>
    <row r="6" spans="1:17" x14ac:dyDescent="0.25">
      <c r="A6" s="11">
        <f>'Mastercurve bestimmen'!M123</f>
        <v>125</v>
      </c>
      <c r="B6" s="11">
        <f>'Mastercurve bestimmen'!N123</f>
        <v>0</v>
      </c>
      <c r="M6" s="54">
        <v>6</v>
      </c>
      <c r="N6" s="56">
        <f t="shared" si="0"/>
        <v>-8.4038009623254596E-11</v>
      </c>
      <c r="O6" s="11"/>
      <c r="P6" s="55">
        <v>6</v>
      </c>
      <c r="Q6" s="11">
        <f t="shared" si="1"/>
        <v>7</v>
      </c>
    </row>
    <row r="7" spans="1:17" x14ac:dyDescent="0.25">
      <c r="A7" s="11">
        <f>'Mastercurve bestimmen'!M124</f>
        <v>160</v>
      </c>
      <c r="B7" s="11">
        <f>'Mastercurve bestimmen'!N124</f>
        <v>13.597146440199497</v>
      </c>
      <c r="M7" s="54">
        <v>7</v>
      </c>
      <c r="N7" s="56">
        <f t="shared" si="0"/>
        <v>-4.3953534923425235E-13</v>
      </c>
      <c r="O7" s="11"/>
      <c r="P7" s="55">
        <v>7</v>
      </c>
      <c r="Q7" s="11">
        <f t="shared" si="1"/>
        <v>8</v>
      </c>
    </row>
    <row r="8" spans="1:17" x14ac:dyDescent="0.25">
      <c r="A8" s="11"/>
      <c r="B8" s="11"/>
      <c r="M8" s="54">
        <v>8</v>
      </c>
      <c r="N8" s="56">
        <f t="shared" si="0"/>
        <v>-7.881754159430599E-16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-38.517353384161886</v>
      </c>
      <c r="E15" s="11">
        <f>A15-'Mastercurve bestimmen'!$B$2</f>
        <v>-165</v>
      </c>
      <c r="F15" s="11">
        <f>B15</f>
        <v>-38.517353384161886</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-38.314511640994098</v>
      </c>
      <c r="E16" s="11">
        <f>A16-'Mastercurve bestimmen'!$B$2</f>
        <v>-164</v>
      </c>
      <c r="F16" s="11">
        <f t="shared" ref="F16:F79" si="4">B16</f>
        <v>-38.314511640994098</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-38.111467176800701</v>
      </c>
      <c r="E17" s="11">
        <f>A17-'Mastercurve bestimmen'!$B$2</f>
        <v>-163</v>
      </c>
      <c r="F17" s="11">
        <f t="shared" si="4"/>
        <v>-38.111467176800701</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-37.908017270556073</v>
      </c>
      <c r="E18" s="11">
        <f>A18-'Mastercurve bestimmen'!$B$2</f>
        <v>-162</v>
      </c>
      <c r="F18" s="11">
        <f t="shared" si="4"/>
        <v>-37.908017270556073</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-37.703959201234589</v>
      </c>
      <c r="E19" s="11">
        <f>A19-'Mastercurve bestimmen'!$B$2</f>
        <v>-161</v>
      </c>
      <c r="F19" s="11">
        <f t="shared" si="4"/>
        <v>-37.703959201234589</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-37.499090247810642</v>
      </c>
      <c r="E20" s="11">
        <f>A20-'Mastercurve bestimmen'!$B$2</f>
        <v>-160</v>
      </c>
      <c r="F20" s="11">
        <f t="shared" si="4"/>
        <v>-37.499090247810642</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-37.293207689258594</v>
      </c>
      <c r="E21" s="11">
        <f>A21-'Mastercurve bestimmen'!$B$2</f>
        <v>-159</v>
      </c>
      <c r="F21" s="11">
        <f t="shared" si="4"/>
        <v>-37.293207689258594</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-37.086108804552858</v>
      </c>
      <c r="E22" s="11">
        <f>A22-'Mastercurve bestimmen'!$B$2</f>
        <v>-158</v>
      </c>
      <c r="F22" s="11">
        <f t="shared" si="4"/>
        <v>-37.086108804552858</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-36.877590872667803</v>
      </c>
      <c r="E23" s="11">
        <f>A23-'Mastercurve bestimmen'!$B$2</f>
        <v>-157</v>
      </c>
      <c r="F23" s="11">
        <f t="shared" si="4"/>
        <v>-36.877590872667803</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-36.667451172577813</v>
      </c>
      <c r="E24" s="11">
        <f>A24-'Mastercurve bestimmen'!$B$2</f>
        <v>-156</v>
      </c>
      <c r="F24" s="11">
        <f t="shared" si="4"/>
        <v>-36.667451172577813</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-36.455486983257266</v>
      </c>
      <c r="E25" s="11">
        <f>A25-'Mastercurve bestimmen'!$B$2</f>
        <v>-155</v>
      </c>
      <c r="F25" s="11">
        <f t="shared" si="4"/>
        <v>-36.455486983257266</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-36.241495583680553</v>
      </c>
      <c r="E26" s="11">
        <f>A26-'Mastercurve bestimmen'!$B$2</f>
        <v>-154</v>
      </c>
      <c r="F26" s="11">
        <f t="shared" si="4"/>
        <v>-36.241495583680553</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-36.025274252822058</v>
      </c>
      <c r="E27" s="11">
        <f>A27-'Mastercurve bestimmen'!$B$2</f>
        <v>-153</v>
      </c>
      <c r="F27" s="11">
        <f t="shared" si="4"/>
        <v>-36.025274252822058</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-35.80662026965615</v>
      </c>
      <c r="E28" s="11">
        <f>A28-'Mastercurve bestimmen'!$B$2</f>
        <v>-152</v>
      </c>
      <c r="F28" s="11">
        <f t="shared" si="4"/>
        <v>-35.80662026965615</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-35.585330913157229</v>
      </c>
      <c r="E29" s="11">
        <f>A29-'Mastercurve bestimmen'!$B$2</f>
        <v>-151</v>
      </c>
      <c r="F29" s="11">
        <f t="shared" si="4"/>
        <v>-35.585330913157229</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-35.36120346229967</v>
      </c>
      <c r="E30" s="11">
        <f>A30-'Mastercurve bestimmen'!$B$2</f>
        <v>-150</v>
      </c>
      <c r="F30" s="11">
        <f t="shared" si="4"/>
        <v>-35.36120346229967</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-35.134035196057852</v>
      </c>
      <c r="E31" s="11">
        <f>A31-'Mastercurve bestimmen'!$B$2</f>
        <v>-149</v>
      </c>
      <c r="F31" s="11">
        <f t="shared" si="4"/>
        <v>-35.134035196057852</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-34.903623393406164</v>
      </c>
      <c r="E32" s="11">
        <f>A32-'Mastercurve bestimmen'!$B$2</f>
        <v>-148</v>
      </c>
      <c r="F32" s="11">
        <f t="shared" si="4"/>
        <v>-34.903623393406164</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-34.669765333318999</v>
      </c>
      <c r="E33" s="11">
        <f>A33-'Mastercurve bestimmen'!$B$2</f>
        <v>-147</v>
      </c>
      <c r="F33" s="11">
        <f t="shared" si="4"/>
        <v>-34.669765333318999</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-34.432258294770719</v>
      </c>
      <c r="E34" s="11">
        <f>A34-'Mastercurve bestimmen'!$B$2</f>
        <v>-146</v>
      </c>
      <c r="F34" s="11">
        <f t="shared" si="4"/>
        <v>-34.432258294770719</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-34.190899556735715</v>
      </c>
      <c r="E35" s="11">
        <f>A35-'Mastercurve bestimmen'!$B$2</f>
        <v>-145</v>
      </c>
      <c r="F35" s="11">
        <f t="shared" si="4"/>
        <v>-34.190899556735715</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-33.945486398188379</v>
      </c>
      <c r="E36" s="11">
        <f>A36-'Mastercurve bestimmen'!$B$2</f>
        <v>-144</v>
      </c>
      <c r="F36" s="11">
        <f t="shared" si="4"/>
        <v>-33.945486398188379</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-33.695816098103087</v>
      </c>
      <c r="E37" s="11">
        <f>A37-'Mastercurve bestimmen'!$B$2</f>
        <v>-143</v>
      </c>
      <c r="F37" s="11">
        <f t="shared" si="4"/>
        <v>-33.695816098103087</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-33.441685935454217</v>
      </c>
      <c r="E38" s="11">
        <f>A38-'Mastercurve bestimmen'!$B$2</f>
        <v>-142</v>
      </c>
      <c r="F38" s="11">
        <f t="shared" si="4"/>
        <v>-33.441685935454217</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-33.182893189216166</v>
      </c>
      <c r="E39" s="11">
        <f>A39-'Mastercurve bestimmen'!$B$2</f>
        <v>-141</v>
      </c>
      <c r="F39" s="11">
        <f t="shared" si="4"/>
        <v>-33.182893189216166</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-32.919235138363298</v>
      </c>
      <c r="E40" s="11">
        <f>A40-'Mastercurve bestimmen'!$B$2</f>
        <v>-140</v>
      </c>
      <c r="F40" s="11">
        <f t="shared" si="4"/>
        <v>-32.919235138363298</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-32.650509061870018</v>
      </c>
      <c r="E41" s="11">
        <f>A41-'Mastercurve bestimmen'!$B$2</f>
        <v>-139</v>
      </c>
      <c r="F41" s="11">
        <f t="shared" si="4"/>
        <v>-32.650509061870018</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-32.376512238710689</v>
      </c>
      <c r="E42" s="11">
        <f>A42-'Mastercurve bestimmen'!$B$2</f>
        <v>-138</v>
      </c>
      <c r="F42" s="11">
        <f t="shared" si="4"/>
        <v>-32.376512238710689</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-32.097041947859708</v>
      </c>
      <c r="E43" s="11">
        <f>A43-'Mastercurve bestimmen'!$B$2</f>
        <v>-137</v>
      </c>
      <c r="F43" s="11">
        <f t="shared" si="4"/>
        <v>-32.097041947859708</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-31.811895468291453</v>
      </c>
      <c r="E44" s="11">
        <f>A44-'Mastercurve bestimmen'!$B$2</f>
        <v>-136</v>
      </c>
      <c r="F44" s="11">
        <f t="shared" si="4"/>
        <v>-31.811895468291453</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-31.520870078980302</v>
      </c>
      <c r="E45" s="11">
        <f>A45-'Mastercurve bestimmen'!$B$2</f>
        <v>-135</v>
      </c>
      <c r="F45" s="11">
        <f t="shared" si="4"/>
        <v>-31.520870078980302</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-31.223763058900644</v>
      </c>
      <c r="E46" s="11">
        <f>A46-'Mastercurve bestimmen'!$B$2</f>
        <v>-134</v>
      </c>
      <c r="F46" s="11">
        <f t="shared" si="4"/>
        <v>-31.223763058900644</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-30.920371687026865</v>
      </c>
      <c r="E47" s="11">
        <f>A47-'Mastercurve bestimmen'!$B$2</f>
        <v>-133</v>
      </c>
      <c r="F47" s="11">
        <f t="shared" si="4"/>
        <v>-30.920371687026865</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-30.610493242333344</v>
      </c>
      <c r="E48" s="11">
        <f>A48-'Mastercurve bestimmen'!$B$2</f>
        <v>-132</v>
      </c>
      <c r="F48" s="11">
        <f t="shared" si="4"/>
        <v>-30.610493242333344</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-30.293925003794463</v>
      </c>
      <c r="E49" s="11">
        <f>A49-'Mastercurve bestimmen'!$B$2</f>
        <v>-131</v>
      </c>
      <c r="F49" s="11">
        <f t="shared" si="4"/>
        <v>-30.293925003794463</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-29.970464250384602</v>
      </c>
      <c r="E50" s="11">
        <f>A50-'Mastercurve bestimmen'!$B$2</f>
        <v>-130</v>
      </c>
      <c r="F50" s="11">
        <f t="shared" si="4"/>
        <v>-29.970464250384602</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-29.639908261078155</v>
      </c>
      <c r="E51" s="11">
        <f>A51-'Mastercurve bestimmen'!$B$2</f>
        <v>-129</v>
      </c>
      <c r="F51" s="11">
        <f t="shared" si="4"/>
        <v>-29.639908261078155</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-29.302054314849496</v>
      </c>
      <c r="E52" s="11">
        <f>A52-'Mastercurve bestimmen'!$B$2</f>
        <v>-128</v>
      </c>
      <c r="F52" s="11">
        <f t="shared" si="4"/>
        <v>-29.302054314849496</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-28.956699690673013</v>
      </c>
      <c r="E53" s="11">
        <f>A53-'Mastercurve bestimmen'!$B$2</f>
        <v>-127</v>
      </c>
      <c r="F53" s="11">
        <f t="shared" si="4"/>
        <v>-28.956699690673013</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-28.603641667523082</v>
      </c>
      <c r="E54" s="11">
        <f>A54-'Mastercurve bestimmen'!$B$2</f>
        <v>-126</v>
      </c>
      <c r="F54" s="11">
        <f t="shared" si="4"/>
        <v>-28.603641667523082</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-28.242677524374088</v>
      </c>
      <c r="E55" s="11">
        <f>A55-'Mastercurve bestimmen'!$B$2</f>
        <v>-125</v>
      </c>
      <c r="F55" s="11">
        <f t="shared" si="4"/>
        <v>-28.242677524374088</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-28.087863339505855</v>
      </c>
      <c r="E56" s="11">
        <f>A56-'Mastercurve bestimmen'!$B$2</f>
        <v>-124</v>
      </c>
      <c r="F56" s="11">
        <f t="shared" si="4"/>
        <v>-28.087863339505855</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-27.925455109532333</v>
      </c>
      <c r="E57" s="11">
        <f>A57-'Mastercurve bestimmen'!$B$2</f>
        <v>-123</v>
      </c>
      <c r="F57" s="11">
        <f t="shared" si="4"/>
        <v>-27.925455109532333</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-27.755967630372908</v>
      </c>
      <c r="E58" s="11">
        <f>A58-'Mastercurve bestimmen'!$B$2</f>
        <v>-122</v>
      </c>
      <c r="F58" s="11">
        <f t="shared" si="4"/>
        <v>-27.755967630372908</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-27.579915697946976</v>
      </c>
      <c r="E59" s="11">
        <f>A59-'Mastercurve bestimmen'!$B$2</f>
        <v>-121</v>
      </c>
      <c r="F59" s="11">
        <f t="shared" si="4"/>
        <v>-27.579915697946976</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-27.397814108173929</v>
      </c>
      <c r="E60" s="11">
        <f>A60-'Mastercurve bestimmen'!$B$2</f>
        <v>-120</v>
      </c>
      <c r="F60" s="11">
        <f t="shared" si="4"/>
        <v>-27.397814108173929</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-27.210177656973141</v>
      </c>
      <c r="E61" s="11">
        <f>A61-'Mastercurve bestimmen'!$B$2</f>
        <v>-119</v>
      </c>
      <c r="F61" s="11">
        <f t="shared" si="4"/>
        <v>-27.210177656973141</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-27.017521140264012</v>
      </c>
      <c r="E62" s="11">
        <f>A62-'Mastercurve bestimmen'!$B$2</f>
        <v>-118</v>
      </c>
      <c r="F62" s="11">
        <f t="shared" si="4"/>
        <v>-27.017521140264012</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-26.820359353965937</v>
      </c>
      <c r="E63" s="11">
        <f>A63-'Mastercurve bestimmen'!$B$2</f>
        <v>-117</v>
      </c>
      <c r="F63" s="11">
        <f t="shared" si="4"/>
        <v>-26.820359353965937</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-26.619207093998298</v>
      </c>
      <c r="E64" s="11">
        <f>A64-'Mastercurve bestimmen'!$B$2</f>
        <v>-116</v>
      </c>
      <c r="F64" s="11">
        <f t="shared" si="4"/>
        <v>-26.619207093998298</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-26.414579156280475</v>
      </c>
      <c r="E65" s="11">
        <f>A65-'Mastercurve bestimmen'!$B$2</f>
        <v>-115</v>
      </c>
      <c r="F65" s="11">
        <f t="shared" si="4"/>
        <v>-26.414579156280475</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-26.206990336731877</v>
      </c>
      <c r="E66" s="11">
        <f>A66-'Mastercurve bestimmen'!$B$2</f>
        <v>-114</v>
      </c>
      <c r="F66" s="11">
        <f t="shared" si="4"/>
        <v>-26.206990336731877</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-25.996955431271882</v>
      </c>
      <c r="E67" s="11">
        <f>A67-'Mastercurve bestimmen'!$B$2</f>
        <v>-113</v>
      </c>
      <c r="F67" s="11">
        <f t="shared" si="4"/>
        <v>-25.996955431271882</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-25.784989235819879</v>
      </c>
      <c r="E68" s="11">
        <f>A68-'Mastercurve bestimmen'!$B$2</f>
        <v>-112</v>
      </c>
      <c r="F68" s="11">
        <f t="shared" si="4"/>
        <v>-25.784989235819879</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-25.571606546295257</v>
      </c>
      <c r="E69" s="11">
        <f>A69-'Mastercurve bestimmen'!$B$2</f>
        <v>-111</v>
      </c>
      <c r="F69" s="11">
        <f t="shared" si="4"/>
        <v>-25.571606546295257</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-25.357322158617411</v>
      </c>
      <c r="E70" s="11">
        <f>A70-'Mastercurve bestimmen'!$B$2</f>
        <v>-110</v>
      </c>
      <c r="F70" s="11">
        <f t="shared" si="4"/>
        <v>-25.357322158617411</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-25.142650868705722</v>
      </c>
      <c r="E71" s="11">
        <f>A71-'Mastercurve bestimmen'!$B$2</f>
        <v>-109</v>
      </c>
      <c r="F71" s="11">
        <f t="shared" si="4"/>
        <v>-25.142650868705722</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-24.928107472479585</v>
      </c>
      <c r="E72" s="11">
        <f>A72-'Mastercurve bestimmen'!$B$2</f>
        <v>-108</v>
      </c>
      <c r="F72" s="11">
        <f t="shared" si="4"/>
        <v>-24.928107472479585</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-24.714206765858393</v>
      </c>
      <c r="E73" s="11">
        <f>A73-'Mastercurve bestimmen'!$B$2</f>
        <v>-107</v>
      </c>
      <c r="F73" s="11">
        <f t="shared" si="4"/>
        <v>-24.714206765858393</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-24.501463544761521</v>
      </c>
      <c r="E74" s="11">
        <f>A74-'Mastercurve bestimmen'!$B$2</f>
        <v>-106</v>
      </c>
      <c r="F74" s="11">
        <f t="shared" si="4"/>
        <v>-24.501463544761521</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-24.290392605108373</v>
      </c>
      <c r="E75" s="11">
        <f>A75-'Mastercurve bestimmen'!$B$2</f>
        <v>-105</v>
      </c>
      <c r="F75" s="11">
        <f t="shared" si="4"/>
        <v>-24.290392605108373</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-24.081508742818329</v>
      </c>
      <c r="E76" s="11">
        <f>A76-'Mastercurve bestimmen'!$B$2</f>
        <v>-104</v>
      </c>
      <c r="F76" s="11">
        <f t="shared" si="4"/>
        <v>-24.081508742818329</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-23.875326753810782</v>
      </c>
      <c r="E77" s="11">
        <f>A77-'Mastercurve bestimmen'!$B$2</f>
        <v>-103</v>
      </c>
      <c r="F77" s="11">
        <f t="shared" si="4"/>
        <v>-23.875326753810782</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-23.672361434005126</v>
      </c>
      <c r="E78" s="11">
        <f>A78-'Mastercurve bestimmen'!$B$2</f>
        <v>-102</v>
      </c>
      <c r="F78" s="11">
        <f t="shared" si="4"/>
        <v>-23.672361434005126</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-23.473127579320742</v>
      </c>
      <c r="E79" s="11">
        <f>A79-'Mastercurve bestimmen'!$B$2</f>
        <v>-101</v>
      </c>
      <c r="F79" s="11">
        <f t="shared" si="4"/>
        <v>-23.473127579320742</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-23.278139985677022</v>
      </c>
      <c r="E80" s="11">
        <f>A80-'Mastercurve bestimmen'!$B$2</f>
        <v>-100</v>
      </c>
      <c r="F80" s="11">
        <f t="shared" ref="F80:F143" si="10">B80</f>
        <v>-23.278139985677022</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-23.087779753836145</v>
      </c>
      <c r="E81" s="11">
        <f>A81-'Mastercurve bestimmen'!$B$2</f>
        <v>-99</v>
      </c>
      <c r="F81" s="11">
        <f t="shared" si="10"/>
        <v>-23.087779753836145</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-22.901893203931426</v>
      </c>
      <c r="E82" s="11">
        <f>A82-'Mastercurve bestimmen'!$B$2</f>
        <v>-98</v>
      </c>
      <c r="F82" s="11">
        <f t="shared" si="10"/>
        <v>-22.901893203931426</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-22.72019296093897</v>
      </c>
      <c r="E83" s="11">
        <f>A83-'Mastercurve bestimmen'!$B$2</f>
        <v>-97</v>
      </c>
      <c r="F83" s="11">
        <f t="shared" si="10"/>
        <v>-22.72019296093897</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-22.542391649834894</v>
      </c>
      <c r="E84" s="11">
        <f>A84-'Mastercurve bestimmen'!$B$2</f>
        <v>-96</v>
      </c>
      <c r="F84" s="11">
        <f t="shared" si="10"/>
        <v>-22.542391649834894</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-22.368201895595291</v>
      </c>
      <c r="E85" s="11">
        <f>A85-'Mastercurve bestimmen'!$B$2</f>
        <v>-95</v>
      </c>
      <c r="F85" s="11">
        <f t="shared" si="10"/>
        <v>-22.368201895595291</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-22.197336323196289</v>
      </c>
      <c r="E86" s="11">
        <f>A86-'Mastercurve bestimmen'!$B$2</f>
        <v>-94</v>
      </c>
      <c r="F86" s="11">
        <f t="shared" si="10"/>
        <v>-22.197336323196289</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-22.029507557613968</v>
      </c>
      <c r="E87" s="11">
        <f>A87-'Mastercurve bestimmen'!$B$2</f>
        <v>-93</v>
      </c>
      <c r="F87" s="11">
        <f t="shared" si="10"/>
        <v>-22.029507557613968</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-21.864428223824454</v>
      </c>
      <c r="E88" s="11">
        <f>A88-'Mastercurve bestimmen'!$B$2</f>
        <v>-92</v>
      </c>
      <c r="F88" s="11">
        <f t="shared" si="10"/>
        <v>-21.864428223824454</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-21.70181094680385</v>
      </c>
      <c r="E89" s="11">
        <f>A89-'Mastercurve bestimmen'!$B$2</f>
        <v>-91</v>
      </c>
      <c r="F89" s="11">
        <f t="shared" si="10"/>
        <v>-21.70181094680385</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-21.541368351528256</v>
      </c>
      <c r="E90" s="11">
        <f>A90-'Mastercurve bestimmen'!$B$2</f>
        <v>-90</v>
      </c>
      <c r="F90" s="11">
        <f t="shared" si="10"/>
        <v>-21.541368351528256</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-21.382813062973788</v>
      </c>
      <c r="E91" s="11">
        <f>A91-'Mastercurve bestimmen'!$B$2</f>
        <v>-89</v>
      </c>
      <c r="F91" s="11">
        <f t="shared" si="10"/>
        <v>-21.382813062973788</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-21.225857706116543</v>
      </c>
      <c r="E92" s="11">
        <f>A92-'Mastercurve bestimmen'!$B$2</f>
        <v>-88</v>
      </c>
      <c r="F92" s="11">
        <f t="shared" si="10"/>
        <v>-21.225857706116543</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-21.070214905932637</v>
      </c>
      <c r="E93" s="11">
        <f>A93-'Mastercurve bestimmen'!$B$2</f>
        <v>-87</v>
      </c>
      <c r="F93" s="11">
        <f t="shared" si="10"/>
        <v>-21.070214905932637</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-20.915597287398171</v>
      </c>
      <c r="E94" s="11">
        <f>A94-'Mastercurve bestimmen'!$B$2</f>
        <v>-86</v>
      </c>
      <c r="F94" s="11">
        <f t="shared" si="10"/>
        <v>-20.915597287398171</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-20.761717475489256</v>
      </c>
      <c r="E95" s="11">
        <f>A95-'Mastercurve bestimmen'!$B$2</f>
        <v>-85</v>
      </c>
      <c r="F95" s="11">
        <f t="shared" si="10"/>
        <v>-20.761717475489256</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-20.60828809518199</v>
      </c>
      <c r="E96" s="11">
        <f>A96-'Mastercurve bestimmen'!$B$2</f>
        <v>-84</v>
      </c>
      <c r="F96" s="11">
        <f t="shared" si="10"/>
        <v>-20.60828809518199</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-20.455021771452493</v>
      </c>
      <c r="E97" s="11">
        <f>A97-'Mastercurve bestimmen'!$B$2</f>
        <v>-83</v>
      </c>
      <c r="F97" s="11">
        <f t="shared" si="10"/>
        <v>-20.455021771452493</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-20.301631129276863</v>
      </c>
      <c r="E98" s="11">
        <f>A98-'Mastercurve bestimmen'!$B$2</f>
        <v>-82</v>
      </c>
      <c r="F98" s="11">
        <f t="shared" si="10"/>
        <v>-20.301631129276863</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-20.147828793631206</v>
      </c>
      <c r="E99" s="11">
        <f>A99-'Mastercurve bestimmen'!$B$2</f>
        <v>-81</v>
      </c>
      <c r="F99" s="11">
        <f t="shared" si="10"/>
        <v>-20.147828793631206</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-19.993327389491633</v>
      </c>
      <c r="E100" s="11">
        <f>A100-'Mastercurve bestimmen'!$B$2</f>
        <v>-80</v>
      </c>
      <c r="F100" s="11">
        <f t="shared" si="10"/>
        <v>-19.993327389491633</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-19.837839541834249</v>
      </c>
      <c r="E101" s="11">
        <f>A101-'Mastercurve bestimmen'!$B$2</f>
        <v>-79</v>
      </c>
      <c r="F101" s="11">
        <f t="shared" si="10"/>
        <v>-19.837839541834249</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-19.681077875635161</v>
      </c>
      <c r="E102" s="11">
        <f>A102-'Mastercurve bestimmen'!$B$2</f>
        <v>-78</v>
      </c>
      <c r="F102" s="11">
        <f t="shared" si="10"/>
        <v>-19.681077875635161</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-19.522755015870477</v>
      </c>
      <c r="E103" s="11">
        <f>A103-'Mastercurve bestimmen'!$B$2</f>
        <v>-77</v>
      </c>
      <c r="F103" s="11">
        <f t="shared" si="10"/>
        <v>-19.522755015870477</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-19.362583587516301</v>
      </c>
      <c r="E104" s="11">
        <f>A104-'Mastercurve bestimmen'!$B$2</f>
        <v>-76</v>
      </c>
      <c r="F104" s="11">
        <f t="shared" si="10"/>
        <v>-19.362583587516301</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-19.20027621554874</v>
      </c>
      <c r="E105" s="11">
        <f>A105-'Mastercurve bestimmen'!$B$2</f>
        <v>-75</v>
      </c>
      <c r="F105" s="11">
        <f t="shared" si="10"/>
        <v>-19.20027621554874</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-19.035593537795677</v>
      </c>
      <c r="E106" s="11">
        <f>A106-'Mastercurve bestimmen'!$B$2</f>
        <v>-74</v>
      </c>
      <c r="F106" s="11">
        <f t="shared" si="10"/>
        <v>-19.035593537795677</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-18.86848824349212</v>
      </c>
      <c r="E107" s="11">
        <f>A107-'Mastercurve bestimmen'!$B$2</f>
        <v>-73</v>
      </c>
      <c r="F107" s="11">
        <f t="shared" si="10"/>
        <v>-18.86848824349212</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-18.698961034724828</v>
      </c>
      <c r="E108" s="11">
        <f>A108-'Mastercurve bestimmen'!$B$2</f>
        <v>-72</v>
      </c>
      <c r="F108" s="11">
        <f t="shared" si="10"/>
        <v>-18.698961034724828</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-18.527012613580581</v>
      </c>
      <c r="E109" s="11">
        <f>A109-'Mastercurve bestimmen'!$B$2</f>
        <v>-71</v>
      </c>
      <c r="F109" s="11">
        <f t="shared" si="10"/>
        <v>-18.527012613580581</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-18.352643682146155</v>
      </c>
      <c r="E110" s="11">
        <f>A110-'Mastercurve bestimmen'!$B$2</f>
        <v>-70</v>
      </c>
      <c r="F110" s="11">
        <f t="shared" si="10"/>
        <v>-18.352643682146155</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-18.175854942508323</v>
      </c>
      <c r="E111" s="11">
        <f>A111-'Mastercurve bestimmen'!$B$2</f>
        <v>-69</v>
      </c>
      <c r="F111" s="11">
        <f t="shared" si="10"/>
        <v>-18.175854942508323</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-17.996647096753858</v>
      </c>
      <c r="E112" s="11">
        <f>A112-'Mastercurve bestimmen'!$B$2</f>
        <v>-68</v>
      </c>
      <c r="F112" s="11">
        <f t="shared" si="10"/>
        <v>-17.996647096753858</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-17.815020846969531</v>
      </c>
      <c r="E113" s="11">
        <f>A113-'Mastercurve bestimmen'!$B$2</f>
        <v>-67</v>
      </c>
      <c r="F113" s="11">
        <f t="shared" si="10"/>
        <v>-17.815020846969531</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-17.630976895242121</v>
      </c>
      <c r="E114" s="11">
        <f>A114-'Mastercurve bestimmen'!$B$2</f>
        <v>-66</v>
      </c>
      <c r="F114" s="11">
        <f t="shared" si="10"/>
        <v>-17.630976895242121</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-17.444515943658399</v>
      </c>
      <c r="E115" s="11">
        <f>A115-'Mastercurve bestimmen'!$B$2</f>
        <v>-65</v>
      </c>
      <c r="F115" s="11">
        <f t="shared" si="10"/>
        <v>-17.444515943658399</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-17.255638694305141</v>
      </c>
      <c r="E116" s="11">
        <f>A116-'Mastercurve bestimmen'!$B$2</f>
        <v>-64</v>
      </c>
      <c r="F116" s="11">
        <f t="shared" si="10"/>
        <v>-17.255638694305141</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-17.064345849269117</v>
      </c>
      <c r="E117" s="11">
        <f>A117-'Mastercurve bestimmen'!$B$2</f>
        <v>-63</v>
      </c>
      <c r="F117" s="11">
        <f t="shared" si="10"/>
        <v>-17.064345849269117</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-16.87063811063711</v>
      </c>
      <c r="E118" s="11">
        <f>A118-'Mastercurve bestimmen'!$B$2</f>
        <v>-62</v>
      </c>
      <c r="F118" s="11">
        <f t="shared" si="10"/>
        <v>-16.87063811063711</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-16.674516180495882</v>
      </c>
      <c r="E119" s="11">
        <f>A119-'Mastercurve bestimmen'!$B$2</f>
        <v>-61</v>
      </c>
      <c r="F119" s="11">
        <f t="shared" si="10"/>
        <v>-16.674516180495882</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-16.475980760932217</v>
      </c>
      <c r="E120" s="11">
        <f>A120-'Mastercurve bestimmen'!$B$2</f>
        <v>-60</v>
      </c>
      <c r="F120" s="11">
        <f t="shared" si="10"/>
        <v>-16.475980760932217</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-16.275032554032883</v>
      </c>
      <c r="E121" s="11">
        <f>A121-'Mastercurve bestimmen'!$B$2</f>
        <v>-59</v>
      </c>
      <c r="F121" s="11">
        <f t="shared" si="10"/>
        <v>-16.275032554032883</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-16.071672261884657</v>
      </c>
      <c r="E122" s="11">
        <f>A122-'Mastercurve bestimmen'!$B$2</f>
        <v>-58</v>
      </c>
      <c r="F122" s="11">
        <f t="shared" si="10"/>
        <v>-16.071672261884657</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-15.865900586574309</v>
      </c>
      <c r="E123" s="11">
        <f>A123-'Mastercurve bestimmen'!$B$2</f>
        <v>-57</v>
      </c>
      <c r="F123" s="11">
        <f t="shared" si="10"/>
        <v>-15.865900586574309</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-15.657718230188619</v>
      </c>
      <c r="E124" s="11">
        <f>A124-'Mastercurve bestimmen'!$B$2</f>
        <v>-56</v>
      </c>
      <c r="F124" s="11">
        <f t="shared" si="10"/>
        <v>-15.657718230188619</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-15.447125894814357</v>
      </c>
      <c r="E125" s="11">
        <f>A125-'Mastercurve bestimmen'!$B$2</f>
        <v>-55</v>
      </c>
      <c r="F125" s="11">
        <f t="shared" si="10"/>
        <v>-15.447125894814357</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-15.234124282538298</v>
      </c>
      <c r="E126" s="11">
        <f>A126-'Mastercurve bestimmen'!$B$2</f>
        <v>-54</v>
      </c>
      <c r="F126" s="11">
        <f t="shared" si="10"/>
        <v>-15.234124282538298</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-15.018714095447216</v>
      </c>
      <c r="E127" s="11">
        <f>A127-'Mastercurve bestimmen'!$B$2</f>
        <v>-53</v>
      </c>
      <c r="F127" s="11">
        <f t="shared" si="10"/>
        <v>-15.018714095447216</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-14.800896035627886</v>
      </c>
      <c r="E128" s="11">
        <f>A128-'Mastercurve bestimmen'!$B$2</f>
        <v>-52</v>
      </c>
      <c r="F128" s="11">
        <f t="shared" si="10"/>
        <v>-14.800896035627886</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-14.580670805167079</v>
      </c>
      <c r="E129" s="11">
        <f>A129-'Mastercurve bestimmen'!$B$2</f>
        <v>-51</v>
      </c>
      <c r="F129" s="11">
        <f t="shared" si="10"/>
        <v>-14.580670805167079</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-14.358039106151573</v>
      </c>
      <c r="E130" s="11">
        <f>A130-'Mastercurve bestimmen'!$B$2</f>
        <v>-50</v>
      </c>
      <c r="F130" s="11">
        <f t="shared" si="10"/>
        <v>-14.358039106151573</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-14.133001640668139</v>
      </c>
      <c r="E131" s="11">
        <f>A131-'Mastercurve bestimmen'!$B$2</f>
        <v>-49</v>
      </c>
      <c r="F131" s="11">
        <f t="shared" si="10"/>
        <v>-14.133001640668139</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-13.90555911080355</v>
      </c>
      <c r="E132" s="11">
        <f>A132-'Mastercurve bestimmen'!$B$2</f>
        <v>-48</v>
      </c>
      <c r="F132" s="11">
        <f t="shared" si="10"/>
        <v>-13.90555911080355</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-13.675712218644584</v>
      </c>
      <c r="E133" s="11">
        <f>A133-'Mastercurve bestimmen'!$B$2</f>
        <v>-47</v>
      </c>
      <c r="F133" s="11">
        <f t="shared" si="10"/>
        <v>-13.675712218644584</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-13.443461666278012</v>
      </c>
      <c r="E134" s="11">
        <f>A134-'Mastercurve bestimmen'!$B$2</f>
        <v>-46</v>
      </c>
      <c r="F134" s="11">
        <f t="shared" si="10"/>
        <v>-13.443461666278012</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-13.208808155790608</v>
      </c>
      <c r="E135" s="11">
        <f>A135-'Mastercurve bestimmen'!$B$2</f>
        <v>-45</v>
      </c>
      <c r="F135" s="11">
        <f t="shared" si="10"/>
        <v>-13.208808155790608</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-12.971750482845382</v>
      </c>
      <c r="E136" s="11">
        <f>A136-'Mastercurve bestimmen'!$B$2</f>
        <v>-44</v>
      </c>
      <c r="F136" s="11">
        <f t="shared" si="10"/>
        <v>-12.971750482845382</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-12.73227981741026</v>
      </c>
      <c r="E137" s="11">
        <f>A137-'Mastercurve bestimmen'!$B$2</f>
        <v>-43</v>
      </c>
      <c r="F137" s="11">
        <f t="shared" si="10"/>
        <v>-12.73227981741026</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-12.490385423029423</v>
      </c>
      <c r="E138" s="11">
        <f>A138-'Mastercurve bestimmen'!$B$2</f>
        <v>-42</v>
      </c>
      <c r="F138" s="11">
        <f t="shared" si="10"/>
        <v>-12.490385423029423</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-12.246056563247029</v>
      </c>
      <c r="E139" s="11">
        <f>A139-'Mastercurve bestimmen'!$B$2</f>
        <v>-41</v>
      </c>
      <c r="F139" s="11">
        <f t="shared" si="10"/>
        <v>-12.246056563247029</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-11.999282501607246</v>
      </c>
      <c r="E140" s="11">
        <f>A140-'Mastercurve bestimmen'!$B$2</f>
        <v>-40</v>
      </c>
      <c r="F140" s="11">
        <f t="shared" si="10"/>
        <v>-11.999282501607246</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-11.750052501654245</v>
      </c>
      <c r="E141" s="11">
        <f>A141-'Mastercurve bestimmen'!$B$2</f>
        <v>-39</v>
      </c>
      <c r="F141" s="11">
        <f t="shared" si="10"/>
        <v>-11.750052501654245</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-11.498355826932187</v>
      </c>
      <c r="E142" s="11">
        <f>A142-'Mastercurve bestimmen'!$B$2</f>
        <v>-38</v>
      </c>
      <c r="F142" s="11">
        <f t="shared" si="10"/>
        <v>-11.498355826932187</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-11.244181740985249</v>
      </c>
      <c r="E143" s="11">
        <f>A143-'Mastercurve bestimmen'!$B$2</f>
        <v>-37</v>
      </c>
      <c r="F143" s="11">
        <f t="shared" si="10"/>
        <v>-11.244181740985249</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-10.98751950735759</v>
      </c>
      <c r="E144" s="11">
        <f>A144-'Mastercurve bestimmen'!$B$2</f>
        <v>-36</v>
      </c>
      <c r="F144" s="11">
        <f t="shared" ref="F144:F207" si="15">B144</f>
        <v>-10.98751950735759</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-10.728358389593382</v>
      </c>
      <c r="E145" s="11">
        <f>A145-'Mastercurve bestimmen'!$B$2</f>
        <v>-35</v>
      </c>
      <c r="F145" s="11">
        <f t="shared" si="15"/>
        <v>-10.728358389593382</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-10.466687651236791</v>
      </c>
      <c r="E146" s="11">
        <f>A146-'Mastercurve bestimmen'!$B$2</f>
        <v>-34</v>
      </c>
      <c r="F146" s="11">
        <f t="shared" si="15"/>
        <v>-10.466687651236791</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-10.202496555831981</v>
      </c>
      <c r="E147" s="11">
        <f>A147-'Mastercurve bestimmen'!$B$2</f>
        <v>-33</v>
      </c>
      <c r="F147" s="11">
        <f t="shared" si="15"/>
        <v>-10.202496555831981</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-9.9357743669231269</v>
      </c>
      <c r="E148" s="11">
        <f>A148-'Mastercurve bestimmen'!$B$2</f>
        <v>-32</v>
      </c>
      <c r="F148" s="11">
        <f t="shared" si="15"/>
        <v>-9.9357743669231269</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-9.6665103480543912</v>
      </c>
      <c r="E149" s="11">
        <f>A149-'Mastercurve bestimmen'!$B$2</f>
        <v>-31</v>
      </c>
      <c r="F149" s="11">
        <f t="shared" si="15"/>
        <v>-9.6665103480543912</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-9.3946937627699398</v>
      </c>
      <c r="E150" s="11">
        <f>A150-'Mastercurve bestimmen'!$B$2</f>
        <v>-30</v>
      </c>
      <c r="F150" s="11">
        <f t="shared" si="15"/>
        <v>-9.3946937627699398</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-9.1203138746139452</v>
      </c>
      <c r="E151" s="11">
        <f>A151-'Mastercurve bestimmen'!$B$2</f>
        <v>-29</v>
      </c>
      <c r="F151" s="11">
        <f t="shared" si="15"/>
        <v>-9.1203138746139452</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-8.8433599471305691</v>
      </c>
      <c r="E152" s="11">
        <f>A152-'Mastercurve bestimmen'!$B$2</f>
        <v>-28</v>
      </c>
      <c r="F152" s="11">
        <f t="shared" si="15"/>
        <v>-8.8433599471305691</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-8.563821243863984</v>
      </c>
      <c r="E153" s="11">
        <f>A153-'Mastercurve bestimmen'!$B$2</f>
        <v>-27</v>
      </c>
      <c r="F153" s="11">
        <f t="shared" si="15"/>
        <v>-8.563821243863984</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-8.2816870283583555</v>
      </c>
      <c r="E154" s="11">
        <f>A154-'Mastercurve bestimmen'!$B$2</f>
        <v>-26</v>
      </c>
      <c r="F154" s="11">
        <f t="shared" si="15"/>
        <v>-8.2816870283583555</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-7.9969465641578479</v>
      </c>
      <c r="E155" s="11">
        <f>A155-'Mastercurve bestimmen'!$B$2</f>
        <v>-25</v>
      </c>
      <c r="F155" s="11">
        <f t="shared" si="15"/>
        <v>-7.9969465641578479</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-7.7095891148066329</v>
      </c>
      <c r="E156" s="11">
        <f>A156-'Mastercurve bestimmen'!$B$2</f>
        <v>-24</v>
      </c>
      <c r="F156" s="11">
        <f t="shared" si="15"/>
        <v>-7.7095891148066329</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-7.4196039438488768</v>
      </c>
      <c r="E157" s="11">
        <f>A157-'Mastercurve bestimmen'!$B$2</f>
        <v>-23</v>
      </c>
      <c r="F157" s="11">
        <f t="shared" si="15"/>
        <v>-7.4196039438488768</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-7.1269803148287449</v>
      </c>
      <c r="E158" s="11">
        <f>A158-'Mastercurve bestimmen'!$B$2</f>
        <v>-22</v>
      </c>
      <c r="F158" s="11">
        <f t="shared" si="15"/>
        <v>-7.1269803148287449</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-6.8317074912904063</v>
      </c>
      <c r="E159" s="11">
        <f>A159-'Mastercurve bestimmen'!$B$2</f>
        <v>-21</v>
      </c>
      <c r="F159" s="11">
        <f t="shared" si="15"/>
        <v>-6.8317074912904063</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-6.533774736778029</v>
      </c>
      <c r="E160" s="11">
        <f>A160-'Mastercurve bestimmen'!$B$2</f>
        <v>-20</v>
      </c>
      <c r="F160" s="11">
        <f t="shared" si="15"/>
        <v>-6.533774736778029</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-6.2331713148357792</v>
      </c>
      <c r="E161" s="11">
        <f>A161-'Mastercurve bestimmen'!$B$2</f>
        <v>-19</v>
      </c>
      <c r="F161" s="11">
        <f t="shared" si="15"/>
        <v>-6.2331713148357792</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-5.929886489007826</v>
      </c>
      <c r="E162" s="11">
        <f>A162-'Mastercurve bestimmen'!$B$2</f>
        <v>-18</v>
      </c>
      <c r="F162" s="11">
        <f t="shared" si="15"/>
        <v>-5.929886489007826</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-5.6239095228383347</v>
      </c>
      <c r="E163" s="11">
        <f>A163-'Mastercurve bestimmen'!$B$2</f>
        <v>-17</v>
      </c>
      <c r="F163" s="11">
        <f t="shared" si="15"/>
        <v>-5.6239095228383347</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-5.3152296798714733</v>
      </c>
      <c r="E164" s="11">
        <f>A164-'Mastercurve bestimmen'!$B$2</f>
        <v>-16</v>
      </c>
      <c r="F164" s="11">
        <f t="shared" si="15"/>
        <v>-5.3152296798714733</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-5.0038362236514091</v>
      </c>
      <c r="E165" s="11">
        <f>A165-'Mastercurve bestimmen'!$B$2</f>
        <v>-15</v>
      </c>
      <c r="F165" s="11">
        <f t="shared" si="15"/>
        <v>-5.0038362236514091</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-4.6897184177223101</v>
      </c>
      <c r="E166" s="11">
        <f>A166-'Mastercurve bestimmen'!$B$2</f>
        <v>-14</v>
      </c>
      <c r="F166" s="11">
        <f t="shared" si="15"/>
        <v>-4.6897184177223101</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-4.3728655256283453</v>
      </c>
      <c r="E167" s="11">
        <f>A167-'Mastercurve bestimmen'!$B$2</f>
        <v>-13</v>
      </c>
      <c r="F167" s="11">
        <f t="shared" si="15"/>
        <v>-4.3728655256283453</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-4.0532668109136782</v>
      </c>
      <c r="E168" s="11">
        <f>A168-'Mastercurve bestimmen'!$B$2</f>
        <v>-12</v>
      </c>
      <c r="F168" s="11">
        <f t="shared" si="15"/>
        <v>-4.0532668109136782</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-3.7309115371224792</v>
      </c>
      <c r="E169" s="11">
        <f>A169-'Mastercurve bestimmen'!$B$2</f>
        <v>-11</v>
      </c>
      <c r="F169" s="11">
        <f t="shared" si="15"/>
        <v>-3.7309115371224792</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-3.4057889677989142</v>
      </c>
      <c r="E170" s="11">
        <f>A170-'Mastercurve bestimmen'!$B$2</f>
        <v>-10</v>
      </c>
      <c r="F170" s="11">
        <f t="shared" si="15"/>
        <v>-3.4057889677989142</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-3.0778883664871515</v>
      </c>
      <c r="E171" s="11">
        <f>A171-'Mastercurve bestimmen'!$B$2</f>
        <v>-9</v>
      </c>
      <c r="F171" s="11">
        <f t="shared" si="15"/>
        <v>-3.0778883664871515</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-2.7471989967313584</v>
      </c>
      <c r="E172" s="11">
        <f>A172-'Mastercurve bestimmen'!$B$2</f>
        <v>-8</v>
      </c>
      <c r="F172" s="11">
        <f t="shared" si="15"/>
        <v>-2.7471989967313584</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-2.413710122075702</v>
      </c>
      <c r="E173" s="11">
        <f>A173-'Mastercurve bestimmen'!$B$2</f>
        <v>-7</v>
      </c>
      <c r="F173" s="11">
        <f t="shared" si="15"/>
        <v>-2.413710122075702</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-2.07741100606435</v>
      </c>
      <c r="E174" s="11">
        <f>A174-'Mastercurve bestimmen'!$B$2</f>
        <v>-6</v>
      </c>
      <c r="F174" s="11">
        <f t="shared" si="15"/>
        <v>-2.07741100606435</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-1.7382909122414694</v>
      </c>
      <c r="E175" s="11">
        <f>A175-'Mastercurve bestimmen'!$B$2</f>
        <v>-5</v>
      </c>
      <c r="F175" s="11">
        <f t="shared" si="15"/>
        <v>-1.7382909122414694</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-1.3963391041512279</v>
      </c>
      <c r="E176" s="11">
        <f>A176-'Mastercurve bestimmen'!$B$2</f>
        <v>-4</v>
      </c>
      <c r="F176" s="11">
        <f t="shared" si="15"/>
        <v>-1.3963391041512279</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-1.0515448453377929</v>
      </c>
      <c r="E177" s="11">
        <f>A177-'Mastercurve bestimmen'!$B$2</f>
        <v>-3</v>
      </c>
      <c r="F177" s="11">
        <f t="shared" si="15"/>
        <v>-1.0515448453377929</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-0.70389739934533146</v>
      </c>
      <c r="E178" s="11">
        <f>A178-'Mastercurve bestimmen'!$B$2</f>
        <v>-2</v>
      </c>
      <c r="F178" s="11">
        <f t="shared" si="15"/>
        <v>-0.70389739934533146</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-0.35338602971801159</v>
      </c>
      <c r="E179" s="11">
        <f>A179-'Mastercurve bestimmen'!$B$2</f>
        <v>-1</v>
      </c>
      <c r="F179" s="11">
        <f t="shared" si="15"/>
        <v>-0.35338602971801159</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0.35625589687167508</v>
      </c>
      <c r="E181" s="11">
        <f>A181-'Mastercurve bestimmen'!$B$2</f>
        <v>1</v>
      </c>
      <c r="F181" s="11">
        <f t="shared" si="15"/>
        <v>0.35625589687167508</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0.71531475038854486</v>
      </c>
      <c r="E182" s="11">
        <f>A182-'Mastercurve bestimmen'!$B$2</f>
        <v>2</v>
      </c>
      <c r="F182" s="11">
        <f t="shared" si="15"/>
        <v>0.71531475038854486</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1.0770941206492799</v>
      </c>
      <c r="E183" s="11">
        <f>A183-'Mastercurve bestimmen'!$B$2</f>
        <v>3</v>
      </c>
      <c r="F183" s="11">
        <f t="shared" si="15"/>
        <v>1.0770941206492799</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1.4415115677525514</v>
      </c>
      <c r="E184" s="11">
        <f>A184-'Mastercurve bestimmen'!$B$2</f>
        <v>4</v>
      </c>
      <c r="F184" s="11">
        <f t="shared" si="15"/>
        <v>1.4415115677525514</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1.8084846517970297</v>
      </c>
      <c r="E185" s="11">
        <f>A185-'Mastercurve bestimmen'!$B$2</f>
        <v>5</v>
      </c>
      <c r="F185" s="11">
        <f t="shared" si="15"/>
        <v>1.8084846517970297</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2.1779309328813854</v>
      </c>
      <c r="E186" s="11">
        <f>A186-'Mastercurve bestimmen'!$B$2</f>
        <v>6</v>
      </c>
      <c r="F186" s="11">
        <f t="shared" si="15"/>
        <v>2.1779309328813854</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2.5497679711042904</v>
      </c>
      <c r="E187" s="11">
        <f>A187-'Mastercurve bestimmen'!$B$2</f>
        <v>7</v>
      </c>
      <c r="F187" s="11">
        <f t="shared" si="15"/>
        <v>2.5497679711042904</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2.9239133265644135</v>
      </c>
      <c r="E188" s="11">
        <f>A188-'Mastercurve bestimmen'!$B$2</f>
        <v>8</v>
      </c>
      <c r="F188" s="11">
        <f t="shared" si="15"/>
        <v>2.9239133265644135</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3.3002845593604269</v>
      </c>
      <c r="E189" s="11">
        <f>A189-'Mastercurve bestimmen'!$B$2</f>
        <v>9</v>
      </c>
      <c r="F189" s="11">
        <f t="shared" si="15"/>
        <v>3.3002845593604269</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3.6787992295910015</v>
      </c>
      <c r="E190" s="11">
        <f>A190-'Mastercurve bestimmen'!$B$2</f>
        <v>10</v>
      </c>
      <c r="F190" s="11">
        <f t="shared" si="15"/>
        <v>3.6787992295910015</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4.0593748973548074</v>
      </c>
      <c r="E191" s="11">
        <f>A191-'Mastercurve bestimmen'!$B$2</f>
        <v>11</v>
      </c>
      <c r="F191" s="11">
        <f t="shared" si="15"/>
        <v>4.0593748973548074</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4.4419291227505147</v>
      </c>
      <c r="E192" s="11">
        <f>A192-'Mastercurve bestimmen'!$B$2</f>
        <v>12</v>
      </c>
      <c r="F192" s="11">
        <f t="shared" si="15"/>
        <v>4.4419291227505147</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4.8263794658767951</v>
      </c>
      <c r="E193" s="11">
        <f>A193-'Mastercurve bestimmen'!$B$2</f>
        <v>13</v>
      </c>
      <c r="F193" s="11">
        <f t="shared" si="15"/>
        <v>4.8263794658767951</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5.2126434868323201</v>
      </c>
      <c r="E194" s="11">
        <f>A194-'Mastercurve bestimmen'!$B$2</f>
        <v>14</v>
      </c>
      <c r="F194" s="11">
        <f t="shared" si="15"/>
        <v>5.2126434868323201</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5.6006387457157576</v>
      </c>
      <c r="E195" s="11">
        <f>A195-'Mastercurve bestimmen'!$B$2</f>
        <v>15</v>
      </c>
      <c r="F195" s="11">
        <f t="shared" si="15"/>
        <v>5.6006387457157576</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5.9902828026257824</v>
      </c>
      <c r="E196" s="11">
        <f>A196-'Mastercurve bestimmen'!$B$2</f>
        <v>16</v>
      </c>
      <c r="F196" s="11">
        <f t="shared" si="15"/>
        <v>5.9902828026257824</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6.3814932176610615</v>
      </c>
      <c r="E197" s="11">
        <f>A197-'Mastercurve bestimmen'!$B$2</f>
        <v>17</v>
      </c>
      <c r="F197" s="11">
        <f t="shared" si="15"/>
        <v>6.3814932176610615</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6.7741875509202671</v>
      </c>
      <c r="E198" s="11">
        <f>A198-'Mastercurve bestimmen'!$B$2</f>
        <v>18</v>
      </c>
      <c r="F198" s="11">
        <f t="shared" si="15"/>
        <v>6.7741875509202671</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7.1682833625020717</v>
      </c>
      <c r="E199" s="11">
        <f>A199-'Mastercurve bestimmen'!$B$2</f>
        <v>19</v>
      </c>
      <c r="F199" s="11">
        <f t="shared" si="15"/>
        <v>7.1682833625020717</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7.5636982125051428</v>
      </c>
      <c r="E200" s="11">
        <f>A200-'Mastercurve bestimmen'!$B$2</f>
        <v>20</v>
      </c>
      <c r="F200" s="11">
        <f t="shared" si="15"/>
        <v>7.5636982125051428</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7.9603496610281539</v>
      </c>
      <c r="E201" s="11">
        <f>A201-'Mastercurve bestimmen'!$B$2</f>
        <v>21</v>
      </c>
      <c r="F201" s="11">
        <f t="shared" si="15"/>
        <v>7.9603496610281539</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8.3581552681697744</v>
      </c>
      <c r="E202" s="11">
        <f>A202-'Mastercurve bestimmen'!$B$2</f>
        <v>22</v>
      </c>
      <c r="F202" s="11">
        <f t="shared" si="15"/>
        <v>8.3581552681697744</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8.757032594028674</v>
      </c>
      <c r="E203" s="11">
        <f>A203-'Mastercurve bestimmen'!$B$2</f>
        <v>23</v>
      </c>
      <c r="F203" s="11">
        <f t="shared" si="15"/>
        <v>8.757032594028674</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9.1568991987035258</v>
      </c>
      <c r="E204" s="11">
        <f>A204-'Mastercurve bestimmen'!$B$2</f>
        <v>24</v>
      </c>
      <c r="F204" s="11">
        <f t="shared" si="15"/>
        <v>9.1568991987035258</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9.5576726422929994</v>
      </c>
      <c r="E205" s="11">
        <f>A205-'Mastercurve bestimmen'!$B$2</f>
        <v>25</v>
      </c>
      <c r="F205" s="11">
        <f t="shared" si="15"/>
        <v>9.5576726422929994</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9.9592704848957645</v>
      </c>
      <c r="E206" s="11">
        <f>A206-'Mastercurve bestimmen'!$B$2</f>
        <v>26</v>
      </c>
      <c r="F206" s="11">
        <f t="shared" si="15"/>
        <v>9.9592704848957645</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10.361610286610494</v>
      </c>
      <c r="E207" s="11">
        <f>A207-'Mastercurve bestimmen'!$B$2</f>
        <v>27</v>
      </c>
      <c r="F207" s="11">
        <f t="shared" si="15"/>
        <v>10.361610286610494</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10.764609607535858</v>
      </c>
      <c r="E208" s="11">
        <f>A208-'Mastercurve bestimmen'!$B$2</f>
        <v>28</v>
      </c>
      <c r="F208" s="11">
        <f t="shared" ref="F208:F215" si="21">B208</f>
        <v>10.764609607535858</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11.168186007770524</v>
      </c>
      <c r="E209" s="11">
        <f>A209-'Mastercurve bestimmen'!$B$2</f>
        <v>29</v>
      </c>
      <c r="F209" s="11">
        <f t="shared" si="21"/>
        <v>11.168186007770524</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11.572257047413169</v>
      </c>
      <c r="E210" s="11">
        <f>A210-'Mastercurve bestimmen'!$B$2</f>
        <v>30</v>
      </c>
      <c r="F210" s="11">
        <f t="shared" si="21"/>
        <v>11.572257047413169</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11.976740286562459</v>
      </c>
      <c r="E211" s="11">
        <f>A211-'Mastercurve bestimmen'!$B$2</f>
        <v>31</v>
      </c>
      <c r="F211" s="11">
        <f t="shared" si="21"/>
        <v>11.976740286562459</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12.381553285317066</v>
      </c>
      <c r="E212" s="11">
        <f>A212-'Mastercurve bestimmen'!$B$2</f>
        <v>32</v>
      </c>
      <c r="F212" s="11">
        <f t="shared" si="21"/>
        <v>12.381553285317066</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12.786613603775661</v>
      </c>
      <c r="E213" s="11">
        <f>A213-'Mastercurve bestimmen'!$B$2</f>
        <v>33</v>
      </c>
      <c r="F213" s="11">
        <f t="shared" si="21"/>
        <v>12.786613603775661</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13.191838802036914</v>
      </c>
      <c r="E214" s="11">
        <f>A214-'Mastercurve bestimmen'!$B$2</f>
        <v>34</v>
      </c>
      <c r="F214" s="11">
        <f t="shared" si="21"/>
        <v>13.191838802036914</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13.597146440199497</v>
      </c>
      <c r="E215" s="11">
        <f>A215-'Mastercurve bestimmen'!$B$2</f>
        <v>35</v>
      </c>
      <c r="F215" s="11">
        <f t="shared" si="21"/>
        <v>13.597146440199497</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0.35109203232849645</v>
      </c>
      <c r="J217" s="98">
        <v>1.3945190749000351E-3</v>
      </c>
      <c r="K217" s="98">
        <v>4.4450379581841327E-6</v>
      </c>
      <c r="L217" s="98">
        <v>-1.0787330367290096E-7</v>
      </c>
      <c r="M217" s="98">
        <v>-6.1072095022153902E-9</v>
      </c>
      <c r="N217" s="98">
        <v>-8.4038009623254596E-11</v>
      </c>
      <c r="O217" s="98">
        <v>-4.3953534923425235E-13</v>
      </c>
      <c r="P217" s="98">
        <v>-7.881754159430599E-16</v>
      </c>
    </row>
    <row r="218" spans="1:16" x14ac:dyDescent="0.25">
      <c r="G218" s="11"/>
      <c r="H218" s="11">
        <v>0</v>
      </c>
      <c r="I218" s="11">
        <v>9.9824766512368861E-4</v>
      </c>
      <c r="J218" s="11">
        <v>4.0548449529250214E-5</v>
      </c>
      <c r="K218" s="3">
        <v>1.2497779703820256E-6</v>
      </c>
      <c r="L218" s="3">
        <v>3.2116110532933314E-8</v>
      </c>
      <c r="M218" s="3">
        <v>8.9447711781486581E-10</v>
      </c>
      <c r="N218" s="3">
        <v>1.0609000086102092E-11</v>
      </c>
      <c r="O218" s="11">
        <v>5.5742598633947686E-14</v>
      </c>
      <c r="P218" s="11">
        <v>1.0882168300379239E-16</v>
      </c>
    </row>
    <row r="219" spans="1:16" x14ac:dyDescent="0.25">
      <c r="G219" s="11"/>
      <c r="H219" s="11">
        <v>0.99998399108791947</v>
      </c>
      <c r="I219" s="11">
        <v>8.5819612520849201E-2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-38.351035379275629</v>
      </c>
      <c r="G222">
        <f>F15</f>
        <v>-38.517353384161886</v>
      </c>
    </row>
    <row r="223" spans="1:16" x14ac:dyDescent="0.25">
      <c r="E223" s="11">
        <f t="shared" ref="E223:E286" si="25">E16</f>
        <v>-164</v>
      </c>
      <c r="F223" s="11">
        <f t="shared" ref="F223:F286" si="26">$H$217*0+E223*$I$217+E223^2*$J$217+E223^3*$K$217+E223^4*$L$217+E223^5*$M$217+E223^6*$N$217+E223^7*$O$217+E223^8*$P$217</f>
        <v>-38.212926470324362</v>
      </c>
      <c r="G223" s="11">
        <f t="shared" ref="G223:G286" si="27">F16</f>
        <v>-38.314511640994098</v>
      </c>
    </row>
    <row r="224" spans="1:16" x14ac:dyDescent="0.25">
      <c r="E224" s="11">
        <f t="shared" si="25"/>
        <v>-163</v>
      </c>
      <c r="F224" s="11">
        <f t="shared" si="26"/>
        <v>-38.064901950449155</v>
      </c>
      <c r="G224" s="11">
        <f t="shared" si="27"/>
        <v>-38.111467176800701</v>
      </c>
    </row>
    <row r="225" spans="5:7" x14ac:dyDescent="0.25">
      <c r="E225" s="11">
        <f t="shared" si="25"/>
        <v>-162</v>
      </c>
      <c r="F225" s="11">
        <f t="shared" si="26"/>
        <v>-37.907248608391626</v>
      </c>
      <c r="G225" s="11">
        <f t="shared" si="27"/>
        <v>-37.908017270556073</v>
      </c>
    </row>
    <row r="226" spans="5:7" x14ac:dyDescent="0.25">
      <c r="E226" s="11">
        <f t="shared" si="25"/>
        <v>-161</v>
      </c>
      <c r="F226" s="11">
        <f t="shared" si="26"/>
        <v>-37.740275963701265</v>
      </c>
      <c r="G226" s="11">
        <f t="shared" si="27"/>
        <v>-37.703959201234589</v>
      </c>
    </row>
    <row r="227" spans="5:7" x14ac:dyDescent="0.25">
      <c r="E227" s="11">
        <f t="shared" si="25"/>
        <v>-160</v>
      </c>
      <c r="F227" s="11">
        <f t="shared" si="26"/>
        <v>-37.564313687339791</v>
      </c>
      <c r="G227" s="11">
        <f t="shared" si="27"/>
        <v>-37.499090247810642</v>
      </c>
    </row>
    <row r="228" spans="5:7" x14ac:dyDescent="0.25">
      <c r="E228" s="11">
        <f t="shared" si="25"/>
        <v>-159</v>
      </c>
      <c r="F228" s="11">
        <f t="shared" si="26"/>
        <v>-37.379709140933642</v>
      </c>
      <c r="G228" s="11">
        <f t="shared" si="27"/>
        <v>-37.293207689258594</v>
      </c>
    </row>
    <row r="229" spans="5:7" x14ac:dyDescent="0.25">
      <c r="E229" s="11">
        <f t="shared" si="25"/>
        <v>-158</v>
      </c>
      <c r="F229" s="11">
        <f t="shared" si="26"/>
        <v>-37.186825031762226</v>
      </c>
      <c r="G229" s="11">
        <f t="shared" si="27"/>
        <v>-37.086108804552858</v>
      </c>
    </row>
    <row r="230" spans="5:7" x14ac:dyDescent="0.25">
      <c r="E230" s="11">
        <f t="shared" si="25"/>
        <v>-157</v>
      </c>
      <c r="F230" s="11">
        <f t="shared" si="26"/>
        <v>-36.986037180593542</v>
      </c>
      <c r="G230" s="11">
        <f t="shared" si="27"/>
        <v>-36.877590872667803</v>
      </c>
    </row>
    <row r="231" spans="5:7" x14ac:dyDescent="0.25">
      <c r="E231" s="11">
        <f t="shared" si="25"/>
        <v>-156</v>
      </c>
      <c r="F231" s="11">
        <f t="shared" si="26"/>
        <v>-36.777732399514775</v>
      </c>
      <c r="G231" s="11">
        <f t="shared" si="27"/>
        <v>-36.667451172577813</v>
      </c>
    </row>
    <row r="232" spans="5:7" x14ac:dyDescent="0.25">
      <c r="E232" s="11">
        <f t="shared" si="25"/>
        <v>-155</v>
      </c>
      <c r="F232" s="11">
        <f t="shared" si="26"/>
        <v>-36.5623064769336</v>
      </c>
      <c r="G232" s="11">
        <f t="shared" si="27"/>
        <v>-36.455486983257266</v>
      </c>
    </row>
    <row r="233" spans="5:7" x14ac:dyDescent="0.25">
      <c r="E233" s="11">
        <f t="shared" si="25"/>
        <v>-154</v>
      </c>
      <c r="F233" s="11">
        <f t="shared" si="26"/>
        <v>-36.34016226696707</v>
      </c>
      <c r="G233" s="11">
        <f t="shared" si="27"/>
        <v>-36.241495583680553</v>
      </c>
    </row>
    <row r="234" spans="5:7" x14ac:dyDescent="0.25">
      <c r="E234" s="11">
        <f t="shared" si="25"/>
        <v>-153</v>
      </c>
      <c r="F234" s="11">
        <f t="shared" si="26"/>
        <v>-36.11170788045041</v>
      </c>
      <c r="G234" s="11">
        <f t="shared" si="27"/>
        <v>-36.025274252822058</v>
      </c>
    </row>
    <row r="235" spans="5:7" x14ac:dyDescent="0.25">
      <c r="E235" s="11">
        <f t="shared" si="25"/>
        <v>-152</v>
      </c>
      <c r="F235" s="11">
        <f t="shared" si="26"/>
        <v>-35.877354974846554</v>
      </c>
      <c r="G235" s="11">
        <f t="shared" si="27"/>
        <v>-35.80662026965615</v>
      </c>
    </row>
    <row r="236" spans="5:7" x14ac:dyDescent="0.25">
      <c r="E236" s="11">
        <f t="shared" si="25"/>
        <v>-151</v>
      </c>
      <c r="F236" s="11">
        <f t="shared" si="26"/>
        <v>-35.637517140359478</v>
      </c>
      <c r="G236" s="11">
        <f t="shared" si="27"/>
        <v>-35.585330913157229</v>
      </c>
    </row>
    <row r="237" spans="5:7" x14ac:dyDescent="0.25">
      <c r="E237" s="11">
        <f t="shared" si="25"/>
        <v>-150</v>
      </c>
      <c r="F237" s="11">
        <f t="shared" si="26"/>
        <v>-35.392608379587983</v>
      </c>
      <c r="G237" s="11">
        <f t="shared" si="27"/>
        <v>-35.36120346229967</v>
      </c>
    </row>
    <row r="238" spans="5:7" x14ac:dyDescent="0.25">
      <c r="E238" s="11">
        <f t="shared" si="25"/>
        <v>-149</v>
      </c>
      <c r="F238" s="11">
        <f t="shared" si="26"/>
        <v>-35.143041678088309</v>
      </c>
      <c r="G238" s="11">
        <f t="shared" si="27"/>
        <v>-35.134035196057852</v>
      </c>
    </row>
    <row r="239" spans="5:7" x14ac:dyDescent="0.25">
      <c r="E239" s="11">
        <f t="shared" si="25"/>
        <v>-148</v>
      </c>
      <c r="F239" s="11">
        <f t="shared" si="26"/>
        <v>-34.889227663249159</v>
      </c>
      <c r="G239" s="11">
        <f t="shared" si="27"/>
        <v>-34.903623393406164</v>
      </c>
    </row>
    <row r="240" spans="5:7" x14ac:dyDescent="0.25">
      <c r="E240" s="11">
        <f t="shared" si="25"/>
        <v>-147</v>
      </c>
      <c r="F240" s="11">
        <f t="shared" si="26"/>
        <v>-34.631573348907409</v>
      </c>
      <c r="G240" s="11">
        <f t="shared" si="27"/>
        <v>-34.669765333318999</v>
      </c>
    </row>
    <row r="241" spans="5:7" x14ac:dyDescent="0.25">
      <c r="E241" s="11">
        <f t="shared" si="25"/>
        <v>-146</v>
      </c>
      <c r="F241" s="11">
        <f t="shared" si="26"/>
        <v>-34.370480963173918</v>
      </c>
      <c r="G241" s="11">
        <f t="shared" si="27"/>
        <v>-34.432258294770719</v>
      </c>
    </row>
    <row r="242" spans="5:7" x14ac:dyDescent="0.25">
      <c r="E242" s="11">
        <f t="shared" si="25"/>
        <v>-145</v>
      </c>
      <c r="F242" s="11">
        <f t="shared" si="26"/>
        <v>-34.106346856958879</v>
      </c>
      <c r="G242" s="11">
        <f t="shared" si="27"/>
        <v>-34.190899556735715</v>
      </c>
    </row>
    <row r="243" spans="5:7" x14ac:dyDescent="0.25">
      <c r="E243" s="11">
        <f t="shared" si="25"/>
        <v>-144</v>
      </c>
      <c r="F243" s="11">
        <f t="shared" si="26"/>
        <v>-33.839560490731884</v>
      </c>
      <c r="G243" s="11">
        <f t="shared" si="27"/>
        <v>-33.945486398188379</v>
      </c>
    </row>
    <row r="244" spans="5:7" x14ac:dyDescent="0.25">
      <c r="E244" s="11">
        <f t="shared" si="25"/>
        <v>-143</v>
      </c>
      <c r="F244" s="11">
        <f t="shared" si="26"/>
        <v>-33.570503497070376</v>
      </c>
      <c r="G244" s="11">
        <f t="shared" si="27"/>
        <v>-33.695816098103087</v>
      </c>
    </row>
    <row r="245" spans="5:7" x14ac:dyDescent="0.25">
      <c r="E245" s="11">
        <f t="shared" si="25"/>
        <v>-142</v>
      </c>
      <c r="F245" s="11">
        <f t="shared" si="26"/>
        <v>-33.299548816590999</v>
      </c>
      <c r="G245" s="11">
        <f t="shared" si="27"/>
        <v>-33.441685935454217</v>
      </c>
    </row>
    <row r="246" spans="5:7" x14ac:dyDescent="0.25">
      <c r="E246" s="11">
        <f t="shared" si="25"/>
        <v>-141</v>
      </c>
      <c r="F246" s="11">
        <f t="shared" si="26"/>
        <v>-33.027059904885846</v>
      </c>
      <c r="G246" s="11">
        <f t="shared" si="27"/>
        <v>-33.182893189216166</v>
      </c>
    </row>
    <row r="247" spans="5:7" x14ac:dyDescent="0.25">
      <c r="E247" s="11">
        <f t="shared" si="25"/>
        <v>-140</v>
      </c>
      <c r="F247" s="11">
        <f t="shared" si="26"/>
        <v>-32.753390008119652</v>
      </c>
      <c r="G247" s="11">
        <f t="shared" si="27"/>
        <v>-32.919235138363298</v>
      </c>
    </row>
    <row r="248" spans="5:7" x14ac:dyDescent="0.25">
      <c r="E248" s="11">
        <f t="shared" si="25"/>
        <v>-139</v>
      </c>
      <c r="F248" s="11">
        <f t="shared" si="26"/>
        <v>-32.478881504972492</v>
      </c>
      <c r="G248" s="11">
        <f t="shared" si="27"/>
        <v>-32.650509061870018</v>
      </c>
    </row>
    <row r="249" spans="5:7" x14ac:dyDescent="0.25">
      <c r="E249" s="11">
        <f t="shared" si="25"/>
        <v>-138</v>
      </c>
      <c r="F249" s="11">
        <f t="shared" si="26"/>
        <v>-32.203865312648858</v>
      </c>
      <c r="G249" s="11">
        <f t="shared" si="27"/>
        <v>-32.376512238710689</v>
      </c>
    </row>
    <row r="250" spans="5:7" x14ac:dyDescent="0.25">
      <c r="E250" s="11">
        <f t="shared" si="25"/>
        <v>-137</v>
      </c>
      <c r="F250" s="11">
        <f t="shared" si="26"/>
        <v>-31.928660354702927</v>
      </c>
      <c r="G250" s="11">
        <f t="shared" si="27"/>
        <v>-32.097041947859708</v>
      </c>
    </row>
    <row r="251" spans="5:7" x14ac:dyDescent="0.25">
      <c r="E251" s="11">
        <f t="shared" si="25"/>
        <v>-136</v>
      </c>
      <c r="F251" s="11">
        <f t="shared" si="26"/>
        <v>-31.653573088459439</v>
      </c>
      <c r="G251" s="11">
        <f t="shared" si="27"/>
        <v>-31.811895468291453</v>
      </c>
    </row>
    <row r="252" spans="5:7" x14ac:dyDescent="0.25">
      <c r="E252" s="11">
        <f t="shared" si="25"/>
        <v>-135</v>
      </c>
      <c r="F252" s="11">
        <f t="shared" si="26"/>
        <v>-31.37889708984855</v>
      </c>
      <c r="G252" s="11">
        <f t="shared" si="27"/>
        <v>-31.520870078980302</v>
      </c>
    </row>
    <row r="253" spans="5:7" x14ac:dyDescent="0.25">
      <c r="E253" s="11">
        <f t="shared" si="25"/>
        <v>-134</v>
      </c>
      <c r="F253" s="11">
        <f t="shared" si="26"/>
        <v>-31.104912693496075</v>
      </c>
      <c r="G253" s="11">
        <f t="shared" si="27"/>
        <v>-31.223763058900644</v>
      </c>
    </row>
    <row r="254" spans="5:7" x14ac:dyDescent="0.25">
      <c r="E254" s="11">
        <f t="shared" si="25"/>
        <v>-133</v>
      </c>
      <c r="F254" s="11">
        <f t="shared" si="26"/>
        <v>-30.831886685949357</v>
      </c>
      <c r="G254" s="11">
        <f t="shared" si="27"/>
        <v>-30.920371687026865</v>
      </c>
    </row>
    <row r="255" spans="5:7" x14ac:dyDescent="0.25">
      <c r="E255" s="11">
        <f t="shared" si="25"/>
        <v>-132</v>
      </c>
      <c r="F255" s="11">
        <f t="shared" si="26"/>
        <v>-30.560072049946186</v>
      </c>
      <c r="G255" s="11">
        <f t="shared" si="27"/>
        <v>-30.610493242333344</v>
      </c>
    </row>
    <row r="256" spans="5:7" x14ac:dyDescent="0.25">
      <c r="E256" s="11">
        <f t="shared" si="25"/>
        <v>-131</v>
      </c>
      <c r="F256" s="11">
        <f t="shared" si="26"/>
        <v>-30.289707757668566</v>
      </c>
      <c r="G256" s="11">
        <f t="shared" si="27"/>
        <v>-30.293925003794463</v>
      </c>
    </row>
    <row r="257" spans="5:7" x14ac:dyDescent="0.25">
      <c r="E257" s="11">
        <f t="shared" si="25"/>
        <v>-130</v>
      </c>
      <c r="F257" s="11">
        <f t="shared" si="26"/>
        <v>-30.021018610954258</v>
      </c>
      <c r="G257" s="11">
        <f t="shared" si="27"/>
        <v>-29.970464250384602</v>
      </c>
    </row>
    <row r="258" spans="5:7" x14ac:dyDescent="0.25">
      <c r="E258" s="11">
        <f t="shared" si="25"/>
        <v>-129</v>
      </c>
      <c r="F258" s="11">
        <f t="shared" si="26"/>
        <v>-29.754215126469695</v>
      </c>
      <c r="G258" s="11">
        <f t="shared" si="27"/>
        <v>-29.639908261078155</v>
      </c>
    </row>
    <row r="259" spans="5:7" x14ac:dyDescent="0.25">
      <c r="E259" s="11">
        <f t="shared" si="25"/>
        <v>-128</v>
      </c>
      <c r="F259" s="11">
        <f t="shared" si="26"/>
        <v>-29.48949346388126</v>
      </c>
      <c r="G259" s="11">
        <f t="shared" si="27"/>
        <v>-29.302054314849496</v>
      </c>
    </row>
    <row r="260" spans="5:7" x14ac:dyDescent="0.25">
      <c r="E260" s="11">
        <f t="shared" si="25"/>
        <v>-127</v>
      </c>
      <c r="F260" s="11">
        <f t="shared" si="26"/>
        <v>-29.22703539509321</v>
      </c>
      <c r="G260" s="11">
        <f t="shared" si="27"/>
        <v>-28.956699690673013</v>
      </c>
    </row>
    <row r="261" spans="5:7" x14ac:dyDescent="0.25">
      <c r="E261" s="11">
        <f t="shared" si="25"/>
        <v>-126</v>
      </c>
      <c r="F261" s="11">
        <f t="shared" si="26"/>
        <v>-28.967008312651124</v>
      </c>
      <c r="G261" s="11">
        <f t="shared" si="27"/>
        <v>-28.603641667523082</v>
      </c>
    </row>
    <row r="262" spans="5:7" x14ac:dyDescent="0.25">
      <c r="E262" s="11">
        <f t="shared" si="25"/>
        <v>-125</v>
      </c>
      <c r="F262" s="11">
        <f t="shared" si="26"/>
        <v>-28.70956527544331</v>
      </c>
      <c r="G262" s="11">
        <f t="shared" si="27"/>
        <v>-28.242677524374088</v>
      </c>
    </row>
    <row r="263" spans="5:7" x14ac:dyDescent="0.25">
      <c r="E263" s="11">
        <f t="shared" si="25"/>
        <v>-124</v>
      </c>
      <c r="F263" s="11">
        <f t="shared" si="26"/>
        <v>-28.454845089863838</v>
      </c>
      <c r="G263" s="11">
        <f t="shared" si="27"/>
        <v>-28.087863339505855</v>
      </c>
    </row>
    <row r="264" spans="5:7" x14ac:dyDescent="0.25">
      <c r="E264" s="11">
        <f t="shared" si="25"/>
        <v>-123</v>
      </c>
      <c r="F264" s="11">
        <f t="shared" si="26"/>
        <v>-28.202972424631056</v>
      </c>
      <c r="G264" s="11">
        <f t="shared" si="27"/>
        <v>-27.925455109532333</v>
      </c>
    </row>
    <row r="265" spans="5:7" x14ac:dyDescent="0.25">
      <c r="E265" s="11">
        <f t="shared" si="25"/>
        <v>-122</v>
      </c>
      <c r="F265" s="11">
        <f t="shared" si="26"/>
        <v>-27.954057957490065</v>
      </c>
      <c r="G265" s="11">
        <f t="shared" si="27"/>
        <v>-27.755967630372908</v>
      </c>
    </row>
    <row r="266" spans="5:7" x14ac:dyDescent="0.25">
      <c r="E266" s="11">
        <f t="shared" si="25"/>
        <v>-121</v>
      </c>
      <c r="F266" s="11">
        <f t="shared" si="26"/>
        <v>-27.708198552056992</v>
      </c>
      <c r="G266" s="11">
        <f t="shared" si="27"/>
        <v>-27.579915697946976</v>
      </c>
    </row>
    <row r="267" spans="5:7" x14ac:dyDescent="0.25">
      <c r="E267" s="11">
        <f t="shared" si="25"/>
        <v>-120</v>
      </c>
      <c r="F267" s="11">
        <f t="shared" si="26"/>
        <v>-27.465477463095738</v>
      </c>
      <c r="G267" s="11">
        <f t="shared" si="27"/>
        <v>-27.397814108173929</v>
      </c>
    </row>
    <row r="268" spans="5:7" x14ac:dyDescent="0.25">
      <c r="E268" s="11">
        <f t="shared" si="25"/>
        <v>-119</v>
      </c>
      <c r="F268" s="11">
        <f t="shared" si="26"/>
        <v>-27.225964568549742</v>
      </c>
      <c r="G268" s="11">
        <f t="shared" si="27"/>
        <v>-27.210177656973141</v>
      </c>
    </row>
    <row r="269" spans="5:7" x14ac:dyDescent="0.25">
      <c r="E269" s="11">
        <f t="shared" si="25"/>
        <v>-118</v>
      </c>
      <c r="F269" s="11">
        <f t="shared" si="26"/>
        <v>-26.989716626682785</v>
      </c>
      <c r="G269" s="11">
        <f t="shared" si="27"/>
        <v>-27.017521140264012</v>
      </c>
    </row>
    <row r="270" spans="5:7" x14ac:dyDescent="0.25">
      <c r="E270" s="11">
        <f t="shared" si="25"/>
        <v>-117</v>
      </c>
      <c r="F270" s="11">
        <f t="shared" si="26"/>
        <v>-26.756777556714344</v>
      </c>
      <c r="G270" s="11">
        <f t="shared" si="27"/>
        <v>-26.820359353965937</v>
      </c>
    </row>
    <row r="271" spans="5:7" x14ac:dyDescent="0.25">
      <c r="E271" s="11">
        <f t="shared" si="25"/>
        <v>-116</v>
      </c>
      <c r="F271" s="11">
        <f t="shared" si="26"/>
        <v>-26.527178741367447</v>
      </c>
      <c r="G271" s="11">
        <f t="shared" si="27"/>
        <v>-26.619207093998298</v>
      </c>
    </row>
    <row r="272" spans="5:7" x14ac:dyDescent="0.25">
      <c r="E272" s="11">
        <f t="shared" si="25"/>
        <v>-115</v>
      </c>
      <c r="F272" s="11">
        <f t="shared" si="26"/>
        <v>-26.300939349778691</v>
      </c>
      <c r="G272" s="11">
        <f t="shared" si="27"/>
        <v>-26.414579156280475</v>
      </c>
    </row>
    <row r="273" spans="5:7" x14ac:dyDescent="0.25">
      <c r="E273" s="11">
        <f t="shared" si="25"/>
        <v>-114</v>
      </c>
      <c r="F273" s="11">
        <f t="shared" si="26"/>
        <v>-26.078066679250853</v>
      </c>
      <c r="G273" s="11">
        <f t="shared" si="27"/>
        <v>-26.206990336731877</v>
      </c>
    </row>
    <row r="274" spans="5:7" x14ac:dyDescent="0.25">
      <c r="E274" s="11">
        <f t="shared" si="25"/>
        <v>-113</v>
      </c>
      <c r="F274" s="11">
        <f t="shared" si="26"/>
        <v>-25.858556514361968</v>
      </c>
      <c r="G274" s="11">
        <f t="shared" si="27"/>
        <v>-25.996955431271882</v>
      </c>
    </row>
    <row r="275" spans="5:7" x14ac:dyDescent="0.25">
      <c r="E275" s="11">
        <f t="shared" si="25"/>
        <v>-112</v>
      </c>
      <c r="F275" s="11">
        <f t="shared" si="26"/>
        <v>-25.642393501974965</v>
      </c>
      <c r="G275" s="11">
        <f t="shared" si="27"/>
        <v>-25.784989235819879</v>
      </c>
    </row>
    <row r="276" spans="5:7" x14ac:dyDescent="0.25">
      <c r="E276" s="11">
        <f t="shared" si="25"/>
        <v>-111</v>
      </c>
      <c r="F276" s="11">
        <f t="shared" si="26"/>
        <v>-25.42955154072466</v>
      </c>
      <c r="G276" s="11">
        <f t="shared" si="27"/>
        <v>-25.571606546295257</v>
      </c>
    </row>
    <row r="277" spans="5:7" x14ac:dyDescent="0.25">
      <c r="E277" s="11">
        <f t="shared" si="25"/>
        <v>-110</v>
      </c>
      <c r="F277" s="11">
        <f t="shared" si="26"/>
        <v>-25.219994183590593</v>
      </c>
      <c r="G277" s="11">
        <f t="shared" si="27"/>
        <v>-25.357322158617411</v>
      </c>
    </row>
    <row r="278" spans="5:7" x14ac:dyDescent="0.25">
      <c r="E278" s="11">
        <f t="shared" si="25"/>
        <v>-109</v>
      </c>
      <c r="F278" s="11">
        <f t="shared" si="26"/>
        <v>-25.013675052195286</v>
      </c>
      <c r="G278" s="11">
        <f t="shared" si="27"/>
        <v>-25.142650868705722</v>
      </c>
    </row>
    <row r="279" spans="5:7" x14ac:dyDescent="0.25">
      <c r="E279" s="11">
        <f t="shared" si="25"/>
        <v>-108</v>
      </c>
      <c r="F279" s="11">
        <f t="shared" si="26"/>
        <v>-24.810538261500469</v>
      </c>
      <c r="G279" s="11">
        <f t="shared" si="27"/>
        <v>-24.928107472479585</v>
      </c>
    </row>
    <row r="280" spans="5:7" x14ac:dyDescent="0.25">
      <c r="E280" s="11">
        <f t="shared" si="25"/>
        <v>-107</v>
      </c>
      <c r="F280" s="11">
        <f t="shared" si="26"/>
        <v>-24.610518853604184</v>
      </c>
      <c r="G280" s="11">
        <f t="shared" si="27"/>
        <v>-24.714206765858393</v>
      </c>
    </row>
    <row r="281" spans="5:7" x14ac:dyDescent="0.25">
      <c r="E281" s="11">
        <f t="shared" si="25"/>
        <v>-106</v>
      </c>
      <c r="F281" s="11">
        <f t="shared" si="26"/>
        <v>-24.41354323937508</v>
      </c>
      <c r="G281" s="11">
        <f t="shared" si="27"/>
        <v>-24.501463544761521</v>
      </c>
    </row>
    <row r="282" spans="5:7" x14ac:dyDescent="0.25">
      <c r="E282" s="11">
        <f t="shared" si="25"/>
        <v>-105</v>
      </c>
      <c r="F282" s="11">
        <f t="shared" si="26"/>
        <v>-24.219529646690219</v>
      </c>
      <c r="G282" s="11">
        <f t="shared" si="27"/>
        <v>-24.290392605108373</v>
      </c>
    </row>
    <row r="283" spans="5:7" x14ac:dyDescent="0.25">
      <c r="E283" s="11">
        <f t="shared" si="25"/>
        <v>-104</v>
      </c>
      <c r="F283" s="11">
        <f t="shared" si="26"/>
        <v>-24.028388574075883</v>
      </c>
      <c r="G283" s="11">
        <f t="shared" si="27"/>
        <v>-24.081508742818329</v>
      </c>
    </row>
    <row r="284" spans="5:7" x14ac:dyDescent="0.25">
      <c r="E284" s="11">
        <f t="shared" si="25"/>
        <v>-103</v>
      </c>
      <c r="F284" s="11">
        <f t="shared" si="26"/>
        <v>-23.840023248582202</v>
      </c>
      <c r="G284" s="11">
        <f t="shared" si="27"/>
        <v>-23.875326753810782</v>
      </c>
    </row>
    <row r="285" spans="5:7" x14ac:dyDescent="0.25">
      <c r="E285" s="11">
        <f t="shared" si="25"/>
        <v>-102</v>
      </c>
      <c r="F285" s="11">
        <f t="shared" si="26"/>
        <v>-23.654330086753895</v>
      </c>
      <c r="G285" s="11">
        <f t="shared" si="27"/>
        <v>-23.672361434005126</v>
      </c>
    </row>
    <row r="286" spans="5:7" x14ac:dyDescent="0.25">
      <c r="E286" s="11">
        <f t="shared" si="25"/>
        <v>-101</v>
      </c>
      <c r="F286" s="11">
        <f t="shared" si="26"/>
        <v>-23.471199157591528</v>
      </c>
      <c r="G286" s="11">
        <f t="shared" si="27"/>
        <v>-23.473127579320742</v>
      </c>
    </row>
    <row r="287" spans="5:7" x14ac:dyDescent="0.25">
      <c r="E287" s="11">
        <f t="shared" ref="E287:E350" si="28">E80</f>
        <v>-100</v>
      </c>
      <c r="F287" s="11">
        <f t="shared" ref="F287:F350" si="29">$H$217*0+E287*$I$217+E287^2*$J$217+E287^3*$K$217+E287^4*$L$217+E287^5*$M$217+E287^6*$N$217+E287^7*$O$217+E287^8*$P$217</f>
        <v>-23.290514646429578</v>
      </c>
      <c r="G287" s="11">
        <f t="shared" ref="G287:G350" si="30">F80</f>
        <v>-23.278139985677022</v>
      </c>
    </row>
    <row r="288" spans="5:7" x14ac:dyDescent="0.25">
      <c r="E288" s="11">
        <f t="shared" si="28"/>
        <v>-99</v>
      </c>
      <c r="F288" s="11">
        <f t="shared" si="29"/>
        <v>-23.112155318688842</v>
      </c>
      <c r="G288" s="11">
        <f t="shared" si="30"/>
        <v>-23.087779753836145</v>
      </c>
    </row>
    <row r="289" spans="5:7" x14ac:dyDescent="0.25">
      <c r="E289" s="11">
        <f t="shared" si="28"/>
        <v>-98</v>
      </c>
      <c r="F289" s="11">
        <f t="shared" si="29"/>
        <v>-22.935994982493249</v>
      </c>
      <c r="G289" s="11">
        <f t="shared" si="30"/>
        <v>-22.901893203931426</v>
      </c>
    </row>
    <row r="290" spans="5:7" x14ac:dyDescent="0.25">
      <c r="E290" s="11">
        <f t="shared" si="28"/>
        <v>-97</v>
      </c>
      <c r="F290" s="11">
        <f t="shared" si="29"/>
        <v>-22.76190294917221</v>
      </c>
      <c r="G290" s="11">
        <f t="shared" si="30"/>
        <v>-22.72019296093897</v>
      </c>
    </row>
    <row r="291" spans="5:7" x14ac:dyDescent="0.25">
      <c r="E291" s="11">
        <f t="shared" si="28"/>
        <v>-96</v>
      </c>
      <c r="F291" s="11">
        <f t="shared" si="29"/>
        <v>-22.589744490701992</v>
      </c>
      <c r="G291" s="11">
        <f t="shared" si="30"/>
        <v>-22.542391649834894</v>
      </c>
    </row>
    <row r="292" spans="5:7" x14ac:dyDescent="0.25">
      <c r="E292" s="11">
        <f t="shared" si="28"/>
        <v>-95</v>
      </c>
      <c r="F292" s="11">
        <f t="shared" si="29"/>
        <v>-22.419381293170701</v>
      </c>
      <c r="G292" s="11">
        <f t="shared" si="30"/>
        <v>-22.368201895595291</v>
      </c>
    </row>
    <row r="293" spans="5:7" x14ac:dyDescent="0.25">
      <c r="E293" s="11">
        <f t="shared" si="28"/>
        <v>-94</v>
      </c>
      <c r="F293" s="11">
        <f t="shared" si="29"/>
        <v>-22.250671905384319</v>
      </c>
      <c r="G293" s="11">
        <f t="shared" si="30"/>
        <v>-22.197336323196289</v>
      </c>
    </row>
    <row r="294" spans="5:7" x14ac:dyDescent="0.25">
      <c r="E294" s="11">
        <f t="shared" si="28"/>
        <v>-93</v>
      </c>
      <c r="F294" s="11">
        <f t="shared" si="29"/>
        <v>-22.083472181761639</v>
      </c>
      <c r="G294" s="11">
        <f t="shared" si="30"/>
        <v>-22.029507557613968</v>
      </c>
    </row>
    <row r="295" spans="5:7" x14ac:dyDescent="0.25">
      <c r="E295" s="11">
        <f t="shared" si="28"/>
        <v>-92</v>
      </c>
      <c r="F295" s="11">
        <f t="shared" si="29"/>
        <v>-21.917635718698957</v>
      </c>
      <c r="G295" s="11">
        <f t="shared" si="30"/>
        <v>-21.864428223824454</v>
      </c>
    </row>
    <row r="296" spans="5:7" x14ac:dyDescent="0.25">
      <c r="E296" s="11">
        <f t="shared" si="28"/>
        <v>-91</v>
      </c>
      <c r="F296" s="11">
        <f t="shared" si="29"/>
        <v>-21.753014283616444</v>
      </c>
      <c r="G296" s="11">
        <f t="shared" si="30"/>
        <v>-21.70181094680385</v>
      </c>
    </row>
    <row r="297" spans="5:7" x14ac:dyDescent="0.25">
      <c r="E297" s="11">
        <f t="shared" si="28"/>
        <v>-90</v>
      </c>
      <c r="F297" s="11">
        <f t="shared" si="29"/>
        <v>-21.589458235930003</v>
      </c>
      <c r="G297" s="11">
        <f t="shared" si="30"/>
        <v>-21.541368351528256</v>
      </c>
    </row>
    <row r="298" spans="5:7" x14ac:dyDescent="0.25">
      <c r="E298" s="11">
        <f t="shared" si="28"/>
        <v>-89</v>
      </c>
      <c r="F298" s="11">
        <f t="shared" si="29"/>
        <v>-21.426816939224548</v>
      </c>
      <c r="G298" s="11">
        <f t="shared" si="30"/>
        <v>-21.382813062973788</v>
      </c>
    </row>
    <row r="299" spans="5:7" x14ac:dyDescent="0.25">
      <c r="E299" s="11">
        <f t="shared" si="28"/>
        <v>-88</v>
      </c>
      <c r="F299" s="11">
        <f t="shared" si="29"/>
        <v>-21.264939163935889</v>
      </c>
      <c r="G299" s="11">
        <f t="shared" si="30"/>
        <v>-21.225857706116543</v>
      </c>
    </row>
    <row r="300" spans="5:7" x14ac:dyDescent="0.25">
      <c r="E300" s="11">
        <f t="shared" si="28"/>
        <v>-87</v>
      </c>
      <c r="F300" s="11">
        <f t="shared" si="29"/>
        <v>-21.103673479880712</v>
      </c>
      <c r="G300" s="11">
        <f t="shared" si="30"/>
        <v>-21.070214905932637</v>
      </c>
    </row>
    <row r="301" spans="5:7" x14ac:dyDescent="0.25">
      <c r="E301" s="11">
        <f t="shared" si="28"/>
        <v>-86</v>
      </c>
      <c r="F301" s="11">
        <f t="shared" si="29"/>
        <v>-20.942868638005386</v>
      </c>
      <c r="G301" s="11">
        <f t="shared" si="30"/>
        <v>-20.915597287398171</v>
      </c>
    </row>
    <row r="302" spans="5:7" x14ac:dyDescent="0.25">
      <c r="E302" s="11">
        <f t="shared" si="28"/>
        <v>-85</v>
      </c>
      <c r="F302" s="11">
        <f t="shared" si="29"/>
        <v>-20.782373940756734</v>
      </c>
      <c r="G302" s="11">
        <f t="shared" si="30"/>
        <v>-20.761717475489256</v>
      </c>
    </row>
    <row r="303" spans="5:7" x14ac:dyDescent="0.25">
      <c r="E303" s="11">
        <f t="shared" si="28"/>
        <v>-84</v>
      </c>
      <c r="F303" s="11">
        <f t="shared" si="29"/>
        <v>-20.622039600509009</v>
      </c>
      <c r="G303" s="11">
        <f t="shared" si="30"/>
        <v>-20.60828809518199</v>
      </c>
    </row>
    <row r="304" spans="5:7" x14ac:dyDescent="0.25">
      <c r="E304" s="11">
        <f t="shared" si="28"/>
        <v>-83</v>
      </c>
      <c r="F304" s="11">
        <f t="shared" si="29"/>
        <v>-20.461717085513687</v>
      </c>
      <c r="G304" s="11">
        <f t="shared" si="30"/>
        <v>-20.455021771452493</v>
      </c>
    </row>
    <row r="305" spans="5:7" x14ac:dyDescent="0.25">
      <c r="E305" s="11">
        <f t="shared" si="28"/>
        <v>-82</v>
      </c>
      <c r="F305" s="11">
        <f t="shared" si="29"/>
        <v>-20.301259452870035</v>
      </c>
      <c r="G305" s="11">
        <f t="shared" si="30"/>
        <v>-20.301631129276863</v>
      </c>
    </row>
    <row r="306" spans="5:7" x14ac:dyDescent="0.25">
      <c r="E306" s="11">
        <f t="shared" si="28"/>
        <v>-81</v>
      </c>
      <c r="F306" s="11">
        <f t="shared" si="29"/>
        <v>-20.140521668046468</v>
      </c>
      <c r="G306" s="11">
        <f t="shared" si="30"/>
        <v>-20.147828793631206</v>
      </c>
    </row>
    <row r="307" spans="5:7" x14ac:dyDescent="0.25">
      <c r="E307" s="11">
        <f t="shared" si="28"/>
        <v>-80</v>
      </c>
      <c r="F307" s="11">
        <f t="shared" si="29"/>
        <v>-19.979360910514409</v>
      </c>
      <c r="G307" s="11">
        <f t="shared" si="30"/>
        <v>-19.993327389491633</v>
      </c>
    </row>
    <row r="308" spans="5:7" x14ac:dyDescent="0.25">
      <c r="E308" s="11">
        <f t="shared" si="28"/>
        <v>-79</v>
      </c>
      <c r="F308" s="11">
        <f t="shared" si="29"/>
        <v>-19.81763686508793</v>
      </c>
      <c r="G308" s="11">
        <f t="shared" si="30"/>
        <v>-19.837839541834249</v>
      </c>
    </row>
    <row r="309" spans="5:7" x14ac:dyDescent="0.25">
      <c r="E309" s="11">
        <f t="shared" si="28"/>
        <v>-78</v>
      </c>
      <c r="F309" s="11">
        <f t="shared" si="29"/>
        <v>-19.655211998594766</v>
      </c>
      <c r="G309" s="11">
        <f t="shared" si="30"/>
        <v>-19.681077875635161</v>
      </c>
    </row>
    <row r="310" spans="5:7" x14ac:dyDescent="0.25">
      <c r="E310" s="11">
        <f t="shared" si="28"/>
        <v>-77</v>
      </c>
      <c r="F310" s="11">
        <f t="shared" si="29"/>
        <v>-19.491951821535331</v>
      </c>
      <c r="G310" s="11">
        <f t="shared" si="30"/>
        <v>-19.522755015870477</v>
      </c>
    </row>
    <row r="311" spans="5:7" x14ac:dyDescent="0.25">
      <c r="E311" s="11">
        <f t="shared" si="28"/>
        <v>-76</v>
      </c>
      <c r="F311" s="11">
        <f t="shared" si="29"/>
        <v>-19.327725134418923</v>
      </c>
      <c r="G311" s="11">
        <f t="shared" si="30"/>
        <v>-19.362583587516301</v>
      </c>
    </row>
    <row r="312" spans="5:7" x14ac:dyDescent="0.25">
      <c r="E312" s="11">
        <f t="shared" si="28"/>
        <v>-75</v>
      </c>
      <c r="F312" s="11">
        <f t="shared" si="29"/>
        <v>-19.162404258497364</v>
      </c>
      <c r="G312" s="11">
        <f t="shared" si="30"/>
        <v>-19.20027621554874</v>
      </c>
    </row>
    <row r="313" spans="5:7" x14ac:dyDescent="0.25">
      <c r="E313" s="11">
        <f t="shared" si="28"/>
        <v>-74</v>
      </c>
      <c r="F313" s="11">
        <f t="shared" si="29"/>
        <v>-18.99586525064877</v>
      </c>
      <c r="G313" s="11">
        <f t="shared" si="30"/>
        <v>-19.035593537795677</v>
      </c>
    </row>
    <row r="314" spans="5:7" x14ac:dyDescent="0.25">
      <c r="E314" s="11">
        <f t="shared" si="28"/>
        <v>-73</v>
      </c>
      <c r="F314" s="11">
        <f t="shared" si="29"/>
        <v>-18.827988102195309</v>
      </c>
      <c r="G314" s="11">
        <f t="shared" si="30"/>
        <v>-18.86848824349212</v>
      </c>
    </row>
    <row r="315" spans="5:7" x14ac:dyDescent="0.25">
      <c r="E315" s="11">
        <f t="shared" si="28"/>
        <v>-72</v>
      </c>
      <c r="F315" s="11">
        <f t="shared" si="29"/>
        <v>-18.658656921471074</v>
      </c>
      <c r="G315" s="11">
        <f t="shared" si="30"/>
        <v>-18.698961034724828</v>
      </c>
    </row>
    <row r="316" spans="5:7" x14ac:dyDescent="0.25">
      <c r="E316" s="11">
        <f t="shared" si="28"/>
        <v>-71</v>
      </c>
      <c r="F316" s="11">
        <f t="shared" si="29"/>
        <v>-18.487760099987689</v>
      </c>
      <c r="G316" s="11">
        <f t="shared" si="30"/>
        <v>-18.527012613580581</v>
      </c>
    </row>
    <row r="317" spans="5:7" x14ac:dyDescent="0.25">
      <c r="E317" s="11">
        <f t="shared" si="28"/>
        <v>-70</v>
      </c>
      <c r="F317" s="11">
        <f t="shared" si="29"/>
        <v>-18.315190462077123</v>
      </c>
      <c r="G317" s="11">
        <f t="shared" si="30"/>
        <v>-18.352643682146155</v>
      </c>
    </row>
    <row r="318" spans="5:7" x14ac:dyDescent="0.25">
      <c r="E318" s="11">
        <f t="shared" si="28"/>
        <v>-69</v>
      </c>
      <c r="F318" s="11">
        <f t="shared" si="29"/>
        <v>-18.140845397923012</v>
      </c>
      <c r="G318" s="11">
        <f t="shared" si="30"/>
        <v>-18.175854942508323</v>
      </c>
    </row>
    <row r="319" spans="5:7" x14ac:dyDescent="0.25">
      <c r="E319" s="11">
        <f t="shared" si="28"/>
        <v>-68</v>
      </c>
      <c r="F319" s="11">
        <f t="shared" si="29"/>
        <v>-17.964626979923565</v>
      </c>
      <c r="G319" s="11">
        <f t="shared" si="30"/>
        <v>-17.996647096753858</v>
      </c>
    </row>
    <row r="320" spans="5:7" x14ac:dyDescent="0.25">
      <c r="E320" s="11">
        <f t="shared" si="28"/>
        <v>-67</v>
      </c>
      <c r="F320" s="11">
        <f t="shared" si="29"/>
        <v>-17.78644206236071</v>
      </c>
      <c r="G320" s="11">
        <f t="shared" si="30"/>
        <v>-17.815020846969531</v>
      </c>
    </row>
    <row r="321" spans="5:7" x14ac:dyDescent="0.25">
      <c r="E321" s="11">
        <f t="shared" si="28"/>
        <v>-66</v>
      </c>
      <c r="F321" s="11">
        <f t="shared" si="29"/>
        <v>-17.606202364382376</v>
      </c>
      <c r="G321" s="11">
        <f t="shared" si="30"/>
        <v>-17.630976895242121</v>
      </c>
    </row>
    <row r="322" spans="5:7" x14ac:dyDescent="0.25">
      <c r="E322" s="11">
        <f t="shared" si="28"/>
        <v>-65</v>
      </c>
      <c r="F322" s="11">
        <f t="shared" si="29"/>
        <v>-17.423824536335935</v>
      </c>
      <c r="G322" s="11">
        <f t="shared" si="30"/>
        <v>-17.444515943658399</v>
      </c>
    </row>
    <row r="323" spans="5:7" x14ac:dyDescent="0.25">
      <c r="E323" s="11">
        <f t="shared" si="28"/>
        <v>-64</v>
      </c>
      <c r="F323" s="11">
        <f t="shared" si="29"/>
        <v>-17.23923020952331</v>
      </c>
      <c r="G323" s="11">
        <f t="shared" si="30"/>
        <v>-17.255638694305141</v>
      </c>
    </row>
    <row r="324" spans="5:7" x14ac:dyDescent="0.25">
      <c r="E324" s="11">
        <f t="shared" si="28"/>
        <v>-63</v>
      </c>
      <c r="F324" s="11">
        <f t="shared" si="29"/>
        <v>-17.052346029479406</v>
      </c>
      <c r="G324" s="11">
        <f t="shared" si="30"/>
        <v>-17.064345849269117</v>
      </c>
    </row>
    <row r="325" spans="5:7" x14ac:dyDescent="0.25">
      <c r="E325" s="11">
        <f t="shared" si="28"/>
        <v>-62</v>
      </c>
      <c r="F325" s="11">
        <f t="shared" si="29"/>
        <v>-16.863103672907744</v>
      </c>
      <c r="G325" s="11">
        <f t="shared" si="30"/>
        <v>-16.87063811063711</v>
      </c>
    </row>
    <row r="326" spans="5:7" x14ac:dyDescent="0.25">
      <c r="E326" s="11">
        <f t="shared" si="28"/>
        <v>-61</v>
      </c>
      <c r="F326" s="11">
        <f t="shared" si="29"/>
        <v>-16.671439848438798</v>
      </c>
      <c r="G326" s="11">
        <f t="shared" si="30"/>
        <v>-16.674516180495882</v>
      </c>
    </row>
    <row r="327" spans="5:7" x14ac:dyDescent="0.25">
      <c r="E327" s="11">
        <f t="shared" si="28"/>
        <v>-60</v>
      </c>
      <c r="F327" s="11">
        <f t="shared" si="29"/>
        <v>-16.477296281408172</v>
      </c>
      <c r="G327" s="11">
        <f t="shared" si="30"/>
        <v>-16.475980760932217</v>
      </c>
    </row>
    <row r="328" spans="5:7" x14ac:dyDescent="0.25">
      <c r="E328" s="11">
        <f t="shared" si="28"/>
        <v>-59</v>
      </c>
      <c r="F328" s="11">
        <f t="shared" si="29"/>
        <v>-16.280619682883856</v>
      </c>
      <c r="G328" s="11">
        <f t="shared" si="30"/>
        <v>-16.275032554032883</v>
      </c>
    </row>
    <row r="329" spans="5:7" x14ac:dyDescent="0.25">
      <c r="E329" s="11">
        <f t="shared" si="28"/>
        <v>-58</v>
      </c>
      <c r="F329" s="11">
        <f t="shared" si="29"/>
        <v>-16.081361703203253</v>
      </c>
      <c r="G329" s="11">
        <f t="shared" si="30"/>
        <v>-16.071672261884657</v>
      </c>
    </row>
    <row r="330" spans="5:7" x14ac:dyDescent="0.25">
      <c r="E330" s="11">
        <f t="shared" si="28"/>
        <v>-57</v>
      </c>
      <c r="F330" s="11">
        <f t="shared" si="29"/>
        <v>-15.879478870312692</v>
      </c>
      <c r="G330" s="11">
        <f t="shared" si="30"/>
        <v>-15.865900586574309</v>
      </c>
    </row>
    <row r="331" spans="5:7" x14ac:dyDescent="0.25">
      <c r="E331" s="11">
        <f t="shared" si="28"/>
        <v>-56</v>
      </c>
      <c r="F331" s="11">
        <f t="shared" si="29"/>
        <v>-15.674932513233712</v>
      </c>
      <c r="G331" s="11">
        <f t="shared" si="30"/>
        <v>-15.657718230188619</v>
      </c>
    </row>
    <row r="332" spans="5:7" x14ac:dyDescent="0.25">
      <c r="E332" s="11">
        <f t="shared" si="28"/>
        <v>-55</v>
      </c>
      <c r="F332" s="11">
        <f t="shared" si="29"/>
        <v>-15.467688671012441</v>
      </c>
      <c r="G332" s="11">
        <f t="shared" si="30"/>
        <v>-15.447125894814357</v>
      </c>
    </row>
    <row r="333" spans="5:7" x14ac:dyDescent="0.25">
      <c r="E333" s="11">
        <f t="shared" si="28"/>
        <v>-54</v>
      </c>
      <c r="F333" s="11">
        <f t="shared" si="29"/>
        <v>-15.257717987539843</v>
      </c>
      <c r="G333" s="11">
        <f t="shared" si="30"/>
        <v>-15.234124282538298</v>
      </c>
    </row>
    <row r="334" spans="5:7" x14ac:dyDescent="0.25">
      <c r="E334" s="11">
        <f t="shared" si="28"/>
        <v>-53</v>
      </c>
      <c r="F334" s="11">
        <f t="shared" si="29"/>
        <v>-15.044995592662726</v>
      </c>
      <c r="G334" s="11">
        <f t="shared" si="30"/>
        <v>-15.018714095447216</v>
      </c>
    </row>
    <row r="335" spans="5:7" x14ac:dyDescent="0.25">
      <c r="E335" s="11">
        <f t="shared" si="28"/>
        <v>-52</v>
      </c>
      <c r="F335" s="11">
        <f t="shared" si="29"/>
        <v>-14.829500970036944</v>
      </c>
      <c r="G335" s="11">
        <f t="shared" si="30"/>
        <v>-14.800896035627886</v>
      </c>
    </row>
    <row r="336" spans="5:7" x14ac:dyDescent="0.25">
      <c r="E336" s="11">
        <f t="shared" si="28"/>
        <v>-51</v>
      </c>
      <c r="F336" s="11">
        <f t="shared" si="29"/>
        <v>-14.611217812206021</v>
      </c>
      <c r="G336" s="11">
        <f t="shared" si="30"/>
        <v>-14.580670805167079</v>
      </c>
    </row>
    <row r="337" spans="5:7" x14ac:dyDescent="0.25">
      <c r="E337" s="11">
        <f t="shared" si="28"/>
        <v>-50</v>
      </c>
      <c r="F337" s="11">
        <f t="shared" si="29"/>
        <v>-14.390133863420441</v>
      </c>
      <c r="G337" s="11">
        <f t="shared" si="30"/>
        <v>-14.358039106151573</v>
      </c>
    </row>
    <row r="338" spans="5:7" x14ac:dyDescent="0.25">
      <c r="E338" s="11">
        <f t="shared" si="28"/>
        <v>-49</v>
      </c>
      <c r="F338" s="11">
        <f t="shared" si="29"/>
        <v>-14.16624075074429</v>
      </c>
      <c r="G338" s="11">
        <f t="shared" si="30"/>
        <v>-14.133001640668139</v>
      </c>
    </row>
    <row r="339" spans="5:7" x14ac:dyDescent="0.25">
      <c r="E339" s="11">
        <f t="shared" si="28"/>
        <v>-48</v>
      </c>
      <c r="F339" s="11">
        <f t="shared" si="29"/>
        <v>-13.939533804027917</v>
      </c>
      <c r="G339" s="11">
        <f t="shared" si="30"/>
        <v>-13.90555911080355</v>
      </c>
    </row>
    <row r="340" spans="5:7" x14ac:dyDescent="0.25">
      <c r="E340" s="11">
        <f t="shared" si="28"/>
        <v>-47</v>
      </c>
      <c r="F340" s="11">
        <f t="shared" si="29"/>
        <v>-13.710011865357096</v>
      </c>
      <c r="G340" s="11">
        <f t="shared" si="30"/>
        <v>-13.675712218644584</v>
      </c>
    </row>
    <row r="341" spans="5:7" x14ac:dyDescent="0.25">
      <c r="E341" s="11">
        <f t="shared" si="28"/>
        <v>-46</v>
      </c>
      <c r="F341" s="11">
        <f t="shared" si="29"/>
        <v>-13.477677088620764</v>
      </c>
      <c r="G341" s="11">
        <f t="shared" si="30"/>
        <v>-13.443461666278012</v>
      </c>
    </row>
    <row r="342" spans="5:7" x14ac:dyDescent="0.25">
      <c r="E342" s="11">
        <f t="shared" si="28"/>
        <v>-45</v>
      </c>
      <c r="F342" s="11">
        <f t="shared" si="29"/>
        <v>-13.242534729871421</v>
      </c>
      <c r="G342" s="11">
        <f t="shared" si="30"/>
        <v>-13.208808155790608</v>
      </c>
    </row>
    <row r="343" spans="5:7" x14ac:dyDescent="0.25">
      <c r="E343" s="11">
        <f t="shared" si="28"/>
        <v>-44</v>
      </c>
      <c r="F343" s="11">
        <f t="shared" si="29"/>
        <v>-13.004592929183771</v>
      </c>
      <c r="G343" s="11">
        <f t="shared" si="30"/>
        <v>-12.971750482845382</v>
      </c>
    </row>
    <row r="344" spans="5:7" x14ac:dyDescent="0.25">
      <c r="E344" s="11">
        <f t="shared" si="28"/>
        <v>-43</v>
      </c>
      <c r="F344" s="11">
        <f t="shared" si="29"/>
        <v>-12.763862484749342</v>
      </c>
      <c r="G344" s="11">
        <f t="shared" si="30"/>
        <v>-12.73227981741026</v>
      </c>
    </row>
    <row r="345" spans="5:7" x14ac:dyDescent="0.25">
      <c r="E345" s="11">
        <f t="shared" si="28"/>
        <v>-42</v>
      </c>
      <c r="F345" s="11">
        <f t="shared" si="29"/>
        <v>-12.520356619976187</v>
      </c>
      <c r="G345" s="11">
        <f t="shared" si="30"/>
        <v>-12.490385423029423</v>
      </c>
    </row>
    <row r="346" spans="5:7" x14ac:dyDescent="0.25">
      <c r="E346" s="11">
        <f t="shared" si="28"/>
        <v>-41</v>
      </c>
      <c r="F346" s="11">
        <f t="shared" si="29"/>
        <v>-12.274090744394879</v>
      </c>
      <c r="G346" s="11">
        <f t="shared" si="30"/>
        <v>-12.246056563247029</v>
      </c>
    </row>
    <row r="347" spans="5:7" x14ac:dyDescent="0.25">
      <c r="E347" s="11">
        <f t="shared" si="28"/>
        <v>-40</v>
      </c>
      <c r="F347" s="11">
        <f t="shared" si="29"/>
        <v>-12.025082209203592</v>
      </c>
      <c r="G347" s="11">
        <f t="shared" si="30"/>
        <v>-11.999282501607246</v>
      </c>
    </row>
    <row r="348" spans="5:7" x14ac:dyDescent="0.25">
      <c r="E348" s="11">
        <f t="shared" si="28"/>
        <v>-39</v>
      </c>
      <c r="F348" s="11">
        <f t="shared" si="29"/>
        <v>-11.773350058316973</v>
      </c>
      <c r="G348" s="11">
        <f t="shared" si="30"/>
        <v>-11.750052501654245</v>
      </c>
    </row>
    <row r="349" spans="5:7" x14ac:dyDescent="0.25">
      <c r="E349" s="11">
        <f t="shared" si="28"/>
        <v>-38</v>
      </c>
      <c r="F349" s="11">
        <f t="shared" si="29"/>
        <v>-11.518914775815137</v>
      </c>
      <c r="G349" s="11">
        <f t="shared" si="30"/>
        <v>-11.498355826932187</v>
      </c>
    </row>
    <row r="350" spans="5:7" x14ac:dyDescent="0.25">
      <c r="E350" s="11">
        <f t="shared" si="28"/>
        <v>-37</v>
      </c>
      <c r="F350" s="11">
        <f t="shared" si="29"/>
        <v>-11.261798030721062</v>
      </c>
      <c r="G350" s="11">
        <f t="shared" si="30"/>
        <v>-11.244181740985249</v>
      </c>
    </row>
    <row r="351" spans="5:7" x14ac:dyDescent="0.25">
      <c r="E351" s="11">
        <f t="shared" ref="E351:E414" si="31">E144</f>
        <v>-36</v>
      </c>
      <c r="F351" s="11">
        <f t="shared" ref="F351:F414" si="32">$H$217*0+E351*$I$217+E351^2*$J$217+E351^3*$K$217+E351^4*$L$217+E351^5*$M$217+E351^6*$N$217+E351^7*$O$217+E351^8*$P$217</f>
        <v>-11.002022420066343</v>
      </c>
      <c r="G351" s="11">
        <f t="shared" ref="G351:G414" si="33">F144</f>
        <v>-10.98751950735759</v>
      </c>
    </row>
    <row r="352" spans="5:7" x14ac:dyDescent="0.25">
      <c r="E352" s="11">
        <f t="shared" si="31"/>
        <v>-35</v>
      </c>
      <c r="F352" s="11">
        <f t="shared" si="32"/>
        <v>-10.739611211237024</v>
      </c>
      <c r="G352" s="11">
        <f t="shared" si="33"/>
        <v>-10.728358389593382</v>
      </c>
    </row>
    <row r="353" spans="5:7" x14ac:dyDescent="0.25">
      <c r="E353" s="11">
        <f t="shared" si="31"/>
        <v>-34</v>
      </c>
      <c r="F353" s="11">
        <f t="shared" si="32"/>
        <v>-10.474588084623091</v>
      </c>
      <c r="G353" s="11">
        <f t="shared" si="33"/>
        <v>-10.466687651236791</v>
      </c>
    </row>
    <row r="354" spans="5:7" x14ac:dyDescent="0.25">
      <c r="E354" s="11">
        <f t="shared" si="31"/>
        <v>-33</v>
      </c>
      <c r="F354" s="11">
        <f t="shared" si="32"/>
        <v>-10.206976877626943</v>
      </c>
      <c r="G354" s="11">
        <f t="shared" si="33"/>
        <v>-10.202496555831981</v>
      </c>
    </row>
    <row r="355" spans="5:7" x14ac:dyDescent="0.25">
      <c r="E355" s="11">
        <f t="shared" si="31"/>
        <v>-32</v>
      </c>
      <c r="F355" s="11">
        <f t="shared" si="32"/>
        <v>-9.9368013311178878</v>
      </c>
      <c r="G355" s="11">
        <f t="shared" si="33"/>
        <v>-9.9357743669231269</v>
      </c>
    </row>
    <row r="356" spans="5:7" x14ac:dyDescent="0.25">
      <c r="E356" s="11">
        <f t="shared" si="31"/>
        <v>-31</v>
      </c>
      <c r="F356" s="11">
        <f t="shared" si="32"/>
        <v>-9.6640848394515793</v>
      </c>
      <c r="G356" s="11">
        <f t="shared" si="33"/>
        <v>-9.6665103480543912</v>
      </c>
    </row>
    <row r="357" spans="5:7" x14ac:dyDescent="0.25">
      <c r="E357" s="11">
        <f t="shared" si="31"/>
        <v>-30</v>
      </c>
      <c r="F357" s="11">
        <f t="shared" si="32"/>
        <v>-9.3888502052050491</v>
      </c>
      <c r="G357" s="11">
        <f t="shared" si="33"/>
        <v>-9.3946937627699398</v>
      </c>
    </row>
    <row r="358" spans="5:7" x14ac:dyDescent="0.25">
      <c r="E358" s="11">
        <f t="shared" si="31"/>
        <v>-29</v>
      </c>
      <c r="F358" s="11">
        <f t="shared" si="32"/>
        <v>-9.1111193998097573</v>
      </c>
      <c r="G358" s="11">
        <f t="shared" si="33"/>
        <v>-9.1203138746139452</v>
      </c>
    </row>
    <row r="359" spans="5:7" x14ac:dyDescent="0.25">
      <c r="E359" s="11">
        <f t="shared" si="31"/>
        <v>-28</v>
      </c>
      <c r="F359" s="11">
        <f t="shared" si="32"/>
        <v>-8.830913331296852</v>
      </c>
      <c r="G359" s="11">
        <f t="shared" si="33"/>
        <v>-8.8433599471305691</v>
      </c>
    </row>
    <row r="360" spans="5:7" x14ac:dyDescent="0.25">
      <c r="E360" s="11">
        <f t="shared" si="31"/>
        <v>-27</v>
      </c>
      <c r="F360" s="11">
        <f t="shared" si="32"/>
        <v>-8.5482516204006664</v>
      </c>
      <c r="G360" s="11">
        <f t="shared" si="33"/>
        <v>-8.563821243863984</v>
      </c>
    </row>
    <row r="361" spans="5:7" x14ac:dyDescent="0.25">
      <c r="E361" s="11">
        <f t="shared" si="31"/>
        <v>-26</v>
      </c>
      <c r="F361" s="11">
        <f t="shared" si="32"/>
        <v>-8.2631523862982146</v>
      </c>
      <c r="G361" s="11">
        <f t="shared" si="33"/>
        <v>-8.2816870283583555</v>
      </c>
    </row>
    <row r="362" spans="5:7" x14ac:dyDescent="0.25">
      <c r="E362" s="11">
        <f t="shared" si="31"/>
        <v>-25</v>
      </c>
      <c r="F362" s="11">
        <f t="shared" si="32"/>
        <v>-7.975632043294218</v>
      </c>
      <c r="G362" s="11">
        <f t="shared" si="33"/>
        <v>-7.9969465641578479</v>
      </c>
    </row>
    <row r="363" spans="5:7" x14ac:dyDescent="0.25">
      <c r="E363" s="11">
        <f t="shared" si="31"/>
        <v>-24</v>
      </c>
      <c r="F363" s="11">
        <f t="shared" si="32"/>
        <v>-7.6857051097929991</v>
      </c>
      <c r="G363" s="11">
        <f t="shared" si="33"/>
        <v>-7.7095891148066329</v>
      </c>
    </row>
    <row r="364" spans="5:7" x14ac:dyDescent="0.25">
      <c r="E364" s="11">
        <f t="shared" si="31"/>
        <v>-23</v>
      </c>
      <c r="F364" s="11">
        <f t="shared" si="32"/>
        <v>-7.393384030930374</v>
      </c>
      <c r="G364" s="11">
        <f t="shared" si="33"/>
        <v>-7.4196039438488768</v>
      </c>
    </row>
    <row r="365" spans="5:7" x14ac:dyDescent="0.25">
      <c r="E365" s="11">
        <f t="shared" si="31"/>
        <v>-22</v>
      </c>
      <c r="F365" s="11">
        <f t="shared" si="32"/>
        <v>-7.0986790162703954</v>
      </c>
      <c r="G365" s="11">
        <f t="shared" si="33"/>
        <v>-7.1269803148287449</v>
      </c>
    </row>
    <row r="366" spans="5:7" x14ac:dyDescent="0.25">
      <c r="E366" s="11">
        <f t="shared" si="31"/>
        <v>-21</v>
      </c>
      <c r="F366" s="11">
        <f t="shared" si="32"/>
        <v>-6.801597894003641</v>
      </c>
      <c r="G366" s="11">
        <f t="shared" si="33"/>
        <v>-6.8317074912904063</v>
      </c>
    </row>
    <row r="367" spans="5:7" x14ac:dyDescent="0.25">
      <c r="E367" s="11">
        <f t="shared" si="31"/>
        <v>-20</v>
      </c>
      <c r="F367" s="11">
        <f t="shared" si="32"/>
        <v>-6.5021459831154793</v>
      </c>
      <c r="G367" s="11">
        <f t="shared" si="33"/>
        <v>-6.533774736778029</v>
      </c>
    </row>
    <row r="368" spans="5:7" x14ac:dyDescent="0.25">
      <c r="E368" s="11">
        <f t="shared" si="31"/>
        <v>-19</v>
      </c>
      <c r="F368" s="11">
        <f t="shared" si="32"/>
        <v>-6.2003259850245405</v>
      </c>
      <c r="G368" s="11">
        <f t="shared" si="33"/>
        <v>-6.2331713148357792</v>
      </c>
    </row>
    <row r="369" spans="5:7" x14ac:dyDescent="0.25">
      <c r="E369" s="11">
        <f t="shared" si="31"/>
        <v>-18</v>
      </c>
      <c r="F369" s="11">
        <f t="shared" si="32"/>
        <v>-5.8961378962233955</v>
      </c>
      <c r="G369" s="11">
        <f t="shared" si="33"/>
        <v>-5.929886489007826</v>
      </c>
    </row>
    <row r="370" spans="5:7" x14ac:dyDescent="0.25">
      <c r="E370" s="11">
        <f t="shared" si="31"/>
        <v>-17</v>
      </c>
      <c r="F370" s="11">
        <f t="shared" si="32"/>
        <v>-5.5895789434852503</v>
      </c>
      <c r="G370" s="11">
        <f t="shared" si="33"/>
        <v>-5.6239095228383347</v>
      </c>
    </row>
    <row r="371" spans="5:7" x14ac:dyDescent="0.25">
      <c r="E371" s="11">
        <f t="shared" si="31"/>
        <v>-16</v>
      </c>
      <c r="F371" s="11">
        <f t="shared" si="32"/>
        <v>-5.2806435432321637</v>
      </c>
      <c r="G371" s="11">
        <f t="shared" si="33"/>
        <v>-5.3152296798714733</v>
      </c>
    </row>
    <row r="372" spans="5:7" x14ac:dyDescent="0.25">
      <c r="E372" s="11">
        <f t="shared" si="31"/>
        <v>-15</v>
      </c>
      <c r="F372" s="11">
        <f t="shared" si="32"/>
        <v>-4.9693232866921937</v>
      </c>
      <c r="G372" s="11">
        <f t="shared" si="33"/>
        <v>-5.0038362236514091</v>
      </c>
    </row>
    <row r="373" spans="5:7" x14ac:dyDescent="0.25">
      <c r="E373" s="11">
        <f t="shared" si="31"/>
        <v>-14</v>
      </c>
      <c r="F373" s="11">
        <f t="shared" si="32"/>
        <v>-4.6556069525045647</v>
      </c>
      <c r="G373" s="11">
        <f t="shared" si="33"/>
        <v>-4.6897184177223101</v>
      </c>
    </row>
    <row r="374" spans="5:7" x14ac:dyDescent="0.25">
      <c r="E374" s="11">
        <f t="shared" si="31"/>
        <v>-13</v>
      </c>
      <c r="F374" s="11">
        <f t="shared" si="32"/>
        <v>-4.3394805484637322</v>
      </c>
      <c r="G374" s="11">
        <f t="shared" si="33"/>
        <v>-4.3728655256283453</v>
      </c>
    </row>
    <row r="375" spans="5:7" x14ac:dyDescent="0.25">
      <c r="E375" s="11">
        <f t="shared" si="31"/>
        <v>-12</v>
      </c>
      <c r="F375" s="11">
        <f t="shared" si="32"/>
        <v>-4.0209273841250868</v>
      </c>
      <c r="G375" s="11">
        <f t="shared" si="33"/>
        <v>-4.0532668109136782</v>
      </c>
    </row>
    <row r="376" spans="5:7" x14ac:dyDescent="0.25">
      <c r="E376" s="11">
        <f t="shared" si="31"/>
        <v>-11</v>
      </c>
      <c r="F376" s="11">
        <f t="shared" si="32"/>
        <v>-3.6999281760266887</v>
      </c>
      <c r="G376" s="11">
        <f t="shared" si="33"/>
        <v>-3.7309115371224792</v>
      </c>
    </row>
    <row r="377" spans="5:7" x14ac:dyDescent="0.25">
      <c r="E377" s="11">
        <f t="shared" si="31"/>
        <v>-10</v>
      </c>
      <c r="F377" s="11">
        <f t="shared" si="32"/>
        <v>-3.3764611873133252</v>
      </c>
      <c r="G377" s="11">
        <f t="shared" si="33"/>
        <v>-3.4057889677989142</v>
      </c>
    </row>
    <row r="378" spans="5:7" x14ac:dyDescent="0.25">
      <c r="E378" s="11">
        <f t="shared" si="31"/>
        <v>-9</v>
      </c>
      <c r="F378" s="11">
        <f t="shared" si="32"/>
        <v>-3.0505024035808725</v>
      </c>
      <c r="G378" s="11">
        <f t="shared" si="33"/>
        <v>-3.0778883664871515</v>
      </c>
    </row>
    <row r="379" spans="5:7" x14ac:dyDescent="0.25">
      <c r="E379" s="11">
        <f t="shared" si="31"/>
        <v>-8</v>
      </c>
      <c r="F379" s="11">
        <f t="shared" si="32"/>
        <v>-2.722025746790782</v>
      </c>
      <c r="G379" s="11">
        <f t="shared" si="33"/>
        <v>-2.7471989967313584</v>
      </c>
    </row>
    <row r="380" spans="5:7" x14ac:dyDescent="0.25">
      <c r="E380" s="11">
        <f t="shared" si="31"/>
        <v>-7</v>
      </c>
      <c r="F380" s="11">
        <f t="shared" si="32"/>
        <v>-2.3910033291362542</v>
      </c>
      <c r="G380" s="11">
        <f t="shared" si="33"/>
        <v>-2.413710122075702</v>
      </c>
    </row>
    <row r="381" spans="5:7" x14ac:dyDescent="0.25">
      <c r="E381" s="11">
        <f t="shared" si="31"/>
        <v>-6</v>
      </c>
      <c r="F381" s="11">
        <f t="shared" si="32"/>
        <v>-2.0574057487734576</v>
      </c>
      <c r="G381" s="11">
        <f t="shared" si="33"/>
        <v>-2.07741100606435</v>
      </c>
    </row>
    <row r="382" spans="5:7" x14ac:dyDescent="0.25">
      <c r="E382" s="11">
        <f t="shared" si="31"/>
        <v>-5</v>
      </c>
      <c r="F382" s="11">
        <f t="shared" si="32"/>
        <v>-1.7212024293629378</v>
      </c>
      <c r="G382" s="11">
        <f t="shared" si="33"/>
        <v>-1.7382909122414694</v>
      </c>
    </row>
    <row r="383" spans="5:7" x14ac:dyDescent="0.25">
      <c r="E383" s="11">
        <f t="shared" si="31"/>
        <v>-4</v>
      </c>
      <c r="F383" s="11">
        <f t="shared" si="32"/>
        <v>-1.3823620053981129</v>
      </c>
      <c r="G383" s="11">
        <f t="shared" si="33"/>
        <v>-1.3963391041512279</v>
      </c>
    </row>
    <row r="384" spans="5:7" x14ac:dyDescent="0.25">
      <c r="E384" s="11">
        <f t="shared" si="31"/>
        <v>-3</v>
      </c>
      <c r="F384" s="11">
        <f t="shared" si="32"/>
        <v>-1.0408527553295646</v>
      </c>
      <c r="G384" s="11">
        <f t="shared" si="33"/>
        <v>-1.0515448453377929</v>
      </c>
    </row>
    <row r="385" spans="5:7" x14ac:dyDescent="0.25">
      <c r="E385" s="11">
        <f t="shared" si="31"/>
        <v>-2</v>
      </c>
      <c r="F385" s="11">
        <f t="shared" si="32"/>
        <v>-0.69664308452558665</v>
      </c>
      <c r="G385" s="11">
        <f t="shared" si="33"/>
        <v>-0.70389739934533146</v>
      </c>
    </row>
    <row r="386" spans="5:7" x14ac:dyDescent="0.25">
      <c r="E386" s="11">
        <f t="shared" si="31"/>
        <v>-1</v>
      </c>
      <c r="F386" s="11">
        <f t="shared" si="32"/>
        <v>-0.34970206014124805</v>
      </c>
      <c r="G386" s="11">
        <f t="shared" si="33"/>
        <v>-0.35338602971801159</v>
      </c>
    </row>
    <row r="387" spans="5:7" x14ac:dyDescent="0.25">
      <c r="E387" s="11">
        <f t="shared" si="31"/>
        <v>0</v>
      </c>
      <c r="F387" s="11">
        <f t="shared" si="32"/>
        <v>0</v>
      </c>
      <c r="G387" s="11">
        <f t="shared" si="33"/>
        <v>0</v>
      </c>
    </row>
    <row r="388" spans="5:7" x14ac:dyDescent="0.25">
      <c r="E388" s="11">
        <f t="shared" si="31"/>
        <v>1</v>
      </c>
      <c r="F388" s="11">
        <f t="shared" si="32"/>
        <v>0.35249088237636317</v>
      </c>
      <c r="G388" s="11">
        <f t="shared" si="33"/>
        <v>0.35625589687167508</v>
      </c>
    </row>
    <row r="389" spans="5:7" x14ac:dyDescent="0.25">
      <c r="E389" s="11">
        <f t="shared" si="31"/>
        <v>2</v>
      </c>
      <c r="F389" s="11">
        <f t="shared" si="32"/>
        <v>0.70779577442180086</v>
      </c>
      <c r="G389" s="11">
        <f t="shared" si="33"/>
        <v>0.71531475038854486</v>
      </c>
    </row>
    <row r="390" spans="5:7" x14ac:dyDescent="0.25">
      <c r="E390" s="11">
        <f t="shared" si="31"/>
        <v>3</v>
      </c>
      <c r="F390" s="11">
        <f t="shared" si="32"/>
        <v>1.06593650066481</v>
      </c>
      <c r="G390" s="11">
        <f t="shared" si="33"/>
        <v>1.0770941206492799</v>
      </c>
    </row>
    <row r="391" spans="5:7" x14ac:dyDescent="0.25">
      <c r="E391" s="11">
        <f t="shared" si="31"/>
        <v>4</v>
      </c>
      <c r="F391" s="11">
        <f t="shared" si="32"/>
        <v>1.4269306961207515</v>
      </c>
      <c r="G391" s="11">
        <f t="shared" si="33"/>
        <v>1.4415115677525514</v>
      </c>
    </row>
    <row r="392" spans="5:7" x14ac:dyDescent="0.25">
      <c r="E392" s="11">
        <f t="shared" si="31"/>
        <v>5</v>
      </c>
      <c r="F392" s="11">
        <f t="shared" si="32"/>
        <v>1.7907909146747858</v>
      </c>
      <c r="G392" s="11">
        <f t="shared" si="33"/>
        <v>1.8084846517970297</v>
      </c>
    </row>
    <row r="393" spans="5:7" x14ac:dyDescent="0.25">
      <c r="E393" s="11">
        <f t="shared" si="31"/>
        <v>6</v>
      </c>
      <c r="F393" s="11">
        <f t="shared" si="32"/>
        <v>2.1575236701607219</v>
      </c>
      <c r="G393" s="11">
        <f t="shared" si="33"/>
        <v>2.1779309328813854</v>
      </c>
    </row>
    <row r="394" spans="5:7" x14ac:dyDescent="0.25">
      <c r="E394" s="11">
        <f t="shared" si="31"/>
        <v>7</v>
      </c>
      <c r="F394" s="11">
        <f t="shared" si="32"/>
        <v>2.5271284078092831</v>
      </c>
      <c r="G394" s="11">
        <f t="shared" si="33"/>
        <v>2.5497679711042904</v>
      </c>
    </row>
    <row r="395" spans="5:7" x14ac:dyDescent="0.25">
      <c r="E395" s="11">
        <f t="shared" si="31"/>
        <v>8</v>
      </c>
      <c r="F395" s="11">
        <f t="shared" si="32"/>
        <v>2.8995964037075308</v>
      </c>
      <c r="G395" s="11">
        <f t="shared" si="33"/>
        <v>2.9239133265644135</v>
      </c>
    </row>
    <row r="396" spans="5:7" x14ac:dyDescent="0.25">
      <c r="E396" s="11">
        <f t="shared" si="31"/>
        <v>9</v>
      </c>
      <c r="F396" s="11">
        <f t="shared" si="32"/>
        <v>3.2749095898794041</v>
      </c>
      <c r="G396" s="11">
        <f t="shared" si="33"/>
        <v>3.3002845593604269</v>
      </c>
    </row>
    <row r="397" spans="5:7" x14ac:dyDescent="0.25">
      <c r="E397" s="11">
        <f t="shared" si="31"/>
        <v>10</v>
      </c>
      <c r="F397" s="11">
        <f t="shared" si="32"/>
        <v>3.6530393025655443</v>
      </c>
      <c r="G397" s="11">
        <f t="shared" si="33"/>
        <v>3.6787992295910015</v>
      </c>
    </row>
    <row r="398" spans="5:7" x14ac:dyDescent="0.25">
      <c r="E398" s="11">
        <f t="shared" si="31"/>
        <v>11</v>
      </c>
      <c r="F398" s="11">
        <f t="shared" si="32"/>
        <v>4.0339449512488148</v>
      </c>
      <c r="G398" s="11">
        <f t="shared" si="33"/>
        <v>4.0593748973548074</v>
      </c>
    </row>
    <row r="399" spans="5:7" x14ac:dyDescent="0.25">
      <c r="E399" s="11">
        <f t="shared" si="31"/>
        <v>12</v>
      </c>
      <c r="F399" s="11">
        <f t="shared" si="32"/>
        <v>4.4175726059401148</v>
      </c>
      <c r="G399" s="11">
        <f t="shared" si="33"/>
        <v>4.4419291227505147</v>
      </c>
    </row>
    <row r="400" spans="5:7" x14ac:dyDescent="0.25">
      <c r="E400" s="11">
        <f t="shared" si="31"/>
        <v>13</v>
      </c>
      <c r="F400" s="11">
        <f t="shared" si="32"/>
        <v>4.8038535002073575</v>
      </c>
      <c r="G400" s="11">
        <f t="shared" si="33"/>
        <v>4.8263794658767951</v>
      </c>
    </row>
    <row r="401" spans="5:7" x14ac:dyDescent="0.25">
      <c r="E401" s="11">
        <f t="shared" si="31"/>
        <v>14</v>
      </c>
      <c r="F401" s="11">
        <f t="shared" si="32"/>
        <v>5.1927024473986236</v>
      </c>
      <c r="G401" s="11">
        <f t="shared" si="33"/>
        <v>5.2126434868323201</v>
      </c>
    </row>
    <row r="402" spans="5:7" x14ac:dyDescent="0.25">
      <c r="E402" s="11">
        <f t="shared" si="31"/>
        <v>15</v>
      </c>
      <c r="F402" s="11">
        <f t="shared" si="32"/>
        <v>5.58401616747883</v>
      </c>
      <c r="G402" s="11">
        <f t="shared" si="33"/>
        <v>5.6006387457157576</v>
      </c>
    </row>
    <row r="403" spans="5:7" x14ac:dyDescent="0.25">
      <c r="E403" s="11">
        <f t="shared" si="31"/>
        <v>16</v>
      </c>
      <c r="F403" s="11">
        <f t="shared" si="32"/>
        <v>5.9776715218673777</v>
      </c>
      <c r="G403" s="11">
        <f t="shared" si="33"/>
        <v>5.9902828026257824</v>
      </c>
    </row>
    <row r="404" spans="5:7" x14ac:dyDescent="0.25">
      <c r="E404" s="11">
        <f t="shared" si="31"/>
        <v>17</v>
      </c>
      <c r="F404" s="11">
        <f t="shared" si="32"/>
        <v>6.3735236536324891</v>
      </c>
      <c r="G404" s="11">
        <f t="shared" si="33"/>
        <v>6.3814932176610615</v>
      </c>
    </row>
    <row r="405" spans="5:7" x14ac:dyDescent="0.25">
      <c r="E405" s="11">
        <f t="shared" si="31"/>
        <v>18</v>
      </c>
      <c r="F405" s="11">
        <f t="shared" si="32"/>
        <v>6.7714040303662237</v>
      </c>
      <c r="G405" s="11">
        <f t="shared" si="33"/>
        <v>6.7741875509202671</v>
      </c>
    </row>
    <row r="406" spans="5:7" x14ac:dyDescent="0.25">
      <c r="E406" s="11">
        <f t="shared" si="31"/>
        <v>19</v>
      </c>
      <c r="F406" s="11">
        <f t="shared" si="32"/>
        <v>7.1711183870323003</v>
      </c>
      <c r="G406" s="11">
        <f t="shared" si="33"/>
        <v>7.1682833625020717</v>
      </c>
    </row>
    <row r="407" spans="5:7" x14ac:dyDescent="0.25">
      <c r="E407" s="11">
        <f t="shared" si="31"/>
        <v>20</v>
      </c>
      <c r="F407" s="11">
        <f t="shared" si="32"/>
        <v>7.5724445660471069</v>
      </c>
      <c r="G407" s="11">
        <f t="shared" si="33"/>
        <v>7.5636982125051428</v>
      </c>
    </row>
    <row r="408" spans="5:7" x14ac:dyDescent="0.25">
      <c r="E408" s="11">
        <f t="shared" si="31"/>
        <v>21</v>
      </c>
      <c r="F408" s="11">
        <f t="shared" si="32"/>
        <v>7.9751302518225389</v>
      </c>
      <c r="G408" s="11">
        <f t="shared" si="33"/>
        <v>7.9603496610281539</v>
      </c>
    </row>
    <row r="409" spans="5:7" x14ac:dyDescent="0.25">
      <c r="E409" s="11">
        <f t="shared" si="31"/>
        <v>22</v>
      </c>
      <c r="F409" s="11">
        <f t="shared" si="32"/>
        <v>8.3788905969674587</v>
      </c>
      <c r="G409" s="11">
        <f t="shared" si="33"/>
        <v>8.3581552681697744</v>
      </c>
    </row>
    <row r="410" spans="5:7" x14ac:dyDescent="0.25">
      <c r="E410" s="11">
        <f t="shared" si="31"/>
        <v>23</v>
      </c>
      <c r="F410" s="11">
        <f t="shared" si="32"/>
        <v>8.7834057373128225</v>
      </c>
      <c r="G410" s="11">
        <f t="shared" si="33"/>
        <v>8.757032594028674</v>
      </c>
    </row>
    <row r="411" spans="5:7" x14ac:dyDescent="0.25">
      <c r="E411" s="11">
        <f t="shared" si="31"/>
        <v>24</v>
      </c>
      <c r="F411" s="11">
        <f t="shared" si="32"/>
        <v>9.1883181928937656</v>
      </c>
      <c r="G411" s="11">
        <f t="shared" si="33"/>
        <v>9.1568991987035258</v>
      </c>
    </row>
    <row r="412" spans="5:7" x14ac:dyDescent="0.25">
      <c r="E412" s="11">
        <f t="shared" si="31"/>
        <v>25</v>
      </c>
      <c r="F412" s="11">
        <f t="shared" si="32"/>
        <v>9.5932301519901308</v>
      </c>
      <c r="G412" s="11">
        <f t="shared" si="33"/>
        <v>9.5576726422929994</v>
      </c>
    </row>
    <row r="413" spans="5:7" x14ac:dyDescent="0.25">
      <c r="E413" s="11">
        <f t="shared" si="31"/>
        <v>26</v>
      </c>
      <c r="F413" s="11">
        <f t="shared" si="32"/>
        <v>9.9977006352951161</v>
      </c>
      <c r="G413" s="11">
        <f t="shared" si="33"/>
        <v>9.9592704848957645</v>
      </c>
    </row>
    <row r="414" spans="5:7" x14ac:dyDescent="0.25">
      <c r="E414" s="11">
        <f t="shared" si="31"/>
        <v>27</v>
      </c>
      <c r="F414" s="11">
        <f t="shared" si="32"/>
        <v>10.40124253725002</v>
      </c>
      <c r="G414" s="11">
        <f t="shared" si="33"/>
        <v>10.361610286610494</v>
      </c>
    </row>
    <row r="415" spans="5:7" x14ac:dyDescent="0.25">
      <c r="E415" s="11">
        <f t="shared" ref="E415:E422" si="34">E208</f>
        <v>28</v>
      </c>
      <c r="F415" s="11">
        <f t="shared" ref="F415:F422" si="35">$H$217*0+E415*$I$217+E415^2*$J$217+E415^3*$K$217+E415^4*$L$217+E415^5*$M$217+E415^6*$N$217+E415^7*$O$217+E415^8*$P$217</f>
        <v>10.80331954155119</v>
      </c>
      <c r="G415" s="11">
        <f t="shared" ref="G415:G422" si="36">F208</f>
        <v>10.764609607535858</v>
      </c>
    </row>
    <row r="416" spans="5:7" x14ac:dyDescent="0.25">
      <c r="E416" s="11">
        <f t="shared" si="34"/>
        <v>29</v>
      </c>
      <c r="F416" s="11">
        <f t="shared" si="35"/>
        <v>11.203342907803583</v>
      </c>
      <c r="G416" s="11">
        <f t="shared" si="36"/>
        <v>11.168186007770524</v>
      </c>
    </row>
    <row r="417" spans="5:7" x14ac:dyDescent="0.25">
      <c r="E417" s="11">
        <f t="shared" si="34"/>
        <v>30</v>
      </c>
      <c r="F417" s="11">
        <f t="shared" si="35"/>
        <v>11.600668126263503</v>
      </c>
      <c r="G417" s="11">
        <f t="shared" si="36"/>
        <v>11.572257047413169</v>
      </c>
    </row>
    <row r="418" spans="5:7" x14ac:dyDescent="0.25">
      <c r="E418" s="11">
        <f t="shared" si="34"/>
        <v>31</v>
      </c>
      <c r="F418" s="11">
        <f t="shared" si="35"/>
        <v>11.994591437581359</v>
      </c>
      <c r="G418" s="11">
        <f t="shared" si="36"/>
        <v>11.976740286562459</v>
      </c>
    </row>
    <row r="419" spans="5:7" x14ac:dyDescent="0.25">
      <c r="E419" s="11">
        <f t="shared" si="34"/>
        <v>32</v>
      </c>
      <c r="F419" s="11">
        <f t="shared" si="35"/>
        <v>12.384346214423406</v>
      </c>
      <c r="G419" s="11">
        <f t="shared" si="36"/>
        <v>12.381553285317066</v>
      </c>
    </row>
    <row r="420" spans="5:7" x14ac:dyDescent="0.25">
      <c r="E420" s="11">
        <f t="shared" si="34"/>
        <v>33</v>
      </c>
      <c r="F420" s="11">
        <f t="shared" si="35"/>
        <v>12.769099201819849</v>
      </c>
      <c r="G420" s="11">
        <f t="shared" si="36"/>
        <v>12.786613603775661</v>
      </c>
    </row>
    <row r="421" spans="5:7" x14ac:dyDescent="0.25">
      <c r="E421" s="11">
        <f t="shared" si="34"/>
        <v>34</v>
      </c>
      <c r="F421" s="11">
        <f t="shared" si="35"/>
        <v>13.147946613054645</v>
      </c>
      <c r="G421" s="11">
        <f t="shared" si="36"/>
        <v>13.191838802036914</v>
      </c>
    </row>
    <row r="422" spans="5:7" x14ac:dyDescent="0.25">
      <c r="E422" s="11">
        <f t="shared" si="34"/>
        <v>35</v>
      </c>
      <c r="F422" s="11">
        <f t="shared" si="35"/>
        <v>13.519910077880803</v>
      </c>
      <c r="G422" s="11">
        <f t="shared" si="36"/>
        <v>13.597146440199497</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2022-01-12T16:55:08Z</dcterms:modified>
</cp:coreProperties>
</file>